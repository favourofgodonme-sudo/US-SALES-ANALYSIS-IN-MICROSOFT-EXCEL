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Ex2.xml" ContentType="application/vnd.ms-office.chartex+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6.xml" ContentType="application/vnd.openxmlformats-officedocument.drawing+xml"/>
  <Override PartName="/xl/charts/chart4.xml" ContentType="application/vnd.openxmlformats-officedocument.drawingml.chart+xml"/>
  <Override PartName="/xl/charts/style6.xml" ContentType="application/vnd.ms-office.chartstyle+xml"/>
  <Override PartName="/xl/charts/colors6.xml" ContentType="application/vnd.ms-office.chartcolorstyle+xml"/>
  <Override PartName="/xl/tables/table2.xml" ContentType="application/vnd.openxmlformats-officedocument.spreadsheetml.table+xml"/>
  <Override PartName="/xl/drawings/drawing7.xml" ContentType="application/vnd.openxmlformats-officedocument.drawing+xml"/>
  <Override PartName="/xl/slicers/slicer2.xml" ContentType="application/vnd.ms-excel.slicer+xml"/>
  <Override PartName="/xl/charts/chartEx3.xml" ContentType="application/vnd.ms-office.chartex+xml"/>
  <Override PartName="/xl/charts/style7.xml" ContentType="application/vnd.ms-office.chartstyle+xml"/>
  <Override PartName="/xl/charts/colors7.xml" ContentType="application/vnd.ms-office.chartcolorstyle+xml"/>
  <Override PartName="/xl/charts/chart5.xml" ContentType="application/vnd.openxmlformats-officedocument.drawingml.chart+xml"/>
  <Override PartName="/xl/charts/style8.xml" ContentType="application/vnd.ms-office.chartstyle+xml"/>
  <Override PartName="/xl/charts/colors8.xml" ContentType="application/vnd.ms-office.chartcolorstyle+xml"/>
  <Override PartName="/xl/charts/chart6.xml" ContentType="application/vnd.openxmlformats-officedocument.drawingml.chart+xml"/>
  <Override PartName="/xl/charts/style9.xml" ContentType="application/vnd.ms-office.chartstyle+xml"/>
  <Override PartName="/xl/charts/colors9.xml" ContentType="application/vnd.ms-office.chartcolorstyle+xml"/>
  <Override PartName="/xl/charts/chart7.xml" ContentType="application/vnd.openxmlformats-officedocument.drawingml.chart+xml"/>
  <Override PartName="/xl/charts/style10.xml" ContentType="application/vnd.ms-office.chartstyle+xml"/>
  <Override PartName="/xl/charts/colors10.xml" ContentType="application/vnd.ms-office.chartcolorstyle+xml"/>
  <Override PartName="/xl/charts/chart8.xml" ContentType="application/vnd.openxmlformats-officedocument.drawingml.chart+xml"/>
  <Override PartName="/xl/charts/style11.xml" ContentType="application/vnd.ms-office.chartstyle+xml"/>
  <Override PartName="/xl/charts/colors11.xml" ContentType="application/vnd.ms-office.chartcolorstyle+xml"/>
  <Override PartName="/xl/charts/chartEx4.xml" ContentType="application/vnd.ms-office.chartex+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929"/>
  <workbookPr/>
  <mc:AlternateContent xmlns:mc="http://schemas.openxmlformats.org/markup-compatibility/2006">
    <mc:Choice Requires="x15">
      <x15ac:absPath xmlns:x15ac="http://schemas.microsoft.com/office/spreadsheetml/2010/11/ac" url="C:\Users\HP\Downloads\"/>
    </mc:Choice>
  </mc:AlternateContent>
  <xr:revisionPtr revIDLastSave="0" documentId="13_ncr:1_{544F5076-3E90-43B9-8DE3-9FAB27EAF8B3}" xr6:coauthVersionLast="44" xr6:coauthVersionMax="47" xr10:uidLastSave="{00000000-0000-0000-0000-000000000000}"/>
  <bookViews>
    <workbookView xWindow="-120" yWindow="-120" windowWidth="20730" windowHeight="11160" firstSheet="3" activeTab="11" xr2:uid="{00000000-000D-0000-FFFF-FFFF00000000}"/>
  </bookViews>
  <sheets>
    <sheet name="Excel Capstone Raw Data" sheetId="1" r:id="rId1"/>
    <sheet name="Sheet3" sheetId="4" r:id="rId2"/>
    <sheet name="Sheet5" sheetId="6" r:id="rId3"/>
    <sheet name="Sheet6" sheetId="7" r:id="rId4"/>
    <sheet name="Sheet7" sheetId="8" r:id="rId5"/>
    <sheet name="Sheet8" sheetId="9" r:id="rId6"/>
    <sheet name="Kpis" sheetId="13" r:id="rId7"/>
    <sheet name="kpi sales" sheetId="12" r:id="rId8"/>
    <sheet name="kpi customer" sheetId="14" r:id="rId9"/>
    <sheet name="Sheet9" sheetId="10" r:id="rId10"/>
    <sheet name="Sheet1" sheetId="2" r:id="rId11"/>
    <sheet name="Sheet10" sheetId="11" r:id="rId12"/>
  </sheets>
  <definedNames>
    <definedName name="_xlchart.v2.0" hidden="1">Sheet3!$D$4:$D$21</definedName>
    <definedName name="_xlchart.v2.1" hidden="1">Sheet3!$E$3</definedName>
    <definedName name="_xlchart.v2.2" hidden="1">Sheet3!$E$4:$E$21</definedName>
    <definedName name="_xlchart.v2.7" hidden="1">Sheet3!$D$4:$D$21</definedName>
    <definedName name="_xlchart.v2.8" hidden="1">Sheet3!$E$3</definedName>
    <definedName name="_xlchart.v2.9" hidden="1">Sheet3!$E$4:$E$21</definedName>
    <definedName name="_xlchart.v5.10" hidden="1">Sheet8!$E$3</definedName>
    <definedName name="_xlchart.v5.11" hidden="1">Sheet8!$E$4:$E$49</definedName>
    <definedName name="_xlchart.v5.12" hidden="1">Sheet8!$F$3</definedName>
    <definedName name="_xlchart.v5.13" hidden="1">Sheet8!$F$4:$F$49</definedName>
    <definedName name="_xlchart.v5.3" hidden="1">Sheet8!$E$3</definedName>
    <definedName name="_xlchart.v5.4" hidden="1">Sheet8!$E$4:$E$49</definedName>
    <definedName name="_xlchart.v5.5" hidden="1">Sheet8!$F$3</definedName>
    <definedName name="_xlchart.v5.6" hidden="1">Sheet8!$F$4:$F$49</definedName>
    <definedName name="Slicer_Year">#N/A</definedName>
    <definedName name="Year">'Excel Capstone Raw Data'!$C:$C</definedName>
  </definedNames>
  <calcPr calcId="191029"/>
  <pivotCaches>
    <pivotCache cacheId="0" r:id="rId13"/>
    <pivotCache cacheId="1" r:id="rId14"/>
  </pivotCaches>
  <extLst>
    <ext xmlns:x14="http://schemas.microsoft.com/office/spreadsheetml/2009/9/main" uri="{BBE1A952-AA13-448e-AADC-164F8A28A991}">
      <x14:slicerCaches>
        <x14:slicerCache r:id="rId1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calcFeatures>
    </ext>
  </extLst>
</workbook>
</file>

<file path=xl/calcChain.xml><?xml version="1.0" encoding="utf-8"?>
<calcChain xmlns="http://schemas.openxmlformats.org/spreadsheetml/2006/main">
  <c r="D21" i="4" l="1"/>
  <c r="D20" i="4"/>
  <c r="D19" i="4"/>
  <c r="D18" i="4"/>
  <c r="D17" i="4"/>
  <c r="D16" i="4"/>
  <c r="D15" i="4"/>
  <c r="D14" i="4"/>
  <c r="D13" i="4"/>
  <c r="D12" i="4"/>
  <c r="D11" i="4"/>
  <c r="D10" i="4"/>
  <c r="D9" i="4"/>
  <c r="D8" i="4"/>
  <c r="D7" i="4"/>
  <c r="D6" i="4"/>
  <c r="D5" i="4"/>
  <c r="D4" i="4"/>
  <c r="A2" i="13"/>
  <c r="E21" i="4"/>
  <c r="E20" i="4"/>
  <c r="E19" i="4"/>
  <c r="E18" i="4"/>
  <c r="E17" i="4"/>
  <c r="E16" i="4"/>
  <c r="E15" i="4"/>
  <c r="E14" i="4"/>
  <c r="E13" i="4"/>
  <c r="E12" i="4"/>
  <c r="E11" i="4"/>
  <c r="E10" i="4"/>
  <c r="E9" i="4"/>
  <c r="E8" i="4"/>
  <c r="E7" i="4"/>
  <c r="E6" i="4"/>
  <c r="E5" i="4"/>
  <c r="E4" i="4"/>
  <c r="A2" i="12" l="1"/>
  <c r="A2" i="14"/>
  <c r="C25" i="4" l="1"/>
  <c r="C3" i="1" l="1"/>
  <c r="C4" i="1"/>
  <c r="C680" i="1"/>
  <c r="C2"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C738" i="1"/>
  <c r="C739" i="1"/>
  <c r="C740" i="1"/>
  <c r="C741" i="1"/>
  <c r="C742" i="1"/>
  <c r="C743" i="1"/>
  <c r="C744" i="1"/>
  <c r="C745" i="1"/>
  <c r="C746" i="1"/>
  <c r="C747" i="1"/>
  <c r="C748" i="1"/>
  <c r="C749" i="1"/>
  <c r="C750" i="1"/>
  <c r="C751" i="1"/>
  <c r="C752" i="1"/>
  <c r="C753" i="1"/>
  <c r="C754" i="1"/>
  <c r="C755" i="1"/>
  <c r="C756" i="1"/>
  <c r="C757" i="1"/>
  <c r="C758" i="1"/>
  <c r="C759" i="1"/>
  <c r="C760" i="1"/>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237" i="1"/>
  <c r="B238" i="1"/>
  <c r="B239" i="1"/>
  <c r="B240" i="1"/>
  <c r="B241" i="1"/>
  <c r="B242" i="1"/>
  <c r="B243" i="1"/>
  <c r="B244" i="1"/>
  <c r="B245" i="1"/>
  <c r="B246" i="1"/>
  <c r="B247" i="1"/>
  <c r="B248" i="1"/>
  <c r="B249" i="1"/>
  <c r="B250" i="1"/>
  <c r="B251" i="1"/>
  <c r="B252" i="1"/>
  <c r="B253" i="1"/>
  <c r="B254" i="1"/>
  <c r="B255" i="1"/>
  <c r="B256" i="1"/>
  <c r="B257" i="1"/>
  <c r="B258" i="1"/>
  <c r="B259" i="1"/>
  <c r="B260" i="1"/>
  <c r="B261" i="1"/>
  <c r="B262" i="1"/>
  <c r="B263" i="1"/>
  <c r="B264" i="1"/>
  <c r="B265" i="1"/>
  <c r="B266" i="1"/>
  <c r="B267" i="1"/>
  <c r="B268" i="1"/>
  <c r="B269" i="1"/>
  <c r="B270" i="1"/>
  <c r="B271" i="1"/>
  <c r="B272" i="1"/>
  <c r="B273" i="1"/>
  <c r="B274" i="1"/>
  <c r="B275" i="1"/>
  <c r="B276" i="1"/>
  <c r="B277" i="1"/>
  <c r="B278" i="1"/>
  <c r="B279" i="1"/>
  <c r="B280" i="1"/>
  <c r="B281" i="1"/>
  <c r="B282" i="1"/>
  <c r="B283" i="1"/>
  <c r="B284" i="1"/>
  <c r="B285" i="1"/>
  <c r="B286" i="1"/>
  <c r="B287" i="1"/>
  <c r="B288" i="1"/>
  <c r="B289" i="1"/>
  <c r="B290" i="1"/>
  <c r="B291" i="1"/>
  <c r="B292" i="1"/>
  <c r="B293" i="1"/>
  <c r="B294" i="1"/>
  <c r="B295" i="1"/>
  <c r="B296" i="1"/>
  <c r="B297" i="1"/>
  <c r="B298" i="1"/>
  <c r="B299" i="1"/>
  <c r="B300" i="1"/>
  <c r="B301" i="1"/>
  <c r="B302" i="1"/>
  <c r="B303" i="1"/>
  <c r="B304" i="1"/>
  <c r="B305" i="1"/>
  <c r="B306" i="1"/>
  <c r="B307" i="1"/>
  <c r="B308" i="1"/>
  <c r="B309" i="1"/>
  <c r="B310" i="1"/>
  <c r="B311" i="1"/>
  <c r="B312" i="1"/>
  <c r="B313" i="1"/>
  <c r="B314" i="1"/>
  <c r="B315" i="1"/>
  <c r="B316" i="1"/>
  <c r="B317" i="1"/>
  <c r="B318" i="1"/>
  <c r="B319" i="1"/>
  <c r="B320" i="1"/>
  <c r="B321" i="1"/>
  <c r="B322" i="1"/>
  <c r="B323" i="1"/>
  <c r="B324" i="1"/>
  <c r="B325" i="1"/>
  <c r="B326" i="1"/>
  <c r="B327" i="1"/>
  <c r="B328" i="1"/>
  <c r="B329" i="1"/>
  <c r="B330" i="1"/>
  <c r="B331" i="1"/>
  <c r="B332" i="1"/>
  <c r="B333" i="1"/>
  <c r="B334" i="1"/>
  <c r="B335" i="1"/>
  <c r="B336" i="1"/>
  <c r="B337" i="1"/>
  <c r="B338" i="1"/>
  <c r="B339" i="1"/>
  <c r="B340" i="1"/>
  <c r="B341" i="1"/>
  <c r="B342" i="1"/>
  <c r="B343" i="1"/>
  <c r="B344" i="1"/>
  <c r="B345" i="1"/>
  <c r="B346" i="1"/>
  <c r="B347" i="1"/>
  <c r="B348" i="1"/>
  <c r="B349" i="1"/>
  <c r="B350" i="1"/>
  <c r="B351" i="1"/>
  <c r="B352" i="1"/>
  <c r="B353" i="1"/>
  <c r="B354" i="1"/>
  <c r="B355" i="1"/>
  <c r="B356" i="1"/>
  <c r="B357" i="1"/>
  <c r="B358" i="1"/>
  <c r="B359" i="1"/>
  <c r="B360" i="1"/>
  <c r="B361" i="1"/>
  <c r="B362" i="1"/>
  <c r="B363" i="1"/>
  <c r="B364" i="1"/>
  <c r="B365" i="1"/>
  <c r="B366" i="1"/>
  <c r="B367" i="1"/>
  <c r="B368" i="1"/>
  <c r="B369" i="1"/>
  <c r="B370" i="1"/>
  <c r="B371" i="1"/>
  <c r="B372" i="1"/>
  <c r="B373" i="1"/>
  <c r="B374" i="1"/>
  <c r="B375" i="1"/>
  <c r="B376" i="1"/>
  <c r="B377" i="1"/>
  <c r="B378" i="1"/>
  <c r="B379" i="1"/>
  <c r="B380" i="1"/>
  <c r="B381" i="1"/>
  <c r="B382" i="1"/>
  <c r="B383" i="1"/>
  <c r="B384" i="1"/>
  <c r="B385" i="1"/>
  <c r="B386" i="1"/>
  <c r="B387" i="1"/>
  <c r="B388" i="1"/>
  <c r="B389" i="1"/>
  <c r="B390" i="1"/>
  <c r="B391" i="1"/>
  <c r="B392" i="1"/>
  <c r="B393" i="1"/>
  <c r="B394" i="1"/>
  <c r="B395" i="1"/>
  <c r="B396" i="1"/>
  <c r="B397" i="1"/>
  <c r="B398" i="1"/>
  <c r="B399" i="1"/>
  <c r="B400" i="1"/>
  <c r="B401" i="1"/>
  <c r="B402" i="1"/>
  <c r="B403" i="1"/>
  <c r="B404" i="1"/>
  <c r="B405" i="1"/>
  <c r="B406" i="1"/>
  <c r="B407" i="1"/>
  <c r="B408" i="1"/>
  <c r="B409" i="1"/>
  <c r="B410" i="1"/>
  <c r="B411" i="1"/>
  <c r="B412" i="1"/>
  <c r="B413" i="1"/>
  <c r="B414" i="1"/>
  <c r="B415" i="1"/>
  <c r="B416" i="1"/>
  <c r="B417" i="1"/>
  <c r="B418" i="1"/>
  <c r="B419" i="1"/>
  <c r="B420" i="1"/>
  <c r="B421" i="1"/>
  <c r="B422" i="1"/>
  <c r="B423" i="1"/>
  <c r="B424" i="1"/>
  <c r="B425" i="1"/>
  <c r="B426" i="1"/>
  <c r="B427" i="1"/>
  <c r="B428" i="1"/>
  <c r="B429" i="1"/>
  <c r="B430" i="1"/>
  <c r="B431" i="1"/>
  <c r="B432" i="1"/>
  <c r="B433" i="1"/>
  <c r="B434" i="1"/>
  <c r="B435" i="1"/>
  <c r="B436" i="1"/>
  <c r="B437" i="1"/>
  <c r="B438" i="1"/>
  <c r="B439" i="1"/>
  <c r="B440" i="1"/>
  <c r="B441" i="1"/>
  <c r="B442" i="1"/>
  <c r="B443" i="1"/>
  <c r="B444" i="1"/>
  <c r="B445" i="1"/>
  <c r="B446" i="1"/>
  <c r="B447" i="1"/>
  <c r="B448" i="1"/>
  <c r="B449" i="1"/>
  <c r="B450" i="1"/>
  <c r="B451" i="1"/>
  <c r="B452" i="1"/>
  <c r="B453" i="1"/>
  <c r="B454" i="1"/>
  <c r="B455" i="1"/>
  <c r="B456" i="1"/>
  <c r="B457" i="1"/>
  <c r="B458" i="1"/>
  <c r="B459" i="1"/>
  <c r="B460" i="1"/>
  <c r="B461" i="1"/>
  <c r="B462" i="1"/>
  <c r="B463" i="1"/>
  <c r="B464" i="1"/>
  <c r="B465" i="1"/>
  <c r="B466" i="1"/>
  <c r="B467" i="1"/>
  <c r="B468" i="1"/>
  <c r="B469" i="1"/>
  <c r="B470" i="1"/>
  <c r="B471" i="1"/>
  <c r="B472" i="1"/>
  <c r="B473" i="1"/>
  <c r="B474" i="1"/>
  <c r="B475" i="1"/>
  <c r="B476" i="1"/>
  <c r="B477" i="1"/>
  <c r="B478" i="1"/>
  <c r="B479" i="1"/>
  <c r="B480" i="1"/>
  <c r="B481" i="1"/>
  <c r="B482" i="1"/>
  <c r="B483" i="1"/>
  <c r="B484" i="1"/>
  <c r="B485" i="1"/>
  <c r="B486" i="1"/>
  <c r="B487" i="1"/>
  <c r="B488" i="1"/>
  <c r="B489" i="1"/>
  <c r="B490" i="1"/>
  <c r="B491" i="1"/>
  <c r="B492" i="1"/>
  <c r="B493" i="1"/>
  <c r="B494" i="1"/>
  <c r="B495" i="1"/>
  <c r="B496" i="1"/>
  <c r="B497" i="1"/>
  <c r="B498" i="1"/>
  <c r="B499" i="1"/>
  <c r="B500" i="1"/>
  <c r="B501" i="1"/>
  <c r="B502" i="1"/>
  <c r="B503" i="1"/>
  <c r="B504" i="1"/>
  <c r="B505" i="1"/>
  <c r="B506" i="1"/>
  <c r="B507" i="1"/>
  <c r="B508" i="1"/>
  <c r="B509" i="1"/>
  <c r="B510" i="1"/>
  <c r="B511" i="1"/>
  <c r="B512" i="1"/>
  <c r="B513" i="1"/>
  <c r="B514" i="1"/>
  <c r="B515" i="1"/>
  <c r="B516" i="1"/>
  <c r="B517" i="1"/>
  <c r="B518" i="1"/>
  <c r="B519" i="1"/>
  <c r="B520" i="1"/>
  <c r="B521" i="1"/>
  <c r="B522" i="1"/>
  <c r="B523" i="1"/>
  <c r="B524" i="1"/>
  <c r="B525" i="1"/>
  <c r="B526" i="1"/>
  <c r="B527" i="1"/>
  <c r="B528" i="1"/>
  <c r="B529" i="1"/>
  <c r="B530" i="1"/>
  <c r="B531" i="1"/>
  <c r="B532" i="1"/>
  <c r="B533" i="1"/>
  <c r="B534" i="1"/>
  <c r="B535" i="1"/>
  <c r="B536" i="1"/>
  <c r="B537" i="1"/>
  <c r="B538" i="1"/>
  <c r="B539" i="1"/>
  <c r="B540" i="1"/>
  <c r="B541" i="1"/>
  <c r="B542" i="1"/>
  <c r="B543" i="1"/>
  <c r="B544" i="1"/>
  <c r="B545" i="1"/>
  <c r="B546" i="1"/>
  <c r="B547" i="1"/>
  <c r="B548" i="1"/>
  <c r="B549" i="1"/>
  <c r="B550" i="1"/>
  <c r="B551" i="1"/>
  <c r="B552" i="1"/>
  <c r="B553" i="1"/>
  <c r="B554" i="1"/>
  <c r="B555" i="1"/>
  <c r="B556" i="1"/>
  <c r="B557" i="1"/>
  <c r="B558" i="1"/>
  <c r="B559" i="1"/>
  <c r="B560" i="1"/>
  <c r="B561" i="1"/>
  <c r="B562" i="1"/>
  <c r="B563" i="1"/>
  <c r="B564" i="1"/>
  <c r="B565" i="1"/>
  <c r="B566" i="1"/>
  <c r="B567" i="1"/>
  <c r="B568" i="1"/>
  <c r="B569" i="1"/>
  <c r="B570" i="1"/>
  <c r="B571" i="1"/>
  <c r="B572" i="1"/>
  <c r="B573" i="1"/>
  <c r="B574" i="1"/>
  <c r="B575" i="1"/>
  <c r="B576" i="1"/>
  <c r="B577" i="1"/>
  <c r="B578" i="1"/>
  <c r="B579" i="1"/>
  <c r="B580" i="1"/>
  <c r="B581" i="1"/>
  <c r="B582" i="1"/>
  <c r="B583" i="1"/>
  <c r="B584" i="1"/>
  <c r="B585" i="1"/>
  <c r="B586" i="1"/>
  <c r="B587" i="1"/>
  <c r="B588" i="1"/>
  <c r="B589" i="1"/>
  <c r="B590" i="1"/>
  <c r="B591" i="1"/>
  <c r="B592" i="1"/>
  <c r="B593" i="1"/>
  <c r="B594" i="1"/>
  <c r="B595" i="1"/>
  <c r="B596" i="1"/>
  <c r="B597" i="1"/>
  <c r="B598" i="1"/>
  <c r="B599" i="1"/>
  <c r="B600" i="1"/>
  <c r="B601" i="1"/>
  <c r="B602" i="1"/>
  <c r="B603" i="1"/>
  <c r="B604" i="1"/>
  <c r="B605" i="1"/>
  <c r="B606" i="1"/>
  <c r="B607" i="1"/>
  <c r="B608" i="1"/>
  <c r="B609" i="1"/>
  <c r="B610" i="1"/>
  <c r="B611" i="1"/>
  <c r="B612" i="1"/>
  <c r="B613" i="1"/>
  <c r="B614" i="1"/>
  <c r="B615" i="1"/>
  <c r="B616" i="1"/>
  <c r="B617" i="1"/>
  <c r="B618" i="1"/>
  <c r="B619" i="1"/>
  <c r="B620" i="1"/>
  <c r="B621" i="1"/>
  <c r="B622" i="1"/>
  <c r="B623" i="1"/>
  <c r="B624" i="1"/>
  <c r="B625" i="1"/>
  <c r="B626" i="1"/>
  <c r="B627" i="1"/>
  <c r="B628" i="1"/>
  <c r="B629" i="1"/>
  <c r="B630" i="1"/>
  <c r="B631" i="1"/>
  <c r="B632" i="1"/>
  <c r="B633" i="1"/>
  <c r="B634" i="1"/>
  <c r="B635" i="1"/>
  <c r="B636" i="1"/>
  <c r="B637" i="1"/>
  <c r="B638" i="1"/>
  <c r="B639" i="1"/>
  <c r="B640" i="1"/>
  <c r="B641" i="1"/>
  <c r="B642" i="1"/>
  <c r="B643" i="1"/>
  <c r="B644" i="1"/>
  <c r="B645" i="1"/>
  <c r="B646" i="1"/>
  <c r="B647" i="1"/>
  <c r="B648" i="1"/>
  <c r="B649" i="1"/>
  <c r="B650" i="1"/>
  <c r="B651" i="1"/>
  <c r="B652" i="1"/>
  <c r="B653" i="1"/>
  <c r="B654" i="1"/>
  <c r="B655" i="1"/>
  <c r="B656" i="1"/>
  <c r="B657" i="1"/>
  <c r="B658" i="1"/>
  <c r="B659" i="1"/>
  <c r="B660" i="1"/>
  <c r="B661" i="1"/>
  <c r="B662" i="1"/>
  <c r="B663" i="1"/>
  <c r="B664" i="1"/>
  <c r="B665" i="1"/>
  <c r="B666" i="1"/>
  <c r="B667" i="1"/>
  <c r="B668" i="1"/>
  <c r="B669" i="1"/>
  <c r="B670" i="1"/>
  <c r="B671" i="1"/>
  <c r="B672" i="1"/>
  <c r="B673" i="1"/>
  <c r="B674" i="1"/>
  <c r="B675" i="1"/>
  <c r="B676" i="1"/>
  <c r="B677" i="1"/>
  <c r="B678" i="1"/>
  <c r="B679" i="1"/>
  <c r="B680" i="1"/>
  <c r="B681" i="1"/>
  <c r="B682" i="1"/>
  <c r="B683" i="1"/>
  <c r="B684" i="1"/>
  <c r="B685" i="1"/>
  <c r="B686" i="1"/>
  <c r="B687" i="1"/>
  <c r="B688" i="1"/>
  <c r="B689" i="1"/>
  <c r="B690" i="1"/>
  <c r="B691" i="1"/>
  <c r="B692" i="1"/>
  <c r="B693" i="1"/>
  <c r="B694" i="1"/>
  <c r="B695" i="1"/>
  <c r="B696" i="1"/>
  <c r="B697" i="1"/>
  <c r="B698" i="1"/>
  <c r="B699" i="1"/>
  <c r="B700" i="1"/>
  <c r="B701" i="1"/>
  <c r="B702" i="1"/>
  <c r="B703" i="1"/>
  <c r="B704" i="1"/>
  <c r="B705" i="1"/>
  <c r="B706" i="1"/>
  <c r="B707" i="1"/>
  <c r="B708" i="1"/>
  <c r="B709" i="1"/>
  <c r="B710" i="1"/>
  <c r="B711" i="1"/>
  <c r="B712" i="1"/>
  <c r="B713" i="1"/>
  <c r="B714" i="1"/>
  <c r="B715" i="1"/>
  <c r="B716" i="1"/>
  <c r="B717" i="1"/>
  <c r="B718" i="1"/>
  <c r="B719" i="1"/>
  <c r="B720" i="1"/>
  <c r="B721" i="1"/>
  <c r="B722" i="1"/>
  <c r="B723" i="1"/>
  <c r="B724" i="1"/>
  <c r="B725" i="1"/>
  <c r="B726" i="1"/>
  <c r="B727" i="1"/>
  <c r="B728" i="1"/>
  <c r="B729" i="1"/>
  <c r="B730" i="1"/>
  <c r="B731" i="1"/>
  <c r="B732" i="1"/>
  <c r="B733" i="1"/>
  <c r="B734" i="1"/>
  <c r="B735" i="1"/>
  <c r="B736" i="1"/>
  <c r="B737" i="1"/>
  <c r="B738" i="1"/>
  <c r="B739" i="1"/>
  <c r="B740" i="1"/>
  <c r="B741" i="1"/>
  <c r="B742" i="1"/>
  <c r="B743" i="1"/>
  <c r="B744" i="1"/>
  <c r="B745" i="1"/>
  <c r="B746" i="1"/>
  <c r="B747" i="1"/>
  <c r="B748" i="1"/>
  <c r="B749" i="1"/>
  <c r="B750" i="1"/>
  <c r="B751" i="1"/>
  <c r="B752" i="1"/>
  <c r="B753" i="1"/>
  <c r="B754" i="1"/>
  <c r="B755" i="1"/>
  <c r="B756" i="1"/>
  <c r="B757" i="1"/>
  <c r="B758" i="1"/>
  <c r="B759" i="1"/>
  <c r="B760" i="1"/>
</calcChain>
</file>

<file path=xl/sharedStrings.xml><?xml version="1.0" encoding="utf-8"?>
<sst xmlns="http://schemas.openxmlformats.org/spreadsheetml/2006/main" count="5294" uniqueCount="1356">
  <si>
    <t>Order Date</t>
  </si>
  <si>
    <t>Customer Name</t>
  </si>
  <si>
    <t>State</t>
  </si>
  <si>
    <t>Category</t>
  </si>
  <si>
    <t>Sub-Category</t>
  </si>
  <si>
    <t>Product Name</t>
  </si>
  <si>
    <t>Sales</t>
  </si>
  <si>
    <t>Quantity</t>
  </si>
  <si>
    <t>Profit</t>
  </si>
  <si>
    <t>Darren Powers</t>
  </si>
  <si>
    <t>Texas</t>
  </si>
  <si>
    <t>Office Supplies</t>
  </si>
  <si>
    <t>Paper</t>
  </si>
  <si>
    <t>Message Book, Wirebound, Four 5 1/2" X 4" Forms/Pg., 200 Dupl. Sets/Book</t>
  </si>
  <si>
    <t>Phillina Ober</t>
  </si>
  <si>
    <t>Illinois</t>
  </si>
  <si>
    <t>Labels</t>
  </si>
  <si>
    <t>Avery 508</t>
  </si>
  <si>
    <t>Storage</t>
  </si>
  <si>
    <t>SAFCO Boltless Steel Shelving</t>
  </si>
  <si>
    <t>Binders</t>
  </si>
  <si>
    <t>GBC Standard Plastic Binding Systems Combs</t>
  </si>
  <si>
    <t>Mick Brown</t>
  </si>
  <si>
    <t>Pennsylvania</t>
  </si>
  <si>
    <t>Art</t>
  </si>
  <si>
    <t>Avery Hi-Liter EverBold Pen Style Fluorescent Highlighters, 4/Pack</t>
  </si>
  <si>
    <t>Lycoris Saunders</t>
  </si>
  <si>
    <t>California</t>
  </si>
  <si>
    <t>Xerox 225</t>
  </si>
  <si>
    <t>Jack O'Briant</t>
  </si>
  <si>
    <t>Georgia</t>
  </si>
  <si>
    <t>Maria Etezadi</t>
  </si>
  <si>
    <t>Kentucky</t>
  </si>
  <si>
    <t>Furniture</t>
  </si>
  <si>
    <t>Chairs</t>
  </si>
  <si>
    <t>Global Deluxe High-Back Manager's Chair</t>
  </si>
  <si>
    <t>Ibico Hi-Tech Manual Binding System</t>
  </si>
  <si>
    <t>Rogers Handheld Barrel Pencil Sharpener</t>
  </si>
  <si>
    <t>Technology</t>
  </si>
  <si>
    <t>Phones</t>
  </si>
  <si>
    <t>GE 30524EE4</t>
  </si>
  <si>
    <t>Wireless Extenders zBoost YX545 SOHO Signal Booster</t>
  </si>
  <si>
    <t>Fasteners</t>
  </si>
  <si>
    <t>Vivek Sundaresam</t>
  </si>
  <si>
    <t>Furnishings</t>
  </si>
  <si>
    <t>Howard Miller 14-1/2" Diameter Chrome Round Wall Clock</t>
  </si>
  <si>
    <t>Melanie Seite</t>
  </si>
  <si>
    <t>Newell 312</t>
  </si>
  <si>
    <t>Accessories</t>
  </si>
  <si>
    <t>Memorex Micro Travel Drive 8 GB</t>
  </si>
  <si>
    <t>Anthony Jacobs</t>
  </si>
  <si>
    <t>Virginia</t>
  </si>
  <si>
    <t>Avery 482</t>
  </si>
  <si>
    <t>Seth Vernon</t>
  </si>
  <si>
    <t>Delaware</t>
  </si>
  <si>
    <t>DAX Value U-Channel Document Frames, Easel Back</t>
  </si>
  <si>
    <t>Chris Selesnick</t>
  </si>
  <si>
    <t>Louisiana</t>
  </si>
  <si>
    <t>Envelopes</t>
  </si>
  <si>
    <t>Staple envelope</t>
  </si>
  <si>
    <t>Plantronics S12 Corded Telephone Headset System</t>
  </si>
  <si>
    <t>3-ring staple pack</t>
  </si>
  <si>
    <t>Natalie DeCherney</t>
  </si>
  <si>
    <t>South Carolina</t>
  </si>
  <si>
    <t>Brian Dahlen</t>
  </si>
  <si>
    <t>Bookcases</t>
  </si>
  <si>
    <t>O'Sullivan Elevations Bookcase, Cherry Finish</t>
  </si>
  <si>
    <t>Michael Moore</t>
  </si>
  <si>
    <t>Ohio</t>
  </si>
  <si>
    <t>Avery Metallic Poly Binders</t>
  </si>
  <si>
    <t>Brendan Sweed</t>
  </si>
  <si>
    <t>Sauder Cornerstone Collection Library</t>
  </si>
  <si>
    <t>Erica Hackney</t>
  </si>
  <si>
    <t>Logitech 910-002974 M325 Wireless Mouse for Web Scrolling</t>
  </si>
  <si>
    <t>Delfina Latchford</t>
  </si>
  <si>
    <t>DAX Black Cherry Wood-Tone Poster Frame</t>
  </si>
  <si>
    <t>AT&amp;T 841000 Phone</t>
  </si>
  <si>
    <t>GBC Linen Binding Covers</t>
  </si>
  <si>
    <t>David Wiener</t>
  </si>
  <si>
    <t>Oregon</t>
  </si>
  <si>
    <t>Appliances</t>
  </si>
  <si>
    <t>Fellowes Mighty 8 Compact Surge Protector</t>
  </si>
  <si>
    <t>Toby Swindell</t>
  </si>
  <si>
    <t>Arizona</t>
  </si>
  <si>
    <t>GBC Standard Recycled Report Covers, Clear Plastic Sheets</t>
  </si>
  <si>
    <t>Tyvek  Top-Opening Peel &amp; Seel Envelopes, Plain White</t>
  </si>
  <si>
    <t>Hunter Lopez</t>
  </si>
  <si>
    <t>Arkansas</t>
  </si>
  <si>
    <t>Apple iPhone 5C</t>
  </si>
  <si>
    <t>Eldon Expressions Desk Accessory, Wood Pencil Holder, Oak</t>
  </si>
  <si>
    <t>Hon 4700 Series Mobuis Mid-Back Task Chairs with Adjustable Arms</t>
  </si>
  <si>
    <t>Mark Van Huff</t>
  </si>
  <si>
    <t>Wirebound Service Call Books, 5 1/2" x 4"</t>
  </si>
  <si>
    <t>Xylona Preis</t>
  </si>
  <si>
    <t>Michigan</t>
  </si>
  <si>
    <t>Eldon ClusterMat Chair Mat with Cordless Antistatic Protection</t>
  </si>
  <si>
    <t>Holmes Replacement Filter for HEPA Air Cleaner, Very Large Room, HEPA Filter</t>
  </si>
  <si>
    <t>Storex Dura Pro Binders</t>
  </si>
  <si>
    <t>Tennessee</t>
  </si>
  <si>
    <t>GBC DocuBind TL200 Manual Binding Machine</t>
  </si>
  <si>
    <t>Tom Boeckenhauer</t>
  </si>
  <si>
    <t>Florida</t>
  </si>
  <si>
    <t>Ultra Door Pull Handle</t>
  </si>
  <si>
    <t>Ionia McGrath</t>
  </si>
  <si>
    <t>Nevada</t>
  </si>
  <si>
    <t>Xerox 195</t>
  </si>
  <si>
    <t>Speros Goranitis</t>
  </si>
  <si>
    <t>Indiana</t>
  </si>
  <si>
    <t>Shirley Daniels</t>
  </si>
  <si>
    <t>GE General Use Halogen Bulbs, 100 Watts, 1 Bulb per Pack</t>
  </si>
  <si>
    <t>SAFCO Commercial Wire Shelving, 72h</t>
  </si>
  <si>
    <t>Macally Suction Cup Mount</t>
  </si>
  <si>
    <t>Jabra SPEAK 410</t>
  </si>
  <si>
    <t>South Dakota</t>
  </si>
  <si>
    <t>Wilson Jones 14 Line Acrylic Coated Pressboard Data Binders</t>
  </si>
  <si>
    <t>Safco Value Mate Series Steel Bookcases, Baked Enamel Finish on Steel, Gray</t>
  </si>
  <si>
    <t>Ed Jacobs</t>
  </si>
  <si>
    <t>Recycled Steel Personal File for Hanging File Folders</t>
  </si>
  <si>
    <t>Tables</t>
  </si>
  <si>
    <t>Jasper Cacioppo</t>
  </si>
  <si>
    <t>New York</t>
  </si>
  <si>
    <t>Pressboard Covers with Storage Hooks, 9 1/2" x 11", Light Blue</t>
  </si>
  <si>
    <t>Mike Vittorini</t>
  </si>
  <si>
    <t>Xerox 1972</t>
  </si>
  <si>
    <t>Liz Carlisle</t>
  </si>
  <si>
    <t>Sauder Facets Collection Library, Sky Alder Finish</t>
  </si>
  <si>
    <t>Bradley Drucker</t>
  </si>
  <si>
    <t>Wisconsin</t>
  </si>
  <si>
    <t>Enermax Aurora Lite Keyboard</t>
  </si>
  <si>
    <t>Cynthia Delaney</t>
  </si>
  <si>
    <t>Staples</t>
  </si>
  <si>
    <t>Eric Barreto</t>
  </si>
  <si>
    <t>Surelock Post Binders</t>
  </si>
  <si>
    <t>AT&amp;T 17929 Lendline Telephone</t>
  </si>
  <si>
    <t>Washington</t>
  </si>
  <si>
    <t>Ibico Laser Imprintable Binding System Covers</t>
  </si>
  <si>
    <t>Deborah Brumfield</t>
  </si>
  <si>
    <t>GBC Recycled Grain Textured Covers</t>
  </si>
  <si>
    <t>Neil Ducich</t>
  </si>
  <si>
    <t>Avery 480</t>
  </si>
  <si>
    <t>Aastra 57i VoIP phone</t>
  </si>
  <si>
    <t>Cyma Kinney</t>
  </si>
  <si>
    <t>New Jersey</t>
  </si>
  <si>
    <t>Maxell DVD-RAM Discs</t>
  </si>
  <si>
    <t>Nathan Mautz</t>
  </si>
  <si>
    <t>Master Caster Door Stop, Large Brown</t>
  </si>
  <si>
    <t>Natalie Fritzler</t>
  </si>
  <si>
    <t>Guy Armstrong</t>
  </si>
  <si>
    <t>Missouri</t>
  </si>
  <si>
    <t>Global Value Mid-Back Manager's Chair, Gray</t>
  </si>
  <si>
    <t>Avery 483</t>
  </si>
  <si>
    <t>Wilson Jones Turn Tabs Binder Tool for Ring Binders</t>
  </si>
  <si>
    <t>Rubbermaid ClusterMat Chairmats, Mat Size- 66" x 60", Lip 20" x 11" -90 Degree Angle</t>
  </si>
  <si>
    <t>Sanjit Chand</t>
  </si>
  <si>
    <t>Global Geo Office Task Chair, Gray</t>
  </si>
  <si>
    <t>Shui Tom</t>
  </si>
  <si>
    <t>Memo Book, 100 Message Capacity, 5 3/8 x 11</t>
  </si>
  <si>
    <t>Belkin 8 Outlet Surge Protector</t>
  </si>
  <si>
    <t>Supplies</t>
  </si>
  <si>
    <t>Compact Automatic Electric Letter Opener</t>
  </si>
  <si>
    <t>Barry Französisch</t>
  </si>
  <si>
    <t>Pressboard Data Binders by Wilson Jones</t>
  </si>
  <si>
    <t>Michael Nguyen</t>
  </si>
  <si>
    <t>Wilson Jones Easy Flow II Sheet Lifters</t>
  </si>
  <si>
    <t>Holmes Cool Mist Humidifier for the Whole House with 8-Gallon Output per Day, Extended Life Filter</t>
  </si>
  <si>
    <t>Staples in misc. colors</t>
  </si>
  <si>
    <t>Troy Blackwell</t>
  </si>
  <si>
    <t>DAX Copper Panel Document Frame, 5 x 7 Size</t>
  </si>
  <si>
    <t>Aaron Bergman</t>
  </si>
  <si>
    <t>Linda Cazamias</t>
  </si>
  <si>
    <t>Enermax Briskie RF Wireless Keyboard and Mouse Combo</t>
  </si>
  <si>
    <t>Master Caster Door Stop, Brown</t>
  </si>
  <si>
    <t>Steven Roelle</t>
  </si>
  <si>
    <t>Tamara Manning</t>
  </si>
  <si>
    <t>Sue Ann Reed</t>
  </si>
  <si>
    <t>Michael Grace</t>
  </si>
  <si>
    <t>Staple-on labels</t>
  </si>
  <si>
    <t>GBC Plastic Binding Combs</t>
  </si>
  <si>
    <t>Joy Smith</t>
  </si>
  <si>
    <t>Zebra Zazzle Fluorescent Highlighters</t>
  </si>
  <si>
    <t>Dave Brooks</t>
  </si>
  <si>
    <t>Novimex Swivel Fabric Task Chair</t>
  </si>
  <si>
    <t>Harbour Creations Steel Folding Chair</t>
  </si>
  <si>
    <t>Giulietta Weimer</t>
  </si>
  <si>
    <t>Kristina Nunn</t>
  </si>
  <si>
    <t>Array Parchment Paper, Assorted Colors</t>
  </si>
  <si>
    <t>Nicole Hansen</t>
  </si>
  <si>
    <t>North Carolina</t>
  </si>
  <si>
    <t>Jill Stevenson</t>
  </si>
  <si>
    <t>Sam Craven</t>
  </si>
  <si>
    <t>Clay Ludtke</t>
  </si>
  <si>
    <t>Sensible Storage WireTech Storage Systems</t>
  </si>
  <si>
    <t>Aimee Bixby</t>
  </si>
  <si>
    <t>Newell 345</t>
  </si>
  <si>
    <t>Global Push Button Manager's Chair, Indigo</t>
  </si>
  <si>
    <t>Carina 42"Hx23 3/4"W Media Storage Unit</t>
  </si>
  <si>
    <t>Global Leather and Oak Executive Chair, Black</t>
  </si>
  <si>
    <t>Scott Williamson</t>
  </si>
  <si>
    <t>Geographics Note Cards, Blank, White, 8 1/2" x 11"</t>
  </si>
  <si>
    <t>Kean Thornton</t>
  </si>
  <si>
    <t>Colorado</t>
  </si>
  <si>
    <t>BOSTON Ranger #55 Pencil Sharpener, Black</t>
  </si>
  <si>
    <t>Chloris Kastensmidt</t>
  </si>
  <si>
    <t>Eldon Wave Desk Accessories</t>
  </si>
  <si>
    <t>Filia McAdams</t>
  </si>
  <si>
    <t>Fellowes Premier Superior Surge Suppressor, 10-Outlet, With Phone and Remote</t>
  </si>
  <si>
    <t>Panasonic KX-TG9471B</t>
  </si>
  <si>
    <t>Richard Bierner</t>
  </si>
  <si>
    <t>Dean Katz</t>
  </si>
  <si>
    <t>Christine Kargatis</t>
  </si>
  <si>
    <t>Global Commerce Series High-Back Swivel/Tilt Chairs</t>
  </si>
  <si>
    <t>Utah</t>
  </si>
  <si>
    <t>Carina Double Wide Media Storage Towers in Natural &amp; Black</t>
  </si>
  <si>
    <t>Rick Bensley</t>
  </si>
  <si>
    <t>Machines</t>
  </si>
  <si>
    <t>Hewlett-Packard Deskjet 6540 Color Inkjet Printer</t>
  </si>
  <si>
    <t>Alan Shonely</t>
  </si>
  <si>
    <t>Hot File 7-Pocket, Floor Stand</t>
  </si>
  <si>
    <t>Insertable Tab Post Binder Dividers</t>
  </si>
  <si>
    <t>Polycom VoiceStation 500 Conference phone</t>
  </si>
  <si>
    <t>Bradley Nguyen</t>
  </si>
  <si>
    <t>Minnesota</t>
  </si>
  <si>
    <t>Bionaire Personal Warm Mist Humidifier/Vaporizer</t>
  </si>
  <si>
    <t>Avery Non-Stick Heavy Duty View Round Locking Ring Binders</t>
  </si>
  <si>
    <t>Christine Phan</t>
  </si>
  <si>
    <t>Balt Solid Wood Round Tables</t>
  </si>
  <si>
    <t>Annie Zypern</t>
  </si>
  <si>
    <t>Mississippi</t>
  </si>
  <si>
    <t>GBC Twin Loop Wire Binding Elements, 9/16" Spine, Black</t>
  </si>
  <si>
    <t>Belkin 6 Outlet Metallic Surge Strip</t>
  </si>
  <si>
    <t>Xerox 1909</t>
  </si>
  <si>
    <t>Sean Miller</t>
  </si>
  <si>
    <t>Executive Impressions 13" Clairmont Wall Clock</t>
  </si>
  <si>
    <t>Dana Fluorescent Magnifying Lamp, White, 36"</t>
  </si>
  <si>
    <t>Sample Company A</t>
  </si>
  <si>
    <t>Matt Connell</t>
  </si>
  <si>
    <t>Cisco 8x8 Inc. 6753i IP Business Phone System</t>
  </si>
  <si>
    <t>Avery 501</t>
  </si>
  <si>
    <t>Cassandra Brandow</t>
  </si>
  <si>
    <t>Binney &amp; Smith Crayola Metallic Colored Pencils, 8-Color Set</t>
  </si>
  <si>
    <t>Thomas Seio</t>
  </si>
  <si>
    <t>Kristen Hastings</t>
  </si>
  <si>
    <t>American Pencil</t>
  </si>
  <si>
    <t>Gary McGarr</t>
  </si>
  <si>
    <t>Avery 505</t>
  </si>
  <si>
    <t>Craig Carroll</t>
  </si>
  <si>
    <t>C-Line Peel &amp; Stick Add-On Filing Pockets, 8-3/4 x 5-1/8, 10/Pack</t>
  </si>
  <si>
    <t>Office Star - Mesh Screen back chair with Vinyl seat</t>
  </si>
  <si>
    <t>Patrick O'Donnell</t>
  </si>
  <si>
    <t>Economy Rollaway Files</t>
  </si>
  <si>
    <t>Ooma Telo VoIP Home Phone System</t>
  </si>
  <si>
    <t>Avery 476</t>
  </si>
  <si>
    <t>Carlos Daly</t>
  </si>
  <si>
    <t>Xerox 190</t>
  </si>
  <si>
    <t>Maurice Satty</t>
  </si>
  <si>
    <t>Iceberg Nesting Folding Chair, 19w x 6d x 43h</t>
  </si>
  <si>
    <t>Christina Anderson</t>
  </si>
  <si>
    <t>Jonathan Doherty</t>
  </si>
  <si>
    <t>SanDisk Ultra 32 GB MicroSDHC Class 10 Memory Card</t>
  </si>
  <si>
    <t>Damala Kotsonis</t>
  </si>
  <si>
    <t>Cindy Stewart</t>
  </si>
  <si>
    <t>Christina VanderZanden</t>
  </si>
  <si>
    <t>Iowa</t>
  </si>
  <si>
    <t>Poly String Tie Envelopes</t>
  </si>
  <si>
    <t>New Mexico</t>
  </si>
  <si>
    <t>AT&amp;T TR1909W</t>
  </si>
  <si>
    <t>Mike Pelletier</t>
  </si>
  <si>
    <t>Chromcraft Bull-Nose Wood Oval Conference Tables &amp; Bases</t>
  </si>
  <si>
    <t>Mike Gockenbach</t>
  </si>
  <si>
    <t>Bush Advantage Collection Racetrack Conference Table</t>
  </si>
  <si>
    <t>Kunst Miller</t>
  </si>
  <si>
    <t>Peel-Off China Markers</t>
  </si>
  <si>
    <t>Dorris liebe</t>
  </si>
  <si>
    <t>Avery 490</t>
  </si>
  <si>
    <t>Mark Packer</t>
  </si>
  <si>
    <t>Innergie mMini Combo Duo USB Travel Charging Kit</t>
  </si>
  <si>
    <t>Global Stack Chair without Arms, Black</t>
  </si>
  <si>
    <t>Nat Carroll</t>
  </si>
  <si>
    <t>Alex Avila</t>
  </si>
  <si>
    <t>GBC DocuBind 200 Manual Binding Machine</t>
  </si>
  <si>
    <t>Jas O'Carroll</t>
  </si>
  <si>
    <t>Fellowes Black Plastic Comb Bindings</t>
  </si>
  <si>
    <t>Karen Bern</t>
  </si>
  <si>
    <t>Avery Hole Reinforcements</t>
  </si>
  <si>
    <t>Trudy Glocke</t>
  </si>
  <si>
    <t>Global Leather Highback Executive Chair with Pneumatic Height Adjustment, Black</t>
  </si>
  <si>
    <t>Katharine Harms</t>
  </si>
  <si>
    <t>Massachusetts</t>
  </si>
  <si>
    <t>Rogers Profile Extra Capacity Storage Tub</t>
  </si>
  <si>
    <t>Zipper Ring Binder Pockets</t>
  </si>
  <si>
    <t>Rob Dowd</t>
  </si>
  <si>
    <t>Xerox 1990</t>
  </si>
  <si>
    <t>Xerox 1898</t>
  </si>
  <si>
    <t>Anna Häberlin</t>
  </si>
  <si>
    <t>Katrina Edelman</t>
  </si>
  <si>
    <t>Paul Knutson</t>
  </si>
  <si>
    <t>Avery 518</t>
  </si>
  <si>
    <t>Advantus Panel Wall Acrylic Frame</t>
  </si>
  <si>
    <t>Mary Zewe</t>
  </si>
  <si>
    <t>Avery Non-Stick Binders</t>
  </si>
  <si>
    <t>Ken Black</t>
  </si>
  <si>
    <t>Tracy Hopkins</t>
  </si>
  <si>
    <t>Eaton Premium Continuous-Feed Paper, 25% Cotton, Letter Size, White, 1000 Shts/Box</t>
  </si>
  <si>
    <t>Greg Maxwell</t>
  </si>
  <si>
    <t>Crayola Colored Pencils</t>
  </si>
  <si>
    <t>John Grady</t>
  </si>
  <si>
    <t>Adjustable Personal File Tote</t>
  </si>
  <si>
    <t>Ruben Dartt</t>
  </si>
  <si>
    <t>Stanley Contemporary Battery Pencil Sharpeners</t>
  </si>
  <si>
    <t>Roy Phan</t>
  </si>
  <si>
    <t>Guy Phonely</t>
  </si>
  <si>
    <t>Large Capacity Hanging Post Binders</t>
  </si>
  <si>
    <t>Martin-Yale Premier Letter Opener</t>
  </si>
  <si>
    <t>KI Adjustable-Height Table</t>
  </si>
  <si>
    <t>Scott Cohen</t>
  </si>
  <si>
    <t>Kingston Digital DataTraveler 32GB USB 2.0</t>
  </si>
  <si>
    <t>C-Line Cubicle Keepers Polyproplyene Holder With Velcro Backings</t>
  </si>
  <si>
    <t>Xerox 211</t>
  </si>
  <si>
    <t>Xerox 194</t>
  </si>
  <si>
    <t>Pauline Johnson</t>
  </si>
  <si>
    <t>Alabama</t>
  </si>
  <si>
    <t>Stacking Tray, Side-Loading, Legal, Smoke</t>
  </si>
  <si>
    <t>Xerox 1945</t>
  </si>
  <si>
    <t>Valerie Mitchum</t>
  </si>
  <si>
    <t>Jim Mitchum</t>
  </si>
  <si>
    <t>Binder Clips by OIC</t>
  </si>
  <si>
    <t>Ruben Ausman</t>
  </si>
  <si>
    <t>SAFCO PlanMaster Boards, 60w x 37-1/2d, White Melamine</t>
  </si>
  <si>
    <t>Pauline Chand</t>
  </si>
  <si>
    <t>Bevis 36 x 72 Conference Tables</t>
  </si>
  <si>
    <t>John Stevenson</t>
  </si>
  <si>
    <t>Jay Kimmel</t>
  </si>
  <si>
    <t>Acco Banker's Clasps, 5 3/4"-Long</t>
  </si>
  <si>
    <t>Xerox 224</t>
  </si>
  <si>
    <t>Idaho</t>
  </si>
  <si>
    <t>GBC Personal VeloBind Strips</t>
  </si>
  <si>
    <t>Gary Mitchum</t>
  </si>
  <si>
    <t>Montana</t>
  </si>
  <si>
    <t>Kean Nguyen</t>
  </si>
  <si>
    <t>Pyle PMP37LED</t>
  </si>
  <si>
    <t>AT&amp;T 1080 Corded phone</t>
  </si>
  <si>
    <t>Newell 314</t>
  </si>
  <si>
    <t>Fellowes PB200 Plastic Comb Binding Machine</t>
  </si>
  <si>
    <t>Ben Ferrer</t>
  </si>
  <si>
    <t>Maryland</t>
  </si>
  <si>
    <t>Paul Stevenson</t>
  </si>
  <si>
    <t>Belkin F9G930V10-GRY 9 Outlet Surge</t>
  </si>
  <si>
    <t>Howard Miller 13" Diameter Goldtone Round Wall Clock</t>
  </si>
  <si>
    <t>Stephanie Phelps</t>
  </si>
  <si>
    <t>John Lee</t>
  </si>
  <si>
    <t>Ativa MDM8000 8-Sheet Micro-Cut Shredder</t>
  </si>
  <si>
    <t>Prang Dustless Chalk Sticks</t>
  </si>
  <si>
    <t>DMI Arturo Collection Mission-style Design Wood Chair</t>
  </si>
  <si>
    <t>Cameo Buff Policy Envelopes</t>
  </si>
  <si>
    <t>Nicole Fjeld</t>
  </si>
  <si>
    <t>Executive Impressions 13" Chairman Wall Clock</t>
  </si>
  <si>
    <t>Allen Goldenen</t>
  </si>
  <si>
    <t>GBC Durable Plastic Covers</t>
  </si>
  <si>
    <t>Bush Advantage Collection Round Conference Table</t>
  </si>
  <si>
    <t>Allen Armold</t>
  </si>
  <si>
    <t>SAFCO Commercial Wire Shelving, Black</t>
  </si>
  <si>
    <t>Aaron Hawkins</t>
  </si>
  <si>
    <t>ACCOHIDE 3-Ring Binder, Blue, 1"</t>
  </si>
  <si>
    <t>Theresa Swint</t>
  </si>
  <si>
    <t>Wilson Jones Suede Grain Vinyl Binders</t>
  </si>
  <si>
    <t>G.E. Halogen Desk Lamp Bulbs</t>
  </si>
  <si>
    <t>Dianna Arnett</t>
  </si>
  <si>
    <t>Xerox 1985</t>
  </si>
  <si>
    <t>Aleksandra Gannaway</t>
  </si>
  <si>
    <t>Bevis Steel Folding Chairs</t>
  </si>
  <si>
    <t>Muhammed Yedwab</t>
  </si>
  <si>
    <t>Acco Data Flex Cable Posts For Top &amp; Bottom Load Binders, 6" Capacity</t>
  </si>
  <si>
    <t>Blackstonian Pencils</t>
  </si>
  <si>
    <t>Avery 488</t>
  </si>
  <si>
    <t>George Bell</t>
  </si>
  <si>
    <t>X-Rack File for Hanging Folders</t>
  </si>
  <si>
    <t>Arianne Irving</t>
  </si>
  <si>
    <t>Samsung Galaxy Mega 6.3</t>
  </si>
  <si>
    <t>David Smith</t>
  </si>
  <si>
    <t>Lauren Leatherbury</t>
  </si>
  <si>
    <t>Dax Clear Box Frame</t>
  </si>
  <si>
    <t>Laura Armstrong</t>
  </si>
  <si>
    <t>2300 Heavy-Duty Transfer File Systems by Perma</t>
  </si>
  <si>
    <t>Katherine Hughes</t>
  </si>
  <si>
    <t>Maxell 4.7GB DVD-RW 3/Pack</t>
  </si>
  <si>
    <t>Justin MacKendrick</t>
  </si>
  <si>
    <t>Andrew Roberts</t>
  </si>
  <si>
    <t>Cari Schnelling</t>
  </si>
  <si>
    <t>Copiers</t>
  </si>
  <si>
    <t>Joni Sundaresam</t>
  </si>
  <si>
    <t>Avery 481</t>
  </si>
  <si>
    <t>Avery Durable Plastic 1" Binders</t>
  </si>
  <si>
    <t>Paul MacIntyre</t>
  </si>
  <si>
    <t>Fellowes Binding Cases</t>
  </si>
  <si>
    <t>Connecticut</t>
  </si>
  <si>
    <t>Eldon Regeneration Recycled Desk Accessories, Smoke</t>
  </si>
  <si>
    <t>Holmes Odor Grabber</t>
  </si>
  <si>
    <t>Peter Fuller</t>
  </si>
  <si>
    <t>Adams "While You Were Out" Message Pads</t>
  </si>
  <si>
    <t>Newell 350</t>
  </si>
  <si>
    <t>Emily Burns</t>
  </si>
  <si>
    <t>Eldon Portable Mobile Manager</t>
  </si>
  <si>
    <t>Easy-staple paper</t>
  </si>
  <si>
    <t>Harold Pawlan</t>
  </si>
  <si>
    <t>Wilson Jones Legal Size Ring Binders</t>
  </si>
  <si>
    <t>Steve Nguyen</t>
  </si>
  <si>
    <t>Model L Table or Wall-Mount Pencil Sharpener</t>
  </si>
  <si>
    <t>Carol Triggs</t>
  </si>
  <si>
    <t>Acco PRESSTEX Data Binder with Storage Hooks, Dark Blue, 14 7/8" X 11"</t>
  </si>
  <si>
    <t>Lifetime Advantage Folding Chairs, 4/Carton</t>
  </si>
  <si>
    <t>Hewlett Packard LaserJet 3310 Copier</t>
  </si>
  <si>
    <t>Patrick Gardner</t>
  </si>
  <si>
    <t>Sean Braxton</t>
  </si>
  <si>
    <t>Fellowes Super Stor/Drawer</t>
  </si>
  <si>
    <t>Avery 506</t>
  </si>
  <si>
    <t>Strathmore #10 Envelopes, Ultimate White</t>
  </si>
  <si>
    <t>LF Elite 3D Dazzle Designer Hard Case Cover, Lf Stylus Pen and Wiper For Apple Iphone 5c Mini Lite</t>
  </si>
  <si>
    <t>Paul Gonzalez</t>
  </si>
  <si>
    <t>SanDisk Cruzer 64 GB USB Flash Drive</t>
  </si>
  <si>
    <t>Deflect-o EconoMat Studded, No Bevel Mat for Low Pile Carpeting</t>
  </si>
  <si>
    <t>Logitech ClearChat Comfort/USB Headset H390</t>
  </si>
  <si>
    <t>Staple holder</t>
  </si>
  <si>
    <t>Victoria Wilson</t>
  </si>
  <si>
    <t>Hon Multipurpose Stacking Arm Chairs</t>
  </si>
  <si>
    <t>Alejandro Grove</t>
  </si>
  <si>
    <t>GBC DocuBind P100 Manual Binding Machine</t>
  </si>
  <si>
    <t>Naresj Patel</t>
  </si>
  <si>
    <t>Plantronics Audio 478 Stereo USB Headset</t>
  </si>
  <si>
    <t>Anthony Johnson</t>
  </si>
  <si>
    <t>Electrix Halogen Magnifier Lamp</t>
  </si>
  <si>
    <t>Imation Clip USB flash drive - 8 GB</t>
  </si>
  <si>
    <t>Pete Armstrong</t>
  </si>
  <si>
    <t>Bruce Stewart</t>
  </si>
  <si>
    <t>Apple iPhone 5</t>
  </si>
  <si>
    <t>Ted Trevino</t>
  </si>
  <si>
    <t>Deflect-o Glass Clear Studded Chair Mats</t>
  </si>
  <si>
    <t>Xerox 1949</t>
  </si>
  <si>
    <t>George Ashbrook</t>
  </si>
  <si>
    <t>John Huston</t>
  </si>
  <si>
    <t>Avery Heavy-Duty EZD View Binder with Locking Rings</t>
  </si>
  <si>
    <t>Tamara Dahlen</t>
  </si>
  <si>
    <t>Randy Ferguson</t>
  </si>
  <si>
    <t>New Hampshire</t>
  </si>
  <si>
    <t>Acco 6 Outlet Guardian Basic Surge Suppressor</t>
  </si>
  <si>
    <t>24-Hour Round Wall Clock</t>
  </si>
  <si>
    <t>SanDisk Ultra 16 GB MicroSDHC Class 10 Memory Card</t>
  </si>
  <si>
    <t>Mitch Willingham</t>
  </si>
  <si>
    <t>Fellowes PB300 Plastic Comb Binding Machine</t>
  </si>
  <si>
    <t>Frank Gastineau</t>
  </si>
  <si>
    <t>GBC ProClick Punch Binding System</t>
  </si>
  <si>
    <t>Global Deluxe Steno Chair</t>
  </si>
  <si>
    <t>Ibico Plastic Spiral Binding Combs</t>
  </si>
  <si>
    <t>Evan Henry</t>
  </si>
  <si>
    <t>Nortel Networks T7316 E Nt8 B27</t>
  </si>
  <si>
    <t>Angle-D Ring Binders</t>
  </si>
  <si>
    <t>Motorola L804</t>
  </si>
  <si>
    <t>Xerox 1999</t>
  </si>
  <si>
    <t>Resi Pölking</t>
  </si>
  <si>
    <t>Xerox 1944</t>
  </si>
  <si>
    <t>Janet Lee</t>
  </si>
  <si>
    <t>Harmony Air Purifier</t>
  </si>
  <si>
    <t>Strathmore Photo Frame Cards</t>
  </si>
  <si>
    <t>Sauder Inglewood Library Bookcases</t>
  </si>
  <si>
    <t>Hon Olson Stacker Stools</t>
  </si>
  <si>
    <t>Dean percer</t>
  </si>
  <si>
    <t>Maya Herman</t>
  </si>
  <si>
    <t>KI Conference Tables</t>
  </si>
  <si>
    <t>Fellowes Officeware Wire Shelving</t>
  </si>
  <si>
    <t>Laurel Elliston</t>
  </si>
  <si>
    <t>Patrick Jones</t>
  </si>
  <si>
    <t>I Need's 3d Hello Kitty Hybrid Silicone Case Cover for HTC One X 4g with 3d Hello Kitty Stylus Pen Green/pink</t>
  </si>
  <si>
    <t>Ellis Ballard</t>
  </si>
  <si>
    <t>Ampad Poly Cover Wirebound Steno Book, 6" x 9" Assorted Colors, Gregg Ruled</t>
  </si>
  <si>
    <t>Chromcraft Rectangular Conference Tables</t>
  </si>
  <si>
    <t>Honeywell Quietcare HEPA Air Cleaner</t>
  </si>
  <si>
    <t>Jim Karlsson</t>
  </si>
  <si>
    <t>Samsung Galaxy Note 3</t>
  </si>
  <si>
    <t>Dianna Wilson</t>
  </si>
  <si>
    <t>Honeywell Enviracaire Portable HEPA Air Cleaner for 17' x 22' Room</t>
  </si>
  <si>
    <t>Xerox 205</t>
  </si>
  <si>
    <t>Liz Thompson</t>
  </si>
  <si>
    <t>Wilson Jones Heavy-Duty Casebound Ring Binders with Metal Hinges</t>
  </si>
  <si>
    <t>Acco 6 Outlet Guardian Premium Surge Suppressor</t>
  </si>
  <si>
    <t>GBC Standard Therm-A-Bind Covers</t>
  </si>
  <si>
    <t>Steven Cartwright</t>
  </si>
  <si>
    <t>Ross Baird</t>
  </si>
  <si>
    <t>Bobby Trafton</t>
  </si>
  <si>
    <t>O'Sullivan Living Dimensions 5-Shelf Bookcases</t>
  </si>
  <si>
    <t>Bryan Mills</t>
  </si>
  <si>
    <t>Sanford Liquid Accent Highlighters</t>
  </si>
  <si>
    <t>Grant Thornton</t>
  </si>
  <si>
    <t>Wilson Jones Century Plastic Molded Ring Binders</t>
  </si>
  <si>
    <t>Bart Pistole</t>
  </si>
  <si>
    <t>Carlos Soltero</t>
  </si>
  <si>
    <t>Hon Deluxe Fabric Upholstered Stacking Chairs, Squared Back</t>
  </si>
  <si>
    <t>Situations Contoured Folding Chairs, 4/Set</t>
  </si>
  <si>
    <t>Rick Duston</t>
  </si>
  <si>
    <t>Tennsco Snap-Together Open Shelving Units, Starter Sets and Add-On Units</t>
  </si>
  <si>
    <t>Brosina Hoffman</t>
  </si>
  <si>
    <t>Eldon Expressions Wood and Plastic Desk Accessories, Cherry Wood</t>
  </si>
  <si>
    <t>DXL Angle-View Binders with Locking Rings by Samsill</t>
  </si>
  <si>
    <t>Belkin F5C206VTEL 6 Outlet Surge</t>
  </si>
  <si>
    <t>Carl Weiss</t>
  </si>
  <si>
    <t>Boston 1645 Deluxe Heavier-Duty Electric Pencil Sharpener</t>
  </si>
  <si>
    <t>Staple remover</t>
  </si>
  <si>
    <t>Bevis 44 x 96 Conference Tables</t>
  </si>
  <si>
    <t>Heather Kirkland</t>
  </si>
  <si>
    <t>Dot Matrix Printer Tape Reel Labels, White, 5000/Box</t>
  </si>
  <si>
    <t>Sharelle Roach</t>
  </si>
  <si>
    <t>Hon Metal Bookcases, Gray</t>
  </si>
  <si>
    <t>Kelly Lampkin</t>
  </si>
  <si>
    <t>Lesro Sheffield Collection Coffee Table, End Table, Center Table, Corner Table</t>
  </si>
  <si>
    <t>Duane Benoit</t>
  </si>
  <si>
    <t>Texas Instruments TI-34 Scientific Calculator</t>
  </si>
  <si>
    <t>Mick Crebagga</t>
  </si>
  <si>
    <t>Plantronics Cordless Phone Headset with In-line Volume - M214C</t>
  </si>
  <si>
    <t>HTC One Mini</t>
  </si>
  <si>
    <t>Corey-Lock</t>
  </si>
  <si>
    <t>Oklahoma</t>
  </si>
  <si>
    <t>Luxo Professional Magnifying Clamp-On Fluorescent Lamps</t>
  </si>
  <si>
    <t>Recycled Eldon Regeneration Jumbo File</t>
  </si>
  <si>
    <t>Newell 341</t>
  </si>
  <si>
    <t>Avery Trapezoid Extra Heavy Duty 4" Binders</t>
  </si>
  <si>
    <t>Toby Braunhardt</t>
  </si>
  <si>
    <t>Joel Eaton</t>
  </si>
  <si>
    <t>KeyTronic 6101 Series - Keyboard - Black</t>
  </si>
  <si>
    <t>Dianna Vittorini</t>
  </si>
  <si>
    <t>Anna Andreadi</t>
  </si>
  <si>
    <t>Padded Folding Chairs, Black, 4/Carton</t>
  </si>
  <si>
    <t>Panasonic Kx-TS550</t>
  </si>
  <si>
    <t>Hon Deluxe Fabric Upholstered Stacking Chairs, Rounded Back</t>
  </si>
  <si>
    <t>SpineVue Locking Slant-D Ring Binders by Cardinal</t>
  </si>
  <si>
    <t>Brian Stugart</t>
  </si>
  <si>
    <t>Sony 64GB Class 10 Micro SDHC R40 Memory Card</t>
  </si>
  <si>
    <t>Prang Drawing Pencil Set</t>
  </si>
  <si>
    <t>Liz Pelletier</t>
  </si>
  <si>
    <t>Acrylic Self-Standing Desk Frames</t>
  </si>
  <si>
    <t>Noel Staavos</t>
  </si>
  <si>
    <t>Hon 4060 Series Tables</t>
  </si>
  <si>
    <t>Grace Kelly</t>
  </si>
  <si>
    <t>Liz MacKendrick</t>
  </si>
  <si>
    <t>Cynthia Arntzen</t>
  </si>
  <si>
    <t>Xerox 1995</t>
  </si>
  <si>
    <t>Dan Lawera</t>
  </si>
  <si>
    <t>Dixon My First Ticonderoga Pencil, #2</t>
  </si>
  <si>
    <t>Helen Abelman</t>
  </si>
  <si>
    <t>GBC Recycled Regency Composition Covers</t>
  </si>
  <si>
    <t>Russell Applegate</t>
  </si>
  <si>
    <t>Michael Stewart</t>
  </si>
  <si>
    <t>Sanford Uni-Blazer View Highlighters, Chisel Tip, Yellow</t>
  </si>
  <si>
    <t>Cardinal Holdit Business Card Pockets</t>
  </si>
  <si>
    <t>Wilson SignalBoost 841262 DB PRO Amplifier Kit</t>
  </si>
  <si>
    <t>Avery Durable Binders</t>
  </si>
  <si>
    <t>Eric Hoffmann</t>
  </si>
  <si>
    <t>Logitech B530 USB Headset - headset - Full size, Binaural</t>
  </si>
  <si>
    <t>Maxwell Schwartz</t>
  </si>
  <si>
    <t>Michael Chen</t>
  </si>
  <si>
    <t>NETGEAR AC1750 Dual Band Gigabit Smart WiFi Router</t>
  </si>
  <si>
    <t>Dan Campbell</t>
  </si>
  <si>
    <t>Gould Plastics 18-Pocket Panel Bin, 34w x 5-1/4d x 20-1/2h</t>
  </si>
  <si>
    <t>Fellowes Bankers Box Stor/Drawer Steel Plus</t>
  </si>
  <si>
    <t>Dennis Pardue</t>
  </si>
  <si>
    <t>Vinyl Sectional Post Binders</t>
  </si>
  <si>
    <t>Emily Phan</t>
  </si>
  <si>
    <t>Canon Imageclass D680 Copier / Fax</t>
  </si>
  <si>
    <t>Global High-Back Leather Tilter, Burgundy</t>
  </si>
  <si>
    <t>Michelle Huthwaite</t>
  </si>
  <si>
    <t>Ed Braxton</t>
  </si>
  <si>
    <t>Brian Moss</t>
  </si>
  <si>
    <t>Gary Hansen</t>
  </si>
  <si>
    <t>Avery 49</t>
  </si>
  <si>
    <t>Perma STOR-ALL Hanging File Box, 13 1/8"W x 12 1/4"D x 10 1/2"H</t>
  </si>
  <si>
    <t>Darrin Sayre</t>
  </si>
  <si>
    <t>Avery Hidden Tab Dividers for Binding Systems</t>
  </si>
  <si>
    <t>Cisco SPA508G</t>
  </si>
  <si>
    <t>9-3/4 Diameter Round Wall Clock</t>
  </si>
  <si>
    <t>Avery 514</t>
  </si>
  <si>
    <t>Polycom VVX 310 VoIP phone</t>
  </si>
  <si>
    <t>Mark Hamilton</t>
  </si>
  <si>
    <t>Alyssa Crouse</t>
  </si>
  <si>
    <t>Tuff Stuff Recycled Round Ring Binders</t>
  </si>
  <si>
    <t>Max Engle</t>
  </si>
  <si>
    <t>Paul Van Hugh</t>
  </si>
  <si>
    <t>Hon Deluxe Fabric Upholstered Stacking Chairs</t>
  </si>
  <si>
    <t>Fluorescent Highlighters by Dixon</t>
  </si>
  <si>
    <t>Bevis Round Conference Table Top &amp; Single Column Base</t>
  </si>
  <si>
    <t>Arthur Wiediger</t>
  </si>
  <si>
    <t>Acco D-Ring Binder w/DublLock</t>
  </si>
  <si>
    <t>Philip Brown</t>
  </si>
  <si>
    <t>Belkin 7 Outlet SurgeMaster II</t>
  </si>
  <si>
    <t>Barbara Fisher</t>
  </si>
  <si>
    <t>Maxell 4.7GB DVD-R 5/Pack</t>
  </si>
  <si>
    <t>Advantus Push Pins</t>
  </si>
  <si>
    <t>Adrian Hane</t>
  </si>
  <si>
    <t>Office Star - Ergonomically Designed Knee Chair</t>
  </si>
  <si>
    <t>Christine Abelman</t>
  </si>
  <si>
    <t>Avery 3 1/2" Diskette Storage Pages, 10/Pack</t>
  </si>
  <si>
    <t>Eugene Moren</t>
  </si>
  <si>
    <t>Acco Pressboard Covers with Storage Hooks, 14 7/8" x 11", Dark Blue</t>
  </si>
  <si>
    <t>Katherine Murray</t>
  </si>
  <si>
    <t>Letter Size Cart</t>
  </si>
  <si>
    <t>HON 5400 Series Task Chairs for Big and Tall</t>
  </si>
  <si>
    <t>Scot Wooten</t>
  </si>
  <si>
    <t>Charles Crestani</t>
  </si>
  <si>
    <t>Wilson Jones Custom Binder Spines &amp; Labels</t>
  </si>
  <si>
    <t>Xerox 1897</t>
  </si>
  <si>
    <t>Roger Demir</t>
  </si>
  <si>
    <t>Clear Mylar Reinforcing Strips</t>
  </si>
  <si>
    <t>Wirebound Message Books, Two 4 1/4" x 5" Forms per Page</t>
  </si>
  <si>
    <t>Maxell 74 Minute CD-R Spindle, 50/Pack</t>
  </si>
  <si>
    <t>Xerox 1965</t>
  </si>
  <si>
    <t>Michelle Ellison</t>
  </si>
  <si>
    <t>Newell 334</t>
  </si>
  <si>
    <t>Global Troy Executive Leather Low-Back Tilter</t>
  </si>
  <si>
    <t>Harry Marie</t>
  </si>
  <si>
    <t>Hon Every-Day Series Multi-Task Chairs</t>
  </si>
  <si>
    <t>Nebraska</t>
  </si>
  <si>
    <t>Erin Mull</t>
  </si>
  <si>
    <t>Premium Writing Pencils, Soft, #2 by Central Association for the Blind</t>
  </si>
  <si>
    <t>Newell 32</t>
  </si>
  <si>
    <t>John Lucas</t>
  </si>
  <si>
    <t>Arthur Gainer</t>
  </si>
  <si>
    <t>Newell 324</t>
  </si>
  <si>
    <t>Microsoft Natural Keyboard Elite</t>
  </si>
  <si>
    <t>Nick Crebassa</t>
  </si>
  <si>
    <t>Acme Softgrip Scissors</t>
  </si>
  <si>
    <t>Imation 8gb Micro Traveldrive Usb 2.0 Flash Drive</t>
  </si>
  <si>
    <t>Ken Lonsdale</t>
  </si>
  <si>
    <t>Fellowes Personal Hanging Folder Files, Navy</t>
  </si>
  <si>
    <t>Staple-based wall hangings</t>
  </si>
  <si>
    <t>Carl Ludwig</t>
  </si>
  <si>
    <t>Belkin 19" Vented Equipment Shelf, Black</t>
  </si>
  <si>
    <t>Apple iPhone 5S</t>
  </si>
  <si>
    <t>Hon 2090 Pillow Soft Series Mid Back Swivel/Tilt Chairs</t>
  </si>
  <si>
    <t>Sheri Gordon</t>
  </si>
  <si>
    <t>DAX Cubicle Frames, 8-1/2 x 11</t>
  </si>
  <si>
    <t>Luke Foster</t>
  </si>
  <si>
    <t>GBC Premium Transparent Covers with Diagonal Lined Pattern</t>
  </si>
  <si>
    <t>GBC Instant Index System for Binding Systems</t>
  </si>
  <si>
    <t>WD My Passport Ultra 2TB Portable External Hard Drive</t>
  </si>
  <si>
    <t>Aaron Smayling</t>
  </si>
  <si>
    <t>Barry Blumstein</t>
  </si>
  <si>
    <t>OIC Colored Binder Clips, Assorted Sizes</t>
  </si>
  <si>
    <t>Tom Stivers</t>
  </si>
  <si>
    <t>Rush Hierlooms Collection 1" Thick Stackable Bookcases</t>
  </si>
  <si>
    <t>Self-Adhesive Address Labels for Typewriters by Universal</t>
  </si>
  <si>
    <t>Nick Zandusky</t>
  </si>
  <si>
    <t>BoxOffice By Design Rectangular and Half-Moon Meeting Room Tables</t>
  </si>
  <si>
    <t>Acme Box Cutter Scissors</t>
  </si>
  <si>
    <t>Valerie Dominguez</t>
  </si>
  <si>
    <t>Hoover WindTunnel Plus Canister Vacuum</t>
  </si>
  <si>
    <t>Eureka The Boss Cordless Rechargeable Stick Vac</t>
  </si>
  <si>
    <t>Maxell 4.7GB DVD-R</t>
  </si>
  <si>
    <t>Chad Sievert</t>
  </si>
  <si>
    <t>Adams Phone Message Book, Professional, 400 Message Capacity, 5 3/6 x 11</t>
  </si>
  <si>
    <t>Sonia Sunley</t>
  </si>
  <si>
    <t>Ricardo Sperren</t>
  </si>
  <si>
    <t>Hon GuestStacker Chair</t>
  </si>
  <si>
    <t>Gary Zandusky</t>
  </si>
  <si>
    <t>SAFCO PlanMaster Heigh-Adjustable Drafting Table Base, 43w x 30d x 30-37h, Black</t>
  </si>
  <si>
    <t>Roland Fjeld</t>
  </si>
  <si>
    <t>Logitech G700s Rechargeable Gaming Mouse</t>
  </si>
  <si>
    <t>Lena Radford</t>
  </si>
  <si>
    <t>Fellowes Superior 10 Outlet Split Surge Protector</t>
  </si>
  <si>
    <t>AT&amp;T 1070 Corded Phone</t>
  </si>
  <si>
    <t>Eldon Delta Triangular Chair Mat, 52" x 58", Clear</t>
  </si>
  <si>
    <t>SanDisk Ultra 64 GB MicroSDHC Class 10 Memory Card</t>
  </si>
  <si>
    <t>Acco Smartsocket Table Surge Protector, 6 Color-Coded Adapter Outlets</t>
  </si>
  <si>
    <t>Nu-Dell Float Frame 11 x 14 1/2</t>
  </si>
  <si>
    <t>Andy Gerbode</t>
  </si>
  <si>
    <t>Cisco Unified IP Phone 7945G VoIP phone</t>
  </si>
  <si>
    <t>Jawbone MINI JAMBOX Wireless Bluetooth Speaker</t>
  </si>
  <si>
    <t>Joseph Holt</t>
  </si>
  <si>
    <t>Eldon Image Series Desk Accessories, Ebony</t>
  </si>
  <si>
    <t>Charles Sheldon</t>
  </si>
  <si>
    <t>Performers Binder/Pad Holder, Black</t>
  </si>
  <si>
    <t>BlackBerry Q10</t>
  </si>
  <si>
    <t>Bulldog Vacuum Base Pencil Sharpener</t>
  </si>
  <si>
    <t>Acco Smartsocket Color-Coded Six-Outlet AC Adapter Model Surge Protectors</t>
  </si>
  <si>
    <t>Acco Translucent Poly Ring Binders</t>
  </si>
  <si>
    <t>Keith Herrera</t>
  </si>
  <si>
    <t>Christine Sundaresam</t>
  </si>
  <si>
    <t>Premium Transparent Presentation Covers by GBC</t>
  </si>
  <si>
    <t>Novimex Fabric Task Chair</t>
  </si>
  <si>
    <t>Troy Staebel</t>
  </si>
  <si>
    <t>Xerox 203</t>
  </si>
  <si>
    <t>Xerox 1929</t>
  </si>
  <si>
    <t>Logitech Gaming G510s - Keyboard</t>
  </si>
  <si>
    <t>Turquoise Lead Holder with Pocket Clip</t>
  </si>
  <si>
    <t>GBC DocuBind P50 Personal Binding Machine</t>
  </si>
  <si>
    <t>Lena Hernandez</t>
  </si>
  <si>
    <t>Satellite Sectional Post Binders</t>
  </si>
  <si>
    <t>Craig Reiter</t>
  </si>
  <si>
    <t>GBC DocuBind TL300 Electric Binding System</t>
  </si>
  <si>
    <t>Deanra Eno</t>
  </si>
  <si>
    <t>Faber Castell Col-Erase Pencils</t>
  </si>
  <si>
    <t>Jeremy Pistek</t>
  </si>
  <si>
    <t>Acme Serrated Blade Letter Opener</t>
  </si>
  <si>
    <t>Rick Hansen</t>
  </si>
  <si>
    <t>Xerox 1994</t>
  </si>
  <si>
    <t>Personal Creations Ink Jet Cards and Labels</t>
  </si>
  <si>
    <t>Robert Barroso</t>
  </si>
  <si>
    <t>Arthur Prichep</t>
  </si>
  <si>
    <t>Cisco SPA525G2 IP Phone - Wireless</t>
  </si>
  <si>
    <t>Xerox 1988</t>
  </si>
  <si>
    <t>SlimView Poly Binder, 3/8"</t>
  </si>
  <si>
    <t>Dorothy Wardle</t>
  </si>
  <si>
    <t>Janet Molinari</t>
  </si>
  <si>
    <t>Frank Merwin</t>
  </si>
  <si>
    <t>Karl Braun</t>
  </si>
  <si>
    <t>Avoid Verbal Orders Carbonless Minifold Book</t>
  </si>
  <si>
    <t>Zuschuss Donatelli</t>
  </si>
  <si>
    <t>Wilson Jones Hanging View Binder, White, 1"</t>
  </si>
  <si>
    <t>Hilary Holden</t>
  </si>
  <si>
    <t>Xerox 1940</t>
  </si>
  <si>
    <t>Balt Solid Wood Rectangular Table</t>
  </si>
  <si>
    <t>Annie Thurman</t>
  </si>
  <si>
    <t>Wilson Jones Standard D-Ring Binders</t>
  </si>
  <si>
    <t>Shirley Jackson</t>
  </si>
  <si>
    <t>KeyTronic KT400U2 - Keyboard - Black</t>
  </si>
  <si>
    <t>Larry Tron</t>
  </si>
  <si>
    <t>BOSTON Model 1800 Electric Pencil Sharpeners, Putty/Woodgrain</t>
  </si>
  <si>
    <t>Wilson Jones Hanging Recycled Pressboard Data Binders</t>
  </si>
  <si>
    <t>Katherine Ducich</t>
  </si>
  <si>
    <t>Nora Preis</t>
  </si>
  <si>
    <t>Telescoping Adjustable Floor Lamp</t>
  </si>
  <si>
    <t>invisibleSHIELD by ZAGG Smudge-Free Screen Protector</t>
  </si>
  <si>
    <t>DAX Natural Wood-Tone Poster Frame</t>
  </si>
  <si>
    <t>Angle-D Binders with Locking Rings, Label Holders</t>
  </si>
  <si>
    <t>Becky Martin</t>
  </si>
  <si>
    <t>Lexmark MX611dhe Monochrome Laser Printer</t>
  </si>
  <si>
    <t>SAFCO Arco Folding Chair</t>
  </si>
  <si>
    <t>Kensington 7 Outlet MasterPiece Power Center</t>
  </si>
  <si>
    <t>JBL Micro Wireless Portable Bluetooth Speaker</t>
  </si>
  <si>
    <t>Lisa Hazard</t>
  </si>
  <si>
    <t>Epson WorkForce WF-2530 All-in-One Printer, Copier Scanner</t>
  </si>
  <si>
    <t>Marc Crier</t>
  </si>
  <si>
    <t>Prang Colored Pencils</t>
  </si>
  <si>
    <t>Hunt PowerHouse Electric Pencil Sharpener, Blue</t>
  </si>
  <si>
    <t>Kean Takahito</t>
  </si>
  <si>
    <t>Snap-A-Way Black Print Carbonless Ruled Speed Letter, Triplicate</t>
  </si>
  <si>
    <t>Global Super Steno Chair</t>
  </si>
  <si>
    <t>Maribeth Schnelling</t>
  </si>
  <si>
    <t>Alphabetical Labels for Top Tab Filing</t>
  </si>
  <si>
    <t>Logan Currie</t>
  </si>
  <si>
    <t>Newell 320</t>
  </si>
  <si>
    <t>Peel &amp; Seel Envelopes</t>
  </si>
  <si>
    <t>Kensington 6 Outlet Guardian Standard Surge Protector</t>
  </si>
  <si>
    <t>Liz Willingham</t>
  </si>
  <si>
    <t>Deflect-o DuraMat Lighweight, Studded, Beveled Mat for Low Pile Carpeting</t>
  </si>
  <si>
    <t>Premier Elliptical Ring Binder, Black</t>
  </si>
  <si>
    <t>Tom Ashbrook</t>
  </si>
  <si>
    <t>Kansas</t>
  </si>
  <si>
    <t>Luke Weiss</t>
  </si>
  <si>
    <t>Erin Ashbrook</t>
  </si>
  <si>
    <t>Jessica Myrick</t>
  </si>
  <si>
    <t>Odella Nelson</t>
  </si>
  <si>
    <t>Acco Suede Grain Vinyl Round Ring Binder</t>
  </si>
  <si>
    <t>WD My Passport Ultra 500GB Portable External Hard Drive</t>
  </si>
  <si>
    <t>Jennifer Braxton</t>
  </si>
  <si>
    <t>Kensington 7 Outlet MasterPiece HOMEOFFICE Power Control Center</t>
  </si>
  <si>
    <t>Avery Poly Binder Pockets</t>
  </si>
  <si>
    <t>Revere Boxed Rubber Bands by Revere</t>
  </si>
  <si>
    <t>Monica Federle</t>
  </si>
  <si>
    <t>Seth Thomas 16" Steel Case Clock</t>
  </si>
  <si>
    <t>Anthony Garverick</t>
  </si>
  <si>
    <t>Acco Pressboard Covers with Storage Hooks, 14 7/8" x 11", Light Blue</t>
  </si>
  <si>
    <t>Eldon ProFile File 'N Store Portable File Tub Letter/Legal Size Black</t>
  </si>
  <si>
    <t>Verbatim 25 GB 6x Blu-ray Single Layer Recordable Disc, 3/Pack</t>
  </si>
  <si>
    <t>Decoflex Hanging Personal Folder File, Blue</t>
  </si>
  <si>
    <t>Jim Kriz</t>
  </si>
  <si>
    <t>Hon 2111 Invitation Series Straight Table</t>
  </si>
  <si>
    <t>Philip Fox</t>
  </si>
  <si>
    <t>Avery 499</t>
  </si>
  <si>
    <t>Wirebound Message Book, 4 per Page</t>
  </si>
  <si>
    <t>Sarah Brown</t>
  </si>
  <si>
    <t>Henry Goldwyn</t>
  </si>
  <si>
    <t>Jack Garza</t>
  </si>
  <si>
    <t>Nortel Meridian M3904 Professional Digital phone</t>
  </si>
  <si>
    <t>Fellowes Basic Home/Office Series Surge Protectors</t>
  </si>
  <si>
    <t>#10 White Business Envelopes,4 1/8 x 9 1/2</t>
  </si>
  <si>
    <t>Newell 34</t>
  </si>
  <si>
    <t>Wirebound Four 2-3/4 x 5 Forms per Page, 400 Sets per Book</t>
  </si>
  <si>
    <t>While You Were Out Pads, 50 per Pad, 4 x 5 1/4, Green Cycle</t>
  </si>
  <si>
    <t>Sara Luxemburg</t>
  </si>
  <si>
    <t>Boston 16801 Nautilus Battery Pencil Sharpener</t>
  </si>
  <si>
    <t>Office Star - Mid Back Dual function Ergonomic High Back Chair with 2-Way Adjustable Arms</t>
  </si>
  <si>
    <t>GBC Instant Report Kit</t>
  </si>
  <si>
    <t>Avery Binding System Hidden Tab Executive Style Index Sets</t>
  </si>
  <si>
    <t>Thomas Thornton</t>
  </si>
  <si>
    <t>Julia Dunbar</t>
  </si>
  <si>
    <t>Gould Plastics 9-Pocket Panel Bin, 18-3/8w x 5-1/4d x 20-1/2h, Black</t>
  </si>
  <si>
    <t>Michelle Tran</t>
  </si>
  <si>
    <t>Xerox 1954</t>
  </si>
  <si>
    <t>Christopher Schild</t>
  </si>
  <si>
    <t>Dual Level, Single-Width Filing Carts</t>
  </si>
  <si>
    <t>Karen Ferguson</t>
  </si>
  <si>
    <t>Avery Durable Slant Ring Binders, No Labels</t>
  </si>
  <si>
    <t>Deflect-o SuperTray Unbreakable Stackable Tray, Letter, Black</t>
  </si>
  <si>
    <t>George Zrebassa</t>
  </si>
  <si>
    <t>Keith Dawkins</t>
  </si>
  <si>
    <t>White GlueTop Scratch Pads</t>
  </si>
  <si>
    <t>Luxo Professional Combination Clamp-On Lamps</t>
  </si>
  <si>
    <t>Fellowes Mobile File Cart, Black</t>
  </si>
  <si>
    <t>Lisa DeCherney</t>
  </si>
  <si>
    <t>Seth Thomas 14" Putty-Colored Wall Clock</t>
  </si>
  <si>
    <t>Evan Bailliet</t>
  </si>
  <si>
    <t>GBC Standard Plastic Binding Systems' Combs</t>
  </si>
  <si>
    <t>Fellowes Super Stor/Drawer Files</t>
  </si>
  <si>
    <t>Tops Green Bar Computer Printout Paper</t>
  </si>
  <si>
    <t>Doug Bickford</t>
  </si>
  <si>
    <t>Eureka Sanitaire  Commercial Upright</t>
  </si>
  <si>
    <t>Erin Smith</t>
  </si>
  <si>
    <t>Adams Telephone Message Book W/Dividers/Space For Phone Numbers, 5 1/4"X8 1/2", 300/Messages</t>
  </si>
  <si>
    <t>Kingston Digital DataTraveler 16GB USB 2.0</t>
  </si>
  <si>
    <t>Beth Paige</t>
  </si>
  <si>
    <t>Allen Rosenblatt</t>
  </si>
  <si>
    <t>Global Deluxe Stacking Chair, Gray</t>
  </si>
  <si>
    <t>Denny Ordway</t>
  </si>
  <si>
    <t>Convenience Packs of Business Envelopes</t>
  </si>
  <si>
    <t>Smead Alpha-Z Color-Coded Second Alphabetical Labels and Starter Set</t>
  </si>
  <si>
    <t>David Flashing</t>
  </si>
  <si>
    <t>Avery 512</t>
  </si>
  <si>
    <t>Office Star - Contemporary Task Swivel chair with Loop Arms, Charcoal</t>
  </si>
  <si>
    <t>Brian Derr</t>
  </si>
  <si>
    <t>Imation USB 2.0 Swivel Flash Drive USB flash drive - 4 GB - Pink</t>
  </si>
  <si>
    <t>Tennsco Lockers, Gray</t>
  </si>
  <si>
    <t>Maxell 74 Minute CDR, 10/Pack</t>
  </si>
  <si>
    <t>Tanja Norvell</t>
  </si>
  <si>
    <t>Jill Fjeld</t>
  </si>
  <si>
    <t>Fellowes High-Stak Drawer Files</t>
  </si>
  <si>
    <t>Helen Andreada</t>
  </si>
  <si>
    <t>Zuschuss Carroll</t>
  </si>
  <si>
    <t>Bevis Round Bullnose 29" High Table Top</t>
  </si>
  <si>
    <t>Flexible Leather- Look Classic Collection Ring Binder</t>
  </si>
  <si>
    <t>Sibella Parks</t>
  </si>
  <si>
    <t>Jim Epp</t>
  </si>
  <si>
    <t>Hewlett Packard 610 Color Digital Copier / Printer</t>
  </si>
  <si>
    <t>Lynn Smith</t>
  </si>
  <si>
    <t>Logitech Illuminated - Keyboard</t>
  </si>
  <si>
    <t>Tracy Blumstein</t>
  </si>
  <si>
    <t>Alan Schoenberger</t>
  </si>
  <si>
    <t>Eldon Base for stackable storage shelf, platinum</t>
  </si>
  <si>
    <t>Luke Schmidt</t>
  </si>
  <si>
    <t>Computer Printout Index Tabs</t>
  </si>
  <si>
    <t>Jeremy Farry</t>
  </si>
  <si>
    <t>Spiral Phone Message Books with Labels by Adams</t>
  </si>
  <si>
    <t>Accohide Poly Flexible Ring Binders</t>
  </si>
  <si>
    <t>Avery Durable Slant Ring Binders With Label Holder</t>
  </si>
  <si>
    <t>Eugene Hildebrand</t>
  </si>
  <si>
    <t>Lesro Round Back Collection Coffee Table, End Table</t>
  </si>
  <si>
    <t>Avery 4027 File Folder Labels for Dot Matrix Printers, 5000 Labels per Box, White</t>
  </si>
  <si>
    <t>Hon Practical Foundations 30 x 60 Training Table, Light Gray/Charcoal</t>
  </si>
  <si>
    <t>Sylvia Foulston</t>
  </si>
  <si>
    <t>Maureen Gastineau</t>
  </si>
  <si>
    <t>Advantus Map Pennant Flags and Round Head Tacks</t>
  </si>
  <si>
    <t>GBC VeloBind Cover Sets</t>
  </si>
  <si>
    <t>Angele Hood</t>
  </si>
  <si>
    <t>Tenex Chairmats For Use With Carpeted Floors</t>
  </si>
  <si>
    <t>Todd Sumrall</t>
  </si>
  <si>
    <t>Digium D40 VoIP phone</t>
  </si>
  <si>
    <t>Noah Childs</t>
  </si>
  <si>
    <t>Greg Guthrie</t>
  </si>
  <si>
    <t>Rhode Island</t>
  </si>
  <si>
    <t>GBC Recycled VeloBinder Covers</t>
  </si>
  <si>
    <t>Amy Cox</t>
  </si>
  <si>
    <t>Plantronics Voyager Pro HD - Bluetooth Headset</t>
  </si>
  <si>
    <t>Ken Heidel</t>
  </si>
  <si>
    <t>Multi-Use Personal File Cart and Caster Set, Three Stacking Bins</t>
  </si>
  <si>
    <t>Paul Lucas</t>
  </si>
  <si>
    <t>Howard Miller 13" Diameter Pewter Finish Round Wall Clock</t>
  </si>
  <si>
    <t>Patrick O'Brill</t>
  </si>
  <si>
    <t>Julie Kriz</t>
  </si>
  <si>
    <t>Adjustable Depth Letter/Legal Cart</t>
  </si>
  <si>
    <t>Samsung Rugby III</t>
  </si>
  <si>
    <t>Hon Racetrack Conference Tables</t>
  </si>
  <si>
    <t>Tenex Antistatic Computer Chair Mats</t>
  </si>
  <si>
    <t>Trav-L-File Heavy-Duty Shuttle II, Black</t>
  </si>
  <si>
    <t>OIC Bulk Pack Metal Binder Clips</t>
  </si>
  <si>
    <t>William Brown</t>
  </si>
  <si>
    <t>Polycom SoundPoint Pro SE-225 Corded phone</t>
  </si>
  <si>
    <t>Cardinal EasyOpen D-Ring Binders</t>
  </si>
  <si>
    <t>Acco Flexible ACCOHIDE Square Ring Data Binder, Dark Blue, 11 1/2" X 14" 7/8"</t>
  </si>
  <si>
    <t>OIC Stacking Trays</t>
  </si>
  <si>
    <t>Tennsco Double-Tier Lockers</t>
  </si>
  <si>
    <t>Memorex Micro Travel Drive 32 GB</t>
  </si>
  <si>
    <t>Tamara Chand</t>
  </si>
  <si>
    <t>Panasonic KP-150 Electric Pencil Sharpener</t>
  </si>
  <si>
    <t>Toshiba IPT2010-SD IP Telephone</t>
  </si>
  <si>
    <t>Recycled Desk Saver Line "While You Were Out" Book, 5 1/2" X 4"</t>
  </si>
  <si>
    <t>Xerox 1912</t>
  </si>
  <si>
    <t>Luxo Economy Swing Arm Lamp</t>
  </si>
  <si>
    <t>Eldon Expressions Punched Metal &amp; Wood Desk Accessories, Pewter &amp; Cherry</t>
  </si>
  <si>
    <t>Avery Hi-Liter Comfort Grip Fluorescent Highlighter, Yellow Ink</t>
  </si>
  <si>
    <t>Xerox 199</t>
  </si>
  <si>
    <t>Pete Kriz</t>
  </si>
  <si>
    <t>Stur-D-Stor Shelving, Vertical 5-Shelf: 72"H x 36"W x 18 1/2"D</t>
  </si>
  <si>
    <t>Karen Daniels</t>
  </si>
  <si>
    <t>50 Colored Long Pencils</t>
  </si>
  <si>
    <t>Atlantic Metals Mobile 3-Shelf Bookcases, Custom Colors</t>
  </si>
  <si>
    <t>Wirebound Message Books, Four 2 3/4" x 5" Forms per Page, 600 Sets per Book</t>
  </si>
  <si>
    <t>Xerox 1882</t>
  </si>
  <si>
    <t>Roy Französisch</t>
  </si>
  <si>
    <t>Personal Filing Tote with Lid, Black/Gray</t>
  </si>
  <si>
    <t>Xerox 1974</t>
  </si>
  <si>
    <t>Bevis Boat-Shaped Conference Table</t>
  </si>
  <si>
    <t>Imation 16GB Mini TravelDrive USB 2.0 Flash Drive</t>
  </si>
  <si>
    <t>Maris LaWare</t>
  </si>
  <si>
    <t>Jeremy Lonsdale</t>
  </si>
  <si>
    <t>Robert Marley</t>
  </si>
  <si>
    <t>Jamie Frazer</t>
  </si>
  <si>
    <t>Newell 310</t>
  </si>
  <si>
    <t>Eldon 100 Class Desk Accessories</t>
  </si>
  <si>
    <t>Logitech P710e Mobile Speakerphone</t>
  </si>
  <si>
    <t>Rick Huthwaite</t>
  </si>
  <si>
    <t>Wilson Jones Active Use Binders</t>
  </si>
  <si>
    <t>Permanent Self-Adhesive File Folder Labels for Typewriters by Universal</t>
  </si>
  <si>
    <t>Alan Barnes</t>
  </si>
  <si>
    <t>Justin Deggeller</t>
  </si>
  <si>
    <t>Bush Andora Bookcase, Maple/Graphite Gray Finish</t>
  </si>
  <si>
    <t>Yoseph Carroll</t>
  </si>
  <si>
    <t>APC 7 Outlet Network SurgeArrest Surge Protector</t>
  </si>
  <si>
    <t>Southworth 100% Cotton The Best Paper</t>
  </si>
  <si>
    <t>Pierre Wener</t>
  </si>
  <si>
    <t>Bevis Rectangular Conference Tables</t>
  </si>
  <si>
    <t>Safco Industrial Wire Shelving</t>
  </si>
  <si>
    <t>Ann Blume</t>
  </si>
  <si>
    <t>Pressboard Hanging Data Binders for Unburst Sheets</t>
  </si>
  <si>
    <t>BPI Conference Tables</t>
  </si>
  <si>
    <t>Julie Creighton</t>
  </si>
  <si>
    <t>Howard Miller 13-1/2" Diameter Rosebrook Wall Clock</t>
  </si>
  <si>
    <t>John Murray</t>
  </si>
  <si>
    <t>Dennis Bolton</t>
  </si>
  <si>
    <t>Xerox 1888</t>
  </si>
  <si>
    <t>Alan Dominguez</t>
  </si>
  <si>
    <t>Peel &amp; Seel Recycled Catalog Envelopes, Brown</t>
  </si>
  <si>
    <t>Multicolor Computer Printout Paper</t>
  </si>
  <si>
    <t>Tops Wirebound Message Log Books</t>
  </si>
  <si>
    <t>Fashion Color Clasp Envelopes</t>
  </si>
  <si>
    <t>Safco Contoured Stacking Chairs</t>
  </si>
  <si>
    <t>Saphhira Shifley</t>
  </si>
  <si>
    <t>Conquest 14 Commercial Heavy-Duty Upright Vacuum, Collection System, Accessory Kit</t>
  </si>
  <si>
    <t>Quality Park Security Envelopes</t>
  </si>
  <si>
    <t>Nathan Gelder</t>
  </si>
  <si>
    <t>Harold Ryan</t>
  </si>
  <si>
    <t>Global Leather &amp; Oak Executive Chair, Burgundy</t>
  </si>
  <si>
    <t>Global Executive Mid-Back Manager's Chair</t>
  </si>
  <si>
    <t>Darren Koutras</t>
  </si>
  <si>
    <t>Eldon 200 Class Desk Accessories, Burgundy</t>
  </si>
  <si>
    <t>Nat Gilpin</t>
  </si>
  <si>
    <t>Executive Impressions 14"</t>
  </si>
  <si>
    <t>Wirebound Message Books, Four 2 3/4 x 5 White Forms per Page</t>
  </si>
  <si>
    <t>Bretford CR4500 Series Slim Rectangular Table</t>
  </si>
  <si>
    <t>Sauder Camden County Collection Libraries, Planked Cherry Finish</t>
  </si>
  <si>
    <t>Avery Address/Shipping Labels for Typewriters, 4" x 2"</t>
  </si>
  <si>
    <t>Bart Folk</t>
  </si>
  <si>
    <t>Newell 331</t>
  </si>
  <si>
    <t>Sauder Camden County Barrister Bookcase, Planked Cherry Finish</t>
  </si>
  <si>
    <t>Micropad Numeric Keypads</t>
  </si>
  <si>
    <t>Matthew Clasen</t>
  </si>
  <si>
    <t>Laser &amp; Ink Jet Business Envelopes</t>
  </si>
  <si>
    <t>Alan Hwang</t>
  </si>
  <si>
    <t>Park Ridge Embossed Executive Business Envelopes</t>
  </si>
  <si>
    <t>Office Star - Professional Matrix Back Chair with 2-to-1 Synchro Tilt and Mesh Fabric Seat</t>
  </si>
  <si>
    <t>Hon 4070 Series Pagoda Round Back Stacking Chairs</t>
  </si>
  <si>
    <t>Linden 10" Round Wall Clock, Black</t>
  </si>
  <si>
    <t>12-1/2 Diameter Round Wall Clock</t>
  </si>
  <si>
    <t>DAX Metal Frame, Desktop, Stepped-Edge</t>
  </si>
  <si>
    <t>Elizabeth Moffitt</t>
  </si>
  <si>
    <t>Jabra Supreme Plus Driver Edition Headset</t>
  </si>
  <si>
    <t>Cathy Prescott</t>
  </si>
  <si>
    <t>Hunt BOSTON Model 1606 High-Volume Electric Pencil Sharpener, Beige</t>
  </si>
  <si>
    <t>Roy Collins</t>
  </si>
  <si>
    <t>Nona Balk</t>
  </si>
  <si>
    <t>Panasonic KX T7736-B Digital phone</t>
  </si>
  <si>
    <t>Rob Lucas</t>
  </si>
  <si>
    <t>Joni Blumstein</t>
  </si>
  <si>
    <t>File Shuttle I and Handi-File</t>
  </si>
  <si>
    <t>Bionaire 99.97% HEPA Air Cleaner</t>
  </si>
  <si>
    <t>Frank Preis</t>
  </si>
  <si>
    <t>Thomas Boland</t>
  </si>
  <si>
    <t>Companion Letter/Legal File, Black</t>
  </si>
  <si>
    <t>Tim Brockman</t>
  </si>
  <si>
    <t>Denny Joy</t>
  </si>
  <si>
    <t>Xerox 1987</t>
  </si>
  <si>
    <t>Hon Non-Folding Utility Tables</t>
  </si>
  <si>
    <t>Eldon Advantage Chair Mats for Low to Medium Pile Carpets</t>
  </si>
  <si>
    <t>GBC DocuBind 300 Electric Binding Machine</t>
  </si>
  <si>
    <t>Logan Haushalter</t>
  </si>
  <si>
    <t>Eldon Image Series Desk Accessories, Burgundy</t>
  </si>
  <si>
    <t>Kimberly Carter</t>
  </si>
  <si>
    <t>Plantronics CS510 - Over-the-Head monaural Wireless Headset System</t>
  </si>
  <si>
    <t>ARKON Windshield Dashboard Air Vent Car Mount Holder</t>
  </si>
  <si>
    <t>Sung Pak</t>
  </si>
  <si>
    <t>Avery Binder Labels</t>
  </si>
  <si>
    <t>Chad Cunningham</t>
  </si>
  <si>
    <t>Steve Chapman</t>
  </si>
  <si>
    <t>Mike Kennedy</t>
  </si>
  <si>
    <t>Irene Maddox</t>
  </si>
  <si>
    <t>Canvas Sectional Post Binders</t>
  </si>
  <si>
    <t>High-Back Leather Manager's Chair</t>
  </si>
  <si>
    <t>Advantus T-Pin Paper Clips</t>
  </si>
  <si>
    <t>Rogers Jumbo File, Granite</t>
  </si>
  <si>
    <t>Penelope Sewall</t>
  </si>
  <si>
    <t>Chromcraft 48" x 96" Racetrack Double Pedestal Table</t>
  </si>
  <si>
    <t>Adrian Barton</t>
  </si>
  <si>
    <t>Global Low Back Tilter Chair</t>
  </si>
  <si>
    <t>Belkin Premiere Surge Master II 8-outlet surge protector</t>
  </si>
  <si>
    <t>Khloe Miller</t>
  </si>
  <si>
    <t>Newell 332</t>
  </si>
  <si>
    <t>Recycled Easel Ring Binders</t>
  </si>
  <si>
    <t>Tamara Willingham</t>
  </si>
  <si>
    <t>Lock-Up Easel 'Spel-Binder'</t>
  </si>
  <si>
    <t>Sarah Foster</t>
  </si>
  <si>
    <t>Belkin F9H710-06 7 Outlet SurgeMaster Surge Protector</t>
  </si>
  <si>
    <t>Hon 61000 Series Interactive Training Tables</t>
  </si>
  <si>
    <t>Craig Carreira</t>
  </si>
  <si>
    <t>Computer Printout Paper with Letter-Trim Perforations</t>
  </si>
  <si>
    <t>Master Giant Foot Doorstop, Safety Yellow</t>
  </si>
  <si>
    <t>Sony 32GB Class 10 Micro SDHC R40 Memory Card</t>
  </si>
  <si>
    <t>Westinghouse Floor Lamp with Metal Mesh Shade, Black</t>
  </si>
  <si>
    <t>Global Deluxe Office Fabric Chairs</t>
  </si>
  <si>
    <t>Clytie Kelty</t>
  </si>
  <si>
    <t>Boston School Pro Electric Pencil Sharpener, 1670</t>
  </si>
  <si>
    <t>Hoover Upright Vacuum With Dirt Cup</t>
  </si>
  <si>
    <t>Debra Catini</t>
  </si>
  <si>
    <t>Mediabridge Sport Armband iPhone 5s</t>
  </si>
  <si>
    <t>Michael Granlund</t>
  </si>
  <si>
    <t>Ken Brennan</t>
  </si>
  <si>
    <t>Maureen Fritzler</t>
  </si>
  <si>
    <t>Pamela Coakley</t>
  </si>
  <si>
    <t>Atlantic Metals Mobile 4-Shelf Bookcases, Custom Colors</t>
  </si>
  <si>
    <t>Sabrent 4-Port USB 2.0 Hub</t>
  </si>
  <si>
    <t>Claudia Bergmann</t>
  </si>
  <si>
    <t>Andrew Gjertsen</t>
  </si>
  <si>
    <t>Belkin 5 Outlet SurgeMaster Power Centers</t>
  </si>
  <si>
    <t>Speediset Carbonless Redi-Letter 7" x 8 1/2"</t>
  </si>
  <si>
    <t>Yana Sorensen</t>
  </si>
  <si>
    <t>LG Electronics Tone+ HBS-730 Bluetooth Headset</t>
  </si>
  <si>
    <t>Binding Machine Supplies</t>
  </si>
  <si>
    <t>Karen Seio</t>
  </si>
  <si>
    <t>Xerox 1991</t>
  </si>
  <si>
    <t>Nortel Meridian M5316 Digital phone</t>
  </si>
  <si>
    <t>Rediform Voice Mail Log Books</t>
  </si>
  <si>
    <t>Coloredge Poster Frame</t>
  </si>
  <si>
    <t>Memorex Mini Travel Drive 8 GB USB 2.0 Flash Drive</t>
  </si>
  <si>
    <t>Xerox 1920</t>
  </si>
  <si>
    <t>Wirebound Message Books, Four 2 3/4 x 5 Forms per Page, 200 Sets per Book</t>
  </si>
  <si>
    <t>Anker Ultrathin Bluetooth Wireless Keyboard Aluminum Cover with Stand</t>
  </si>
  <si>
    <t>Lindsay Castell</t>
  </si>
  <si>
    <t>Hoover Portapower Portable Vacuum</t>
  </si>
  <si>
    <t>i.Sound Portable Power - 8000 mAh</t>
  </si>
  <si>
    <t>XtraLife ClearVue Slant-D Ring Binder, White, 3"</t>
  </si>
  <si>
    <t>Panasonic KP-350BK Electric Pencil Sharpener with Auto Stop</t>
  </si>
  <si>
    <t>Dave Kipp</t>
  </si>
  <si>
    <t>Alan Haines</t>
  </si>
  <si>
    <t>36X48 HARDFLOOR CHAIRMAT</t>
  </si>
  <si>
    <t>Jennifer Jackson</t>
  </si>
  <si>
    <t>Microsoft Sculpt Comfort Mouse</t>
  </si>
  <si>
    <t>Dana Kaydos</t>
  </si>
  <si>
    <t>Toby Gnade</t>
  </si>
  <si>
    <t>Edward Becker</t>
  </si>
  <si>
    <t>SmartStand Mobile Device Holder, Assorted Colors</t>
  </si>
  <si>
    <t>Christopher Martinez</t>
  </si>
  <si>
    <t>KeyTronic KT800P2 - Keyboard - Black</t>
  </si>
  <si>
    <t>Jesus Ocampo</t>
  </si>
  <si>
    <t>Corinna Mitchell</t>
  </si>
  <si>
    <t>Bart Watters</t>
  </si>
  <si>
    <t>Recycled Interoffice Envelopes with String and Button Closure, 10 x 13</t>
  </si>
  <si>
    <t>Julia West</t>
  </si>
  <si>
    <t>Xerox 1883</t>
  </si>
  <si>
    <t>Dean Braden</t>
  </si>
  <si>
    <t>Verbatim 25 GB 6x Blu-ray Single Layer Recordable Disc, 25/Pack</t>
  </si>
  <si>
    <t>XtraLife ClearVue Slant-D Ring Binders by Cardinal</t>
  </si>
  <si>
    <t>Ben Peterman</t>
  </si>
  <si>
    <t>Eldon Expressions Punched Metal &amp; Wood Desk Accessories, Black &amp; Cherry</t>
  </si>
  <si>
    <t>Benjamin Venier</t>
  </si>
  <si>
    <t>Southworth 25% Cotton Antique Laid Paper &amp; Envelopes</t>
  </si>
  <si>
    <t>Imation Bio 8GB USB Flash Drive Imation Corp</t>
  </si>
  <si>
    <t>Hon 4070 Series Pagoda Armless Upholstered Stacking Chairs</t>
  </si>
  <si>
    <t>Ampad Gold Fibre Wirebound Steno Books, 6" x 9", Gregg Ruled</t>
  </si>
  <si>
    <t>PureGear Roll-On Screen Protector</t>
  </si>
  <si>
    <t>White Dual Perf Computer Printout Paper, 2700 Sheets, 1 Part, Heavyweight, 20 lbs., 14 7/8 x 11</t>
  </si>
  <si>
    <t>Michael Oakman</t>
  </si>
  <si>
    <t>Aluminum Screw Posts</t>
  </si>
  <si>
    <t>Razer Kraken PRO Over Ear PC and Music Headset</t>
  </si>
  <si>
    <t>Laminate Occasional Tables</t>
  </si>
  <si>
    <t>Kensington 4 Outlet MasterPiece Compact Power Control Center</t>
  </si>
  <si>
    <t>Executive Impressions Supervisor Wall Clock</t>
  </si>
  <si>
    <t>Robert Dilbeck</t>
  </si>
  <si>
    <t>Heather Jas</t>
  </si>
  <si>
    <t>Theone Pippenger</t>
  </si>
  <si>
    <t>GBC Velobind Prepunched Cover Sets, Regency Series</t>
  </si>
  <si>
    <t>Xerox 19</t>
  </si>
  <si>
    <t>GE 48" Fluorescent Tube, Cool White Energy Saver, 34 Watts, 30/Box</t>
  </si>
  <si>
    <t>Olvera Toch</t>
  </si>
  <si>
    <t>Juliana Krohn</t>
  </si>
  <si>
    <t>Linda Southworth</t>
  </si>
  <si>
    <t>OtterBox Defender Series Case - iPhone 5c</t>
  </si>
  <si>
    <t>Panasonic KP-380BK Classic Electric Pencil Sharpener</t>
  </si>
  <si>
    <t>Acme 10" Easy Grip Assistive Scissors</t>
  </si>
  <si>
    <t>Julia Barnett</t>
  </si>
  <si>
    <t>Lena Cacioppo</t>
  </si>
  <si>
    <t>Electrix 20W Halogen Replacement Bulb for Zoom-In Desk Lamp</t>
  </si>
  <si>
    <t>ShoreTel ShorePhone IP 230 VoIP phone</t>
  </si>
  <si>
    <t>Stuart Van</t>
  </si>
  <si>
    <t>Anna Gayman</t>
  </si>
  <si>
    <t>Chromcraft Round Conference Tables</t>
  </si>
  <si>
    <t>Tripp Lite Isotel 8 Ultra 8 Outlet Metal Surge</t>
  </si>
  <si>
    <t>Global Chrome Stack Chair</t>
  </si>
  <si>
    <t>Xerox 1962</t>
  </si>
  <si>
    <t>Rose O'Brian</t>
  </si>
  <si>
    <t>Jet-Pak Recycled Peel 'N' Seal Padded Mailers</t>
  </si>
  <si>
    <t>Binney &amp; Smith Crayola Metallic Crayons, 16-Color Pack</t>
  </si>
  <si>
    <t>Wausau Papers Astrobrights Colored Envelopes</t>
  </si>
  <si>
    <t>Things To Do Today Pad</t>
  </si>
  <si>
    <t>Self-Adhesive Removable Labels</t>
  </si>
  <si>
    <t>Justin Hirsh</t>
  </si>
  <si>
    <t>Logitech G35 7.1-Channel Surround Sound Headset</t>
  </si>
  <si>
    <t>Xerox 1937</t>
  </si>
  <si>
    <t>Neil Knudson</t>
  </si>
  <si>
    <t>Newell 311</t>
  </si>
  <si>
    <t>Xerox 1894</t>
  </si>
  <si>
    <t>Edward Nazzal</t>
  </si>
  <si>
    <t>RCA H5401RE1 DECT 6.0 4-Line Cordless Handset With Caller ID/Call Waiting</t>
  </si>
  <si>
    <t>Bill Donatelli</t>
  </si>
  <si>
    <t>Xerox 1928</t>
  </si>
  <si>
    <t>Catherine Glotzbach</t>
  </si>
  <si>
    <t>Logitech Z-906 Speaker sys - home theater - 5.1-CH</t>
  </si>
  <si>
    <t>Brenda Bowman</t>
  </si>
  <si>
    <t>Eleni McCrary</t>
  </si>
  <si>
    <t>Advantus Employee of the Month Certificate Frame, 11 x 13-1/2</t>
  </si>
  <si>
    <t>Max Jones</t>
  </si>
  <si>
    <t>Cisco SPA301</t>
  </si>
  <si>
    <t>Tennsco 16-Compartment Lockers with Coat Rack</t>
  </si>
  <si>
    <t>Jonathan Howell</t>
  </si>
  <si>
    <t>Xerox 188</t>
  </si>
  <si>
    <t>Wilson Jones International Size A4 Ring Binders</t>
  </si>
  <si>
    <t>Eldon 200 Class Desk Accessories</t>
  </si>
  <si>
    <t>Stewart Carmichael</t>
  </si>
  <si>
    <t>GBC Ibimaster 500 Manual ProClick Binding System</t>
  </si>
  <si>
    <t>Pyle PRT45 Retro Home Telephone</t>
  </si>
  <si>
    <t>Cathy Hwang</t>
  </si>
  <si>
    <t>Office Star - Contemporary Task Swivel Chair</t>
  </si>
  <si>
    <t>Universal Premium White Copier/Laser Paper (20Lb. and 87 Bright)</t>
  </si>
  <si>
    <t>Sauder Forest Hills Library with Doors, Woodland Oak Finish</t>
  </si>
  <si>
    <t>Boston Model 1800 Electric Pencil Sharpener, Gray</t>
  </si>
  <si>
    <t>Ampad Phone Message Book, Recycled, 400 Message Capacity, 5 ¾ x 11</t>
  </si>
  <si>
    <t>Bruce Degenhardt</t>
  </si>
  <si>
    <t>Novimex High-Tech Fabric Mesh Task Chair</t>
  </si>
  <si>
    <t>Mitel MiVoice 5330e IP Phone</t>
  </si>
  <si>
    <t>Victor Preis</t>
  </si>
  <si>
    <t>Kalyca Meade</t>
  </si>
  <si>
    <t>Bush Mission Pointe Library</t>
  </si>
  <si>
    <t>Acco 7-Outlet Masterpiece Power Center, Wihtout Fax/Phone Line Protection</t>
  </si>
  <si>
    <t>Howard Miller 13-3/4" Diameter Brushed Chrome Round Wall Clock</t>
  </si>
  <si>
    <t>Tuf-Vin Binders</t>
  </si>
  <si>
    <t>Fred McMath</t>
  </si>
  <si>
    <t>Global Manager's Adjustable Task Chair, Storm</t>
  </si>
  <si>
    <t>Bush Westfield Collection Bookcases, Medium Cherry Finish</t>
  </si>
  <si>
    <t>Victoria Brennan</t>
  </si>
  <si>
    <t>Economy Binders</t>
  </si>
  <si>
    <t>Thais Sissman</t>
  </si>
  <si>
    <t>Wilson Jones DublLock D-Ring Binders</t>
  </si>
  <si>
    <t>Ralph Kennedy</t>
  </si>
  <si>
    <t>Ibico Presentation Index for Binding Systems</t>
  </si>
  <si>
    <t>Brad Eason</t>
  </si>
  <si>
    <t>Parhena Norris</t>
  </si>
  <si>
    <t>Cardinal Hold-It CD Pocket</t>
  </si>
  <si>
    <t>Philisse Overcash</t>
  </si>
  <si>
    <t>Tim Taslimi</t>
  </si>
  <si>
    <t>Newell 346</t>
  </si>
  <si>
    <t>Samsung Galaxy S4 Mini</t>
  </si>
  <si>
    <t>Cisco IP Phone 7961G-GE VoIP phone</t>
  </si>
  <si>
    <t>O'Sullivan Plantations 2-Door Library in Landvery Oak</t>
  </si>
  <si>
    <t>Shaun Chance</t>
  </si>
  <si>
    <t>Wilson Jones Snap Scratch Pad Binder Tool for Ring Binders</t>
  </si>
  <si>
    <t>Dave Poirier</t>
  </si>
  <si>
    <t>Roger Barcio</t>
  </si>
  <si>
    <t>Acme Tagit Stainless Steel Antibacterial Scissors</t>
  </si>
  <si>
    <t>Deluxe Heavy-Duty Vinyl Round Ring Binder</t>
  </si>
  <si>
    <t>Sterilite Officeware Hinged File Box</t>
  </si>
  <si>
    <t>Xerox 1908</t>
  </si>
  <si>
    <t>Cathy Armstrong</t>
  </si>
  <si>
    <t>Chuck Clark</t>
  </si>
  <si>
    <t>Neoma Murray</t>
  </si>
  <si>
    <t>Belkin 19" Center-Weighted Shelf, Gray</t>
  </si>
  <si>
    <t>Boston 19500 Mighty Mite Electric Pencil Sharpener</t>
  </si>
  <si>
    <t>Logitech LS21 Speaker System - PC Multimedia - 2.1-CH - Wired</t>
  </si>
  <si>
    <t>Hewlett Packard 310 Color Digital Copier</t>
  </si>
  <si>
    <t>Heavy-Duty E-Z-D Binders</t>
  </si>
  <si>
    <t>Xerox 1915</t>
  </si>
  <si>
    <t>Brendan Murry</t>
  </si>
  <si>
    <t>Riverside Palais Royal Lawyers Bookcase, Royale Cherry Finish</t>
  </si>
  <si>
    <t>Justin Ritter</t>
  </si>
  <si>
    <t>Adam Bellavance</t>
  </si>
  <si>
    <t>Charlotte Melton</t>
  </si>
  <si>
    <t>Sanjit Jacobs</t>
  </si>
  <si>
    <t>Avery 510</t>
  </si>
  <si>
    <t>AT&amp;T 1080 Phone</t>
  </si>
  <si>
    <t>Dan Reichenbach</t>
  </si>
  <si>
    <t>Hon Comfortask Task/Swivel Chairs</t>
  </si>
  <si>
    <t>Round Ring Binders</t>
  </si>
  <si>
    <t>GBC VeloBinder Electric Binding Machine</t>
  </si>
  <si>
    <t>Bryan Spruell</t>
  </si>
  <si>
    <t>Helen Wasserman</t>
  </si>
  <si>
    <t>Motorola HK250 Universal Bluetooth Headset</t>
  </si>
  <si>
    <t>Henry MacAllister</t>
  </si>
  <si>
    <t>Joel Jenkins</t>
  </si>
  <si>
    <t>Gene Hale</t>
  </si>
  <si>
    <t>Claire Gute</t>
  </si>
  <si>
    <t>Verbatim Slim CD and DVD Storage Cases, 50/Pack</t>
  </si>
  <si>
    <t>Tripp Lite Isotel 6 Outlet Surge Protector with Fax/Modem Protection</t>
  </si>
  <si>
    <t>Jay Fein</t>
  </si>
  <si>
    <t>SKILCRAFT Telephone Shoulder Rest, 2" x 6.5" x 2.5", Black</t>
  </si>
  <si>
    <t>Maribeth Yedwab</t>
  </si>
  <si>
    <t>Avery 507</t>
  </si>
  <si>
    <t>Design Ebony Sketching Pencil</t>
  </si>
  <si>
    <t>Sandra Glassco</t>
  </si>
  <si>
    <t>Kelly Collister</t>
  </si>
  <si>
    <t>Logitech K350 2.4Ghz Wireless Keyboard</t>
  </si>
  <si>
    <t>Contemporary Wood/Metal Frame</t>
  </si>
  <si>
    <t>Hanging Personal Folder File</t>
  </si>
  <si>
    <t>Christy Brittain</t>
  </si>
  <si>
    <t>Vermont</t>
  </si>
  <si>
    <t>Advantus 10-Drawer Portable Organizer, Chrome Metal Frame, Smoke Drawers</t>
  </si>
  <si>
    <t>Xerox 1910</t>
  </si>
  <si>
    <t>Home/Office Personal File Carts</t>
  </si>
  <si>
    <t>Cardinal Holdit Data Disk Pockets</t>
  </si>
  <si>
    <t>Eureka The Boss Plus 12-Amp Hard Box Upright Vacuum, Red</t>
  </si>
  <si>
    <t>Logitech diNovo Edge Keyboard</t>
  </si>
  <si>
    <t>Greg Hansen</t>
  </si>
  <si>
    <t>Patrick Bzostek</t>
  </si>
  <si>
    <t>Sauder Barrister Bookcases</t>
  </si>
  <si>
    <t>Crayola Anti Dust Chalk, 12/Pack</t>
  </si>
  <si>
    <t>Xerox 1943</t>
  </si>
  <si>
    <t>LG Exalt</t>
  </si>
  <si>
    <t>Tenex Contemporary Contur Chairmats for Low and Medium Pile Carpet, Computer, 39" x 49"</t>
  </si>
  <si>
    <t>Luxo Professional Fluorescent Magnifier Lamp with Clamp-Mount Base</t>
  </si>
  <si>
    <t>Lexmark MarkNet N8150 Wireless Print Server</t>
  </si>
  <si>
    <t>Ritsa Hightower</t>
  </si>
  <si>
    <t>Matt Hagelstein</t>
  </si>
  <si>
    <t>Stephanie Ulpright</t>
  </si>
  <si>
    <t>Tonja Turnell</t>
  </si>
  <si>
    <t>Newell 326</t>
  </si>
  <si>
    <t>Avery Personal Creations Heavyweight Cards</t>
  </si>
  <si>
    <t>Micro Innovations USB RF Wireless Keyboard with Mouse</t>
  </si>
  <si>
    <t>Bush Andora Conference Table, Maple/Graphite Gray Finish</t>
  </si>
  <si>
    <t>Cisco Small Business SPA 502G VoIP phone</t>
  </si>
  <si>
    <t>Hon Valutask Swivel Chairs</t>
  </si>
  <si>
    <t>Anker 36W 4-Port USB Wall Charger Travel Power Adapter for iPhone 5s 5c 5</t>
  </si>
  <si>
    <t>Dionis Lloyd</t>
  </si>
  <si>
    <t>#10-4 1/8" x 9 1/2" Premium Diagonal Seam Envelopes</t>
  </si>
  <si>
    <t>Cisco SPA 502G IP Phone</t>
  </si>
  <si>
    <t>Logitech MX Performance Wireless Mouse</t>
  </si>
  <si>
    <t>Newell 337</t>
  </si>
  <si>
    <t>Logitech G500s Laser Gaming Mouse with Adjustable Weight Tuning</t>
  </si>
  <si>
    <t>Bill Eplett</t>
  </si>
  <si>
    <t>Todd Boyes</t>
  </si>
  <si>
    <t>Dixon Ticonderoga Maple Cedar Pencil, #2</t>
  </si>
  <si>
    <t>Bretford Just In Time Height-Adjustable Multi-Task Work Tables</t>
  </si>
  <si>
    <t>Deflect-o RollaMat Studded, Beveled Mat for Medium Pile Carpeting</t>
  </si>
  <si>
    <t>Anker Astro 15000mAh USB Portable Charger</t>
  </si>
  <si>
    <t>Honeywell Enviracaire Portable Air Cleaner for up to 8 x 10 Room</t>
  </si>
  <si>
    <t>DAX Two-Tone Silver Metal Document Frame</t>
  </si>
  <si>
    <t>Office Impressions End Table, 20-1/2"H x 24"W x 20"D</t>
  </si>
  <si>
    <t>Berol Giant Pencil Sharpener</t>
  </si>
  <si>
    <t>Belkin Grip Candy Sheer Case / Cover for iPhone 5 and 5S</t>
  </si>
  <si>
    <t>Caroline Jumper</t>
  </si>
  <si>
    <t>Bryan Davis</t>
  </si>
  <si>
    <t>Belkin 7 Outlet SurgeMaster Surge Protector with Phone Protection</t>
  </si>
  <si>
    <t>Henia Zydlo</t>
  </si>
  <si>
    <t>V7 USB Numeric Keypad</t>
  </si>
  <si>
    <t>Atlantic Metals Mobile 2-Shelf Bookcases, Custom Colors</t>
  </si>
  <si>
    <t>Avery Durable Slant Ring Binders</t>
  </si>
  <si>
    <t>Janet Martin</t>
  </si>
  <si>
    <t>Raymond Buch</t>
  </si>
  <si>
    <t>Avery 473</t>
  </si>
  <si>
    <t>Bush Somerset Collection Bookcase</t>
  </si>
  <si>
    <t>Jill Matthias</t>
  </si>
  <si>
    <t>GBC ProClick 150 Presentation Binding System</t>
  </si>
  <si>
    <t>GE General Purpose, Extra Long Life, Showcase &amp; Floodlight Incandescent Bulbs</t>
  </si>
  <si>
    <t>Clay Rozendal</t>
  </si>
  <si>
    <t>Super Decoflex Portable Personal File</t>
  </si>
  <si>
    <t>Lindsay Williams</t>
  </si>
  <si>
    <t>Sony Micro Vault Click 8 GB USB 2.0 Flash Drive</t>
  </si>
  <si>
    <t>Cynthia Voltz</t>
  </si>
  <si>
    <t>Canon imageCLASS 2200 Advanced Copier</t>
  </si>
  <si>
    <t>Eldon Expressions Mahogany Wood Desk Collection</t>
  </si>
  <si>
    <t>Telephone Message Books with Fax/Mobile Section, 5 1/2" x 3 3/16"</t>
  </si>
  <si>
    <t>Robert Waldorf</t>
  </si>
  <si>
    <t>Executive Impressions 16-1/2" Circular Wall Clock</t>
  </si>
  <si>
    <t>Scot Coram</t>
  </si>
  <si>
    <t>Liz Preis</t>
  </si>
  <si>
    <t>Cisco CP-7937G Unified IP Conference Station Phone</t>
  </si>
  <si>
    <t>Sanyo 2.5 Cubic Foot Mid-Size Office Refrigerators</t>
  </si>
  <si>
    <t>Fiskars Home &amp; Office Scissors</t>
  </si>
  <si>
    <t>Eldon 300 Class Desk Accessories, Black</t>
  </si>
  <si>
    <t>iHome FM Clock Radio with Lightning Dock</t>
  </si>
  <si>
    <t>Avery 498</t>
  </si>
  <si>
    <t>Barricks Non-Folding Utility Table with Steel Legs, Laminate Tops</t>
  </si>
  <si>
    <t>Alex Grayson</t>
  </si>
  <si>
    <t>Max Ludwig</t>
  </si>
  <si>
    <t>Array Memo Cubes</t>
  </si>
  <si>
    <t>Mick Hernandez</t>
  </si>
  <si>
    <t>Avery 515</t>
  </si>
  <si>
    <t>Belkin F9M820V08 8 Outlet Surge</t>
  </si>
  <si>
    <t>Acco Perma 2700 Stacking Storage Drawers</t>
  </si>
  <si>
    <t>Electrix Architect's Clamp-On Swing Arm Lamp, Black</t>
  </si>
  <si>
    <t>Xerox 1968</t>
  </si>
  <si>
    <t>Eldon 400 Class Desk Accessories, Black Carbon</t>
  </si>
  <si>
    <t>Xerox 1905</t>
  </si>
  <si>
    <t>Xerox 1982</t>
  </si>
  <si>
    <t>Charles McCrossin</t>
  </si>
  <si>
    <t>Sally Knutson</t>
  </si>
  <si>
    <t>Seth Thomas 12" Clock w/ Goldtone Case</t>
  </si>
  <si>
    <t>Strathmore Photo Mount Cards</t>
  </si>
  <si>
    <t>Samsung Galaxy Note 2</t>
  </si>
  <si>
    <t>Canon Image Class D660 Copier</t>
  </si>
  <si>
    <t>Roland Murray</t>
  </si>
  <si>
    <t>Tony Molinari</t>
  </si>
  <si>
    <t>Multimedia Mailers</t>
  </si>
  <si>
    <t>Color-Coded Legal Exhibit Labels</t>
  </si>
  <si>
    <t>North Dakota</t>
  </si>
  <si>
    <t>Belkin 8-Outlet Premiere SurgeMaster II Surge Protectors</t>
  </si>
  <si>
    <t>Eureka Disposable Bags for Sanitaire Vibra Groomer I Upright Vac</t>
  </si>
  <si>
    <t>Clay Cheatham</t>
  </si>
  <si>
    <t>Chuck Sachs</t>
  </si>
  <si>
    <t>Panasonic KP-310 Heavy-Duty Electric Pencil Sharpener</t>
  </si>
  <si>
    <t>Patricia Hirasaki</t>
  </si>
  <si>
    <t>Cubify CubeX 3D Printer Triple Head Print</t>
  </si>
  <si>
    <t>Month</t>
  </si>
  <si>
    <t>Row Labels</t>
  </si>
  <si>
    <t>Sum of Profit</t>
  </si>
  <si>
    <t>Grand Total</t>
  </si>
  <si>
    <t>Sum of Sales</t>
  </si>
  <si>
    <t>Column Labels</t>
  </si>
  <si>
    <t>Jan</t>
  </si>
  <si>
    <t>Feb</t>
  </si>
  <si>
    <t>Mar</t>
  </si>
  <si>
    <t>Apr</t>
  </si>
  <si>
    <t>May</t>
  </si>
  <si>
    <t>Jun</t>
  </si>
  <si>
    <t>Jul</t>
  </si>
  <si>
    <t>Aug</t>
  </si>
  <si>
    <t>Sep</t>
  </si>
  <si>
    <t>Oct</t>
  </si>
  <si>
    <t>Nov</t>
  </si>
  <si>
    <t>Dec</t>
  </si>
  <si>
    <t>Year</t>
  </si>
  <si>
    <t>2014</t>
  </si>
  <si>
    <t>2015</t>
  </si>
  <si>
    <t>2016</t>
  </si>
  <si>
    <t>2017</t>
  </si>
  <si>
    <t>Customer name</t>
  </si>
  <si>
    <t>Count of Customer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</si>
</sst>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5" formatCode="&quot;$&quot;#,##0_);\(&quot;$&quot;#,##0\)"/>
    <numFmt numFmtId="42" formatCode="_(&quot;$&quot;* #,##0_);_(&quot;$&quot;* \(#,##0\);_(&quot;$&quot;* &quot;-&quot;_);_(@_)"/>
    <numFmt numFmtId="44" formatCode="_(&quot;$&quot;* #,##0.00_);_(&quot;$&quot;* \(#,##0.00\);_(&quot;$&quot;* &quot;-&quot;??_);_(@_)"/>
    <numFmt numFmtId="164" formatCode="[$-409]dd\-mmm\-yy;@"/>
    <numFmt numFmtId="165" formatCode="&quot;$&quot;#,##0"/>
  </numFmts>
  <fonts count="7" x14ac:knownFonts="1">
    <font>
      <sz val="10"/>
      <color rgb="FF000000"/>
      <name val="Arial"/>
      <scheme val="minor"/>
    </font>
    <font>
      <sz val="10"/>
      <color theme="1"/>
      <name val="Arial"/>
      <scheme val="minor"/>
    </font>
    <font>
      <sz val="8"/>
      <name val="Arial"/>
      <scheme val="minor"/>
    </font>
    <font>
      <sz val="10"/>
      <color theme="1"/>
      <name val="Arial"/>
      <family val="2"/>
      <scheme val="minor"/>
    </font>
    <font>
      <sz val="10"/>
      <color rgb="FF000000"/>
      <name val="Arial"/>
      <family val="2"/>
      <scheme val="minor"/>
    </font>
    <font>
      <sz val="8"/>
      <name val="Arial"/>
      <family val="2"/>
      <scheme val="minor"/>
    </font>
    <font>
      <sz val="10"/>
      <color rgb="FF000000"/>
      <name val="Arial"/>
      <scheme val="minor"/>
    </font>
  </fonts>
  <fills count="2">
    <fill>
      <patternFill patternType="none"/>
    </fill>
    <fill>
      <patternFill patternType="gray125"/>
    </fill>
  </fills>
  <borders count="1">
    <border>
      <left/>
      <right/>
      <top/>
      <bottom/>
      <diagonal/>
    </border>
  </borders>
  <cellStyleXfs count="2">
    <xf numFmtId="0" fontId="0" fillId="0" borderId="0"/>
    <xf numFmtId="44" fontId="6" fillId="0" borderId="0" applyFont="0" applyFill="0" applyBorder="0" applyAlignment="0" applyProtection="0"/>
  </cellStyleXfs>
  <cellXfs count="17">
    <xf numFmtId="0" fontId="0" fillId="0" borderId="0" xfId="0"/>
    <xf numFmtId="0" fontId="1" fillId="0" borderId="0" xfId="0" applyFont="1"/>
    <xf numFmtId="164" fontId="1" fillId="0" borderId="0" xfId="0" applyNumberFormat="1" applyFont="1" applyAlignment="1">
      <alignment horizontal="left"/>
    </xf>
    <xf numFmtId="164" fontId="0" fillId="0" borderId="0" xfId="0" applyNumberFormat="1" applyAlignment="1">
      <alignment horizontal="left"/>
    </xf>
    <xf numFmtId="164" fontId="3" fillId="0" borderId="0" xfId="0" applyNumberFormat="1" applyFont="1" applyAlignment="1">
      <alignment horizontal="left"/>
    </xf>
    <xf numFmtId="49" fontId="3" fillId="0" borderId="0" xfId="0" applyNumberFormat="1" applyFont="1" applyAlignment="1">
      <alignment horizontal="left"/>
    </xf>
    <xf numFmtId="2" fontId="1" fillId="0" borderId="0" xfId="0" applyNumberFormat="1" applyFont="1"/>
    <xf numFmtId="1" fontId="1" fillId="0" borderId="0" xfId="0" applyNumberFormat="1" applyFont="1"/>
    <xf numFmtId="0" fontId="0" fillId="0" borderId="0" xfId="0" pivotButton="1"/>
    <xf numFmtId="0" fontId="0" fillId="0" borderId="0" xfId="0" applyAlignment="1">
      <alignment horizontal="left"/>
    </xf>
    <xf numFmtId="0" fontId="0" fillId="0" borderId="0" xfId="0" applyNumberFormat="1"/>
    <xf numFmtId="0" fontId="4" fillId="0" borderId="0" xfId="0" applyFont="1"/>
    <xf numFmtId="165" fontId="0" fillId="0" borderId="0" xfId="0" applyNumberFormat="1"/>
    <xf numFmtId="42" fontId="0" fillId="0" borderId="0" xfId="1" applyNumberFormat="1" applyFont="1"/>
    <xf numFmtId="165" fontId="0" fillId="0" borderId="0" xfId="1" applyNumberFormat="1" applyFont="1"/>
    <xf numFmtId="44" fontId="0" fillId="0" borderId="0" xfId="1" applyFont="1"/>
    <xf numFmtId="5" fontId="0" fillId="0" borderId="0" xfId="1" applyNumberFormat="1" applyFont="1"/>
  </cellXfs>
  <cellStyles count="2">
    <cellStyle name="Currency" xfId="1" builtinId="4"/>
    <cellStyle name="Normal" xfId="0" builtinId="0"/>
  </cellStyles>
  <dxfs count="14">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numFmt numFmtId="164" formatCode="[$-409]dd\-mmm\-yy;@"/>
      <alignment horizontal="left" vertical="bottom"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409]dd\-mmm\-yy;@"/>
      <alignment horizontal="left" vertical="bottom"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409]dd\-mmm\-yy;@"/>
      <alignment horizontal="left" vertical="bottom" textRotation="0" wrapText="0" indent="0" justifyLastLine="0" shrinkToFit="0" readingOrder="0"/>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color rgb="FF9C0006"/>
      </font>
      <fill>
        <patternFill>
          <bgColor rgb="FFFFC7CE"/>
        </patternFill>
      </fill>
    </dxf>
  </dxfs>
  <tableStyles count="1" defaultTableStyle="TableStyleMedium2" defaultPivotStyle="PivotStyleLight16">
    <tableStyle name="Slicer Style 1" pivot="0" table="0" count="0" xr9:uid="{BDAA5306-47B3-4915-908B-36CE16AFFD1C}"/>
  </tableStyle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5.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6.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7.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8.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3.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4.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 excel project.xlsx]Sheet5!PivotTable10</c:name>
    <c:fmtId val="0"/>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Sheet5!$B$3:$B$4</c:f>
              <c:strCache>
                <c:ptCount val="1"/>
                <c:pt idx="0">
                  <c:v>Furniture</c:v>
                </c:pt>
              </c:strCache>
            </c:strRef>
          </c:tx>
          <c:spPr>
            <a:ln w="28575" cap="rnd">
              <a:solidFill>
                <a:schemeClr val="accent1"/>
              </a:solidFill>
              <a:round/>
            </a:ln>
            <a:effectLst/>
          </c:spPr>
          <c:marker>
            <c:symbol val="none"/>
          </c:marker>
          <c:cat>
            <c:strRef>
              <c:f>Sheet5!$A$5:$A$6</c:f>
              <c:strCache>
                <c:ptCount val="1"/>
                <c:pt idx="0">
                  <c:v>2015</c:v>
                </c:pt>
              </c:strCache>
            </c:strRef>
          </c:cat>
          <c:val>
            <c:numRef>
              <c:f>Sheet5!$B$5:$B$6</c:f>
              <c:numCache>
                <c:formatCode>General</c:formatCode>
                <c:ptCount val="1"/>
                <c:pt idx="0">
                  <c:v>23.499999999999947</c:v>
                </c:pt>
              </c:numCache>
            </c:numRef>
          </c:val>
          <c:smooth val="0"/>
          <c:extLst>
            <c:ext xmlns:c16="http://schemas.microsoft.com/office/drawing/2014/chart" uri="{C3380CC4-5D6E-409C-BE32-E72D297353CC}">
              <c16:uniqueId val="{00000000-25ED-4BE9-8C12-4598714CD897}"/>
            </c:ext>
          </c:extLst>
        </c:ser>
        <c:ser>
          <c:idx val="1"/>
          <c:order val="1"/>
          <c:tx>
            <c:strRef>
              <c:f>Sheet5!$C$3:$C$4</c:f>
              <c:strCache>
                <c:ptCount val="1"/>
                <c:pt idx="0">
                  <c:v>Office Supplies</c:v>
                </c:pt>
              </c:strCache>
            </c:strRef>
          </c:tx>
          <c:spPr>
            <a:ln w="28575" cap="rnd">
              <a:solidFill>
                <a:schemeClr val="accent2"/>
              </a:solidFill>
              <a:round/>
            </a:ln>
            <a:effectLst/>
          </c:spPr>
          <c:marker>
            <c:symbol val="none"/>
          </c:marker>
          <c:cat>
            <c:strRef>
              <c:f>Sheet5!$A$5:$A$6</c:f>
              <c:strCache>
                <c:ptCount val="1"/>
                <c:pt idx="0">
                  <c:v>2015</c:v>
                </c:pt>
              </c:strCache>
            </c:strRef>
          </c:cat>
          <c:val>
            <c:numRef>
              <c:f>Sheet5!$C$5:$C$6</c:f>
              <c:numCache>
                <c:formatCode>General</c:formatCode>
                <c:ptCount val="1"/>
                <c:pt idx="0">
                  <c:v>958.36000000000149</c:v>
                </c:pt>
              </c:numCache>
            </c:numRef>
          </c:val>
          <c:smooth val="0"/>
          <c:extLst>
            <c:ext xmlns:c16="http://schemas.microsoft.com/office/drawing/2014/chart" uri="{C3380CC4-5D6E-409C-BE32-E72D297353CC}">
              <c16:uniqueId val="{00000001-25ED-4BE9-8C12-4598714CD897}"/>
            </c:ext>
          </c:extLst>
        </c:ser>
        <c:ser>
          <c:idx val="2"/>
          <c:order val="2"/>
          <c:tx>
            <c:strRef>
              <c:f>Sheet5!$D$3:$D$4</c:f>
              <c:strCache>
                <c:ptCount val="1"/>
                <c:pt idx="0">
                  <c:v>Technology</c:v>
                </c:pt>
              </c:strCache>
            </c:strRef>
          </c:tx>
          <c:spPr>
            <a:ln w="28575" cap="rnd">
              <a:solidFill>
                <a:schemeClr val="accent3"/>
              </a:solidFill>
              <a:round/>
            </a:ln>
            <a:effectLst/>
          </c:spPr>
          <c:marker>
            <c:symbol val="none"/>
          </c:marker>
          <c:cat>
            <c:strRef>
              <c:f>Sheet5!$A$5:$A$6</c:f>
              <c:strCache>
                <c:ptCount val="1"/>
                <c:pt idx="0">
                  <c:v>2015</c:v>
                </c:pt>
              </c:strCache>
            </c:strRef>
          </c:cat>
          <c:val>
            <c:numRef>
              <c:f>Sheet5!$D$5:$D$6</c:f>
              <c:numCache>
                <c:formatCode>General</c:formatCode>
                <c:ptCount val="1"/>
                <c:pt idx="0">
                  <c:v>2927.0400000000009</c:v>
                </c:pt>
              </c:numCache>
            </c:numRef>
          </c:val>
          <c:smooth val="0"/>
          <c:extLst>
            <c:ext xmlns:c16="http://schemas.microsoft.com/office/drawing/2014/chart" uri="{C3380CC4-5D6E-409C-BE32-E72D297353CC}">
              <c16:uniqueId val="{00000002-25ED-4BE9-8C12-4598714CD897}"/>
            </c:ext>
          </c:extLst>
        </c:ser>
        <c:dLbls>
          <c:showLegendKey val="0"/>
          <c:showVal val="0"/>
          <c:showCatName val="0"/>
          <c:showSerName val="0"/>
          <c:showPercent val="0"/>
          <c:showBubbleSize val="0"/>
        </c:dLbls>
        <c:smooth val="0"/>
        <c:axId val="388681128"/>
        <c:axId val="388684080"/>
      </c:lineChart>
      <c:catAx>
        <c:axId val="3886811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8684080"/>
        <c:crosses val="autoZero"/>
        <c:auto val="1"/>
        <c:lblAlgn val="ctr"/>
        <c:lblOffset val="100"/>
        <c:noMultiLvlLbl val="0"/>
      </c:catAx>
      <c:valAx>
        <c:axId val="3886840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86811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3">
        <a:lumMod val="60000"/>
        <a:lumOff val="4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 excel project.xlsx]Sheet6!PivotTable11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Sheet6!$B$3</c:f>
              <c:strCache>
                <c:ptCount val="1"/>
                <c:pt idx="0">
                  <c:v>Total</c:v>
                </c:pt>
              </c:strCache>
            </c:strRef>
          </c:tx>
          <c:spPr>
            <a:solidFill>
              <a:schemeClr val="accent2"/>
            </a:solidFill>
            <a:ln>
              <a:noFill/>
            </a:ln>
            <a:effectLst/>
          </c:spPr>
          <c:cat>
            <c:strRef>
              <c:f>Sheet6!$A$4:$A$16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Sheet6!$B$4:$B$16</c:f>
              <c:numCache>
                <c:formatCode>General</c:formatCode>
                <c:ptCount val="12"/>
                <c:pt idx="0">
                  <c:v>3551.0099999999998</c:v>
                </c:pt>
                <c:pt idx="1">
                  <c:v>3144.3400000000006</c:v>
                </c:pt>
                <c:pt idx="2">
                  <c:v>2130.67</c:v>
                </c:pt>
                <c:pt idx="3">
                  <c:v>2446.0099999999998</c:v>
                </c:pt>
                <c:pt idx="4">
                  <c:v>3040.52</c:v>
                </c:pt>
                <c:pt idx="5">
                  <c:v>588.96</c:v>
                </c:pt>
                <c:pt idx="6">
                  <c:v>9249.2100000000009</c:v>
                </c:pt>
                <c:pt idx="7">
                  <c:v>3144.88</c:v>
                </c:pt>
                <c:pt idx="8">
                  <c:v>7321.4599999999991</c:v>
                </c:pt>
                <c:pt idx="9">
                  <c:v>3093.79</c:v>
                </c:pt>
                <c:pt idx="10">
                  <c:v>2108.77</c:v>
                </c:pt>
                <c:pt idx="11">
                  <c:v>2961.1000000000004</c:v>
                </c:pt>
              </c:numCache>
            </c:numRef>
          </c:val>
          <c:extLst>
            <c:ext xmlns:c16="http://schemas.microsoft.com/office/drawing/2014/chart" uri="{C3380CC4-5D6E-409C-BE32-E72D297353CC}">
              <c16:uniqueId val="{00000000-D112-4736-B085-7E34270E8F1B}"/>
            </c:ext>
          </c:extLst>
        </c:ser>
        <c:dLbls>
          <c:showLegendKey val="0"/>
          <c:showVal val="0"/>
          <c:showCatName val="0"/>
          <c:showSerName val="0"/>
          <c:showPercent val="0"/>
          <c:showBubbleSize val="0"/>
        </c:dLbls>
        <c:axId val="479417912"/>
        <c:axId val="479413320"/>
      </c:areaChart>
      <c:catAx>
        <c:axId val="47941791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9413320"/>
        <c:crosses val="autoZero"/>
        <c:auto val="1"/>
        <c:lblAlgn val="ctr"/>
        <c:lblOffset val="100"/>
        <c:noMultiLvlLbl val="0"/>
      </c:catAx>
      <c:valAx>
        <c:axId val="4794133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9417912"/>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accent3">
        <a:lumMod val="60000"/>
        <a:lumOff val="4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 excel project.xlsx]Sheet7!PivotTable12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pivotFmt>
      <c:pivotFmt>
        <c:idx val="74"/>
        <c:spPr>
          <a:solidFill>
            <a:schemeClr val="accent1"/>
          </a:solidFill>
          <a:ln w="19050">
            <a:solidFill>
              <a:schemeClr val="lt1"/>
            </a:solidFill>
          </a:ln>
          <a:effectLst/>
        </c:spPr>
      </c:pivotFmt>
      <c:pivotFmt>
        <c:idx val="75"/>
        <c:spPr>
          <a:solidFill>
            <a:schemeClr val="accent1"/>
          </a:solidFill>
          <a:ln w="19050">
            <a:solidFill>
              <a:schemeClr val="lt1"/>
            </a:solidFill>
          </a:ln>
          <a:effectLst/>
        </c:spPr>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
        <c:idx val="92"/>
        <c:spPr>
          <a:solidFill>
            <a:schemeClr val="accent1"/>
          </a:solidFill>
          <a:ln w="19050">
            <a:solidFill>
              <a:schemeClr val="lt1"/>
            </a:solidFill>
          </a:ln>
          <a:effectLst/>
        </c:spPr>
      </c:pivotFmt>
      <c:pivotFmt>
        <c:idx val="93"/>
        <c:spPr>
          <a:solidFill>
            <a:schemeClr val="accent1"/>
          </a:solidFill>
          <a:ln w="19050">
            <a:solidFill>
              <a:schemeClr val="lt1"/>
            </a:solidFill>
          </a:ln>
          <a:effectLst/>
        </c:spPr>
      </c:pivotFmt>
      <c:pivotFmt>
        <c:idx val="94"/>
        <c:spPr>
          <a:solidFill>
            <a:schemeClr val="accent1"/>
          </a:solidFill>
          <a:ln w="19050">
            <a:solidFill>
              <a:schemeClr val="lt1"/>
            </a:solidFill>
          </a:ln>
          <a:effectLst/>
        </c:spPr>
      </c:pivotFmt>
      <c:pivotFmt>
        <c:idx val="95"/>
        <c:spPr>
          <a:solidFill>
            <a:schemeClr val="accent1"/>
          </a:solidFill>
          <a:ln w="19050">
            <a:solidFill>
              <a:schemeClr val="lt1"/>
            </a:solidFill>
          </a:ln>
          <a:effectLst/>
        </c:spPr>
      </c:pivotFmt>
      <c:pivotFmt>
        <c:idx val="96"/>
        <c:spPr>
          <a:solidFill>
            <a:schemeClr val="accent1"/>
          </a:solidFill>
          <a:ln w="19050">
            <a:solidFill>
              <a:schemeClr val="lt1"/>
            </a:solidFill>
          </a:ln>
          <a:effectLst/>
        </c:spPr>
      </c:pivotFmt>
      <c:pivotFmt>
        <c:idx val="97"/>
        <c:spPr>
          <a:solidFill>
            <a:schemeClr val="accent1"/>
          </a:solidFill>
          <a:ln w="19050">
            <a:solidFill>
              <a:schemeClr val="lt1"/>
            </a:solidFill>
          </a:ln>
          <a:effectLst/>
        </c:spPr>
      </c:pivotFmt>
      <c:pivotFmt>
        <c:idx val="98"/>
        <c:spPr>
          <a:solidFill>
            <a:schemeClr val="accent1"/>
          </a:solidFill>
          <a:ln w="19050">
            <a:solidFill>
              <a:schemeClr val="lt1"/>
            </a:solidFill>
          </a:ln>
          <a:effectLst/>
        </c:spPr>
      </c:pivotFmt>
      <c:pivotFmt>
        <c:idx val="99"/>
        <c:spPr>
          <a:solidFill>
            <a:schemeClr val="accent1"/>
          </a:solidFill>
          <a:ln w="19050">
            <a:solidFill>
              <a:schemeClr val="lt1"/>
            </a:solidFill>
          </a:ln>
          <a:effectLst/>
        </c:spPr>
      </c:pivotFmt>
      <c:pivotFmt>
        <c:idx val="100"/>
        <c:spPr>
          <a:solidFill>
            <a:schemeClr val="accent1"/>
          </a:solidFill>
          <a:ln w="19050">
            <a:solidFill>
              <a:schemeClr val="lt1"/>
            </a:solidFill>
          </a:ln>
          <a:effectLst/>
        </c:spPr>
      </c:pivotFmt>
      <c:pivotFmt>
        <c:idx val="101"/>
        <c:spPr>
          <a:solidFill>
            <a:schemeClr val="accent1"/>
          </a:solidFill>
          <a:ln w="19050">
            <a:solidFill>
              <a:schemeClr val="lt1"/>
            </a:solidFill>
          </a:ln>
          <a:effectLst/>
        </c:spPr>
      </c:pivotFmt>
      <c:pivotFmt>
        <c:idx val="102"/>
        <c:spPr>
          <a:solidFill>
            <a:schemeClr val="accent1"/>
          </a:solidFill>
          <a:ln w="19050">
            <a:solidFill>
              <a:schemeClr val="lt1"/>
            </a:solidFill>
          </a:ln>
          <a:effectLst/>
        </c:spPr>
      </c:pivotFmt>
      <c:pivotFmt>
        <c:idx val="103"/>
        <c:spPr>
          <a:solidFill>
            <a:schemeClr val="accent1"/>
          </a:solidFill>
          <a:ln w="19050">
            <a:solidFill>
              <a:schemeClr val="lt1"/>
            </a:solidFill>
          </a:ln>
          <a:effectLst/>
        </c:spPr>
      </c:pivotFmt>
      <c:pivotFmt>
        <c:idx val="104"/>
        <c:spPr>
          <a:solidFill>
            <a:schemeClr val="accent1"/>
          </a:solidFill>
          <a:ln w="19050">
            <a:solidFill>
              <a:schemeClr val="lt1"/>
            </a:solidFill>
          </a:ln>
          <a:effectLst/>
        </c:spPr>
      </c:pivotFmt>
      <c:pivotFmt>
        <c:idx val="105"/>
        <c:spPr>
          <a:solidFill>
            <a:schemeClr val="accent1"/>
          </a:solidFill>
          <a:ln w="19050">
            <a:solidFill>
              <a:schemeClr val="lt1"/>
            </a:solidFill>
          </a:ln>
          <a:effectLst/>
        </c:spPr>
      </c:pivotFmt>
      <c:pivotFmt>
        <c:idx val="106"/>
        <c:spPr>
          <a:solidFill>
            <a:schemeClr val="accent1"/>
          </a:solidFill>
          <a:ln w="19050">
            <a:solidFill>
              <a:schemeClr val="lt1"/>
            </a:solidFill>
          </a:ln>
          <a:effectLst/>
        </c:spPr>
      </c:pivotFmt>
      <c:pivotFmt>
        <c:idx val="107"/>
        <c:spPr>
          <a:solidFill>
            <a:schemeClr val="accent1"/>
          </a:solidFill>
          <a:ln w="19050">
            <a:solidFill>
              <a:schemeClr val="lt1"/>
            </a:solidFill>
          </a:ln>
          <a:effectLst/>
        </c:spPr>
      </c:pivotFmt>
      <c:pivotFmt>
        <c:idx val="108"/>
        <c:spPr>
          <a:solidFill>
            <a:schemeClr val="accent1"/>
          </a:solidFill>
          <a:ln w="19050">
            <a:solidFill>
              <a:schemeClr val="lt1"/>
            </a:solidFill>
          </a:ln>
          <a:effectLst/>
        </c:spPr>
      </c:pivotFmt>
      <c:pivotFmt>
        <c:idx val="109"/>
        <c:spPr>
          <a:solidFill>
            <a:schemeClr val="accent1"/>
          </a:solidFill>
          <a:ln w="19050">
            <a:solidFill>
              <a:schemeClr val="lt1"/>
            </a:solidFill>
          </a:ln>
          <a:effectLst/>
        </c:spPr>
      </c:pivotFmt>
      <c:pivotFmt>
        <c:idx val="110"/>
        <c:spPr>
          <a:solidFill>
            <a:schemeClr val="accent1"/>
          </a:solidFill>
          <a:ln w="19050">
            <a:solidFill>
              <a:schemeClr val="lt1"/>
            </a:solidFill>
          </a:ln>
          <a:effectLst/>
        </c:spPr>
      </c:pivotFmt>
      <c:pivotFmt>
        <c:idx val="111"/>
        <c:spPr>
          <a:solidFill>
            <a:schemeClr val="accent1"/>
          </a:solidFill>
          <a:ln w="19050">
            <a:solidFill>
              <a:schemeClr val="lt1"/>
            </a:solidFill>
          </a:ln>
          <a:effectLst/>
        </c:spPr>
      </c:pivotFmt>
      <c:pivotFmt>
        <c:idx val="112"/>
        <c:spPr>
          <a:solidFill>
            <a:schemeClr val="accent1"/>
          </a:solidFill>
          <a:ln w="19050">
            <a:solidFill>
              <a:schemeClr val="lt1"/>
            </a:solidFill>
          </a:ln>
          <a:effectLst/>
        </c:spPr>
      </c:pivotFmt>
      <c:pivotFmt>
        <c:idx val="113"/>
        <c:spPr>
          <a:solidFill>
            <a:schemeClr val="accent1"/>
          </a:solidFill>
          <a:ln w="19050">
            <a:solidFill>
              <a:schemeClr val="lt1"/>
            </a:solidFill>
          </a:ln>
          <a:effectLst/>
        </c:spPr>
      </c:pivotFmt>
      <c:pivotFmt>
        <c:idx val="114"/>
        <c:spPr>
          <a:solidFill>
            <a:schemeClr val="accent1"/>
          </a:solidFill>
          <a:ln w="19050">
            <a:solidFill>
              <a:schemeClr val="lt1"/>
            </a:solidFill>
          </a:ln>
          <a:effectLst/>
        </c:spPr>
      </c:pivotFmt>
      <c:pivotFmt>
        <c:idx val="115"/>
        <c:spPr>
          <a:solidFill>
            <a:schemeClr val="accent1"/>
          </a:solidFill>
          <a:ln w="19050">
            <a:solidFill>
              <a:schemeClr val="lt1"/>
            </a:solidFill>
          </a:ln>
          <a:effectLst/>
        </c:spPr>
      </c:pivotFmt>
      <c:pivotFmt>
        <c:idx val="116"/>
        <c:spPr>
          <a:solidFill>
            <a:schemeClr val="accent1"/>
          </a:solidFill>
          <a:ln w="19050">
            <a:solidFill>
              <a:schemeClr val="lt1"/>
            </a:solidFill>
          </a:ln>
          <a:effectLst/>
        </c:spPr>
      </c:pivotFmt>
      <c:pivotFmt>
        <c:idx val="117"/>
        <c:spPr>
          <a:solidFill>
            <a:schemeClr val="accent1"/>
          </a:solidFill>
          <a:ln w="19050">
            <a:solidFill>
              <a:schemeClr val="lt1"/>
            </a:solidFill>
          </a:ln>
          <a:effectLst/>
        </c:spPr>
      </c:pivotFmt>
      <c:pivotFmt>
        <c:idx val="118"/>
        <c:spPr>
          <a:solidFill>
            <a:schemeClr val="accent1"/>
          </a:solidFill>
          <a:ln w="19050">
            <a:solidFill>
              <a:schemeClr val="lt1"/>
            </a:solidFill>
          </a:ln>
          <a:effectLst/>
        </c:spPr>
      </c:pivotFmt>
      <c:pivotFmt>
        <c:idx val="119"/>
        <c:spPr>
          <a:solidFill>
            <a:schemeClr val="accent1"/>
          </a:solidFill>
          <a:ln w="19050">
            <a:solidFill>
              <a:schemeClr val="lt1"/>
            </a:solidFill>
          </a:ln>
          <a:effectLst/>
        </c:spPr>
      </c:pivotFmt>
      <c:pivotFmt>
        <c:idx val="120"/>
        <c:spPr>
          <a:solidFill>
            <a:schemeClr val="accent1"/>
          </a:solidFill>
          <a:ln w="19050">
            <a:solidFill>
              <a:schemeClr val="lt1"/>
            </a:solidFill>
          </a:ln>
          <a:effectLst/>
        </c:spPr>
      </c:pivotFmt>
      <c:pivotFmt>
        <c:idx val="121"/>
        <c:spPr>
          <a:solidFill>
            <a:schemeClr val="accent1"/>
          </a:solidFill>
          <a:ln w="19050">
            <a:solidFill>
              <a:schemeClr val="lt1"/>
            </a:solidFill>
          </a:ln>
          <a:effectLst/>
        </c:spPr>
      </c:pivotFmt>
      <c:pivotFmt>
        <c:idx val="122"/>
        <c:spPr>
          <a:solidFill>
            <a:schemeClr val="accent1"/>
          </a:solidFill>
          <a:ln w="19050">
            <a:solidFill>
              <a:schemeClr val="lt1"/>
            </a:solidFill>
          </a:ln>
          <a:effectLst/>
        </c:spPr>
      </c:pivotFmt>
      <c:pivotFmt>
        <c:idx val="123"/>
        <c:spPr>
          <a:solidFill>
            <a:schemeClr val="accent1"/>
          </a:solidFill>
          <a:ln w="19050">
            <a:solidFill>
              <a:schemeClr val="lt1"/>
            </a:solidFill>
          </a:ln>
          <a:effectLst/>
        </c:spPr>
      </c:pivotFmt>
      <c:pivotFmt>
        <c:idx val="124"/>
        <c:spPr>
          <a:solidFill>
            <a:schemeClr val="accent1"/>
          </a:solidFill>
          <a:ln w="19050">
            <a:solidFill>
              <a:schemeClr val="lt1"/>
            </a:solidFill>
          </a:ln>
          <a:effectLst/>
        </c:spPr>
      </c:pivotFmt>
      <c:pivotFmt>
        <c:idx val="125"/>
        <c:spPr>
          <a:solidFill>
            <a:schemeClr val="accent1"/>
          </a:solidFill>
          <a:ln w="19050">
            <a:solidFill>
              <a:schemeClr val="lt1"/>
            </a:solidFill>
          </a:ln>
          <a:effectLst/>
        </c:spPr>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pivotFmt>
      <c:pivotFmt>
        <c:idx val="128"/>
        <c:spPr>
          <a:solidFill>
            <a:schemeClr val="accent1"/>
          </a:solidFill>
          <a:ln w="19050">
            <a:solidFill>
              <a:schemeClr val="lt1"/>
            </a:solidFill>
          </a:ln>
          <a:effectLst/>
        </c:spPr>
      </c:pivotFmt>
      <c:pivotFmt>
        <c:idx val="129"/>
        <c:spPr>
          <a:solidFill>
            <a:schemeClr val="accent1"/>
          </a:solidFill>
          <a:ln w="19050">
            <a:solidFill>
              <a:schemeClr val="lt1"/>
            </a:solidFill>
          </a:ln>
          <a:effectLst/>
        </c:spPr>
      </c:pivotFmt>
      <c:pivotFmt>
        <c:idx val="130"/>
        <c:spPr>
          <a:solidFill>
            <a:schemeClr val="accent1"/>
          </a:solidFill>
          <a:ln w="19050">
            <a:solidFill>
              <a:schemeClr val="lt1"/>
            </a:solidFill>
          </a:ln>
          <a:effectLst/>
        </c:spPr>
      </c:pivotFmt>
      <c:pivotFmt>
        <c:idx val="131"/>
        <c:spPr>
          <a:solidFill>
            <a:schemeClr val="accent1"/>
          </a:solidFill>
          <a:ln w="19050">
            <a:solidFill>
              <a:schemeClr val="lt1"/>
            </a:solidFill>
          </a:ln>
          <a:effectLst/>
        </c:spPr>
      </c:pivotFmt>
      <c:pivotFmt>
        <c:idx val="132"/>
        <c:spPr>
          <a:solidFill>
            <a:schemeClr val="accent1"/>
          </a:solidFill>
          <a:ln w="19050">
            <a:solidFill>
              <a:schemeClr val="lt1"/>
            </a:solidFill>
          </a:ln>
          <a:effectLst/>
        </c:spPr>
      </c:pivotFmt>
      <c:pivotFmt>
        <c:idx val="133"/>
        <c:spPr>
          <a:solidFill>
            <a:schemeClr val="accent1"/>
          </a:solidFill>
          <a:ln w="19050">
            <a:solidFill>
              <a:schemeClr val="lt1"/>
            </a:solidFill>
          </a:ln>
          <a:effectLst/>
        </c:spPr>
      </c:pivotFmt>
      <c:pivotFmt>
        <c:idx val="134"/>
        <c:spPr>
          <a:solidFill>
            <a:schemeClr val="accent1"/>
          </a:solidFill>
          <a:ln w="19050">
            <a:solidFill>
              <a:schemeClr val="lt1"/>
            </a:solidFill>
          </a:ln>
          <a:effectLst/>
        </c:spPr>
      </c:pivotFmt>
      <c:pivotFmt>
        <c:idx val="135"/>
        <c:spPr>
          <a:solidFill>
            <a:schemeClr val="accent1"/>
          </a:solidFill>
          <a:ln w="19050">
            <a:solidFill>
              <a:schemeClr val="lt1"/>
            </a:solidFill>
          </a:ln>
          <a:effectLst/>
        </c:spPr>
      </c:pivotFmt>
      <c:pivotFmt>
        <c:idx val="136"/>
        <c:spPr>
          <a:solidFill>
            <a:schemeClr val="accent1"/>
          </a:solidFill>
          <a:ln w="19050">
            <a:solidFill>
              <a:schemeClr val="lt1"/>
            </a:solidFill>
          </a:ln>
          <a:effectLst/>
        </c:spPr>
      </c:pivotFmt>
      <c:pivotFmt>
        <c:idx val="137"/>
        <c:spPr>
          <a:solidFill>
            <a:schemeClr val="accent1"/>
          </a:solidFill>
          <a:ln w="19050">
            <a:solidFill>
              <a:schemeClr val="lt1"/>
            </a:solidFill>
          </a:ln>
          <a:effectLst/>
        </c:spPr>
      </c:pivotFmt>
      <c:pivotFmt>
        <c:idx val="138"/>
        <c:spPr>
          <a:solidFill>
            <a:schemeClr val="accent1"/>
          </a:solidFill>
          <a:ln w="19050">
            <a:solidFill>
              <a:schemeClr val="lt1"/>
            </a:solidFill>
          </a:ln>
          <a:effectLst/>
        </c:spPr>
      </c:pivotFmt>
      <c:pivotFmt>
        <c:idx val="139"/>
        <c:spPr>
          <a:solidFill>
            <a:schemeClr val="accent1"/>
          </a:solidFill>
          <a:ln w="19050">
            <a:solidFill>
              <a:schemeClr val="lt1"/>
            </a:solidFill>
          </a:ln>
          <a:effectLst/>
        </c:spPr>
      </c:pivotFmt>
      <c:pivotFmt>
        <c:idx val="140"/>
        <c:spPr>
          <a:solidFill>
            <a:schemeClr val="accent1"/>
          </a:solidFill>
          <a:ln w="19050">
            <a:solidFill>
              <a:schemeClr val="lt1"/>
            </a:solidFill>
          </a:ln>
          <a:effectLst/>
        </c:spPr>
      </c:pivotFmt>
      <c:pivotFmt>
        <c:idx val="141"/>
        <c:spPr>
          <a:solidFill>
            <a:schemeClr val="accent1"/>
          </a:solidFill>
          <a:ln w="19050">
            <a:solidFill>
              <a:schemeClr val="lt1"/>
            </a:solidFill>
          </a:ln>
          <a:effectLst/>
        </c:spPr>
      </c:pivotFmt>
      <c:pivotFmt>
        <c:idx val="142"/>
        <c:spPr>
          <a:solidFill>
            <a:schemeClr val="accent1"/>
          </a:solidFill>
          <a:ln w="19050">
            <a:solidFill>
              <a:schemeClr val="lt1"/>
            </a:solidFill>
          </a:ln>
          <a:effectLst/>
        </c:spPr>
      </c:pivotFmt>
      <c:pivotFmt>
        <c:idx val="143"/>
        <c:spPr>
          <a:solidFill>
            <a:schemeClr val="accent1"/>
          </a:solidFill>
          <a:ln w="19050">
            <a:solidFill>
              <a:schemeClr val="lt1"/>
            </a:solidFill>
          </a:ln>
          <a:effectLst/>
        </c:spPr>
      </c:pivotFmt>
      <c:pivotFmt>
        <c:idx val="144"/>
        <c:spPr>
          <a:solidFill>
            <a:schemeClr val="accent1"/>
          </a:solidFill>
          <a:ln w="19050">
            <a:solidFill>
              <a:schemeClr val="lt1"/>
            </a:solidFill>
          </a:ln>
          <a:effectLst/>
        </c:spPr>
      </c:pivotFmt>
      <c:pivotFmt>
        <c:idx val="145"/>
        <c:spPr>
          <a:solidFill>
            <a:schemeClr val="accent1"/>
          </a:solidFill>
          <a:ln w="19050">
            <a:solidFill>
              <a:schemeClr val="lt1"/>
            </a:solidFill>
          </a:ln>
          <a:effectLst/>
        </c:spPr>
      </c:pivotFmt>
      <c:pivotFmt>
        <c:idx val="146"/>
        <c:spPr>
          <a:solidFill>
            <a:schemeClr val="accent1"/>
          </a:solidFill>
          <a:ln w="19050">
            <a:solidFill>
              <a:schemeClr val="lt1"/>
            </a:solidFill>
          </a:ln>
          <a:effectLst/>
        </c:spPr>
      </c:pivotFmt>
      <c:pivotFmt>
        <c:idx val="147"/>
        <c:spPr>
          <a:solidFill>
            <a:schemeClr val="accent1"/>
          </a:solidFill>
          <a:ln w="19050">
            <a:solidFill>
              <a:schemeClr val="lt1"/>
            </a:solidFill>
          </a:ln>
          <a:effectLst/>
        </c:spPr>
      </c:pivotFmt>
      <c:pivotFmt>
        <c:idx val="148"/>
        <c:spPr>
          <a:solidFill>
            <a:schemeClr val="accent1"/>
          </a:solidFill>
          <a:ln w="19050">
            <a:solidFill>
              <a:schemeClr val="lt1"/>
            </a:solidFill>
          </a:ln>
          <a:effectLst/>
        </c:spPr>
      </c:pivotFmt>
      <c:pivotFmt>
        <c:idx val="149"/>
        <c:spPr>
          <a:solidFill>
            <a:schemeClr val="accent1"/>
          </a:solidFill>
          <a:ln w="19050">
            <a:solidFill>
              <a:schemeClr val="lt1"/>
            </a:solidFill>
          </a:ln>
          <a:effectLst/>
        </c:spPr>
      </c:pivotFmt>
      <c:pivotFmt>
        <c:idx val="150"/>
        <c:spPr>
          <a:solidFill>
            <a:schemeClr val="accent1"/>
          </a:solidFill>
          <a:ln w="19050">
            <a:solidFill>
              <a:schemeClr val="lt1"/>
            </a:solidFill>
          </a:ln>
          <a:effectLst/>
        </c:spPr>
      </c:pivotFmt>
      <c:pivotFmt>
        <c:idx val="151"/>
        <c:spPr>
          <a:solidFill>
            <a:schemeClr val="accent1"/>
          </a:solidFill>
          <a:ln w="19050">
            <a:solidFill>
              <a:schemeClr val="lt1"/>
            </a:solidFill>
          </a:ln>
          <a:effectLst/>
        </c:spPr>
      </c:pivotFmt>
      <c:pivotFmt>
        <c:idx val="152"/>
        <c:spPr>
          <a:solidFill>
            <a:schemeClr val="accent1"/>
          </a:solidFill>
          <a:ln w="19050">
            <a:solidFill>
              <a:schemeClr val="lt1"/>
            </a:solidFill>
          </a:ln>
          <a:effectLst/>
        </c:spPr>
      </c:pivotFmt>
      <c:pivotFmt>
        <c:idx val="153"/>
        <c:spPr>
          <a:solidFill>
            <a:schemeClr val="accent1"/>
          </a:solidFill>
          <a:ln w="19050">
            <a:solidFill>
              <a:schemeClr val="lt1"/>
            </a:solidFill>
          </a:ln>
          <a:effectLst/>
        </c:spPr>
      </c:pivotFmt>
      <c:pivotFmt>
        <c:idx val="154"/>
        <c:spPr>
          <a:solidFill>
            <a:schemeClr val="accent1"/>
          </a:solidFill>
          <a:ln w="19050">
            <a:solidFill>
              <a:schemeClr val="lt1"/>
            </a:solidFill>
          </a:ln>
          <a:effectLst/>
        </c:spPr>
      </c:pivotFmt>
      <c:pivotFmt>
        <c:idx val="155"/>
        <c:spPr>
          <a:solidFill>
            <a:schemeClr val="accent1"/>
          </a:solidFill>
          <a:ln w="19050">
            <a:solidFill>
              <a:schemeClr val="lt1"/>
            </a:solidFill>
          </a:ln>
          <a:effectLst/>
        </c:spPr>
      </c:pivotFmt>
      <c:pivotFmt>
        <c:idx val="156"/>
        <c:spPr>
          <a:solidFill>
            <a:schemeClr val="accent1"/>
          </a:solidFill>
          <a:ln w="19050">
            <a:solidFill>
              <a:schemeClr val="lt1"/>
            </a:solidFill>
          </a:ln>
          <a:effectLst/>
        </c:spPr>
      </c:pivotFmt>
      <c:pivotFmt>
        <c:idx val="157"/>
        <c:spPr>
          <a:solidFill>
            <a:schemeClr val="accent1"/>
          </a:solidFill>
          <a:ln w="19050">
            <a:solidFill>
              <a:schemeClr val="lt1"/>
            </a:solidFill>
          </a:ln>
          <a:effectLst/>
        </c:spPr>
      </c:pivotFmt>
      <c:pivotFmt>
        <c:idx val="158"/>
        <c:spPr>
          <a:solidFill>
            <a:schemeClr val="accent1"/>
          </a:solidFill>
          <a:ln w="19050">
            <a:solidFill>
              <a:schemeClr val="lt1"/>
            </a:solidFill>
          </a:ln>
          <a:effectLst/>
        </c:spPr>
      </c:pivotFmt>
      <c:pivotFmt>
        <c:idx val="159"/>
        <c:spPr>
          <a:solidFill>
            <a:schemeClr val="accent1"/>
          </a:solidFill>
          <a:ln w="19050">
            <a:solidFill>
              <a:schemeClr val="lt1"/>
            </a:solidFill>
          </a:ln>
          <a:effectLst/>
        </c:spPr>
      </c:pivotFmt>
      <c:pivotFmt>
        <c:idx val="160"/>
        <c:spPr>
          <a:solidFill>
            <a:schemeClr val="accent1"/>
          </a:solidFill>
          <a:ln w="19050">
            <a:solidFill>
              <a:schemeClr val="lt1"/>
            </a:solidFill>
          </a:ln>
          <a:effectLst/>
        </c:spPr>
      </c:pivotFmt>
      <c:pivotFmt>
        <c:idx val="161"/>
        <c:spPr>
          <a:solidFill>
            <a:schemeClr val="accent1"/>
          </a:solidFill>
          <a:ln w="19050">
            <a:solidFill>
              <a:schemeClr val="lt1"/>
            </a:solidFill>
          </a:ln>
          <a:effectLst/>
        </c:spPr>
      </c:pivotFmt>
      <c:pivotFmt>
        <c:idx val="162"/>
        <c:spPr>
          <a:solidFill>
            <a:schemeClr val="accent1"/>
          </a:solidFill>
          <a:ln w="19050">
            <a:solidFill>
              <a:schemeClr val="lt1"/>
            </a:solidFill>
          </a:ln>
          <a:effectLst/>
        </c:spPr>
      </c:pivotFmt>
      <c:pivotFmt>
        <c:idx val="163"/>
        <c:spPr>
          <a:solidFill>
            <a:schemeClr val="accent1"/>
          </a:solidFill>
          <a:ln w="19050">
            <a:solidFill>
              <a:schemeClr val="lt1"/>
            </a:solidFill>
          </a:ln>
          <a:effectLst/>
        </c:spPr>
      </c:pivotFmt>
      <c:pivotFmt>
        <c:idx val="164"/>
        <c:spPr>
          <a:solidFill>
            <a:schemeClr val="accent1"/>
          </a:solidFill>
          <a:ln w="19050">
            <a:solidFill>
              <a:schemeClr val="lt1"/>
            </a:solidFill>
          </a:ln>
          <a:effectLst/>
        </c:spPr>
      </c:pivotFmt>
      <c:pivotFmt>
        <c:idx val="165"/>
        <c:spPr>
          <a:solidFill>
            <a:schemeClr val="accent1"/>
          </a:solidFill>
          <a:ln w="19050">
            <a:solidFill>
              <a:schemeClr val="lt1"/>
            </a:solidFill>
          </a:ln>
          <a:effectLst/>
        </c:spPr>
      </c:pivotFmt>
      <c:pivotFmt>
        <c:idx val="166"/>
        <c:spPr>
          <a:solidFill>
            <a:schemeClr val="accent1"/>
          </a:solidFill>
          <a:ln w="19050">
            <a:solidFill>
              <a:schemeClr val="lt1"/>
            </a:solidFill>
          </a:ln>
          <a:effectLst/>
        </c:spPr>
      </c:pivotFmt>
      <c:pivotFmt>
        <c:idx val="167"/>
        <c:spPr>
          <a:solidFill>
            <a:schemeClr val="accent1"/>
          </a:solidFill>
          <a:ln w="19050">
            <a:solidFill>
              <a:schemeClr val="lt1"/>
            </a:solidFill>
          </a:ln>
          <a:effectLst/>
        </c:spPr>
      </c:pivotFmt>
      <c:pivotFmt>
        <c:idx val="168"/>
        <c:spPr>
          <a:solidFill>
            <a:schemeClr val="accent1"/>
          </a:solidFill>
          <a:ln w="19050">
            <a:solidFill>
              <a:schemeClr val="lt1"/>
            </a:solidFill>
          </a:ln>
          <a:effectLst/>
        </c:spPr>
      </c:pivotFmt>
      <c:pivotFmt>
        <c:idx val="169"/>
        <c:spPr>
          <a:solidFill>
            <a:schemeClr val="accent1"/>
          </a:solidFill>
          <a:ln w="19050">
            <a:solidFill>
              <a:schemeClr val="lt1"/>
            </a:solidFill>
          </a:ln>
          <a:effectLst/>
        </c:spPr>
      </c:pivotFmt>
      <c:pivotFmt>
        <c:idx val="170"/>
        <c:spPr>
          <a:solidFill>
            <a:schemeClr val="accent1"/>
          </a:solidFill>
          <a:ln w="19050">
            <a:solidFill>
              <a:schemeClr val="lt1"/>
            </a:solidFill>
          </a:ln>
          <a:effectLst/>
        </c:spPr>
      </c:pivotFmt>
      <c:pivotFmt>
        <c:idx val="171"/>
        <c:spPr>
          <a:solidFill>
            <a:schemeClr val="accent1"/>
          </a:solidFill>
          <a:ln w="19050">
            <a:solidFill>
              <a:schemeClr val="lt1"/>
            </a:solidFill>
          </a:ln>
          <a:effectLst/>
        </c:spPr>
      </c:pivotFmt>
      <c:pivotFmt>
        <c:idx val="172"/>
        <c:spPr>
          <a:solidFill>
            <a:schemeClr val="accent1"/>
          </a:solidFill>
          <a:ln w="19050">
            <a:solidFill>
              <a:schemeClr val="lt1"/>
            </a:solidFill>
          </a:ln>
          <a:effectLst/>
        </c:spPr>
      </c:pivotFmt>
      <c:pivotFmt>
        <c:idx val="173"/>
        <c:spPr>
          <a:solidFill>
            <a:schemeClr val="accent1"/>
          </a:solidFill>
          <a:ln w="19050">
            <a:solidFill>
              <a:schemeClr val="lt1"/>
            </a:solidFill>
          </a:ln>
          <a:effectLst/>
        </c:spPr>
      </c:pivotFmt>
      <c:pivotFmt>
        <c:idx val="174"/>
        <c:spPr>
          <a:solidFill>
            <a:schemeClr val="accent1"/>
          </a:solidFill>
          <a:ln w="19050">
            <a:solidFill>
              <a:schemeClr val="lt1"/>
            </a:solidFill>
          </a:ln>
          <a:effectLst/>
        </c:spPr>
      </c:pivotFmt>
      <c:pivotFmt>
        <c:idx val="175"/>
        <c:spPr>
          <a:solidFill>
            <a:schemeClr val="accent1"/>
          </a:solidFill>
          <a:ln w="19050">
            <a:solidFill>
              <a:schemeClr val="lt1"/>
            </a:solidFill>
          </a:ln>
          <a:effectLst/>
        </c:spPr>
      </c:pivotFmt>
      <c:pivotFmt>
        <c:idx val="176"/>
        <c:spPr>
          <a:solidFill>
            <a:schemeClr val="accent1"/>
          </a:solidFill>
          <a:ln w="19050">
            <a:solidFill>
              <a:schemeClr val="lt1"/>
            </a:solidFill>
          </a:ln>
          <a:effectLst/>
        </c:spPr>
      </c:pivotFmt>
      <c:pivotFmt>
        <c:idx val="177"/>
        <c:spPr>
          <a:solidFill>
            <a:schemeClr val="accent1"/>
          </a:solidFill>
          <a:ln w="19050">
            <a:solidFill>
              <a:schemeClr val="lt1"/>
            </a:solidFill>
          </a:ln>
          <a:effectLst/>
        </c:spPr>
      </c:pivotFmt>
      <c:pivotFmt>
        <c:idx val="178"/>
        <c:spPr>
          <a:solidFill>
            <a:schemeClr val="accent1"/>
          </a:solidFill>
          <a:ln w="19050">
            <a:solidFill>
              <a:schemeClr val="lt1"/>
            </a:solidFill>
          </a:ln>
          <a:effectLst/>
        </c:spPr>
      </c:pivotFmt>
      <c:pivotFmt>
        <c:idx val="179"/>
        <c:spPr>
          <a:solidFill>
            <a:schemeClr val="accent1"/>
          </a:solidFill>
          <a:ln w="19050">
            <a:solidFill>
              <a:schemeClr val="lt1"/>
            </a:solidFill>
          </a:ln>
          <a:effectLst/>
        </c:spPr>
      </c:pivotFmt>
      <c:pivotFmt>
        <c:idx val="180"/>
        <c:spPr>
          <a:solidFill>
            <a:schemeClr val="accent1"/>
          </a:solidFill>
          <a:ln w="19050">
            <a:solidFill>
              <a:schemeClr val="lt1"/>
            </a:solidFill>
          </a:ln>
          <a:effectLst/>
        </c:spPr>
      </c:pivotFmt>
      <c:pivotFmt>
        <c:idx val="181"/>
        <c:spPr>
          <a:solidFill>
            <a:schemeClr val="accent1"/>
          </a:solidFill>
          <a:ln w="19050">
            <a:solidFill>
              <a:schemeClr val="lt1"/>
            </a:solidFill>
          </a:ln>
          <a:effectLst/>
        </c:spPr>
      </c:pivotFmt>
      <c:pivotFmt>
        <c:idx val="182"/>
        <c:spPr>
          <a:solidFill>
            <a:schemeClr val="accent1"/>
          </a:solidFill>
          <a:ln w="19050">
            <a:solidFill>
              <a:schemeClr val="lt1"/>
            </a:solidFill>
          </a:ln>
          <a:effectLst/>
        </c:spPr>
      </c:pivotFmt>
      <c:pivotFmt>
        <c:idx val="183"/>
        <c:spPr>
          <a:solidFill>
            <a:schemeClr val="accent1"/>
          </a:solidFill>
          <a:ln w="19050">
            <a:solidFill>
              <a:schemeClr val="lt1"/>
            </a:solidFill>
          </a:ln>
          <a:effectLst/>
        </c:spPr>
      </c:pivotFmt>
      <c:pivotFmt>
        <c:idx val="184"/>
        <c:spPr>
          <a:solidFill>
            <a:schemeClr val="accent1"/>
          </a:solidFill>
          <a:ln w="19050">
            <a:solidFill>
              <a:schemeClr val="lt1"/>
            </a:solidFill>
          </a:ln>
          <a:effectLst/>
        </c:spPr>
      </c:pivotFmt>
      <c:pivotFmt>
        <c:idx val="185"/>
        <c:spPr>
          <a:solidFill>
            <a:schemeClr val="accent1"/>
          </a:solidFill>
          <a:ln w="19050">
            <a:solidFill>
              <a:schemeClr val="lt1"/>
            </a:solidFill>
          </a:ln>
          <a:effectLst/>
        </c:spPr>
      </c:pivotFmt>
      <c:pivotFmt>
        <c:idx val="186"/>
        <c:spPr>
          <a:solidFill>
            <a:schemeClr val="accent1"/>
          </a:solidFill>
          <a:ln w="19050">
            <a:solidFill>
              <a:schemeClr val="lt1"/>
            </a:solidFill>
          </a:ln>
          <a:effectLst/>
        </c:spPr>
      </c:pivotFmt>
      <c:pivotFmt>
        <c:idx val="187"/>
        <c:spPr>
          <a:solidFill>
            <a:schemeClr val="accent1"/>
          </a:solidFill>
          <a:ln w="19050">
            <a:solidFill>
              <a:schemeClr val="lt1"/>
            </a:solidFill>
          </a:ln>
          <a:effectLst/>
        </c:spPr>
      </c:pivotFmt>
      <c:pivotFmt>
        <c:idx val="188"/>
        <c:spPr>
          <a:solidFill>
            <a:schemeClr val="accent1"/>
          </a:solidFill>
          <a:ln w="19050">
            <a:solidFill>
              <a:schemeClr val="lt1"/>
            </a:solidFill>
          </a:ln>
          <a:effectLst/>
        </c:spPr>
      </c:pivotFmt>
      <c:pivotFmt>
        <c:idx val="189"/>
        <c:spPr>
          <a:solidFill>
            <a:schemeClr val="accent1"/>
          </a:solidFill>
          <a:ln w="19050">
            <a:solidFill>
              <a:schemeClr val="lt1"/>
            </a:solidFill>
          </a:ln>
          <a:effectLst/>
        </c:spPr>
      </c:pivotFmt>
      <c:pivotFmt>
        <c:idx val="190"/>
        <c:spPr>
          <a:solidFill>
            <a:schemeClr val="accent1"/>
          </a:solidFill>
          <a:ln w="19050">
            <a:solidFill>
              <a:schemeClr val="lt1"/>
            </a:solidFill>
          </a:ln>
          <a:effectLst/>
        </c:spPr>
      </c:pivotFmt>
      <c:pivotFmt>
        <c:idx val="191"/>
        <c:spPr>
          <a:solidFill>
            <a:schemeClr val="accent1"/>
          </a:solidFill>
          <a:ln w="19050">
            <a:solidFill>
              <a:schemeClr val="lt1"/>
            </a:solidFill>
          </a:ln>
          <a:effectLst/>
        </c:spPr>
      </c:pivotFmt>
      <c:pivotFmt>
        <c:idx val="192"/>
        <c:spPr>
          <a:solidFill>
            <a:schemeClr val="accent1"/>
          </a:solidFill>
          <a:ln w="19050">
            <a:solidFill>
              <a:schemeClr val="lt1"/>
            </a:solidFill>
          </a:ln>
          <a:effectLst/>
        </c:spPr>
      </c:pivotFmt>
      <c:pivotFmt>
        <c:idx val="193"/>
        <c:spPr>
          <a:solidFill>
            <a:schemeClr val="accent1"/>
          </a:solidFill>
          <a:ln w="19050">
            <a:solidFill>
              <a:schemeClr val="lt1"/>
            </a:solidFill>
          </a:ln>
          <a:effectLst/>
        </c:spPr>
      </c:pivotFmt>
      <c:pivotFmt>
        <c:idx val="194"/>
        <c:spPr>
          <a:solidFill>
            <a:schemeClr val="accent1"/>
          </a:solidFill>
          <a:ln w="19050">
            <a:solidFill>
              <a:schemeClr val="lt1"/>
            </a:solidFill>
          </a:ln>
          <a:effectLst/>
        </c:spPr>
      </c:pivotFmt>
      <c:pivotFmt>
        <c:idx val="195"/>
        <c:spPr>
          <a:solidFill>
            <a:schemeClr val="accent1"/>
          </a:solidFill>
          <a:ln w="19050">
            <a:solidFill>
              <a:schemeClr val="lt1"/>
            </a:solidFill>
          </a:ln>
          <a:effectLst/>
        </c:spPr>
      </c:pivotFmt>
      <c:pivotFmt>
        <c:idx val="196"/>
        <c:spPr>
          <a:solidFill>
            <a:schemeClr val="accent1"/>
          </a:solidFill>
          <a:ln w="19050">
            <a:solidFill>
              <a:schemeClr val="lt1"/>
            </a:solidFill>
          </a:ln>
          <a:effectLst/>
        </c:spPr>
      </c:pivotFmt>
      <c:pivotFmt>
        <c:idx val="197"/>
        <c:spPr>
          <a:solidFill>
            <a:schemeClr val="accent1"/>
          </a:solidFill>
          <a:ln w="19050">
            <a:solidFill>
              <a:schemeClr val="lt1"/>
            </a:solidFill>
          </a:ln>
          <a:effectLst/>
        </c:spPr>
      </c:pivotFmt>
      <c:pivotFmt>
        <c:idx val="198"/>
        <c:spPr>
          <a:solidFill>
            <a:schemeClr val="accent1"/>
          </a:solidFill>
          <a:ln w="19050">
            <a:solidFill>
              <a:schemeClr val="lt1"/>
            </a:solidFill>
          </a:ln>
          <a:effectLst/>
        </c:spPr>
      </c:pivotFmt>
      <c:pivotFmt>
        <c:idx val="199"/>
        <c:spPr>
          <a:solidFill>
            <a:schemeClr val="accent1"/>
          </a:solidFill>
          <a:ln w="19050">
            <a:solidFill>
              <a:schemeClr val="lt1"/>
            </a:solidFill>
          </a:ln>
          <a:effectLst/>
        </c:spPr>
      </c:pivotFmt>
      <c:pivotFmt>
        <c:idx val="200"/>
        <c:spPr>
          <a:solidFill>
            <a:schemeClr val="accent1"/>
          </a:solidFill>
          <a:ln w="19050">
            <a:solidFill>
              <a:schemeClr val="lt1"/>
            </a:solidFill>
          </a:ln>
          <a:effectLst/>
        </c:spPr>
      </c:pivotFmt>
      <c:pivotFmt>
        <c:idx val="201"/>
        <c:spPr>
          <a:solidFill>
            <a:schemeClr val="accent1"/>
          </a:solidFill>
          <a:ln w="19050">
            <a:solidFill>
              <a:schemeClr val="lt1"/>
            </a:solidFill>
          </a:ln>
          <a:effectLst/>
        </c:spPr>
      </c:pivotFmt>
      <c:pivotFmt>
        <c:idx val="202"/>
        <c:spPr>
          <a:solidFill>
            <a:schemeClr val="accent1"/>
          </a:solidFill>
          <a:ln w="19050">
            <a:solidFill>
              <a:schemeClr val="lt1"/>
            </a:solidFill>
          </a:ln>
          <a:effectLst/>
        </c:spPr>
      </c:pivotFmt>
      <c:pivotFmt>
        <c:idx val="203"/>
        <c:spPr>
          <a:solidFill>
            <a:schemeClr val="accent1"/>
          </a:solidFill>
          <a:ln w="19050">
            <a:solidFill>
              <a:schemeClr val="lt1"/>
            </a:solidFill>
          </a:ln>
          <a:effectLst/>
        </c:spPr>
      </c:pivotFmt>
      <c:pivotFmt>
        <c:idx val="204"/>
        <c:spPr>
          <a:solidFill>
            <a:schemeClr val="accent1"/>
          </a:solidFill>
          <a:ln w="19050">
            <a:solidFill>
              <a:schemeClr val="lt1"/>
            </a:solidFill>
          </a:ln>
          <a:effectLst/>
        </c:spPr>
      </c:pivotFmt>
      <c:pivotFmt>
        <c:idx val="205"/>
        <c:spPr>
          <a:solidFill>
            <a:schemeClr val="accent1"/>
          </a:solidFill>
          <a:ln w="19050">
            <a:solidFill>
              <a:schemeClr val="lt1"/>
            </a:solidFill>
          </a:ln>
          <a:effectLst/>
        </c:spPr>
      </c:pivotFmt>
      <c:pivotFmt>
        <c:idx val="206"/>
        <c:spPr>
          <a:solidFill>
            <a:schemeClr val="accent1"/>
          </a:solidFill>
          <a:ln w="19050">
            <a:solidFill>
              <a:schemeClr val="lt1"/>
            </a:solidFill>
          </a:ln>
          <a:effectLst/>
        </c:spPr>
      </c:pivotFmt>
      <c:pivotFmt>
        <c:idx val="207"/>
        <c:spPr>
          <a:solidFill>
            <a:schemeClr val="accent1"/>
          </a:solidFill>
          <a:ln w="19050">
            <a:solidFill>
              <a:schemeClr val="lt1"/>
            </a:solidFill>
          </a:ln>
          <a:effectLst/>
        </c:spPr>
      </c:pivotFmt>
      <c:pivotFmt>
        <c:idx val="208"/>
        <c:spPr>
          <a:solidFill>
            <a:schemeClr val="accent1"/>
          </a:solidFill>
          <a:ln w="19050">
            <a:solidFill>
              <a:schemeClr val="lt1"/>
            </a:solidFill>
          </a:ln>
          <a:effectLst/>
        </c:spPr>
      </c:pivotFmt>
      <c:pivotFmt>
        <c:idx val="209"/>
        <c:spPr>
          <a:solidFill>
            <a:schemeClr val="accent1"/>
          </a:solidFill>
          <a:ln w="19050">
            <a:solidFill>
              <a:schemeClr val="lt1"/>
            </a:solidFill>
          </a:ln>
          <a:effectLst/>
        </c:spPr>
      </c:pivotFmt>
      <c:pivotFmt>
        <c:idx val="210"/>
        <c:spPr>
          <a:solidFill>
            <a:schemeClr val="accent1"/>
          </a:solidFill>
          <a:ln w="19050">
            <a:solidFill>
              <a:schemeClr val="lt1"/>
            </a:solidFill>
          </a:ln>
          <a:effectLst/>
        </c:spPr>
      </c:pivotFmt>
      <c:pivotFmt>
        <c:idx val="211"/>
        <c:spPr>
          <a:solidFill>
            <a:schemeClr val="accent1"/>
          </a:solidFill>
          <a:ln w="19050">
            <a:solidFill>
              <a:schemeClr val="lt1"/>
            </a:solidFill>
          </a:ln>
          <a:effectLst/>
        </c:spPr>
      </c:pivotFmt>
      <c:pivotFmt>
        <c:idx val="212"/>
        <c:spPr>
          <a:solidFill>
            <a:schemeClr val="accent1"/>
          </a:solidFill>
          <a:ln w="19050">
            <a:solidFill>
              <a:schemeClr val="lt1"/>
            </a:solidFill>
          </a:ln>
          <a:effectLst/>
        </c:spPr>
      </c:pivotFmt>
      <c:pivotFmt>
        <c:idx val="213"/>
        <c:spPr>
          <a:solidFill>
            <a:schemeClr val="accent1"/>
          </a:solidFill>
          <a:ln w="19050">
            <a:solidFill>
              <a:schemeClr val="lt1"/>
            </a:solidFill>
          </a:ln>
          <a:effectLst/>
        </c:spPr>
      </c:pivotFmt>
      <c:pivotFmt>
        <c:idx val="214"/>
        <c:spPr>
          <a:solidFill>
            <a:schemeClr val="accent1"/>
          </a:solidFill>
          <a:ln w="19050">
            <a:solidFill>
              <a:schemeClr val="lt1"/>
            </a:solidFill>
          </a:ln>
          <a:effectLst/>
        </c:spPr>
      </c:pivotFmt>
      <c:pivotFmt>
        <c:idx val="215"/>
        <c:spPr>
          <a:solidFill>
            <a:schemeClr val="accent1"/>
          </a:solidFill>
          <a:ln w="19050">
            <a:solidFill>
              <a:schemeClr val="lt1"/>
            </a:solidFill>
          </a:ln>
          <a:effectLst/>
        </c:spPr>
      </c:pivotFmt>
      <c:pivotFmt>
        <c:idx val="216"/>
        <c:spPr>
          <a:solidFill>
            <a:schemeClr val="accent1"/>
          </a:solidFill>
          <a:ln w="19050">
            <a:solidFill>
              <a:schemeClr val="lt1"/>
            </a:solidFill>
          </a:ln>
          <a:effectLst/>
        </c:spPr>
      </c:pivotFmt>
      <c:pivotFmt>
        <c:idx val="217"/>
        <c:spPr>
          <a:solidFill>
            <a:schemeClr val="accent1"/>
          </a:solidFill>
          <a:ln w="19050">
            <a:solidFill>
              <a:schemeClr val="lt1"/>
            </a:solidFill>
          </a:ln>
          <a:effectLst/>
        </c:spPr>
      </c:pivotFmt>
      <c:pivotFmt>
        <c:idx val="218"/>
        <c:spPr>
          <a:solidFill>
            <a:schemeClr val="accent1"/>
          </a:solidFill>
          <a:ln w="19050">
            <a:solidFill>
              <a:schemeClr val="lt1"/>
            </a:solidFill>
          </a:ln>
          <a:effectLst/>
        </c:spPr>
      </c:pivotFmt>
      <c:pivotFmt>
        <c:idx val="219"/>
        <c:spPr>
          <a:solidFill>
            <a:schemeClr val="accent1"/>
          </a:solidFill>
          <a:ln w="19050">
            <a:solidFill>
              <a:schemeClr val="lt1"/>
            </a:solidFill>
          </a:ln>
          <a:effectLst/>
        </c:spPr>
      </c:pivotFmt>
      <c:pivotFmt>
        <c:idx val="220"/>
        <c:spPr>
          <a:solidFill>
            <a:schemeClr val="accent1"/>
          </a:solidFill>
          <a:ln w="19050">
            <a:solidFill>
              <a:schemeClr val="lt1"/>
            </a:solidFill>
          </a:ln>
          <a:effectLst/>
        </c:spPr>
      </c:pivotFmt>
      <c:pivotFmt>
        <c:idx val="221"/>
        <c:spPr>
          <a:solidFill>
            <a:schemeClr val="accent1"/>
          </a:solidFill>
          <a:ln w="19050">
            <a:solidFill>
              <a:schemeClr val="lt1"/>
            </a:solidFill>
          </a:ln>
          <a:effectLst/>
        </c:spPr>
      </c:pivotFmt>
      <c:pivotFmt>
        <c:idx val="222"/>
        <c:spPr>
          <a:solidFill>
            <a:schemeClr val="accent1"/>
          </a:solidFill>
          <a:ln w="19050">
            <a:solidFill>
              <a:schemeClr val="lt1"/>
            </a:solidFill>
          </a:ln>
          <a:effectLst/>
        </c:spPr>
      </c:pivotFmt>
      <c:pivotFmt>
        <c:idx val="223"/>
        <c:spPr>
          <a:solidFill>
            <a:schemeClr val="accent1"/>
          </a:solidFill>
          <a:ln w="19050">
            <a:solidFill>
              <a:schemeClr val="lt1"/>
            </a:solidFill>
          </a:ln>
          <a:effectLst/>
        </c:spPr>
      </c:pivotFmt>
      <c:pivotFmt>
        <c:idx val="224"/>
        <c:spPr>
          <a:solidFill>
            <a:schemeClr val="accent1"/>
          </a:solidFill>
          <a:ln w="19050">
            <a:solidFill>
              <a:schemeClr val="lt1"/>
            </a:solidFill>
          </a:ln>
          <a:effectLst/>
        </c:spPr>
      </c:pivotFmt>
      <c:pivotFmt>
        <c:idx val="225"/>
        <c:spPr>
          <a:solidFill>
            <a:schemeClr val="accent1"/>
          </a:solidFill>
          <a:ln w="19050">
            <a:solidFill>
              <a:schemeClr val="lt1"/>
            </a:solidFill>
          </a:ln>
          <a:effectLst/>
        </c:spPr>
      </c:pivotFmt>
      <c:pivotFmt>
        <c:idx val="226"/>
        <c:spPr>
          <a:solidFill>
            <a:schemeClr val="accent1"/>
          </a:solidFill>
          <a:ln w="19050">
            <a:solidFill>
              <a:schemeClr val="lt1"/>
            </a:solidFill>
          </a:ln>
          <a:effectLst/>
        </c:spPr>
      </c:pivotFmt>
      <c:pivotFmt>
        <c:idx val="227"/>
        <c:spPr>
          <a:solidFill>
            <a:schemeClr val="accent1"/>
          </a:solidFill>
          <a:ln w="19050">
            <a:solidFill>
              <a:schemeClr val="lt1"/>
            </a:solidFill>
          </a:ln>
          <a:effectLst/>
        </c:spPr>
      </c:pivotFmt>
      <c:pivotFmt>
        <c:idx val="228"/>
        <c:spPr>
          <a:solidFill>
            <a:schemeClr val="accent1"/>
          </a:solidFill>
          <a:ln w="19050">
            <a:solidFill>
              <a:schemeClr val="lt1"/>
            </a:solidFill>
          </a:ln>
          <a:effectLst/>
        </c:spPr>
      </c:pivotFmt>
      <c:pivotFmt>
        <c:idx val="229"/>
        <c:spPr>
          <a:solidFill>
            <a:schemeClr val="accent1"/>
          </a:solidFill>
          <a:ln w="19050">
            <a:solidFill>
              <a:schemeClr val="lt1"/>
            </a:solidFill>
          </a:ln>
          <a:effectLst/>
        </c:spPr>
      </c:pivotFmt>
      <c:pivotFmt>
        <c:idx val="230"/>
        <c:spPr>
          <a:solidFill>
            <a:schemeClr val="accent1"/>
          </a:solidFill>
          <a:ln w="19050">
            <a:solidFill>
              <a:schemeClr val="lt1"/>
            </a:solidFill>
          </a:ln>
          <a:effectLst/>
        </c:spPr>
      </c:pivotFmt>
      <c:pivotFmt>
        <c:idx val="231"/>
        <c:spPr>
          <a:solidFill>
            <a:schemeClr val="accent1"/>
          </a:solidFill>
          <a:ln w="19050">
            <a:solidFill>
              <a:schemeClr val="lt1"/>
            </a:solidFill>
          </a:ln>
          <a:effectLst/>
        </c:spPr>
      </c:pivotFmt>
      <c:pivotFmt>
        <c:idx val="232"/>
        <c:spPr>
          <a:solidFill>
            <a:schemeClr val="accent1"/>
          </a:solidFill>
          <a:ln w="19050">
            <a:solidFill>
              <a:schemeClr val="lt1"/>
            </a:solidFill>
          </a:ln>
          <a:effectLst/>
        </c:spPr>
      </c:pivotFmt>
      <c:pivotFmt>
        <c:idx val="233"/>
        <c:spPr>
          <a:solidFill>
            <a:schemeClr val="accent1"/>
          </a:solidFill>
          <a:ln w="19050">
            <a:solidFill>
              <a:schemeClr val="lt1"/>
            </a:solidFill>
          </a:ln>
          <a:effectLst/>
        </c:spPr>
      </c:pivotFmt>
      <c:pivotFmt>
        <c:idx val="234"/>
        <c:spPr>
          <a:solidFill>
            <a:schemeClr val="accent1"/>
          </a:solidFill>
          <a:ln w="19050">
            <a:solidFill>
              <a:schemeClr val="lt1"/>
            </a:solidFill>
          </a:ln>
          <a:effectLst/>
        </c:spPr>
      </c:pivotFmt>
      <c:pivotFmt>
        <c:idx val="235"/>
        <c:spPr>
          <a:solidFill>
            <a:schemeClr val="accent1"/>
          </a:solidFill>
          <a:ln w="19050">
            <a:solidFill>
              <a:schemeClr val="lt1"/>
            </a:solidFill>
          </a:ln>
          <a:effectLst/>
        </c:spPr>
      </c:pivotFmt>
      <c:pivotFmt>
        <c:idx val="236"/>
        <c:spPr>
          <a:solidFill>
            <a:schemeClr val="accent1"/>
          </a:solidFill>
          <a:ln w="19050">
            <a:solidFill>
              <a:schemeClr val="lt1"/>
            </a:solidFill>
          </a:ln>
          <a:effectLst/>
        </c:spPr>
      </c:pivotFmt>
      <c:pivotFmt>
        <c:idx val="237"/>
        <c:spPr>
          <a:solidFill>
            <a:schemeClr val="accent1"/>
          </a:solidFill>
          <a:ln w="19050">
            <a:solidFill>
              <a:schemeClr val="lt1"/>
            </a:solidFill>
          </a:ln>
          <a:effectLst/>
        </c:spPr>
      </c:pivotFmt>
      <c:pivotFmt>
        <c:idx val="238"/>
        <c:spPr>
          <a:solidFill>
            <a:schemeClr val="accent1"/>
          </a:solidFill>
          <a:ln w="19050">
            <a:solidFill>
              <a:schemeClr val="lt1"/>
            </a:solidFill>
          </a:ln>
          <a:effectLst/>
        </c:spPr>
      </c:pivotFmt>
      <c:pivotFmt>
        <c:idx val="239"/>
        <c:spPr>
          <a:solidFill>
            <a:schemeClr val="accent1"/>
          </a:solidFill>
          <a:ln w="19050">
            <a:solidFill>
              <a:schemeClr val="lt1"/>
            </a:solidFill>
          </a:ln>
          <a:effectLst/>
        </c:spPr>
      </c:pivotFmt>
      <c:pivotFmt>
        <c:idx val="240"/>
        <c:spPr>
          <a:solidFill>
            <a:schemeClr val="accent1"/>
          </a:solidFill>
          <a:ln w="19050">
            <a:solidFill>
              <a:schemeClr val="lt1"/>
            </a:solidFill>
          </a:ln>
          <a:effectLst/>
        </c:spPr>
      </c:pivotFmt>
      <c:pivotFmt>
        <c:idx val="241"/>
        <c:spPr>
          <a:solidFill>
            <a:schemeClr val="accent1"/>
          </a:solidFill>
          <a:ln w="19050">
            <a:solidFill>
              <a:schemeClr val="lt1"/>
            </a:solidFill>
          </a:ln>
          <a:effectLst/>
        </c:spPr>
      </c:pivotFmt>
      <c:pivotFmt>
        <c:idx val="242"/>
        <c:spPr>
          <a:solidFill>
            <a:schemeClr val="accent1"/>
          </a:solidFill>
          <a:ln w="19050">
            <a:solidFill>
              <a:schemeClr val="lt1"/>
            </a:solidFill>
          </a:ln>
          <a:effectLst/>
        </c:spPr>
      </c:pivotFmt>
      <c:pivotFmt>
        <c:idx val="243"/>
        <c:spPr>
          <a:solidFill>
            <a:schemeClr val="accent1"/>
          </a:solidFill>
          <a:ln w="19050">
            <a:solidFill>
              <a:schemeClr val="lt1"/>
            </a:solidFill>
          </a:ln>
          <a:effectLst/>
        </c:spPr>
      </c:pivotFmt>
      <c:pivotFmt>
        <c:idx val="244"/>
        <c:spPr>
          <a:solidFill>
            <a:schemeClr val="accent1"/>
          </a:solidFill>
          <a:ln w="19050">
            <a:solidFill>
              <a:schemeClr val="lt1"/>
            </a:solidFill>
          </a:ln>
          <a:effectLst/>
        </c:spPr>
      </c:pivotFmt>
      <c:pivotFmt>
        <c:idx val="245"/>
        <c:spPr>
          <a:solidFill>
            <a:schemeClr val="accent1"/>
          </a:solidFill>
          <a:ln w="19050">
            <a:solidFill>
              <a:schemeClr val="lt1"/>
            </a:solidFill>
          </a:ln>
          <a:effectLst/>
        </c:spPr>
      </c:pivotFmt>
      <c:pivotFmt>
        <c:idx val="246"/>
        <c:spPr>
          <a:solidFill>
            <a:schemeClr val="accent1"/>
          </a:solidFill>
          <a:ln w="19050">
            <a:solidFill>
              <a:schemeClr val="lt1"/>
            </a:solidFill>
          </a:ln>
          <a:effectLst/>
        </c:spPr>
      </c:pivotFmt>
      <c:pivotFmt>
        <c:idx val="247"/>
        <c:spPr>
          <a:solidFill>
            <a:schemeClr val="accent1"/>
          </a:solidFill>
          <a:ln w="19050">
            <a:solidFill>
              <a:schemeClr val="lt1"/>
            </a:solidFill>
          </a:ln>
          <a:effectLst/>
        </c:spPr>
      </c:pivotFmt>
      <c:pivotFmt>
        <c:idx val="248"/>
        <c:spPr>
          <a:solidFill>
            <a:schemeClr val="accent1"/>
          </a:solidFill>
          <a:ln w="19050">
            <a:solidFill>
              <a:schemeClr val="lt1"/>
            </a:solidFill>
          </a:ln>
          <a:effectLst/>
        </c:spPr>
      </c:pivotFmt>
      <c:pivotFmt>
        <c:idx val="249"/>
        <c:spPr>
          <a:solidFill>
            <a:schemeClr val="accent1"/>
          </a:solidFill>
          <a:ln w="19050">
            <a:solidFill>
              <a:schemeClr val="lt1"/>
            </a:solidFill>
          </a:ln>
          <a:effectLst/>
        </c:spPr>
      </c:pivotFmt>
      <c:pivotFmt>
        <c:idx val="250"/>
        <c:spPr>
          <a:solidFill>
            <a:schemeClr val="accent1"/>
          </a:solidFill>
          <a:ln w="19050">
            <a:solidFill>
              <a:schemeClr val="lt1"/>
            </a:solidFill>
          </a:ln>
          <a:effectLst/>
        </c:spPr>
      </c:pivotFmt>
      <c:pivotFmt>
        <c:idx val="251"/>
        <c:spPr>
          <a:solidFill>
            <a:schemeClr val="accent1"/>
          </a:solidFill>
          <a:ln w="19050">
            <a:solidFill>
              <a:schemeClr val="lt1"/>
            </a:solidFill>
          </a:ln>
          <a:effectLst/>
        </c:spPr>
      </c:pivotFmt>
      <c:pivotFmt>
        <c:idx val="252"/>
        <c:spPr>
          <a:solidFill>
            <a:schemeClr val="accent1"/>
          </a:solidFill>
          <a:ln w="19050">
            <a:solidFill>
              <a:schemeClr val="lt1"/>
            </a:solidFill>
          </a:ln>
          <a:effectLst/>
        </c:spPr>
      </c:pivotFmt>
      <c:pivotFmt>
        <c:idx val="253"/>
        <c:spPr>
          <a:solidFill>
            <a:schemeClr val="accent1"/>
          </a:solidFill>
          <a:ln w="19050">
            <a:solidFill>
              <a:schemeClr val="lt1"/>
            </a:solidFill>
          </a:ln>
          <a:effectLst/>
        </c:spPr>
      </c:pivotFmt>
      <c:pivotFmt>
        <c:idx val="254"/>
        <c:spPr>
          <a:solidFill>
            <a:schemeClr val="accent1"/>
          </a:solidFill>
          <a:ln w="19050">
            <a:solidFill>
              <a:schemeClr val="lt1"/>
            </a:solidFill>
          </a:ln>
          <a:effectLst/>
        </c:spPr>
      </c:pivotFmt>
      <c:pivotFmt>
        <c:idx val="255"/>
        <c:spPr>
          <a:solidFill>
            <a:schemeClr val="accent1"/>
          </a:solidFill>
          <a:ln w="19050">
            <a:solidFill>
              <a:schemeClr val="lt1"/>
            </a:solidFill>
          </a:ln>
          <a:effectLst/>
        </c:spPr>
      </c:pivotFmt>
      <c:pivotFmt>
        <c:idx val="256"/>
        <c:spPr>
          <a:solidFill>
            <a:schemeClr val="accent1"/>
          </a:solidFill>
          <a:ln w="19050">
            <a:solidFill>
              <a:schemeClr val="lt1"/>
            </a:solidFill>
          </a:ln>
          <a:effectLst/>
        </c:spPr>
      </c:pivotFmt>
      <c:pivotFmt>
        <c:idx val="257"/>
        <c:spPr>
          <a:solidFill>
            <a:schemeClr val="accent1"/>
          </a:solidFill>
          <a:ln w="19050">
            <a:solidFill>
              <a:schemeClr val="lt1"/>
            </a:solidFill>
          </a:ln>
          <a:effectLst/>
        </c:spPr>
      </c:pivotFmt>
      <c:pivotFmt>
        <c:idx val="258"/>
        <c:spPr>
          <a:solidFill>
            <a:schemeClr val="accent1"/>
          </a:solidFill>
          <a:ln w="19050">
            <a:solidFill>
              <a:schemeClr val="lt1"/>
            </a:solidFill>
          </a:ln>
          <a:effectLst/>
        </c:spPr>
      </c:pivotFmt>
      <c:pivotFmt>
        <c:idx val="259"/>
        <c:spPr>
          <a:solidFill>
            <a:schemeClr val="accent1"/>
          </a:solidFill>
          <a:ln w="19050">
            <a:solidFill>
              <a:schemeClr val="lt1"/>
            </a:solidFill>
          </a:ln>
          <a:effectLst/>
        </c:spPr>
      </c:pivotFmt>
      <c:pivotFmt>
        <c:idx val="260"/>
        <c:spPr>
          <a:solidFill>
            <a:schemeClr val="accent1"/>
          </a:solidFill>
          <a:ln w="19050">
            <a:solidFill>
              <a:schemeClr val="lt1"/>
            </a:solidFill>
          </a:ln>
          <a:effectLst/>
        </c:spPr>
      </c:pivotFmt>
      <c:pivotFmt>
        <c:idx val="261"/>
        <c:spPr>
          <a:solidFill>
            <a:schemeClr val="accent1"/>
          </a:solidFill>
          <a:ln w="19050">
            <a:solidFill>
              <a:schemeClr val="lt1"/>
            </a:solidFill>
          </a:ln>
          <a:effectLst/>
        </c:spPr>
      </c:pivotFmt>
      <c:pivotFmt>
        <c:idx val="262"/>
        <c:spPr>
          <a:solidFill>
            <a:schemeClr val="accent1"/>
          </a:solidFill>
          <a:ln w="19050">
            <a:solidFill>
              <a:schemeClr val="lt1"/>
            </a:solidFill>
          </a:ln>
          <a:effectLst/>
        </c:spPr>
      </c:pivotFmt>
      <c:pivotFmt>
        <c:idx val="263"/>
        <c:spPr>
          <a:solidFill>
            <a:schemeClr val="accent1"/>
          </a:solidFill>
          <a:ln w="19050">
            <a:solidFill>
              <a:schemeClr val="lt1"/>
            </a:solidFill>
          </a:ln>
          <a:effectLst/>
        </c:spPr>
      </c:pivotFmt>
      <c:pivotFmt>
        <c:idx val="264"/>
        <c:spPr>
          <a:solidFill>
            <a:schemeClr val="accent1"/>
          </a:solidFill>
          <a:ln w="19050">
            <a:solidFill>
              <a:schemeClr val="lt1"/>
            </a:solidFill>
          </a:ln>
          <a:effectLst/>
        </c:spPr>
      </c:pivotFmt>
      <c:pivotFmt>
        <c:idx val="265"/>
        <c:spPr>
          <a:solidFill>
            <a:schemeClr val="accent1"/>
          </a:solidFill>
          <a:ln w="19050">
            <a:solidFill>
              <a:schemeClr val="lt1"/>
            </a:solidFill>
          </a:ln>
          <a:effectLst/>
        </c:spPr>
      </c:pivotFmt>
      <c:pivotFmt>
        <c:idx val="266"/>
        <c:spPr>
          <a:solidFill>
            <a:schemeClr val="accent1"/>
          </a:solidFill>
          <a:ln w="19050">
            <a:solidFill>
              <a:schemeClr val="lt1"/>
            </a:solidFill>
          </a:ln>
          <a:effectLst/>
        </c:spPr>
      </c:pivotFmt>
      <c:pivotFmt>
        <c:idx val="267"/>
        <c:spPr>
          <a:solidFill>
            <a:schemeClr val="accent1"/>
          </a:solidFill>
          <a:ln w="19050">
            <a:solidFill>
              <a:schemeClr val="lt1"/>
            </a:solidFill>
          </a:ln>
          <a:effectLst/>
        </c:spPr>
      </c:pivotFmt>
      <c:pivotFmt>
        <c:idx val="268"/>
        <c:spPr>
          <a:solidFill>
            <a:schemeClr val="accent1"/>
          </a:solidFill>
          <a:ln w="19050">
            <a:solidFill>
              <a:schemeClr val="lt1"/>
            </a:solidFill>
          </a:ln>
          <a:effectLst/>
        </c:spPr>
      </c:pivotFmt>
      <c:pivotFmt>
        <c:idx val="269"/>
        <c:spPr>
          <a:solidFill>
            <a:schemeClr val="accent1"/>
          </a:solidFill>
          <a:ln w="19050">
            <a:solidFill>
              <a:schemeClr val="lt1"/>
            </a:solidFill>
          </a:ln>
          <a:effectLst/>
        </c:spPr>
      </c:pivotFmt>
      <c:pivotFmt>
        <c:idx val="270"/>
        <c:spPr>
          <a:solidFill>
            <a:schemeClr val="accent1"/>
          </a:solidFill>
          <a:ln w="19050">
            <a:solidFill>
              <a:schemeClr val="lt1"/>
            </a:solidFill>
          </a:ln>
          <a:effectLst/>
        </c:spPr>
      </c:pivotFmt>
      <c:pivotFmt>
        <c:idx val="271"/>
        <c:spPr>
          <a:solidFill>
            <a:schemeClr val="accent1"/>
          </a:solidFill>
          <a:ln w="19050">
            <a:solidFill>
              <a:schemeClr val="lt1"/>
            </a:solidFill>
          </a:ln>
          <a:effectLst/>
        </c:spPr>
      </c:pivotFmt>
      <c:pivotFmt>
        <c:idx val="272"/>
        <c:spPr>
          <a:solidFill>
            <a:schemeClr val="accent1"/>
          </a:solidFill>
          <a:ln w="19050">
            <a:solidFill>
              <a:schemeClr val="lt1"/>
            </a:solidFill>
          </a:ln>
          <a:effectLst/>
        </c:spPr>
      </c:pivotFmt>
      <c:pivotFmt>
        <c:idx val="273"/>
        <c:spPr>
          <a:solidFill>
            <a:schemeClr val="accent1"/>
          </a:solidFill>
          <a:ln w="19050">
            <a:solidFill>
              <a:schemeClr val="lt1"/>
            </a:solidFill>
          </a:ln>
          <a:effectLst/>
        </c:spPr>
      </c:pivotFmt>
      <c:pivotFmt>
        <c:idx val="274"/>
        <c:spPr>
          <a:solidFill>
            <a:schemeClr val="accent1"/>
          </a:solidFill>
          <a:ln w="19050">
            <a:solidFill>
              <a:schemeClr val="lt1"/>
            </a:solidFill>
          </a:ln>
          <a:effectLst/>
        </c:spPr>
      </c:pivotFmt>
      <c:pivotFmt>
        <c:idx val="275"/>
        <c:spPr>
          <a:solidFill>
            <a:schemeClr val="accent1"/>
          </a:solidFill>
          <a:ln w="19050">
            <a:solidFill>
              <a:schemeClr val="lt1"/>
            </a:solidFill>
          </a:ln>
          <a:effectLst/>
        </c:spPr>
      </c:pivotFmt>
      <c:pivotFmt>
        <c:idx val="276"/>
        <c:spPr>
          <a:solidFill>
            <a:schemeClr val="accent1"/>
          </a:solidFill>
          <a:ln w="19050">
            <a:solidFill>
              <a:schemeClr val="lt1"/>
            </a:solidFill>
          </a:ln>
          <a:effectLst/>
        </c:spPr>
      </c:pivotFmt>
      <c:pivotFmt>
        <c:idx val="277"/>
        <c:spPr>
          <a:solidFill>
            <a:schemeClr val="accent1"/>
          </a:solidFill>
          <a:ln w="19050">
            <a:solidFill>
              <a:schemeClr val="lt1"/>
            </a:solidFill>
          </a:ln>
          <a:effectLst/>
        </c:spPr>
      </c:pivotFmt>
      <c:pivotFmt>
        <c:idx val="278"/>
        <c:spPr>
          <a:solidFill>
            <a:schemeClr val="accent1"/>
          </a:solidFill>
          <a:ln w="19050">
            <a:solidFill>
              <a:schemeClr val="lt1"/>
            </a:solidFill>
          </a:ln>
          <a:effectLst/>
        </c:spPr>
      </c:pivotFmt>
      <c:pivotFmt>
        <c:idx val="279"/>
        <c:spPr>
          <a:solidFill>
            <a:schemeClr val="accent1"/>
          </a:solidFill>
          <a:ln w="19050">
            <a:solidFill>
              <a:schemeClr val="lt1"/>
            </a:solidFill>
          </a:ln>
          <a:effectLst/>
        </c:spPr>
      </c:pivotFmt>
      <c:pivotFmt>
        <c:idx val="280"/>
        <c:spPr>
          <a:solidFill>
            <a:schemeClr val="accent1"/>
          </a:solidFill>
          <a:ln w="19050">
            <a:solidFill>
              <a:schemeClr val="lt1"/>
            </a:solidFill>
          </a:ln>
          <a:effectLst/>
        </c:spPr>
      </c:pivotFmt>
      <c:pivotFmt>
        <c:idx val="281"/>
        <c:spPr>
          <a:solidFill>
            <a:schemeClr val="accent1"/>
          </a:solidFill>
          <a:ln w="19050">
            <a:solidFill>
              <a:schemeClr val="lt1"/>
            </a:solidFill>
          </a:ln>
          <a:effectLst/>
        </c:spPr>
      </c:pivotFmt>
      <c:pivotFmt>
        <c:idx val="282"/>
        <c:spPr>
          <a:solidFill>
            <a:schemeClr val="accent1"/>
          </a:solidFill>
          <a:ln w="19050">
            <a:solidFill>
              <a:schemeClr val="lt1"/>
            </a:solidFill>
          </a:ln>
          <a:effectLst/>
        </c:spPr>
      </c:pivotFmt>
      <c:pivotFmt>
        <c:idx val="283"/>
        <c:spPr>
          <a:solidFill>
            <a:schemeClr val="accent1"/>
          </a:solidFill>
          <a:ln w="19050">
            <a:solidFill>
              <a:schemeClr val="lt1"/>
            </a:solidFill>
          </a:ln>
          <a:effectLst/>
        </c:spPr>
      </c:pivotFmt>
    </c:pivotFmts>
    <c:plotArea>
      <c:layout/>
      <c:pieChart>
        <c:varyColors val="1"/>
        <c:ser>
          <c:idx val="0"/>
          <c:order val="0"/>
          <c:tx>
            <c:strRef>
              <c:f>Sheet7!$B$3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B13-499F-86D9-3BD53C1C18B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B13-499F-86D9-3BD53C1C18B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B13-499F-86D9-3BD53C1C18B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B13-499F-86D9-3BD53C1C18B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6B13-499F-86D9-3BD53C1C18B1}"/>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6B13-499F-86D9-3BD53C1C18B1}"/>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6B13-499F-86D9-3BD53C1C18B1}"/>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6B13-499F-86D9-3BD53C1C18B1}"/>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6B13-499F-86D9-3BD53C1C18B1}"/>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6B13-499F-86D9-3BD53C1C18B1}"/>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6B13-499F-86D9-3BD53C1C18B1}"/>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6B13-499F-86D9-3BD53C1C18B1}"/>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6B13-499F-86D9-3BD53C1C18B1}"/>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6B13-499F-86D9-3BD53C1C18B1}"/>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6B13-499F-86D9-3BD53C1C18B1}"/>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6B13-499F-86D9-3BD53C1C18B1}"/>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6B13-499F-86D9-3BD53C1C18B1}"/>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6B13-499F-86D9-3BD53C1C18B1}"/>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6B13-499F-86D9-3BD53C1C18B1}"/>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6B13-499F-86D9-3BD53C1C18B1}"/>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6B13-499F-86D9-3BD53C1C18B1}"/>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6B13-499F-86D9-3BD53C1C18B1}"/>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6B13-499F-86D9-3BD53C1C18B1}"/>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6B13-499F-86D9-3BD53C1C18B1}"/>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6B13-499F-86D9-3BD53C1C18B1}"/>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6B13-499F-86D9-3BD53C1C18B1}"/>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6B13-499F-86D9-3BD53C1C18B1}"/>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6B13-499F-86D9-3BD53C1C18B1}"/>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6B13-499F-86D9-3BD53C1C18B1}"/>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6B13-499F-86D9-3BD53C1C18B1}"/>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6B13-499F-86D9-3BD53C1C18B1}"/>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6B13-499F-86D9-3BD53C1C18B1}"/>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6B13-499F-86D9-3BD53C1C18B1}"/>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6B13-499F-86D9-3BD53C1C18B1}"/>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6B13-499F-86D9-3BD53C1C18B1}"/>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6B13-499F-86D9-3BD53C1C18B1}"/>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6B13-499F-86D9-3BD53C1C18B1}"/>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6B13-499F-86D9-3BD53C1C18B1}"/>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6B13-499F-86D9-3BD53C1C18B1}"/>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6B13-499F-86D9-3BD53C1C18B1}"/>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6B13-499F-86D9-3BD53C1C18B1}"/>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6B13-499F-86D9-3BD53C1C18B1}"/>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6B13-499F-86D9-3BD53C1C18B1}"/>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6B13-499F-86D9-3BD53C1C18B1}"/>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6B13-499F-86D9-3BD53C1C18B1}"/>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6B13-499F-86D9-3BD53C1C18B1}"/>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6B13-499F-86D9-3BD53C1C18B1}"/>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6B13-499F-86D9-3BD53C1C18B1}"/>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6B13-499F-86D9-3BD53C1C18B1}"/>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6B13-499F-86D9-3BD53C1C18B1}"/>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6B13-499F-86D9-3BD53C1C18B1}"/>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6B13-499F-86D9-3BD53C1C18B1}"/>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6B13-499F-86D9-3BD53C1C18B1}"/>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6B13-499F-86D9-3BD53C1C18B1}"/>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6B13-499F-86D9-3BD53C1C18B1}"/>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6B13-499F-86D9-3BD53C1C18B1}"/>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6B13-499F-86D9-3BD53C1C18B1}"/>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6B13-499F-86D9-3BD53C1C18B1}"/>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6B13-499F-86D9-3BD53C1C18B1}"/>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6B13-499F-86D9-3BD53C1C18B1}"/>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6B13-499F-86D9-3BD53C1C18B1}"/>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6B13-499F-86D9-3BD53C1C18B1}"/>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7D-6B13-499F-86D9-3BD53C1C18B1}"/>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7F-6B13-499F-86D9-3BD53C1C18B1}"/>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81-6B13-499F-86D9-3BD53C1C18B1}"/>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83-6B13-499F-86D9-3BD53C1C18B1}"/>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85-6B13-499F-86D9-3BD53C1C18B1}"/>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87-6B13-499F-86D9-3BD53C1C18B1}"/>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89-6B13-499F-86D9-3BD53C1C18B1}"/>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8B-6B13-499F-86D9-3BD53C1C18B1}"/>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8D-6B13-499F-86D9-3BD53C1C18B1}"/>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8F-6B13-499F-86D9-3BD53C1C18B1}"/>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91-6B13-499F-86D9-3BD53C1C18B1}"/>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93-6B13-499F-86D9-3BD53C1C18B1}"/>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95-6B13-499F-86D9-3BD53C1C18B1}"/>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97-6B13-499F-86D9-3BD53C1C18B1}"/>
              </c:ext>
            </c:extLst>
          </c:dPt>
          <c:dPt>
            <c:idx val="76"/>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99-6B13-499F-86D9-3BD53C1C18B1}"/>
              </c:ext>
            </c:extLst>
          </c:dPt>
          <c:dPt>
            <c:idx val="77"/>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9B-6B13-499F-86D9-3BD53C1C18B1}"/>
              </c:ext>
            </c:extLst>
          </c:dPt>
          <c:dPt>
            <c:idx val="78"/>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9D-6B13-499F-86D9-3BD53C1C18B1}"/>
              </c:ext>
            </c:extLst>
          </c:dPt>
          <c:dPt>
            <c:idx val="79"/>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9F-6B13-499F-86D9-3BD53C1C18B1}"/>
              </c:ext>
            </c:extLst>
          </c:dPt>
          <c:dPt>
            <c:idx val="80"/>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A1-6B13-499F-86D9-3BD53C1C18B1}"/>
              </c:ext>
            </c:extLst>
          </c:dPt>
          <c:dPt>
            <c:idx val="81"/>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A3-6B13-499F-86D9-3BD53C1C18B1}"/>
              </c:ext>
            </c:extLst>
          </c:dPt>
          <c:dPt>
            <c:idx val="82"/>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A5-6B13-499F-86D9-3BD53C1C18B1}"/>
              </c:ext>
            </c:extLst>
          </c:dPt>
          <c:dPt>
            <c:idx val="83"/>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A7-6B13-499F-86D9-3BD53C1C18B1}"/>
              </c:ext>
            </c:extLst>
          </c:dPt>
          <c:dPt>
            <c:idx val="84"/>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A9-6B13-499F-86D9-3BD53C1C18B1}"/>
              </c:ext>
            </c:extLst>
          </c:dPt>
          <c:dPt>
            <c:idx val="85"/>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AB-6B13-499F-86D9-3BD53C1C18B1}"/>
              </c:ext>
            </c:extLst>
          </c:dPt>
          <c:dPt>
            <c:idx val="86"/>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AD-6B13-499F-86D9-3BD53C1C18B1}"/>
              </c:ext>
            </c:extLst>
          </c:dPt>
          <c:dPt>
            <c:idx val="87"/>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AF-6B13-499F-86D9-3BD53C1C18B1}"/>
              </c:ext>
            </c:extLst>
          </c:dPt>
          <c:dPt>
            <c:idx val="88"/>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B1-6B13-499F-86D9-3BD53C1C18B1}"/>
              </c:ext>
            </c:extLst>
          </c:dPt>
          <c:dPt>
            <c:idx val="89"/>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B3-6B13-499F-86D9-3BD53C1C18B1}"/>
              </c:ext>
            </c:extLst>
          </c:dPt>
          <c:dPt>
            <c:idx val="90"/>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B5-6B13-499F-86D9-3BD53C1C18B1}"/>
              </c:ext>
            </c:extLst>
          </c:dPt>
          <c:dPt>
            <c:idx val="91"/>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B7-6B13-499F-86D9-3BD53C1C18B1}"/>
              </c:ext>
            </c:extLst>
          </c:dPt>
          <c:dPt>
            <c:idx val="92"/>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B9-6B13-499F-86D9-3BD53C1C18B1}"/>
              </c:ext>
            </c:extLst>
          </c:dPt>
          <c:dPt>
            <c:idx val="93"/>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BB-6B13-499F-86D9-3BD53C1C18B1}"/>
              </c:ext>
            </c:extLst>
          </c:dPt>
          <c:dPt>
            <c:idx val="94"/>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BD-6B13-499F-86D9-3BD53C1C18B1}"/>
              </c:ext>
            </c:extLst>
          </c:dPt>
          <c:dPt>
            <c:idx val="95"/>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BF-6B13-499F-86D9-3BD53C1C18B1}"/>
              </c:ext>
            </c:extLst>
          </c:dPt>
          <c:dPt>
            <c:idx val="96"/>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C1-6B13-499F-86D9-3BD53C1C18B1}"/>
              </c:ext>
            </c:extLst>
          </c:dPt>
          <c:dPt>
            <c:idx val="97"/>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C3-6B13-499F-86D9-3BD53C1C18B1}"/>
              </c:ext>
            </c:extLst>
          </c:dPt>
          <c:dPt>
            <c:idx val="98"/>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C5-6B13-499F-86D9-3BD53C1C18B1}"/>
              </c:ext>
            </c:extLst>
          </c:dPt>
          <c:dPt>
            <c:idx val="99"/>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C7-6B13-499F-86D9-3BD53C1C18B1}"/>
              </c:ext>
            </c:extLst>
          </c:dPt>
          <c:dPt>
            <c:idx val="100"/>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C9-6B13-499F-86D9-3BD53C1C18B1}"/>
              </c:ext>
            </c:extLst>
          </c:dPt>
          <c:dPt>
            <c:idx val="101"/>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CB-6B13-499F-86D9-3BD53C1C18B1}"/>
              </c:ext>
            </c:extLst>
          </c:dPt>
          <c:dPt>
            <c:idx val="102"/>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CD-6B13-499F-86D9-3BD53C1C18B1}"/>
              </c:ext>
            </c:extLst>
          </c:dPt>
          <c:dPt>
            <c:idx val="103"/>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CF-6B13-499F-86D9-3BD53C1C18B1}"/>
              </c:ext>
            </c:extLst>
          </c:dPt>
          <c:dPt>
            <c:idx val="104"/>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D1-6B13-499F-86D9-3BD53C1C18B1}"/>
              </c:ext>
            </c:extLst>
          </c:dPt>
          <c:dPt>
            <c:idx val="105"/>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D3-6B13-499F-86D9-3BD53C1C18B1}"/>
              </c:ext>
            </c:extLst>
          </c:dPt>
          <c:dPt>
            <c:idx val="106"/>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D5-6B13-499F-86D9-3BD53C1C18B1}"/>
              </c:ext>
            </c:extLst>
          </c:dPt>
          <c:dPt>
            <c:idx val="107"/>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D7-6B13-499F-86D9-3BD53C1C18B1}"/>
              </c:ext>
            </c:extLst>
          </c:dPt>
          <c:dPt>
            <c:idx val="108"/>
            <c:bubble3D val="0"/>
            <c:spPr>
              <a:solidFill>
                <a:schemeClr val="accent1"/>
              </a:solidFill>
              <a:ln w="19050">
                <a:solidFill>
                  <a:schemeClr val="lt1"/>
                </a:solidFill>
              </a:ln>
              <a:effectLst/>
            </c:spPr>
            <c:extLst>
              <c:ext xmlns:c16="http://schemas.microsoft.com/office/drawing/2014/chart" uri="{C3380CC4-5D6E-409C-BE32-E72D297353CC}">
                <c16:uniqueId val="{000000D9-6B13-499F-86D9-3BD53C1C18B1}"/>
              </c:ext>
            </c:extLst>
          </c:dPt>
          <c:dPt>
            <c:idx val="109"/>
            <c:bubble3D val="0"/>
            <c:spPr>
              <a:solidFill>
                <a:schemeClr val="accent2"/>
              </a:solidFill>
              <a:ln w="19050">
                <a:solidFill>
                  <a:schemeClr val="lt1"/>
                </a:solidFill>
              </a:ln>
              <a:effectLst/>
            </c:spPr>
            <c:extLst>
              <c:ext xmlns:c16="http://schemas.microsoft.com/office/drawing/2014/chart" uri="{C3380CC4-5D6E-409C-BE32-E72D297353CC}">
                <c16:uniqueId val="{000000DB-6B13-499F-86D9-3BD53C1C18B1}"/>
              </c:ext>
            </c:extLst>
          </c:dPt>
          <c:dPt>
            <c:idx val="110"/>
            <c:bubble3D val="0"/>
            <c:spPr>
              <a:solidFill>
                <a:schemeClr val="accent3"/>
              </a:solidFill>
              <a:ln w="19050">
                <a:solidFill>
                  <a:schemeClr val="lt1"/>
                </a:solidFill>
              </a:ln>
              <a:effectLst/>
            </c:spPr>
            <c:extLst>
              <c:ext xmlns:c16="http://schemas.microsoft.com/office/drawing/2014/chart" uri="{C3380CC4-5D6E-409C-BE32-E72D297353CC}">
                <c16:uniqueId val="{000000DD-6B13-499F-86D9-3BD53C1C18B1}"/>
              </c:ext>
            </c:extLst>
          </c:dPt>
          <c:dPt>
            <c:idx val="111"/>
            <c:bubble3D val="0"/>
            <c:spPr>
              <a:solidFill>
                <a:schemeClr val="accent4"/>
              </a:solidFill>
              <a:ln w="19050">
                <a:solidFill>
                  <a:schemeClr val="lt1"/>
                </a:solidFill>
              </a:ln>
              <a:effectLst/>
            </c:spPr>
            <c:extLst>
              <c:ext xmlns:c16="http://schemas.microsoft.com/office/drawing/2014/chart" uri="{C3380CC4-5D6E-409C-BE32-E72D297353CC}">
                <c16:uniqueId val="{000000DF-6B13-499F-86D9-3BD53C1C18B1}"/>
              </c:ext>
            </c:extLst>
          </c:dPt>
          <c:dPt>
            <c:idx val="112"/>
            <c:bubble3D val="0"/>
            <c:spPr>
              <a:solidFill>
                <a:schemeClr val="accent5"/>
              </a:solidFill>
              <a:ln w="19050">
                <a:solidFill>
                  <a:schemeClr val="lt1"/>
                </a:solidFill>
              </a:ln>
              <a:effectLst/>
            </c:spPr>
            <c:extLst>
              <c:ext xmlns:c16="http://schemas.microsoft.com/office/drawing/2014/chart" uri="{C3380CC4-5D6E-409C-BE32-E72D297353CC}">
                <c16:uniqueId val="{000000E1-6B13-499F-86D9-3BD53C1C18B1}"/>
              </c:ext>
            </c:extLst>
          </c:dPt>
          <c:dPt>
            <c:idx val="113"/>
            <c:bubble3D val="0"/>
            <c:spPr>
              <a:solidFill>
                <a:schemeClr val="accent6"/>
              </a:solidFill>
              <a:ln w="19050">
                <a:solidFill>
                  <a:schemeClr val="lt1"/>
                </a:solidFill>
              </a:ln>
              <a:effectLst/>
            </c:spPr>
            <c:extLst>
              <c:ext xmlns:c16="http://schemas.microsoft.com/office/drawing/2014/chart" uri="{C3380CC4-5D6E-409C-BE32-E72D297353CC}">
                <c16:uniqueId val="{000000E3-6B13-499F-86D9-3BD53C1C18B1}"/>
              </c:ext>
            </c:extLst>
          </c:dPt>
          <c:dPt>
            <c:idx val="114"/>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E5-6B13-499F-86D9-3BD53C1C18B1}"/>
              </c:ext>
            </c:extLst>
          </c:dPt>
          <c:dPt>
            <c:idx val="11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E7-6B13-499F-86D9-3BD53C1C18B1}"/>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E9-6B13-499F-86D9-3BD53C1C18B1}"/>
              </c:ext>
            </c:extLst>
          </c:dPt>
          <c:dPt>
            <c:idx val="117"/>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EB-6B13-499F-86D9-3BD53C1C18B1}"/>
              </c:ext>
            </c:extLst>
          </c:dPt>
          <c:dPt>
            <c:idx val="118"/>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ED-6B13-499F-86D9-3BD53C1C18B1}"/>
              </c:ext>
            </c:extLst>
          </c:dPt>
          <c:dPt>
            <c:idx val="119"/>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EF-6B13-499F-86D9-3BD53C1C18B1}"/>
              </c:ext>
            </c:extLst>
          </c:dPt>
          <c:dPt>
            <c:idx val="120"/>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F1-6B13-499F-86D9-3BD53C1C18B1}"/>
              </c:ext>
            </c:extLst>
          </c:dPt>
          <c:dPt>
            <c:idx val="121"/>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F3-6B13-499F-86D9-3BD53C1C18B1}"/>
              </c:ext>
            </c:extLst>
          </c:dPt>
          <c:dPt>
            <c:idx val="122"/>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F5-6B13-499F-86D9-3BD53C1C18B1}"/>
              </c:ext>
            </c:extLst>
          </c:dPt>
          <c:dPt>
            <c:idx val="123"/>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F7-6B13-499F-86D9-3BD53C1C18B1}"/>
              </c:ext>
            </c:extLst>
          </c:dPt>
          <c:dPt>
            <c:idx val="124"/>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F9-6B13-499F-86D9-3BD53C1C18B1}"/>
              </c:ext>
            </c:extLst>
          </c:dPt>
          <c:dPt>
            <c:idx val="125"/>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FB-6B13-499F-86D9-3BD53C1C18B1}"/>
              </c:ext>
            </c:extLst>
          </c:dPt>
          <c:dPt>
            <c:idx val="126"/>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FD-6B13-499F-86D9-3BD53C1C18B1}"/>
              </c:ext>
            </c:extLst>
          </c:dPt>
          <c:dPt>
            <c:idx val="127"/>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FF-6B13-499F-86D9-3BD53C1C18B1}"/>
              </c:ext>
            </c:extLst>
          </c:dPt>
          <c:dPt>
            <c:idx val="128"/>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101-6B13-499F-86D9-3BD53C1C18B1}"/>
              </c:ext>
            </c:extLst>
          </c:dPt>
          <c:dPt>
            <c:idx val="129"/>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103-6B13-499F-86D9-3BD53C1C18B1}"/>
              </c:ext>
            </c:extLst>
          </c:dPt>
          <c:dPt>
            <c:idx val="130"/>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105-6B13-499F-86D9-3BD53C1C18B1}"/>
              </c:ext>
            </c:extLst>
          </c:dPt>
          <c:dPt>
            <c:idx val="131"/>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107-6B13-499F-86D9-3BD53C1C18B1}"/>
              </c:ext>
            </c:extLst>
          </c:dPt>
          <c:dPt>
            <c:idx val="132"/>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109-6B13-499F-86D9-3BD53C1C18B1}"/>
              </c:ext>
            </c:extLst>
          </c:dPt>
          <c:dPt>
            <c:idx val="133"/>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10B-6B13-499F-86D9-3BD53C1C18B1}"/>
              </c:ext>
            </c:extLst>
          </c:dPt>
          <c:dPt>
            <c:idx val="134"/>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10D-6B13-499F-86D9-3BD53C1C18B1}"/>
              </c:ext>
            </c:extLst>
          </c:dPt>
          <c:dPt>
            <c:idx val="135"/>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10F-6B13-499F-86D9-3BD53C1C18B1}"/>
              </c:ext>
            </c:extLst>
          </c:dPt>
          <c:dPt>
            <c:idx val="136"/>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111-6B13-499F-86D9-3BD53C1C18B1}"/>
              </c:ext>
            </c:extLst>
          </c:dPt>
          <c:dPt>
            <c:idx val="137"/>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113-6B13-499F-86D9-3BD53C1C18B1}"/>
              </c:ext>
            </c:extLst>
          </c:dPt>
          <c:dPt>
            <c:idx val="138"/>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115-6B13-499F-86D9-3BD53C1C18B1}"/>
              </c:ext>
            </c:extLst>
          </c:dPt>
          <c:dPt>
            <c:idx val="139"/>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117-6B13-499F-86D9-3BD53C1C18B1}"/>
              </c:ext>
            </c:extLst>
          </c:dPt>
          <c:dPt>
            <c:idx val="140"/>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119-6B13-499F-86D9-3BD53C1C18B1}"/>
              </c:ext>
            </c:extLst>
          </c:dPt>
          <c:dPt>
            <c:idx val="141"/>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11B-6B13-499F-86D9-3BD53C1C18B1}"/>
              </c:ext>
            </c:extLst>
          </c:dPt>
          <c:dPt>
            <c:idx val="142"/>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11D-6B13-499F-86D9-3BD53C1C18B1}"/>
              </c:ext>
            </c:extLst>
          </c:dPt>
          <c:dPt>
            <c:idx val="143"/>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11F-6B13-499F-86D9-3BD53C1C18B1}"/>
              </c:ext>
            </c:extLst>
          </c:dPt>
          <c:dPt>
            <c:idx val="144"/>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121-6B13-499F-86D9-3BD53C1C18B1}"/>
              </c:ext>
            </c:extLst>
          </c:dPt>
          <c:dPt>
            <c:idx val="145"/>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123-6B13-499F-86D9-3BD53C1C18B1}"/>
              </c:ext>
            </c:extLst>
          </c:dPt>
          <c:dPt>
            <c:idx val="146"/>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125-6B13-499F-86D9-3BD53C1C18B1}"/>
              </c:ext>
            </c:extLst>
          </c:dPt>
          <c:dPt>
            <c:idx val="147"/>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127-6B13-499F-86D9-3BD53C1C18B1}"/>
              </c:ext>
            </c:extLst>
          </c:dPt>
          <c:dPt>
            <c:idx val="148"/>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129-6B13-499F-86D9-3BD53C1C18B1}"/>
              </c:ext>
            </c:extLst>
          </c:dPt>
          <c:dPt>
            <c:idx val="149"/>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12B-6B13-499F-86D9-3BD53C1C18B1}"/>
              </c:ext>
            </c:extLst>
          </c:dPt>
          <c:dPt>
            <c:idx val="150"/>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12D-6B13-499F-86D9-3BD53C1C18B1}"/>
              </c:ext>
            </c:extLst>
          </c:dPt>
          <c:dPt>
            <c:idx val="151"/>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12F-6B13-499F-86D9-3BD53C1C18B1}"/>
              </c:ext>
            </c:extLst>
          </c:dPt>
          <c:dPt>
            <c:idx val="152"/>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131-6B13-499F-86D9-3BD53C1C18B1}"/>
              </c:ext>
            </c:extLst>
          </c:dPt>
          <c:dPt>
            <c:idx val="153"/>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133-6B13-499F-86D9-3BD53C1C18B1}"/>
              </c:ext>
            </c:extLst>
          </c:dPt>
          <c:dPt>
            <c:idx val="154"/>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135-6B13-499F-86D9-3BD53C1C18B1}"/>
              </c:ext>
            </c:extLst>
          </c:dPt>
          <c:dPt>
            <c:idx val="155"/>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137-6B13-499F-86D9-3BD53C1C18B1}"/>
              </c:ext>
            </c:extLst>
          </c:dPt>
          <c:dPt>
            <c:idx val="156"/>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139-6B13-499F-86D9-3BD53C1C18B1}"/>
              </c:ext>
            </c:extLst>
          </c:dPt>
          <c:dPt>
            <c:idx val="157"/>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13B-6B13-499F-86D9-3BD53C1C18B1}"/>
              </c:ext>
            </c:extLst>
          </c:dPt>
          <c:dPt>
            <c:idx val="158"/>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13D-6B13-499F-86D9-3BD53C1C18B1}"/>
              </c:ext>
            </c:extLst>
          </c:dPt>
          <c:dPt>
            <c:idx val="159"/>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13F-6B13-499F-86D9-3BD53C1C18B1}"/>
              </c:ext>
            </c:extLst>
          </c:dPt>
          <c:dPt>
            <c:idx val="160"/>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141-6B13-499F-86D9-3BD53C1C18B1}"/>
              </c:ext>
            </c:extLst>
          </c:dPt>
          <c:dPt>
            <c:idx val="161"/>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143-6B13-499F-86D9-3BD53C1C18B1}"/>
              </c:ext>
            </c:extLst>
          </c:dPt>
          <c:dPt>
            <c:idx val="162"/>
            <c:bubble3D val="0"/>
            <c:spPr>
              <a:solidFill>
                <a:schemeClr val="accent1"/>
              </a:solidFill>
              <a:ln w="19050">
                <a:solidFill>
                  <a:schemeClr val="lt1"/>
                </a:solidFill>
              </a:ln>
              <a:effectLst/>
            </c:spPr>
            <c:extLst>
              <c:ext xmlns:c16="http://schemas.microsoft.com/office/drawing/2014/chart" uri="{C3380CC4-5D6E-409C-BE32-E72D297353CC}">
                <c16:uniqueId val="{00000145-6B13-499F-86D9-3BD53C1C18B1}"/>
              </c:ext>
            </c:extLst>
          </c:dPt>
          <c:dPt>
            <c:idx val="163"/>
            <c:bubble3D val="0"/>
            <c:spPr>
              <a:solidFill>
                <a:schemeClr val="accent2"/>
              </a:solidFill>
              <a:ln w="19050">
                <a:solidFill>
                  <a:schemeClr val="lt1"/>
                </a:solidFill>
              </a:ln>
              <a:effectLst/>
            </c:spPr>
            <c:extLst>
              <c:ext xmlns:c16="http://schemas.microsoft.com/office/drawing/2014/chart" uri="{C3380CC4-5D6E-409C-BE32-E72D297353CC}">
                <c16:uniqueId val="{00000147-6B13-499F-86D9-3BD53C1C18B1}"/>
              </c:ext>
            </c:extLst>
          </c:dPt>
          <c:dPt>
            <c:idx val="164"/>
            <c:bubble3D val="0"/>
            <c:spPr>
              <a:solidFill>
                <a:schemeClr val="accent3"/>
              </a:solidFill>
              <a:ln w="19050">
                <a:solidFill>
                  <a:schemeClr val="lt1"/>
                </a:solidFill>
              </a:ln>
              <a:effectLst/>
            </c:spPr>
            <c:extLst>
              <c:ext xmlns:c16="http://schemas.microsoft.com/office/drawing/2014/chart" uri="{C3380CC4-5D6E-409C-BE32-E72D297353CC}">
                <c16:uniqueId val="{00000149-6B13-499F-86D9-3BD53C1C18B1}"/>
              </c:ext>
            </c:extLst>
          </c:dPt>
          <c:dPt>
            <c:idx val="165"/>
            <c:bubble3D val="0"/>
            <c:spPr>
              <a:solidFill>
                <a:schemeClr val="accent4"/>
              </a:solidFill>
              <a:ln w="19050">
                <a:solidFill>
                  <a:schemeClr val="lt1"/>
                </a:solidFill>
              </a:ln>
              <a:effectLst/>
            </c:spPr>
            <c:extLst>
              <c:ext xmlns:c16="http://schemas.microsoft.com/office/drawing/2014/chart" uri="{C3380CC4-5D6E-409C-BE32-E72D297353CC}">
                <c16:uniqueId val="{0000014B-6B13-499F-86D9-3BD53C1C18B1}"/>
              </c:ext>
            </c:extLst>
          </c:dPt>
          <c:dPt>
            <c:idx val="166"/>
            <c:bubble3D val="0"/>
            <c:spPr>
              <a:solidFill>
                <a:schemeClr val="accent5"/>
              </a:solidFill>
              <a:ln w="19050">
                <a:solidFill>
                  <a:schemeClr val="lt1"/>
                </a:solidFill>
              </a:ln>
              <a:effectLst/>
            </c:spPr>
            <c:extLst>
              <c:ext xmlns:c16="http://schemas.microsoft.com/office/drawing/2014/chart" uri="{C3380CC4-5D6E-409C-BE32-E72D297353CC}">
                <c16:uniqueId val="{0000014D-6B13-499F-86D9-3BD53C1C18B1}"/>
              </c:ext>
            </c:extLst>
          </c:dPt>
          <c:dPt>
            <c:idx val="167"/>
            <c:bubble3D val="0"/>
            <c:spPr>
              <a:solidFill>
                <a:schemeClr val="accent6"/>
              </a:solidFill>
              <a:ln w="19050">
                <a:solidFill>
                  <a:schemeClr val="lt1"/>
                </a:solidFill>
              </a:ln>
              <a:effectLst/>
            </c:spPr>
            <c:extLst>
              <c:ext xmlns:c16="http://schemas.microsoft.com/office/drawing/2014/chart" uri="{C3380CC4-5D6E-409C-BE32-E72D297353CC}">
                <c16:uniqueId val="{0000014F-6B13-499F-86D9-3BD53C1C18B1}"/>
              </c:ext>
            </c:extLst>
          </c:dPt>
          <c:dPt>
            <c:idx val="168"/>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151-6B13-499F-86D9-3BD53C1C18B1}"/>
              </c:ext>
            </c:extLst>
          </c:dPt>
          <c:dPt>
            <c:idx val="169"/>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153-6B13-499F-86D9-3BD53C1C18B1}"/>
              </c:ext>
            </c:extLst>
          </c:dPt>
          <c:dPt>
            <c:idx val="170"/>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155-6B13-499F-86D9-3BD53C1C18B1}"/>
              </c:ext>
            </c:extLst>
          </c:dPt>
          <c:dPt>
            <c:idx val="171"/>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157-6B13-499F-86D9-3BD53C1C18B1}"/>
              </c:ext>
            </c:extLst>
          </c:dPt>
          <c:dPt>
            <c:idx val="172"/>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159-6B13-499F-86D9-3BD53C1C18B1}"/>
              </c:ext>
            </c:extLst>
          </c:dPt>
          <c:dPt>
            <c:idx val="173"/>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15B-6B13-499F-86D9-3BD53C1C18B1}"/>
              </c:ext>
            </c:extLst>
          </c:dPt>
          <c:dPt>
            <c:idx val="174"/>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15D-6B13-499F-86D9-3BD53C1C18B1}"/>
              </c:ext>
            </c:extLst>
          </c:dPt>
          <c:dPt>
            <c:idx val="175"/>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15F-6B13-499F-86D9-3BD53C1C18B1}"/>
              </c:ext>
            </c:extLst>
          </c:dPt>
          <c:dPt>
            <c:idx val="176"/>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161-6B13-499F-86D9-3BD53C1C18B1}"/>
              </c:ext>
            </c:extLst>
          </c:dPt>
          <c:dPt>
            <c:idx val="177"/>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163-6B13-499F-86D9-3BD53C1C18B1}"/>
              </c:ext>
            </c:extLst>
          </c:dPt>
          <c:dPt>
            <c:idx val="178"/>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165-6B13-499F-86D9-3BD53C1C18B1}"/>
              </c:ext>
            </c:extLst>
          </c:dPt>
          <c:dPt>
            <c:idx val="179"/>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167-6B13-499F-86D9-3BD53C1C18B1}"/>
              </c:ext>
            </c:extLst>
          </c:dPt>
          <c:dPt>
            <c:idx val="180"/>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169-6B13-499F-86D9-3BD53C1C18B1}"/>
              </c:ext>
            </c:extLst>
          </c:dPt>
          <c:dPt>
            <c:idx val="181"/>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16B-6B13-499F-86D9-3BD53C1C18B1}"/>
              </c:ext>
            </c:extLst>
          </c:dPt>
          <c:dPt>
            <c:idx val="182"/>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16D-6B13-499F-86D9-3BD53C1C18B1}"/>
              </c:ext>
            </c:extLst>
          </c:dPt>
          <c:dPt>
            <c:idx val="183"/>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16F-6B13-499F-86D9-3BD53C1C18B1}"/>
              </c:ext>
            </c:extLst>
          </c:dPt>
          <c:dPt>
            <c:idx val="184"/>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171-6B13-499F-86D9-3BD53C1C18B1}"/>
              </c:ext>
            </c:extLst>
          </c:dPt>
          <c:dPt>
            <c:idx val="185"/>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173-6B13-499F-86D9-3BD53C1C18B1}"/>
              </c:ext>
            </c:extLst>
          </c:dPt>
          <c:dPt>
            <c:idx val="186"/>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175-6B13-499F-86D9-3BD53C1C18B1}"/>
              </c:ext>
            </c:extLst>
          </c:dPt>
          <c:dPt>
            <c:idx val="187"/>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177-6B13-499F-86D9-3BD53C1C18B1}"/>
              </c:ext>
            </c:extLst>
          </c:dPt>
          <c:dPt>
            <c:idx val="188"/>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179-6B13-499F-86D9-3BD53C1C18B1}"/>
              </c:ext>
            </c:extLst>
          </c:dPt>
          <c:dPt>
            <c:idx val="189"/>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17B-6B13-499F-86D9-3BD53C1C18B1}"/>
              </c:ext>
            </c:extLst>
          </c:dPt>
          <c:dPt>
            <c:idx val="190"/>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17D-6B13-499F-86D9-3BD53C1C18B1}"/>
              </c:ext>
            </c:extLst>
          </c:dPt>
          <c:dPt>
            <c:idx val="191"/>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17F-6B13-499F-86D9-3BD53C1C18B1}"/>
              </c:ext>
            </c:extLst>
          </c:dPt>
          <c:dPt>
            <c:idx val="192"/>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181-6B13-499F-86D9-3BD53C1C18B1}"/>
              </c:ext>
            </c:extLst>
          </c:dPt>
          <c:dPt>
            <c:idx val="193"/>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183-6B13-499F-86D9-3BD53C1C18B1}"/>
              </c:ext>
            </c:extLst>
          </c:dPt>
          <c:dPt>
            <c:idx val="194"/>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185-6B13-499F-86D9-3BD53C1C18B1}"/>
              </c:ext>
            </c:extLst>
          </c:dPt>
          <c:dPt>
            <c:idx val="195"/>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187-6B13-499F-86D9-3BD53C1C18B1}"/>
              </c:ext>
            </c:extLst>
          </c:dPt>
          <c:dPt>
            <c:idx val="196"/>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189-6B13-499F-86D9-3BD53C1C18B1}"/>
              </c:ext>
            </c:extLst>
          </c:dPt>
          <c:dPt>
            <c:idx val="197"/>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18B-6B13-499F-86D9-3BD53C1C18B1}"/>
              </c:ext>
            </c:extLst>
          </c:dPt>
          <c:dPt>
            <c:idx val="198"/>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18D-6B13-499F-86D9-3BD53C1C18B1}"/>
              </c:ext>
            </c:extLst>
          </c:dPt>
          <c:dPt>
            <c:idx val="199"/>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18F-6B13-499F-86D9-3BD53C1C18B1}"/>
              </c:ext>
            </c:extLst>
          </c:dPt>
          <c:dPt>
            <c:idx val="200"/>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191-6B13-499F-86D9-3BD53C1C18B1}"/>
              </c:ext>
            </c:extLst>
          </c:dPt>
          <c:dPt>
            <c:idx val="201"/>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193-6B13-499F-86D9-3BD53C1C18B1}"/>
              </c:ext>
            </c:extLst>
          </c:dPt>
          <c:dPt>
            <c:idx val="202"/>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195-6B13-499F-86D9-3BD53C1C18B1}"/>
              </c:ext>
            </c:extLst>
          </c:dPt>
          <c:dPt>
            <c:idx val="203"/>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197-6B13-499F-86D9-3BD53C1C18B1}"/>
              </c:ext>
            </c:extLst>
          </c:dPt>
          <c:dPt>
            <c:idx val="204"/>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199-6B13-499F-86D9-3BD53C1C18B1}"/>
              </c:ext>
            </c:extLst>
          </c:dPt>
          <c:dPt>
            <c:idx val="205"/>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19B-6B13-499F-86D9-3BD53C1C18B1}"/>
              </c:ext>
            </c:extLst>
          </c:dPt>
          <c:dPt>
            <c:idx val="206"/>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19D-6B13-499F-86D9-3BD53C1C18B1}"/>
              </c:ext>
            </c:extLst>
          </c:dPt>
          <c:dPt>
            <c:idx val="207"/>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19F-6B13-499F-86D9-3BD53C1C18B1}"/>
              </c:ext>
            </c:extLst>
          </c:dPt>
          <c:dPt>
            <c:idx val="208"/>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1A1-6B13-499F-86D9-3BD53C1C18B1}"/>
              </c:ext>
            </c:extLst>
          </c:dPt>
          <c:dPt>
            <c:idx val="209"/>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1A3-6B13-499F-86D9-3BD53C1C18B1}"/>
              </c:ext>
            </c:extLst>
          </c:dPt>
          <c:dPt>
            <c:idx val="210"/>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1A5-6B13-499F-86D9-3BD53C1C18B1}"/>
              </c:ext>
            </c:extLst>
          </c:dPt>
          <c:dPt>
            <c:idx val="211"/>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1A7-6B13-499F-86D9-3BD53C1C18B1}"/>
              </c:ext>
            </c:extLst>
          </c:dPt>
          <c:dPt>
            <c:idx val="212"/>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1A9-6B13-499F-86D9-3BD53C1C18B1}"/>
              </c:ext>
            </c:extLst>
          </c:dPt>
          <c:dPt>
            <c:idx val="213"/>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1AB-6B13-499F-86D9-3BD53C1C18B1}"/>
              </c:ext>
            </c:extLst>
          </c:dPt>
          <c:dPt>
            <c:idx val="214"/>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1AD-6B13-499F-86D9-3BD53C1C18B1}"/>
              </c:ext>
            </c:extLst>
          </c:dPt>
          <c:dPt>
            <c:idx val="215"/>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1AF-6B13-499F-86D9-3BD53C1C18B1}"/>
              </c:ext>
            </c:extLst>
          </c:dPt>
          <c:dPt>
            <c:idx val="216"/>
            <c:bubble3D val="0"/>
            <c:spPr>
              <a:solidFill>
                <a:schemeClr val="accent1"/>
              </a:solidFill>
              <a:ln w="19050">
                <a:solidFill>
                  <a:schemeClr val="lt1"/>
                </a:solidFill>
              </a:ln>
              <a:effectLst/>
            </c:spPr>
            <c:extLst>
              <c:ext xmlns:c16="http://schemas.microsoft.com/office/drawing/2014/chart" uri="{C3380CC4-5D6E-409C-BE32-E72D297353CC}">
                <c16:uniqueId val="{000001B1-6B13-499F-86D9-3BD53C1C18B1}"/>
              </c:ext>
            </c:extLst>
          </c:dPt>
          <c:dPt>
            <c:idx val="217"/>
            <c:bubble3D val="0"/>
            <c:spPr>
              <a:solidFill>
                <a:schemeClr val="accent2"/>
              </a:solidFill>
              <a:ln w="19050">
                <a:solidFill>
                  <a:schemeClr val="lt1"/>
                </a:solidFill>
              </a:ln>
              <a:effectLst/>
            </c:spPr>
            <c:extLst>
              <c:ext xmlns:c16="http://schemas.microsoft.com/office/drawing/2014/chart" uri="{C3380CC4-5D6E-409C-BE32-E72D297353CC}">
                <c16:uniqueId val="{000001B3-6B13-499F-86D9-3BD53C1C18B1}"/>
              </c:ext>
            </c:extLst>
          </c:dPt>
          <c:dPt>
            <c:idx val="218"/>
            <c:bubble3D val="0"/>
            <c:spPr>
              <a:solidFill>
                <a:schemeClr val="accent3"/>
              </a:solidFill>
              <a:ln w="19050">
                <a:solidFill>
                  <a:schemeClr val="lt1"/>
                </a:solidFill>
              </a:ln>
              <a:effectLst/>
            </c:spPr>
            <c:extLst>
              <c:ext xmlns:c16="http://schemas.microsoft.com/office/drawing/2014/chart" uri="{C3380CC4-5D6E-409C-BE32-E72D297353CC}">
                <c16:uniqueId val="{000001B5-6B13-499F-86D9-3BD53C1C18B1}"/>
              </c:ext>
            </c:extLst>
          </c:dPt>
          <c:dPt>
            <c:idx val="219"/>
            <c:bubble3D val="0"/>
            <c:spPr>
              <a:solidFill>
                <a:schemeClr val="accent4"/>
              </a:solidFill>
              <a:ln w="19050">
                <a:solidFill>
                  <a:schemeClr val="lt1"/>
                </a:solidFill>
              </a:ln>
              <a:effectLst/>
            </c:spPr>
            <c:extLst>
              <c:ext xmlns:c16="http://schemas.microsoft.com/office/drawing/2014/chart" uri="{C3380CC4-5D6E-409C-BE32-E72D297353CC}">
                <c16:uniqueId val="{000001B7-6B13-499F-86D9-3BD53C1C18B1}"/>
              </c:ext>
            </c:extLst>
          </c:dPt>
          <c:dPt>
            <c:idx val="220"/>
            <c:bubble3D val="0"/>
            <c:spPr>
              <a:solidFill>
                <a:schemeClr val="accent5"/>
              </a:solidFill>
              <a:ln w="19050">
                <a:solidFill>
                  <a:schemeClr val="lt1"/>
                </a:solidFill>
              </a:ln>
              <a:effectLst/>
            </c:spPr>
            <c:extLst>
              <c:ext xmlns:c16="http://schemas.microsoft.com/office/drawing/2014/chart" uri="{C3380CC4-5D6E-409C-BE32-E72D297353CC}">
                <c16:uniqueId val="{000001B9-6B13-499F-86D9-3BD53C1C18B1}"/>
              </c:ext>
            </c:extLst>
          </c:dPt>
          <c:dPt>
            <c:idx val="221"/>
            <c:bubble3D val="0"/>
            <c:spPr>
              <a:solidFill>
                <a:schemeClr val="accent6"/>
              </a:solidFill>
              <a:ln w="19050">
                <a:solidFill>
                  <a:schemeClr val="lt1"/>
                </a:solidFill>
              </a:ln>
              <a:effectLst/>
            </c:spPr>
            <c:extLst>
              <c:ext xmlns:c16="http://schemas.microsoft.com/office/drawing/2014/chart" uri="{C3380CC4-5D6E-409C-BE32-E72D297353CC}">
                <c16:uniqueId val="{000001BB-6B13-499F-86D9-3BD53C1C18B1}"/>
              </c:ext>
            </c:extLst>
          </c:dPt>
          <c:dPt>
            <c:idx val="222"/>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1BD-6B13-499F-86D9-3BD53C1C18B1}"/>
              </c:ext>
            </c:extLst>
          </c:dPt>
          <c:dPt>
            <c:idx val="223"/>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1BF-6B13-499F-86D9-3BD53C1C18B1}"/>
              </c:ext>
            </c:extLst>
          </c:dPt>
          <c:dPt>
            <c:idx val="224"/>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1C1-6B13-499F-86D9-3BD53C1C18B1}"/>
              </c:ext>
            </c:extLst>
          </c:dPt>
          <c:dPt>
            <c:idx val="225"/>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1C3-6B13-499F-86D9-3BD53C1C18B1}"/>
              </c:ext>
            </c:extLst>
          </c:dPt>
          <c:dPt>
            <c:idx val="226"/>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1C5-6B13-499F-86D9-3BD53C1C18B1}"/>
              </c:ext>
            </c:extLst>
          </c:dPt>
          <c:dPt>
            <c:idx val="227"/>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1C7-6B13-499F-86D9-3BD53C1C18B1}"/>
              </c:ext>
            </c:extLst>
          </c:dPt>
          <c:dPt>
            <c:idx val="228"/>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1C9-6B13-499F-86D9-3BD53C1C18B1}"/>
              </c:ext>
            </c:extLst>
          </c:dPt>
          <c:dPt>
            <c:idx val="229"/>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1CB-6B13-499F-86D9-3BD53C1C18B1}"/>
              </c:ext>
            </c:extLst>
          </c:dPt>
          <c:dPt>
            <c:idx val="230"/>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1CD-6B13-499F-86D9-3BD53C1C18B1}"/>
              </c:ext>
            </c:extLst>
          </c:dPt>
          <c:dPt>
            <c:idx val="231"/>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1CF-6B13-499F-86D9-3BD53C1C18B1}"/>
              </c:ext>
            </c:extLst>
          </c:dPt>
          <c:dPt>
            <c:idx val="232"/>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1D1-6B13-499F-86D9-3BD53C1C18B1}"/>
              </c:ext>
            </c:extLst>
          </c:dPt>
          <c:dPt>
            <c:idx val="233"/>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1D3-6B13-499F-86D9-3BD53C1C18B1}"/>
              </c:ext>
            </c:extLst>
          </c:dPt>
          <c:dPt>
            <c:idx val="234"/>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1D5-6B13-499F-86D9-3BD53C1C18B1}"/>
              </c:ext>
            </c:extLst>
          </c:dPt>
          <c:dPt>
            <c:idx val="235"/>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1D7-6B13-499F-86D9-3BD53C1C18B1}"/>
              </c:ext>
            </c:extLst>
          </c:dPt>
          <c:dPt>
            <c:idx val="236"/>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1D9-6B13-499F-86D9-3BD53C1C18B1}"/>
              </c:ext>
            </c:extLst>
          </c:dPt>
          <c:dPt>
            <c:idx val="237"/>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1DB-6B13-499F-86D9-3BD53C1C18B1}"/>
              </c:ext>
            </c:extLst>
          </c:dPt>
          <c:dPt>
            <c:idx val="238"/>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1DD-6B13-499F-86D9-3BD53C1C18B1}"/>
              </c:ext>
            </c:extLst>
          </c:dPt>
          <c:dPt>
            <c:idx val="239"/>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1DF-6B13-499F-86D9-3BD53C1C18B1}"/>
              </c:ext>
            </c:extLst>
          </c:dPt>
          <c:dPt>
            <c:idx val="240"/>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1E1-6B13-499F-86D9-3BD53C1C18B1}"/>
              </c:ext>
            </c:extLst>
          </c:dPt>
          <c:dPt>
            <c:idx val="241"/>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1E3-6B13-499F-86D9-3BD53C1C18B1}"/>
              </c:ext>
            </c:extLst>
          </c:dPt>
          <c:dPt>
            <c:idx val="242"/>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1E5-6B13-499F-86D9-3BD53C1C18B1}"/>
              </c:ext>
            </c:extLst>
          </c:dPt>
          <c:dPt>
            <c:idx val="243"/>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1E7-6B13-499F-86D9-3BD53C1C18B1}"/>
              </c:ext>
            </c:extLst>
          </c:dPt>
          <c:dPt>
            <c:idx val="244"/>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1E9-6B13-499F-86D9-3BD53C1C18B1}"/>
              </c:ext>
            </c:extLst>
          </c:dPt>
          <c:dPt>
            <c:idx val="245"/>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1EB-6B13-499F-86D9-3BD53C1C18B1}"/>
              </c:ext>
            </c:extLst>
          </c:dPt>
          <c:dPt>
            <c:idx val="246"/>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1ED-6B13-499F-86D9-3BD53C1C18B1}"/>
              </c:ext>
            </c:extLst>
          </c:dPt>
          <c:dPt>
            <c:idx val="247"/>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1EF-6B13-499F-86D9-3BD53C1C18B1}"/>
              </c:ext>
            </c:extLst>
          </c:dPt>
          <c:dPt>
            <c:idx val="248"/>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1F1-6B13-499F-86D9-3BD53C1C18B1}"/>
              </c:ext>
            </c:extLst>
          </c:dPt>
          <c:dPt>
            <c:idx val="249"/>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1F3-6B13-499F-86D9-3BD53C1C18B1}"/>
              </c:ext>
            </c:extLst>
          </c:dPt>
          <c:dPt>
            <c:idx val="250"/>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1F5-6B13-499F-86D9-3BD53C1C18B1}"/>
              </c:ext>
            </c:extLst>
          </c:dPt>
          <c:dPt>
            <c:idx val="251"/>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1F7-6B13-499F-86D9-3BD53C1C18B1}"/>
              </c:ext>
            </c:extLst>
          </c:dPt>
          <c:dPt>
            <c:idx val="252"/>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1F9-6B13-499F-86D9-3BD53C1C18B1}"/>
              </c:ext>
            </c:extLst>
          </c:dPt>
          <c:dPt>
            <c:idx val="253"/>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1FB-6B13-499F-86D9-3BD53C1C18B1}"/>
              </c:ext>
            </c:extLst>
          </c:dPt>
          <c:dPt>
            <c:idx val="254"/>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1FD-6B13-499F-86D9-3BD53C1C18B1}"/>
              </c:ext>
            </c:extLst>
          </c:dPt>
          <c:dPt>
            <c:idx val="255"/>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1FF-6B13-499F-86D9-3BD53C1C18B1}"/>
              </c:ext>
            </c:extLst>
          </c:dPt>
          <c:dPt>
            <c:idx val="256"/>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201-6B13-499F-86D9-3BD53C1C18B1}"/>
              </c:ext>
            </c:extLst>
          </c:dPt>
          <c:dPt>
            <c:idx val="257"/>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203-6B13-499F-86D9-3BD53C1C18B1}"/>
              </c:ext>
            </c:extLst>
          </c:dPt>
          <c:dPt>
            <c:idx val="258"/>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205-6B13-499F-86D9-3BD53C1C18B1}"/>
              </c:ext>
            </c:extLst>
          </c:dPt>
          <c:dPt>
            <c:idx val="259"/>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207-6B13-499F-86D9-3BD53C1C18B1}"/>
              </c:ext>
            </c:extLst>
          </c:dPt>
          <c:dPt>
            <c:idx val="260"/>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209-6B13-499F-86D9-3BD53C1C18B1}"/>
              </c:ext>
            </c:extLst>
          </c:dPt>
          <c:dPt>
            <c:idx val="261"/>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20B-6B13-499F-86D9-3BD53C1C18B1}"/>
              </c:ext>
            </c:extLst>
          </c:dPt>
          <c:dPt>
            <c:idx val="262"/>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20D-6B13-499F-86D9-3BD53C1C18B1}"/>
              </c:ext>
            </c:extLst>
          </c:dPt>
          <c:dPt>
            <c:idx val="263"/>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20F-6B13-499F-86D9-3BD53C1C18B1}"/>
              </c:ext>
            </c:extLst>
          </c:dPt>
          <c:dPt>
            <c:idx val="264"/>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211-6B13-499F-86D9-3BD53C1C18B1}"/>
              </c:ext>
            </c:extLst>
          </c:dPt>
          <c:dPt>
            <c:idx val="265"/>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213-6B13-499F-86D9-3BD53C1C18B1}"/>
              </c:ext>
            </c:extLst>
          </c:dPt>
          <c:dPt>
            <c:idx val="266"/>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215-6B13-499F-86D9-3BD53C1C18B1}"/>
              </c:ext>
            </c:extLst>
          </c:dPt>
          <c:dPt>
            <c:idx val="267"/>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217-6B13-499F-86D9-3BD53C1C18B1}"/>
              </c:ext>
            </c:extLst>
          </c:dPt>
          <c:dPt>
            <c:idx val="268"/>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219-6B13-499F-86D9-3BD53C1C18B1}"/>
              </c:ext>
            </c:extLst>
          </c:dPt>
          <c:dPt>
            <c:idx val="269"/>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21B-6B13-499F-86D9-3BD53C1C18B1}"/>
              </c:ext>
            </c:extLst>
          </c:dPt>
          <c:dPt>
            <c:idx val="270"/>
            <c:bubble3D val="0"/>
            <c:spPr>
              <a:solidFill>
                <a:schemeClr val="accent1"/>
              </a:solidFill>
              <a:ln w="19050">
                <a:solidFill>
                  <a:schemeClr val="lt1"/>
                </a:solidFill>
              </a:ln>
              <a:effectLst/>
            </c:spPr>
            <c:extLst>
              <c:ext xmlns:c16="http://schemas.microsoft.com/office/drawing/2014/chart" uri="{C3380CC4-5D6E-409C-BE32-E72D297353CC}">
                <c16:uniqueId val="{0000021D-6B13-499F-86D9-3BD53C1C18B1}"/>
              </c:ext>
            </c:extLst>
          </c:dPt>
          <c:dPt>
            <c:idx val="271"/>
            <c:bubble3D val="0"/>
            <c:spPr>
              <a:solidFill>
                <a:schemeClr val="accent2"/>
              </a:solidFill>
              <a:ln w="19050">
                <a:solidFill>
                  <a:schemeClr val="lt1"/>
                </a:solidFill>
              </a:ln>
              <a:effectLst/>
            </c:spPr>
            <c:extLst>
              <c:ext xmlns:c16="http://schemas.microsoft.com/office/drawing/2014/chart" uri="{C3380CC4-5D6E-409C-BE32-E72D297353CC}">
                <c16:uniqueId val="{0000021F-6B13-499F-86D9-3BD53C1C18B1}"/>
              </c:ext>
            </c:extLst>
          </c:dPt>
          <c:dPt>
            <c:idx val="272"/>
            <c:bubble3D val="0"/>
            <c:spPr>
              <a:solidFill>
                <a:schemeClr val="accent3"/>
              </a:solidFill>
              <a:ln w="19050">
                <a:solidFill>
                  <a:schemeClr val="lt1"/>
                </a:solidFill>
              </a:ln>
              <a:effectLst/>
            </c:spPr>
            <c:extLst>
              <c:ext xmlns:c16="http://schemas.microsoft.com/office/drawing/2014/chart" uri="{C3380CC4-5D6E-409C-BE32-E72D297353CC}">
                <c16:uniqueId val="{00000221-6B13-499F-86D9-3BD53C1C18B1}"/>
              </c:ext>
            </c:extLst>
          </c:dPt>
          <c:cat>
            <c:strRef>
              <c:f>Sheet7!$A$4:$A$9</c:f>
              <c:strCache>
                <c:ptCount val="5"/>
                <c:pt idx="0">
                  <c:v>Alan Dominguez</c:v>
                </c:pt>
                <c:pt idx="1">
                  <c:v>Amy Cox</c:v>
                </c:pt>
                <c:pt idx="2">
                  <c:v>Valerie Mitchum</c:v>
                </c:pt>
                <c:pt idx="3">
                  <c:v>Valerie Dominguez</c:v>
                </c:pt>
                <c:pt idx="4">
                  <c:v>Rick Bensley</c:v>
                </c:pt>
              </c:strCache>
            </c:strRef>
          </c:cat>
          <c:val>
            <c:numRef>
              <c:f>Sheet7!$B$4:$B$9</c:f>
              <c:numCache>
                <c:formatCode>General</c:formatCode>
                <c:ptCount val="5"/>
                <c:pt idx="0">
                  <c:v>1379.98</c:v>
                </c:pt>
                <c:pt idx="1">
                  <c:v>843.17</c:v>
                </c:pt>
                <c:pt idx="2">
                  <c:v>336.64</c:v>
                </c:pt>
                <c:pt idx="3">
                  <c:v>305.13</c:v>
                </c:pt>
                <c:pt idx="4">
                  <c:v>272.79000000000002</c:v>
                </c:pt>
              </c:numCache>
            </c:numRef>
          </c:val>
          <c:extLst>
            <c:ext xmlns:c16="http://schemas.microsoft.com/office/drawing/2014/chart" uri="{C3380CC4-5D6E-409C-BE32-E72D297353CC}">
              <c16:uniqueId val="{00000000-2DC9-4609-BDBA-5FE4A080F9C7}"/>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3">
        <a:lumMod val="60000"/>
        <a:lumOff val="4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 excel project.xlsx]Sheet9!PivotTable19</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Sheet9!$B$3</c:f>
              <c:strCache>
                <c:ptCount val="1"/>
                <c:pt idx="0">
                  <c:v>Total</c:v>
                </c:pt>
              </c:strCache>
            </c:strRef>
          </c:tx>
          <c:spPr>
            <a:solidFill>
              <a:schemeClr val="accent2">
                <a:lumMod val="75000"/>
              </a:schemeClr>
            </a:solidFill>
            <a:ln>
              <a:noFill/>
            </a:ln>
            <a:effectLst/>
          </c:spPr>
          <c:invertIfNegative val="0"/>
          <c:cat>
            <c:strRef>
              <c:f>Sheet9!$A$4:$A$8</c:f>
              <c:strCache>
                <c:ptCount val="4"/>
                <c:pt idx="0">
                  <c:v>2014</c:v>
                </c:pt>
                <c:pt idx="1">
                  <c:v>2015</c:v>
                </c:pt>
                <c:pt idx="2">
                  <c:v>2016</c:v>
                </c:pt>
                <c:pt idx="3">
                  <c:v>2017</c:v>
                </c:pt>
              </c:strCache>
            </c:strRef>
          </c:cat>
          <c:val>
            <c:numRef>
              <c:f>Sheet9!$B$4:$B$8</c:f>
              <c:numCache>
                <c:formatCode>General</c:formatCode>
                <c:ptCount val="4"/>
                <c:pt idx="0">
                  <c:v>209</c:v>
                </c:pt>
                <c:pt idx="1">
                  <c:v>171</c:v>
                </c:pt>
                <c:pt idx="2">
                  <c:v>164</c:v>
                </c:pt>
                <c:pt idx="3">
                  <c:v>124</c:v>
                </c:pt>
              </c:numCache>
            </c:numRef>
          </c:val>
          <c:extLst>
            <c:ext xmlns:c16="http://schemas.microsoft.com/office/drawing/2014/chart" uri="{C3380CC4-5D6E-409C-BE32-E72D297353CC}">
              <c16:uniqueId val="{00000000-F9BC-46D1-A3C9-F8965F4CF1EC}"/>
            </c:ext>
          </c:extLst>
        </c:ser>
        <c:dLbls>
          <c:showLegendKey val="0"/>
          <c:showVal val="0"/>
          <c:showCatName val="0"/>
          <c:showSerName val="0"/>
          <c:showPercent val="0"/>
          <c:showBubbleSize val="0"/>
        </c:dLbls>
        <c:gapWidth val="182"/>
        <c:axId val="396127392"/>
        <c:axId val="396127720"/>
      </c:barChart>
      <c:catAx>
        <c:axId val="3961273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6127720"/>
        <c:crosses val="autoZero"/>
        <c:auto val="1"/>
        <c:lblAlgn val="ctr"/>
        <c:lblOffset val="100"/>
        <c:noMultiLvlLbl val="0"/>
      </c:catAx>
      <c:valAx>
        <c:axId val="396127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61273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3">
        <a:lumMod val="7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 excel project.xlsx]Sheet5!PivotTable10</c:name>
    <c:fmtId val="3"/>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347818684826559"/>
          <c:y val="0.21229164536251149"/>
          <c:w val="0.58806824146981629"/>
          <c:h val="0.64468077853904626"/>
        </c:manualLayout>
      </c:layout>
      <c:lineChart>
        <c:grouping val="standard"/>
        <c:varyColors val="0"/>
        <c:ser>
          <c:idx val="0"/>
          <c:order val="0"/>
          <c:tx>
            <c:strRef>
              <c:f>Sheet5!$B$3:$B$4</c:f>
              <c:strCache>
                <c:ptCount val="1"/>
                <c:pt idx="0">
                  <c:v>Furniture</c:v>
                </c:pt>
              </c:strCache>
            </c:strRef>
          </c:tx>
          <c:spPr>
            <a:ln w="28575" cap="rnd">
              <a:solidFill>
                <a:schemeClr val="accent1"/>
              </a:solidFill>
              <a:round/>
            </a:ln>
            <a:effectLst/>
          </c:spPr>
          <c:marker>
            <c:symbol val="none"/>
          </c:marker>
          <c:cat>
            <c:strRef>
              <c:f>Sheet5!$A$5:$A$6</c:f>
              <c:strCache>
                <c:ptCount val="1"/>
                <c:pt idx="0">
                  <c:v>2015</c:v>
                </c:pt>
              </c:strCache>
            </c:strRef>
          </c:cat>
          <c:val>
            <c:numRef>
              <c:f>Sheet5!$B$5:$B$6</c:f>
              <c:numCache>
                <c:formatCode>General</c:formatCode>
                <c:ptCount val="1"/>
                <c:pt idx="0">
                  <c:v>23.499999999999947</c:v>
                </c:pt>
              </c:numCache>
            </c:numRef>
          </c:val>
          <c:smooth val="0"/>
          <c:extLst>
            <c:ext xmlns:c16="http://schemas.microsoft.com/office/drawing/2014/chart" uri="{C3380CC4-5D6E-409C-BE32-E72D297353CC}">
              <c16:uniqueId val="{00000000-7479-43B8-A99F-E35A86C385D5}"/>
            </c:ext>
          </c:extLst>
        </c:ser>
        <c:ser>
          <c:idx val="1"/>
          <c:order val="1"/>
          <c:tx>
            <c:strRef>
              <c:f>Sheet5!$C$3:$C$4</c:f>
              <c:strCache>
                <c:ptCount val="1"/>
                <c:pt idx="0">
                  <c:v>Office Supplies</c:v>
                </c:pt>
              </c:strCache>
            </c:strRef>
          </c:tx>
          <c:spPr>
            <a:ln w="28575" cap="rnd">
              <a:solidFill>
                <a:schemeClr val="accent2"/>
              </a:solidFill>
              <a:round/>
            </a:ln>
            <a:effectLst/>
          </c:spPr>
          <c:marker>
            <c:symbol val="none"/>
          </c:marker>
          <c:cat>
            <c:strRef>
              <c:f>Sheet5!$A$5:$A$6</c:f>
              <c:strCache>
                <c:ptCount val="1"/>
                <c:pt idx="0">
                  <c:v>2015</c:v>
                </c:pt>
              </c:strCache>
            </c:strRef>
          </c:cat>
          <c:val>
            <c:numRef>
              <c:f>Sheet5!$C$5:$C$6</c:f>
              <c:numCache>
                <c:formatCode>General</c:formatCode>
                <c:ptCount val="1"/>
                <c:pt idx="0">
                  <c:v>958.36000000000149</c:v>
                </c:pt>
              </c:numCache>
            </c:numRef>
          </c:val>
          <c:smooth val="0"/>
          <c:extLst>
            <c:ext xmlns:c16="http://schemas.microsoft.com/office/drawing/2014/chart" uri="{C3380CC4-5D6E-409C-BE32-E72D297353CC}">
              <c16:uniqueId val="{00000001-7479-43B8-A99F-E35A86C385D5}"/>
            </c:ext>
          </c:extLst>
        </c:ser>
        <c:ser>
          <c:idx val="2"/>
          <c:order val="2"/>
          <c:tx>
            <c:strRef>
              <c:f>Sheet5!$D$3:$D$4</c:f>
              <c:strCache>
                <c:ptCount val="1"/>
                <c:pt idx="0">
                  <c:v>Technology</c:v>
                </c:pt>
              </c:strCache>
            </c:strRef>
          </c:tx>
          <c:spPr>
            <a:ln w="28575" cap="rnd">
              <a:solidFill>
                <a:schemeClr val="accent3"/>
              </a:solidFill>
              <a:round/>
            </a:ln>
            <a:effectLst/>
          </c:spPr>
          <c:marker>
            <c:symbol val="none"/>
          </c:marker>
          <c:cat>
            <c:strRef>
              <c:f>Sheet5!$A$5:$A$6</c:f>
              <c:strCache>
                <c:ptCount val="1"/>
                <c:pt idx="0">
                  <c:v>2015</c:v>
                </c:pt>
              </c:strCache>
            </c:strRef>
          </c:cat>
          <c:val>
            <c:numRef>
              <c:f>Sheet5!$D$5:$D$6</c:f>
              <c:numCache>
                <c:formatCode>General</c:formatCode>
                <c:ptCount val="1"/>
                <c:pt idx="0">
                  <c:v>2927.0400000000009</c:v>
                </c:pt>
              </c:numCache>
            </c:numRef>
          </c:val>
          <c:smooth val="0"/>
          <c:extLst>
            <c:ext xmlns:c16="http://schemas.microsoft.com/office/drawing/2014/chart" uri="{C3380CC4-5D6E-409C-BE32-E72D297353CC}">
              <c16:uniqueId val="{00000002-7479-43B8-A99F-E35A86C385D5}"/>
            </c:ext>
          </c:extLst>
        </c:ser>
        <c:dLbls>
          <c:showLegendKey val="0"/>
          <c:showVal val="0"/>
          <c:showCatName val="0"/>
          <c:showSerName val="0"/>
          <c:showPercent val="0"/>
          <c:showBubbleSize val="0"/>
        </c:dLbls>
        <c:smooth val="0"/>
        <c:axId val="388681128"/>
        <c:axId val="388684080"/>
      </c:lineChart>
      <c:catAx>
        <c:axId val="3886811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8684080"/>
        <c:crosses val="autoZero"/>
        <c:auto val="1"/>
        <c:lblAlgn val="ctr"/>
        <c:lblOffset val="100"/>
        <c:noMultiLvlLbl val="0"/>
      </c:catAx>
      <c:valAx>
        <c:axId val="3886840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8681128"/>
        <c:crosses val="autoZero"/>
        <c:crossBetween val="between"/>
      </c:valAx>
      <c:spPr>
        <a:solidFill>
          <a:schemeClr val="accent2">
            <a:lumMod val="75000"/>
          </a:schemeClr>
        </a:soli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3">
        <a:lumMod val="7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 excel project.xlsx]Sheet9!PivotTable19</c:name>
    <c:fmtId val="3"/>
  </c:pivotSource>
  <c:chart>
    <c:title>
      <c:layout>
        <c:manualLayout>
          <c:xMode val="edge"/>
          <c:yMode val="edge"/>
          <c:x val="0.49881971275329712"/>
          <c:y val="0.2014595736508546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4519764322788529"/>
          <c:y val="0.28184966462525518"/>
          <c:w val="0.58446179988872859"/>
          <c:h val="0.63953922426363374"/>
        </c:manualLayout>
      </c:layout>
      <c:barChart>
        <c:barDir val="bar"/>
        <c:grouping val="clustered"/>
        <c:varyColors val="0"/>
        <c:ser>
          <c:idx val="0"/>
          <c:order val="0"/>
          <c:tx>
            <c:strRef>
              <c:f>Sheet9!$B$3</c:f>
              <c:strCache>
                <c:ptCount val="1"/>
                <c:pt idx="0">
                  <c:v>Total</c:v>
                </c:pt>
              </c:strCache>
            </c:strRef>
          </c:tx>
          <c:spPr>
            <a:solidFill>
              <a:schemeClr val="accent2">
                <a:lumMod val="75000"/>
              </a:schemeClr>
            </a:solidFill>
            <a:ln>
              <a:noFill/>
            </a:ln>
            <a:effectLst/>
          </c:spPr>
          <c:invertIfNegative val="0"/>
          <c:cat>
            <c:strRef>
              <c:f>Sheet9!$A$4:$A$8</c:f>
              <c:strCache>
                <c:ptCount val="4"/>
                <c:pt idx="0">
                  <c:v>2014</c:v>
                </c:pt>
                <c:pt idx="1">
                  <c:v>2015</c:v>
                </c:pt>
                <c:pt idx="2">
                  <c:v>2016</c:v>
                </c:pt>
                <c:pt idx="3">
                  <c:v>2017</c:v>
                </c:pt>
              </c:strCache>
            </c:strRef>
          </c:cat>
          <c:val>
            <c:numRef>
              <c:f>Sheet9!$B$4:$B$8</c:f>
              <c:numCache>
                <c:formatCode>General</c:formatCode>
                <c:ptCount val="4"/>
                <c:pt idx="0">
                  <c:v>209</c:v>
                </c:pt>
                <c:pt idx="1">
                  <c:v>171</c:v>
                </c:pt>
                <c:pt idx="2">
                  <c:v>164</c:v>
                </c:pt>
                <c:pt idx="3">
                  <c:v>124</c:v>
                </c:pt>
              </c:numCache>
            </c:numRef>
          </c:val>
          <c:extLst>
            <c:ext xmlns:c16="http://schemas.microsoft.com/office/drawing/2014/chart" uri="{C3380CC4-5D6E-409C-BE32-E72D297353CC}">
              <c16:uniqueId val="{00000000-FA23-4F90-8F6B-A921EB67A44D}"/>
            </c:ext>
          </c:extLst>
        </c:ser>
        <c:dLbls>
          <c:showLegendKey val="0"/>
          <c:showVal val="0"/>
          <c:showCatName val="0"/>
          <c:showSerName val="0"/>
          <c:showPercent val="0"/>
          <c:showBubbleSize val="0"/>
        </c:dLbls>
        <c:gapWidth val="182"/>
        <c:axId val="396127392"/>
        <c:axId val="396127720"/>
      </c:barChart>
      <c:catAx>
        <c:axId val="3961273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6127720"/>
        <c:crosses val="autoZero"/>
        <c:auto val="1"/>
        <c:lblAlgn val="ctr"/>
        <c:lblOffset val="100"/>
        <c:noMultiLvlLbl val="0"/>
      </c:catAx>
      <c:valAx>
        <c:axId val="396127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61273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3">
        <a:lumMod val="7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 excel project.xlsx]Sheet6!PivotTable11</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Sheet6!$B$3</c:f>
              <c:strCache>
                <c:ptCount val="1"/>
                <c:pt idx="0">
                  <c:v>Total</c:v>
                </c:pt>
              </c:strCache>
            </c:strRef>
          </c:tx>
          <c:spPr>
            <a:solidFill>
              <a:schemeClr val="accent2">
                <a:lumMod val="75000"/>
              </a:schemeClr>
            </a:solidFill>
            <a:ln>
              <a:noFill/>
            </a:ln>
            <a:effectLst/>
          </c:spPr>
          <c:cat>
            <c:strRef>
              <c:f>Sheet6!$A$4:$A$16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Sheet6!$B$4:$B$16</c:f>
              <c:numCache>
                <c:formatCode>General</c:formatCode>
                <c:ptCount val="12"/>
                <c:pt idx="0">
                  <c:v>3551.0099999999998</c:v>
                </c:pt>
                <c:pt idx="1">
                  <c:v>3144.3400000000006</c:v>
                </c:pt>
                <c:pt idx="2">
                  <c:v>2130.67</c:v>
                </c:pt>
                <c:pt idx="3">
                  <c:v>2446.0099999999998</c:v>
                </c:pt>
                <c:pt idx="4">
                  <c:v>3040.52</c:v>
                </c:pt>
                <c:pt idx="5">
                  <c:v>588.96</c:v>
                </c:pt>
                <c:pt idx="6">
                  <c:v>9249.2100000000009</c:v>
                </c:pt>
                <c:pt idx="7">
                  <c:v>3144.88</c:v>
                </c:pt>
                <c:pt idx="8">
                  <c:v>7321.4599999999991</c:v>
                </c:pt>
                <c:pt idx="9">
                  <c:v>3093.79</c:v>
                </c:pt>
                <c:pt idx="10">
                  <c:v>2108.77</c:v>
                </c:pt>
                <c:pt idx="11">
                  <c:v>2961.1000000000004</c:v>
                </c:pt>
              </c:numCache>
            </c:numRef>
          </c:val>
          <c:extLst>
            <c:ext xmlns:c16="http://schemas.microsoft.com/office/drawing/2014/chart" uri="{C3380CC4-5D6E-409C-BE32-E72D297353CC}">
              <c16:uniqueId val="{00000000-F787-4B74-9E18-943DC5365AAF}"/>
            </c:ext>
          </c:extLst>
        </c:ser>
        <c:dLbls>
          <c:showLegendKey val="0"/>
          <c:showVal val="0"/>
          <c:showCatName val="0"/>
          <c:showSerName val="0"/>
          <c:showPercent val="0"/>
          <c:showBubbleSize val="0"/>
        </c:dLbls>
        <c:axId val="479417912"/>
        <c:axId val="479413320"/>
      </c:areaChart>
      <c:catAx>
        <c:axId val="47941791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9413320"/>
        <c:crosses val="autoZero"/>
        <c:auto val="1"/>
        <c:lblAlgn val="ctr"/>
        <c:lblOffset val="100"/>
        <c:noMultiLvlLbl val="0"/>
      </c:catAx>
      <c:valAx>
        <c:axId val="4794133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9417912"/>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accent3">
        <a:lumMod val="7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 excel project.xlsx]Sheet7!PivotTable12</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pivotFmt>
      <c:pivotFmt>
        <c:idx val="74"/>
        <c:spPr>
          <a:solidFill>
            <a:schemeClr val="accent1"/>
          </a:solidFill>
          <a:ln w="19050">
            <a:solidFill>
              <a:schemeClr val="lt1"/>
            </a:solidFill>
          </a:ln>
          <a:effectLst/>
        </c:spPr>
      </c:pivotFmt>
      <c:pivotFmt>
        <c:idx val="75"/>
        <c:spPr>
          <a:solidFill>
            <a:schemeClr val="accent1"/>
          </a:solidFill>
          <a:ln w="19050">
            <a:solidFill>
              <a:schemeClr val="lt1"/>
            </a:solidFill>
          </a:ln>
          <a:effectLst/>
        </c:spPr>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
        <c:idx val="92"/>
        <c:spPr>
          <a:solidFill>
            <a:schemeClr val="accent1"/>
          </a:solidFill>
          <a:ln w="19050">
            <a:solidFill>
              <a:schemeClr val="lt1"/>
            </a:solidFill>
          </a:ln>
          <a:effectLst/>
        </c:spPr>
      </c:pivotFmt>
      <c:pivotFmt>
        <c:idx val="93"/>
        <c:spPr>
          <a:solidFill>
            <a:schemeClr val="accent1"/>
          </a:solidFill>
          <a:ln w="19050">
            <a:solidFill>
              <a:schemeClr val="lt1"/>
            </a:solidFill>
          </a:ln>
          <a:effectLst/>
        </c:spPr>
      </c:pivotFmt>
      <c:pivotFmt>
        <c:idx val="94"/>
        <c:spPr>
          <a:solidFill>
            <a:schemeClr val="accent1"/>
          </a:solidFill>
          <a:ln w="19050">
            <a:solidFill>
              <a:schemeClr val="lt1"/>
            </a:solidFill>
          </a:ln>
          <a:effectLst/>
        </c:spPr>
      </c:pivotFmt>
      <c:pivotFmt>
        <c:idx val="95"/>
        <c:spPr>
          <a:solidFill>
            <a:schemeClr val="accent1"/>
          </a:solidFill>
          <a:ln w="19050">
            <a:solidFill>
              <a:schemeClr val="lt1"/>
            </a:solidFill>
          </a:ln>
          <a:effectLst/>
        </c:spPr>
      </c:pivotFmt>
      <c:pivotFmt>
        <c:idx val="96"/>
        <c:spPr>
          <a:solidFill>
            <a:schemeClr val="accent1"/>
          </a:solidFill>
          <a:ln w="19050">
            <a:solidFill>
              <a:schemeClr val="lt1"/>
            </a:solidFill>
          </a:ln>
          <a:effectLst/>
        </c:spPr>
      </c:pivotFmt>
      <c:pivotFmt>
        <c:idx val="97"/>
        <c:spPr>
          <a:solidFill>
            <a:schemeClr val="accent1"/>
          </a:solidFill>
          <a:ln w="19050">
            <a:solidFill>
              <a:schemeClr val="lt1"/>
            </a:solidFill>
          </a:ln>
          <a:effectLst/>
        </c:spPr>
      </c:pivotFmt>
      <c:pivotFmt>
        <c:idx val="98"/>
        <c:spPr>
          <a:solidFill>
            <a:schemeClr val="accent1"/>
          </a:solidFill>
          <a:ln w="19050">
            <a:solidFill>
              <a:schemeClr val="lt1"/>
            </a:solidFill>
          </a:ln>
          <a:effectLst/>
        </c:spPr>
      </c:pivotFmt>
      <c:pivotFmt>
        <c:idx val="99"/>
        <c:spPr>
          <a:solidFill>
            <a:schemeClr val="accent1"/>
          </a:solidFill>
          <a:ln w="19050">
            <a:solidFill>
              <a:schemeClr val="lt1"/>
            </a:solidFill>
          </a:ln>
          <a:effectLst/>
        </c:spPr>
      </c:pivotFmt>
      <c:pivotFmt>
        <c:idx val="100"/>
        <c:spPr>
          <a:solidFill>
            <a:schemeClr val="accent1"/>
          </a:solidFill>
          <a:ln w="19050">
            <a:solidFill>
              <a:schemeClr val="lt1"/>
            </a:solidFill>
          </a:ln>
          <a:effectLst/>
        </c:spPr>
      </c:pivotFmt>
      <c:pivotFmt>
        <c:idx val="101"/>
        <c:spPr>
          <a:solidFill>
            <a:schemeClr val="accent1"/>
          </a:solidFill>
          <a:ln w="19050">
            <a:solidFill>
              <a:schemeClr val="lt1"/>
            </a:solidFill>
          </a:ln>
          <a:effectLst/>
        </c:spPr>
      </c:pivotFmt>
      <c:pivotFmt>
        <c:idx val="102"/>
        <c:spPr>
          <a:solidFill>
            <a:schemeClr val="accent1"/>
          </a:solidFill>
          <a:ln w="19050">
            <a:solidFill>
              <a:schemeClr val="lt1"/>
            </a:solidFill>
          </a:ln>
          <a:effectLst/>
        </c:spPr>
      </c:pivotFmt>
      <c:pivotFmt>
        <c:idx val="103"/>
        <c:spPr>
          <a:solidFill>
            <a:schemeClr val="accent1"/>
          </a:solidFill>
          <a:ln w="19050">
            <a:solidFill>
              <a:schemeClr val="lt1"/>
            </a:solidFill>
          </a:ln>
          <a:effectLst/>
        </c:spPr>
      </c:pivotFmt>
      <c:pivotFmt>
        <c:idx val="104"/>
        <c:spPr>
          <a:solidFill>
            <a:schemeClr val="accent1"/>
          </a:solidFill>
          <a:ln w="19050">
            <a:solidFill>
              <a:schemeClr val="lt1"/>
            </a:solidFill>
          </a:ln>
          <a:effectLst/>
        </c:spPr>
      </c:pivotFmt>
      <c:pivotFmt>
        <c:idx val="105"/>
        <c:spPr>
          <a:solidFill>
            <a:schemeClr val="accent1"/>
          </a:solidFill>
          <a:ln w="19050">
            <a:solidFill>
              <a:schemeClr val="lt1"/>
            </a:solidFill>
          </a:ln>
          <a:effectLst/>
        </c:spPr>
      </c:pivotFmt>
      <c:pivotFmt>
        <c:idx val="106"/>
        <c:spPr>
          <a:solidFill>
            <a:schemeClr val="accent1"/>
          </a:solidFill>
          <a:ln w="19050">
            <a:solidFill>
              <a:schemeClr val="lt1"/>
            </a:solidFill>
          </a:ln>
          <a:effectLst/>
        </c:spPr>
      </c:pivotFmt>
      <c:pivotFmt>
        <c:idx val="107"/>
        <c:spPr>
          <a:solidFill>
            <a:schemeClr val="accent1"/>
          </a:solidFill>
          <a:ln w="19050">
            <a:solidFill>
              <a:schemeClr val="lt1"/>
            </a:solidFill>
          </a:ln>
          <a:effectLst/>
        </c:spPr>
      </c:pivotFmt>
      <c:pivotFmt>
        <c:idx val="108"/>
        <c:spPr>
          <a:solidFill>
            <a:schemeClr val="accent1"/>
          </a:solidFill>
          <a:ln w="19050">
            <a:solidFill>
              <a:schemeClr val="lt1"/>
            </a:solidFill>
          </a:ln>
          <a:effectLst/>
        </c:spPr>
      </c:pivotFmt>
      <c:pivotFmt>
        <c:idx val="109"/>
        <c:spPr>
          <a:solidFill>
            <a:schemeClr val="accent1"/>
          </a:solidFill>
          <a:ln w="19050">
            <a:solidFill>
              <a:schemeClr val="lt1"/>
            </a:solidFill>
          </a:ln>
          <a:effectLst/>
        </c:spPr>
      </c:pivotFmt>
      <c:pivotFmt>
        <c:idx val="110"/>
        <c:spPr>
          <a:solidFill>
            <a:schemeClr val="accent1"/>
          </a:solidFill>
          <a:ln w="19050">
            <a:solidFill>
              <a:schemeClr val="lt1"/>
            </a:solidFill>
          </a:ln>
          <a:effectLst/>
        </c:spPr>
      </c:pivotFmt>
      <c:pivotFmt>
        <c:idx val="111"/>
        <c:spPr>
          <a:solidFill>
            <a:schemeClr val="accent1"/>
          </a:solidFill>
          <a:ln w="19050">
            <a:solidFill>
              <a:schemeClr val="lt1"/>
            </a:solidFill>
          </a:ln>
          <a:effectLst/>
        </c:spPr>
      </c:pivotFmt>
      <c:pivotFmt>
        <c:idx val="112"/>
        <c:spPr>
          <a:solidFill>
            <a:schemeClr val="accent1"/>
          </a:solidFill>
          <a:ln w="19050">
            <a:solidFill>
              <a:schemeClr val="lt1"/>
            </a:solidFill>
          </a:ln>
          <a:effectLst/>
        </c:spPr>
      </c:pivotFmt>
      <c:pivotFmt>
        <c:idx val="113"/>
        <c:spPr>
          <a:solidFill>
            <a:schemeClr val="accent1"/>
          </a:solidFill>
          <a:ln w="19050">
            <a:solidFill>
              <a:schemeClr val="lt1"/>
            </a:solidFill>
          </a:ln>
          <a:effectLst/>
        </c:spPr>
      </c:pivotFmt>
      <c:pivotFmt>
        <c:idx val="114"/>
        <c:spPr>
          <a:solidFill>
            <a:schemeClr val="accent1"/>
          </a:solidFill>
          <a:ln w="19050">
            <a:solidFill>
              <a:schemeClr val="lt1"/>
            </a:solidFill>
          </a:ln>
          <a:effectLst/>
        </c:spPr>
      </c:pivotFmt>
      <c:pivotFmt>
        <c:idx val="115"/>
        <c:spPr>
          <a:solidFill>
            <a:schemeClr val="accent1"/>
          </a:solidFill>
          <a:ln w="19050">
            <a:solidFill>
              <a:schemeClr val="lt1"/>
            </a:solidFill>
          </a:ln>
          <a:effectLst/>
        </c:spPr>
      </c:pivotFmt>
      <c:pivotFmt>
        <c:idx val="116"/>
        <c:spPr>
          <a:solidFill>
            <a:schemeClr val="accent1"/>
          </a:solidFill>
          <a:ln w="19050">
            <a:solidFill>
              <a:schemeClr val="lt1"/>
            </a:solidFill>
          </a:ln>
          <a:effectLst/>
        </c:spPr>
      </c:pivotFmt>
      <c:pivotFmt>
        <c:idx val="117"/>
        <c:spPr>
          <a:solidFill>
            <a:schemeClr val="accent1"/>
          </a:solidFill>
          <a:ln w="19050">
            <a:solidFill>
              <a:schemeClr val="lt1"/>
            </a:solidFill>
          </a:ln>
          <a:effectLst/>
        </c:spPr>
      </c:pivotFmt>
      <c:pivotFmt>
        <c:idx val="118"/>
        <c:spPr>
          <a:solidFill>
            <a:schemeClr val="accent1"/>
          </a:solidFill>
          <a:ln w="19050">
            <a:solidFill>
              <a:schemeClr val="lt1"/>
            </a:solidFill>
          </a:ln>
          <a:effectLst/>
        </c:spPr>
      </c:pivotFmt>
      <c:pivotFmt>
        <c:idx val="119"/>
        <c:spPr>
          <a:solidFill>
            <a:schemeClr val="accent1"/>
          </a:solidFill>
          <a:ln w="19050">
            <a:solidFill>
              <a:schemeClr val="lt1"/>
            </a:solidFill>
          </a:ln>
          <a:effectLst/>
        </c:spPr>
      </c:pivotFmt>
      <c:pivotFmt>
        <c:idx val="120"/>
        <c:spPr>
          <a:solidFill>
            <a:schemeClr val="accent1"/>
          </a:solidFill>
          <a:ln w="19050">
            <a:solidFill>
              <a:schemeClr val="lt1"/>
            </a:solidFill>
          </a:ln>
          <a:effectLst/>
        </c:spPr>
      </c:pivotFmt>
      <c:pivotFmt>
        <c:idx val="121"/>
        <c:spPr>
          <a:solidFill>
            <a:schemeClr val="accent1"/>
          </a:solidFill>
          <a:ln w="19050">
            <a:solidFill>
              <a:schemeClr val="lt1"/>
            </a:solidFill>
          </a:ln>
          <a:effectLst/>
        </c:spPr>
      </c:pivotFmt>
      <c:pivotFmt>
        <c:idx val="122"/>
        <c:spPr>
          <a:solidFill>
            <a:schemeClr val="accent1"/>
          </a:solidFill>
          <a:ln w="19050">
            <a:solidFill>
              <a:schemeClr val="lt1"/>
            </a:solidFill>
          </a:ln>
          <a:effectLst/>
        </c:spPr>
      </c:pivotFmt>
      <c:pivotFmt>
        <c:idx val="123"/>
        <c:spPr>
          <a:solidFill>
            <a:schemeClr val="accent1"/>
          </a:solidFill>
          <a:ln w="19050">
            <a:solidFill>
              <a:schemeClr val="lt1"/>
            </a:solidFill>
          </a:ln>
          <a:effectLst/>
        </c:spPr>
      </c:pivotFmt>
      <c:pivotFmt>
        <c:idx val="124"/>
        <c:spPr>
          <a:solidFill>
            <a:schemeClr val="accent1"/>
          </a:solidFill>
          <a:ln w="19050">
            <a:solidFill>
              <a:schemeClr val="lt1"/>
            </a:solidFill>
          </a:ln>
          <a:effectLst/>
        </c:spPr>
      </c:pivotFmt>
      <c:pivotFmt>
        <c:idx val="125"/>
        <c:spPr>
          <a:solidFill>
            <a:schemeClr val="accent1"/>
          </a:solidFill>
          <a:ln w="19050">
            <a:solidFill>
              <a:schemeClr val="lt1"/>
            </a:solidFill>
          </a:ln>
          <a:effectLst/>
        </c:spPr>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pivotFmt>
      <c:pivotFmt>
        <c:idx val="128"/>
        <c:spPr>
          <a:solidFill>
            <a:schemeClr val="accent1"/>
          </a:solidFill>
          <a:ln w="19050">
            <a:solidFill>
              <a:schemeClr val="lt1"/>
            </a:solidFill>
          </a:ln>
          <a:effectLst/>
        </c:spPr>
      </c:pivotFmt>
      <c:pivotFmt>
        <c:idx val="129"/>
        <c:spPr>
          <a:solidFill>
            <a:schemeClr val="accent1"/>
          </a:solidFill>
          <a:ln w="19050">
            <a:solidFill>
              <a:schemeClr val="lt1"/>
            </a:solidFill>
          </a:ln>
          <a:effectLst/>
        </c:spPr>
      </c:pivotFmt>
      <c:pivotFmt>
        <c:idx val="130"/>
        <c:spPr>
          <a:solidFill>
            <a:schemeClr val="accent1"/>
          </a:solidFill>
          <a:ln w="19050">
            <a:solidFill>
              <a:schemeClr val="lt1"/>
            </a:solidFill>
          </a:ln>
          <a:effectLst/>
        </c:spPr>
      </c:pivotFmt>
      <c:pivotFmt>
        <c:idx val="131"/>
        <c:spPr>
          <a:solidFill>
            <a:schemeClr val="accent1"/>
          </a:solidFill>
          <a:ln w="19050">
            <a:solidFill>
              <a:schemeClr val="lt1"/>
            </a:solidFill>
          </a:ln>
          <a:effectLst/>
        </c:spPr>
      </c:pivotFmt>
      <c:pivotFmt>
        <c:idx val="132"/>
        <c:spPr>
          <a:solidFill>
            <a:schemeClr val="accent1"/>
          </a:solidFill>
          <a:ln w="19050">
            <a:solidFill>
              <a:schemeClr val="lt1"/>
            </a:solidFill>
          </a:ln>
          <a:effectLst/>
        </c:spPr>
      </c:pivotFmt>
      <c:pivotFmt>
        <c:idx val="133"/>
        <c:spPr>
          <a:solidFill>
            <a:schemeClr val="accent1"/>
          </a:solidFill>
          <a:ln w="19050">
            <a:solidFill>
              <a:schemeClr val="lt1"/>
            </a:solidFill>
          </a:ln>
          <a:effectLst/>
        </c:spPr>
      </c:pivotFmt>
      <c:pivotFmt>
        <c:idx val="134"/>
        <c:spPr>
          <a:solidFill>
            <a:schemeClr val="accent1"/>
          </a:solidFill>
          <a:ln w="19050">
            <a:solidFill>
              <a:schemeClr val="lt1"/>
            </a:solidFill>
          </a:ln>
          <a:effectLst/>
        </c:spPr>
      </c:pivotFmt>
      <c:pivotFmt>
        <c:idx val="135"/>
        <c:spPr>
          <a:solidFill>
            <a:schemeClr val="accent1"/>
          </a:solidFill>
          <a:ln w="19050">
            <a:solidFill>
              <a:schemeClr val="lt1"/>
            </a:solidFill>
          </a:ln>
          <a:effectLst/>
        </c:spPr>
      </c:pivotFmt>
      <c:pivotFmt>
        <c:idx val="136"/>
        <c:spPr>
          <a:solidFill>
            <a:schemeClr val="accent1"/>
          </a:solidFill>
          <a:ln w="19050">
            <a:solidFill>
              <a:schemeClr val="lt1"/>
            </a:solidFill>
          </a:ln>
          <a:effectLst/>
        </c:spPr>
      </c:pivotFmt>
      <c:pivotFmt>
        <c:idx val="137"/>
        <c:spPr>
          <a:solidFill>
            <a:schemeClr val="accent1"/>
          </a:solidFill>
          <a:ln w="19050">
            <a:solidFill>
              <a:schemeClr val="lt1"/>
            </a:solidFill>
          </a:ln>
          <a:effectLst/>
        </c:spPr>
      </c:pivotFmt>
      <c:pivotFmt>
        <c:idx val="138"/>
        <c:spPr>
          <a:solidFill>
            <a:schemeClr val="accent1"/>
          </a:solidFill>
          <a:ln w="19050">
            <a:solidFill>
              <a:schemeClr val="lt1"/>
            </a:solidFill>
          </a:ln>
          <a:effectLst/>
        </c:spPr>
      </c:pivotFmt>
      <c:pivotFmt>
        <c:idx val="139"/>
        <c:spPr>
          <a:solidFill>
            <a:schemeClr val="accent1"/>
          </a:solidFill>
          <a:ln w="19050">
            <a:solidFill>
              <a:schemeClr val="lt1"/>
            </a:solidFill>
          </a:ln>
          <a:effectLst/>
        </c:spPr>
      </c:pivotFmt>
      <c:pivotFmt>
        <c:idx val="140"/>
        <c:spPr>
          <a:solidFill>
            <a:schemeClr val="accent1"/>
          </a:solidFill>
          <a:ln w="19050">
            <a:solidFill>
              <a:schemeClr val="lt1"/>
            </a:solidFill>
          </a:ln>
          <a:effectLst/>
        </c:spPr>
      </c:pivotFmt>
      <c:pivotFmt>
        <c:idx val="141"/>
        <c:spPr>
          <a:solidFill>
            <a:schemeClr val="accent1"/>
          </a:solidFill>
          <a:ln w="19050">
            <a:solidFill>
              <a:schemeClr val="lt1"/>
            </a:solidFill>
          </a:ln>
          <a:effectLst/>
        </c:spPr>
      </c:pivotFmt>
      <c:pivotFmt>
        <c:idx val="142"/>
        <c:spPr>
          <a:solidFill>
            <a:schemeClr val="accent1"/>
          </a:solidFill>
          <a:ln w="19050">
            <a:solidFill>
              <a:schemeClr val="lt1"/>
            </a:solidFill>
          </a:ln>
          <a:effectLst/>
        </c:spPr>
      </c:pivotFmt>
      <c:pivotFmt>
        <c:idx val="143"/>
        <c:spPr>
          <a:solidFill>
            <a:schemeClr val="accent1"/>
          </a:solidFill>
          <a:ln w="19050">
            <a:solidFill>
              <a:schemeClr val="lt1"/>
            </a:solidFill>
          </a:ln>
          <a:effectLst/>
        </c:spPr>
      </c:pivotFmt>
      <c:pivotFmt>
        <c:idx val="144"/>
        <c:spPr>
          <a:solidFill>
            <a:schemeClr val="accent1"/>
          </a:solidFill>
          <a:ln w="19050">
            <a:solidFill>
              <a:schemeClr val="lt1"/>
            </a:solidFill>
          </a:ln>
          <a:effectLst/>
        </c:spPr>
      </c:pivotFmt>
      <c:pivotFmt>
        <c:idx val="145"/>
        <c:spPr>
          <a:solidFill>
            <a:schemeClr val="accent1"/>
          </a:solidFill>
          <a:ln w="19050">
            <a:solidFill>
              <a:schemeClr val="lt1"/>
            </a:solidFill>
          </a:ln>
          <a:effectLst/>
        </c:spPr>
      </c:pivotFmt>
      <c:pivotFmt>
        <c:idx val="146"/>
        <c:spPr>
          <a:solidFill>
            <a:schemeClr val="accent1"/>
          </a:solidFill>
          <a:ln w="19050">
            <a:solidFill>
              <a:schemeClr val="lt1"/>
            </a:solidFill>
          </a:ln>
          <a:effectLst/>
        </c:spPr>
      </c:pivotFmt>
      <c:pivotFmt>
        <c:idx val="147"/>
        <c:spPr>
          <a:solidFill>
            <a:schemeClr val="accent1"/>
          </a:solidFill>
          <a:ln w="19050">
            <a:solidFill>
              <a:schemeClr val="lt1"/>
            </a:solidFill>
          </a:ln>
          <a:effectLst/>
        </c:spPr>
      </c:pivotFmt>
      <c:pivotFmt>
        <c:idx val="148"/>
        <c:spPr>
          <a:solidFill>
            <a:schemeClr val="accent1"/>
          </a:solidFill>
          <a:ln w="19050">
            <a:solidFill>
              <a:schemeClr val="lt1"/>
            </a:solidFill>
          </a:ln>
          <a:effectLst/>
        </c:spPr>
      </c:pivotFmt>
      <c:pivotFmt>
        <c:idx val="149"/>
        <c:spPr>
          <a:solidFill>
            <a:schemeClr val="accent1"/>
          </a:solidFill>
          <a:ln w="19050">
            <a:solidFill>
              <a:schemeClr val="lt1"/>
            </a:solidFill>
          </a:ln>
          <a:effectLst/>
        </c:spPr>
      </c:pivotFmt>
      <c:pivotFmt>
        <c:idx val="150"/>
        <c:spPr>
          <a:solidFill>
            <a:schemeClr val="accent1"/>
          </a:solidFill>
          <a:ln w="19050">
            <a:solidFill>
              <a:schemeClr val="lt1"/>
            </a:solidFill>
          </a:ln>
          <a:effectLst/>
        </c:spPr>
      </c:pivotFmt>
      <c:pivotFmt>
        <c:idx val="151"/>
        <c:spPr>
          <a:solidFill>
            <a:schemeClr val="accent1"/>
          </a:solidFill>
          <a:ln w="19050">
            <a:solidFill>
              <a:schemeClr val="lt1"/>
            </a:solidFill>
          </a:ln>
          <a:effectLst/>
        </c:spPr>
      </c:pivotFmt>
      <c:pivotFmt>
        <c:idx val="152"/>
        <c:spPr>
          <a:solidFill>
            <a:schemeClr val="accent1"/>
          </a:solidFill>
          <a:ln w="19050">
            <a:solidFill>
              <a:schemeClr val="lt1"/>
            </a:solidFill>
          </a:ln>
          <a:effectLst/>
        </c:spPr>
      </c:pivotFmt>
      <c:pivotFmt>
        <c:idx val="153"/>
        <c:spPr>
          <a:solidFill>
            <a:schemeClr val="accent1"/>
          </a:solidFill>
          <a:ln w="19050">
            <a:solidFill>
              <a:schemeClr val="lt1"/>
            </a:solidFill>
          </a:ln>
          <a:effectLst/>
        </c:spPr>
      </c:pivotFmt>
      <c:pivotFmt>
        <c:idx val="154"/>
        <c:spPr>
          <a:solidFill>
            <a:schemeClr val="accent1"/>
          </a:solidFill>
          <a:ln w="19050">
            <a:solidFill>
              <a:schemeClr val="lt1"/>
            </a:solidFill>
          </a:ln>
          <a:effectLst/>
        </c:spPr>
      </c:pivotFmt>
      <c:pivotFmt>
        <c:idx val="155"/>
        <c:spPr>
          <a:solidFill>
            <a:schemeClr val="accent1"/>
          </a:solidFill>
          <a:ln w="19050">
            <a:solidFill>
              <a:schemeClr val="lt1"/>
            </a:solidFill>
          </a:ln>
          <a:effectLst/>
        </c:spPr>
      </c:pivotFmt>
      <c:pivotFmt>
        <c:idx val="156"/>
        <c:spPr>
          <a:solidFill>
            <a:schemeClr val="accent1"/>
          </a:solidFill>
          <a:ln w="19050">
            <a:solidFill>
              <a:schemeClr val="lt1"/>
            </a:solidFill>
          </a:ln>
          <a:effectLst/>
        </c:spPr>
      </c:pivotFmt>
      <c:pivotFmt>
        <c:idx val="157"/>
        <c:spPr>
          <a:solidFill>
            <a:schemeClr val="accent1"/>
          </a:solidFill>
          <a:ln w="19050">
            <a:solidFill>
              <a:schemeClr val="lt1"/>
            </a:solidFill>
          </a:ln>
          <a:effectLst/>
        </c:spPr>
      </c:pivotFmt>
      <c:pivotFmt>
        <c:idx val="158"/>
        <c:spPr>
          <a:solidFill>
            <a:schemeClr val="accent1"/>
          </a:solidFill>
          <a:ln w="19050">
            <a:solidFill>
              <a:schemeClr val="lt1"/>
            </a:solidFill>
          </a:ln>
          <a:effectLst/>
        </c:spPr>
      </c:pivotFmt>
      <c:pivotFmt>
        <c:idx val="159"/>
        <c:spPr>
          <a:solidFill>
            <a:schemeClr val="accent1"/>
          </a:solidFill>
          <a:ln w="19050">
            <a:solidFill>
              <a:schemeClr val="lt1"/>
            </a:solidFill>
          </a:ln>
          <a:effectLst/>
        </c:spPr>
      </c:pivotFmt>
      <c:pivotFmt>
        <c:idx val="160"/>
        <c:spPr>
          <a:solidFill>
            <a:schemeClr val="accent1"/>
          </a:solidFill>
          <a:ln w="19050">
            <a:solidFill>
              <a:schemeClr val="lt1"/>
            </a:solidFill>
          </a:ln>
          <a:effectLst/>
        </c:spPr>
      </c:pivotFmt>
      <c:pivotFmt>
        <c:idx val="161"/>
        <c:spPr>
          <a:solidFill>
            <a:schemeClr val="accent1"/>
          </a:solidFill>
          <a:ln w="19050">
            <a:solidFill>
              <a:schemeClr val="lt1"/>
            </a:solidFill>
          </a:ln>
          <a:effectLst/>
        </c:spPr>
      </c:pivotFmt>
      <c:pivotFmt>
        <c:idx val="162"/>
        <c:spPr>
          <a:solidFill>
            <a:schemeClr val="accent1"/>
          </a:solidFill>
          <a:ln w="19050">
            <a:solidFill>
              <a:schemeClr val="lt1"/>
            </a:solidFill>
          </a:ln>
          <a:effectLst/>
        </c:spPr>
      </c:pivotFmt>
      <c:pivotFmt>
        <c:idx val="163"/>
        <c:spPr>
          <a:solidFill>
            <a:schemeClr val="accent1"/>
          </a:solidFill>
          <a:ln w="19050">
            <a:solidFill>
              <a:schemeClr val="lt1"/>
            </a:solidFill>
          </a:ln>
          <a:effectLst/>
        </c:spPr>
      </c:pivotFmt>
      <c:pivotFmt>
        <c:idx val="164"/>
        <c:spPr>
          <a:solidFill>
            <a:schemeClr val="accent1"/>
          </a:solidFill>
          <a:ln w="19050">
            <a:solidFill>
              <a:schemeClr val="lt1"/>
            </a:solidFill>
          </a:ln>
          <a:effectLst/>
        </c:spPr>
      </c:pivotFmt>
      <c:pivotFmt>
        <c:idx val="165"/>
        <c:spPr>
          <a:solidFill>
            <a:schemeClr val="accent1"/>
          </a:solidFill>
          <a:ln w="19050">
            <a:solidFill>
              <a:schemeClr val="lt1"/>
            </a:solidFill>
          </a:ln>
          <a:effectLst/>
        </c:spPr>
      </c:pivotFmt>
      <c:pivotFmt>
        <c:idx val="166"/>
        <c:spPr>
          <a:solidFill>
            <a:schemeClr val="accent1"/>
          </a:solidFill>
          <a:ln w="19050">
            <a:solidFill>
              <a:schemeClr val="lt1"/>
            </a:solidFill>
          </a:ln>
          <a:effectLst/>
        </c:spPr>
      </c:pivotFmt>
      <c:pivotFmt>
        <c:idx val="167"/>
        <c:spPr>
          <a:solidFill>
            <a:schemeClr val="accent1"/>
          </a:solidFill>
          <a:ln w="19050">
            <a:solidFill>
              <a:schemeClr val="lt1"/>
            </a:solidFill>
          </a:ln>
          <a:effectLst/>
        </c:spPr>
      </c:pivotFmt>
      <c:pivotFmt>
        <c:idx val="168"/>
        <c:spPr>
          <a:solidFill>
            <a:schemeClr val="accent1"/>
          </a:solidFill>
          <a:ln w="19050">
            <a:solidFill>
              <a:schemeClr val="lt1"/>
            </a:solidFill>
          </a:ln>
          <a:effectLst/>
        </c:spPr>
      </c:pivotFmt>
      <c:pivotFmt>
        <c:idx val="169"/>
        <c:spPr>
          <a:solidFill>
            <a:schemeClr val="accent1"/>
          </a:solidFill>
          <a:ln w="19050">
            <a:solidFill>
              <a:schemeClr val="lt1"/>
            </a:solidFill>
          </a:ln>
          <a:effectLst/>
        </c:spPr>
      </c:pivotFmt>
      <c:pivotFmt>
        <c:idx val="170"/>
        <c:spPr>
          <a:solidFill>
            <a:schemeClr val="accent1"/>
          </a:solidFill>
          <a:ln w="19050">
            <a:solidFill>
              <a:schemeClr val="lt1"/>
            </a:solidFill>
          </a:ln>
          <a:effectLst/>
        </c:spPr>
      </c:pivotFmt>
      <c:pivotFmt>
        <c:idx val="171"/>
        <c:spPr>
          <a:solidFill>
            <a:schemeClr val="accent1"/>
          </a:solidFill>
          <a:ln w="19050">
            <a:solidFill>
              <a:schemeClr val="lt1"/>
            </a:solidFill>
          </a:ln>
          <a:effectLst/>
        </c:spPr>
      </c:pivotFmt>
      <c:pivotFmt>
        <c:idx val="172"/>
        <c:spPr>
          <a:solidFill>
            <a:schemeClr val="accent1"/>
          </a:solidFill>
          <a:ln w="19050">
            <a:solidFill>
              <a:schemeClr val="lt1"/>
            </a:solidFill>
          </a:ln>
          <a:effectLst/>
        </c:spPr>
      </c:pivotFmt>
      <c:pivotFmt>
        <c:idx val="173"/>
        <c:spPr>
          <a:solidFill>
            <a:schemeClr val="accent1"/>
          </a:solidFill>
          <a:ln w="19050">
            <a:solidFill>
              <a:schemeClr val="lt1"/>
            </a:solidFill>
          </a:ln>
          <a:effectLst/>
        </c:spPr>
      </c:pivotFmt>
      <c:pivotFmt>
        <c:idx val="174"/>
        <c:spPr>
          <a:solidFill>
            <a:schemeClr val="accent1"/>
          </a:solidFill>
          <a:ln w="19050">
            <a:solidFill>
              <a:schemeClr val="lt1"/>
            </a:solidFill>
          </a:ln>
          <a:effectLst/>
        </c:spPr>
      </c:pivotFmt>
      <c:pivotFmt>
        <c:idx val="175"/>
        <c:spPr>
          <a:solidFill>
            <a:schemeClr val="accent1"/>
          </a:solidFill>
          <a:ln w="19050">
            <a:solidFill>
              <a:schemeClr val="lt1"/>
            </a:solidFill>
          </a:ln>
          <a:effectLst/>
        </c:spPr>
      </c:pivotFmt>
      <c:pivotFmt>
        <c:idx val="176"/>
        <c:spPr>
          <a:solidFill>
            <a:schemeClr val="accent1"/>
          </a:solidFill>
          <a:ln w="19050">
            <a:solidFill>
              <a:schemeClr val="lt1"/>
            </a:solidFill>
          </a:ln>
          <a:effectLst/>
        </c:spPr>
      </c:pivotFmt>
      <c:pivotFmt>
        <c:idx val="177"/>
        <c:spPr>
          <a:solidFill>
            <a:schemeClr val="accent1"/>
          </a:solidFill>
          <a:ln w="19050">
            <a:solidFill>
              <a:schemeClr val="lt1"/>
            </a:solidFill>
          </a:ln>
          <a:effectLst/>
        </c:spPr>
      </c:pivotFmt>
      <c:pivotFmt>
        <c:idx val="178"/>
        <c:spPr>
          <a:solidFill>
            <a:schemeClr val="accent1"/>
          </a:solidFill>
          <a:ln w="19050">
            <a:solidFill>
              <a:schemeClr val="lt1"/>
            </a:solidFill>
          </a:ln>
          <a:effectLst/>
        </c:spPr>
      </c:pivotFmt>
      <c:pivotFmt>
        <c:idx val="179"/>
        <c:spPr>
          <a:solidFill>
            <a:schemeClr val="accent1"/>
          </a:solidFill>
          <a:ln w="19050">
            <a:solidFill>
              <a:schemeClr val="lt1"/>
            </a:solidFill>
          </a:ln>
          <a:effectLst/>
        </c:spPr>
      </c:pivotFmt>
      <c:pivotFmt>
        <c:idx val="180"/>
        <c:spPr>
          <a:solidFill>
            <a:schemeClr val="accent1"/>
          </a:solidFill>
          <a:ln w="19050">
            <a:solidFill>
              <a:schemeClr val="lt1"/>
            </a:solidFill>
          </a:ln>
          <a:effectLst/>
        </c:spPr>
      </c:pivotFmt>
      <c:pivotFmt>
        <c:idx val="181"/>
        <c:spPr>
          <a:solidFill>
            <a:schemeClr val="accent1"/>
          </a:solidFill>
          <a:ln w="19050">
            <a:solidFill>
              <a:schemeClr val="lt1"/>
            </a:solidFill>
          </a:ln>
          <a:effectLst/>
        </c:spPr>
      </c:pivotFmt>
      <c:pivotFmt>
        <c:idx val="182"/>
        <c:spPr>
          <a:solidFill>
            <a:schemeClr val="accent1"/>
          </a:solidFill>
          <a:ln w="19050">
            <a:solidFill>
              <a:schemeClr val="lt1"/>
            </a:solidFill>
          </a:ln>
          <a:effectLst/>
        </c:spPr>
      </c:pivotFmt>
      <c:pivotFmt>
        <c:idx val="183"/>
        <c:spPr>
          <a:solidFill>
            <a:schemeClr val="accent1"/>
          </a:solidFill>
          <a:ln w="19050">
            <a:solidFill>
              <a:schemeClr val="lt1"/>
            </a:solidFill>
          </a:ln>
          <a:effectLst/>
        </c:spPr>
      </c:pivotFmt>
      <c:pivotFmt>
        <c:idx val="184"/>
        <c:spPr>
          <a:solidFill>
            <a:schemeClr val="accent1"/>
          </a:solidFill>
          <a:ln w="19050">
            <a:solidFill>
              <a:schemeClr val="lt1"/>
            </a:solidFill>
          </a:ln>
          <a:effectLst/>
        </c:spPr>
      </c:pivotFmt>
      <c:pivotFmt>
        <c:idx val="185"/>
        <c:spPr>
          <a:solidFill>
            <a:schemeClr val="accent1"/>
          </a:solidFill>
          <a:ln w="19050">
            <a:solidFill>
              <a:schemeClr val="lt1"/>
            </a:solidFill>
          </a:ln>
          <a:effectLst/>
        </c:spPr>
      </c:pivotFmt>
      <c:pivotFmt>
        <c:idx val="186"/>
        <c:spPr>
          <a:solidFill>
            <a:schemeClr val="accent1"/>
          </a:solidFill>
          <a:ln w="19050">
            <a:solidFill>
              <a:schemeClr val="lt1"/>
            </a:solidFill>
          </a:ln>
          <a:effectLst/>
        </c:spPr>
      </c:pivotFmt>
      <c:pivotFmt>
        <c:idx val="187"/>
        <c:spPr>
          <a:solidFill>
            <a:schemeClr val="accent1"/>
          </a:solidFill>
          <a:ln w="19050">
            <a:solidFill>
              <a:schemeClr val="lt1"/>
            </a:solidFill>
          </a:ln>
          <a:effectLst/>
        </c:spPr>
      </c:pivotFmt>
      <c:pivotFmt>
        <c:idx val="188"/>
        <c:spPr>
          <a:solidFill>
            <a:schemeClr val="accent1"/>
          </a:solidFill>
          <a:ln w="19050">
            <a:solidFill>
              <a:schemeClr val="lt1"/>
            </a:solidFill>
          </a:ln>
          <a:effectLst/>
        </c:spPr>
      </c:pivotFmt>
      <c:pivotFmt>
        <c:idx val="189"/>
        <c:spPr>
          <a:solidFill>
            <a:schemeClr val="accent1"/>
          </a:solidFill>
          <a:ln w="19050">
            <a:solidFill>
              <a:schemeClr val="lt1"/>
            </a:solidFill>
          </a:ln>
          <a:effectLst/>
        </c:spPr>
      </c:pivotFmt>
      <c:pivotFmt>
        <c:idx val="190"/>
        <c:spPr>
          <a:solidFill>
            <a:schemeClr val="accent1"/>
          </a:solidFill>
          <a:ln w="19050">
            <a:solidFill>
              <a:schemeClr val="lt1"/>
            </a:solidFill>
          </a:ln>
          <a:effectLst/>
        </c:spPr>
      </c:pivotFmt>
      <c:pivotFmt>
        <c:idx val="191"/>
        <c:spPr>
          <a:solidFill>
            <a:schemeClr val="accent1"/>
          </a:solidFill>
          <a:ln w="19050">
            <a:solidFill>
              <a:schemeClr val="lt1"/>
            </a:solidFill>
          </a:ln>
          <a:effectLst/>
        </c:spPr>
      </c:pivotFmt>
      <c:pivotFmt>
        <c:idx val="192"/>
        <c:spPr>
          <a:solidFill>
            <a:schemeClr val="accent1"/>
          </a:solidFill>
          <a:ln w="19050">
            <a:solidFill>
              <a:schemeClr val="lt1"/>
            </a:solidFill>
          </a:ln>
          <a:effectLst/>
        </c:spPr>
      </c:pivotFmt>
      <c:pivotFmt>
        <c:idx val="193"/>
        <c:spPr>
          <a:solidFill>
            <a:schemeClr val="accent1"/>
          </a:solidFill>
          <a:ln w="19050">
            <a:solidFill>
              <a:schemeClr val="lt1"/>
            </a:solidFill>
          </a:ln>
          <a:effectLst/>
        </c:spPr>
      </c:pivotFmt>
      <c:pivotFmt>
        <c:idx val="194"/>
        <c:spPr>
          <a:solidFill>
            <a:schemeClr val="accent1"/>
          </a:solidFill>
          <a:ln w="19050">
            <a:solidFill>
              <a:schemeClr val="lt1"/>
            </a:solidFill>
          </a:ln>
          <a:effectLst/>
        </c:spPr>
      </c:pivotFmt>
      <c:pivotFmt>
        <c:idx val="195"/>
        <c:spPr>
          <a:solidFill>
            <a:schemeClr val="accent1"/>
          </a:solidFill>
          <a:ln w="19050">
            <a:solidFill>
              <a:schemeClr val="lt1"/>
            </a:solidFill>
          </a:ln>
          <a:effectLst/>
        </c:spPr>
      </c:pivotFmt>
      <c:pivotFmt>
        <c:idx val="196"/>
        <c:spPr>
          <a:solidFill>
            <a:schemeClr val="accent1"/>
          </a:solidFill>
          <a:ln w="19050">
            <a:solidFill>
              <a:schemeClr val="lt1"/>
            </a:solidFill>
          </a:ln>
          <a:effectLst/>
        </c:spPr>
      </c:pivotFmt>
      <c:pivotFmt>
        <c:idx val="197"/>
        <c:spPr>
          <a:solidFill>
            <a:schemeClr val="accent1"/>
          </a:solidFill>
          <a:ln w="19050">
            <a:solidFill>
              <a:schemeClr val="lt1"/>
            </a:solidFill>
          </a:ln>
          <a:effectLst/>
        </c:spPr>
      </c:pivotFmt>
      <c:pivotFmt>
        <c:idx val="198"/>
        <c:spPr>
          <a:solidFill>
            <a:schemeClr val="accent1"/>
          </a:solidFill>
          <a:ln w="19050">
            <a:solidFill>
              <a:schemeClr val="lt1"/>
            </a:solidFill>
          </a:ln>
          <a:effectLst/>
        </c:spPr>
      </c:pivotFmt>
      <c:pivotFmt>
        <c:idx val="199"/>
        <c:spPr>
          <a:solidFill>
            <a:schemeClr val="accent1"/>
          </a:solidFill>
          <a:ln w="19050">
            <a:solidFill>
              <a:schemeClr val="lt1"/>
            </a:solidFill>
          </a:ln>
          <a:effectLst/>
        </c:spPr>
      </c:pivotFmt>
      <c:pivotFmt>
        <c:idx val="200"/>
        <c:spPr>
          <a:solidFill>
            <a:schemeClr val="accent1"/>
          </a:solidFill>
          <a:ln w="19050">
            <a:solidFill>
              <a:schemeClr val="lt1"/>
            </a:solidFill>
          </a:ln>
          <a:effectLst/>
        </c:spPr>
      </c:pivotFmt>
      <c:pivotFmt>
        <c:idx val="201"/>
        <c:spPr>
          <a:solidFill>
            <a:schemeClr val="accent1"/>
          </a:solidFill>
          <a:ln w="19050">
            <a:solidFill>
              <a:schemeClr val="lt1"/>
            </a:solidFill>
          </a:ln>
          <a:effectLst/>
        </c:spPr>
      </c:pivotFmt>
      <c:pivotFmt>
        <c:idx val="202"/>
        <c:spPr>
          <a:solidFill>
            <a:schemeClr val="accent1"/>
          </a:solidFill>
          <a:ln w="19050">
            <a:solidFill>
              <a:schemeClr val="lt1"/>
            </a:solidFill>
          </a:ln>
          <a:effectLst/>
        </c:spPr>
      </c:pivotFmt>
      <c:pivotFmt>
        <c:idx val="203"/>
        <c:spPr>
          <a:solidFill>
            <a:schemeClr val="accent1"/>
          </a:solidFill>
          <a:ln w="19050">
            <a:solidFill>
              <a:schemeClr val="lt1"/>
            </a:solidFill>
          </a:ln>
          <a:effectLst/>
        </c:spPr>
      </c:pivotFmt>
      <c:pivotFmt>
        <c:idx val="204"/>
        <c:spPr>
          <a:solidFill>
            <a:schemeClr val="accent1"/>
          </a:solidFill>
          <a:ln w="19050">
            <a:solidFill>
              <a:schemeClr val="lt1"/>
            </a:solidFill>
          </a:ln>
          <a:effectLst/>
        </c:spPr>
      </c:pivotFmt>
      <c:pivotFmt>
        <c:idx val="205"/>
        <c:spPr>
          <a:solidFill>
            <a:schemeClr val="accent1"/>
          </a:solidFill>
          <a:ln w="19050">
            <a:solidFill>
              <a:schemeClr val="lt1"/>
            </a:solidFill>
          </a:ln>
          <a:effectLst/>
        </c:spPr>
      </c:pivotFmt>
      <c:pivotFmt>
        <c:idx val="206"/>
        <c:spPr>
          <a:solidFill>
            <a:schemeClr val="accent1"/>
          </a:solidFill>
          <a:ln w="19050">
            <a:solidFill>
              <a:schemeClr val="lt1"/>
            </a:solidFill>
          </a:ln>
          <a:effectLst/>
        </c:spPr>
      </c:pivotFmt>
      <c:pivotFmt>
        <c:idx val="207"/>
        <c:spPr>
          <a:solidFill>
            <a:schemeClr val="accent1"/>
          </a:solidFill>
          <a:ln w="19050">
            <a:solidFill>
              <a:schemeClr val="lt1"/>
            </a:solidFill>
          </a:ln>
          <a:effectLst/>
        </c:spPr>
      </c:pivotFmt>
      <c:pivotFmt>
        <c:idx val="208"/>
        <c:spPr>
          <a:solidFill>
            <a:schemeClr val="accent1"/>
          </a:solidFill>
          <a:ln w="19050">
            <a:solidFill>
              <a:schemeClr val="lt1"/>
            </a:solidFill>
          </a:ln>
          <a:effectLst/>
        </c:spPr>
      </c:pivotFmt>
      <c:pivotFmt>
        <c:idx val="209"/>
        <c:spPr>
          <a:solidFill>
            <a:schemeClr val="accent1"/>
          </a:solidFill>
          <a:ln w="19050">
            <a:solidFill>
              <a:schemeClr val="lt1"/>
            </a:solidFill>
          </a:ln>
          <a:effectLst/>
        </c:spPr>
      </c:pivotFmt>
      <c:pivotFmt>
        <c:idx val="210"/>
        <c:spPr>
          <a:solidFill>
            <a:schemeClr val="accent1"/>
          </a:solidFill>
          <a:ln w="19050">
            <a:solidFill>
              <a:schemeClr val="lt1"/>
            </a:solidFill>
          </a:ln>
          <a:effectLst/>
        </c:spPr>
      </c:pivotFmt>
      <c:pivotFmt>
        <c:idx val="211"/>
        <c:spPr>
          <a:solidFill>
            <a:schemeClr val="accent1"/>
          </a:solidFill>
          <a:ln w="19050">
            <a:solidFill>
              <a:schemeClr val="lt1"/>
            </a:solidFill>
          </a:ln>
          <a:effectLst/>
        </c:spPr>
      </c:pivotFmt>
      <c:pivotFmt>
        <c:idx val="212"/>
        <c:spPr>
          <a:solidFill>
            <a:schemeClr val="accent1"/>
          </a:solidFill>
          <a:ln w="19050">
            <a:solidFill>
              <a:schemeClr val="lt1"/>
            </a:solidFill>
          </a:ln>
          <a:effectLst/>
        </c:spPr>
      </c:pivotFmt>
      <c:pivotFmt>
        <c:idx val="213"/>
        <c:spPr>
          <a:solidFill>
            <a:schemeClr val="accent1"/>
          </a:solidFill>
          <a:ln w="19050">
            <a:solidFill>
              <a:schemeClr val="lt1"/>
            </a:solidFill>
          </a:ln>
          <a:effectLst/>
        </c:spPr>
      </c:pivotFmt>
      <c:pivotFmt>
        <c:idx val="214"/>
        <c:spPr>
          <a:solidFill>
            <a:schemeClr val="accent1"/>
          </a:solidFill>
          <a:ln w="19050">
            <a:solidFill>
              <a:schemeClr val="lt1"/>
            </a:solidFill>
          </a:ln>
          <a:effectLst/>
        </c:spPr>
      </c:pivotFmt>
      <c:pivotFmt>
        <c:idx val="215"/>
        <c:spPr>
          <a:solidFill>
            <a:schemeClr val="accent1"/>
          </a:solidFill>
          <a:ln w="19050">
            <a:solidFill>
              <a:schemeClr val="lt1"/>
            </a:solidFill>
          </a:ln>
          <a:effectLst/>
        </c:spPr>
      </c:pivotFmt>
      <c:pivotFmt>
        <c:idx val="216"/>
        <c:spPr>
          <a:solidFill>
            <a:schemeClr val="accent1"/>
          </a:solidFill>
          <a:ln w="19050">
            <a:solidFill>
              <a:schemeClr val="lt1"/>
            </a:solidFill>
          </a:ln>
          <a:effectLst/>
        </c:spPr>
      </c:pivotFmt>
      <c:pivotFmt>
        <c:idx val="217"/>
        <c:spPr>
          <a:solidFill>
            <a:schemeClr val="accent1"/>
          </a:solidFill>
          <a:ln w="19050">
            <a:solidFill>
              <a:schemeClr val="lt1"/>
            </a:solidFill>
          </a:ln>
          <a:effectLst/>
        </c:spPr>
      </c:pivotFmt>
      <c:pivotFmt>
        <c:idx val="218"/>
        <c:spPr>
          <a:solidFill>
            <a:schemeClr val="accent1"/>
          </a:solidFill>
          <a:ln w="19050">
            <a:solidFill>
              <a:schemeClr val="lt1"/>
            </a:solidFill>
          </a:ln>
          <a:effectLst/>
        </c:spPr>
      </c:pivotFmt>
      <c:pivotFmt>
        <c:idx val="219"/>
        <c:spPr>
          <a:solidFill>
            <a:schemeClr val="accent1"/>
          </a:solidFill>
          <a:ln w="19050">
            <a:solidFill>
              <a:schemeClr val="lt1"/>
            </a:solidFill>
          </a:ln>
          <a:effectLst/>
        </c:spPr>
      </c:pivotFmt>
      <c:pivotFmt>
        <c:idx val="220"/>
        <c:spPr>
          <a:solidFill>
            <a:schemeClr val="accent1"/>
          </a:solidFill>
          <a:ln w="19050">
            <a:solidFill>
              <a:schemeClr val="lt1"/>
            </a:solidFill>
          </a:ln>
          <a:effectLst/>
        </c:spPr>
      </c:pivotFmt>
      <c:pivotFmt>
        <c:idx val="221"/>
        <c:spPr>
          <a:solidFill>
            <a:schemeClr val="accent1"/>
          </a:solidFill>
          <a:ln w="19050">
            <a:solidFill>
              <a:schemeClr val="lt1"/>
            </a:solidFill>
          </a:ln>
          <a:effectLst/>
        </c:spPr>
      </c:pivotFmt>
      <c:pivotFmt>
        <c:idx val="222"/>
        <c:spPr>
          <a:solidFill>
            <a:schemeClr val="accent1"/>
          </a:solidFill>
          <a:ln w="19050">
            <a:solidFill>
              <a:schemeClr val="lt1"/>
            </a:solidFill>
          </a:ln>
          <a:effectLst/>
        </c:spPr>
      </c:pivotFmt>
      <c:pivotFmt>
        <c:idx val="223"/>
        <c:spPr>
          <a:solidFill>
            <a:schemeClr val="accent1"/>
          </a:solidFill>
          <a:ln w="19050">
            <a:solidFill>
              <a:schemeClr val="lt1"/>
            </a:solidFill>
          </a:ln>
          <a:effectLst/>
        </c:spPr>
      </c:pivotFmt>
      <c:pivotFmt>
        <c:idx val="224"/>
        <c:spPr>
          <a:solidFill>
            <a:schemeClr val="accent1"/>
          </a:solidFill>
          <a:ln w="19050">
            <a:solidFill>
              <a:schemeClr val="lt1"/>
            </a:solidFill>
          </a:ln>
          <a:effectLst/>
        </c:spPr>
      </c:pivotFmt>
      <c:pivotFmt>
        <c:idx val="225"/>
        <c:spPr>
          <a:solidFill>
            <a:schemeClr val="accent1"/>
          </a:solidFill>
          <a:ln w="19050">
            <a:solidFill>
              <a:schemeClr val="lt1"/>
            </a:solidFill>
          </a:ln>
          <a:effectLst/>
        </c:spPr>
      </c:pivotFmt>
      <c:pivotFmt>
        <c:idx val="226"/>
        <c:spPr>
          <a:solidFill>
            <a:schemeClr val="accent1"/>
          </a:solidFill>
          <a:ln w="19050">
            <a:solidFill>
              <a:schemeClr val="lt1"/>
            </a:solidFill>
          </a:ln>
          <a:effectLst/>
        </c:spPr>
      </c:pivotFmt>
      <c:pivotFmt>
        <c:idx val="227"/>
        <c:spPr>
          <a:solidFill>
            <a:schemeClr val="accent1"/>
          </a:solidFill>
          <a:ln w="19050">
            <a:solidFill>
              <a:schemeClr val="lt1"/>
            </a:solidFill>
          </a:ln>
          <a:effectLst/>
        </c:spPr>
      </c:pivotFmt>
      <c:pivotFmt>
        <c:idx val="228"/>
        <c:spPr>
          <a:solidFill>
            <a:schemeClr val="accent1"/>
          </a:solidFill>
          <a:ln w="19050">
            <a:solidFill>
              <a:schemeClr val="lt1"/>
            </a:solidFill>
          </a:ln>
          <a:effectLst/>
        </c:spPr>
      </c:pivotFmt>
      <c:pivotFmt>
        <c:idx val="229"/>
        <c:spPr>
          <a:solidFill>
            <a:schemeClr val="accent1"/>
          </a:solidFill>
          <a:ln w="19050">
            <a:solidFill>
              <a:schemeClr val="lt1"/>
            </a:solidFill>
          </a:ln>
          <a:effectLst/>
        </c:spPr>
      </c:pivotFmt>
      <c:pivotFmt>
        <c:idx val="230"/>
        <c:spPr>
          <a:solidFill>
            <a:schemeClr val="accent1"/>
          </a:solidFill>
          <a:ln w="19050">
            <a:solidFill>
              <a:schemeClr val="lt1"/>
            </a:solidFill>
          </a:ln>
          <a:effectLst/>
        </c:spPr>
      </c:pivotFmt>
      <c:pivotFmt>
        <c:idx val="231"/>
        <c:spPr>
          <a:solidFill>
            <a:schemeClr val="accent1"/>
          </a:solidFill>
          <a:ln w="19050">
            <a:solidFill>
              <a:schemeClr val="lt1"/>
            </a:solidFill>
          </a:ln>
          <a:effectLst/>
        </c:spPr>
      </c:pivotFmt>
      <c:pivotFmt>
        <c:idx val="232"/>
        <c:spPr>
          <a:solidFill>
            <a:schemeClr val="accent1"/>
          </a:solidFill>
          <a:ln w="19050">
            <a:solidFill>
              <a:schemeClr val="lt1"/>
            </a:solidFill>
          </a:ln>
          <a:effectLst/>
        </c:spPr>
      </c:pivotFmt>
      <c:pivotFmt>
        <c:idx val="233"/>
        <c:spPr>
          <a:solidFill>
            <a:schemeClr val="accent1"/>
          </a:solidFill>
          <a:ln w="19050">
            <a:solidFill>
              <a:schemeClr val="lt1"/>
            </a:solidFill>
          </a:ln>
          <a:effectLst/>
        </c:spPr>
      </c:pivotFmt>
      <c:pivotFmt>
        <c:idx val="234"/>
        <c:spPr>
          <a:solidFill>
            <a:schemeClr val="accent1"/>
          </a:solidFill>
          <a:ln w="19050">
            <a:solidFill>
              <a:schemeClr val="lt1"/>
            </a:solidFill>
          </a:ln>
          <a:effectLst/>
        </c:spPr>
      </c:pivotFmt>
      <c:pivotFmt>
        <c:idx val="235"/>
        <c:spPr>
          <a:solidFill>
            <a:schemeClr val="accent1"/>
          </a:solidFill>
          <a:ln w="19050">
            <a:solidFill>
              <a:schemeClr val="lt1"/>
            </a:solidFill>
          </a:ln>
          <a:effectLst/>
        </c:spPr>
      </c:pivotFmt>
      <c:pivotFmt>
        <c:idx val="236"/>
        <c:spPr>
          <a:solidFill>
            <a:schemeClr val="accent1"/>
          </a:solidFill>
          <a:ln w="19050">
            <a:solidFill>
              <a:schemeClr val="lt1"/>
            </a:solidFill>
          </a:ln>
          <a:effectLst/>
        </c:spPr>
      </c:pivotFmt>
      <c:pivotFmt>
        <c:idx val="237"/>
        <c:spPr>
          <a:solidFill>
            <a:schemeClr val="accent1"/>
          </a:solidFill>
          <a:ln w="19050">
            <a:solidFill>
              <a:schemeClr val="lt1"/>
            </a:solidFill>
          </a:ln>
          <a:effectLst/>
        </c:spPr>
      </c:pivotFmt>
      <c:pivotFmt>
        <c:idx val="238"/>
        <c:spPr>
          <a:solidFill>
            <a:schemeClr val="accent1"/>
          </a:solidFill>
          <a:ln w="19050">
            <a:solidFill>
              <a:schemeClr val="lt1"/>
            </a:solidFill>
          </a:ln>
          <a:effectLst/>
        </c:spPr>
      </c:pivotFmt>
      <c:pivotFmt>
        <c:idx val="239"/>
        <c:spPr>
          <a:solidFill>
            <a:schemeClr val="accent1"/>
          </a:solidFill>
          <a:ln w="19050">
            <a:solidFill>
              <a:schemeClr val="lt1"/>
            </a:solidFill>
          </a:ln>
          <a:effectLst/>
        </c:spPr>
      </c:pivotFmt>
      <c:pivotFmt>
        <c:idx val="240"/>
        <c:spPr>
          <a:solidFill>
            <a:schemeClr val="accent1"/>
          </a:solidFill>
          <a:ln w="19050">
            <a:solidFill>
              <a:schemeClr val="lt1"/>
            </a:solidFill>
          </a:ln>
          <a:effectLst/>
        </c:spPr>
      </c:pivotFmt>
      <c:pivotFmt>
        <c:idx val="241"/>
        <c:spPr>
          <a:solidFill>
            <a:schemeClr val="accent1"/>
          </a:solidFill>
          <a:ln w="19050">
            <a:solidFill>
              <a:schemeClr val="lt1"/>
            </a:solidFill>
          </a:ln>
          <a:effectLst/>
        </c:spPr>
      </c:pivotFmt>
      <c:pivotFmt>
        <c:idx val="242"/>
        <c:spPr>
          <a:solidFill>
            <a:schemeClr val="accent1"/>
          </a:solidFill>
          <a:ln w="19050">
            <a:solidFill>
              <a:schemeClr val="lt1"/>
            </a:solidFill>
          </a:ln>
          <a:effectLst/>
        </c:spPr>
      </c:pivotFmt>
      <c:pivotFmt>
        <c:idx val="243"/>
        <c:spPr>
          <a:solidFill>
            <a:schemeClr val="accent1"/>
          </a:solidFill>
          <a:ln w="19050">
            <a:solidFill>
              <a:schemeClr val="lt1"/>
            </a:solidFill>
          </a:ln>
          <a:effectLst/>
        </c:spPr>
      </c:pivotFmt>
      <c:pivotFmt>
        <c:idx val="244"/>
        <c:spPr>
          <a:solidFill>
            <a:schemeClr val="accent1"/>
          </a:solidFill>
          <a:ln w="19050">
            <a:solidFill>
              <a:schemeClr val="lt1"/>
            </a:solidFill>
          </a:ln>
          <a:effectLst/>
        </c:spPr>
      </c:pivotFmt>
      <c:pivotFmt>
        <c:idx val="245"/>
        <c:spPr>
          <a:solidFill>
            <a:schemeClr val="accent1"/>
          </a:solidFill>
          <a:ln w="19050">
            <a:solidFill>
              <a:schemeClr val="lt1"/>
            </a:solidFill>
          </a:ln>
          <a:effectLst/>
        </c:spPr>
      </c:pivotFmt>
      <c:pivotFmt>
        <c:idx val="246"/>
        <c:spPr>
          <a:solidFill>
            <a:schemeClr val="accent1"/>
          </a:solidFill>
          <a:ln w="19050">
            <a:solidFill>
              <a:schemeClr val="lt1"/>
            </a:solidFill>
          </a:ln>
          <a:effectLst/>
        </c:spPr>
      </c:pivotFmt>
      <c:pivotFmt>
        <c:idx val="247"/>
        <c:spPr>
          <a:solidFill>
            <a:schemeClr val="accent1"/>
          </a:solidFill>
          <a:ln w="19050">
            <a:solidFill>
              <a:schemeClr val="lt1"/>
            </a:solidFill>
          </a:ln>
          <a:effectLst/>
        </c:spPr>
      </c:pivotFmt>
      <c:pivotFmt>
        <c:idx val="248"/>
        <c:spPr>
          <a:solidFill>
            <a:schemeClr val="accent1"/>
          </a:solidFill>
          <a:ln w="19050">
            <a:solidFill>
              <a:schemeClr val="lt1"/>
            </a:solidFill>
          </a:ln>
          <a:effectLst/>
        </c:spPr>
      </c:pivotFmt>
      <c:pivotFmt>
        <c:idx val="249"/>
        <c:spPr>
          <a:solidFill>
            <a:schemeClr val="accent1"/>
          </a:solidFill>
          <a:ln w="19050">
            <a:solidFill>
              <a:schemeClr val="lt1"/>
            </a:solidFill>
          </a:ln>
          <a:effectLst/>
        </c:spPr>
      </c:pivotFmt>
      <c:pivotFmt>
        <c:idx val="250"/>
        <c:spPr>
          <a:solidFill>
            <a:schemeClr val="accent1"/>
          </a:solidFill>
          <a:ln w="19050">
            <a:solidFill>
              <a:schemeClr val="lt1"/>
            </a:solidFill>
          </a:ln>
          <a:effectLst/>
        </c:spPr>
      </c:pivotFmt>
      <c:pivotFmt>
        <c:idx val="251"/>
        <c:spPr>
          <a:solidFill>
            <a:schemeClr val="accent1"/>
          </a:solidFill>
          <a:ln w="19050">
            <a:solidFill>
              <a:schemeClr val="lt1"/>
            </a:solidFill>
          </a:ln>
          <a:effectLst/>
        </c:spPr>
      </c:pivotFmt>
      <c:pivotFmt>
        <c:idx val="252"/>
        <c:spPr>
          <a:solidFill>
            <a:schemeClr val="accent1"/>
          </a:solidFill>
          <a:ln w="19050">
            <a:solidFill>
              <a:schemeClr val="lt1"/>
            </a:solidFill>
          </a:ln>
          <a:effectLst/>
        </c:spPr>
      </c:pivotFmt>
      <c:pivotFmt>
        <c:idx val="253"/>
        <c:spPr>
          <a:solidFill>
            <a:schemeClr val="accent1"/>
          </a:solidFill>
          <a:ln w="19050">
            <a:solidFill>
              <a:schemeClr val="lt1"/>
            </a:solidFill>
          </a:ln>
          <a:effectLst/>
        </c:spPr>
      </c:pivotFmt>
      <c:pivotFmt>
        <c:idx val="254"/>
        <c:spPr>
          <a:solidFill>
            <a:schemeClr val="accent1"/>
          </a:solidFill>
          <a:ln w="19050">
            <a:solidFill>
              <a:schemeClr val="lt1"/>
            </a:solidFill>
          </a:ln>
          <a:effectLst/>
        </c:spPr>
      </c:pivotFmt>
      <c:pivotFmt>
        <c:idx val="255"/>
        <c:spPr>
          <a:solidFill>
            <a:schemeClr val="accent1"/>
          </a:solidFill>
          <a:ln w="19050">
            <a:solidFill>
              <a:schemeClr val="lt1"/>
            </a:solidFill>
          </a:ln>
          <a:effectLst/>
        </c:spPr>
      </c:pivotFmt>
      <c:pivotFmt>
        <c:idx val="256"/>
        <c:spPr>
          <a:solidFill>
            <a:schemeClr val="accent1"/>
          </a:solidFill>
          <a:ln w="19050">
            <a:solidFill>
              <a:schemeClr val="lt1"/>
            </a:solidFill>
          </a:ln>
          <a:effectLst/>
        </c:spPr>
      </c:pivotFmt>
      <c:pivotFmt>
        <c:idx val="257"/>
        <c:spPr>
          <a:solidFill>
            <a:schemeClr val="accent1"/>
          </a:solidFill>
          <a:ln w="19050">
            <a:solidFill>
              <a:schemeClr val="lt1"/>
            </a:solidFill>
          </a:ln>
          <a:effectLst/>
        </c:spPr>
      </c:pivotFmt>
      <c:pivotFmt>
        <c:idx val="258"/>
        <c:spPr>
          <a:solidFill>
            <a:schemeClr val="accent1"/>
          </a:solidFill>
          <a:ln w="19050">
            <a:solidFill>
              <a:schemeClr val="lt1"/>
            </a:solidFill>
          </a:ln>
          <a:effectLst/>
        </c:spPr>
      </c:pivotFmt>
      <c:pivotFmt>
        <c:idx val="259"/>
        <c:spPr>
          <a:solidFill>
            <a:schemeClr val="accent1"/>
          </a:solidFill>
          <a:ln w="19050">
            <a:solidFill>
              <a:schemeClr val="lt1"/>
            </a:solidFill>
          </a:ln>
          <a:effectLst/>
        </c:spPr>
      </c:pivotFmt>
      <c:pivotFmt>
        <c:idx val="260"/>
        <c:spPr>
          <a:solidFill>
            <a:schemeClr val="accent1"/>
          </a:solidFill>
          <a:ln w="19050">
            <a:solidFill>
              <a:schemeClr val="lt1"/>
            </a:solidFill>
          </a:ln>
          <a:effectLst/>
        </c:spPr>
      </c:pivotFmt>
      <c:pivotFmt>
        <c:idx val="261"/>
        <c:spPr>
          <a:solidFill>
            <a:schemeClr val="accent1"/>
          </a:solidFill>
          <a:ln w="19050">
            <a:solidFill>
              <a:schemeClr val="lt1"/>
            </a:solidFill>
          </a:ln>
          <a:effectLst/>
        </c:spPr>
      </c:pivotFmt>
      <c:pivotFmt>
        <c:idx val="262"/>
        <c:spPr>
          <a:solidFill>
            <a:schemeClr val="accent1"/>
          </a:solidFill>
          <a:ln w="19050">
            <a:solidFill>
              <a:schemeClr val="lt1"/>
            </a:solidFill>
          </a:ln>
          <a:effectLst/>
        </c:spPr>
      </c:pivotFmt>
      <c:pivotFmt>
        <c:idx val="263"/>
        <c:spPr>
          <a:solidFill>
            <a:schemeClr val="accent1"/>
          </a:solidFill>
          <a:ln w="19050">
            <a:solidFill>
              <a:schemeClr val="lt1"/>
            </a:solidFill>
          </a:ln>
          <a:effectLst/>
        </c:spPr>
      </c:pivotFmt>
      <c:pivotFmt>
        <c:idx val="264"/>
        <c:spPr>
          <a:solidFill>
            <a:schemeClr val="accent1"/>
          </a:solidFill>
          <a:ln w="19050">
            <a:solidFill>
              <a:schemeClr val="lt1"/>
            </a:solidFill>
          </a:ln>
          <a:effectLst/>
        </c:spPr>
      </c:pivotFmt>
      <c:pivotFmt>
        <c:idx val="265"/>
        <c:spPr>
          <a:solidFill>
            <a:schemeClr val="accent1"/>
          </a:solidFill>
          <a:ln w="19050">
            <a:solidFill>
              <a:schemeClr val="lt1"/>
            </a:solidFill>
          </a:ln>
          <a:effectLst/>
        </c:spPr>
      </c:pivotFmt>
      <c:pivotFmt>
        <c:idx val="266"/>
        <c:spPr>
          <a:solidFill>
            <a:schemeClr val="accent1"/>
          </a:solidFill>
          <a:ln w="19050">
            <a:solidFill>
              <a:schemeClr val="lt1"/>
            </a:solidFill>
          </a:ln>
          <a:effectLst/>
        </c:spPr>
      </c:pivotFmt>
      <c:pivotFmt>
        <c:idx val="267"/>
        <c:spPr>
          <a:solidFill>
            <a:schemeClr val="accent1"/>
          </a:solidFill>
          <a:ln w="19050">
            <a:solidFill>
              <a:schemeClr val="lt1"/>
            </a:solidFill>
          </a:ln>
          <a:effectLst/>
        </c:spPr>
      </c:pivotFmt>
      <c:pivotFmt>
        <c:idx val="268"/>
        <c:spPr>
          <a:solidFill>
            <a:schemeClr val="accent1"/>
          </a:solidFill>
          <a:ln w="19050">
            <a:solidFill>
              <a:schemeClr val="lt1"/>
            </a:solidFill>
          </a:ln>
          <a:effectLst/>
        </c:spPr>
      </c:pivotFmt>
      <c:pivotFmt>
        <c:idx val="269"/>
        <c:spPr>
          <a:solidFill>
            <a:schemeClr val="accent1"/>
          </a:solidFill>
          <a:ln w="19050">
            <a:solidFill>
              <a:schemeClr val="lt1"/>
            </a:solidFill>
          </a:ln>
          <a:effectLst/>
        </c:spPr>
      </c:pivotFmt>
      <c:pivotFmt>
        <c:idx val="270"/>
        <c:spPr>
          <a:solidFill>
            <a:schemeClr val="accent1"/>
          </a:solidFill>
          <a:ln w="19050">
            <a:solidFill>
              <a:schemeClr val="lt1"/>
            </a:solidFill>
          </a:ln>
          <a:effectLst/>
        </c:spPr>
      </c:pivotFmt>
      <c:pivotFmt>
        <c:idx val="271"/>
        <c:spPr>
          <a:solidFill>
            <a:schemeClr val="accent1"/>
          </a:solidFill>
          <a:ln w="19050">
            <a:solidFill>
              <a:schemeClr val="lt1"/>
            </a:solidFill>
          </a:ln>
          <a:effectLst/>
        </c:spPr>
      </c:pivotFmt>
      <c:pivotFmt>
        <c:idx val="272"/>
        <c:spPr>
          <a:solidFill>
            <a:schemeClr val="accent1"/>
          </a:solidFill>
          <a:ln w="19050">
            <a:solidFill>
              <a:schemeClr val="lt1"/>
            </a:solidFill>
          </a:ln>
          <a:effectLst/>
        </c:spPr>
      </c:pivotFmt>
      <c:pivotFmt>
        <c:idx val="273"/>
        <c:spPr>
          <a:solidFill>
            <a:schemeClr val="accent1"/>
          </a:solidFill>
          <a:ln w="19050">
            <a:solidFill>
              <a:schemeClr val="lt1"/>
            </a:solidFill>
          </a:ln>
          <a:effectLst/>
        </c:spPr>
      </c:pivotFmt>
      <c:pivotFmt>
        <c:idx val="274"/>
        <c:spPr>
          <a:solidFill>
            <a:schemeClr val="accent1"/>
          </a:solidFill>
          <a:ln w="19050">
            <a:solidFill>
              <a:schemeClr val="lt1"/>
            </a:solidFill>
          </a:ln>
          <a:effectLst/>
        </c:spPr>
      </c:pivotFmt>
      <c:pivotFmt>
        <c:idx val="27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6"/>
        <c:spPr>
          <a:solidFill>
            <a:schemeClr val="accent1"/>
          </a:solidFill>
          <a:ln w="19050">
            <a:solidFill>
              <a:schemeClr val="lt1"/>
            </a:solidFill>
          </a:ln>
          <a:effectLst/>
        </c:spPr>
      </c:pivotFmt>
      <c:pivotFmt>
        <c:idx val="277"/>
        <c:spPr>
          <a:solidFill>
            <a:schemeClr val="accent1"/>
          </a:solidFill>
          <a:ln w="19050">
            <a:solidFill>
              <a:schemeClr val="lt1"/>
            </a:solidFill>
          </a:ln>
          <a:effectLst/>
        </c:spPr>
      </c:pivotFmt>
      <c:pivotFmt>
        <c:idx val="278"/>
        <c:spPr>
          <a:solidFill>
            <a:schemeClr val="accent1"/>
          </a:solidFill>
          <a:ln w="19050">
            <a:solidFill>
              <a:schemeClr val="lt1"/>
            </a:solidFill>
          </a:ln>
          <a:effectLst/>
        </c:spPr>
      </c:pivotFmt>
      <c:pivotFmt>
        <c:idx val="279"/>
        <c:spPr>
          <a:solidFill>
            <a:schemeClr val="accent1"/>
          </a:solidFill>
          <a:ln w="19050">
            <a:solidFill>
              <a:schemeClr val="lt1"/>
            </a:solidFill>
          </a:ln>
          <a:effectLst/>
        </c:spPr>
      </c:pivotFmt>
      <c:pivotFmt>
        <c:idx val="280"/>
        <c:spPr>
          <a:solidFill>
            <a:schemeClr val="accent1"/>
          </a:solidFill>
          <a:ln w="19050">
            <a:solidFill>
              <a:schemeClr val="lt1"/>
            </a:solidFill>
          </a:ln>
          <a:effectLst/>
        </c:spPr>
      </c:pivotFmt>
      <c:pivotFmt>
        <c:idx val="281"/>
        <c:spPr>
          <a:solidFill>
            <a:schemeClr val="accent1"/>
          </a:solidFill>
          <a:ln w="19050">
            <a:solidFill>
              <a:schemeClr val="lt1"/>
            </a:solidFill>
          </a:ln>
          <a:effectLst/>
        </c:spPr>
      </c:pivotFmt>
      <c:pivotFmt>
        <c:idx val="282"/>
        <c:spPr>
          <a:solidFill>
            <a:schemeClr val="accent1"/>
          </a:solidFill>
          <a:ln w="19050">
            <a:solidFill>
              <a:schemeClr val="lt1"/>
            </a:solidFill>
          </a:ln>
          <a:effectLst/>
        </c:spPr>
      </c:pivotFmt>
      <c:pivotFmt>
        <c:idx val="283"/>
        <c:spPr>
          <a:solidFill>
            <a:schemeClr val="accent1"/>
          </a:solidFill>
          <a:ln w="19050">
            <a:solidFill>
              <a:schemeClr val="lt1"/>
            </a:solidFill>
          </a:ln>
          <a:effectLst/>
        </c:spPr>
      </c:pivotFmt>
      <c:pivotFmt>
        <c:idx val="284"/>
        <c:spPr>
          <a:solidFill>
            <a:schemeClr val="accent1"/>
          </a:solidFill>
          <a:ln w="19050">
            <a:solidFill>
              <a:schemeClr val="lt1"/>
            </a:solidFill>
          </a:ln>
          <a:effectLst/>
        </c:spPr>
      </c:pivotFmt>
      <c:pivotFmt>
        <c:idx val="285"/>
        <c:spPr>
          <a:solidFill>
            <a:schemeClr val="accent1"/>
          </a:solidFill>
          <a:ln w="19050">
            <a:solidFill>
              <a:schemeClr val="lt1"/>
            </a:solidFill>
          </a:ln>
          <a:effectLst/>
        </c:spPr>
      </c:pivotFmt>
      <c:pivotFmt>
        <c:idx val="286"/>
        <c:spPr>
          <a:solidFill>
            <a:schemeClr val="accent1"/>
          </a:solidFill>
          <a:ln w="19050">
            <a:solidFill>
              <a:schemeClr val="lt1"/>
            </a:solidFill>
          </a:ln>
          <a:effectLst/>
        </c:spPr>
      </c:pivotFmt>
      <c:pivotFmt>
        <c:idx val="287"/>
        <c:spPr>
          <a:solidFill>
            <a:schemeClr val="accent1"/>
          </a:solidFill>
          <a:ln w="19050">
            <a:solidFill>
              <a:schemeClr val="lt1"/>
            </a:solidFill>
          </a:ln>
          <a:effectLst/>
        </c:spPr>
      </c:pivotFmt>
      <c:pivotFmt>
        <c:idx val="288"/>
        <c:spPr>
          <a:solidFill>
            <a:schemeClr val="accent1"/>
          </a:solidFill>
          <a:ln w="19050">
            <a:solidFill>
              <a:schemeClr val="lt1"/>
            </a:solidFill>
          </a:ln>
          <a:effectLst/>
        </c:spPr>
      </c:pivotFmt>
      <c:pivotFmt>
        <c:idx val="289"/>
        <c:spPr>
          <a:solidFill>
            <a:schemeClr val="accent1"/>
          </a:solidFill>
          <a:ln w="19050">
            <a:solidFill>
              <a:schemeClr val="lt1"/>
            </a:solidFill>
          </a:ln>
          <a:effectLst/>
        </c:spPr>
      </c:pivotFmt>
      <c:pivotFmt>
        <c:idx val="290"/>
        <c:spPr>
          <a:solidFill>
            <a:schemeClr val="accent1"/>
          </a:solidFill>
          <a:ln w="19050">
            <a:solidFill>
              <a:schemeClr val="lt1"/>
            </a:solidFill>
          </a:ln>
          <a:effectLst/>
        </c:spPr>
      </c:pivotFmt>
      <c:pivotFmt>
        <c:idx val="291"/>
        <c:spPr>
          <a:solidFill>
            <a:schemeClr val="accent1"/>
          </a:solidFill>
          <a:ln w="19050">
            <a:solidFill>
              <a:schemeClr val="lt1"/>
            </a:solidFill>
          </a:ln>
          <a:effectLst/>
        </c:spPr>
      </c:pivotFmt>
      <c:pivotFmt>
        <c:idx val="292"/>
        <c:spPr>
          <a:solidFill>
            <a:schemeClr val="accent1"/>
          </a:solidFill>
          <a:ln w="19050">
            <a:solidFill>
              <a:schemeClr val="lt1"/>
            </a:solidFill>
          </a:ln>
          <a:effectLst/>
        </c:spPr>
      </c:pivotFmt>
      <c:pivotFmt>
        <c:idx val="293"/>
        <c:spPr>
          <a:solidFill>
            <a:schemeClr val="accent1"/>
          </a:solidFill>
          <a:ln w="19050">
            <a:solidFill>
              <a:schemeClr val="lt1"/>
            </a:solidFill>
          </a:ln>
          <a:effectLst/>
        </c:spPr>
      </c:pivotFmt>
      <c:pivotFmt>
        <c:idx val="294"/>
        <c:spPr>
          <a:solidFill>
            <a:schemeClr val="accent1"/>
          </a:solidFill>
          <a:ln w="19050">
            <a:solidFill>
              <a:schemeClr val="lt1"/>
            </a:solidFill>
          </a:ln>
          <a:effectLst/>
        </c:spPr>
      </c:pivotFmt>
      <c:pivotFmt>
        <c:idx val="295"/>
        <c:spPr>
          <a:solidFill>
            <a:schemeClr val="accent1"/>
          </a:solidFill>
          <a:ln w="19050">
            <a:solidFill>
              <a:schemeClr val="lt1"/>
            </a:solidFill>
          </a:ln>
          <a:effectLst/>
        </c:spPr>
      </c:pivotFmt>
      <c:pivotFmt>
        <c:idx val="296"/>
        <c:spPr>
          <a:solidFill>
            <a:schemeClr val="accent1"/>
          </a:solidFill>
          <a:ln w="19050">
            <a:solidFill>
              <a:schemeClr val="lt1"/>
            </a:solidFill>
          </a:ln>
          <a:effectLst/>
        </c:spPr>
      </c:pivotFmt>
      <c:pivotFmt>
        <c:idx val="297"/>
        <c:spPr>
          <a:solidFill>
            <a:schemeClr val="accent1"/>
          </a:solidFill>
          <a:ln w="19050">
            <a:solidFill>
              <a:schemeClr val="lt1"/>
            </a:solidFill>
          </a:ln>
          <a:effectLst/>
        </c:spPr>
      </c:pivotFmt>
      <c:pivotFmt>
        <c:idx val="298"/>
        <c:spPr>
          <a:solidFill>
            <a:schemeClr val="accent1"/>
          </a:solidFill>
          <a:ln w="19050">
            <a:solidFill>
              <a:schemeClr val="lt1"/>
            </a:solidFill>
          </a:ln>
          <a:effectLst/>
        </c:spPr>
      </c:pivotFmt>
      <c:pivotFmt>
        <c:idx val="299"/>
        <c:spPr>
          <a:solidFill>
            <a:schemeClr val="accent1"/>
          </a:solidFill>
          <a:ln w="19050">
            <a:solidFill>
              <a:schemeClr val="lt1"/>
            </a:solidFill>
          </a:ln>
          <a:effectLst/>
        </c:spPr>
      </c:pivotFmt>
      <c:pivotFmt>
        <c:idx val="300"/>
        <c:spPr>
          <a:solidFill>
            <a:schemeClr val="accent1"/>
          </a:solidFill>
          <a:ln w="19050">
            <a:solidFill>
              <a:schemeClr val="lt1"/>
            </a:solidFill>
          </a:ln>
          <a:effectLst/>
        </c:spPr>
      </c:pivotFmt>
      <c:pivotFmt>
        <c:idx val="301"/>
        <c:spPr>
          <a:solidFill>
            <a:schemeClr val="accent1"/>
          </a:solidFill>
          <a:ln w="19050">
            <a:solidFill>
              <a:schemeClr val="lt1"/>
            </a:solidFill>
          </a:ln>
          <a:effectLst/>
        </c:spPr>
      </c:pivotFmt>
      <c:pivotFmt>
        <c:idx val="302"/>
        <c:spPr>
          <a:solidFill>
            <a:schemeClr val="accent1"/>
          </a:solidFill>
          <a:ln w="19050">
            <a:solidFill>
              <a:schemeClr val="lt1"/>
            </a:solidFill>
          </a:ln>
          <a:effectLst/>
        </c:spPr>
      </c:pivotFmt>
      <c:pivotFmt>
        <c:idx val="303"/>
        <c:spPr>
          <a:solidFill>
            <a:schemeClr val="accent1"/>
          </a:solidFill>
          <a:ln w="19050">
            <a:solidFill>
              <a:schemeClr val="lt1"/>
            </a:solidFill>
          </a:ln>
          <a:effectLst/>
        </c:spPr>
      </c:pivotFmt>
      <c:pivotFmt>
        <c:idx val="304"/>
        <c:spPr>
          <a:solidFill>
            <a:schemeClr val="accent1"/>
          </a:solidFill>
          <a:ln w="19050">
            <a:solidFill>
              <a:schemeClr val="lt1"/>
            </a:solidFill>
          </a:ln>
          <a:effectLst/>
        </c:spPr>
      </c:pivotFmt>
      <c:pivotFmt>
        <c:idx val="305"/>
        <c:spPr>
          <a:solidFill>
            <a:schemeClr val="accent1"/>
          </a:solidFill>
          <a:ln w="19050">
            <a:solidFill>
              <a:schemeClr val="lt1"/>
            </a:solidFill>
          </a:ln>
          <a:effectLst/>
        </c:spPr>
      </c:pivotFmt>
      <c:pivotFmt>
        <c:idx val="306"/>
        <c:spPr>
          <a:solidFill>
            <a:schemeClr val="accent1"/>
          </a:solidFill>
          <a:ln w="19050">
            <a:solidFill>
              <a:schemeClr val="lt1"/>
            </a:solidFill>
          </a:ln>
          <a:effectLst/>
        </c:spPr>
      </c:pivotFmt>
      <c:pivotFmt>
        <c:idx val="307"/>
        <c:spPr>
          <a:solidFill>
            <a:schemeClr val="accent1"/>
          </a:solidFill>
          <a:ln w="19050">
            <a:solidFill>
              <a:schemeClr val="lt1"/>
            </a:solidFill>
          </a:ln>
          <a:effectLst/>
        </c:spPr>
      </c:pivotFmt>
      <c:pivotFmt>
        <c:idx val="308"/>
        <c:spPr>
          <a:solidFill>
            <a:schemeClr val="accent1"/>
          </a:solidFill>
          <a:ln w="19050">
            <a:solidFill>
              <a:schemeClr val="lt1"/>
            </a:solidFill>
          </a:ln>
          <a:effectLst/>
        </c:spPr>
      </c:pivotFmt>
      <c:pivotFmt>
        <c:idx val="309"/>
        <c:spPr>
          <a:solidFill>
            <a:schemeClr val="accent1"/>
          </a:solidFill>
          <a:ln w="19050">
            <a:solidFill>
              <a:schemeClr val="lt1"/>
            </a:solidFill>
          </a:ln>
          <a:effectLst/>
        </c:spPr>
      </c:pivotFmt>
      <c:pivotFmt>
        <c:idx val="310"/>
        <c:spPr>
          <a:solidFill>
            <a:schemeClr val="accent1"/>
          </a:solidFill>
          <a:ln w="19050">
            <a:solidFill>
              <a:schemeClr val="lt1"/>
            </a:solidFill>
          </a:ln>
          <a:effectLst/>
        </c:spPr>
      </c:pivotFmt>
      <c:pivotFmt>
        <c:idx val="311"/>
        <c:spPr>
          <a:solidFill>
            <a:schemeClr val="accent1"/>
          </a:solidFill>
          <a:ln w="19050">
            <a:solidFill>
              <a:schemeClr val="lt1"/>
            </a:solidFill>
          </a:ln>
          <a:effectLst/>
        </c:spPr>
      </c:pivotFmt>
      <c:pivotFmt>
        <c:idx val="312"/>
        <c:spPr>
          <a:solidFill>
            <a:schemeClr val="accent1"/>
          </a:solidFill>
          <a:ln w="19050">
            <a:solidFill>
              <a:schemeClr val="lt1"/>
            </a:solidFill>
          </a:ln>
          <a:effectLst/>
        </c:spPr>
      </c:pivotFmt>
      <c:pivotFmt>
        <c:idx val="313"/>
        <c:spPr>
          <a:solidFill>
            <a:schemeClr val="accent1"/>
          </a:solidFill>
          <a:ln w="19050">
            <a:solidFill>
              <a:schemeClr val="lt1"/>
            </a:solidFill>
          </a:ln>
          <a:effectLst/>
        </c:spPr>
      </c:pivotFmt>
      <c:pivotFmt>
        <c:idx val="314"/>
        <c:spPr>
          <a:solidFill>
            <a:schemeClr val="accent1"/>
          </a:solidFill>
          <a:ln w="19050">
            <a:solidFill>
              <a:schemeClr val="lt1"/>
            </a:solidFill>
          </a:ln>
          <a:effectLst/>
        </c:spPr>
      </c:pivotFmt>
      <c:pivotFmt>
        <c:idx val="315"/>
        <c:spPr>
          <a:solidFill>
            <a:schemeClr val="accent1"/>
          </a:solidFill>
          <a:ln w="19050">
            <a:solidFill>
              <a:schemeClr val="lt1"/>
            </a:solidFill>
          </a:ln>
          <a:effectLst/>
        </c:spPr>
      </c:pivotFmt>
      <c:pivotFmt>
        <c:idx val="316"/>
        <c:spPr>
          <a:solidFill>
            <a:schemeClr val="accent1"/>
          </a:solidFill>
          <a:ln w="19050">
            <a:solidFill>
              <a:schemeClr val="lt1"/>
            </a:solidFill>
          </a:ln>
          <a:effectLst/>
        </c:spPr>
      </c:pivotFmt>
      <c:pivotFmt>
        <c:idx val="317"/>
        <c:spPr>
          <a:solidFill>
            <a:schemeClr val="accent1"/>
          </a:solidFill>
          <a:ln w="19050">
            <a:solidFill>
              <a:schemeClr val="lt1"/>
            </a:solidFill>
          </a:ln>
          <a:effectLst/>
        </c:spPr>
      </c:pivotFmt>
      <c:pivotFmt>
        <c:idx val="318"/>
        <c:spPr>
          <a:solidFill>
            <a:schemeClr val="accent1"/>
          </a:solidFill>
          <a:ln w="19050">
            <a:solidFill>
              <a:schemeClr val="lt1"/>
            </a:solidFill>
          </a:ln>
          <a:effectLst/>
        </c:spPr>
      </c:pivotFmt>
      <c:pivotFmt>
        <c:idx val="319"/>
        <c:spPr>
          <a:solidFill>
            <a:schemeClr val="accent1"/>
          </a:solidFill>
          <a:ln w="19050">
            <a:solidFill>
              <a:schemeClr val="lt1"/>
            </a:solidFill>
          </a:ln>
          <a:effectLst/>
        </c:spPr>
      </c:pivotFmt>
      <c:pivotFmt>
        <c:idx val="320"/>
        <c:spPr>
          <a:solidFill>
            <a:schemeClr val="accent1"/>
          </a:solidFill>
          <a:ln w="19050">
            <a:solidFill>
              <a:schemeClr val="lt1"/>
            </a:solidFill>
          </a:ln>
          <a:effectLst/>
        </c:spPr>
      </c:pivotFmt>
      <c:pivotFmt>
        <c:idx val="321"/>
        <c:spPr>
          <a:solidFill>
            <a:schemeClr val="accent1"/>
          </a:solidFill>
          <a:ln w="19050">
            <a:solidFill>
              <a:schemeClr val="lt1"/>
            </a:solidFill>
          </a:ln>
          <a:effectLst/>
        </c:spPr>
      </c:pivotFmt>
      <c:pivotFmt>
        <c:idx val="322"/>
        <c:spPr>
          <a:solidFill>
            <a:schemeClr val="accent1"/>
          </a:solidFill>
          <a:ln w="19050">
            <a:solidFill>
              <a:schemeClr val="lt1"/>
            </a:solidFill>
          </a:ln>
          <a:effectLst/>
        </c:spPr>
      </c:pivotFmt>
      <c:pivotFmt>
        <c:idx val="323"/>
        <c:spPr>
          <a:solidFill>
            <a:schemeClr val="accent1"/>
          </a:solidFill>
          <a:ln w="19050">
            <a:solidFill>
              <a:schemeClr val="lt1"/>
            </a:solidFill>
          </a:ln>
          <a:effectLst/>
        </c:spPr>
      </c:pivotFmt>
      <c:pivotFmt>
        <c:idx val="324"/>
        <c:spPr>
          <a:solidFill>
            <a:schemeClr val="accent1"/>
          </a:solidFill>
          <a:ln w="19050">
            <a:solidFill>
              <a:schemeClr val="lt1"/>
            </a:solidFill>
          </a:ln>
          <a:effectLst/>
        </c:spPr>
      </c:pivotFmt>
      <c:pivotFmt>
        <c:idx val="325"/>
        <c:spPr>
          <a:solidFill>
            <a:schemeClr val="accent1"/>
          </a:solidFill>
          <a:ln w="19050">
            <a:solidFill>
              <a:schemeClr val="lt1"/>
            </a:solidFill>
          </a:ln>
          <a:effectLst/>
        </c:spPr>
      </c:pivotFmt>
      <c:pivotFmt>
        <c:idx val="326"/>
        <c:spPr>
          <a:solidFill>
            <a:schemeClr val="accent1"/>
          </a:solidFill>
          <a:ln w="19050">
            <a:solidFill>
              <a:schemeClr val="lt1"/>
            </a:solidFill>
          </a:ln>
          <a:effectLst/>
        </c:spPr>
      </c:pivotFmt>
      <c:pivotFmt>
        <c:idx val="327"/>
        <c:spPr>
          <a:solidFill>
            <a:schemeClr val="accent1"/>
          </a:solidFill>
          <a:ln w="19050">
            <a:solidFill>
              <a:schemeClr val="lt1"/>
            </a:solidFill>
          </a:ln>
          <a:effectLst/>
        </c:spPr>
      </c:pivotFmt>
      <c:pivotFmt>
        <c:idx val="328"/>
        <c:spPr>
          <a:solidFill>
            <a:schemeClr val="accent1"/>
          </a:solidFill>
          <a:ln w="19050">
            <a:solidFill>
              <a:schemeClr val="lt1"/>
            </a:solidFill>
          </a:ln>
          <a:effectLst/>
        </c:spPr>
      </c:pivotFmt>
      <c:pivotFmt>
        <c:idx val="329"/>
        <c:spPr>
          <a:solidFill>
            <a:schemeClr val="accent1"/>
          </a:solidFill>
          <a:ln w="19050">
            <a:solidFill>
              <a:schemeClr val="lt1"/>
            </a:solidFill>
          </a:ln>
          <a:effectLst/>
        </c:spPr>
      </c:pivotFmt>
      <c:pivotFmt>
        <c:idx val="330"/>
        <c:spPr>
          <a:solidFill>
            <a:schemeClr val="accent1"/>
          </a:solidFill>
          <a:ln w="19050">
            <a:solidFill>
              <a:schemeClr val="lt1"/>
            </a:solidFill>
          </a:ln>
          <a:effectLst/>
        </c:spPr>
      </c:pivotFmt>
      <c:pivotFmt>
        <c:idx val="331"/>
        <c:spPr>
          <a:solidFill>
            <a:schemeClr val="accent1"/>
          </a:solidFill>
          <a:ln w="19050">
            <a:solidFill>
              <a:schemeClr val="lt1"/>
            </a:solidFill>
          </a:ln>
          <a:effectLst/>
        </c:spPr>
      </c:pivotFmt>
      <c:pivotFmt>
        <c:idx val="332"/>
        <c:spPr>
          <a:solidFill>
            <a:schemeClr val="accent1"/>
          </a:solidFill>
          <a:ln w="19050">
            <a:solidFill>
              <a:schemeClr val="lt1"/>
            </a:solidFill>
          </a:ln>
          <a:effectLst/>
        </c:spPr>
      </c:pivotFmt>
      <c:pivotFmt>
        <c:idx val="333"/>
        <c:spPr>
          <a:solidFill>
            <a:schemeClr val="accent1"/>
          </a:solidFill>
          <a:ln w="19050">
            <a:solidFill>
              <a:schemeClr val="lt1"/>
            </a:solidFill>
          </a:ln>
          <a:effectLst/>
        </c:spPr>
      </c:pivotFmt>
      <c:pivotFmt>
        <c:idx val="334"/>
        <c:spPr>
          <a:solidFill>
            <a:schemeClr val="accent1"/>
          </a:solidFill>
          <a:ln w="19050">
            <a:solidFill>
              <a:schemeClr val="lt1"/>
            </a:solidFill>
          </a:ln>
          <a:effectLst/>
        </c:spPr>
      </c:pivotFmt>
      <c:pivotFmt>
        <c:idx val="335"/>
        <c:spPr>
          <a:solidFill>
            <a:schemeClr val="accent1"/>
          </a:solidFill>
          <a:ln w="19050">
            <a:solidFill>
              <a:schemeClr val="lt1"/>
            </a:solidFill>
          </a:ln>
          <a:effectLst/>
        </c:spPr>
      </c:pivotFmt>
      <c:pivotFmt>
        <c:idx val="336"/>
        <c:spPr>
          <a:solidFill>
            <a:schemeClr val="accent1"/>
          </a:solidFill>
          <a:ln w="19050">
            <a:solidFill>
              <a:schemeClr val="lt1"/>
            </a:solidFill>
          </a:ln>
          <a:effectLst/>
        </c:spPr>
      </c:pivotFmt>
      <c:pivotFmt>
        <c:idx val="337"/>
        <c:spPr>
          <a:solidFill>
            <a:schemeClr val="accent1"/>
          </a:solidFill>
          <a:ln w="19050">
            <a:solidFill>
              <a:schemeClr val="lt1"/>
            </a:solidFill>
          </a:ln>
          <a:effectLst/>
        </c:spPr>
      </c:pivotFmt>
      <c:pivotFmt>
        <c:idx val="338"/>
        <c:spPr>
          <a:solidFill>
            <a:schemeClr val="accent1"/>
          </a:solidFill>
          <a:ln w="19050">
            <a:solidFill>
              <a:schemeClr val="lt1"/>
            </a:solidFill>
          </a:ln>
          <a:effectLst/>
        </c:spPr>
      </c:pivotFmt>
      <c:pivotFmt>
        <c:idx val="339"/>
        <c:spPr>
          <a:solidFill>
            <a:schemeClr val="accent1"/>
          </a:solidFill>
          <a:ln w="19050">
            <a:solidFill>
              <a:schemeClr val="lt1"/>
            </a:solidFill>
          </a:ln>
          <a:effectLst/>
        </c:spPr>
      </c:pivotFmt>
      <c:pivotFmt>
        <c:idx val="340"/>
        <c:spPr>
          <a:solidFill>
            <a:schemeClr val="accent1"/>
          </a:solidFill>
          <a:ln w="19050">
            <a:solidFill>
              <a:schemeClr val="lt1"/>
            </a:solidFill>
          </a:ln>
          <a:effectLst/>
        </c:spPr>
      </c:pivotFmt>
      <c:pivotFmt>
        <c:idx val="341"/>
        <c:spPr>
          <a:solidFill>
            <a:schemeClr val="accent1"/>
          </a:solidFill>
          <a:ln w="19050">
            <a:solidFill>
              <a:schemeClr val="lt1"/>
            </a:solidFill>
          </a:ln>
          <a:effectLst/>
        </c:spPr>
      </c:pivotFmt>
      <c:pivotFmt>
        <c:idx val="342"/>
        <c:spPr>
          <a:solidFill>
            <a:schemeClr val="accent1"/>
          </a:solidFill>
          <a:ln w="19050">
            <a:solidFill>
              <a:schemeClr val="lt1"/>
            </a:solidFill>
          </a:ln>
          <a:effectLst/>
        </c:spPr>
      </c:pivotFmt>
      <c:pivotFmt>
        <c:idx val="343"/>
        <c:spPr>
          <a:solidFill>
            <a:schemeClr val="accent1"/>
          </a:solidFill>
          <a:ln w="19050">
            <a:solidFill>
              <a:schemeClr val="lt1"/>
            </a:solidFill>
          </a:ln>
          <a:effectLst/>
        </c:spPr>
      </c:pivotFmt>
      <c:pivotFmt>
        <c:idx val="344"/>
        <c:spPr>
          <a:solidFill>
            <a:schemeClr val="accent1"/>
          </a:solidFill>
          <a:ln w="19050">
            <a:solidFill>
              <a:schemeClr val="lt1"/>
            </a:solidFill>
          </a:ln>
          <a:effectLst/>
        </c:spPr>
      </c:pivotFmt>
      <c:pivotFmt>
        <c:idx val="345"/>
        <c:spPr>
          <a:solidFill>
            <a:schemeClr val="accent1"/>
          </a:solidFill>
          <a:ln w="19050">
            <a:solidFill>
              <a:schemeClr val="lt1"/>
            </a:solidFill>
          </a:ln>
          <a:effectLst/>
        </c:spPr>
      </c:pivotFmt>
      <c:pivotFmt>
        <c:idx val="346"/>
        <c:spPr>
          <a:solidFill>
            <a:schemeClr val="accent1"/>
          </a:solidFill>
          <a:ln w="19050">
            <a:solidFill>
              <a:schemeClr val="lt1"/>
            </a:solidFill>
          </a:ln>
          <a:effectLst/>
        </c:spPr>
      </c:pivotFmt>
      <c:pivotFmt>
        <c:idx val="347"/>
        <c:spPr>
          <a:solidFill>
            <a:schemeClr val="accent1"/>
          </a:solidFill>
          <a:ln w="19050">
            <a:solidFill>
              <a:schemeClr val="lt1"/>
            </a:solidFill>
          </a:ln>
          <a:effectLst/>
        </c:spPr>
      </c:pivotFmt>
      <c:pivotFmt>
        <c:idx val="348"/>
        <c:spPr>
          <a:solidFill>
            <a:schemeClr val="accent1"/>
          </a:solidFill>
          <a:ln w="19050">
            <a:solidFill>
              <a:schemeClr val="lt1"/>
            </a:solidFill>
          </a:ln>
          <a:effectLst/>
        </c:spPr>
      </c:pivotFmt>
      <c:pivotFmt>
        <c:idx val="349"/>
        <c:spPr>
          <a:solidFill>
            <a:schemeClr val="accent1"/>
          </a:solidFill>
          <a:ln w="19050">
            <a:solidFill>
              <a:schemeClr val="lt1"/>
            </a:solidFill>
          </a:ln>
          <a:effectLst/>
        </c:spPr>
      </c:pivotFmt>
      <c:pivotFmt>
        <c:idx val="350"/>
        <c:spPr>
          <a:solidFill>
            <a:schemeClr val="accent1"/>
          </a:solidFill>
          <a:ln w="19050">
            <a:solidFill>
              <a:schemeClr val="lt1"/>
            </a:solidFill>
          </a:ln>
          <a:effectLst/>
        </c:spPr>
      </c:pivotFmt>
      <c:pivotFmt>
        <c:idx val="351"/>
        <c:spPr>
          <a:solidFill>
            <a:schemeClr val="accent1"/>
          </a:solidFill>
          <a:ln w="19050">
            <a:solidFill>
              <a:schemeClr val="lt1"/>
            </a:solidFill>
          </a:ln>
          <a:effectLst/>
        </c:spPr>
      </c:pivotFmt>
      <c:pivotFmt>
        <c:idx val="352"/>
        <c:spPr>
          <a:solidFill>
            <a:schemeClr val="accent1"/>
          </a:solidFill>
          <a:ln w="19050">
            <a:solidFill>
              <a:schemeClr val="lt1"/>
            </a:solidFill>
          </a:ln>
          <a:effectLst/>
        </c:spPr>
      </c:pivotFmt>
      <c:pivotFmt>
        <c:idx val="353"/>
        <c:spPr>
          <a:solidFill>
            <a:schemeClr val="accent1"/>
          </a:solidFill>
          <a:ln w="19050">
            <a:solidFill>
              <a:schemeClr val="lt1"/>
            </a:solidFill>
          </a:ln>
          <a:effectLst/>
        </c:spPr>
      </c:pivotFmt>
      <c:pivotFmt>
        <c:idx val="354"/>
        <c:spPr>
          <a:solidFill>
            <a:schemeClr val="accent1"/>
          </a:solidFill>
          <a:ln w="19050">
            <a:solidFill>
              <a:schemeClr val="lt1"/>
            </a:solidFill>
          </a:ln>
          <a:effectLst/>
        </c:spPr>
      </c:pivotFmt>
      <c:pivotFmt>
        <c:idx val="355"/>
        <c:spPr>
          <a:solidFill>
            <a:schemeClr val="accent1"/>
          </a:solidFill>
          <a:ln w="19050">
            <a:solidFill>
              <a:schemeClr val="lt1"/>
            </a:solidFill>
          </a:ln>
          <a:effectLst/>
        </c:spPr>
      </c:pivotFmt>
      <c:pivotFmt>
        <c:idx val="356"/>
        <c:spPr>
          <a:solidFill>
            <a:schemeClr val="accent1"/>
          </a:solidFill>
          <a:ln w="19050">
            <a:solidFill>
              <a:schemeClr val="lt1"/>
            </a:solidFill>
          </a:ln>
          <a:effectLst/>
        </c:spPr>
      </c:pivotFmt>
      <c:pivotFmt>
        <c:idx val="357"/>
        <c:spPr>
          <a:solidFill>
            <a:schemeClr val="accent1"/>
          </a:solidFill>
          <a:ln w="19050">
            <a:solidFill>
              <a:schemeClr val="lt1"/>
            </a:solidFill>
          </a:ln>
          <a:effectLst/>
        </c:spPr>
      </c:pivotFmt>
      <c:pivotFmt>
        <c:idx val="358"/>
        <c:spPr>
          <a:solidFill>
            <a:schemeClr val="accent1"/>
          </a:solidFill>
          <a:ln w="19050">
            <a:solidFill>
              <a:schemeClr val="lt1"/>
            </a:solidFill>
          </a:ln>
          <a:effectLst/>
        </c:spPr>
      </c:pivotFmt>
      <c:pivotFmt>
        <c:idx val="359"/>
        <c:spPr>
          <a:solidFill>
            <a:schemeClr val="accent1"/>
          </a:solidFill>
          <a:ln w="19050">
            <a:solidFill>
              <a:schemeClr val="lt1"/>
            </a:solidFill>
          </a:ln>
          <a:effectLst/>
        </c:spPr>
      </c:pivotFmt>
      <c:pivotFmt>
        <c:idx val="360"/>
        <c:spPr>
          <a:solidFill>
            <a:schemeClr val="accent1"/>
          </a:solidFill>
          <a:ln w="19050">
            <a:solidFill>
              <a:schemeClr val="lt1"/>
            </a:solidFill>
          </a:ln>
          <a:effectLst/>
        </c:spPr>
      </c:pivotFmt>
      <c:pivotFmt>
        <c:idx val="361"/>
        <c:spPr>
          <a:solidFill>
            <a:schemeClr val="accent1"/>
          </a:solidFill>
          <a:ln w="19050">
            <a:solidFill>
              <a:schemeClr val="lt1"/>
            </a:solidFill>
          </a:ln>
          <a:effectLst/>
        </c:spPr>
      </c:pivotFmt>
      <c:pivotFmt>
        <c:idx val="362"/>
        <c:spPr>
          <a:solidFill>
            <a:schemeClr val="accent1"/>
          </a:solidFill>
          <a:ln w="19050">
            <a:solidFill>
              <a:schemeClr val="lt1"/>
            </a:solidFill>
          </a:ln>
          <a:effectLst/>
        </c:spPr>
      </c:pivotFmt>
      <c:pivotFmt>
        <c:idx val="363"/>
        <c:spPr>
          <a:solidFill>
            <a:schemeClr val="accent1"/>
          </a:solidFill>
          <a:ln w="19050">
            <a:solidFill>
              <a:schemeClr val="lt1"/>
            </a:solidFill>
          </a:ln>
          <a:effectLst/>
        </c:spPr>
      </c:pivotFmt>
      <c:pivotFmt>
        <c:idx val="364"/>
        <c:spPr>
          <a:solidFill>
            <a:schemeClr val="accent1"/>
          </a:solidFill>
          <a:ln w="19050">
            <a:solidFill>
              <a:schemeClr val="lt1"/>
            </a:solidFill>
          </a:ln>
          <a:effectLst/>
        </c:spPr>
      </c:pivotFmt>
      <c:pivotFmt>
        <c:idx val="365"/>
        <c:spPr>
          <a:solidFill>
            <a:schemeClr val="accent1"/>
          </a:solidFill>
          <a:ln w="19050">
            <a:solidFill>
              <a:schemeClr val="lt1"/>
            </a:solidFill>
          </a:ln>
          <a:effectLst/>
        </c:spPr>
      </c:pivotFmt>
      <c:pivotFmt>
        <c:idx val="366"/>
        <c:spPr>
          <a:solidFill>
            <a:schemeClr val="accent1"/>
          </a:solidFill>
          <a:ln w="19050">
            <a:solidFill>
              <a:schemeClr val="lt1"/>
            </a:solidFill>
          </a:ln>
          <a:effectLst/>
        </c:spPr>
      </c:pivotFmt>
      <c:pivotFmt>
        <c:idx val="367"/>
        <c:spPr>
          <a:solidFill>
            <a:schemeClr val="accent1"/>
          </a:solidFill>
          <a:ln w="19050">
            <a:solidFill>
              <a:schemeClr val="lt1"/>
            </a:solidFill>
          </a:ln>
          <a:effectLst/>
        </c:spPr>
      </c:pivotFmt>
      <c:pivotFmt>
        <c:idx val="368"/>
        <c:spPr>
          <a:solidFill>
            <a:schemeClr val="accent1"/>
          </a:solidFill>
          <a:ln w="19050">
            <a:solidFill>
              <a:schemeClr val="lt1"/>
            </a:solidFill>
          </a:ln>
          <a:effectLst/>
        </c:spPr>
      </c:pivotFmt>
      <c:pivotFmt>
        <c:idx val="369"/>
        <c:spPr>
          <a:solidFill>
            <a:schemeClr val="accent1"/>
          </a:solidFill>
          <a:ln w="19050">
            <a:solidFill>
              <a:schemeClr val="lt1"/>
            </a:solidFill>
          </a:ln>
          <a:effectLst/>
        </c:spPr>
      </c:pivotFmt>
      <c:pivotFmt>
        <c:idx val="370"/>
        <c:spPr>
          <a:solidFill>
            <a:schemeClr val="accent1"/>
          </a:solidFill>
          <a:ln w="19050">
            <a:solidFill>
              <a:schemeClr val="lt1"/>
            </a:solidFill>
          </a:ln>
          <a:effectLst/>
        </c:spPr>
      </c:pivotFmt>
      <c:pivotFmt>
        <c:idx val="371"/>
        <c:spPr>
          <a:solidFill>
            <a:schemeClr val="accent1"/>
          </a:solidFill>
          <a:ln w="19050">
            <a:solidFill>
              <a:schemeClr val="lt1"/>
            </a:solidFill>
          </a:ln>
          <a:effectLst/>
        </c:spPr>
      </c:pivotFmt>
      <c:pivotFmt>
        <c:idx val="372"/>
        <c:spPr>
          <a:solidFill>
            <a:schemeClr val="accent1"/>
          </a:solidFill>
          <a:ln w="19050">
            <a:solidFill>
              <a:schemeClr val="lt1"/>
            </a:solidFill>
          </a:ln>
          <a:effectLst/>
        </c:spPr>
      </c:pivotFmt>
      <c:pivotFmt>
        <c:idx val="373"/>
        <c:spPr>
          <a:solidFill>
            <a:schemeClr val="accent1"/>
          </a:solidFill>
          <a:ln w="19050">
            <a:solidFill>
              <a:schemeClr val="lt1"/>
            </a:solidFill>
          </a:ln>
          <a:effectLst/>
        </c:spPr>
      </c:pivotFmt>
      <c:pivotFmt>
        <c:idx val="374"/>
        <c:spPr>
          <a:solidFill>
            <a:schemeClr val="accent1"/>
          </a:solidFill>
          <a:ln w="19050">
            <a:solidFill>
              <a:schemeClr val="lt1"/>
            </a:solidFill>
          </a:ln>
          <a:effectLst/>
        </c:spPr>
      </c:pivotFmt>
      <c:pivotFmt>
        <c:idx val="375"/>
        <c:spPr>
          <a:solidFill>
            <a:schemeClr val="accent1"/>
          </a:solidFill>
          <a:ln w="19050">
            <a:solidFill>
              <a:schemeClr val="lt1"/>
            </a:solidFill>
          </a:ln>
          <a:effectLst/>
        </c:spPr>
      </c:pivotFmt>
      <c:pivotFmt>
        <c:idx val="376"/>
        <c:spPr>
          <a:solidFill>
            <a:schemeClr val="accent1"/>
          </a:solidFill>
          <a:ln w="19050">
            <a:solidFill>
              <a:schemeClr val="lt1"/>
            </a:solidFill>
          </a:ln>
          <a:effectLst/>
        </c:spPr>
      </c:pivotFmt>
      <c:pivotFmt>
        <c:idx val="377"/>
        <c:spPr>
          <a:solidFill>
            <a:schemeClr val="accent1"/>
          </a:solidFill>
          <a:ln w="19050">
            <a:solidFill>
              <a:schemeClr val="lt1"/>
            </a:solidFill>
          </a:ln>
          <a:effectLst/>
        </c:spPr>
      </c:pivotFmt>
      <c:pivotFmt>
        <c:idx val="378"/>
        <c:spPr>
          <a:solidFill>
            <a:schemeClr val="accent1"/>
          </a:solidFill>
          <a:ln w="19050">
            <a:solidFill>
              <a:schemeClr val="lt1"/>
            </a:solidFill>
          </a:ln>
          <a:effectLst/>
        </c:spPr>
      </c:pivotFmt>
      <c:pivotFmt>
        <c:idx val="379"/>
        <c:spPr>
          <a:solidFill>
            <a:schemeClr val="accent1"/>
          </a:solidFill>
          <a:ln w="19050">
            <a:solidFill>
              <a:schemeClr val="lt1"/>
            </a:solidFill>
          </a:ln>
          <a:effectLst/>
        </c:spPr>
      </c:pivotFmt>
      <c:pivotFmt>
        <c:idx val="380"/>
        <c:spPr>
          <a:solidFill>
            <a:schemeClr val="accent1"/>
          </a:solidFill>
          <a:ln w="19050">
            <a:solidFill>
              <a:schemeClr val="lt1"/>
            </a:solidFill>
          </a:ln>
          <a:effectLst/>
        </c:spPr>
      </c:pivotFmt>
      <c:pivotFmt>
        <c:idx val="381"/>
        <c:spPr>
          <a:solidFill>
            <a:schemeClr val="accent1"/>
          </a:solidFill>
          <a:ln w="19050">
            <a:solidFill>
              <a:schemeClr val="lt1"/>
            </a:solidFill>
          </a:ln>
          <a:effectLst/>
        </c:spPr>
      </c:pivotFmt>
      <c:pivotFmt>
        <c:idx val="382"/>
        <c:spPr>
          <a:solidFill>
            <a:schemeClr val="accent1"/>
          </a:solidFill>
          <a:ln w="19050">
            <a:solidFill>
              <a:schemeClr val="lt1"/>
            </a:solidFill>
          </a:ln>
          <a:effectLst/>
        </c:spPr>
      </c:pivotFmt>
      <c:pivotFmt>
        <c:idx val="383"/>
        <c:spPr>
          <a:solidFill>
            <a:schemeClr val="accent1"/>
          </a:solidFill>
          <a:ln w="19050">
            <a:solidFill>
              <a:schemeClr val="lt1"/>
            </a:solidFill>
          </a:ln>
          <a:effectLst/>
        </c:spPr>
      </c:pivotFmt>
      <c:pivotFmt>
        <c:idx val="384"/>
        <c:spPr>
          <a:solidFill>
            <a:schemeClr val="accent1"/>
          </a:solidFill>
          <a:ln w="19050">
            <a:solidFill>
              <a:schemeClr val="lt1"/>
            </a:solidFill>
          </a:ln>
          <a:effectLst/>
        </c:spPr>
      </c:pivotFmt>
      <c:pivotFmt>
        <c:idx val="385"/>
        <c:spPr>
          <a:solidFill>
            <a:schemeClr val="accent1"/>
          </a:solidFill>
          <a:ln w="19050">
            <a:solidFill>
              <a:schemeClr val="lt1"/>
            </a:solidFill>
          </a:ln>
          <a:effectLst/>
        </c:spPr>
      </c:pivotFmt>
      <c:pivotFmt>
        <c:idx val="386"/>
        <c:spPr>
          <a:solidFill>
            <a:schemeClr val="accent1"/>
          </a:solidFill>
          <a:ln w="19050">
            <a:solidFill>
              <a:schemeClr val="lt1"/>
            </a:solidFill>
          </a:ln>
          <a:effectLst/>
        </c:spPr>
      </c:pivotFmt>
      <c:pivotFmt>
        <c:idx val="387"/>
        <c:spPr>
          <a:solidFill>
            <a:schemeClr val="accent1"/>
          </a:solidFill>
          <a:ln w="19050">
            <a:solidFill>
              <a:schemeClr val="lt1"/>
            </a:solidFill>
          </a:ln>
          <a:effectLst/>
        </c:spPr>
      </c:pivotFmt>
      <c:pivotFmt>
        <c:idx val="388"/>
        <c:spPr>
          <a:solidFill>
            <a:schemeClr val="accent1"/>
          </a:solidFill>
          <a:ln w="19050">
            <a:solidFill>
              <a:schemeClr val="lt1"/>
            </a:solidFill>
          </a:ln>
          <a:effectLst/>
        </c:spPr>
      </c:pivotFmt>
      <c:pivotFmt>
        <c:idx val="389"/>
        <c:spPr>
          <a:solidFill>
            <a:schemeClr val="accent1"/>
          </a:solidFill>
          <a:ln w="19050">
            <a:solidFill>
              <a:schemeClr val="lt1"/>
            </a:solidFill>
          </a:ln>
          <a:effectLst/>
        </c:spPr>
      </c:pivotFmt>
      <c:pivotFmt>
        <c:idx val="390"/>
        <c:spPr>
          <a:solidFill>
            <a:schemeClr val="accent1"/>
          </a:solidFill>
          <a:ln w="19050">
            <a:solidFill>
              <a:schemeClr val="lt1"/>
            </a:solidFill>
          </a:ln>
          <a:effectLst/>
        </c:spPr>
      </c:pivotFmt>
      <c:pivotFmt>
        <c:idx val="391"/>
        <c:spPr>
          <a:solidFill>
            <a:schemeClr val="accent1"/>
          </a:solidFill>
          <a:ln w="19050">
            <a:solidFill>
              <a:schemeClr val="lt1"/>
            </a:solidFill>
          </a:ln>
          <a:effectLst/>
        </c:spPr>
      </c:pivotFmt>
      <c:pivotFmt>
        <c:idx val="392"/>
        <c:spPr>
          <a:solidFill>
            <a:schemeClr val="accent1"/>
          </a:solidFill>
          <a:ln w="19050">
            <a:solidFill>
              <a:schemeClr val="lt1"/>
            </a:solidFill>
          </a:ln>
          <a:effectLst/>
        </c:spPr>
      </c:pivotFmt>
      <c:pivotFmt>
        <c:idx val="393"/>
        <c:spPr>
          <a:solidFill>
            <a:schemeClr val="accent1"/>
          </a:solidFill>
          <a:ln w="19050">
            <a:solidFill>
              <a:schemeClr val="lt1"/>
            </a:solidFill>
          </a:ln>
          <a:effectLst/>
        </c:spPr>
      </c:pivotFmt>
      <c:pivotFmt>
        <c:idx val="394"/>
        <c:spPr>
          <a:solidFill>
            <a:schemeClr val="accent1"/>
          </a:solidFill>
          <a:ln w="19050">
            <a:solidFill>
              <a:schemeClr val="lt1"/>
            </a:solidFill>
          </a:ln>
          <a:effectLst/>
        </c:spPr>
      </c:pivotFmt>
      <c:pivotFmt>
        <c:idx val="395"/>
        <c:spPr>
          <a:solidFill>
            <a:schemeClr val="accent1"/>
          </a:solidFill>
          <a:ln w="19050">
            <a:solidFill>
              <a:schemeClr val="lt1"/>
            </a:solidFill>
          </a:ln>
          <a:effectLst/>
        </c:spPr>
      </c:pivotFmt>
      <c:pivotFmt>
        <c:idx val="396"/>
        <c:spPr>
          <a:solidFill>
            <a:schemeClr val="accent1"/>
          </a:solidFill>
          <a:ln w="19050">
            <a:solidFill>
              <a:schemeClr val="lt1"/>
            </a:solidFill>
          </a:ln>
          <a:effectLst/>
        </c:spPr>
      </c:pivotFmt>
      <c:pivotFmt>
        <c:idx val="397"/>
        <c:spPr>
          <a:solidFill>
            <a:schemeClr val="accent1"/>
          </a:solidFill>
          <a:ln w="19050">
            <a:solidFill>
              <a:schemeClr val="lt1"/>
            </a:solidFill>
          </a:ln>
          <a:effectLst/>
        </c:spPr>
      </c:pivotFmt>
      <c:pivotFmt>
        <c:idx val="398"/>
        <c:spPr>
          <a:solidFill>
            <a:schemeClr val="accent1"/>
          </a:solidFill>
          <a:ln w="19050">
            <a:solidFill>
              <a:schemeClr val="lt1"/>
            </a:solidFill>
          </a:ln>
          <a:effectLst/>
        </c:spPr>
      </c:pivotFmt>
      <c:pivotFmt>
        <c:idx val="399"/>
        <c:spPr>
          <a:solidFill>
            <a:schemeClr val="accent1"/>
          </a:solidFill>
          <a:ln w="19050">
            <a:solidFill>
              <a:schemeClr val="lt1"/>
            </a:solidFill>
          </a:ln>
          <a:effectLst/>
        </c:spPr>
      </c:pivotFmt>
      <c:pivotFmt>
        <c:idx val="400"/>
        <c:spPr>
          <a:solidFill>
            <a:schemeClr val="accent1"/>
          </a:solidFill>
          <a:ln w="19050">
            <a:solidFill>
              <a:schemeClr val="lt1"/>
            </a:solidFill>
          </a:ln>
          <a:effectLst/>
        </c:spPr>
      </c:pivotFmt>
      <c:pivotFmt>
        <c:idx val="401"/>
        <c:spPr>
          <a:solidFill>
            <a:schemeClr val="accent1"/>
          </a:solidFill>
          <a:ln w="19050">
            <a:solidFill>
              <a:schemeClr val="lt1"/>
            </a:solidFill>
          </a:ln>
          <a:effectLst/>
        </c:spPr>
      </c:pivotFmt>
      <c:pivotFmt>
        <c:idx val="402"/>
        <c:spPr>
          <a:solidFill>
            <a:schemeClr val="accent1"/>
          </a:solidFill>
          <a:ln w="19050">
            <a:solidFill>
              <a:schemeClr val="lt1"/>
            </a:solidFill>
          </a:ln>
          <a:effectLst/>
        </c:spPr>
      </c:pivotFmt>
      <c:pivotFmt>
        <c:idx val="403"/>
        <c:spPr>
          <a:solidFill>
            <a:schemeClr val="accent1"/>
          </a:solidFill>
          <a:ln w="19050">
            <a:solidFill>
              <a:schemeClr val="lt1"/>
            </a:solidFill>
          </a:ln>
          <a:effectLst/>
        </c:spPr>
      </c:pivotFmt>
      <c:pivotFmt>
        <c:idx val="404"/>
        <c:spPr>
          <a:solidFill>
            <a:schemeClr val="accent1"/>
          </a:solidFill>
          <a:ln w="19050">
            <a:solidFill>
              <a:schemeClr val="lt1"/>
            </a:solidFill>
          </a:ln>
          <a:effectLst/>
        </c:spPr>
      </c:pivotFmt>
      <c:pivotFmt>
        <c:idx val="405"/>
        <c:spPr>
          <a:solidFill>
            <a:schemeClr val="accent1"/>
          </a:solidFill>
          <a:ln w="19050">
            <a:solidFill>
              <a:schemeClr val="lt1"/>
            </a:solidFill>
          </a:ln>
          <a:effectLst/>
        </c:spPr>
      </c:pivotFmt>
      <c:pivotFmt>
        <c:idx val="406"/>
        <c:spPr>
          <a:solidFill>
            <a:schemeClr val="accent1"/>
          </a:solidFill>
          <a:ln w="19050">
            <a:solidFill>
              <a:schemeClr val="lt1"/>
            </a:solidFill>
          </a:ln>
          <a:effectLst/>
        </c:spPr>
      </c:pivotFmt>
      <c:pivotFmt>
        <c:idx val="407"/>
        <c:spPr>
          <a:solidFill>
            <a:schemeClr val="accent1"/>
          </a:solidFill>
          <a:ln w="19050">
            <a:solidFill>
              <a:schemeClr val="lt1"/>
            </a:solidFill>
          </a:ln>
          <a:effectLst/>
        </c:spPr>
      </c:pivotFmt>
      <c:pivotFmt>
        <c:idx val="408"/>
        <c:spPr>
          <a:solidFill>
            <a:schemeClr val="accent1"/>
          </a:solidFill>
          <a:ln w="19050">
            <a:solidFill>
              <a:schemeClr val="lt1"/>
            </a:solidFill>
          </a:ln>
          <a:effectLst/>
        </c:spPr>
      </c:pivotFmt>
      <c:pivotFmt>
        <c:idx val="409"/>
        <c:spPr>
          <a:solidFill>
            <a:schemeClr val="accent1"/>
          </a:solidFill>
          <a:ln w="19050">
            <a:solidFill>
              <a:schemeClr val="lt1"/>
            </a:solidFill>
          </a:ln>
          <a:effectLst/>
        </c:spPr>
      </c:pivotFmt>
      <c:pivotFmt>
        <c:idx val="410"/>
        <c:spPr>
          <a:solidFill>
            <a:schemeClr val="accent1"/>
          </a:solidFill>
          <a:ln w="19050">
            <a:solidFill>
              <a:schemeClr val="lt1"/>
            </a:solidFill>
          </a:ln>
          <a:effectLst/>
        </c:spPr>
      </c:pivotFmt>
      <c:pivotFmt>
        <c:idx val="411"/>
        <c:spPr>
          <a:solidFill>
            <a:schemeClr val="accent1"/>
          </a:solidFill>
          <a:ln w="19050">
            <a:solidFill>
              <a:schemeClr val="lt1"/>
            </a:solidFill>
          </a:ln>
          <a:effectLst/>
        </c:spPr>
      </c:pivotFmt>
      <c:pivotFmt>
        <c:idx val="412"/>
        <c:spPr>
          <a:solidFill>
            <a:schemeClr val="accent1"/>
          </a:solidFill>
          <a:ln w="19050">
            <a:solidFill>
              <a:schemeClr val="lt1"/>
            </a:solidFill>
          </a:ln>
          <a:effectLst/>
        </c:spPr>
      </c:pivotFmt>
      <c:pivotFmt>
        <c:idx val="413"/>
        <c:spPr>
          <a:solidFill>
            <a:schemeClr val="accent1"/>
          </a:solidFill>
          <a:ln w="19050">
            <a:solidFill>
              <a:schemeClr val="lt1"/>
            </a:solidFill>
          </a:ln>
          <a:effectLst/>
        </c:spPr>
      </c:pivotFmt>
      <c:pivotFmt>
        <c:idx val="414"/>
        <c:spPr>
          <a:solidFill>
            <a:schemeClr val="accent1"/>
          </a:solidFill>
          <a:ln w="19050">
            <a:solidFill>
              <a:schemeClr val="lt1"/>
            </a:solidFill>
          </a:ln>
          <a:effectLst/>
        </c:spPr>
      </c:pivotFmt>
      <c:pivotFmt>
        <c:idx val="415"/>
        <c:spPr>
          <a:solidFill>
            <a:schemeClr val="accent1"/>
          </a:solidFill>
          <a:ln w="19050">
            <a:solidFill>
              <a:schemeClr val="lt1"/>
            </a:solidFill>
          </a:ln>
          <a:effectLst/>
        </c:spPr>
      </c:pivotFmt>
      <c:pivotFmt>
        <c:idx val="416"/>
        <c:spPr>
          <a:solidFill>
            <a:schemeClr val="accent1"/>
          </a:solidFill>
          <a:ln w="19050">
            <a:solidFill>
              <a:schemeClr val="lt1"/>
            </a:solidFill>
          </a:ln>
          <a:effectLst/>
        </c:spPr>
      </c:pivotFmt>
      <c:pivotFmt>
        <c:idx val="417"/>
        <c:spPr>
          <a:solidFill>
            <a:schemeClr val="accent1"/>
          </a:solidFill>
          <a:ln w="19050">
            <a:solidFill>
              <a:schemeClr val="lt1"/>
            </a:solidFill>
          </a:ln>
          <a:effectLst/>
        </c:spPr>
      </c:pivotFmt>
      <c:pivotFmt>
        <c:idx val="418"/>
        <c:spPr>
          <a:solidFill>
            <a:schemeClr val="accent1"/>
          </a:solidFill>
          <a:ln w="19050">
            <a:solidFill>
              <a:schemeClr val="lt1"/>
            </a:solidFill>
          </a:ln>
          <a:effectLst/>
        </c:spPr>
      </c:pivotFmt>
      <c:pivotFmt>
        <c:idx val="419"/>
        <c:spPr>
          <a:solidFill>
            <a:schemeClr val="accent1"/>
          </a:solidFill>
          <a:ln w="19050">
            <a:solidFill>
              <a:schemeClr val="lt1"/>
            </a:solidFill>
          </a:ln>
          <a:effectLst/>
        </c:spPr>
      </c:pivotFmt>
      <c:pivotFmt>
        <c:idx val="420"/>
        <c:spPr>
          <a:solidFill>
            <a:schemeClr val="accent1"/>
          </a:solidFill>
          <a:ln w="19050">
            <a:solidFill>
              <a:schemeClr val="lt1"/>
            </a:solidFill>
          </a:ln>
          <a:effectLst/>
        </c:spPr>
      </c:pivotFmt>
      <c:pivotFmt>
        <c:idx val="421"/>
        <c:spPr>
          <a:solidFill>
            <a:schemeClr val="accent1"/>
          </a:solidFill>
          <a:ln w="19050">
            <a:solidFill>
              <a:schemeClr val="lt1"/>
            </a:solidFill>
          </a:ln>
          <a:effectLst/>
        </c:spPr>
      </c:pivotFmt>
      <c:pivotFmt>
        <c:idx val="422"/>
        <c:spPr>
          <a:solidFill>
            <a:schemeClr val="accent1"/>
          </a:solidFill>
          <a:ln w="19050">
            <a:solidFill>
              <a:schemeClr val="lt1"/>
            </a:solidFill>
          </a:ln>
          <a:effectLst/>
        </c:spPr>
      </c:pivotFmt>
      <c:pivotFmt>
        <c:idx val="423"/>
        <c:spPr>
          <a:solidFill>
            <a:schemeClr val="accent1"/>
          </a:solidFill>
          <a:ln w="19050">
            <a:solidFill>
              <a:schemeClr val="lt1"/>
            </a:solidFill>
          </a:ln>
          <a:effectLst/>
        </c:spPr>
      </c:pivotFmt>
      <c:pivotFmt>
        <c:idx val="424"/>
        <c:spPr>
          <a:solidFill>
            <a:schemeClr val="accent1"/>
          </a:solidFill>
          <a:ln w="19050">
            <a:solidFill>
              <a:schemeClr val="lt1"/>
            </a:solidFill>
          </a:ln>
          <a:effectLst/>
        </c:spPr>
      </c:pivotFmt>
      <c:pivotFmt>
        <c:idx val="425"/>
        <c:spPr>
          <a:solidFill>
            <a:schemeClr val="accent1"/>
          </a:solidFill>
          <a:ln w="19050">
            <a:solidFill>
              <a:schemeClr val="lt1"/>
            </a:solidFill>
          </a:ln>
          <a:effectLst/>
        </c:spPr>
      </c:pivotFmt>
      <c:pivotFmt>
        <c:idx val="426"/>
        <c:spPr>
          <a:solidFill>
            <a:schemeClr val="accent1"/>
          </a:solidFill>
          <a:ln w="19050">
            <a:solidFill>
              <a:schemeClr val="lt1"/>
            </a:solidFill>
          </a:ln>
          <a:effectLst/>
        </c:spPr>
      </c:pivotFmt>
      <c:pivotFmt>
        <c:idx val="427"/>
        <c:spPr>
          <a:solidFill>
            <a:schemeClr val="accent1"/>
          </a:solidFill>
          <a:ln w="19050">
            <a:solidFill>
              <a:schemeClr val="lt1"/>
            </a:solidFill>
          </a:ln>
          <a:effectLst/>
        </c:spPr>
      </c:pivotFmt>
      <c:pivotFmt>
        <c:idx val="428"/>
        <c:spPr>
          <a:solidFill>
            <a:schemeClr val="accent1"/>
          </a:solidFill>
          <a:ln w="19050">
            <a:solidFill>
              <a:schemeClr val="lt1"/>
            </a:solidFill>
          </a:ln>
          <a:effectLst/>
        </c:spPr>
      </c:pivotFmt>
      <c:pivotFmt>
        <c:idx val="429"/>
        <c:spPr>
          <a:solidFill>
            <a:schemeClr val="accent1"/>
          </a:solidFill>
          <a:ln w="19050">
            <a:solidFill>
              <a:schemeClr val="lt1"/>
            </a:solidFill>
          </a:ln>
          <a:effectLst/>
        </c:spPr>
      </c:pivotFmt>
      <c:pivotFmt>
        <c:idx val="430"/>
        <c:spPr>
          <a:solidFill>
            <a:schemeClr val="accent1"/>
          </a:solidFill>
          <a:ln w="19050">
            <a:solidFill>
              <a:schemeClr val="lt1"/>
            </a:solidFill>
          </a:ln>
          <a:effectLst/>
        </c:spPr>
      </c:pivotFmt>
      <c:pivotFmt>
        <c:idx val="431"/>
        <c:spPr>
          <a:solidFill>
            <a:schemeClr val="accent1"/>
          </a:solidFill>
          <a:ln w="19050">
            <a:solidFill>
              <a:schemeClr val="lt1"/>
            </a:solidFill>
          </a:ln>
          <a:effectLst/>
        </c:spPr>
      </c:pivotFmt>
      <c:pivotFmt>
        <c:idx val="432"/>
        <c:spPr>
          <a:solidFill>
            <a:schemeClr val="accent1"/>
          </a:solidFill>
          <a:ln w="19050">
            <a:solidFill>
              <a:schemeClr val="lt1"/>
            </a:solidFill>
          </a:ln>
          <a:effectLst/>
        </c:spPr>
      </c:pivotFmt>
      <c:pivotFmt>
        <c:idx val="433"/>
        <c:spPr>
          <a:solidFill>
            <a:schemeClr val="accent1"/>
          </a:solidFill>
          <a:ln w="19050">
            <a:solidFill>
              <a:schemeClr val="lt1"/>
            </a:solidFill>
          </a:ln>
          <a:effectLst/>
        </c:spPr>
      </c:pivotFmt>
      <c:pivotFmt>
        <c:idx val="434"/>
        <c:spPr>
          <a:solidFill>
            <a:schemeClr val="accent1"/>
          </a:solidFill>
          <a:ln w="19050">
            <a:solidFill>
              <a:schemeClr val="lt1"/>
            </a:solidFill>
          </a:ln>
          <a:effectLst/>
        </c:spPr>
      </c:pivotFmt>
      <c:pivotFmt>
        <c:idx val="435"/>
        <c:spPr>
          <a:solidFill>
            <a:schemeClr val="accent1"/>
          </a:solidFill>
          <a:ln w="19050">
            <a:solidFill>
              <a:schemeClr val="lt1"/>
            </a:solidFill>
          </a:ln>
          <a:effectLst/>
        </c:spPr>
      </c:pivotFmt>
      <c:pivotFmt>
        <c:idx val="436"/>
        <c:spPr>
          <a:solidFill>
            <a:schemeClr val="accent1"/>
          </a:solidFill>
          <a:ln w="19050">
            <a:solidFill>
              <a:schemeClr val="lt1"/>
            </a:solidFill>
          </a:ln>
          <a:effectLst/>
        </c:spPr>
      </c:pivotFmt>
      <c:pivotFmt>
        <c:idx val="437"/>
        <c:spPr>
          <a:solidFill>
            <a:schemeClr val="accent1"/>
          </a:solidFill>
          <a:ln w="19050">
            <a:solidFill>
              <a:schemeClr val="lt1"/>
            </a:solidFill>
          </a:ln>
          <a:effectLst/>
        </c:spPr>
      </c:pivotFmt>
      <c:pivotFmt>
        <c:idx val="438"/>
        <c:spPr>
          <a:solidFill>
            <a:schemeClr val="accent1"/>
          </a:solidFill>
          <a:ln w="19050">
            <a:solidFill>
              <a:schemeClr val="lt1"/>
            </a:solidFill>
          </a:ln>
          <a:effectLst/>
        </c:spPr>
      </c:pivotFmt>
      <c:pivotFmt>
        <c:idx val="439"/>
        <c:spPr>
          <a:solidFill>
            <a:schemeClr val="accent1"/>
          </a:solidFill>
          <a:ln w="19050">
            <a:solidFill>
              <a:schemeClr val="lt1"/>
            </a:solidFill>
          </a:ln>
          <a:effectLst/>
        </c:spPr>
      </c:pivotFmt>
      <c:pivotFmt>
        <c:idx val="440"/>
        <c:spPr>
          <a:solidFill>
            <a:schemeClr val="accent1"/>
          </a:solidFill>
          <a:ln w="19050">
            <a:solidFill>
              <a:schemeClr val="lt1"/>
            </a:solidFill>
          </a:ln>
          <a:effectLst/>
        </c:spPr>
      </c:pivotFmt>
      <c:pivotFmt>
        <c:idx val="441"/>
        <c:spPr>
          <a:solidFill>
            <a:schemeClr val="accent1"/>
          </a:solidFill>
          <a:ln w="19050">
            <a:solidFill>
              <a:schemeClr val="lt1"/>
            </a:solidFill>
          </a:ln>
          <a:effectLst/>
        </c:spPr>
      </c:pivotFmt>
      <c:pivotFmt>
        <c:idx val="442"/>
        <c:spPr>
          <a:solidFill>
            <a:schemeClr val="accent1"/>
          </a:solidFill>
          <a:ln w="19050">
            <a:solidFill>
              <a:schemeClr val="lt1"/>
            </a:solidFill>
          </a:ln>
          <a:effectLst/>
        </c:spPr>
      </c:pivotFmt>
      <c:pivotFmt>
        <c:idx val="443"/>
        <c:spPr>
          <a:solidFill>
            <a:schemeClr val="accent1"/>
          </a:solidFill>
          <a:ln w="19050">
            <a:solidFill>
              <a:schemeClr val="lt1"/>
            </a:solidFill>
          </a:ln>
          <a:effectLst/>
        </c:spPr>
      </c:pivotFmt>
      <c:pivotFmt>
        <c:idx val="444"/>
        <c:spPr>
          <a:solidFill>
            <a:schemeClr val="accent1"/>
          </a:solidFill>
          <a:ln w="19050">
            <a:solidFill>
              <a:schemeClr val="lt1"/>
            </a:solidFill>
          </a:ln>
          <a:effectLst/>
        </c:spPr>
      </c:pivotFmt>
      <c:pivotFmt>
        <c:idx val="445"/>
        <c:spPr>
          <a:solidFill>
            <a:schemeClr val="accent1"/>
          </a:solidFill>
          <a:ln w="19050">
            <a:solidFill>
              <a:schemeClr val="lt1"/>
            </a:solidFill>
          </a:ln>
          <a:effectLst/>
        </c:spPr>
      </c:pivotFmt>
      <c:pivotFmt>
        <c:idx val="446"/>
        <c:spPr>
          <a:solidFill>
            <a:schemeClr val="accent1"/>
          </a:solidFill>
          <a:ln w="19050">
            <a:solidFill>
              <a:schemeClr val="lt1"/>
            </a:solidFill>
          </a:ln>
          <a:effectLst/>
        </c:spPr>
      </c:pivotFmt>
      <c:pivotFmt>
        <c:idx val="447"/>
        <c:spPr>
          <a:solidFill>
            <a:schemeClr val="accent1"/>
          </a:solidFill>
          <a:ln w="19050">
            <a:solidFill>
              <a:schemeClr val="lt1"/>
            </a:solidFill>
          </a:ln>
          <a:effectLst/>
        </c:spPr>
      </c:pivotFmt>
      <c:pivotFmt>
        <c:idx val="448"/>
        <c:spPr>
          <a:solidFill>
            <a:schemeClr val="accent1"/>
          </a:solidFill>
          <a:ln w="19050">
            <a:solidFill>
              <a:schemeClr val="lt1"/>
            </a:solidFill>
          </a:ln>
          <a:effectLst/>
        </c:spPr>
      </c:pivotFmt>
      <c:pivotFmt>
        <c:idx val="449"/>
        <c:spPr>
          <a:solidFill>
            <a:schemeClr val="accent1"/>
          </a:solidFill>
          <a:ln w="19050">
            <a:solidFill>
              <a:schemeClr val="lt1"/>
            </a:solidFill>
          </a:ln>
          <a:effectLst/>
        </c:spPr>
      </c:pivotFmt>
      <c:pivotFmt>
        <c:idx val="450"/>
        <c:spPr>
          <a:solidFill>
            <a:schemeClr val="accent1"/>
          </a:solidFill>
          <a:ln w="19050">
            <a:solidFill>
              <a:schemeClr val="lt1"/>
            </a:solidFill>
          </a:ln>
          <a:effectLst/>
        </c:spPr>
      </c:pivotFmt>
      <c:pivotFmt>
        <c:idx val="451"/>
        <c:spPr>
          <a:solidFill>
            <a:schemeClr val="accent1"/>
          </a:solidFill>
          <a:ln w="19050">
            <a:solidFill>
              <a:schemeClr val="lt1"/>
            </a:solidFill>
          </a:ln>
          <a:effectLst/>
        </c:spPr>
      </c:pivotFmt>
      <c:pivotFmt>
        <c:idx val="452"/>
        <c:spPr>
          <a:solidFill>
            <a:schemeClr val="accent1"/>
          </a:solidFill>
          <a:ln w="19050">
            <a:solidFill>
              <a:schemeClr val="lt1"/>
            </a:solidFill>
          </a:ln>
          <a:effectLst/>
        </c:spPr>
      </c:pivotFmt>
      <c:pivotFmt>
        <c:idx val="453"/>
        <c:spPr>
          <a:solidFill>
            <a:schemeClr val="accent1"/>
          </a:solidFill>
          <a:ln w="19050">
            <a:solidFill>
              <a:schemeClr val="lt1"/>
            </a:solidFill>
          </a:ln>
          <a:effectLst/>
        </c:spPr>
      </c:pivotFmt>
      <c:pivotFmt>
        <c:idx val="454"/>
        <c:spPr>
          <a:solidFill>
            <a:schemeClr val="accent1"/>
          </a:solidFill>
          <a:ln w="19050">
            <a:solidFill>
              <a:schemeClr val="lt1"/>
            </a:solidFill>
          </a:ln>
          <a:effectLst/>
        </c:spPr>
      </c:pivotFmt>
      <c:pivotFmt>
        <c:idx val="455"/>
        <c:spPr>
          <a:solidFill>
            <a:schemeClr val="accent1"/>
          </a:solidFill>
          <a:ln w="19050">
            <a:solidFill>
              <a:schemeClr val="lt1"/>
            </a:solidFill>
          </a:ln>
          <a:effectLst/>
        </c:spPr>
      </c:pivotFmt>
      <c:pivotFmt>
        <c:idx val="456"/>
        <c:spPr>
          <a:solidFill>
            <a:schemeClr val="accent1"/>
          </a:solidFill>
          <a:ln w="19050">
            <a:solidFill>
              <a:schemeClr val="lt1"/>
            </a:solidFill>
          </a:ln>
          <a:effectLst/>
        </c:spPr>
      </c:pivotFmt>
      <c:pivotFmt>
        <c:idx val="457"/>
        <c:spPr>
          <a:solidFill>
            <a:schemeClr val="accent1"/>
          </a:solidFill>
          <a:ln w="19050">
            <a:solidFill>
              <a:schemeClr val="lt1"/>
            </a:solidFill>
          </a:ln>
          <a:effectLst/>
        </c:spPr>
      </c:pivotFmt>
      <c:pivotFmt>
        <c:idx val="458"/>
        <c:spPr>
          <a:solidFill>
            <a:schemeClr val="accent1"/>
          </a:solidFill>
          <a:ln w="19050">
            <a:solidFill>
              <a:schemeClr val="lt1"/>
            </a:solidFill>
          </a:ln>
          <a:effectLst/>
        </c:spPr>
      </c:pivotFmt>
      <c:pivotFmt>
        <c:idx val="459"/>
        <c:spPr>
          <a:solidFill>
            <a:schemeClr val="accent1"/>
          </a:solidFill>
          <a:ln w="19050">
            <a:solidFill>
              <a:schemeClr val="lt1"/>
            </a:solidFill>
          </a:ln>
          <a:effectLst/>
        </c:spPr>
      </c:pivotFmt>
      <c:pivotFmt>
        <c:idx val="460"/>
        <c:spPr>
          <a:solidFill>
            <a:schemeClr val="accent1"/>
          </a:solidFill>
          <a:ln w="19050">
            <a:solidFill>
              <a:schemeClr val="lt1"/>
            </a:solidFill>
          </a:ln>
          <a:effectLst/>
        </c:spPr>
      </c:pivotFmt>
      <c:pivotFmt>
        <c:idx val="461"/>
        <c:spPr>
          <a:solidFill>
            <a:schemeClr val="accent1"/>
          </a:solidFill>
          <a:ln w="19050">
            <a:solidFill>
              <a:schemeClr val="lt1"/>
            </a:solidFill>
          </a:ln>
          <a:effectLst/>
        </c:spPr>
      </c:pivotFmt>
      <c:pivotFmt>
        <c:idx val="462"/>
        <c:spPr>
          <a:solidFill>
            <a:schemeClr val="accent1"/>
          </a:solidFill>
          <a:ln w="19050">
            <a:solidFill>
              <a:schemeClr val="lt1"/>
            </a:solidFill>
          </a:ln>
          <a:effectLst/>
        </c:spPr>
      </c:pivotFmt>
      <c:pivotFmt>
        <c:idx val="463"/>
        <c:spPr>
          <a:solidFill>
            <a:schemeClr val="accent1"/>
          </a:solidFill>
          <a:ln w="19050">
            <a:solidFill>
              <a:schemeClr val="lt1"/>
            </a:solidFill>
          </a:ln>
          <a:effectLst/>
        </c:spPr>
      </c:pivotFmt>
      <c:pivotFmt>
        <c:idx val="464"/>
        <c:spPr>
          <a:solidFill>
            <a:schemeClr val="accent1"/>
          </a:solidFill>
          <a:ln w="19050">
            <a:solidFill>
              <a:schemeClr val="lt1"/>
            </a:solidFill>
          </a:ln>
          <a:effectLst/>
        </c:spPr>
      </c:pivotFmt>
      <c:pivotFmt>
        <c:idx val="465"/>
        <c:spPr>
          <a:solidFill>
            <a:schemeClr val="accent1"/>
          </a:solidFill>
          <a:ln w="19050">
            <a:solidFill>
              <a:schemeClr val="lt1"/>
            </a:solidFill>
          </a:ln>
          <a:effectLst/>
        </c:spPr>
      </c:pivotFmt>
      <c:pivotFmt>
        <c:idx val="466"/>
        <c:spPr>
          <a:solidFill>
            <a:schemeClr val="accent1"/>
          </a:solidFill>
          <a:ln w="19050">
            <a:solidFill>
              <a:schemeClr val="lt1"/>
            </a:solidFill>
          </a:ln>
          <a:effectLst/>
        </c:spPr>
      </c:pivotFmt>
      <c:pivotFmt>
        <c:idx val="467"/>
        <c:spPr>
          <a:solidFill>
            <a:schemeClr val="accent1"/>
          </a:solidFill>
          <a:ln w="19050">
            <a:solidFill>
              <a:schemeClr val="lt1"/>
            </a:solidFill>
          </a:ln>
          <a:effectLst/>
        </c:spPr>
      </c:pivotFmt>
      <c:pivotFmt>
        <c:idx val="468"/>
        <c:spPr>
          <a:solidFill>
            <a:schemeClr val="accent1"/>
          </a:solidFill>
          <a:ln w="19050">
            <a:solidFill>
              <a:schemeClr val="lt1"/>
            </a:solidFill>
          </a:ln>
          <a:effectLst/>
        </c:spPr>
      </c:pivotFmt>
      <c:pivotFmt>
        <c:idx val="469"/>
        <c:spPr>
          <a:solidFill>
            <a:schemeClr val="accent1"/>
          </a:solidFill>
          <a:ln w="19050">
            <a:solidFill>
              <a:schemeClr val="lt1"/>
            </a:solidFill>
          </a:ln>
          <a:effectLst/>
        </c:spPr>
      </c:pivotFmt>
      <c:pivotFmt>
        <c:idx val="470"/>
        <c:spPr>
          <a:solidFill>
            <a:schemeClr val="accent1"/>
          </a:solidFill>
          <a:ln w="19050">
            <a:solidFill>
              <a:schemeClr val="lt1"/>
            </a:solidFill>
          </a:ln>
          <a:effectLst/>
        </c:spPr>
      </c:pivotFmt>
      <c:pivotFmt>
        <c:idx val="471"/>
        <c:spPr>
          <a:solidFill>
            <a:schemeClr val="accent1"/>
          </a:solidFill>
          <a:ln w="19050">
            <a:solidFill>
              <a:schemeClr val="lt1"/>
            </a:solidFill>
          </a:ln>
          <a:effectLst/>
        </c:spPr>
      </c:pivotFmt>
      <c:pivotFmt>
        <c:idx val="472"/>
        <c:spPr>
          <a:solidFill>
            <a:schemeClr val="accent1"/>
          </a:solidFill>
          <a:ln w="19050">
            <a:solidFill>
              <a:schemeClr val="lt1"/>
            </a:solidFill>
          </a:ln>
          <a:effectLst/>
        </c:spPr>
      </c:pivotFmt>
      <c:pivotFmt>
        <c:idx val="473"/>
        <c:spPr>
          <a:solidFill>
            <a:schemeClr val="accent1"/>
          </a:solidFill>
          <a:ln w="19050">
            <a:solidFill>
              <a:schemeClr val="lt1"/>
            </a:solidFill>
          </a:ln>
          <a:effectLst/>
        </c:spPr>
      </c:pivotFmt>
      <c:pivotFmt>
        <c:idx val="474"/>
        <c:spPr>
          <a:solidFill>
            <a:schemeClr val="accent1"/>
          </a:solidFill>
          <a:ln w="19050">
            <a:solidFill>
              <a:schemeClr val="lt1"/>
            </a:solidFill>
          </a:ln>
          <a:effectLst/>
        </c:spPr>
      </c:pivotFmt>
      <c:pivotFmt>
        <c:idx val="475"/>
        <c:spPr>
          <a:solidFill>
            <a:schemeClr val="accent1"/>
          </a:solidFill>
          <a:ln w="19050">
            <a:solidFill>
              <a:schemeClr val="lt1"/>
            </a:solidFill>
          </a:ln>
          <a:effectLst/>
        </c:spPr>
      </c:pivotFmt>
      <c:pivotFmt>
        <c:idx val="476"/>
        <c:spPr>
          <a:solidFill>
            <a:schemeClr val="accent1"/>
          </a:solidFill>
          <a:ln w="19050">
            <a:solidFill>
              <a:schemeClr val="lt1"/>
            </a:solidFill>
          </a:ln>
          <a:effectLst/>
        </c:spPr>
      </c:pivotFmt>
      <c:pivotFmt>
        <c:idx val="477"/>
        <c:spPr>
          <a:solidFill>
            <a:schemeClr val="accent1"/>
          </a:solidFill>
          <a:ln w="19050">
            <a:solidFill>
              <a:schemeClr val="lt1"/>
            </a:solidFill>
          </a:ln>
          <a:effectLst/>
        </c:spPr>
      </c:pivotFmt>
      <c:pivotFmt>
        <c:idx val="478"/>
        <c:spPr>
          <a:solidFill>
            <a:schemeClr val="accent1"/>
          </a:solidFill>
          <a:ln w="19050">
            <a:solidFill>
              <a:schemeClr val="lt1"/>
            </a:solidFill>
          </a:ln>
          <a:effectLst/>
        </c:spPr>
      </c:pivotFmt>
      <c:pivotFmt>
        <c:idx val="479"/>
        <c:spPr>
          <a:solidFill>
            <a:schemeClr val="accent1"/>
          </a:solidFill>
          <a:ln w="19050">
            <a:solidFill>
              <a:schemeClr val="lt1"/>
            </a:solidFill>
          </a:ln>
          <a:effectLst/>
        </c:spPr>
      </c:pivotFmt>
      <c:pivotFmt>
        <c:idx val="480"/>
        <c:spPr>
          <a:solidFill>
            <a:schemeClr val="accent1"/>
          </a:solidFill>
          <a:ln w="19050">
            <a:solidFill>
              <a:schemeClr val="lt1"/>
            </a:solidFill>
          </a:ln>
          <a:effectLst/>
        </c:spPr>
      </c:pivotFmt>
      <c:pivotFmt>
        <c:idx val="481"/>
        <c:spPr>
          <a:solidFill>
            <a:schemeClr val="accent1"/>
          </a:solidFill>
          <a:ln w="19050">
            <a:solidFill>
              <a:schemeClr val="lt1"/>
            </a:solidFill>
          </a:ln>
          <a:effectLst/>
        </c:spPr>
      </c:pivotFmt>
      <c:pivotFmt>
        <c:idx val="482"/>
        <c:spPr>
          <a:solidFill>
            <a:schemeClr val="accent1"/>
          </a:solidFill>
          <a:ln w="19050">
            <a:solidFill>
              <a:schemeClr val="lt1"/>
            </a:solidFill>
          </a:ln>
          <a:effectLst/>
        </c:spPr>
      </c:pivotFmt>
      <c:pivotFmt>
        <c:idx val="483"/>
        <c:spPr>
          <a:solidFill>
            <a:schemeClr val="accent1"/>
          </a:solidFill>
          <a:ln w="19050">
            <a:solidFill>
              <a:schemeClr val="lt1"/>
            </a:solidFill>
          </a:ln>
          <a:effectLst/>
        </c:spPr>
      </c:pivotFmt>
      <c:pivotFmt>
        <c:idx val="484"/>
        <c:spPr>
          <a:solidFill>
            <a:schemeClr val="accent1"/>
          </a:solidFill>
          <a:ln w="19050">
            <a:solidFill>
              <a:schemeClr val="lt1"/>
            </a:solidFill>
          </a:ln>
          <a:effectLst/>
        </c:spPr>
      </c:pivotFmt>
      <c:pivotFmt>
        <c:idx val="485"/>
        <c:spPr>
          <a:solidFill>
            <a:schemeClr val="accent1"/>
          </a:solidFill>
          <a:ln w="19050">
            <a:solidFill>
              <a:schemeClr val="lt1"/>
            </a:solidFill>
          </a:ln>
          <a:effectLst/>
        </c:spPr>
      </c:pivotFmt>
      <c:pivotFmt>
        <c:idx val="486"/>
        <c:spPr>
          <a:solidFill>
            <a:schemeClr val="accent1"/>
          </a:solidFill>
          <a:ln w="19050">
            <a:solidFill>
              <a:schemeClr val="lt1"/>
            </a:solidFill>
          </a:ln>
          <a:effectLst/>
        </c:spPr>
      </c:pivotFmt>
      <c:pivotFmt>
        <c:idx val="487"/>
        <c:spPr>
          <a:solidFill>
            <a:schemeClr val="accent1"/>
          </a:solidFill>
          <a:ln w="19050">
            <a:solidFill>
              <a:schemeClr val="lt1"/>
            </a:solidFill>
          </a:ln>
          <a:effectLst/>
        </c:spPr>
      </c:pivotFmt>
      <c:pivotFmt>
        <c:idx val="488"/>
        <c:spPr>
          <a:solidFill>
            <a:schemeClr val="accent1"/>
          </a:solidFill>
          <a:ln w="19050">
            <a:solidFill>
              <a:schemeClr val="lt1"/>
            </a:solidFill>
          </a:ln>
          <a:effectLst/>
        </c:spPr>
      </c:pivotFmt>
      <c:pivotFmt>
        <c:idx val="489"/>
        <c:spPr>
          <a:solidFill>
            <a:schemeClr val="accent1"/>
          </a:solidFill>
          <a:ln w="19050">
            <a:solidFill>
              <a:schemeClr val="lt1"/>
            </a:solidFill>
          </a:ln>
          <a:effectLst/>
        </c:spPr>
      </c:pivotFmt>
      <c:pivotFmt>
        <c:idx val="490"/>
        <c:spPr>
          <a:solidFill>
            <a:schemeClr val="accent1"/>
          </a:solidFill>
          <a:ln w="19050">
            <a:solidFill>
              <a:schemeClr val="lt1"/>
            </a:solidFill>
          </a:ln>
          <a:effectLst/>
        </c:spPr>
      </c:pivotFmt>
      <c:pivotFmt>
        <c:idx val="491"/>
        <c:spPr>
          <a:solidFill>
            <a:schemeClr val="accent1"/>
          </a:solidFill>
          <a:ln w="19050">
            <a:solidFill>
              <a:schemeClr val="lt1"/>
            </a:solidFill>
          </a:ln>
          <a:effectLst/>
        </c:spPr>
      </c:pivotFmt>
      <c:pivotFmt>
        <c:idx val="492"/>
        <c:spPr>
          <a:solidFill>
            <a:schemeClr val="accent1"/>
          </a:solidFill>
          <a:ln w="19050">
            <a:solidFill>
              <a:schemeClr val="lt1"/>
            </a:solidFill>
          </a:ln>
          <a:effectLst/>
        </c:spPr>
      </c:pivotFmt>
      <c:pivotFmt>
        <c:idx val="493"/>
        <c:spPr>
          <a:solidFill>
            <a:schemeClr val="accent1"/>
          </a:solidFill>
          <a:ln w="19050">
            <a:solidFill>
              <a:schemeClr val="lt1"/>
            </a:solidFill>
          </a:ln>
          <a:effectLst/>
        </c:spPr>
      </c:pivotFmt>
      <c:pivotFmt>
        <c:idx val="494"/>
        <c:spPr>
          <a:solidFill>
            <a:schemeClr val="accent1"/>
          </a:solidFill>
          <a:ln w="19050">
            <a:solidFill>
              <a:schemeClr val="lt1"/>
            </a:solidFill>
          </a:ln>
          <a:effectLst/>
        </c:spPr>
      </c:pivotFmt>
      <c:pivotFmt>
        <c:idx val="495"/>
        <c:spPr>
          <a:solidFill>
            <a:schemeClr val="accent1"/>
          </a:solidFill>
          <a:ln w="19050">
            <a:solidFill>
              <a:schemeClr val="lt1"/>
            </a:solidFill>
          </a:ln>
          <a:effectLst/>
        </c:spPr>
      </c:pivotFmt>
      <c:pivotFmt>
        <c:idx val="496"/>
        <c:spPr>
          <a:solidFill>
            <a:schemeClr val="accent1"/>
          </a:solidFill>
          <a:ln w="19050">
            <a:solidFill>
              <a:schemeClr val="lt1"/>
            </a:solidFill>
          </a:ln>
          <a:effectLst/>
        </c:spPr>
      </c:pivotFmt>
      <c:pivotFmt>
        <c:idx val="497"/>
        <c:spPr>
          <a:solidFill>
            <a:schemeClr val="accent1"/>
          </a:solidFill>
          <a:ln w="19050">
            <a:solidFill>
              <a:schemeClr val="lt1"/>
            </a:solidFill>
          </a:ln>
          <a:effectLst/>
        </c:spPr>
      </c:pivotFmt>
      <c:pivotFmt>
        <c:idx val="498"/>
        <c:spPr>
          <a:solidFill>
            <a:schemeClr val="accent1"/>
          </a:solidFill>
          <a:ln w="19050">
            <a:solidFill>
              <a:schemeClr val="lt1"/>
            </a:solidFill>
          </a:ln>
          <a:effectLst/>
        </c:spPr>
      </c:pivotFmt>
      <c:pivotFmt>
        <c:idx val="499"/>
        <c:spPr>
          <a:solidFill>
            <a:schemeClr val="accent1"/>
          </a:solidFill>
          <a:ln w="19050">
            <a:solidFill>
              <a:schemeClr val="lt1"/>
            </a:solidFill>
          </a:ln>
          <a:effectLst/>
        </c:spPr>
      </c:pivotFmt>
      <c:pivotFmt>
        <c:idx val="500"/>
        <c:spPr>
          <a:solidFill>
            <a:schemeClr val="accent1"/>
          </a:solidFill>
          <a:ln w="19050">
            <a:solidFill>
              <a:schemeClr val="lt1"/>
            </a:solidFill>
          </a:ln>
          <a:effectLst/>
        </c:spPr>
      </c:pivotFmt>
      <c:pivotFmt>
        <c:idx val="501"/>
        <c:spPr>
          <a:solidFill>
            <a:schemeClr val="accent1"/>
          </a:solidFill>
          <a:ln w="19050">
            <a:solidFill>
              <a:schemeClr val="lt1"/>
            </a:solidFill>
          </a:ln>
          <a:effectLst/>
        </c:spPr>
      </c:pivotFmt>
      <c:pivotFmt>
        <c:idx val="502"/>
        <c:spPr>
          <a:solidFill>
            <a:schemeClr val="accent1"/>
          </a:solidFill>
          <a:ln w="19050">
            <a:solidFill>
              <a:schemeClr val="lt1"/>
            </a:solidFill>
          </a:ln>
          <a:effectLst/>
        </c:spPr>
      </c:pivotFmt>
      <c:pivotFmt>
        <c:idx val="503"/>
        <c:spPr>
          <a:solidFill>
            <a:schemeClr val="accent1"/>
          </a:solidFill>
          <a:ln w="19050">
            <a:solidFill>
              <a:schemeClr val="lt1"/>
            </a:solidFill>
          </a:ln>
          <a:effectLst/>
        </c:spPr>
      </c:pivotFmt>
      <c:pivotFmt>
        <c:idx val="504"/>
        <c:spPr>
          <a:solidFill>
            <a:schemeClr val="accent1"/>
          </a:solidFill>
          <a:ln w="19050">
            <a:solidFill>
              <a:schemeClr val="lt1"/>
            </a:solidFill>
          </a:ln>
          <a:effectLst/>
        </c:spPr>
      </c:pivotFmt>
      <c:pivotFmt>
        <c:idx val="505"/>
        <c:spPr>
          <a:solidFill>
            <a:schemeClr val="accent1"/>
          </a:solidFill>
          <a:ln w="19050">
            <a:solidFill>
              <a:schemeClr val="lt1"/>
            </a:solidFill>
          </a:ln>
          <a:effectLst/>
        </c:spPr>
      </c:pivotFmt>
      <c:pivotFmt>
        <c:idx val="506"/>
        <c:spPr>
          <a:solidFill>
            <a:schemeClr val="accent1"/>
          </a:solidFill>
          <a:ln w="19050">
            <a:solidFill>
              <a:schemeClr val="lt1"/>
            </a:solidFill>
          </a:ln>
          <a:effectLst/>
        </c:spPr>
      </c:pivotFmt>
      <c:pivotFmt>
        <c:idx val="507"/>
        <c:spPr>
          <a:solidFill>
            <a:schemeClr val="accent1"/>
          </a:solidFill>
          <a:ln w="19050">
            <a:solidFill>
              <a:schemeClr val="lt1"/>
            </a:solidFill>
          </a:ln>
          <a:effectLst/>
        </c:spPr>
      </c:pivotFmt>
      <c:pivotFmt>
        <c:idx val="508"/>
        <c:spPr>
          <a:solidFill>
            <a:schemeClr val="accent1"/>
          </a:solidFill>
          <a:ln w="19050">
            <a:solidFill>
              <a:schemeClr val="lt1"/>
            </a:solidFill>
          </a:ln>
          <a:effectLst/>
        </c:spPr>
      </c:pivotFmt>
      <c:pivotFmt>
        <c:idx val="509"/>
        <c:spPr>
          <a:solidFill>
            <a:schemeClr val="accent1"/>
          </a:solidFill>
          <a:ln w="19050">
            <a:solidFill>
              <a:schemeClr val="lt1"/>
            </a:solidFill>
          </a:ln>
          <a:effectLst/>
        </c:spPr>
      </c:pivotFmt>
      <c:pivotFmt>
        <c:idx val="510"/>
        <c:spPr>
          <a:solidFill>
            <a:schemeClr val="accent1"/>
          </a:solidFill>
          <a:ln w="19050">
            <a:solidFill>
              <a:schemeClr val="lt1"/>
            </a:solidFill>
          </a:ln>
          <a:effectLst/>
        </c:spPr>
      </c:pivotFmt>
      <c:pivotFmt>
        <c:idx val="511"/>
        <c:spPr>
          <a:solidFill>
            <a:schemeClr val="accent1"/>
          </a:solidFill>
          <a:ln w="19050">
            <a:solidFill>
              <a:schemeClr val="lt1"/>
            </a:solidFill>
          </a:ln>
          <a:effectLst/>
        </c:spPr>
      </c:pivotFmt>
      <c:pivotFmt>
        <c:idx val="512"/>
        <c:spPr>
          <a:solidFill>
            <a:schemeClr val="accent1"/>
          </a:solidFill>
          <a:ln w="19050">
            <a:solidFill>
              <a:schemeClr val="lt1"/>
            </a:solidFill>
          </a:ln>
          <a:effectLst/>
        </c:spPr>
      </c:pivotFmt>
      <c:pivotFmt>
        <c:idx val="513"/>
        <c:spPr>
          <a:solidFill>
            <a:schemeClr val="accent1"/>
          </a:solidFill>
          <a:ln w="19050">
            <a:solidFill>
              <a:schemeClr val="lt1"/>
            </a:solidFill>
          </a:ln>
          <a:effectLst/>
        </c:spPr>
      </c:pivotFmt>
      <c:pivotFmt>
        <c:idx val="514"/>
        <c:spPr>
          <a:solidFill>
            <a:schemeClr val="accent1"/>
          </a:solidFill>
          <a:ln w="19050">
            <a:solidFill>
              <a:schemeClr val="lt1"/>
            </a:solidFill>
          </a:ln>
          <a:effectLst/>
        </c:spPr>
      </c:pivotFmt>
      <c:pivotFmt>
        <c:idx val="515"/>
        <c:spPr>
          <a:solidFill>
            <a:schemeClr val="accent1"/>
          </a:solidFill>
          <a:ln w="19050">
            <a:solidFill>
              <a:schemeClr val="lt1"/>
            </a:solidFill>
          </a:ln>
          <a:effectLst/>
        </c:spPr>
      </c:pivotFmt>
      <c:pivotFmt>
        <c:idx val="516"/>
        <c:spPr>
          <a:solidFill>
            <a:schemeClr val="accent1"/>
          </a:solidFill>
          <a:ln w="19050">
            <a:solidFill>
              <a:schemeClr val="lt1"/>
            </a:solidFill>
          </a:ln>
          <a:effectLst/>
        </c:spPr>
      </c:pivotFmt>
      <c:pivotFmt>
        <c:idx val="517"/>
        <c:spPr>
          <a:solidFill>
            <a:schemeClr val="accent1"/>
          </a:solidFill>
          <a:ln w="19050">
            <a:solidFill>
              <a:schemeClr val="lt1"/>
            </a:solidFill>
          </a:ln>
          <a:effectLst/>
        </c:spPr>
      </c:pivotFmt>
      <c:pivotFmt>
        <c:idx val="518"/>
        <c:spPr>
          <a:solidFill>
            <a:schemeClr val="accent1"/>
          </a:solidFill>
          <a:ln w="19050">
            <a:solidFill>
              <a:schemeClr val="lt1"/>
            </a:solidFill>
          </a:ln>
          <a:effectLst/>
        </c:spPr>
      </c:pivotFmt>
      <c:pivotFmt>
        <c:idx val="519"/>
        <c:spPr>
          <a:solidFill>
            <a:schemeClr val="accent1"/>
          </a:solidFill>
          <a:ln w="19050">
            <a:solidFill>
              <a:schemeClr val="lt1"/>
            </a:solidFill>
          </a:ln>
          <a:effectLst/>
        </c:spPr>
      </c:pivotFmt>
      <c:pivotFmt>
        <c:idx val="520"/>
        <c:spPr>
          <a:solidFill>
            <a:schemeClr val="accent1"/>
          </a:solidFill>
          <a:ln w="19050">
            <a:solidFill>
              <a:schemeClr val="lt1"/>
            </a:solidFill>
          </a:ln>
          <a:effectLst/>
        </c:spPr>
      </c:pivotFmt>
      <c:pivotFmt>
        <c:idx val="521"/>
        <c:spPr>
          <a:solidFill>
            <a:schemeClr val="accent1"/>
          </a:solidFill>
          <a:ln w="19050">
            <a:solidFill>
              <a:schemeClr val="lt1"/>
            </a:solidFill>
          </a:ln>
          <a:effectLst/>
        </c:spPr>
      </c:pivotFmt>
      <c:pivotFmt>
        <c:idx val="522"/>
        <c:spPr>
          <a:solidFill>
            <a:schemeClr val="accent1"/>
          </a:solidFill>
          <a:ln w="19050">
            <a:solidFill>
              <a:schemeClr val="lt1"/>
            </a:solidFill>
          </a:ln>
          <a:effectLst/>
        </c:spPr>
      </c:pivotFmt>
      <c:pivotFmt>
        <c:idx val="523"/>
        <c:spPr>
          <a:solidFill>
            <a:schemeClr val="accent1"/>
          </a:solidFill>
          <a:ln w="19050">
            <a:solidFill>
              <a:schemeClr val="lt1"/>
            </a:solidFill>
          </a:ln>
          <a:effectLst/>
        </c:spPr>
      </c:pivotFmt>
      <c:pivotFmt>
        <c:idx val="524"/>
        <c:spPr>
          <a:solidFill>
            <a:schemeClr val="accent1"/>
          </a:solidFill>
          <a:ln w="19050">
            <a:solidFill>
              <a:schemeClr val="lt1"/>
            </a:solidFill>
          </a:ln>
          <a:effectLst/>
        </c:spPr>
      </c:pivotFmt>
      <c:pivotFmt>
        <c:idx val="525"/>
        <c:spPr>
          <a:solidFill>
            <a:schemeClr val="accent1"/>
          </a:solidFill>
          <a:ln w="19050">
            <a:solidFill>
              <a:schemeClr val="lt1"/>
            </a:solidFill>
          </a:ln>
          <a:effectLst/>
        </c:spPr>
      </c:pivotFmt>
      <c:pivotFmt>
        <c:idx val="526"/>
        <c:spPr>
          <a:solidFill>
            <a:schemeClr val="accent1"/>
          </a:solidFill>
          <a:ln w="19050">
            <a:solidFill>
              <a:schemeClr val="lt1"/>
            </a:solidFill>
          </a:ln>
          <a:effectLst/>
        </c:spPr>
      </c:pivotFmt>
      <c:pivotFmt>
        <c:idx val="527"/>
        <c:spPr>
          <a:solidFill>
            <a:schemeClr val="accent1"/>
          </a:solidFill>
          <a:ln w="19050">
            <a:solidFill>
              <a:schemeClr val="lt1"/>
            </a:solidFill>
          </a:ln>
          <a:effectLst/>
        </c:spPr>
      </c:pivotFmt>
      <c:pivotFmt>
        <c:idx val="528"/>
        <c:spPr>
          <a:solidFill>
            <a:schemeClr val="accent1"/>
          </a:solidFill>
          <a:ln w="19050">
            <a:solidFill>
              <a:schemeClr val="lt1"/>
            </a:solidFill>
          </a:ln>
          <a:effectLst/>
        </c:spPr>
      </c:pivotFmt>
      <c:pivotFmt>
        <c:idx val="529"/>
        <c:spPr>
          <a:solidFill>
            <a:schemeClr val="accent1"/>
          </a:solidFill>
          <a:ln w="19050">
            <a:solidFill>
              <a:schemeClr val="lt1"/>
            </a:solidFill>
          </a:ln>
          <a:effectLst/>
        </c:spPr>
      </c:pivotFmt>
      <c:pivotFmt>
        <c:idx val="530"/>
        <c:spPr>
          <a:solidFill>
            <a:schemeClr val="accent1"/>
          </a:solidFill>
          <a:ln w="19050">
            <a:solidFill>
              <a:schemeClr val="lt1"/>
            </a:solidFill>
          </a:ln>
          <a:effectLst/>
        </c:spPr>
      </c:pivotFmt>
      <c:pivotFmt>
        <c:idx val="531"/>
        <c:spPr>
          <a:solidFill>
            <a:schemeClr val="accent1"/>
          </a:solidFill>
          <a:ln w="19050">
            <a:solidFill>
              <a:schemeClr val="lt1"/>
            </a:solidFill>
          </a:ln>
          <a:effectLst/>
        </c:spPr>
      </c:pivotFmt>
      <c:pivotFmt>
        <c:idx val="532"/>
        <c:spPr>
          <a:solidFill>
            <a:schemeClr val="accent1"/>
          </a:solidFill>
          <a:ln w="19050">
            <a:solidFill>
              <a:schemeClr val="lt1"/>
            </a:solidFill>
          </a:ln>
          <a:effectLst/>
        </c:spPr>
      </c:pivotFmt>
      <c:pivotFmt>
        <c:idx val="533"/>
        <c:spPr>
          <a:solidFill>
            <a:schemeClr val="accent1"/>
          </a:solidFill>
          <a:ln w="19050">
            <a:solidFill>
              <a:schemeClr val="lt1"/>
            </a:solidFill>
          </a:ln>
          <a:effectLst/>
        </c:spPr>
      </c:pivotFmt>
      <c:pivotFmt>
        <c:idx val="534"/>
        <c:spPr>
          <a:solidFill>
            <a:schemeClr val="accent1"/>
          </a:solidFill>
          <a:ln w="19050">
            <a:solidFill>
              <a:schemeClr val="lt1"/>
            </a:solidFill>
          </a:ln>
          <a:effectLst/>
        </c:spPr>
      </c:pivotFmt>
      <c:pivotFmt>
        <c:idx val="535"/>
        <c:spPr>
          <a:solidFill>
            <a:schemeClr val="accent1"/>
          </a:solidFill>
          <a:ln w="19050">
            <a:solidFill>
              <a:schemeClr val="lt1"/>
            </a:solidFill>
          </a:ln>
          <a:effectLst/>
        </c:spPr>
      </c:pivotFmt>
      <c:pivotFmt>
        <c:idx val="536"/>
        <c:spPr>
          <a:solidFill>
            <a:schemeClr val="accent1"/>
          </a:solidFill>
          <a:ln w="19050">
            <a:solidFill>
              <a:schemeClr val="lt1"/>
            </a:solidFill>
          </a:ln>
          <a:effectLst/>
        </c:spPr>
      </c:pivotFmt>
      <c:pivotFmt>
        <c:idx val="537"/>
        <c:spPr>
          <a:solidFill>
            <a:schemeClr val="accent1"/>
          </a:solidFill>
          <a:ln w="19050">
            <a:solidFill>
              <a:schemeClr val="lt1"/>
            </a:solidFill>
          </a:ln>
          <a:effectLst/>
        </c:spPr>
      </c:pivotFmt>
      <c:pivotFmt>
        <c:idx val="538"/>
        <c:spPr>
          <a:solidFill>
            <a:schemeClr val="accent1"/>
          </a:solidFill>
          <a:ln w="19050">
            <a:solidFill>
              <a:schemeClr val="lt1"/>
            </a:solidFill>
          </a:ln>
          <a:effectLst/>
        </c:spPr>
      </c:pivotFmt>
      <c:pivotFmt>
        <c:idx val="539"/>
        <c:spPr>
          <a:solidFill>
            <a:schemeClr val="accent1"/>
          </a:solidFill>
          <a:ln w="19050">
            <a:solidFill>
              <a:schemeClr val="lt1"/>
            </a:solidFill>
          </a:ln>
          <a:effectLst/>
        </c:spPr>
      </c:pivotFmt>
      <c:pivotFmt>
        <c:idx val="540"/>
        <c:spPr>
          <a:solidFill>
            <a:schemeClr val="accent1"/>
          </a:solidFill>
          <a:ln w="19050">
            <a:solidFill>
              <a:schemeClr val="lt1"/>
            </a:solidFill>
          </a:ln>
          <a:effectLst/>
        </c:spPr>
      </c:pivotFmt>
      <c:pivotFmt>
        <c:idx val="541"/>
        <c:spPr>
          <a:solidFill>
            <a:schemeClr val="accent1"/>
          </a:solidFill>
          <a:ln w="19050">
            <a:solidFill>
              <a:schemeClr val="lt1"/>
            </a:solidFill>
          </a:ln>
          <a:effectLst/>
        </c:spPr>
      </c:pivotFmt>
      <c:pivotFmt>
        <c:idx val="542"/>
        <c:spPr>
          <a:solidFill>
            <a:schemeClr val="accent1"/>
          </a:solidFill>
          <a:ln w="19050">
            <a:solidFill>
              <a:schemeClr val="lt1"/>
            </a:solidFill>
          </a:ln>
          <a:effectLst/>
        </c:spPr>
      </c:pivotFmt>
      <c:pivotFmt>
        <c:idx val="543"/>
        <c:spPr>
          <a:solidFill>
            <a:schemeClr val="accent1"/>
          </a:solidFill>
          <a:ln w="19050">
            <a:solidFill>
              <a:schemeClr val="lt1"/>
            </a:solidFill>
          </a:ln>
          <a:effectLst/>
        </c:spPr>
      </c:pivotFmt>
      <c:pivotFmt>
        <c:idx val="544"/>
        <c:spPr>
          <a:solidFill>
            <a:schemeClr val="accent1"/>
          </a:solidFill>
          <a:ln w="19050">
            <a:solidFill>
              <a:schemeClr val="lt1"/>
            </a:solidFill>
          </a:ln>
          <a:effectLst/>
        </c:spPr>
      </c:pivotFmt>
      <c:pivotFmt>
        <c:idx val="545"/>
        <c:spPr>
          <a:solidFill>
            <a:schemeClr val="accent1"/>
          </a:solidFill>
          <a:ln w="19050">
            <a:solidFill>
              <a:schemeClr val="lt1"/>
            </a:solidFill>
          </a:ln>
          <a:effectLst/>
        </c:spPr>
      </c:pivotFmt>
      <c:pivotFmt>
        <c:idx val="546"/>
        <c:spPr>
          <a:solidFill>
            <a:schemeClr val="accent1"/>
          </a:solidFill>
          <a:ln w="19050">
            <a:solidFill>
              <a:schemeClr val="lt1"/>
            </a:solidFill>
          </a:ln>
          <a:effectLst/>
        </c:spPr>
      </c:pivotFmt>
      <c:pivotFmt>
        <c:idx val="547"/>
        <c:spPr>
          <a:solidFill>
            <a:schemeClr val="accent1"/>
          </a:solidFill>
          <a:ln w="19050">
            <a:solidFill>
              <a:schemeClr val="lt1"/>
            </a:solidFill>
          </a:ln>
          <a:effectLst/>
        </c:spPr>
      </c:pivotFmt>
      <c:pivotFmt>
        <c:idx val="548"/>
        <c:spPr>
          <a:solidFill>
            <a:schemeClr val="accent1"/>
          </a:solidFill>
          <a:ln w="19050">
            <a:solidFill>
              <a:schemeClr val="lt1"/>
            </a:solidFill>
          </a:ln>
          <a:effectLst/>
        </c:spPr>
      </c:pivotFmt>
      <c:pivotFmt>
        <c:idx val="54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50"/>
        <c:spPr>
          <a:solidFill>
            <a:schemeClr val="accent1"/>
          </a:solidFill>
          <a:ln w="19050">
            <a:solidFill>
              <a:schemeClr val="lt1"/>
            </a:solidFill>
          </a:ln>
          <a:effectLst/>
        </c:spPr>
      </c:pivotFmt>
      <c:pivotFmt>
        <c:idx val="551"/>
        <c:spPr>
          <a:solidFill>
            <a:schemeClr val="accent1"/>
          </a:solidFill>
          <a:ln w="19050">
            <a:solidFill>
              <a:schemeClr val="lt1"/>
            </a:solidFill>
          </a:ln>
          <a:effectLst/>
        </c:spPr>
      </c:pivotFmt>
      <c:pivotFmt>
        <c:idx val="552"/>
        <c:spPr>
          <a:solidFill>
            <a:schemeClr val="accent1"/>
          </a:solidFill>
          <a:ln w="19050">
            <a:solidFill>
              <a:schemeClr val="lt1"/>
            </a:solidFill>
          </a:ln>
          <a:effectLst/>
        </c:spPr>
      </c:pivotFmt>
      <c:pivotFmt>
        <c:idx val="553"/>
        <c:spPr>
          <a:solidFill>
            <a:schemeClr val="accent1"/>
          </a:solidFill>
          <a:ln w="19050">
            <a:solidFill>
              <a:schemeClr val="lt1"/>
            </a:solidFill>
          </a:ln>
          <a:effectLst/>
        </c:spPr>
      </c:pivotFmt>
      <c:pivotFmt>
        <c:idx val="554"/>
        <c:spPr>
          <a:solidFill>
            <a:schemeClr val="accent1"/>
          </a:solidFill>
          <a:ln w="19050">
            <a:solidFill>
              <a:schemeClr val="lt1"/>
            </a:solidFill>
          </a:ln>
          <a:effectLst/>
        </c:spPr>
      </c:pivotFmt>
      <c:pivotFmt>
        <c:idx val="555"/>
        <c:spPr>
          <a:solidFill>
            <a:schemeClr val="accent1"/>
          </a:solidFill>
          <a:ln w="19050">
            <a:solidFill>
              <a:schemeClr val="lt1"/>
            </a:solidFill>
          </a:ln>
          <a:effectLst/>
        </c:spPr>
      </c:pivotFmt>
      <c:pivotFmt>
        <c:idx val="556"/>
        <c:spPr>
          <a:solidFill>
            <a:schemeClr val="accent1"/>
          </a:solidFill>
          <a:ln w="19050">
            <a:solidFill>
              <a:schemeClr val="lt1"/>
            </a:solidFill>
          </a:ln>
          <a:effectLst/>
        </c:spPr>
      </c:pivotFmt>
      <c:pivotFmt>
        <c:idx val="557"/>
        <c:spPr>
          <a:solidFill>
            <a:schemeClr val="accent1"/>
          </a:solidFill>
          <a:ln w="19050">
            <a:solidFill>
              <a:schemeClr val="lt1"/>
            </a:solidFill>
          </a:ln>
          <a:effectLst/>
        </c:spPr>
      </c:pivotFmt>
      <c:pivotFmt>
        <c:idx val="558"/>
        <c:spPr>
          <a:solidFill>
            <a:schemeClr val="accent1"/>
          </a:solidFill>
          <a:ln w="19050">
            <a:solidFill>
              <a:schemeClr val="lt1"/>
            </a:solidFill>
          </a:ln>
          <a:effectLst/>
        </c:spPr>
      </c:pivotFmt>
      <c:pivotFmt>
        <c:idx val="559"/>
        <c:spPr>
          <a:solidFill>
            <a:schemeClr val="accent1"/>
          </a:solidFill>
          <a:ln w="19050">
            <a:solidFill>
              <a:schemeClr val="lt1"/>
            </a:solidFill>
          </a:ln>
          <a:effectLst/>
        </c:spPr>
      </c:pivotFmt>
      <c:pivotFmt>
        <c:idx val="560"/>
        <c:spPr>
          <a:solidFill>
            <a:schemeClr val="accent1"/>
          </a:solidFill>
          <a:ln w="19050">
            <a:solidFill>
              <a:schemeClr val="lt1"/>
            </a:solidFill>
          </a:ln>
          <a:effectLst/>
        </c:spPr>
      </c:pivotFmt>
      <c:pivotFmt>
        <c:idx val="561"/>
        <c:spPr>
          <a:solidFill>
            <a:schemeClr val="accent1"/>
          </a:solidFill>
          <a:ln w="19050">
            <a:solidFill>
              <a:schemeClr val="lt1"/>
            </a:solidFill>
          </a:ln>
          <a:effectLst/>
        </c:spPr>
      </c:pivotFmt>
      <c:pivotFmt>
        <c:idx val="562"/>
        <c:spPr>
          <a:solidFill>
            <a:schemeClr val="accent1"/>
          </a:solidFill>
          <a:ln w="19050">
            <a:solidFill>
              <a:schemeClr val="lt1"/>
            </a:solidFill>
          </a:ln>
          <a:effectLst/>
        </c:spPr>
      </c:pivotFmt>
      <c:pivotFmt>
        <c:idx val="563"/>
        <c:spPr>
          <a:solidFill>
            <a:schemeClr val="accent1"/>
          </a:solidFill>
          <a:ln w="19050">
            <a:solidFill>
              <a:schemeClr val="lt1"/>
            </a:solidFill>
          </a:ln>
          <a:effectLst/>
        </c:spPr>
      </c:pivotFmt>
      <c:pivotFmt>
        <c:idx val="564"/>
        <c:spPr>
          <a:solidFill>
            <a:schemeClr val="accent1"/>
          </a:solidFill>
          <a:ln w="19050">
            <a:solidFill>
              <a:schemeClr val="lt1"/>
            </a:solidFill>
          </a:ln>
          <a:effectLst/>
        </c:spPr>
      </c:pivotFmt>
      <c:pivotFmt>
        <c:idx val="565"/>
        <c:spPr>
          <a:solidFill>
            <a:schemeClr val="accent1"/>
          </a:solidFill>
          <a:ln w="19050">
            <a:solidFill>
              <a:schemeClr val="lt1"/>
            </a:solidFill>
          </a:ln>
          <a:effectLst/>
        </c:spPr>
      </c:pivotFmt>
      <c:pivotFmt>
        <c:idx val="566"/>
        <c:spPr>
          <a:solidFill>
            <a:schemeClr val="accent1"/>
          </a:solidFill>
          <a:ln w="19050">
            <a:solidFill>
              <a:schemeClr val="lt1"/>
            </a:solidFill>
          </a:ln>
          <a:effectLst/>
        </c:spPr>
      </c:pivotFmt>
      <c:pivotFmt>
        <c:idx val="567"/>
        <c:spPr>
          <a:solidFill>
            <a:schemeClr val="accent1"/>
          </a:solidFill>
          <a:ln w="19050">
            <a:solidFill>
              <a:schemeClr val="lt1"/>
            </a:solidFill>
          </a:ln>
          <a:effectLst/>
        </c:spPr>
      </c:pivotFmt>
      <c:pivotFmt>
        <c:idx val="568"/>
        <c:spPr>
          <a:solidFill>
            <a:schemeClr val="accent1"/>
          </a:solidFill>
          <a:ln w="19050">
            <a:solidFill>
              <a:schemeClr val="lt1"/>
            </a:solidFill>
          </a:ln>
          <a:effectLst/>
        </c:spPr>
      </c:pivotFmt>
      <c:pivotFmt>
        <c:idx val="569"/>
        <c:spPr>
          <a:solidFill>
            <a:schemeClr val="accent1"/>
          </a:solidFill>
          <a:ln w="19050">
            <a:solidFill>
              <a:schemeClr val="lt1"/>
            </a:solidFill>
          </a:ln>
          <a:effectLst/>
        </c:spPr>
      </c:pivotFmt>
      <c:pivotFmt>
        <c:idx val="570"/>
        <c:spPr>
          <a:solidFill>
            <a:schemeClr val="accent1"/>
          </a:solidFill>
          <a:ln w="19050">
            <a:solidFill>
              <a:schemeClr val="lt1"/>
            </a:solidFill>
          </a:ln>
          <a:effectLst/>
        </c:spPr>
      </c:pivotFmt>
      <c:pivotFmt>
        <c:idx val="571"/>
        <c:spPr>
          <a:solidFill>
            <a:schemeClr val="accent1"/>
          </a:solidFill>
          <a:ln w="19050">
            <a:solidFill>
              <a:schemeClr val="lt1"/>
            </a:solidFill>
          </a:ln>
          <a:effectLst/>
        </c:spPr>
      </c:pivotFmt>
      <c:pivotFmt>
        <c:idx val="572"/>
        <c:spPr>
          <a:solidFill>
            <a:schemeClr val="accent1"/>
          </a:solidFill>
          <a:ln w="19050">
            <a:solidFill>
              <a:schemeClr val="lt1"/>
            </a:solidFill>
          </a:ln>
          <a:effectLst/>
        </c:spPr>
      </c:pivotFmt>
      <c:pivotFmt>
        <c:idx val="573"/>
        <c:spPr>
          <a:solidFill>
            <a:schemeClr val="accent1"/>
          </a:solidFill>
          <a:ln w="19050">
            <a:solidFill>
              <a:schemeClr val="lt1"/>
            </a:solidFill>
          </a:ln>
          <a:effectLst/>
        </c:spPr>
      </c:pivotFmt>
      <c:pivotFmt>
        <c:idx val="574"/>
        <c:spPr>
          <a:solidFill>
            <a:schemeClr val="accent1"/>
          </a:solidFill>
          <a:ln w="19050">
            <a:solidFill>
              <a:schemeClr val="lt1"/>
            </a:solidFill>
          </a:ln>
          <a:effectLst/>
        </c:spPr>
      </c:pivotFmt>
      <c:pivotFmt>
        <c:idx val="575"/>
        <c:spPr>
          <a:solidFill>
            <a:schemeClr val="accent1"/>
          </a:solidFill>
          <a:ln w="19050">
            <a:solidFill>
              <a:schemeClr val="lt1"/>
            </a:solidFill>
          </a:ln>
          <a:effectLst/>
        </c:spPr>
      </c:pivotFmt>
      <c:pivotFmt>
        <c:idx val="576"/>
        <c:spPr>
          <a:solidFill>
            <a:schemeClr val="accent1"/>
          </a:solidFill>
          <a:ln w="19050">
            <a:solidFill>
              <a:schemeClr val="lt1"/>
            </a:solidFill>
          </a:ln>
          <a:effectLst/>
        </c:spPr>
      </c:pivotFmt>
      <c:pivotFmt>
        <c:idx val="577"/>
        <c:spPr>
          <a:solidFill>
            <a:schemeClr val="accent1"/>
          </a:solidFill>
          <a:ln w="19050">
            <a:solidFill>
              <a:schemeClr val="lt1"/>
            </a:solidFill>
          </a:ln>
          <a:effectLst/>
        </c:spPr>
      </c:pivotFmt>
      <c:pivotFmt>
        <c:idx val="578"/>
        <c:spPr>
          <a:solidFill>
            <a:schemeClr val="accent1"/>
          </a:solidFill>
          <a:ln w="19050">
            <a:solidFill>
              <a:schemeClr val="lt1"/>
            </a:solidFill>
          </a:ln>
          <a:effectLst/>
        </c:spPr>
      </c:pivotFmt>
      <c:pivotFmt>
        <c:idx val="579"/>
        <c:spPr>
          <a:solidFill>
            <a:schemeClr val="accent1"/>
          </a:solidFill>
          <a:ln w="19050">
            <a:solidFill>
              <a:schemeClr val="lt1"/>
            </a:solidFill>
          </a:ln>
          <a:effectLst/>
        </c:spPr>
      </c:pivotFmt>
      <c:pivotFmt>
        <c:idx val="580"/>
        <c:spPr>
          <a:solidFill>
            <a:schemeClr val="accent1"/>
          </a:solidFill>
          <a:ln w="19050">
            <a:solidFill>
              <a:schemeClr val="lt1"/>
            </a:solidFill>
          </a:ln>
          <a:effectLst/>
        </c:spPr>
      </c:pivotFmt>
      <c:pivotFmt>
        <c:idx val="581"/>
        <c:spPr>
          <a:solidFill>
            <a:schemeClr val="accent1"/>
          </a:solidFill>
          <a:ln w="19050">
            <a:solidFill>
              <a:schemeClr val="lt1"/>
            </a:solidFill>
          </a:ln>
          <a:effectLst/>
        </c:spPr>
      </c:pivotFmt>
      <c:pivotFmt>
        <c:idx val="582"/>
        <c:spPr>
          <a:solidFill>
            <a:schemeClr val="accent1"/>
          </a:solidFill>
          <a:ln w="19050">
            <a:solidFill>
              <a:schemeClr val="lt1"/>
            </a:solidFill>
          </a:ln>
          <a:effectLst/>
        </c:spPr>
      </c:pivotFmt>
      <c:pivotFmt>
        <c:idx val="583"/>
        <c:spPr>
          <a:solidFill>
            <a:schemeClr val="accent1"/>
          </a:solidFill>
          <a:ln w="19050">
            <a:solidFill>
              <a:schemeClr val="lt1"/>
            </a:solidFill>
          </a:ln>
          <a:effectLst/>
        </c:spPr>
      </c:pivotFmt>
      <c:pivotFmt>
        <c:idx val="584"/>
        <c:spPr>
          <a:solidFill>
            <a:schemeClr val="accent1"/>
          </a:solidFill>
          <a:ln w="19050">
            <a:solidFill>
              <a:schemeClr val="lt1"/>
            </a:solidFill>
          </a:ln>
          <a:effectLst/>
        </c:spPr>
      </c:pivotFmt>
      <c:pivotFmt>
        <c:idx val="585"/>
        <c:spPr>
          <a:solidFill>
            <a:schemeClr val="accent1"/>
          </a:solidFill>
          <a:ln w="19050">
            <a:solidFill>
              <a:schemeClr val="lt1"/>
            </a:solidFill>
          </a:ln>
          <a:effectLst/>
        </c:spPr>
      </c:pivotFmt>
      <c:pivotFmt>
        <c:idx val="586"/>
        <c:spPr>
          <a:solidFill>
            <a:schemeClr val="accent1"/>
          </a:solidFill>
          <a:ln w="19050">
            <a:solidFill>
              <a:schemeClr val="lt1"/>
            </a:solidFill>
          </a:ln>
          <a:effectLst/>
        </c:spPr>
      </c:pivotFmt>
      <c:pivotFmt>
        <c:idx val="587"/>
        <c:spPr>
          <a:solidFill>
            <a:schemeClr val="accent1"/>
          </a:solidFill>
          <a:ln w="19050">
            <a:solidFill>
              <a:schemeClr val="lt1"/>
            </a:solidFill>
          </a:ln>
          <a:effectLst/>
        </c:spPr>
      </c:pivotFmt>
      <c:pivotFmt>
        <c:idx val="588"/>
        <c:spPr>
          <a:solidFill>
            <a:schemeClr val="accent1"/>
          </a:solidFill>
          <a:ln w="19050">
            <a:solidFill>
              <a:schemeClr val="lt1"/>
            </a:solidFill>
          </a:ln>
          <a:effectLst/>
        </c:spPr>
      </c:pivotFmt>
      <c:pivotFmt>
        <c:idx val="589"/>
        <c:spPr>
          <a:solidFill>
            <a:schemeClr val="accent1"/>
          </a:solidFill>
          <a:ln w="19050">
            <a:solidFill>
              <a:schemeClr val="lt1"/>
            </a:solidFill>
          </a:ln>
          <a:effectLst/>
        </c:spPr>
      </c:pivotFmt>
      <c:pivotFmt>
        <c:idx val="590"/>
        <c:spPr>
          <a:solidFill>
            <a:schemeClr val="accent1"/>
          </a:solidFill>
          <a:ln w="19050">
            <a:solidFill>
              <a:schemeClr val="lt1"/>
            </a:solidFill>
          </a:ln>
          <a:effectLst/>
        </c:spPr>
      </c:pivotFmt>
      <c:pivotFmt>
        <c:idx val="591"/>
        <c:spPr>
          <a:solidFill>
            <a:schemeClr val="accent1"/>
          </a:solidFill>
          <a:ln w="19050">
            <a:solidFill>
              <a:schemeClr val="lt1"/>
            </a:solidFill>
          </a:ln>
          <a:effectLst/>
        </c:spPr>
      </c:pivotFmt>
      <c:pivotFmt>
        <c:idx val="592"/>
        <c:spPr>
          <a:solidFill>
            <a:schemeClr val="accent1"/>
          </a:solidFill>
          <a:ln w="19050">
            <a:solidFill>
              <a:schemeClr val="lt1"/>
            </a:solidFill>
          </a:ln>
          <a:effectLst/>
        </c:spPr>
      </c:pivotFmt>
      <c:pivotFmt>
        <c:idx val="593"/>
        <c:spPr>
          <a:solidFill>
            <a:schemeClr val="accent1"/>
          </a:solidFill>
          <a:ln w="19050">
            <a:solidFill>
              <a:schemeClr val="lt1"/>
            </a:solidFill>
          </a:ln>
          <a:effectLst/>
        </c:spPr>
      </c:pivotFmt>
      <c:pivotFmt>
        <c:idx val="594"/>
        <c:spPr>
          <a:solidFill>
            <a:schemeClr val="accent1"/>
          </a:solidFill>
          <a:ln w="19050">
            <a:solidFill>
              <a:schemeClr val="lt1"/>
            </a:solidFill>
          </a:ln>
          <a:effectLst/>
        </c:spPr>
      </c:pivotFmt>
      <c:pivotFmt>
        <c:idx val="595"/>
        <c:spPr>
          <a:solidFill>
            <a:schemeClr val="accent1"/>
          </a:solidFill>
          <a:ln w="19050">
            <a:solidFill>
              <a:schemeClr val="lt1"/>
            </a:solidFill>
          </a:ln>
          <a:effectLst/>
        </c:spPr>
      </c:pivotFmt>
      <c:pivotFmt>
        <c:idx val="596"/>
        <c:spPr>
          <a:solidFill>
            <a:schemeClr val="accent1"/>
          </a:solidFill>
          <a:ln w="19050">
            <a:solidFill>
              <a:schemeClr val="lt1"/>
            </a:solidFill>
          </a:ln>
          <a:effectLst/>
        </c:spPr>
      </c:pivotFmt>
      <c:pivotFmt>
        <c:idx val="597"/>
        <c:spPr>
          <a:solidFill>
            <a:schemeClr val="accent1"/>
          </a:solidFill>
          <a:ln w="19050">
            <a:solidFill>
              <a:schemeClr val="lt1"/>
            </a:solidFill>
          </a:ln>
          <a:effectLst/>
        </c:spPr>
      </c:pivotFmt>
      <c:pivotFmt>
        <c:idx val="598"/>
        <c:spPr>
          <a:solidFill>
            <a:schemeClr val="accent1"/>
          </a:solidFill>
          <a:ln w="19050">
            <a:solidFill>
              <a:schemeClr val="lt1"/>
            </a:solidFill>
          </a:ln>
          <a:effectLst/>
        </c:spPr>
      </c:pivotFmt>
      <c:pivotFmt>
        <c:idx val="599"/>
        <c:spPr>
          <a:solidFill>
            <a:schemeClr val="accent1"/>
          </a:solidFill>
          <a:ln w="19050">
            <a:solidFill>
              <a:schemeClr val="lt1"/>
            </a:solidFill>
          </a:ln>
          <a:effectLst/>
        </c:spPr>
      </c:pivotFmt>
      <c:pivotFmt>
        <c:idx val="600"/>
        <c:spPr>
          <a:solidFill>
            <a:schemeClr val="accent1"/>
          </a:solidFill>
          <a:ln w="19050">
            <a:solidFill>
              <a:schemeClr val="lt1"/>
            </a:solidFill>
          </a:ln>
          <a:effectLst/>
        </c:spPr>
      </c:pivotFmt>
      <c:pivotFmt>
        <c:idx val="601"/>
        <c:spPr>
          <a:solidFill>
            <a:schemeClr val="accent1"/>
          </a:solidFill>
          <a:ln w="19050">
            <a:solidFill>
              <a:schemeClr val="lt1"/>
            </a:solidFill>
          </a:ln>
          <a:effectLst/>
        </c:spPr>
      </c:pivotFmt>
      <c:pivotFmt>
        <c:idx val="602"/>
        <c:spPr>
          <a:solidFill>
            <a:schemeClr val="accent1"/>
          </a:solidFill>
          <a:ln w="19050">
            <a:solidFill>
              <a:schemeClr val="lt1"/>
            </a:solidFill>
          </a:ln>
          <a:effectLst/>
        </c:spPr>
      </c:pivotFmt>
      <c:pivotFmt>
        <c:idx val="603"/>
        <c:spPr>
          <a:solidFill>
            <a:schemeClr val="accent1"/>
          </a:solidFill>
          <a:ln w="19050">
            <a:solidFill>
              <a:schemeClr val="lt1"/>
            </a:solidFill>
          </a:ln>
          <a:effectLst/>
        </c:spPr>
      </c:pivotFmt>
      <c:pivotFmt>
        <c:idx val="604"/>
        <c:spPr>
          <a:solidFill>
            <a:schemeClr val="accent1"/>
          </a:solidFill>
          <a:ln w="19050">
            <a:solidFill>
              <a:schemeClr val="lt1"/>
            </a:solidFill>
          </a:ln>
          <a:effectLst/>
        </c:spPr>
      </c:pivotFmt>
      <c:pivotFmt>
        <c:idx val="605"/>
        <c:spPr>
          <a:solidFill>
            <a:schemeClr val="accent1"/>
          </a:solidFill>
          <a:ln w="19050">
            <a:solidFill>
              <a:schemeClr val="lt1"/>
            </a:solidFill>
          </a:ln>
          <a:effectLst/>
        </c:spPr>
      </c:pivotFmt>
      <c:pivotFmt>
        <c:idx val="606"/>
        <c:spPr>
          <a:solidFill>
            <a:schemeClr val="accent1"/>
          </a:solidFill>
          <a:ln w="19050">
            <a:solidFill>
              <a:schemeClr val="lt1"/>
            </a:solidFill>
          </a:ln>
          <a:effectLst/>
        </c:spPr>
      </c:pivotFmt>
      <c:pivotFmt>
        <c:idx val="607"/>
        <c:spPr>
          <a:solidFill>
            <a:schemeClr val="accent1"/>
          </a:solidFill>
          <a:ln w="19050">
            <a:solidFill>
              <a:schemeClr val="lt1"/>
            </a:solidFill>
          </a:ln>
          <a:effectLst/>
        </c:spPr>
      </c:pivotFmt>
      <c:pivotFmt>
        <c:idx val="608"/>
        <c:spPr>
          <a:solidFill>
            <a:schemeClr val="accent1"/>
          </a:solidFill>
          <a:ln w="19050">
            <a:solidFill>
              <a:schemeClr val="lt1"/>
            </a:solidFill>
          </a:ln>
          <a:effectLst/>
        </c:spPr>
      </c:pivotFmt>
      <c:pivotFmt>
        <c:idx val="609"/>
        <c:spPr>
          <a:solidFill>
            <a:schemeClr val="accent1"/>
          </a:solidFill>
          <a:ln w="19050">
            <a:solidFill>
              <a:schemeClr val="lt1"/>
            </a:solidFill>
          </a:ln>
          <a:effectLst/>
        </c:spPr>
      </c:pivotFmt>
      <c:pivotFmt>
        <c:idx val="610"/>
        <c:spPr>
          <a:solidFill>
            <a:schemeClr val="accent1"/>
          </a:solidFill>
          <a:ln w="19050">
            <a:solidFill>
              <a:schemeClr val="lt1"/>
            </a:solidFill>
          </a:ln>
          <a:effectLst/>
        </c:spPr>
      </c:pivotFmt>
      <c:pivotFmt>
        <c:idx val="611"/>
        <c:spPr>
          <a:solidFill>
            <a:schemeClr val="accent1"/>
          </a:solidFill>
          <a:ln w="19050">
            <a:solidFill>
              <a:schemeClr val="lt1"/>
            </a:solidFill>
          </a:ln>
          <a:effectLst/>
        </c:spPr>
      </c:pivotFmt>
      <c:pivotFmt>
        <c:idx val="612"/>
        <c:spPr>
          <a:solidFill>
            <a:schemeClr val="accent1"/>
          </a:solidFill>
          <a:ln w="19050">
            <a:solidFill>
              <a:schemeClr val="lt1"/>
            </a:solidFill>
          </a:ln>
          <a:effectLst/>
        </c:spPr>
      </c:pivotFmt>
      <c:pivotFmt>
        <c:idx val="613"/>
        <c:spPr>
          <a:solidFill>
            <a:schemeClr val="accent1"/>
          </a:solidFill>
          <a:ln w="19050">
            <a:solidFill>
              <a:schemeClr val="lt1"/>
            </a:solidFill>
          </a:ln>
          <a:effectLst/>
        </c:spPr>
      </c:pivotFmt>
      <c:pivotFmt>
        <c:idx val="614"/>
        <c:spPr>
          <a:solidFill>
            <a:schemeClr val="accent1"/>
          </a:solidFill>
          <a:ln w="19050">
            <a:solidFill>
              <a:schemeClr val="lt1"/>
            </a:solidFill>
          </a:ln>
          <a:effectLst/>
        </c:spPr>
      </c:pivotFmt>
      <c:pivotFmt>
        <c:idx val="615"/>
        <c:spPr>
          <a:solidFill>
            <a:schemeClr val="accent1"/>
          </a:solidFill>
          <a:ln w="19050">
            <a:solidFill>
              <a:schemeClr val="lt1"/>
            </a:solidFill>
          </a:ln>
          <a:effectLst/>
        </c:spPr>
      </c:pivotFmt>
      <c:pivotFmt>
        <c:idx val="616"/>
        <c:spPr>
          <a:solidFill>
            <a:schemeClr val="accent1"/>
          </a:solidFill>
          <a:ln w="19050">
            <a:solidFill>
              <a:schemeClr val="lt1"/>
            </a:solidFill>
          </a:ln>
          <a:effectLst/>
        </c:spPr>
      </c:pivotFmt>
      <c:pivotFmt>
        <c:idx val="617"/>
        <c:spPr>
          <a:solidFill>
            <a:schemeClr val="accent1"/>
          </a:solidFill>
          <a:ln w="19050">
            <a:solidFill>
              <a:schemeClr val="lt1"/>
            </a:solidFill>
          </a:ln>
          <a:effectLst/>
        </c:spPr>
      </c:pivotFmt>
      <c:pivotFmt>
        <c:idx val="618"/>
        <c:spPr>
          <a:solidFill>
            <a:schemeClr val="accent1"/>
          </a:solidFill>
          <a:ln w="19050">
            <a:solidFill>
              <a:schemeClr val="lt1"/>
            </a:solidFill>
          </a:ln>
          <a:effectLst/>
        </c:spPr>
      </c:pivotFmt>
      <c:pivotFmt>
        <c:idx val="619"/>
        <c:spPr>
          <a:solidFill>
            <a:schemeClr val="accent1"/>
          </a:solidFill>
          <a:ln w="19050">
            <a:solidFill>
              <a:schemeClr val="lt1"/>
            </a:solidFill>
          </a:ln>
          <a:effectLst/>
        </c:spPr>
      </c:pivotFmt>
      <c:pivotFmt>
        <c:idx val="620"/>
        <c:spPr>
          <a:solidFill>
            <a:schemeClr val="accent1"/>
          </a:solidFill>
          <a:ln w="19050">
            <a:solidFill>
              <a:schemeClr val="lt1"/>
            </a:solidFill>
          </a:ln>
          <a:effectLst/>
        </c:spPr>
      </c:pivotFmt>
      <c:pivotFmt>
        <c:idx val="621"/>
        <c:spPr>
          <a:solidFill>
            <a:schemeClr val="accent1"/>
          </a:solidFill>
          <a:ln w="19050">
            <a:solidFill>
              <a:schemeClr val="lt1"/>
            </a:solidFill>
          </a:ln>
          <a:effectLst/>
        </c:spPr>
      </c:pivotFmt>
      <c:pivotFmt>
        <c:idx val="622"/>
        <c:spPr>
          <a:solidFill>
            <a:schemeClr val="accent1"/>
          </a:solidFill>
          <a:ln w="19050">
            <a:solidFill>
              <a:schemeClr val="lt1"/>
            </a:solidFill>
          </a:ln>
          <a:effectLst/>
        </c:spPr>
      </c:pivotFmt>
      <c:pivotFmt>
        <c:idx val="623"/>
        <c:spPr>
          <a:solidFill>
            <a:schemeClr val="accent1"/>
          </a:solidFill>
          <a:ln w="19050">
            <a:solidFill>
              <a:schemeClr val="lt1"/>
            </a:solidFill>
          </a:ln>
          <a:effectLst/>
        </c:spPr>
      </c:pivotFmt>
      <c:pivotFmt>
        <c:idx val="624"/>
        <c:spPr>
          <a:solidFill>
            <a:schemeClr val="accent1"/>
          </a:solidFill>
          <a:ln w="19050">
            <a:solidFill>
              <a:schemeClr val="lt1"/>
            </a:solidFill>
          </a:ln>
          <a:effectLst/>
        </c:spPr>
      </c:pivotFmt>
      <c:pivotFmt>
        <c:idx val="625"/>
        <c:spPr>
          <a:solidFill>
            <a:schemeClr val="accent1"/>
          </a:solidFill>
          <a:ln w="19050">
            <a:solidFill>
              <a:schemeClr val="lt1"/>
            </a:solidFill>
          </a:ln>
          <a:effectLst/>
        </c:spPr>
      </c:pivotFmt>
      <c:pivotFmt>
        <c:idx val="626"/>
        <c:spPr>
          <a:solidFill>
            <a:schemeClr val="accent1"/>
          </a:solidFill>
          <a:ln w="19050">
            <a:solidFill>
              <a:schemeClr val="lt1"/>
            </a:solidFill>
          </a:ln>
          <a:effectLst/>
        </c:spPr>
      </c:pivotFmt>
      <c:pivotFmt>
        <c:idx val="627"/>
        <c:spPr>
          <a:solidFill>
            <a:schemeClr val="accent1"/>
          </a:solidFill>
          <a:ln w="19050">
            <a:solidFill>
              <a:schemeClr val="lt1"/>
            </a:solidFill>
          </a:ln>
          <a:effectLst/>
        </c:spPr>
      </c:pivotFmt>
      <c:pivotFmt>
        <c:idx val="628"/>
        <c:spPr>
          <a:solidFill>
            <a:schemeClr val="accent1"/>
          </a:solidFill>
          <a:ln w="19050">
            <a:solidFill>
              <a:schemeClr val="lt1"/>
            </a:solidFill>
          </a:ln>
          <a:effectLst/>
        </c:spPr>
      </c:pivotFmt>
      <c:pivotFmt>
        <c:idx val="629"/>
        <c:spPr>
          <a:solidFill>
            <a:schemeClr val="accent1"/>
          </a:solidFill>
          <a:ln w="19050">
            <a:solidFill>
              <a:schemeClr val="lt1"/>
            </a:solidFill>
          </a:ln>
          <a:effectLst/>
        </c:spPr>
      </c:pivotFmt>
      <c:pivotFmt>
        <c:idx val="630"/>
        <c:spPr>
          <a:solidFill>
            <a:schemeClr val="accent1"/>
          </a:solidFill>
          <a:ln w="19050">
            <a:solidFill>
              <a:schemeClr val="lt1"/>
            </a:solidFill>
          </a:ln>
          <a:effectLst/>
        </c:spPr>
      </c:pivotFmt>
      <c:pivotFmt>
        <c:idx val="631"/>
        <c:spPr>
          <a:solidFill>
            <a:schemeClr val="accent1"/>
          </a:solidFill>
          <a:ln w="19050">
            <a:solidFill>
              <a:schemeClr val="lt1"/>
            </a:solidFill>
          </a:ln>
          <a:effectLst/>
        </c:spPr>
      </c:pivotFmt>
      <c:pivotFmt>
        <c:idx val="632"/>
        <c:spPr>
          <a:solidFill>
            <a:schemeClr val="accent1"/>
          </a:solidFill>
          <a:ln w="19050">
            <a:solidFill>
              <a:schemeClr val="lt1"/>
            </a:solidFill>
          </a:ln>
          <a:effectLst/>
        </c:spPr>
      </c:pivotFmt>
      <c:pivotFmt>
        <c:idx val="633"/>
        <c:spPr>
          <a:solidFill>
            <a:schemeClr val="accent1"/>
          </a:solidFill>
          <a:ln w="19050">
            <a:solidFill>
              <a:schemeClr val="lt1"/>
            </a:solidFill>
          </a:ln>
          <a:effectLst/>
        </c:spPr>
      </c:pivotFmt>
      <c:pivotFmt>
        <c:idx val="634"/>
        <c:spPr>
          <a:solidFill>
            <a:schemeClr val="accent1"/>
          </a:solidFill>
          <a:ln w="19050">
            <a:solidFill>
              <a:schemeClr val="lt1"/>
            </a:solidFill>
          </a:ln>
          <a:effectLst/>
        </c:spPr>
      </c:pivotFmt>
      <c:pivotFmt>
        <c:idx val="635"/>
        <c:spPr>
          <a:solidFill>
            <a:schemeClr val="accent1"/>
          </a:solidFill>
          <a:ln w="19050">
            <a:solidFill>
              <a:schemeClr val="lt1"/>
            </a:solidFill>
          </a:ln>
          <a:effectLst/>
        </c:spPr>
      </c:pivotFmt>
      <c:pivotFmt>
        <c:idx val="636"/>
        <c:spPr>
          <a:solidFill>
            <a:schemeClr val="accent1"/>
          </a:solidFill>
          <a:ln w="19050">
            <a:solidFill>
              <a:schemeClr val="lt1"/>
            </a:solidFill>
          </a:ln>
          <a:effectLst/>
        </c:spPr>
      </c:pivotFmt>
      <c:pivotFmt>
        <c:idx val="637"/>
        <c:spPr>
          <a:solidFill>
            <a:schemeClr val="accent1"/>
          </a:solidFill>
          <a:ln w="19050">
            <a:solidFill>
              <a:schemeClr val="lt1"/>
            </a:solidFill>
          </a:ln>
          <a:effectLst/>
        </c:spPr>
      </c:pivotFmt>
      <c:pivotFmt>
        <c:idx val="638"/>
        <c:spPr>
          <a:solidFill>
            <a:schemeClr val="accent1"/>
          </a:solidFill>
          <a:ln w="19050">
            <a:solidFill>
              <a:schemeClr val="lt1"/>
            </a:solidFill>
          </a:ln>
          <a:effectLst/>
        </c:spPr>
      </c:pivotFmt>
      <c:pivotFmt>
        <c:idx val="639"/>
        <c:spPr>
          <a:solidFill>
            <a:schemeClr val="accent1"/>
          </a:solidFill>
          <a:ln w="19050">
            <a:solidFill>
              <a:schemeClr val="lt1"/>
            </a:solidFill>
          </a:ln>
          <a:effectLst/>
        </c:spPr>
      </c:pivotFmt>
      <c:pivotFmt>
        <c:idx val="640"/>
        <c:spPr>
          <a:solidFill>
            <a:schemeClr val="accent1"/>
          </a:solidFill>
          <a:ln w="19050">
            <a:solidFill>
              <a:schemeClr val="lt1"/>
            </a:solidFill>
          </a:ln>
          <a:effectLst/>
        </c:spPr>
      </c:pivotFmt>
      <c:pivotFmt>
        <c:idx val="641"/>
        <c:spPr>
          <a:solidFill>
            <a:schemeClr val="accent1"/>
          </a:solidFill>
          <a:ln w="19050">
            <a:solidFill>
              <a:schemeClr val="lt1"/>
            </a:solidFill>
          </a:ln>
          <a:effectLst/>
        </c:spPr>
      </c:pivotFmt>
      <c:pivotFmt>
        <c:idx val="642"/>
        <c:spPr>
          <a:solidFill>
            <a:schemeClr val="accent1"/>
          </a:solidFill>
          <a:ln w="19050">
            <a:solidFill>
              <a:schemeClr val="lt1"/>
            </a:solidFill>
          </a:ln>
          <a:effectLst/>
        </c:spPr>
      </c:pivotFmt>
      <c:pivotFmt>
        <c:idx val="643"/>
        <c:spPr>
          <a:solidFill>
            <a:schemeClr val="accent1"/>
          </a:solidFill>
          <a:ln w="19050">
            <a:solidFill>
              <a:schemeClr val="lt1"/>
            </a:solidFill>
          </a:ln>
          <a:effectLst/>
        </c:spPr>
      </c:pivotFmt>
      <c:pivotFmt>
        <c:idx val="644"/>
        <c:spPr>
          <a:solidFill>
            <a:schemeClr val="accent1"/>
          </a:solidFill>
          <a:ln w="19050">
            <a:solidFill>
              <a:schemeClr val="lt1"/>
            </a:solidFill>
          </a:ln>
          <a:effectLst/>
        </c:spPr>
      </c:pivotFmt>
      <c:pivotFmt>
        <c:idx val="645"/>
        <c:spPr>
          <a:solidFill>
            <a:schemeClr val="accent1"/>
          </a:solidFill>
          <a:ln w="19050">
            <a:solidFill>
              <a:schemeClr val="lt1"/>
            </a:solidFill>
          </a:ln>
          <a:effectLst/>
        </c:spPr>
      </c:pivotFmt>
      <c:pivotFmt>
        <c:idx val="646"/>
        <c:spPr>
          <a:solidFill>
            <a:schemeClr val="accent1"/>
          </a:solidFill>
          <a:ln w="19050">
            <a:solidFill>
              <a:schemeClr val="lt1"/>
            </a:solidFill>
          </a:ln>
          <a:effectLst/>
        </c:spPr>
      </c:pivotFmt>
      <c:pivotFmt>
        <c:idx val="647"/>
        <c:spPr>
          <a:solidFill>
            <a:schemeClr val="accent1"/>
          </a:solidFill>
          <a:ln w="19050">
            <a:solidFill>
              <a:schemeClr val="lt1"/>
            </a:solidFill>
          </a:ln>
          <a:effectLst/>
        </c:spPr>
      </c:pivotFmt>
      <c:pivotFmt>
        <c:idx val="648"/>
        <c:spPr>
          <a:solidFill>
            <a:schemeClr val="accent1"/>
          </a:solidFill>
          <a:ln w="19050">
            <a:solidFill>
              <a:schemeClr val="lt1"/>
            </a:solidFill>
          </a:ln>
          <a:effectLst/>
        </c:spPr>
      </c:pivotFmt>
      <c:pivotFmt>
        <c:idx val="649"/>
        <c:spPr>
          <a:solidFill>
            <a:schemeClr val="accent1"/>
          </a:solidFill>
          <a:ln w="19050">
            <a:solidFill>
              <a:schemeClr val="lt1"/>
            </a:solidFill>
          </a:ln>
          <a:effectLst/>
        </c:spPr>
      </c:pivotFmt>
      <c:pivotFmt>
        <c:idx val="650"/>
        <c:spPr>
          <a:solidFill>
            <a:schemeClr val="accent1"/>
          </a:solidFill>
          <a:ln w="19050">
            <a:solidFill>
              <a:schemeClr val="lt1"/>
            </a:solidFill>
          </a:ln>
          <a:effectLst/>
        </c:spPr>
      </c:pivotFmt>
      <c:pivotFmt>
        <c:idx val="651"/>
        <c:spPr>
          <a:solidFill>
            <a:schemeClr val="accent1"/>
          </a:solidFill>
          <a:ln w="19050">
            <a:solidFill>
              <a:schemeClr val="lt1"/>
            </a:solidFill>
          </a:ln>
          <a:effectLst/>
        </c:spPr>
      </c:pivotFmt>
      <c:pivotFmt>
        <c:idx val="652"/>
        <c:spPr>
          <a:solidFill>
            <a:schemeClr val="accent1"/>
          </a:solidFill>
          <a:ln w="19050">
            <a:solidFill>
              <a:schemeClr val="lt1"/>
            </a:solidFill>
          </a:ln>
          <a:effectLst/>
        </c:spPr>
      </c:pivotFmt>
      <c:pivotFmt>
        <c:idx val="653"/>
        <c:spPr>
          <a:solidFill>
            <a:schemeClr val="accent1"/>
          </a:solidFill>
          <a:ln w="19050">
            <a:solidFill>
              <a:schemeClr val="lt1"/>
            </a:solidFill>
          </a:ln>
          <a:effectLst/>
        </c:spPr>
      </c:pivotFmt>
      <c:pivotFmt>
        <c:idx val="654"/>
        <c:spPr>
          <a:solidFill>
            <a:schemeClr val="accent1"/>
          </a:solidFill>
          <a:ln w="19050">
            <a:solidFill>
              <a:schemeClr val="lt1"/>
            </a:solidFill>
          </a:ln>
          <a:effectLst/>
        </c:spPr>
      </c:pivotFmt>
      <c:pivotFmt>
        <c:idx val="655"/>
        <c:spPr>
          <a:solidFill>
            <a:schemeClr val="accent1"/>
          </a:solidFill>
          <a:ln w="19050">
            <a:solidFill>
              <a:schemeClr val="lt1"/>
            </a:solidFill>
          </a:ln>
          <a:effectLst/>
        </c:spPr>
      </c:pivotFmt>
      <c:pivotFmt>
        <c:idx val="656"/>
        <c:spPr>
          <a:solidFill>
            <a:schemeClr val="accent1"/>
          </a:solidFill>
          <a:ln w="19050">
            <a:solidFill>
              <a:schemeClr val="lt1"/>
            </a:solidFill>
          </a:ln>
          <a:effectLst/>
        </c:spPr>
      </c:pivotFmt>
      <c:pivotFmt>
        <c:idx val="657"/>
        <c:spPr>
          <a:solidFill>
            <a:schemeClr val="accent1"/>
          </a:solidFill>
          <a:ln w="19050">
            <a:solidFill>
              <a:schemeClr val="lt1"/>
            </a:solidFill>
          </a:ln>
          <a:effectLst/>
        </c:spPr>
      </c:pivotFmt>
      <c:pivotFmt>
        <c:idx val="658"/>
        <c:spPr>
          <a:solidFill>
            <a:schemeClr val="accent1"/>
          </a:solidFill>
          <a:ln w="19050">
            <a:solidFill>
              <a:schemeClr val="lt1"/>
            </a:solidFill>
          </a:ln>
          <a:effectLst/>
        </c:spPr>
      </c:pivotFmt>
      <c:pivotFmt>
        <c:idx val="659"/>
        <c:spPr>
          <a:solidFill>
            <a:schemeClr val="accent1"/>
          </a:solidFill>
          <a:ln w="19050">
            <a:solidFill>
              <a:schemeClr val="lt1"/>
            </a:solidFill>
          </a:ln>
          <a:effectLst/>
        </c:spPr>
      </c:pivotFmt>
      <c:pivotFmt>
        <c:idx val="660"/>
        <c:spPr>
          <a:solidFill>
            <a:schemeClr val="accent1"/>
          </a:solidFill>
          <a:ln w="19050">
            <a:solidFill>
              <a:schemeClr val="lt1"/>
            </a:solidFill>
          </a:ln>
          <a:effectLst/>
        </c:spPr>
      </c:pivotFmt>
      <c:pivotFmt>
        <c:idx val="661"/>
        <c:spPr>
          <a:solidFill>
            <a:schemeClr val="accent1"/>
          </a:solidFill>
          <a:ln w="19050">
            <a:solidFill>
              <a:schemeClr val="lt1"/>
            </a:solidFill>
          </a:ln>
          <a:effectLst/>
        </c:spPr>
      </c:pivotFmt>
      <c:pivotFmt>
        <c:idx val="662"/>
        <c:spPr>
          <a:solidFill>
            <a:schemeClr val="accent1"/>
          </a:solidFill>
          <a:ln w="19050">
            <a:solidFill>
              <a:schemeClr val="lt1"/>
            </a:solidFill>
          </a:ln>
          <a:effectLst/>
        </c:spPr>
      </c:pivotFmt>
      <c:pivotFmt>
        <c:idx val="663"/>
        <c:spPr>
          <a:solidFill>
            <a:schemeClr val="accent1"/>
          </a:solidFill>
          <a:ln w="19050">
            <a:solidFill>
              <a:schemeClr val="lt1"/>
            </a:solidFill>
          </a:ln>
          <a:effectLst/>
        </c:spPr>
      </c:pivotFmt>
      <c:pivotFmt>
        <c:idx val="664"/>
        <c:spPr>
          <a:solidFill>
            <a:schemeClr val="accent1"/>
          </a:solidFill>
          <a:ln w="19050">
            <a:solidFill>
              <a:schemeClr val="lt1"/>
            </a:solidFill>
          </a:ln>
          <a:effectLst/>
        </c:spPr>
      </c:pivotFmt>
      <c:pivotFmt>
        <c:idx val="665"/>
        <c:spPr>
          <a:solidFill>
            <a:schemeClr val="accent1"/>
          </a:solidFill>
          <a:ln w="19050">
            <a:solidFill>
              <a:schemeClr val="lt1"/>
            </a:solidFill>
          </a:ln>
          <a:effectLst/>
        </c:spPr>
      </c:pivotFmt>
      <c:pivotFmt>
        <c:idx val="666"/>
        <c:spPr>
          <a:solidFill>
            <a:schemeClr val="accent1"/>
          </a:solidFill>
          <a:ln w="19050">
            <a:solidFill>
              <a:schemeClr val="lt1"/>
            </a:solidFill>
          </a:ln>
          <a:effectLst/>
        </c:spPr>
      </c:pivotFmt>
      <c:pivotFmt>
        <c:idx val="667"/>
        <c:spPr>
          <a:solidFill>
            <a:schemeClr val="accent1"/>
          </a:solidFill>
          <a:ln w="19050">
            <a:solidFill>
              <a:schemeClr val="lt1"/>
            </a:solidFill>
          </a:ln>
          <a:effectLst/>
        </c:spPr>
      </c:pivotFmt>
      <c:pivotFmt>
        <c:idx val="668"/>
        <c:spPr>
          <a:solidFill>
            <a:schemeClr val="accent1"/>
          </a:solidFill>
          <a:ln w="19050">
            <a:solidFill>
              <a:schemeClr val="lt1"/>
            </a:solidFill>
          </a:ln>
          <a:effectLst/>
        </c:spPr>
      </c:pivotFmt>
      <c:pivotFmt>
        <c:idx val="669"/>
        <c:spPr>
          <a:solidFill>
            <a:schemeClr val="accent1"/>
          </a:solidFill>
          <a:ln w="19050">
            <a:solidFill>
              <a:schemeClr val="lt1"/>
            </a:solidFill>
          </a:ln>
          <a:effectLst/>
        </c:spPr>
      </c:pivotFmt>
      <c:pivotFmt>
        <c:idx val="670"/>
        <c:spPr>
          <a:solidFill>
            <a:schemeClr val="accent1"/>
          </a:solidFill>
          <a:ln w="19050">
            <a:solidFill>
              <a:schemeClr val="lt1"/>
            </a:solidFill>
          </a:ln>
          <a:effectLst/>
        </c:spPr>
      </c:pivotFmt>
      <c:pivotFmt>
        <c:idx val="671"/>
        <c:spPr>
          <a:solidFill>
            <a:schemeClr val="accent1"/>
          </a:solidFill>
          <a:ln w="19050">
            <a:solidFill>
              <a:schemeClr val="lt1"/>
            </a:solidFill>
          </a:ln>
          <a:effectLst/>
        </c:spPr>
      </c:pivotFmt>
      <c:pivotFmt>
        <c:idx val="672"/>
        <c:spPr>
          <a:solidFill>
            <a:schemeClr val="accent1"/>
          </a:solidFill>
          <a:ln w="19050">
            <a:solidFill>
              <a:schemeClr val="lt1"/>
            </a:solidFill>
          </a:ln>
          <a:effectLst/>
        </c:spPr>
      </c:pivotFmt>
      <c:pivotFmt>
        <c:idx val="673"/>
        <c:spPr>
          <a:solidFill>
            <a:schemeClr val="accent1"/>
          </a:solidFill>
          <a:ln w="19050">
            <a:solidFill>
              <a:schemeClr val="lt1"/>
            </a:solidFill>
          </a:ln>
          <a:effectLst/>
        </c:spPr>
      </c:pivotFmt>
      <c:pivotFmt>
        <c:idx val="674"/>
        <c:spPr>
          <a:solidFill>
            <a:schemeClr val="accent1"/>
          </a:solidFill>
          <a:ln w="19050">
            <a:solidFill>
              <a:schemeClr val="lt1"/>
            </a:solidFill>
          </a:ln>
          <a:effectLst/>
        </c:spPr>
      </c:pivotFmt>
      <c:pivotFmt>
        <c:idx val="675"/>
        <c:spPr>
          <a:solidFill>
            <a:schemeClr val="accent1"/>
          </a:solidFill>
          <a:ln w="19050">
            <a:solidFill>
              <a:schemeClr val="lt1"/>
            </a:solidFill>
          </a:ln>
          <a:effectLst/>
        </c:spPr>
      </c:pivotFmt>
      <c:pivotFmt>
        <c:idx val="676"/>
        <c:spPr>
          <a:solidFill>
            <a:schemeClr val="accent1"/>
          </a:solidFill>
          <a:ln w="19050">
            <a:solidFill>
              <a:schemeClr val="lt1"/>
            </a:solidFill>
          </a:ln>
          <a:effectLst/>
        </c:spPr>
      </c:pivotFmt>
      <c:pivotFmt>
        <c:idx val="677"/>
        <c:spPr>
          <a:solidFill>
            <a:schemeClr val="accent1"/>
          </a:solidFill>
          <a:ln w="19050">
            <a:solidFill>
              <a:schemeClr val="lt1"/>
            </a:solidFill>
          </a:ln>
          <a:effectLst/>
        </c:spPr>
      </c:pivotFmt>
      <c:pivotFmt>
        <c:idx val="678"/>
        <c:spPr>
          <a:solidFill>
            <a:schemeClr val="accent1"/>
          </a:solidFill>
          <a:ln w="19050">
            <a:solidFill>
              <a:schemeClr val="lt1"/>
            </a:solidFill>
          </a:ln>
          <a:effectLst/>
        </c:spPr>
      </c:pivotFmt>
      <c:pivotFmt>
        <c:idx val="679"/>
        <c:spPr>
          <a:solidFill>
            <a:schemeClr val="accent1"/>
          </a:solidFill>
          <a:ln w="19050">
            <a:solidFill>
              <a:schemeClr val="lt1"/>
            </a:solidFill>
          </a:ln>
          <a:effectLst/>
        </c:spPr>
      </c:pivotFmt>
      <c:pivotFmt>
        <c:idx val="680"/>
        <c:spPr>
          <a:solidFill>
            <a:schemeClr val="accent1"/>
          </a:solidFill>
          <a:ln w="19050">
            <a:solidFill>
              <a:schemeClr val="lt1"/>
            </a:solidFill>
          </a:ln>
          <a:effectLst/>
        </c:spPr>
      </c:pivotFmt>
      <c:pivotFmt>
        <c:idx val="681"/>
        <c:spPr>
          <a:solidFill>
            <a:schemeClr val="accent1"/>
          </a:solidFill>
          <a:ln w="19050">
            <a:solidFill>
              <a:schemeClr val="lt1"/>
            </a:solidFill>
          </a:ln>
          <a:effectLst/>
        </c:spPr>
      </c:pivotFmt>
      <c:pivotFmt>
        <c:idx val="682"/>
        <c:spPr>
          <a:solidFill>
            <a:schemeClr val="accent1"/>
          </a:solidFill>
          <a:ln w="19050">
            <a:solidFill>
              <a:schemeClr val="lt1"/>
            </a:solidFill>
          </a:ln>
          <a:effectLst/>
        </c:spPr>
      </c:pivotFmt>
      <c:pivotFmt>
        <c:idx val="683"/>
        <c:spPr>
          <a:solidFill>
            <a:schemeClr val="accent1"/>
          </a:solidFill>
          <a:ln w="19050">
            <a:solidFill>
              <a:schemeClr val="lt1"/>
            </a:solidFill>
          </a:ln>
          <a:effectLst/>
        </c:spPr>
      </c:pivotFmt>
      <c:pivotFmt>
        <c:idx val="684"/>
        <c:spPr>
          <a:solidFill>
            <a:schemeClr val="accent1"/>
          </a:solidFill>
          <a:ln w="19050">
            <a:solidFill>
              <a:schemeClr val="lt1"/>
            </a:solidFill>
          </a:ln>
          <a:effectLst/>
        </c:spPr>
      </c:pivotFmt>
      <c:pivotFmt>
        <c:idx val="685"/>
        <c:spPr>
          <a:solidFill>
            <a:schemeClr val="accent1"/>
          </a:solidFill>
          <a:ln w="19050">
            <a:solidFill>
              <a:schemeClr val="lt1"/>
            </a:solidFill>
          </a:ln>
          <a:effectLst/>
        </c:spPr>
      </c:pivotFmt>
      <c:pivotFmt>
        <c:idx val="686"/>
        <c:spPr>
          <a:solidFill>
            <a:schemeClr val="accent1"/>
          </a:solidFill>
          <a:ln w="19050">
            <a:solidFill>
              <a:schemeClr val="lt1"/>
            </a:solidFill>
          </a:ln>
          <a:effectLst/>
        </c:spPr>
      </c:pivotFmt>
      <c:pivotFmt>
        <c:idx val="687"/>
        <c:spPr>
          <a:solidFill>
            <a:schemeClr val="accent1"/>
          </a:solidFill>
          <a:ln w="19050">
            <a:solidFill>
              <a:schemeClr val="lt1"/>
            </a:solidFill>
          </a:ln>
          <a:effectLst/>
        </c:spPr>
      </c:pivotFmt>
      <c:pivotFmt>
        <c:idx val="688"/>
        <c:spPr>
          <a:solidFill>
            <a:schemeClr val="accent1"/>
          </a:solidFill>
          <a:ln w="19050">
            <a:solidFill>
              <a:schemeClr val="lt1"/>
            </a:solidFill>
          </a:ln>
          <a:effectLst/>
        </c:spPr>
      </c:pivotFmt>
      <c:pivotFmt>
        <c:idx val="689"/>
        <c:spPr>
          <a:solidFill>
            <a:schemeClr val="accent1"/>
          </a:solidFill>
          <a:ln w="19050">
            <a:solidFill>
              <a:schemeClr val="lt1"/>
            </a:solidFill>
          </a:ln>
          <a:effectLst/>
        </c:spPr>
      </c:pivotFmt>
      <c:pivotFmt>
        <c:idx val="690"/>
        <c:spPr>
          <a:solidFill>
            <a:schemeClr val="accent1"/>
          </a:solidFill>
          <a:ln w="19050">
            <a:solidFill>
              <a:schemeClr val="lt1"/>
            </a:solidFill>
          </a:ln>
          <a:effectLst/>
        </c:spPr>
      </c:pivotFmt>
      <c:pivotFmt>
        <c:idx val="691"/>
        <c:spPr>
          <a:solidFill>
            <a:schemeClr val="accent1"/>
          </a:solidFill>
          <a:ln w="19050">
            <a:solidFill>
              <a:schemeClr val="lt1"/>
            </a:solidFill>
          </a:ln>
          <a:effectLst/>
        </c:spPr>
      </c:pivotFmt>
      <c:pivotFmt>
        <c:idx val="692"/>
        <c:spPr>
          <a:solidFill>
            <a:schemeClr val="accent1"/>
          </a:solidFill>
          <a:ln w="19050">
            <a:solidFill>
              <a:schemeClr val="lt1"/>
            </a:solidFill>
          </a:ln>
          <a:effectLst/>
        </c:spPr>
      </c:pivotFmt>
      <c:pivotFmt>
        <c:idx val="693"/>
        <c:spPr>
          <a:solidFill>
            <a:schemeClr val="accent1"/>
          </a:solidFill>
          <a:ln w="19050">
            <a:solidFill>
              <a:schemeClr val="lt1"/>
            </a:solidFill>
          </a:ln>
          <a:effectLst/>
        </c:spPr>
      </c:pivotFmt>
      <c:pivotFmt>
        <c:idx val="694"/>
        <c:spPr>
          <a:solidFill>
            <a:schemeClr val="accent1"/>
          </a:solidFill>
          <a:ln w="19050">
            <a:solidFill>
              <a:schemeClr val="lt1"/>
            </a:solidFill>
          </a:ln>
          <a:effectLst/>
        </c:spPr>
      </c:pivotFmt>
      <c:pivotFmt>
        <c:idx val="695"/>
        <c:spPr>
          <a:solidFill>
            <a:schemeClr val="accent1"/>
          </a:solidFill>
          <a:ln w="19050">
            <a:solidFill>
              <a:schemeClr val="lt1"/>
            </a:solidFill>
          </a:ln>
          <a:effectLst/>
        </c:spPr>
      </c:pivotFmt>
      <c:pivotFmt>
        <c:idx val="696"/>
        <c:spPr>
          <a:solidFill>
            <a:schemeClr val="accent1"/>
          </a:solidFill>
          <a:ln w="19050">
            <a:solidFill>
              <a:schemeClr val="lt1"/>
            </a:solidFill>
          </a:ln>
          <a:effectLst/>
        </c:spPr>
      </c:pivotFmt>
      <c:pivotFmt>
        <c:idx val="697"/>
        <c:spPr>
          <a:solidFill>
            <a:schemeClr val="accent1"/>
          </a:solidFill>
          <a:ln w="19050">
            <a:solidFill>
              <a:schemeClr val="lt1"/>
            </a:solidFill>
          </a:ln>
          <a:effectLst/>
        </c:spPr>
      </c:pivotFmt>
      <c:pivotFmt>
        <c:idx val="698"/>
        <c:spPr>
          <a:solidFill>
            <a:schemeClr val="accent1"/>
          </a:solidFill>
          <a:ln w="19050">
            <a:solidFill>
              <a:schemeClr val="lt1"/>
            </a:solidFill>
          </a:ln>
          <a:effectLst/>
        </c:spPr>
      </c:pivotFmt>
      <c:pivotFmt>
        <c:idx val="699"/>
        <c:spPr>
          <a:solidFill>
            <a:schemeClr val="accent1"/>
          </a:solidFill>
          <a:ln w="19050">
            <a:solidFill>
              <a:schemeClr val="lt1"/>
            </a:solidFill>
          </a:ln>
          <a:effectLst/>
        </c:spPr>
      </c:pivotFmt>
      <c:pivotFmt>
        <c:idx val="700"/>
        <c:spPr>
          <a:solidFill>
            <a:schemeClr val="accent1"/>
          </a:solidFill>
          <a:ln w="19050">
            <a:solidFill>
              <a:schemeClr val="lt1"/>
            </a:solidFill>
          </a:ln>
          <a:effectLst/>
        </c:spPr>
      </c:pivotFmt>
      <c:pivotFmt>
        <c:idx val="701"/>
        <c:spPr>
          <a:solidFill>
            <a:schemeClr val="accent1"/>
          </a:solidFill>
          <a:ln w="19050">
            <a:solidFill>
              <a:schemeClr val="lt1"/>
            </a:solidFill>
          </a:ln>
          <a:effectLst/>
        </c:spPr>
      </c:pivotFmt>
      <c:pivotFmt>
        <c:idx val="702"/>
        <c:spPr>
          <a:solidFill>
            <a:schemeClr val="accent1"/>
          </a:solidFill>
          <a:ln w="19050">
            <a:solidFill>
              <a:schemeClr val="lt1"/>
            </a:solidFill>
          </a:ln>
          <a:effectLst/>
        </c:spPr>
      </c:pivotFmt>
      <c:pivotFmt>
        <c:idx val="703"/>
        <c:spPr>
          <a:solidFill>
            <a:schemeClr val="accent1"/>
          </a:solidFill>
          <a:ln w="19050">
            <a:solidFill>
              <a:schemeClr val="lt1"/>
            </a:solidFill>
          </a:ln>
          <a:effectLst/>
        </c:spPr>
      </c:pivotFmt>
      <c:pivotFmt>
        <c:idx val="704"/>
        <c:spPr>
          <a:solidFill>
            <a:schemeClr val="accent1"/>
          </a:solidFill>
          <a:ln w="19050">
            <a:solidFill>
              <a:schemeClr val="lt1"/>
            </a:solidFill>
          </a:ln>
          <a:effectLst/>
        </c:spPr>
      </c:pivotFmt>
      <c:pivotFmt>
        <c:idx val="705"/>
        <c:spPr>
          <a:solidFill>
            <a:schemeClr val="accent1"/>
          </a:solidFill>
          <a:ln w="19050">
            <a:solidFill>
              <a:schemeClr val="lt1"/>
            </a:solidFill>
          </a:ln>
          <a:effectLst/>
        </c:spPr>
      </c:pivotFmt>
      <c:pivotFmt>
        <c:idx val="706"/>
        <c:spPr>
          <a:solidFill>
            <a:schemeClr val="accent1"/>
          </a:solidFill>
          <a:ln w="19050">
            <a:solidFill>
              <a:schemeClr val="lt1"/>
            </a:solidFill>
          </a:ln>
          <a:effectLst/>
        </c:spPr>
      </c:pivotFmt>
      <c:pivotFmt>
        <c:idx val="707"/>
        <c:spPr>
          <a:solidFill>
            <a:schemeClr val="accent1"/>
          </a:solidFill>
          <a:ln w="19050">
            <a:solidFill>
              <a:schemeClr val="lt1"/>
            </a:solidFill>
          </a:ln>
          <a:effectLst/>
        </c:spPr>
      </c:pivotFmt>
      <c:pivotFmt>
        <c:idx val="708"/>
        <c:spPr>
          <a:solidFill>
            <a:schemeClr val="accent1"/>
          </a:solidFill>
          <a:ln w="19050">
            <a:solidFill>
              <a:schemeClr val="lt1"/>
            </a:solidFill>
          </a:ln>
          <a:effectLst/>
        </c:spPr>
      </c:pivotFmt>
      <c:pivotFmt>
        <c:idx val="709"/>
        <c:spPr>
          <a:solidFill>
            <a:schemeClr val="accent1"/>
          </a:solidFill>
          <a:ln w="19050">
            <a:solidFill>
              <a:schemeClr val="lt1"/>
            </a:solidFill>
          </a:ln>
          <a:effectLst/>
        </c:spPr>
      </c:pivotFmt>
      <c:pivotFmt>
        <c:idx val="710"/>
        <c:spPr>
          <a:solidFill>
            <a:schemeClr val="accent1"/>
          </a:solidFill>
          <a:ln w="19050">
            <a:solidFill>
              <a:schemeClr val="lt1"/>
            </a:solidFill>
          </a:ln>
          <a:effectLst/>
        </c:spPr>
      </c:pivotFmt>
      <c:pivotFmt>
        <c:idx val="711"/>
        <c:spPr>
          <a:solidFill>
            <a:schemeClr val="accent1"/>
          </a:solidFill>
          <a:ln w="19050">
            <a:solidFill>
              <a:schemeClr val="lt1"/>
            </a:solidFill>
          </a:ln>
          <a:effectLst/>
        </c:spPr>
      </c:pivotFmt>
      <c:pivotFmt>
        <c:idx val="712"/>
        <c:spPr>
          <a:solidFill>
            <a:schemeClr val="accent1"/>
          </a:solidFill>
          <a:ln w="19050">
            <a:solidFill>
              <a:schemeClr val="lt1"/>
            </a:solidFill>
          </a:ln>
          <a:effectLst/>
        </c:spPr>
      </c:pivotFmt>
      <c:pivotFmt>
        <c:idx val="713"/>
        <c:spPr>
          <a:solidFill>
            <a:schemeClr val="accent1"/>
          </a:solidFill>
          <a:ln w="19050">
            <a:solidFill>
              <a:schemeClr val="lt1"/>
            </a:solidFill>
          </a:ln>
          <a:effectLst/>
        </c:spPr>
      </c:pivotFmt>
      <c:pivotFmt>
        <c:idx val="714"/>
        <c:spPr>
          <a:solidFill>
            <a:schemeClr val="accent1"/>
          </a:solidFill>
          <a:ln w="19050">
            <a:solidFill>
              <a:schemeClr val="lt1"/>
            </a:solidFill>
          </a:ln>
          <a:effectLst/>
        </c:spPr>
      </c:pivotFmt>
      <c:pivotFmt>
        <c:idx val="715"/>
        <c:spPr>
          <a:solidFill>
            <a:schemeClr val="accent1"/>
          </a:solidFill>
          <a:ln w="19050">
            <a:solidFill>
              <a:schemeClr val="lt1"/>
            </a:solidFill>
          </a:ln>
          <a:effectLst/>
        </c:spPr>
      </c:pivotFmt>
      <c:pivotFmt>
        <c:idx val="716"/>
        <c:spPr>
          <a:solidFill>
            <a:schemeClr val="accent1"/>
          </a:solidFill>
          <a:ln w="19050">
            <a:solidFill>
              <a:schemeClr val="lt1"/>
            </a:solidFill>
          </a:ln>
          <a:effectLst/>
        </c:spPr>
      </c:pivotFmt>
      <c:pivotFmt>
        <c:idx val="717"/>
        <c:spPr>
          <a:solidFill>
            <a:schemeClr val="accent1"/>
          </a:solidFill>
          <a:ln w="19050">
            <a:solidFill>
              <a:schemeClr val="lt1"/>
            </a:solidFill>
          </a:ln>
          <a:effectLst/>
        </c:spPr>
      </c:pivotFmt>
      <c:pivotFmt>
        <c:idx val="718"/>
        <c:spPr>
          <a:solidFill>
            <a:schemeClr val="accent1"/>
          </a:solidFill>
          <a:ln w="19050">
            <a:solidFill>
              <a:schemeClr val="lt1"/>
            </a:solidFill>
          </a:ln>
          <a:effectLst/>
        </c:spPr>
      </c:pivotFmt>
      <c:pivotFmt>
        <c:idx val="719"/>
        <c:spPr>
          <a:solidFill>
            <a:schemeClr val="accent1"/>
          </a:solidFill>
          <a:ln w="19050">
            <a:solidFill>
              <a:schemeClr val="lt1"/>
            </a:solidFill>
          </a:ln>
          <a:effectLst/>
        </c:spPr>
      </c:pivotFmt>
      <c:pivotFmt>
        <c:idx val="720"/>
        <c:spPr>
          <a:solidFill>
            <a:schemeClr val="accent1"/>
          </a:solidFill>
          <a:ln w="19050">
            <a:solidFill>
              <a:schemeClr val="lt1"/>
            </a:solidFill>
          </a:ln>
          <a:effectLst/>
        </c:spPr>
      </c:pivotFmt>
      <c:pivotFmt>
        <c:idx val="721"/>
        <c:spPr>
          <a:solidFill>
            <a:schemeClr val="accent1"/>
          </a:solidFill>
          <a:ln w="19050">
            <a:solidFill>
              <a:schemeClr val="lt1"/>
            </a:solidFill>
          </a:ln>
          <a:effectLst/>
        </c:spPr>
      </c:pivotFmt>
      <c:pivotFmt>
        <c:idx val="722"/>
        <c:spPr>
          <a:solidFill>
            <a:schemeClr val="accent1"/>
          </a:solidFill>
          <a:ln w="19050">
            <a:solidFill>
              <a:schemeClr val="lt1"/>
            </a:solidFill>
          </a:ln>
          <a:effectLst/>
        </c:spPr>
      </c:pivotFmt>
      <c:pivotFmt>
        <c:idx val="723"/>
        <c:spPr>
          <a:solidFill>
            <a:schemeClr val="accent1"/>
          </a:solidFill>
          <a:ln w="19050">
            <a:solidFill>
              <a:schemeClr val="lt1"/>
            </a:solidFill>
          </a:ln>
          <a:effectLst/>
        </c:spPr>
      </c:pivotFmt>
      <c:pivotFmt>
        <c:idx val="724"/>
        <c:spPr>
          <a:solidFill>
            <a:schemeClr val="accent1"/>
          </a:solidFill>
          <a:ln w="19050">
            <a:solidFill>
              <a:schemeClr val="lt1"/>
            </a:solidFill>
          </a:ln>
          <a:effectLst/>
        </c:spPr>
      </c:pivotFmt>
      <c:pivotFmt>
        <c:idx val="725"/>
        <c:spPr>
          <a:solidFill>
            <a:schemeClr val="accent1"/>
          </a:solidFill>
          <a:ln w="19050">
            <a:solidFill>
              <a:schemeClr val="lt1"/>
            </a:solidFill>
          </a:ln>
          <a:effectLst/>
        </c:spPr>
      </c:pivotFmt>
      <c:pivotFmt>
        <c:idx val="726"/>
        <c:spPr>
          <a:solidFill>
            <a:schemeClr val="accent1"/>
          </a:solidFill>
          <a:ln w="19050">
            <a:solidFill>
              <a:schemeClr val="lt1"/>
            </a:solidFill>
          </a:ln>
          <a:effectLst/>
        </c:spPr>
      </c:pivotFmt>
      <c:pivotFmt>
        <c:idx val="727"/>
        <c:spPr>
          <a:solidFill>
            <a:schemeClr val="accent1"/>
          </a:solidFill>
          <a:ln w="19050">
            <a:solidFill>
              <a:schemeClr val="lt1"/>
            </a:solidFill>
          </a:ln>
          <a:effectLst/>
        </c:spPr>
      </c:pivotFmt>
      <c:pivotFmt>
        <c:idx val="728"/>
        <c:spPr>
          <a:solidFill>
            <a:schemeClr val="accent1"/>
          </a:solidFill>
          <a:ln w="19050">
            <a:solidFill>
              <a:schemeClr val="lt1"/>
            </a:solidFill>
          </a:ln>
          <a:effectLst/>
        </c:spPr>
      </c:pivotFmt>
      <c:pivotFmt>
        <c:idx val="729"/>
        <c:spPr>
          <a:solidFill>
            <a:schemeClr val="accent1"/>
          </a:solidFill>
          <a:ln w="19050">
            <a:solidFill>
              <a:schemeClr val="lt1"/>
            </a:solidFill>
          </a:ln>
          <a:effectLst/>
        </c:spPr>
      </c:pivotFmt>
      <c:pivotFmt>
        <c:idx val="730"/>
        <c:spPr>
          <a:solidFill>
            <a:schemeClr val="accent1"/>
          </a:solidFill>
          <a:ln w="19050">
            <a:solidFill>
              <a:schemeClr val="lt1"/>
            </a:solidFill>
          </a:ln>
          <a:effectLst/>
        </c:spPr>
      </c:pivotFmt>
      <c:pivotFmt>
        <c:idx val="731"/>
        <c:spPr>
          <a:solidFill>
            <a:schemeClr val="accent1"/>
          </a:solidFill>
          <a:ln w="19050">
            <a:solidFill>
              <a:schemeClr val="lt1"/>
            </a:solidFill>
          </a:ln>
          <a:effectLst/>
        </c:spPr>
      </c:pivotFmt>
      <c:pivotFmt>
        <c:idx val="732"/>
        <c:spPr>
          <a:solidFill>
            <a:schemeClr val="accent1"/>
          </a:solidFill>
          <a:ln w="19050">
            <a:solidFill>
              <a:schemeClr val="lt1"/>
            </a:solidFill>
          </a:ln>
          <a:effectLst/>
        </c:spPr>
      </c:pivotFmt>
      <c:pivotFmt>
        <c:idx val="733"/>
        <c:spPr>
          <a:solidFill>
            <a:schemeClr val="accent1"/>
          </a:solidFill>
          <a:ln w="19050">
            <a:solidFill>
              <a:schemeClr val="lt1"/>
            </a:solidFill>
          </a:ln>
          <a:effectLst/>
        </c:spPr>
      </c:pivotFmt>
      <c:pivotFmt>
        <c:idx val="734"/>
        <c:spPr>
          <a:solidFill>
            <a:schemeClr val="accent1"/>
          </a:solidFill>
          <a:ln w="19050">
            <a:solidFill>
              <a:schemeClr val="lt1"/>
            </a:solidFill>
          </a:ln>
          <a:effectLst/>
        </c:spPr>
      </c:pivotFmt>
      <c:pivotFmt>
        <c:idx val="735"/>
        <c:spPr>
          <a:solidFill>
            <a:schemeClr val="accent1"/>
          </a:solidFill>
          <a:ln w="19050">
            <a:solidFill>
              <a:schemeClr val="lt1"/>
            </a:solidFill>
          </a:ln>
          <a:effectLst/>
        </c:spPr>
      </c:pivotFmt>
      <c:pivotFmt>
        <c:idx val="736"/>
        <c:spPr>
          <a:solidFill>
            <a:schemeClr val="accent1"/>
          </a:solidFill>
          <a:ln w="19050">
            <a:solidFill>
              <a:schemeClr val="lt1"/>
            </a:solidFill>
          </a:ln>
          <a:effectLst/>
        </c:spPr>
      </c:pivotFmt>
      <c:pivotFmt>
        <c:idx val="737"/>
        <c:spPr>
          <a:solidFill>
            <a:schemeClr val="accent1"/>
          </a:solidFill>
          <a:ln w="19050">
            <a:solidFill>
              <a:schemeClr val="lt1"/>
            </a:solidFill>
          </a:ln>
          <a:effectLst/>
        </c:spPr>
      </c:pivotFmt>
      <c:pivotFmt>
        <c:idx val="738"/>
        <c:spPr>
          <a:solidFill>
            <a:schemeClr val="accent1"/>
          </a:solidFill>
          <a:ln w="19050">
            <a:solidFill>
              <a:schemeClr val="lt1"/>
            </a:solidFill>
          </a:ln>
          <a:effectLst/>
        </c:spPr>
      </c:pivotFmt>
      <c:pivotFmt>
        <c:idx val="739"/>
        <c:spPr>
          <a:solidFill>
            <a:schemeClr val="accent1"/>
          </a:solidFill>
          <a:ln w="19050">
            <a:solidFill>
              <a:schemeClr val="lt1"/>
            </a:solidFill>
          </a:ln>
          <a:effectLst/>
        </c:spPr>
      </c:pivotFmt>
      <c:pivotFmt>
        <c:idx val="740"/>
        <c:spPr>
          <a:solidFill>
            <a:schemeClr val="accent1"/>
          </a:solidFill>
          <a:ln w="19050">
            <a:solidFill>
              <a:schemeClr val="lt1"/>
            </a:solidFill>
          </a:ln>
          <a:effectLst/>
        </c:spPr>
      </c:pivotFmt>
      <c:pivotFmt>
        <c:idx val="741"/>
        <c:spPr>
          <a:solidFill>
            <a:schemeClr val="accent1"/>
          </a:solidFill>
          <a:ln w="19050">
            <a:solidFill>
              <a:schemeClr val="lt1"/>
            </a:solidFill>
          </a:ln>
          <a:effectLst/>
        </c:spPr>
      </c:pivotFmt>
      <c:pivotFmt>
        <c:idx val="742"/>
        <c:spPr>
          <a:solidFill>
            <a:schemeClr val="accent1"/>
          </a:solidFill>
          <a:ln w="19050">
            <a:solidFill>
              <a:schemeClr val="lt1"/>
            </a:solidFill>
          </a:ln>
          <a:effectLst/>
        </c:spPr>
      </c:pivotFmt>
      <c:pivotFmt>
        <c:idx val="743"/>
        <c:spPr>
          <a:solidFill>
            <a:schemeClr val="accent1"/>
          </a:solidFill>
          <a:ln w="19050">
            <a:solidFill>
              <a:schemeClr val="lt1"/>
            </a:solidFill>
          </a:ln>
          <a:effectLst/>
        </c:spPr>
      </c:pivotFmt>
      <c:pivotFmt>
        <c:idx val="744"/>
        <c:spPr>
          <a:solidFill>
            <a:schemeClr val="accent1"/>
          </a:solidFill>
          <a:ln w="19050">
            <a:solidFill>
              <a:schemeClr val="lt1"/>
            </a:solidFill>
          </a:ln>
          <a:effectLst/>
        </c:spPr>
      </c:pivotFmt>
      <c:pivotFmt>
        <c:idx val="745"/>
        <c:spPr>
          <a:solidFill>
            <a:schemeClr val="accent1"/>
          </a:solidFill>
          <a:ln w="19050">
            <a:solidFill>
              <a:schemeClr val="lt1"/>
            </a:solidFill>
          </a:ln>
          <a:effectLst/>
        </c:spPr>
      </c:pivotFmt>
      <c:pivotFmt>
        <c:idx val="746"/>
        <c:spPr>
          <a:solidFill>
            <a:schemeClr val="accent1"/>
          </a:solidFill>
          <a:ln w="19050">
            <a:solidFill>
              <a:schemeClr val="lt1"/>
            </a:solidFill>
          </a:ln>
          <a:effectLst/>
        </c:spPr>
      </c:pivotFmt>
      <c:pivotFmt>
        <c:idx val="747"/>
        <c:spPr>
          <a:solidFill>
            <a:schemeClr val="accent1"/>
          </a:solidFill>
          <a:ln w="19050">
            <a:solidFill>
              <a:schemeClr val="lt1"/>
            </a:solidFill>
          </a:ln>
          <a:effectLst/>
        </c:spPr>
      </c:pivotFmt>
      <c:pivotFmt>
        <c:idx val="748"/>
        <c:spPr>
          <a:solidFill>
            <a:schemeClr val="accent1"/>
          </a:solidFill>
          <a:ln w="19050">
            <a:solidFill>
              <a:schemeClr val="lt1"/>
            </a:solidFill>
          </a:ln>
          <a:effectLst/>
        </c:spPr>
      </c:pivotFmt>
      <c:pivotFmt>
        <c:idx val="749"/>
        <c:spPr>
          <a:solidFill>
            <a:schemeClr val="accent1"/>
          </a:solidFill>
          <a:ln w="19050">
            <a:solidFill>
              <a:schemeClr val="lt1"/>
            </a:solidFill>
          </a:ln>
          <a:effectLst/>
        </c:spPr>
      </c:pivotFmt>
      <c:pivotFmt>
        <c:idx val="750"/>
        <c:spPr>
          <a:solidFill>
            <a:schemeClr val="accent1"/>
          </a:solidFill>
          <a:ln w="19050">
            <a:solidFill>
              <a:schemeClr val="lt1"/>
            </a:solidFill>
          </a:ln>
          <a:effectLst/>
        </c:spPr>
      </c:pivotFmt>
      <c:pivotFmt>
        <c:idx val="751"/>
        <c:spPr>
          <a:solidFill>
            <a:schemeClr val="accent1"/>
          </a:solidFill>
          <a:ln w="19050">
            <a:solidFill>
              <a:schemeClr val="lt1"/>
            </a:solidFill>
          </a:ln>
          <a:effectLst/>
        </c:spPr>
      </c:pivotFmt>
      <c:pivotFmt>
        <c:idx val="752"/>
        <c:spPr>
          <a:solidFill>
            <a:schemeClr val="accent1"/>
          </a:solidFill>
          <a:ln w="19050">
            <a:solidFill>
              <a:schemeClr val="lt1"/>
            </a:solidFill>
          </a:ln>
          <a:effectLst/>
        </c:spPr>
      </c:pivotFmt>
      <c:pivotFmt>
        <c:idx val="753"/>
        <c:spPr>
          <a:solidFill>
            <a:schemeClr val="accent1"/>
          </a:solidFill>
          <a:ln w="19050">
            <a:solidFill>
              <a:schemeClr val="lt1"/>
            </a:solidFill>
          </a:ln>
          <a:effectLst/>
        </c:spPr>
      </c:pivotFmt>
      <c:pivotFmt>
        <c:idx val="754"/>
        <c:spPr>
          <a:solidFill>
            <a:schemeClr val="accent1"/>
          </a:solidFill>
          <a:ln w="19050">
            <a:solidFill>
              <a:schemeClr val="lt1"/>
            </a:solidFill>
          </a:ln>
          <a:effectLst/>
        </c:spPr>
      </c:pivotFmt>
      <c:pivotFmt>
        <c:idx val="755"/>
        <c:spPr>
          <a:solidFill>
            <a:schemeClr val="accent1"/>
          </a:solidFill>
          <a:ln w="19050">
            <a:solidFill>
              <a:schemeClr val="lt1"/>
            </a:solidFill>
          </a:ln>
          <a:effectLst/>
        </c:spPr>
      </c:pivotFmt>
      <c:pivotFmt>
        <c:idx val="756"/>
        <c:spPr>
          <a:solidFill>
            <a:schemeClr val="accent1"/>
          </a:solidFill>
          <a:ln w="19050">
            <a:solidFill>
              <a:schemeClr val="lt1"/>
            </a:solidFill>
          </a:ln>
          <a:effectLst/>
        </c:spPr>
      </c:pivotFmt>
      <c:pivotFmt>
        <c:idx val="757"/>
        <c:spPr>
          <a:solidFill>
            <a:schemeClr val="accent1"/>
          </a:solidFill>
          <a:ln w="19050">
            <a:solidFill>
              <a:schemeClr val="lt1"/>
            </a:solidFill>
          </a:ln>
          <a:effectLst/>
        </c:spPr>
      </c:pivotFmt>
      <c:pivotFmt>
        <c:idx val="758"/>
        <c:spPr>
          <a:solidFill>
            <a:schemeClr val="accent1"/>
          </a:solidFill>
          <a:ln w="19050">
            <a:solidFill>
              <a:schemeClr val="lt1"/>
            </a:solidFill>
          </a:ln>
          <a:effectLst/>
        </c:spPr>
      </c:pivotFmt>
      <c:pivotFmt>
        <c:idx val="759"/>
        <c:spPr>
          <a:solidFill>
            <a:schemeClr val="accent1"/>
          </a:solidFill>
          <a:ln w="19050">
            <a:solidFill>
              <a:schemeClr val="lt1"/>
            </a:solidFill>
          </a:ln>
          <a:effectLst/>
        </c:spPr>
      </c:pivotFmt>
      <c:pivotFmt>
        <c:idx val="760"/>
        <c:spPr>
          <a:solidFill>
            <a:schemeClr val="accent1"/>
          </a:solidFill>
          <a:ln w="19050">
            <a:solidFill>
              <a:schemeClr val="lt1"/>
            </a:solidFill>
          </a:ln>
          <a:effectLst/>
        </c:spPr>
      </c:pivotFmt>
      <c:pivotFmt>
        <c:idx val="761"/>
        <c:spPr>
          <a:solidFill>
            <a:schemeClr val="accent1"/>
          </a:solidFill>
          <a:ln w="19050">
            <a:solidFill>
              <a:schemeClr val="lt1"/>
            </a:solidFill>
          </a:ln>
          <a:effectLst/>
        </c:spPr>
      </c:pivotFmt>
      <c:pivotFmt>
        <c:idx val="762"/>
        <c:spPr>
          <a:solidFill>
            <a:schemeClr val="accent1"/>
          </a:solidFill>
          <a:ln w="19050">
            <a:solidFill>
              <a:schemeClr val="lt1"/>
            </a:solidFill>
          </a:ln>
          <a:effectLst/>
        </c:spPr>
      </c:pivotFmt>
      <c:pivotFmt>
        <c:idx val="763"/>
        <c:spPr>
          <a:solidFill>
            <a:schemeClr val="accent1"/>
          </a:solidFill>
          <a:ln w="19050">
            <a:solidFill>
              <a:schemeClr val="lt1"/>
            </a:solidFill>
          </a:ln>
          <a:effectLst/>
        </c:spPr>
      </c:pivotFmt>
      <c:pivotFmt>
        <c:idx val="764"/>
        <c:spPr>
          <a:solidFill>
            <a:schemeClr val="accent1"/>
          </a:solidFill>
          <a:ln w="19050">
            <a:solidFill>
              <a:schemeClr val="lt1"/>
            </a:solidFill>
          </a:ln>
          <a:effectLst/>
        </c:spPr>
      </c:pivotFmt>
      <c:pivotFmt>
        <c:idx val="765"/>
        <c:spPr>
          <a:solidFill>
            <a:schemeClr val="accent1"/>
          </a:solidFill>
          <a:ln w="19050">
            <a:solidFill>
              <a:schemeClr val="lt1"/>
            </a:solidFill>
          </a:ln>
          <a:effectLst/>
        </c:spPr>
      </c:pivotFmt>
      <c:pivotFmt>
        <c:idx val="766"/>
        <c:spPr>
          <a:solidFill>
            <a:schemeClr val="accent1"/>
          </a:solidFill>
          <a:ln w="19050">
            <a:solidFill>
              <a:schemeClr val="lt1"/>
            </a:solidFill>
          </a:ln>
          <a:effectLst/>
        </c:spPr>
      </c:pivotFmt>
      <c:pivotFmt>
        <c:idx val="767"/>
        <c:spPr>
          <a:solidFill>
            <a:schemeClr val="accent1"/>
          </a:solidFill>
          <a:ln w="19050">
            <a:solidFill>
              <a:schemeClr val="lt1"/>
            </a:solidFill>
          </a:ln>
          <a:effectLst/>
        </c:spPr>
      </c:pivotFmt>
      <c:pivotFmt>
        <c:idx val="768"/>
        <c:spPr>
          <a:solidFill>
            <a:schemeClr val="accent1"/>
          </a:solidFill>
          <a:ln w="19050">
            <a:solidFill>
              <a:schemeClr val="lt1"/>
            </a:solidFill>
          </a:ln>
          <a:effectLst/>
        </c:spPr>
      </c:pivotFmt>
      <c:pivotFmt>
        <c:idx val="769"/>
        <c:spPr>
          <a:solidFill>
            <a:schemeClr val="accent1"/>
          </a:solidFill>
          <a:ln w="19050">
            <a:solidFill>
              <a:schemeClr val="lt1"/>
            </a:solidFill>
          </a:ln>
          <a:effectLst/>
        </c:spPr>
      </c:pivotFmt>
      <c:pivotFmt>
        <c:idx val="770"/>
        <c:spPr>
          <a:solidFill>
            <a:schemeClr val="accent1"/>
          </a:solidFill>
          <a:ln w="19050">
            <a:solidFill>
              <a:schemeClr val="lt1"/>
            </a:solidFill>
          </a:ln>
          <a:effectLst/>
        </c:spPr>
      </c:pivotFmt>
      <c:pivotFmt>
        <c:idx val="771"/>
        <c:spPr>
          <a:solidFill>
            <a:schemeClr val="accent1"/>
          </a:solidFill>
          <a:ln w="19050">
            <a:solidFill>
              <a:schemeClr val="lt1"/>
            </a:solidFill>
          </a:ln>
          <a:effectLst/>
        </c:spPr>
      </c:pivotFmt>
      <c:pivotFmt>
        <c:idx val="772"/>
        <c:spPr>
          <a:solidFill>
            <a:schemeClr val="accent1"/>
          </a:solidFill>
          <a:ln w="19050">
            <a:solidFill>
              <a:schemeClr val="lt1"/>
            </a:solidFill>
          </a:ln>
          <a:effectLst/>
        </c:spPr>
      </c:pivotFmt>
      <c:pivotFmt>
        <c:idx val="773"/>
        <c:spPr>
          <a:solidFill>
            <a:schemeClr val="accent1"/>
          </a:solidFill>
          <a:ln w="19050">
            <a:solidFill>
              <a:schemeClr val="lt1"/>
            </a:solidFill>
          </a:ln>
          <a:effectLst/>
        </c:spPr>
      </c:pivotFmt>
      <c:pivotFmt>
        <c:idx val="774"/>
        <c:spPr>
          <a:solidFill>
            <a:schemeClr val="accent1"/>
          </a:solidFill>
          <a:ln w="19050">
            <a:solidFill>
              <a:schemeClr val="lt1"/>
            </a:solidFill>
          </a:ln>
          <a:effectLst/>
        </c:spPr>
      </c:pivotFmt>
      <c:pivotFmt>
        <c:idx val="775"/>
        <c:spPr>
          <a:solidFill>
            <a:schemeClr val="accent1"/>
          </a:solidFill>
          <a:ln w="19050">
            <a:solidFill>
              <a:schemeClr val="lt1"/>
            </a:solidFill>
          </a:ln>
          <a:effectLst/>
        </c:spPr>
      </c:pivotFmt>
      <c:pivotFmt>
        <c:idx val="776"/>
        <c:spPr>
          <a:solidFill>
            <a:schemeClr val="accent1"/>
          </a:solidFill>
          <a:ln w="19050">
            <a:solidFill>
              <a:schemeClr val="lt1"/>
            </a:solidFill>
          </a:ln>
          <a:effectLst/>
        </c:spPr>
      </c:pivotFmt>
      <c:pivotFmt>
        <c:idx val="777"/>
        <c:spPr>
          <a:solidFill>
            <a:schemeClr val="accent1"/>
          </a:solidFill>
          <a:ln w="19050">
            <a:solidFill>
              <a:schemeClr val="lt1"/>
            </a:solidFill>
          </a:ln>
          <a:effectLst/>
        </c:spPr>
      </c:pivotFmt>
      <c:pivotFmt>
        <c:idx val="778"/>
        <c:spPr>
          <a:solidFill>
            <a:schemeClr val="accent1"/>
          </a:solidFill>
          <a:ln w="19050">
            <a:solidFill>
              <a:schemeClr val="lt1"/>
            </a:solidFill>
          </a:ln>
          <a:effectLst/>
        </c:spPr>
      </c:pivotFmt>
      <c:pivotFmt>
        <c:idx val="779"/>
        <c:spPr>
          <a:solidFill>
            <a:schemeClr val="accent1"/>
          </a:solidFill>
          <a:ln w="19050">
            <a:solidFill>
              <a:schemeClr val="lt1"/>
            </a:solidFill>
          </a:ln>
          <a:effectLst/>
        </c:spPr>
      </c:pivotFmt>
      <c:pivotFmt>
        <c:idx val="780"/>
        <c:spPr>
          <a:solidFill>
            <a:schemeClr val="accent1"/>
          </a:solidFill>
          <a:ln w="19050">
            <a:solidFill>
              <a:schemeClr val="lt1"/>
            </a:solidFill>
          </a:ln>
          <a:effectLst/>
        </c:spPr>
      </c:pivotFmt>
      <c:pivotFmt>
        <c:idx val="781"/>
        <c:spPr>
          <a:solidFill>
            <a:schemeClr val="accent1"/>
          </a:solidFill>
          <a:ln w="19050">
            <a:solidFill>
              <a:schemeClr val="lt1"/>
            </a:solidFill>
          </a:ln>
          <a:effectLst/>
        </c:spPr>
      </c:pivotFmt>
      <c:pivotFmt>
        <c:idx val="782"/>
        <c:spPr>
          <a:solidFill>
            <a:schemeClr val="accent1"/>
          </a:solidFill>
          <a:ln w="19050">
            <a:solidFill>
              <a:schemeClr val="lt1"/>
            </a:solidFill>
          </a:ln>
          <a:effectLst/>
        </c:spPr>
      </c:pivotFmt>
      <c:pivotFmt>
        <c:idx val="783"/>
        <c:spPr>
          <a:solidFill>
            <a:schemeClr val="accent1"/>
          </a:solidFill>
          <a:ln w="19050">
            <a:solidFill>
              <a:schemeClr val="lt1"/>
            </a:solidFill>
          </a:ln>
          <a:effectLst/>
        </c:spPr>
      </c:pivotFmt>
      <c:pivotFmt>
        <c:idx val="784"/>
        <c:spPr>
          <a:solidFill>
            <a:schemeClr val="accent1"/>
          </a:solidFill>
          <a:ln w="19050">
            <a:solidFill>
              <a:schemeClr val="lt1"/>
            </a:solidFill>
          </a:ln>
          <a:effectLst/>
        </c:spPr>
      </c:pivotFmt>
      <c:pivotFmt>
        <c:idx val="785"/>
        <c:spPr>
          <a:solidFill>
            <a:schemeClr val="accent1"/>
          </a:solidFill>
          <a:ln w="19050">
            <a:solidFill>
              <a:schemeClr val="lt1"/>
            </a:solidFill>
          </a:ln>
          <a:effectLst/>
        </c:spPr>
      </c:pivotFmt>
      <c:pivotFmt>
        <c:idx val="786"/>
        <c:spPr>
          <a:solidFill>
            <a:schemeClr val="accent1"/>
          </a:solidFill>
          <a:ln w="19050">
            <a:solidFill>
              <a:schemeClr val="lt1"/>
            </a:solidFill>
          </a:ln>
          <a:effectLst/>
        </c:spPr>
      </c:pivotFmt>
      <c:pivotFmt>
        <c:idx val="787"/>
        <c:spPr>
          <a:solidFill>
            <a:schemeClr val="accent1"/>
          </a:solidFill>
          <a:ln w="19050">
            <a:solidFill>
              <a:schemeClr val="lt1"/>
            </a:solidFill>
          </a:ln>
          <a:effectLst/>
        </c:spPr>
      </c:pivotFmt>
      <c:pivotFmt>
        <c:idx val="788"/>
        <c:spPr>
          <a:solidFill>
            <a:schemeClr val="accent1"/>
          </a:solidFill>
          <a:ln w="19050">
            <a:solidFill>
              <a:schemeClr val="lt1"/>
            </a:solidFill>
          </a:ln>
          <a:effectLst/>
        </c:spPr>
      </c:pivotFmt>
      <c:pivotFmt>
        <c:idx val="789"/>
        <c:spPr>
          <a:solidFill>
            <a:schemeClr val="accent1"/>
          </a:solidFill>
          <a:ln w="19050">
            <a:solidFill>
              <a:schemeClr val="lt1"/>
            </a:solidFill>
          </a:ln>
          <a:effectLst/>
        </c:spPr>
      </c:pivotFmt>
      <c:pivotFmt>
        <c:idx val="790"/>
        <c:spPr>
          <a:solidFill>
            <a:schemeClr val="accent1"/>
          </a:solidFill>
          <a:ln w="19050">
            <a:solidFill>
              <a:schemeClr val="lt1"/>
            </a:solidFill>
          </a:ln>
          <a:effectLst/>
        </c:spPr>
      </c:pivotFmt>
      <c:pivotFmt>
        <c:idx val="791"/>
        <c:spPr>
          <a:solidFill>
            <a:schemeClr val="accent1"/>
          </a:solidFill>
          <a:ln w="19050">
            <a:solidFill>
              <a:schemeClr val="lt1"/>
            </a:solidFill>
          </a:ln>
          <a:effectLst/>
        </c:spPr>
      </c:pivotFmt>
      <c:pivotFmt>
        <c:idx val="792"/>
        <c:spPr>
          <a:solidFill>
            <a:schemeClr val="accent1"/>
          </a:solidFill>
          <a:ln w="19050">
            <a:solidFill>
              <a:schemeClr val="lt1"/>
            </a:solidFill>
          </a:ln>
          <a:effectLst/>
        </c:spPr>
      </c:pivotFmt>
      <c:pivotFmt>
        <c:idx val="793"/>
        <c:spPr>
          <a:solidFill>
            <a:schemeClr val="accent1"/>
          </a:solidFill>
          <a:ln w="19050">
            <a:solidFill>
              <a:schemeClr val="lt1"/>
            </a:solidFill>
          </a:ln>
          <a:effectLst/>
        </c:spPr>
      </c:pivotFmt>
      <c:pivotFmt>
        <c:idx val="794"/>
        <c:spPr>
          <a:solidFill>
            <a:schemeClr val="accent1"/>
          </a:solidFill>
          <a:ln w="19050">
            <a:solidFill>
              <a:schemeClr val="lt1"/>
            </a:solidFill>
          </a:ln>
          <a:effectLst/>
        </c:spPr>
      </c:pivotFmt>
      <c:pivotFmt>
        <c:idx val="795"/>
        <c:spPr>
          <a:solidFill>
            <a:schemeClr val="accent1"/>
          </a:solidFill>
          <a:ln w="19050">
            <a:solidFill>
              <a:schemeClr val="lt1"/>
            </a:solidFill>
          </a:ln>
          <a:effectLst/>
        </c:spPr>
      </c:pivotFmt>
      <c:pivotFmt>
        <c:idx val="796"/>
        <c:spPr>
          <a:solidFill>
            <a:schemeClr val="accent1"/>
          </a:solidFill>
          <a:ln w="19050">
            <a:solidFill>
              <a:schemeClr val="lt1"/>
            </a:solidFill>
          </a:ln>
          <a:effectLst/>
        </c:spPr>
      </c:pivotFmt>
      <c:pivotFmt>
        <c:idx val="797"/>
        <c:spPr>
          <a:solidFill>
            <a:schemeClr val="accent1"/>
          </a:solidFill>
          <a:ln w="19050">
            <a:solidFill>
              <a:schemeClr val="lt1"/>
            </a:solidFill>
          </a:ln>
          <a:effectLst/>
        </c:spPr>
      </c:pivotFmt>
      <c:pivotFmt>
        <c:idx val="798"/>
        <c:spPr>
          <a:solidFill>
            <a:schemeClr val="accent1"/>
          </a:solidFill>
          <a:ln w="19050">
            <a:solidFill>
              <a:schemeClr val="lt1"/>
            </a:solidFill>
          </a:ln>
          <a:effectLst/>
        </c:spPr>
      </c:pivotFmt>
      <c:pivotFmt>
        <c:idx val="799"/>
        <c:spPr>
          <a:solidFill>
            <a:schemeClr val="accent1"/>
          </a:solidFill>
          <a:ln w="19050">
            <a:solidFill>
              <a:schemeClr val="lt1"/>
            </a:solidFill>
          </a:ln>
          <a:effectLst/>
        </c:spPr>
      </c:pivotFmt>
      <c:pivotFmt>
        <c:idx val="800"/>
        <c:spPr>
          <a:solidFill>
            <a:schemeClr val="accent1"/>
          </a:solidFill>
          <a:ln w="19050">
            <a:solidFill>
              <a:schemeClr val="lt1"/>
            </a:solidFill>
          </a:ln>
          <a:effectLst/>
        </c:spPr>
      </c:pivotFmt>
      <c:pivotFmt>
        <c:idx val="801"/>
        <c:spPr>
          <a:solidFill>
            <a:schemeClr val="accent1"/>
          </a:solidFill>
          <a:ln w="19050">
            <a:solidFill>
              <a:schemeClr val="lt1"/>
            </a:solidFill>
          </a:ln>
          <a:effectLst/>
        </c:spPr>
      </c:pivotFmt>
      <c:pivotFmt>
        <c:idx val="802"/>
        <c:spPr>
          <a:solidFill>
            <a:schemeClr val="accent1"/>
          </a:solidFill>
          <a:ln w="19050">
            <a:solidFill>
              <a:schemeClr val="lt1"/>
            </a:solidFill>
          </a:ln>
          <a:effectLst/>
        </c:spPr>
      </c:pivotFmt>
      <c:pivotFmt>
        <c:idx val="803"/>
        <c:spPr>
          <a:solidFill>
            <a:schemeClr val="accent1"/>
          </a:solidFill>
          <a:ln w="19050">
            <a:solidFill>
              <a:schemeClr val="lt1"/>
            </a:solidFill>
          </a:ln>
          <a:effectLst/>
        </c:spPr>
      </c:pivotFmt>
      <c:pivotFmt>
        <c:idx val="804"/>
        <c:spPr>
          <a:solidFill>
            <a:schemeClr val="accent1"/>
          </a:solidFill>
          <a:ln w="19050">
            <a:solidFill>
              <a:schemeClr val="lt1"/>
            </a:solidFill>
          </a:ln>
          <a:effectLst/>
        </c:spPr>
      </c:pivotFmt>
      <c:pivotFmt>
        <c:idx val="805"/>
        <c:spPr>
          <a:solidFill>
            <a:schemeClr val="accent1"/>
          </a:solidFill>
          <a:ln w="19050">
            <a:solidFill>
              <a:schemeClr val="lt1"/>
            </a:solidFill>
          </a:ln>
          <a:effectLst/>
        </c:spPr>
      </c:pivotFmt>
      <c:pivotFmt>
        <c:idx val="806"/>
        <c:spPr>
          <a:solidFill>
            <a:schemeClr val="accent1"/>
          </a:solidFill>
          <a:ln w="19050">
            <a:solidFill>
              <a:schemeClr val="lt1"/>
            </a:solidFill>
          </a:ln>
          <a:effectLst/>
        </c:spPr>
      </c:pivotFmt>
      <c:pivotFmt>
        <c:idx val="807"/>
        <c:spPr>
          <a:solidFill>
            <a:schemeClr val="accent1"/>
          </a:solidFill>
          <a:ln w="19050">
            <a:solidFill>
              <a:schemeClr val="lt1"/>
            </a:solidFill>
          </a:ln>
          <a:effectLst/>
        </c:spPr>
      </c:pivotFmt>
      <c:pivotFmt>
        <c:idx val="808"/>
        <c:spPr>
          <a:solidFill>
            <a:schemeClr val="accent1"/>
          </a:solidFill>
          <a:ln w="19050">
            <a:solidFill>
              <a:schemeClr val="lt1"/>
            </a:solidFill>
          </a:ln>
          <a:effectLst/>
        </c:spPr>
      </c:pivotFmt>
      <c:pivotFmt>
        <c:idx val="809"/>
        <c:spPr>
          <a:solidFill>
            <a:schemeClr val="accent1"/>
          </a:solidFill>
          <a:ln w="19050">
            <a:solidFill>
              <a:schemeClr val="lt1"/>
            </a:solidFill>
          </a:ln>
          <a:effectLst/>
        </c:spPr>
      </c:pivotFmt>
      <c:pivotFmt>
        <c:idx val="810"/>
        <c:spPr>
          <a:solidFill>
            <a:schemeClr val="accent1"/>
          </a:solidFill>
          <a:ln w="19050">
            <a:solidFill>
              <a:schemeClr val="lt1"/>
            </a:solidFill>
          </a:ln>
          <a:effectLst/>
        </c:spPr>
      </c:pivotFmt>
      <c:pivotFmt>
        <c:idx val="811"/>
        <c:spPr>
          <a:solidFill>
            <a:schemeClr val="accent1"/>
          </a:solidFill>
          <a:ln w="19050">
            <a:solidFill>
              <a:schemeClr val="lt1"/>
            </a:solidFill>
          </a:ln>
          <a:effectLst/>
        </c:spPr>
      </c:pivotFmt>
      <c:pivotFmt>
        <c:idx val="812"/>
        <c:spPr>
          <a:solidFill>
            <a:schemeClr val="accent1"/>
          </a:solidFill>
          <a:ln w="19050">
            <a:solidFill>
              <a:schemeClr val="lt1"/>
            </a:solidFill>
          </a:ln>
          <a:effectLst/>
        </c:spPr>
      </c:pivotFmt>
      <c:pivotFmt>
        <c:idx val="813"/>
        <c:spPr>
          <a:solidFill>
            <a:schemeClr val="accent1"/>
          </a:solidFill>
          <a:ln w="19050">
            <a:solidFill>
              <a:schemeClr val="lt1"/>
            </a:solidFill>
          </a:ln>
          <a:effectLst/>
        </c:spPr>
      </c:pivotFmt>
      <c:pivotFmt>
        <c:idx val="814"/>
        <c:spPr>
          <a:solidFill>
            <a:schemeClr val="accent1"/>
          </a:solidFill>
          <a:ln w="19050">
            <a:solidFill>
              <a:schemeClr val="lt1"/>
            </a:solidFill>
          </a:ln>
          <a:effectLst/>
        </c:spPr>
      </c:pivotFmt>
      <c:pivotFmt>
        <c:idx val="815"/>
        <c:spPr>
          <a:solidFill>
            <a:schemeClr val="accent1"/>
          </a:solidFill>
          <a:ln w="19050">
            <a:solidFill>
              <a:schemeClr val="lt1"/>
            </a:solidFill>
          </a:ln>
          <a:effectLst/>
        </c:spPr>
      </c:pivotFmt>
      <c:pivotFmt>
        <c:idx val="816"/>
        <c:spPr>
          <a:solidFill>
            <a:schemeClr val="accent1"/>
          </a:solidFill>
          <a:ln w="19050">
            <a:solidFill>
              <a:schemeClr val="lt1"/>
            </a:solidFill>
          </a:ln>
          <a:effectLst/>
        </c:spPr>
      </c:pivotFmt>
      <c:pivotFmt>
        <c:idx val="817"/>
        <c:spPr>
          <a:solidFill>
            <a:schemeClr val="accent1"/>
          </a:solidFill>
          <a:ln w="19050">
            <a:solidFill>
              <a:schemeClr val="lt1"/>
            </a:solidFill>
          </a:ln>
          <a:effectLst/>
        </c:spPr>
      </c:pivotFmt>
      <c:pivotFmt>
        <c:idx val="818"/>
        <c:spPr>
          <a:solidFill>
            <a:schemeClr val="accent1"/>
          </a:solidFill>
          <a:ln w="19050">
            <a:solidFill>
              <a:schemeClr val="lt1"/>
            </a:solidFill>
          </a:ln>
          <a:effectLst/>
        </c:spPr>
      </c:pivotFmt>
      <c:pivotFmt>
        <c:idx val="819"/>
        <c:spPr>
          <a:solidFill>
            <a:schemeClr val="accent1"/>
          </a:solidFill>
          <a:ln w="19050">
            <a:solidFill>
              <a:schemeClr val="lt1"/>
            </a:solidFill>
          </a:ln>
          <a:effectLst/>
        </c:spPr>
      </c:pivotFmt>
      <c:pivotFmt>
        <c:idx val="820"/>
        <c:spPr>
          <a:solidFill>
            <a:schemeClr val="accent1"/>
          </a:solidFill>
          <a:ln w="19050">
            <a:solidFill>
              <a:schemeClr val="lt1"/>
            </a:solidFill>
          </a:ln>
          <a:effectLst/>
        </c:spPr>
      </c:pivotFmt>
      <c:pivotFmt>
        <c:idx val="821"/>
        <c:spPr>
          <a:solidFill>
            <a:schemeClr val="accent1"/>
          </a:solidFill>
          <a:ln w="19050">
            <a:solidFill>
              <a:schemeClr val="lt1"/>
            </a:solidFill>
          </a:ln>
          <a:effectLst/>
        </c:spPr>
      </c:pivotFmt>
      <c:pivotFmt>
        <c:idx val="822"/>
        <c:spPr>
          <a:solidFill>
            <a:schemeClr val="accent1"/>
          </a:solidFill>
          <a:ln w="19050">
            <a:solidFill>
              <a:schemeClr val="lt1"/>
            </a:solidFill>
          </a:ln>
          <a:effectLst/>
        </c:spPr>
      </c:pivotFmt>
      <c:pivotFmt>
        <c:idx val="82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24"/>
        <c:spPr>
          <a:solidFill>
            <a:schemeClr val="accent1"/>
          </a:solidFill>
          <a:ln w="19050">
            <a:solidFill>
              <a:schemeClr val="lt1"/>
            </a:solidFill>
          </a:ln>
          <a:effectLst/>
        </c:spPr>
      </c:pivotFmt>
      <c:pivotFmt>
        <c:idx val="825"/>
        <c:spPr>
          <a:solidFill>
            <a:schemeClr val="accent1"/>
          </a:solidFill>
          <a:ln w="19050">
            <a:solidFill>
              <a:schemeClr val="lt1"/>
            </a:solidFill>
          </a:ln>
          <a:effectLst/>
        </c:spPr>
      </c:pivotFmt>
      <c:pivotFmt>
        <c:idx val="826"/>
        <c:spPr>
          <a:solidFill>
            <a:schemeClr val="accent1"/>
          </a:solidFill>
          <a:ln w="19050">
            <a:solidFill>
              <a:schemeClr val="lt1"/>
            </a:solidFill>
          </a:ln>
          <a:effectLst/>
        </c:spPr>
      </c:pivotFmt>
      <c:pivotFmt>
        <c:idx val="827"/>
        <c:spPr>
          <a:solidFill>
            <a:schemeClr val="accent1"/>
          </a:solidFill>
          <a:ln w="19050">
            <a:solidFill>
              <a:schemeClr val="lt1"/>
            </a:solidFill>
          </a:ln>
          <a:effectLst/>
        </c:spPr>
      </c:pivotFmt>
      <c:pivotFmt>
        <c:idx val="828"/>
        <c:spPr>
          <a:solidFill>
            <a:schemeClr val="accent1"/>
          </a:solidFill>
          <a:ln w="19050">
            <a:solidFill>
              <a:schemeClr val="lt1"/>
            </a:solidFill>
          </a:ln>
          <a:effectLst/>
        </c:spPr>
      </c:pivotFmt>
      <c:pivotFmt>
        <c:idx val="829"/>
        <c:spPr>
          <a:solidFill>
            <a:schemeClr val="accent1"/>
          </a:solidFill>
          <a:ln w="19050">
            <a:solidFill>
              <a:schemeClr val="lt1"/>
            </a:solidFill>
          </a:ln>
          <a:effectLst/>
        </c:spPr>
      </c:pivotFmt>
      <c:pivotFmt>
        <c:idx val="830"/>
        <c:spPr>
          <a:solidFill>
            <a:schemeClr val="accent1"/>
          </a:solidFill>
          <a:ln w="19050">
            <a:solidFill>
              <a:schemeClr val="lt1"/>
            </a:solidFill>
          </a:ln>
          <a:effectLst/>
        </c:spPr>
      </c:pivotFmt>
      <c:pivotFmt>
        <c:idx val="831"/>
        <c:spPr>
          <a:solidFill>
            <a:schemeClr val="accent1"/>
          </a:solidFill>
          <a:ln w="19050">
            <a:solidFill>
              <a:schemeClr val="lt1"/>
            </a:solidFill>
          </a:ln>
          <a:effectLst/>
        </c:spPr>
      </c:pivotFmt>
      <c:pivotFmt>
        <c:idx val="832"/>
        <c:spPr>
          <a:solidFill>
            <a:schemeClr val="accent1"/>
          </a:solidFill>
          <a:ln w="19050">
            <a:solidFill>
              <a:schemeClr val="lt1"/>
            </a:solidFill>
          </a:ln>
          <a:effectLst/>
        </c:spPr>
      </c:pivotFmt>
      <c:pivotFmt>
        <c:idx val="833"/>
        <c:spPr>
          <a:solidFill>
            <a:schemeClr val="accent1"/>
          </a:solidFill>
          <a:ln w="19050">
            <a:solidFill>
              <a:schemeClr val="lt1"/>
            </a:solidFill>
          </a:ln>
          <a:effectLst/>
        </c:spPr>
      </c:pivotFmt>
      <c:pivotFmt>
        <c:idx val="834"/>
        <c:spPr>
          <a:solidFill>
            <a:schemeClr val="accent1"/>
          </a:solidFill>
          <a:ln w="19050">
            <a:solidFill>
              <a:schemeClr val="lt1"/>
            </a:solidFill>
          </a:ln>
          <a:effectLst/>
        </c:spPr>
      </c:pivotFmt>
      <c:pivotFmt>
        <c:idx val="835"/>
        <c:spPr>
          <a:solidFill>
            <a:schemeClr val="accent1"/>
          </a:solidFill>
          <a:ln w="19050">
            <a:solidFill>
              <a:schemeClr val="lt1"/>
            </a:solidFill>
          </a:ln>
          <a:effectLst/>
        </c:spPr>
      </c:pivotFmt>
      <c:pivotFmt>
        <c:idx val="836"/>
        <c:spPr>
          <a:solidFill>
            <a:schemeClr val="accent1"/>
          </a:solidFill>
          <a:ln w="19050">
            <a:solidFill>
              <a:schemeClr val="lt1"/>
            </a:solidFill>
          </a:ln>
          <a:effectLst/>
        </c:spPr>
      </c:pivotFmt>
      <c:pivotFmt>
        <c:idx val="837"/>
        <c:spPr>
          <a:solidFill>
            <a:schemeClr val="accent1"/>
          </a:solidFill>
          <a:ln w="19050">
            <a:solidFill>
              <a:schemeClr val="lt1"/>
            </a:solidFill>
          </a:ln>
          <a:effectLst/>
        </c:spPr>
      </c:pivotFmt>
      <c:pivotFmt>
        <c:idx val="838"/>
        <c:spPr>
          <a:solidFill>
            <a:schemeClr val="accent1"/>
          </a:solidFill>
          <a:ln w="19050">
            <a:solidFill>
              <a:schemeClr val="lt1"/>
            </a:solidFill>
          </a:ln>
          <a:effectLst/>
        </c:spPr>
      </c:pivotFmt>
      <c:pivotFmt>
        <c:idx val="839"/>
        <c:spPr>
          <a:solidFill>
            <a:schemeClr val="accent1"/>
          </a:solidFill>
          <a:ln w="19050">
            <a:solidFill>
              <a:schemeClr val="lt1"/>
            </a:solidFill>
          </a:ln>
          <a:effectLst/>
        </c:spPr>
      </c:pivotFmt>
      <c:pivotFmt>
        <c:idx val="840"/>
        <c:spPr>
          <a:solidFill>
            <a:schemeClr val="accent1"/>
          </a:solidFill>
          <a:ln w="19050">
            <a:solidFill>
              <a:schemeClr val="lt1"/>
            </a:solidFill>
          </a:ln>
          <a:effectLst/>
        </c:spPr>
      </c:pivotFmt>
      <c:pivotFmt>
        <c:idx val="841"/>
        <c:spPr>
          <a:solidFill>
            <a:schemeClr val="accent1"/>
          </a:solidFill>
          <a:ln w="19050">
            <a:solidFill>
              <a:schemeClr val="lt1"/>
            </a:solidFill>
          </a:ln>
          <a:effectLst/>
        </c:spPr>
      </c:pivotFmt>
      <c:pivotFmt>
        <c:idx val="842"/>
        <c:spPr>
          <a:solidFill>
            <a:schemeClr val="accent1"/>
          </a:solidFill>
          <a:ln w="19050">
            <a:solidFill>
              <a:schemeClr val="lt1"/>
            </a:solidFill>
          </a:ln>
          <a:effectLst/>
        </c:spPr>
      </c:pivotFmt>
      <c:pivotFmt>
        <c:idx val="843"/>
        <c:spPr>
          <a:solidFill>
            <a:schemeClr val="accent1"/>
          </a:solidFill>
          <a:ln w="19050">
            <a:solidFill>
              <a:schemeClr val="lt1"/>
            </a:solidFill>
          </a:ln>
          <a:effectLst/>
        </c:spPr>
      </c:pivotFmt>
      <c:pivotFmt>
        <c:idx val="844"/>
        <c:spPr>
          <a:solidFill>
            <a:schemeClr val="accent1"/>
          </a:solidFill>
          <a:ln w="19050">
            <a:solidFill>
              <a:schemeClr val="lt1"/>
            </a:solidFill>
          </a:ln>
          <a:effectLst/>
        </c:spPr>
      </c:pivotFmt>
      <c:pivotFmt>
        <c:idx val="845"/>
        <c:spPr>
          <a:solidFill>
            <a:schemeClr val="accent1"/>
          </a:solidFill>
          <a:ln w="19050">
            <a:solidFill>
              <a:schemeClr val="lt1"/>
            </a:solidFill>
          </a:ln>
          <a:effectLst/>
        </c:spPr>
      </c:pivotFmt>
      <c:pivotFmt>
        <c:idx val="846"/>
        <c:spPr>
          <a:solidFill>
            <a:schemeClr val="accent1"/>
          </a:solidFill>
          <a:ln w="19050">
            <a:solidFill>
              <a:schemeClr val="lt1"/>
            </a:solidFill>
          </a:ln>
          <a:effectLst/>
        </c:spPr>
      </c:pivotFmt>
      <c:pivotFmt>
        <c:idx val="847"/>
        <c:spPr>
          <a:solidFill>
            <a:schemeClr val="accent1"/>
          </a:solidFill>
          <a:ln w="19050">
            <a:solidFill>
              <a:schemeClr val="lt1"/>
            </a:solidFill>
          </a:ln>
          <a:effectLst/>
        </c:spPr>
      </c:pivotFmt>
      <c:pivotFmt>
        <c:idx val="848"/>
        <c:spPr>
          <a:solidFill>
            <a:schemeClr val="accent1"/>
          </a:solidFill>
          <a:ln w="19050">
            <a:solidFill>
              <a:schemeClr val="lt1"/>
            </a:solidFill>
          </a:ln>
          <a:effectLst/>
        </c:spPr>
      </c:pivotFmt>
      <c:pivotFmt>
        <c:idx val="849"/>
        <c:spPr>
          <a:solidFill>
            <a:schemeClr val="accent1"/>
          </a:solidFill>
          <a:ln w="19050">
            <a:solidFill>
              <a:schemeClr val="lt1"/>
            </a:solidFill>
          </a:ln>
          <a:effectLst/>
        </c:spPr>
      </c:pivotFmt>
      <c:pivotFmt>
        <c:idx val="850"/>
        <c:spPr>
          <a:solidFill>
            <a:schemeClr val="accent1"/>
          </a:solidFill>
          <a:ln w="19050">
            <a:solidFill>
              <a:schemeClr val="lt1"/>
            </a:solidFill>
          </a:ln>
          <a:effectLst/>
        </c:spPr>
      </c:pivotFmt>
      <c:pivotFmt>
        <c:idx val="851"/>
        <c:spPr>
          <a:solidFill>
            <a:schemeClr val="accent1"/>
          </a:solidFill>
          <a:ln w="19050">
            <a:solidFill>
              <a:schemeClr val="lt1"/>
            </a:solidFill>
          </a:ln>
          <a:effectLst/>
        </c:spPr>
      </c:pivotFmt>
      <c:pivotFmt>
        <c:idx val="852"/>
        <c:spPr>
          <a:solidFill>
            <a:schemeClr val="accent1"/>
          </a:solidFill>
          <a:ln w="19050">
            <a:solidFill>
              <a:schemeClr val="lt1"/>
            </a:solidFill>
          </a:ln>
          <a:effectLst/>
        </c:spPr>
      </c:pivotFmt>
      <c:pivotFmt>
        <c:idx val="853"/>
        <c:spPr>
          <a:solidFill>
            <a:schemeClr val="accent1"/>
          </a:solidFill>
          <a:ln w="19050">
            <a:solidFill>
              <a:schemeClr val="lt1"/>
            </a:solidFill>
          </a:ln>
          <a:effectLst/>
        </c:spPr>
      </c:pivotFmt>
      <c:pivotFmt>
        <c:idx val="854"/>
        <c:spPr>
          <a:solidFill>
            <a:schemeClr val="accent1"/>
          </a:solidFill>
          <a:ln w="19050">
            <a:solidFill>
              <a:schemeClr val="lt1"/>
            </a:solidFill>
          </a:ln>
          <a:effectLst/>
        </c:spPr>
      </c:pivotFmt>
      <c:pivotFmt>
        <c:idx val="855"/>
        <c:spPr>
          <a:solidFill>
            <a:schemeClr val="accent1"/>
          </a:solidFill>
          <a:ln w="19050">
            <a:solidFill>
              <a:schemeClr val="lt1"/>
            </a:solidFill>
          </a:ln>
          <a:effectLst/>
        </c:spPr>
      </c:pivotFmt>
      <c:pivotFmt>
        <c:idx val="856"/>
        <c:spPr>
          <a:solidFill>
            <a:schemeClr val="accent1"/>
          </a:solidFill>
          <a:ln w="19050">
            <a:solidFill>
              <a:schemeClr val="lt1"/>
            </a:solidFill>
          </a:ln>
          <a:effectLst/>
        </c:spPr>
      </c:pivotFmt>
      <c:pivotFmt>
        <c:idx val="857"/>
        <c:spPr>
          <a:solidFill>
            <a:schemeClr val="accent1"/>
          </a:solidFill>
          <a:ln w="19050">
            <a:solidFill>
              <a:schemeClr val="lt1"/>
            </a:solidFill>
          </a:ln>
          <a:effectLst/>
        </c:spPr>
      </c:pivotFmt>
      <c:pivotFmt>
        <c:idx val="858"/>
        <c:spPr>
          <a:solidFill>
            <a:schemeClr val="accent1"/>
          </a:solidFill>
          <a:ln w="19050">
            <a:solidFill>
              <a:schemeClr val="lt1"/>
            </a:solidFill>
          </a:ln>
          <a:effectLst/>
        </c:spPr>
      </c:pivotFmt>
      <c:pivotFmt>
        <c:idx val="859"/>
        <c:spPr>
          <a:solidFill>
            <a:schemeClr val="accent1"/>
          </a:solidFill>
          <a:ln w="19050">
            <a:solidFill>
              <a:schemeClr val="lt1"/>
            </a:solidFill>
          </a:ln>
          <a:effectLst/>
        </c:spPr>
      </c:pivotFmt>
      <c:pivotFmt>
        <c:idx val="860"/>
        <c:spPr>
          <a:solidFill>
            <a:schemeClr val="accent1"/>
          </a:solidFill>
          <a:ln w="19050">
            <a:solidFill>
              <a:schemeClr val="lt1"/>
            </a:solidFill>
          </a:ln>
          <a:effectLst/>
        </c:spPr>
      </c:pivotFmt>
      <c:pivotFmt>
        <c:idx val="861"/>
        <c:spPr>
          <a:solidFill>
            <a:schemeClr val="accent1"/>
          </a:solidFill>
          <a:ln w="19050">
            <a:solidFill>
              <a:schemeClr val="lt1"/>
            </a:solidFill>
          </a:ln>
          <a:effectLst/>
        </c:spPr>
      </c:pivotFmt>
      <c:pivotFmt>
        <c:idx val="862"/>
        <c:spPr>
          <a:solidFill>
            <a:schemeClr val="accent1"/>
          </a:solidFill>
          <a:ln w="19050">
            <a:solidFill>
              <a:schemeClr val="lt1"/>
            </a:solidFill>
          </a:ln>
          <a:effectLst/>
        </c:spPr>
      </c:pivotFmt>
      <c:pivotFmt>
        <c:idx val="863"/>
        <c:spPr>
          <a:solidFill>
            <a:schemeClr val="accent1"/>
          </a:solidFill>
          <a:ln w="19050">
            <a:solidFill>
              <a:schemeClr val="lt1"/>
            </a:solidFill>
          </a:ln>
          <a:effectLst/>
        </c:spPr>
      </c:pivotFmt>
      <c:pivotFmt>
        <c:idx val="864"/>
        <c:spPr>
          <a:solidFill>
            <a:schemeClr val="accent1"/>
          </a:solidFill>
          <a:ln w="19050">
            <a:solidFill>
              <a:schemeClr val="lt1"/>
            </a:solidFill>
          </a:ln>
          <a:effectLst/>
        </c:spPr>
      </c:pivotFmt>
      <c:pivotFmt>
        <c:idx val="865"/>
        <c:spPr>
          <a:solidFill>
            <a:schemeClr val="accent1"/>
          </a:solidFill>
          <a:ln w="19050">
            <a:solidFill>
              <a:schemeClr val="lt1"/>
            </a:solidFill>
          </a:ln>
          <a:effectLst/>
        </c:spPr>
      </c:pivotFmt>
      <c:pivotFmt>
        <c:idx val="866"/>
        <c:spPr>
          <a:solidFill>
            <a:schemeClr val="accent1"/>
          </a:solidFill>
          <a:ln w="19050">
            <a:solidFill>
              <a:schemeClr val="lt1"/>
            </a:solidFill>
          </a:ln>
          <a:effectLst/>
        </c:spPr>
      </c:pivotFmt>
      <c:pivotFmt>
        <c:idx val="867"/>
        <c:spPr>
          <a:solidFill>
            <a:schemeClr val="accent1"/>
          </a:solidFill>
          <a:ln w="19050">
            <a:solidFill>
              <a:schemeClr val="lt1"/>
            </a:solidFill>
          </a:ln>
          <a:effectLst/>
        </c:spPr>
      </c:pivotFmt>
      <c:pivotFmt>
        <c:idx val="868"/>
        <c:spPr>
          <a:solidFill>
            <a:schemeClr val="accent1"/>
          </a:solidFill>
          <a:ln w="19050">
            <a:solidFill>
              <a:schemeClr val="lt1"/>
            </a:solidFill>
          </a:ln>
          <a:effectLst/>
        </c:spPr>
      </c:pivotFmt>
      <c:pivotFmt>
        <c:idx val="869"/>
        <c:spPr>
          <a:solidFill>
            <a:schemeClr val="accent1"/>
          </a:solidFill>
          <a:ln w="19050">
            <a:solidFill>
              <a:schemeClr val="lt1"/>
            </a:solidFill>
          </a:ln>
          <a:effectLst/>
        </c:spPr>
      </c:pivotFmt>
      <c:pivotFmt>
        <c:idx val="870"/>
        <c:spPr>
          <a:solidFill>
            <a:schemeClr val="accent1"/>
          </a:solidFill>
          <a:ln w="19050">
            <a:solidFill>
              <a:schemeClr val="lt1"/>
            </a:solidFill>
          </a:ln>
          <a:effectLst/>
        </c:spPr>
      </c:pivotFmt>
      <c:pivotFmt>
        <c:idx val="871"/>
        <c:spPr>
          <a:solidFill>
            <a:schemeClr val="accent1"/>
          </a:solidFill>
          <a:ln w="19050">
            <a:solidFill>
              <a:schemeClr val="lt1"/>
            </a:solidFill>
          </a:ln>
          <a:effectLst/>
        </c:spPr>
      </c:pivotFmt>
      <c:pivotFmt>
        <c:idx val="872"/>
        <c:spPr>
          <a:solidFill>
            <a:schemeClr val="accent1"/>
          </a:solidFill>
          <a:ln w="19050">
            <a:solidFill>
              <a:schemeClr val="lt1"/>
            </a:solidFill>
          </a:ln>
          <a:effectLst/>
        </c:spPr>
      </c:pivotFmt>
      <c:pivotFmt>
        <c:idx val="873"/>
        <c:spPr>
          <a:solidFill>
            <a:schemeClr val="accent1"/>
          </a:solidFill>
          <a:ln w="19050">
            <a:solidFill>
              <a:schemeClr val="lt1"/>
            </a:solidFill>
          </a:ln>
          <a:effectLst/>
        </c:spPr>
      </c:pivotFmt>
      <c:pivotFmt>
        <c:idx val="874"/>
        <c:spPr>
          <a:solidFill>
            <a:schemeClr val="accent1"/>
          </a:solidFill>
          <a:ln w="19050">
            <a:solidFill>
              <a:schemeClr val="lt1"/>
            </a:solidFill>
          </a:ln>
          <a:effectLst/>
        </c:spPr>
      </c:pivotFmt>
      <c:pivotFmt>
        <c:idx val="875"/>
        <c:spPr>
          <a:solidFill>
            <a:schemeClr val="accent1"/>
          </a:solidFill>
          <a:ln w="19050">
            <a:solidFill>
              <a:schemeClr val="lt1"/>
            </a:solidFill>
          </a:ln>
          <a:effectLst/>
        </c:spPr>
      </c:pivotFmt>
      <c:pivotFmt>
        <c:idx val="876"/>
        <c:spPr>
          <a:solidFill>
            <a:schemeClr val="accent1"/>
          </a:solidFill>
          <a:ln w="19050">
            <a:solidFill>
              <a:schemeClr val="lt1"/>
            </a:solidFill>
          </a:ln>
          <a:effectLst/>
        </c:spPr>
      </c:pivotFmt>
      <c:pivotFmt>
        <c:idx val="877"/>
        <c:spPr>
          <a:solidFill>
            <a:schemeClr val="accent1"/>
          </a:solidFill>
          <a:ln w="19050">
            <a:solidFill>
              <a:schemeClr val="lt1"/>
            </a:solidFill>
          </a:ln>
          <a:effectLst/>
        </c:spPr>
      </c:pivotFmt>
      <c:pivotFmt>
        <c:idx val="878"/>
        <c:spPr>
          <a:solidFill>
            <a:schemeClr val="accent1"/>
          </a:solidFill>
          <a:ln w="19050">
            <a:solidFill>
              <a:schemeClr val="lt1"/>
            </a:solidFill>
          </a:ln>
          <a:effectLst/>
        </c:spPr>
      </c:pivotFmt>
      <c:pivotFmt>
        <c:idx val="879"/>
        <c:spPr>
          <a:solidFill>
            <a:schemeClr val="accent1"/>
          </a:solidFill>
          <a:ln w="19050">
            <a:solidFill>
              <a:schemeClr val="lt1"/>
            </a:solidFill>
          </a:ln>
          <a:effectLst/>
        </c:spPr>
      </c:pivotFmt>
      <c:pivotFmt>
        <c:idx val="880"/>
        <c:spPr>
          <a:solidFill>
            <a:schemeClr val="accent1"/>
          </a:solidFill>
          <a:ln w="19050">
            <a:solidFill>
              <a:schemeClr val="lt1"/>
            </a:solidFill>
          </a:ln>
          <a:effectLst/>
        </c:spPr>
      </c:pivotFmt>
      <c:pivotFmt>
        <c:idx val="881"/>
        <c:spPr>
          <a:solidFill>
            <a:schemeClr val="accent1"/>
          </a:solidFill>
          <a:ln w="19050">
            <a:solidFill>
              <a:schemeClr val="lt1"/>
            </a:solidFill>
          </a:ln>
          <a:effectLst/>
        </c:spPr>
      </c:pivotFmt>
      <c:pivotFmt>
        <c:idx val="882"/>
        <c:spPr>
          <a:solidFill>
            <a:schemeClr val="accent1"/>
          </a:solidFill>
          <a:ln w="19050">
            <a:solidFill>
              <a:schemeClr val="lt1"/>
            </a:solidFill>
          </a:ln>
          <a:effectLst/>
        </c:spPr>
      </c:pivotFmt>
      <c:pivotFmt>
        <c:idx val="883"/>
        <c:spPr>
          <a:solidFill>
            <a:schemeClr val="accent1"/>
          </a:solidFill>
          <a:ln w="19050">
            <a:solidFill>
              <a:schemeClr val="lt1"/>
            </a:solidFill>
          </a:ln>
          <a:effectLst/>
        </c:spPr>
      </c:pivotFmt>
      <c:pivotFmt>
        <c:idx val="884"/>
        <c:spPr>
          <a:solidFill>
            <a:schemeClr val="accent1"/>
          </a:solidFill>
          <a:ln w="19050">
            <a:solidFill>
              <a:schemeClr val="lt1"/>
            </a:solidFill>
          </a:ln>
          <a:effectLst/>
        </c:spPr>
      </c:pivotFmt>
      <c:pivotFmt>
        <c:idx val="885"/>
        <c:spPr>
          <a:solidFill>
            <a:schemeClr val="accent1"/>
          </a:solidFill>
          <a:ln w="19050">
            <a:solidFill>
              <a:schemeClr val="lt1"/>
            </a:solidFill>
          </a:ln>
          <a:effectLst/>
        </c:spPr>
      </c:pivotFmt>
      <c:pivotFmt>
        <c:idx val="886"/>
        <c:spPr>
          <a:solidFill>
            <a:schemeClr val="accent1"/>
          </a:solidFill>
          <a:ln w="19050">
            <a:solidFill>
              <a:schemeClr val="lt1"/>
            </a:solidFill>
          </a:ln>
          <a:effectLst/>
        </c:spPr>
      </c:pivotFmt>
      <c:pivotFmt>
        <c:idx val="887"/>
        <c:spPr>
          <a:solidFill>
            <a:schemeClr val="accent1"/>
          </a:solidFill>
          <a:ln w="19050">
            <a:solidFill>
              <a:schemeClr val="lt1"/>
            </a:solidFill>
          </a:ln>
          <a:effectLst/>
        </c:spPr>
      </c:pivotFmt>
      <c:pivotFmt>
        <c:idx val="888"/>
        <c:spPr>
          <a:solidFill>
            <a:schemeClr val="accent1"/>
          </a:solidFill>
          <a:ln w="19050">
            <a:solidFill>
              <a:schemeClr val="lt1"/>
            </a:solidFill>
          </a:ln>
          <a:effectLst/>
        </c:spPr>
      </c:pivotFmt>
      <c:pivotFmt>
        <c:idx val="889"/>
        <c:spPr>
          <a:solidFill>
            <a:schemeClr val="accent1"/>
          </a:solidFill>
          <a:ln w="19050">
            <a:solidFill>
              <a:schemeClr val="lt1"/>
            </a:solidFill>
          </a:ln>
          <a:effectLst/>
        </c:spPr>
      </c:pivotFmt>
      <c:pivotFmt>
        <c:idx val="890"/>
        <c:spPr>
          <a:solidFill>
            <a:schemeClr val="accent1"/>
          </a:solidFill>
          <a:ln w="19050">
            <a:solidFill>
              <a:schemeClr val="lt1"/>
            </a:solidFill>
          </a:ln>
          <a:effectLst/>
        </c:spPr>
      </c:pivotFmt>
      <c:pivotFmt>
        <c:idx val="891"/>
        <c:spPr>
          <a:solidFill>
            <a:schemeClr val="accent1"/>
          </a:solidFill>
          <a:ln w="19050">
            <a:solidFill>
              <a:schemeClr val="lt1"/>
            </a:solidFill>
          </a:ln>
          <a:effectLst/>
        </c:spPr>
      </c:pivotFmt>
      <c:pivotFmt>
        <c:idx val="892"/>
        <c:spPr>
          <a:solidFill>
            <a:schemeClr val="accent1"/>
          </a:solidFill>
          <a:ln w="19050">
            <a:solidFill>
              <a:schemeClr val="lt1"/>
            </a:solidFill>
          </a:ln>
          <a:effectLst/>
        </c:spPr>
      </c:pivotFmt>
      <c:pivotFmt>
        <c:idx val="893"/>
        <c:spPr>
          <a:solidFill>
            <a:schemeClr val="accent1"/>
          </a:solidFill>
          <a:ln w="19050">
            <a:solidFill>
              <a:schemeClr val="lt1"/>
            </a:solidFill>
          </a:ln>
          <a:effectLst/>
        </c:spPr>
      </c:pivotFmt>
      <c:pivotFmt>
        <c:idx val="894"/>
        <c:spPr>
          <a:solidFill>
            <a:schemeClr val="accent1"/>
          </a:solidFill>
          <a:ln w="19050">
            <a:solidFill>
              <a:schemeClr val="lt1"/>
            </a:solidFill>
          </a:ln>
          <a:effectLst/>
        </c:spPr>
      </c:pivotFmt>
      <c:pivotFmt>
        <c:idx val="895"/>
        <c:spPr>
          <a:solidFill>
            <a:schemeClr val="accent1"/>
          </a:solidFill>
          <a:ln w="19050">
            <a:solidFill>
              <a:schemeClr val="lt1"/>
            </a:solidFill>
          </a:ln>
          <a:effectLst/>
        </c:spPr>
      </c:pivotFmt>
      <c:pivotFmt>
        <c:idx val="896"/>
        <c:spPr>
          <a:solidFill>
            <a:schemeClr val="accent1"/>
          </a:solidFill>
          <a:ln w="19050">
            <a:solidFill>
              <a:schemeClr val="lt1"/>
            </a:solidFill>
          </a:ln>
          <a:effectLst/>
        </c:spPr>
      </c:pivotFmt>
      <c:pivotFmt>
        <c:idx val="897"/>
        <c:spPr>
          <a:solidFill>
            <a:schemeClr val="accent1"/>
          </a:solidFill>
          <a:ln w="19050">
            <a:solidFill>
              <a:schemeClr val="lt1"/>
            </a:solidFill>
          </a:ln>
          <a:effectLst/>
        </c:spPr>
      </c:pivotFmt>
      <c:pivotFmt>
        <c:idx val="898"/>
        <c:spPr>
          <a:solidFill>
            <a:schemeClr val="accent1"/>
          </a:solidFill>
          <a:ln w="19050">
            <a:solidFill>
              <a:schemeClr val="lt1"/>
            </a:solidFill>
          </a:ln>
          <a:effectLst/>
        </c:spPr>
      </c:pivotFmt>
      <c:pivotFmt>
        <c:idx val="899"/>
        <c:spPr>
          <a:solidFill>
            <a:schemeClr val="accent1"/>
          </a:solidFill>
          <a:ln w="19050">
            <a:solidFill>
              <a:schemeClr val="lt1"/>
            </a:solidFill>
          </a:ln>
          <a:effectLst/>
        </c:spPr>
      </c:pivotFmt>
      <c:pivotFmt>
        <c:idx val="900"/>
        <c:spPr>
          <a:solidFill>
            <a:schemeClr val="accent1"/>
          </a:solidFill>
          <a:ln w="19050">
            <a:solidFill>
              <a:schemeClr val="lt1"/>
            </a:solidFill>
          </a:ln>
          <a:effectLst/>
        </c:spPr>
      </c:pivotFmt>
      <c:pivotFmt>
        <c:idx val="901"/>
        <c:spPr>
          <a:solidFill>
            <a:schemeClr val="accent1"/>
          </a:solidFill>
          <a:ln w="19050">
            <a:solidFill>
              <a:schemeClr val="lt1"/>
            </a:solidFill>
          </a:ln>
          <a:effectLst/>
        </c:spPr>
      </c:pivotFmt>
      <c:pivotFmt>
        <c:idx val="902"/>
        <c:spPr>
          <a:solidFill>
            <a:schemeClr val="accent1"/>
          </a:solidFill>
          <a:ln w="19050">
            <a:solidFill>
              <a:schemeClr val="lt1"/>
            </a:solidFill>
          </a:ln>
          <a:effectLst/>
        </c:spPr>
      </c:pivotFmt>
      <c:pivotFmt>
        <c:idx val="903"/>
        <c:spPr>
          <a:solidFill>
            <a:schemeClr val="accent1"/>
          </a:solidFill>
          <a:ln w="19050">
            <a:solidFill>
              <a:schemeClr val="lt1"/>
            </a:solidFill>
          </a:ln>
          <a:effectLst/>
        </c:spPr>
      </c:pivotFmt>
      <c:pivotFmt>
        <c:idx val="904"/>
        <c:spPr>
          <a:solidFill>
            <a:schemeClr val="accent1"/>
          </a:solidFill>
          <a:ln w="19050">
            <a:solidFill>
              <a:schemeClr val="lt1"/>
            </a:solidFill>
          </a:ln>
          <a:effectLst/>
        </c:spPr>
      </c:pivotFmt>
      <c:pivotFmt>
        <c:idx val="905"/>
        <c:spPr>
          <a:solidFill>
            <a:schemeClr val="accent1"/>
          </a:solidFill>
          <a:ln w="19050">
            <a:solidFill>
              <a:schemeClr val="lt1"/>
            </a:solidFill>
          </a:ln>
          <a:effectLst/>
        </c:spPr>
      </c:pivotFmt>
      <c:pivotFmt>
        <c:idx val="906"/>
        <c:spPr>
          <a:solidFill>
            <a:schemeClr val="accent1"/>
          </a:solidFill>
          <a:ln w="19050">
            <a:solidFill>
              <a:schemeClr val="lt1"/>
            </a:solidFill>
          </a:ln>
          <a:effectLst/>
        </c:spPr>
      </c:pivotFmt>
      <c:pivotFmt>
        <c:idx val="907"/>
        <c:spPr>
          <a:solidFill>
            <a:schemeClr val="accent1"/>
          </a:solidFill>
          <a:ln w="19050">
            <a:solidFill>
              <a:schemeClr val="lt1"/>
            </a:solidFill>
          </a:ln>
          <a:effectLst/>
        </c:spPr>
      </c:pivotFmt>
      <c:pivotFmt>
        <c:idx val="908"/>
        <c:spPr>
          <a:solidFill>
            <a:schemeClr val="accent1"/>
          </a:solidFill>
          <a:ln w="19050">
            <a:solidFill>
              <a:schemeClr val="lt1"/>
            </a:solidFill>
          </a:ln>
          <a:effectLst/>
        </c:spPr>
      </c:pivotFmt>
      <c:pivotFmt>
        <c:idx val="909"/>
        <c:spPr>
          <a:solidFill>
            <a:schemeClr val="accent1"/>
          </a:solidFill>
          <a:ln w="19050">
            <a:solidFill>
              <a:schemeClr val="lt1"/>
            </a:solidFill>
          </a:ln>
          <a:effectLst/>
        </c:spPr>
      </c:pivotFmt>
      <c:pivotFmt>
        <c:idx val="910"/>
        <c:spPr>
          <a:solidFill>
            <a:schemeClr val="accent1"/>
          </a:solidFill>
          <a:ln w="19050">
            <a:solidFill>
              <a:schemeClr val="lt1"/>
            </a:solidFill>
          </a:ln>
          <a:effectLst/>
        </c:spPr>
      </c:pivotFmt>
      <c:pivotFmt>
        <c:idx val="911"/>
        <c:spPr>
          <a:solidFill>
            <a:schemeClr val="accent1"/>
          </a:solidFill>
          <a:ln w="19050">
            <a:solidFill>
              <a:schemeClr val="lt1"/>
            </a:solidFill>
          </a:ln>
          <a:effectLst/>
        </c:spPr>
      </c:pivotFmt>
      <c:pivotFmt>
        <c:idx val="912"/>
        <c:spPr>
          <a:solidFill>
            <a:schemeClr val="accent1"/>
          </a:solidFill>
          <a:ln w="19050">
            <a:solidFill>
              <a:schemeClr val="lt1"/>
            </a:solidFill>
          </a:ln>
          <a:effectLst/>
        </c:spPr>
      </c:pivotFmt>
      <c:pivotFmt>
        <c:idx val="913"/>
        <c:spPr>
          <a:solidFill>
            <a:schemeClr val="accent1"/>
          </a:solidFill>
          <a:ln w="19050">
            <a:solidFill>
              <a:schemeClr val="lt1"/>
            </a:solidFill>
          </a:ln>
          <a:effectLst/>
        </c:spPr>
      </c:pivotFmt>
      <c:pivotFmt>
        <c:idx val="914"/>
        <c:spPr>
          <a:solidFill>
            <a:schemeClr val="accent1"/>
          </a:solidFill>
          <a:ln w="19050">
            <a:solidFill>
              <a:schemeClr val="lt1"/>
            </a:solidFill>
          </a:ln>
          <a:effectLst/>
        </c:spPr>
      </c:pivotFmt>
      <c:pivotFmt>
        <c:idx val="915"/>
        <c:spPr>
          <a:solidFill>
            <a:schemeClr val="accent1"/>
          </a:solidFill>
          <a:ln w="19050">
            <a:solidFill>
              <a:schemeClr val="lt1"/>
            </a:solidFill>
          </a:ln>
          <a:effectLst/>
        </c:spPr>
      </c:pivotFmt>
      <c:pivotFmt>
        <c:idx val="916"/>
        <c:spPr>
          <a:solidFill>
            <a:schemeClr val="accent1"/>
          </a:solidFill>
          <a:ln w="19050">
            <a:solidFill>
              <a:schemeClr val="lt1"/>
            </a:solidFill>
          </a:ln>
          <a:effectLst/>
        </c:spPr>
      </c:pivotFmt>
      <c:pivotFmt>
        <c:idx val="917"/>
        <c:spPr>
          <a:solidFill>
            <a:schemeClr val="accent1"/>
          </a:solidFill>
          <a:ln w="19050">
            <a:solidFill>
              <a:schemeClr val="lt1"/>
            </a:solidFill>
          </a:ln>
          <a:effectLst/>
        </c:spPr>
      </c:pivotFmt>
      <c:pivotFmt>
        <c:idx val="918"/>
        <c:spPr>
          <a:solidFill>
            <a:schemeClr val="accent1"/>
          </a:solidFill>
          <a:ln w="19050">
            <a:solidFill>
              <a:schemeClr val="lt1"/>
            </a:solidFill>
          </a:ln>
          <a:effectLst/>
        </c:spPr>
      </c:pivotFmt>
      <c:pivotFmt>
        <c:idx val="919"/>
        <c:spPr>
          <a:solidFill>
            <a:schemeClr val="accent1"/>
          </a:solidFill>
          <a:ln w="19050">
            <a:solidFill>
              <a:schemeClr val="lt1"/>
            </a:solidFill>
          </a:ln>
          <a:effectLst/>
        </c:spPr>
      </c:pivotFmt>
      <c:pivotFmt>
        <c:idx val="920"/>
        <c:spPr>
          <a:solidFill>
            <a:schemeClr val="accent1"/>
          </a:solidFill>
          <a:ln w="19050">
            <a:solidFill>
              <a:schemeClr val="lt1"/>
            </a:solidFill>
          </a:ln>
          <a:effectLst/>
        </c:spPr>
      </c:pivotFmt>
      <c:pivotFmt>
        <c:idx val="921"/>
        <c:spPr>
          <a:solidFill>
            <a:schemeClr val="accent1"/>
          </a:solidFill>
          <a:ln w="19050">
            <a:solidFill>
              <a:schemeClr val="lt1"/>
            </a:solidFill>
          </a:ln>
          <a:effectLst/>
        </c:spPr>
      </c:pivotFmt>
      <c:pivotFmt>
        <c:idx val="922"/>
        <c:spPr>
          <a:solidFill>
            <a:schemeClr val="accent1"/>
          </a:solidFill>
          <a:ln w="19050">
            <a:solidFill>
              <a:schemeClr val="lt1"/>
            </a:solidFill>
          </a:ln>
          <a:effectLst/>
        </c:spPr>
      </c:pivotFmt>
      <c:pivotFmt>
        <c:idx val="923"/>
        <c:spPr>
          <a:solidFill>
            <a:schemeClr val="accent1"/>
          </a:solidFill>
          <a:ln w="19050">
            <a:solidFill>
              <a:schemeClr val="lt1"/>
            </a:solidFill>
          </a:ln>
          <a:effectLst/>
        </c:spPr>
      </c:pivotFmt>
      <c:pivotFmt>
        <c:idx val="924"/>
        <c:spPr>
          <a:solidFill>
            <a:schemeClr val="accent1"/>
          </a:solidFill>
          <a:ln w="19050">
            <a:solidFill>
              <a:schemeClr val="lt1"/>
            </a:solidFill>
          </a:ln>
          <a:effectLst/>
        </c:spPr>
      </c:pivotFmt>
      <c:pivotFmt>
        <c:idx val="925"/>
        <c:spPr>
          <a:solidFill>
            <a:schemeClr val="accent1"/>
          </a:solidFill>
          <a:ln w="19050">
            <a:solidFill>
              <a:schemeClr val="lt1"/>
            </a:solidFill>
          </a:ln>
          <a:effectLst/>
        </c:spPr>
      </c:pivotFmt>
      <c:pivotFmt>
        <c:idx val="926"/>
        <c:spPr>
          <a:solidFill>
            <a:schemeClr val="accent1"/>
          </a:solidFill>
          <a:ln w="19050">
            <a:solidFill>
              <a:schemeClr val="lt1"/>
            </a:solidFill>
          </a:ln>
          <a:effectLst/>
        </c:spPr>
      </c:pivotFmt>
      <c:pivotFmt>
        <c:idx val="927"/>
        <c:spPr>
          <a:solidFill>
            <a:schemeClr val="accent1"/>
          </a:solidFill>
          <a:ln w="19050">
            <a:solidFill>
              <a:schemeClr val="lt1"/>
            </a:solidFill>
          </a:ln>
          <a:effectLst/>
        </c:spPr>
      </c:pivotFmt>
      <c:pivotFmt>
        <c:idx val="928"/>
        <c:spPr>
          <a:solidFill>
            <a:schemeClr val="accent1"/>
          </a:solidFill>
          <a:ln w="19050">
            <a:solidFill>
              <a:schemeClr val="lt1"/>
            </a:solidFill>
          </a:ln>
          <a:effectLst/>
        </c:spPr>
      </c:pivotFmt>
      <c:pivotFmt>
        <c:idx val="929"/>
        <c:spPr>
          <a:solidFill>
            <a:schemeClr val="accent1"/>
          </a:solidFill>
          <a:ln w="19050">
            <a:solidFill>
              <a:schemeClr val="lt1"/>
            </a:solidFill>
          </a:ln>
          <a:effectLst/>
        </c:spPr>
      </c:pivotFmt>
      <c:pivotFmt>
        <c:idx val="930"/>
        <c:spPr>
          <a:solidFill>
            <a:schemeClr val="accent1"/>
          </a:solidFill>
          <a:ln w="19050">
            <a:solidFill>
              <a:schemeClr val="lt1"/>
            </a:solidFill>
          </a:ln>
          <a:effectLst/>
        </c:spPr>
      </c:pivotFmt>
      <c:pivotFmt>
        <c:idx val="931"/>
        <c:spPr>
          <a:solidFill>
            <a:schemeClr val="accent1"/>
          </a:solidFill>
          <a:ln w="19050">
            <a:solidFill>
              <a:schemeClr val="lt1"/>
            </a:solidFill>
          </a:ln>
          <a:effectLst/>
        </c:spPr>
      </c:pivotFmt>
      <c:pivotFmt>
        <c:idx val="932"/>
        <c:spPr>
          <a:solidFill>
            <a:schemeClr val="accent1"/>
          </a:solidFill>
          <a:ln w="19050">
            <a:solidFill>
              <a:schemeClr val="lt1"/>
            </a:solidFill>
          </a:ln>
          <a:effectLst/>
        </c:spPr>
      </c:pivotFmt>
      <c:pivotFmt>
        <c:idx val="933"/>
        <c:spPr>
          <a:solidFill>
            <a:schemeClr val="accent1"/>
          </a:solidFill>
          <a:ln w="19050">
            <a:solidFill>
              <a:schemeClr val="lt1"/>
            </a:solidFill>
          </a:ln>
          <a:effectLst/>
        </c:spPr>
      </c:pivotFmt>
      <c:pivotFmt>
        <c:idx val="934"/>
        <c:spPr>
          <a:solidFill>
            <a:schemeClr val="accent1"/>
          </a:solidFill>
          <a:ln w="19050">
            <a:solidFill>
              <a:schemeClr val="lt1"/>
            </a:solidFill>
          </a:ln>
          <a:effectLst/>
        </c:spPr>
      </c:pivotFmt>
      <c:pivotFmt>
        <c:idx val="935"/>
        <c:spPr>
          <a:solidFill>
            <a:schemeClr val="accent1"/>
          </a:solidFill>
          <a:ln w="19050">
            <a:solidFill>
              <a:schemeClr val="lt1"/>
            </a:solidFill>
          </a:ln>
          <a:effectLst/>
        </c:spPr>
      </c:pivotFmt>
      <c:pivotFmt>
        <c:idx val="936"/>
        <c:spPr>
          <a:solidFill>
            <a:schemeClr val="accent1"/>
          </a:solidFill>
          <a:ln w="19050">
            <a:solidFill>
              <a:schemeClr val="lt1"/>
            </a:solidFill>
          </a:ln>
          <a:effectLst/>
        </c:spPr>
      </c:pivotFmt>
      <c:pivotFmt>
        <c:idx val="937"/>
        <c:spPr>
          <a:solidFill>
            <a:schemeClr val="accent1"/>
          </a:solidFill>
          <a:ln w="19050">
            <a:solidFill>
              <a:schemeClr val="lt1"/>
            </a:solidFill>
          </a:ln>
          <a:effectLst/>
        </c:spPr>
      </c:pivotFmt>
      <c:pivotFmt>
        <c:idx val="938"/>
        <c:spPr>
          <a:solidFill>
            <a:schemeClr val="accent1"/>
          </a:solidFill>
          <a:ln w="19050">
            <a:solidFill>
              <a:schemeClr val="lt1"/>
            </a:solidFill>
          </a:ln>
          <a:effectLst/>
        </c:spPr>
      </c:pivotFmt>
      <c:pivotFmt>
        <c:idx val="939"/>
        <c:spPr>
          <a:solidFill>
            <a:schemeClr val="accent1"/>
          </a:solidFill>
          <a:ln w="19050">
            <a:solidFill>
              <a:schemeClr val="lt1"/>
            </a:solidFill>
          </a:ln>
          <a:effectLst/>
        </c:spPr>
      </c:pivotFmt>
      <c:pivotFmt>
        <c:idx val="940"/>
        <c:spPr>
          <a:solidFill>
            <a:schemeClr val="accent1"/>
          </a:solidFill>
          <a:ln w="19050">
            <a:solidFill>
              <a:schemeClr val="lt1"/>
            </a:solidFill>
          </a:ln>
          <a:effectLst/>
        </c:spPr>
      </c:pivotFmt>
      <c:pivotFmt>
        <c:idx val="941"/>
        <c:spPr>
          <a:solidFill>
            <a:schemeClr val="accent1"/>
          </a:solidFill>
          <a:ln w="19050">
            <a:solidFill>
              <a:schemeClr val="lt1"/>
            </a:solidFill>
          </a:ln>
          <a:effectLst/>
        </c:spPr>
      </c:pivotFmt>
      <c:pivotFmt>
        <c:idx val="942"/>
        <c:spPr>
          <a:solidFill>
            <a:schemeClr val="accent1"/>
          </a:solidFill>
          <a:ln w="19050">
            <a:solidFill>
              <a:schemeClr val="lt1"/>
            </a:solidFill>
          </a:ln>
          <a:effectLst/>
        </c:spPr>
      </c:pivotFmt>
      <c:pivotFmt>
        <c:idx val="943"/>
        <c:spPr>
          <a:solidFill>
            <a:schemeClr val="accent1"/>
          </a:solidFill>
          <a:ln w="19050">
            <a:solidFill>
              <a:schemeClr val="lt1"/>
            </a:solidFill>
          </a:ln>
          <a:effectLst/>
        </c:spPr>
      </c:pivotFmt>
      <c:pivotFmt>
        <c:idx val="944"/>
        <c:spPr>
          <a:solidFill>
            <a:schemeClr val="accent1"/>
          </a:solidFill>
          <a:ln w="19050">
            <a:solidFill>
              <a:schemeClr val="lt1"/>
            </a:solidFill>
          </a:ln>
          <a:effectLst/>
        </c:spPr>
      </c:pivotFmt>
      <c:pivotFmt>
        <c:idx val="945"/>
        <c:spPr>
          <a:solidFill>
            <a:schemeClr val="accent1"/>
          </a:solidFill>
          <a:ln w="19050">
            <a:solidFill>
              <a:schemeClr val="lt1"/>
            </a:solidFill>
          </a:ln>
          <a:effectLst/>
        </c:spPr>
      </c:pivotFmt>
      <c:pivotFmt>
        <c:idx val="946"/>
        <c:spPr>
          <a:solidFill>
            <a:schemeClr val="accent1"/>
          </a:solidFill>
          <a:ln w="19050">
            <a:solidFill>
              <a:schemeClr val="lt1"/>
            </a:solidFill>
          </a:ln>
          <a:effectLst/>
        </c:spPr>
      </c:pivotFmt>
      <c:pivotFmt>
        <c:idx val="947"/>
        <c:spPr>
          <a:solidFill>
            <a:schemeClr val="accent1"/>
          </a:solidFill>
          <a:ln w="19050">
            <a:solidFill>
              <a:schemeClr val="lt1"/>
            </a:solidFill>
          </a:ln>
          <a:effectLst/>
        </c:spPr>
      </c:pivotFmt>
      <c:pivotFmt>
        <c:idx val="948"/>
        <c:spPr>
          <a:solidFill>
            <a:schemeClr val="accent1"/>
          </a:solidFill>
          <a:ln w="19050">
            <a:solidFill>
              <a:schemeClr val="lt1"/>
            </a:solidFill>
          </a:ln>
          <a:effectLst/>
        </c:spPr>
      </c:pivotFmt>
      <c:pivotFmt>
        <c:idx val="949"/>
        <c:spPr>
          <a:solidFill>
            <a:schemeClr val="accent1"/>
          </a:solidFill>
          <a:ln w="19050">
            <a:solidFill>
              <a:schemeClr val="lt1"/>
            </a:solidFill>
          </a:ln>
          <a:effectLst/>
        </c:spPr>
      </c:pivotFmt>
      <c:pivotFmt>
        <c:idx val="950"/>
        <c:spPr>
          <a:solidFill>
            <a:schemeClr val="accent1"/>
          </a:solidFill>
          <a:ln w="19050">
            <a:solidFill>
              <a:schemeClr val="lt1"/>
            </a:solidFill>
          </a:ln>
          <a:effectLst/>
        </c:spPr>
      </c:pivotFmt>
      <c:pivotFmt>
        <c:idx val="951"/>
        <c:spPr>
          <a:solidFill>
            <a:schemeClr val="accent1"/>
          </a:solidFill>
          <a:ln w="19050">
            <a:solidFill>
              <a:schemeClr val="lt1"/>
            </a:solidFill>
          </a:ln>
          <a:effectLst/>
        </c:spPr>
      </c:pivotFmt>
      <c:pivotFmt>
        <c:idx val="952"/>
        <c:spPr>
          <a:solidFill>
            <a:schemeClr val="accent1"/>
          </a:solidFill>
          <a:ln w="19050">
            <a:solidFill>
              <a:schemeClr val="lt1"/>
            </a:solidFill>
          </a:ln>
          <a:effectLst/>
        </c:spPr>
      </c:pivotFmt>
      <c:pivotFmt>
        <c:idx val="953"/>
        <c:spPr>
          <a:solidFill>
            <a:schemeClr val="accent1"/>
          </a:solidFill>
          <a:ln w="19050">
            <a:solidFill>
              <a:schemeClr val="lt1"/>
            </a:solidFill>
          </a:ln>
          <a:effectLst/>
        </c:spPr>
      </c:pivotFmt>
      <c:pivotFmt>
        <c:idx val="954"/>
        <c:spPr>
          <a:solidFill>
            <a:schemeClr val="accent1"/>
          </a:solidFill>
          <a:ln w="19050">
            <a:solidFill>
              <a:schemeClr val="lt1"/>
            </a:solidFill>
          </a:ln>
          <a:effectLst/>
        </c:spPr>
      </c:pivotFmt>
      <c:pivotFmt>
        <c:idx val="955"/>
        <c:spPr>
          <a:solidFill>
            <a:schemeClr val="accent1"/>
          </a:solidFill>
          <a:ln w="19050">
            <a:solidFill>
              <a:schemeClr val="lt1"/>
            </a:solidFill>
          </a:ln>
          <a:effectLst/>
        </c:spPr>
      </c:pivotFmt>
      <c:pivotFmt>
        <c:idx val="956"/>
        <c:spPr>
          <a:solidFill>
            <a:schemeClr val="accent1"/>
          </a:solidFill>
          <a:ln w="19050">
            <a:solidFill>
              <a:schemeClr val="lt1"/>
            </a:solidFill>
          </a:ln>
          <a:effectLst/>
        </c:spPr>
      </c:pivotFmt>
      <c:pivotFmt>
        <c:idx val="957"/>
        <c:spPr>
          <a:solidFill>
            <a:schemeClr val="accent1"/>
          </a:solidFill>
          <a:ln w="19050">
            <a:solidFill>
              <a:schemeClr val="lt1"/>
            </a:solidFill>
          </a:ln>
          <a:effectLst/>
        </c:spPr>
      </c:pivotFmt>
      <c:pivotFmt>
        <c:idx val="958"/>
        <c:spPr>
          <a:solidFill>
            <a:schemeClr val="accent1"/>
          </a:solidFill>
          <a:ln w="19050">
            <a:solidFill>
              <a:schemeClr val="lt1"/>
            </a:solidFill>
          </a:ln>
          <a:effectLst/>
        </c:spPr>
      </c:pivotFmt>
      <c:pivotFmt>
        <c:idx val="959"/>
        <c:spPr>
          <a:solidFill>
            <a:schemeClr val="accent1"/>
          </a:solidFill>
          <a:ln w="19050">
            <a:solidFill>
              <a:schemeClr val="lt1"/>
            </a:solidFill>
          </a:ln>
          <a:effectLst/>
        </c:spPr>
      </c:pivotFmt>
      <c:pivotFmt>
        <c:idx val="960"/>
        <c:spPr>
          <a:solidFill>
            <a:schemeClr val="accent1"/>
          </a:solidFill>
          <a:ln w="19050">
            <a:solidFill>
              <a:schemeClr val="lt1"/>
            </a:solidFill>
          </a:ln>
          <a:effectLst/>
        </c:spPr>
      </c:pivotFmt>
      <c:pivotFmt>
        <c:idx val="961"/>
        <c:spPr>
          <a:solidFill>
            <a:schemeClr val="accent1"/>
          </a:solidFill>
          <a:ln w="19050">
            <a:solidFill>
              <a:schemeClr val="lt1"/>
            </a:solidFill>
          </a:ln>
          <a:effectLst/>
        </c:spPr>
      </c:pivotFmt>
      <c:pivotFmt>
        <c:idx val="962"/>
        <c:spPr>
          <a:solidFill>
            <a:schemeClr val="accent1"/>
          </a:solidFill>
          <a:ln w="19050">
            <a:solidFill>
              <a:schemeClr val="lt1"/>
            </a:solidFill>
          </a:ln>
          <a:effectLst/>
        </c:spPr>
      </c:pivotFmt>
      <c:pivotFmt>
        <c:idx val="963"/>
        <c:spPr>
          <a:solidFill>
            <a:schemeClr val="accent1"/>
          </a:solidFill>
          <a:ln w="19050">
            <a:solidFill>
              <a:schemeClr val="lt1"/>
            </a:solidFill>
          </a:ln>
          <a:effectLst/>
        </c:spPr>
      </c:pivotFmt>
      <c:pivotFmt>
        <c:idx val="964"/>
        <c:spPr>
          <a:solidFill>
            <a:schemeClr val="accent1"/>
          </a:solidFill>
          <a:ln w="19050">
            <a:solidFill>
              <a:schemeClr val="lt1"/>
            </a:solidFill>
          </a:ln>
          <a:effectLst/>
        </c:spPr>
      </c:pivotFmt>
      <c:pivotFmt>
        <c:idx val="965"/>
        <c:spPr>
          <a:solidFill>
            <a:schemeClr val="accent1"/>
          </a:solidFill>
          <a:ln w="19050">
            <a:solidFill>
              <a:schemeClr val="lt1"/>
            </a:solidFill>
          </a:ln>
          <a:effectLst/>
        </c:spPr>
      </c:pivotFmt>
      <c:pivotFmt>
        <c:idx val="966"/>
        <c:spPr>
          <a:solidFill>
            <a:schemeClr val="accent1"/>
          </a:solidFill>
          <a:ln w="19050">
            <a:solidFill>
              <a:schemeClr val="lt1"/>
            </a:solidFill>
          </a:ln>
          <a:effectLst/>
        </c:spPr>
      </c:pivotFmt>
      <c:pivotFmt>
        <c:idx val="967"/>
        <c:spPr>
          <a:solidFill>
            <a:schemeClr val="accent1"/>
          </a:solidFill>
          <a:ln w="19050">
            <a:solidFill>
              <a:schemeClr val="lt1"/>
            </a:solidFill>
          </a:ln>
          <a:effectLst/>
        </c:spPr>
      </c:pivotFmt>
      <c:pivotFmt>
        <c:idx val="968"/>
        <c:spPr>
          <a:solidFill>
            <a:schemeClr val="accent1"/>
          </a:solidFill>
          <a:ln w="19050">
            <a:solidFill>
              <a:schemeClr val="lt1"/>
            </a:solidFill>
          </a:ln>
          <a:effectLst/>
        </c:spPr>
      </c:pivotFmt>
      <c:pivotFmt>
        <c:idx val="969"/>
        <c:spPr>
          <a:solidFill>
            <a:schemeClr val="accent1"/>
          </a:solidFill>
          <a:ln w="19050">
            <a:solidFill>
              <a:schemeClr val="lt1"/>
            </a:solidFill>
          </a:ln>
          <a:effectLst/>
        </c:spPr>
      </c:pivotFmt>
      <c:pivotFmt>
        <c:idx val="970"/>
        <c:spPr>
          <a:solidFill>
            <a:schemeClr val="accent1"/>
          </a:solidFill>
          <a:ln w="19050">
            <a:solidFill>
              <a:schemeClr val="lt1"/>
            </a:solidFill>
          </a:ln>
          <a:effectLst/>
        </c:spPr>
      </c:pivotFmt>
      <c:pivotFmt>
        <c:idx val="971"/>
        <c:spPr>
          <a:solidFill>
            <a:schemeClr val="accent1"/>
          </a:solidFill>
          <a:ln w="19050">
            <a:solidFill>
              <a:schemeClr val="lt1"/>
            </a:solidFill>
          </a:ln>
          <a:effectLst/>
        </c:spPr>
      </c:pivotFmt>
      <c:pivotFmt>
        <c:idx val="972"/>
        <c:spPr>
          <a:solidFill>
            <a:schemeClr val="accent1"/>
          </a:solidFill>
          <a:ln w="19050">
            <a:solidFill>
              <a:schemeClr val="lt1"/>
            </a:solidFill>
          </a:ln>
          <a:effectLst/>
        </c:spPr>
      </c:pivotFmt>
      <c:pivotFmt>
        <c:idx val="973"/>
        <c:spPr>
          <a:solidFill>
            <a:schemeClr val="accent1"/>
          </a:solidFill>
          <a:ln w="19050">
            <a:solidFill>
              <a:schemeClr val="lt1"/>
            </a:solidFill>
          </a:ln>
          <a:effectLst/>
        </c:spPr>
      </c:pivotFmt>
      <c:pivotFmt>
        <c:idx val="974"/>
        <c:spPr>
          <a:solidFill>
            <a:schemeClr val="accent1"/>
          </a:solidFill>
          <a:ln w="19050">
            <a:solidFill>
              <a:schemeClr val="lt1"/>
            </a:solidFill>
          </a:ln>
          <a:effectLst/>
        </c:spPr>
      </c:pivotFmt>
      <c:pivotFmt>
        <c:idx val="975"/>
        <c:spPr>
          <a:solidFill>
            <a:schemeClr val="accent1"/>
          </a:solidFill>
          <a:ln w="19050">
            <a:solidFill>
              <a:schemeClr val="lt1"/>
            </a:solidFill>
          </a:ln>
          <a:effectLst/>
        </c:spPr>
      </c:pivotFmt>
      <c:pivotFmt>
        <c:idx val="976"/>
        <c:spPr>
          <a:solidFill>
            <a:schemeClr val="accent1"/>
          </a:solidFill>
          <a:ln w="19050">
            <a:solidFill>
              <a:schemeClr val="lt1"/>
            </a:solidFill>
          </a:ln>
          <a:effectLst/>
        </c:spPr>
      </c:pivotFmt>
      <c:pivotFmt>
        <c:idx val="977"/>
        <c:spPr>
          <a:solidFill>
            <a:schemeClr val="accent1"/>
          </a:solidFill>
          <a:ln w="19050">
            <a:solidFill>
              <a:schemeClr val="lt1"/>
            </a:solidFill>
          </a:ln>
          <a:effectLst/>
        </c:spPr>
      </c:pivotFmt>
      <c:pivotFmt>
        <c:idx val="978"/>
        <c:spPr>
          <a:solidFill>
            <a:schemeClr val="accent1"/>
          </a:solidFill>
          <a:ln w="19050">
            <a:solidFill>
              <a:schemeClr val="lt1"/>
            </a:solidFill>
          </a:ln>
          <a:effectLst/>
        </c:spPr>
      </c:pivotFmt>
      <c:pivotFmt>
        <c:idx val="979"/>
        <c:spPr>
          <a:solidFill>
            <a:schemeClr val="accent1"/>
          </a:solidFill>
          <a:ln w="19050">
            <a:solidFill>
              <a:schemeClr val="lt1"/>
            </a:solidFill>
          </a:ln>
          <a:effectLst/>
        </c:spPr>
      </c:pivotFmt>
      <c:pivotFmt>
        <c:idx val="980"/>
        <c:spPr>
          <a:solidFill>
            <a:schemeClr val="accent1"/>
          </a:solidFill>
          <a:ln w="19050">
            <a:solidFill>
              <a:schemeClr val="lt1"/>
            </a:solidFill>
          </a:ln>
          <a:effectLst/>
        </c:spPr>
      </c:pivotFmt>
      <c:pivotFmt>
        <c:idx val="981"/>
        <c:spPr>
          <a:solidFill>
            <a:schemeClr val="accent1"/>
          </a:solidFill>
          <a:ln w="19050">
            <a:solidFill>
              <a:schemeClr val="lt1"/>
            </a:solidFill>
          </a:ln>
          <a:effectLst/>
        </c:spPr>
      </c:pivotFmt>
      <c:pivotFmt>
        <c:idx val="982"/>
        <c:spPr>
          <a:solidFill>
            <a:schemeClr val="accent1"/>
          </a:solidFill>
          <a:ln w="19050">
            <a:solidFill>
              <a:schemeClr val="lt1"/>
            </a:solidFill>
          </a:ln>
          <a:effectLst/>
        </c:spPr>
      </c:pivotFmt>
      <c:pivotFmt>
        <c:idx val="983"/>
        <c:spPr>
          <a:solidFill>
            <a:schemeClr val="accent1"/>
          </a:solidFill>
          <a:ln w="19050">
            <a:solidFill>
              <a:schemeClr val="lt1"/>
            </a:solidFill>
          </a:ln>
          <a:effectLst/>
        </c:spPr>
      </c:pivotFmt>
      <c:pivotFmt>
        <c:idx val="984"/>
        <c:spPr>
          <a:solidFill>
            <a:schemeClr val="accent1"/>
          </a:solidFill>
          <a:ln w="19050">
            <a:solidFill>
              <a:schemeClr val="lt1"/>
            </a:solidFill>
          </a:ln>
          <a:effectLst/>
        </c:spPr>
      </c:pivotFmt>
      <c:pivotFmt>
        <c:idx val="985"/>
        <c:spPr>
          <a:solidFill>
            <a:schemeClr val="accent1"/>
          </a:solidFill>
          <a:ln w="19050">
            <a:solidFill>
              <a:schemeClr val="lt1"/>
            </a:solidFill>
          </a:ln>
          <a:effectLst/>
        </c:spPr>
      </c:pivotFmt>
      <c:pivotFmt>
        <c:idx val="986"/>
        <c:spPr>
          <a:solidFill>
            <a:schemeClr val="accent1"/>
          </a:solidFill>
          <a:ln w="19050">
            <a:solidFill>
              <a:schemeClr val="lt1"/>
            </a:solidFill>
          </a:ln>
          <a:effectLst/>
        </c:spPr>
      </c:pivotFmt>
      <c:pivotFmt>
        <c:idx val="987"/>
        <c:spPr>
          <a:solidFill>
            <a:schemeClr val="accent1"/>
          </a:solidFill>
          <a:ln w="19050">
            <a:solidFill>
              <a:schemeClr val="lt1"/>
            </a:solidFill>
          </a:ln>
          <a:effectLst/>
        </c:spPr>
      </c:pivotFmt>
      <c:pivotFmt>
        <c:idx val="988"/>
        <c:spPr>
          <a:solidFill>
            <a:schemeClr val="accent1"/>
          </a:solidFill>
          <a:ln w="19050">
            <a:solidFill>
              <a:schemeClr val="lt1"/>
            </a:solidFill>
          </a:ln>
          <a:effectLst/>
        </c:spPr>
      </c:pivotFmt>
      <c:pivotFmt>
        <c:idx val="989"/>
        <c:spPr>
          <a:solidFill>
            <a:schemeClr val="accent1"/>
          </a:solidFill>
          <a:ln w="19050">
            <a:solidFill>
              <a:schemeClr val="lt1"/>
            </a:solidFill>
          </a:ln>
          <a:effectLst/>
        </c:spPr>
      </c:pivotFmt>
      <c:pivotFmt>
        <c:idx val="990"/>
        <c:spPr>
          <a:solidFill>
            <a:schemeClr val="accent1"/>
          </a:solidFill>
          <a:ln w="19050">
            <a:solidFill>
              <a:schemeClr val="lt1"/>
            </a:solidFill>
          </a:ln>
          <a:effectLst/>
        </c:spPr>
      </c:pivotFmt>
      <c:pivotFmt>
        <c:idx val="991"/>
        <c:spPr>
          <a:solidFill>
            <a:schemeClr val="accent1"/>
          </a:solidFill>
          <a:ln w="19050">
            <a:solidFill>
              <a:schemeClr val="lt1"/>
            </a:solidFill>
          </a:ln>
          <a:effectLst/>
        </c:spPr>
      </c:pivotFmt>
      <c:pivotFmt>
        <c:idx val="992"/>
        <c:spPr>
          <a:solidFill>
            <a:schemeClr val="accent1"/>
          </a:solidFill>
          <a:ln w="19050">
            <a:solidFill>
              <a:schemeClr val="lt1"/>
            </a:solidFill>
          </a:ln>
          <a:effectLst/>
        </c:spPr>
      </c:pivotFmt>
      <c:pivotFmt>
        <c:idx val="993"/>
        <c:spPr>
          <a:solidFill>
            <a:schemeClr val="accent1"/>
          </a:solidFill>
          <a:ln w="19050">
            <a:solidFill>
              <a:schemeClr val="lt1"/>
            </a:solidFill>
          </a:ln>
          <a:effectLst/>
        </c:spPr>
      </c:pivotFmt>
      <c:pivotFmt>
        <c:idx val="994"/>
        <c:spPr>
          <a:solidFill>
            <a:schemeClr val="accent1"/>
          </a:solidFill>
          <a:ln w="19050">
            <a:solidFill>
              <a:schemeClr val="lt1"/>
            </a:solidFill>
          </a:ln>
          <a:effectLst/>
        </c:spPr>
      </c:pivotFmt>
      <c:pivotFmt>
        <c:idx val="995"/>
        <c:spPr>
          <a:solidFill>
            <a:schemeClr val="accent1"/>
          </a:solidFill>
          <a:ln w="19050">
            <a:solidFill>
              <a:schemeClr val="lt1"/>
            </a:solidFill>
          </a:ln>
          <a:effectLst/>
        </c:spPr>
      </c:pivotFmt>
      <c:pivotFmt>
        <c:idx val="996"/>
        <c:spPr>
          <a:solidFill>
            <a:schemeClr val="accent1"/>
          </a:solidFill>
          <a:ln w="19050">
            <a:solidFill>
              <a:schemeClr val="lt1"/>
            </a:solidFill>
          </a:ln>
          <a:effectLst/>
        </c:spPr>
      </c:pivotFmt>
      <c:pivotFmt>
        <c:idx val="997"/>
        <c:spPr>
          <a:solidFill>
            <a:schemeClr val="accent1"/>
          </a:solidFill>
          <a:ln w="19050">
            <a:solidFill>
              <a:schemeClr val="lt1"/>
            </a:solidFill>
          </a:ln>
          <a:effectLst/>
        </c:spPr>
      </c:pivotFmt>
      <c:pivotFmt>
        <c:idx val="998"/>
        <c:spPr>
          <a:solidFill>
            <a:schemeClr val="accent1"/>
          </a:solidFill>
          <a:ln w="19050">
            <a:solidFill>
              <a:schemeClr val="lt1"/>
            </a:solidFill>
          </a:ln>
          <a:effectLst/>
        </c:spPr>
      </c:pivotFmt>
      <c:pivotFmt>
        <c:idx val="999"/>
        <c:spPr>
          <a:solidFill>
            <a:schemeClr val="accent1"/>
          </a:solidFill>
          <a:ln w="19050">
            <a:solidFill>
              <a:schemeClr val="lt1"/>
            </a:solidFill>
          </a:ln>
          <a:effectLst/>
        </c:spPr>
      </c:pivotFmt>
      <c:pivotFmt>
        <c:idx val="1000"/>
        <c:spPr>
          <a:solidFill>
            <a:schemeClr val="accent1"/>
          </a:solidFill>
          <a:ln w="19050">
            <a:solidFill>
              <a:schemeClr val="lt1"/>
            </a:solidFill>
          </a:ln>
          <a:effectLst/>
        </c:spPr>
      </c:pivotFmt>
      <c:pivotFmt>
        <c:idx val="1001"/>
        <c:spPr>
          <a:solidFill>
            <a:schemeClr val="accent1"/>
          </a:solidFill>
          <a:ln w="19050">
            <a:solidFill>
              <a:schemeClr val="lt1"/>
            </a:solidFill>
          </a:ln>
          <a:effectLst/>
        </c:spPr>
      </c:pivotFmt>
      <c:pivotFmt>
        <c:idx val="1002"/>
        <c:spPr>
          <a:solidFill>
            <a:schemeClr val="accent1"/>
          </a:solidFill>
          <a:ln w="19050">
            <a:solidFill>
              <a:schemeClr val="lt1"/>
            </a:solidFill>
          </a:ln>
          <a:effectLst/>
        </c:spPr>
      </c:pivotFmt>
      <c:pivotFmt>
        <c:idx val="1003"/>
        <c:spPr>
          <a:solidFill>
            <a:schemeClr val="accent1"/>
          </a:solidFill>
          <a:ln w="19050">
            <a:solidFill>
              <a:schemeClr val="lt1"/>
            </a:solidFill>
          </a:ln>
          <a:effectLst/>
        </c:spPr>
      </c:pivotFmt>
      <c:pivotFmt>
        <c:idx val="1004"/>
        <c:spPr>
          <a:solidFill>
            <a:schemeClr val="accent1"/>
          </a:solidFill>
          <a:ln w="19050">
            <a:solidFill>
              <a:schemeClr val="lt1"/>
            </a:solidFill>
          </a:ln>
          <a:effectLst/>
        </c:spPr>
      </c:pivotFmt>
      <c:pivotFmt>
        <c:idx val="1005"/>
        <c:spPr>
          <a:solidFill>
            <a:schemeClr val="accent1"/>
          </a:solidFill>
          <a:ln w="19050">
            <a:solidFill>
              <a:schemeClr val="lt1"/>
            </a:solidFill>
          </a:ln>
          <a:effectLst/>
        </c:spPr>
      </c:pivotFmt>
      <c:pivotFmt>
        <c:idx val="1006"/>
        <c:spPr>
          <a:solidFill>
            <a:schemeClr val="accent1"/>
          </a:solidFill>
          <a:ln w="19050">
            <a:solidFill>
              <a:schemeClr val="lt1"/>
            </a:solidFill>
          </a:ln>
          <a:effectLst/>
        </c:spPr>
      </c:pivotFmt>
      <c:pivotFmt>
        <c:idx val="1007"/>
        <c:spPr>
          <a:solidFill>
            <a:schemeClr val="accent1"/>
          </a:solidFill>
          <a:ln w="19050">
            <a:solidFill>
              <a:schemeClr val="lt1"/>
            </a:solidFill>
          </a:ln>
          <a:effectLst/>
        </c:spPr>
      </c:pivotFmt>
      <c:pivotFmt>
        <c:idx val="1008"/>
        <c:spPr>
          <a:solidFill>
            <a:schemeClr val="accent1"/>
          </a:solidFill>
          <a:ln w="19050">
            <a:solidFill>
              <a:schemeClr val="lt1"/>
            </a:solidFill>
          </a:ln>
          <a:effectLst/>
        </c:spPr>
      </c:pivotFmt>
      <c:pivotFmt>
        <c:idx val="1009"/>
        <c:spPr>
          <a:solidFill>
            <a:schemeClr val="accent1"/>
          </a:solidFill>
          <a:ln w="19050">
            <a:solidFill>
              <a:schemeClr val="lt1"/>
            </a:solidFill>
          </a:ln>
          <a:effectLst/>
        </c:spPr>
      </c:pivotFmt>
      <c:pivotFmt>
        <c:idx val="1010"/>
        <c:spPr>
          <a:solidFill>
            <a:schemeClr val="accent1"/>
          </a:solidFill>
          <a:ln w="19050">
            <a:solidFill>
              <a:schemeClr val="lt1"/>
            </a:solidFill>
          </a:ln>
          <a:effectLst/>
        </c:spPr>
      </c:pivotFmt>
      <c:pivotFmt>
        <c:idx val="1011"/>
        <c:spPr>
          <a:solidFill>
            <a:schemeClr val="accent1"/>
          </a:solidFill>
          <a:ln w="19050">
            <a:solidFill>
              <a:schemeClr val="lt1"/>
            </a:solidFill>
          </a:ln>
          <a:effectLst/>
        </c:spPr>
      </c:pivotFmt>
      <c:pivotFmt>
        <c:idx val="1012"/>
        <c:spPr>
          <a:solidFill>
            <a:schemeClr val="accent1"/>
          </a:solidFill>
          <a:ln w="19050">
            <a:solidFill>
              <a:schemeClr val="lt1"/>
            </a:solidFill>
          </a:ln>
          <a:effectLst/>
        </c:spPr>
      </c:pivotFmt>
      <c:pivotFmt>
        <c:idx val="1013"/>
        <c:spPr>
          <a:solidFill>
            <a:schemeClr val="accent1"/>
          </a:solidFill>
          <a:ln w="19050">
            <a:solidFill>
              <a:schemeClr val="lt1"/>
            </a:solidFill>
          </a:ln>
          <a:effectLst/>
        </c:spPr>
      </c:pivotFmt>
      <c:pivotFmt>
        <c:idx val="1014"/>
        <c:spPr>
          <a:solidFill>
            <a:schemeClr val="accent1"/>
          </a:solidFill>
          <a:ln w="19050">
            <a:solidFill>
              <a:schemeClr val="lt1"/>
            </a:solidFill>
          </a:ln>
          <a:effectLst/>
        </c:spPr>
      </c:pivotFmt>
      <c:pivotFmt>
        <c:idx val="1015"/>
        <c:spPr>
          <a:solidFill>
            <a:schemeClr val="accent1"/>
          </a:solidFill>
          <a:ln w="19050">
            <a:solidFill>
              <a:schemeClr val="lt1"/>
            </a:solidFill>
          </a:ln>
          <a:effectLst/>
        </c:spPr>
      </c:pivotFmt>
      <c:pivotFmt>
        <c:idx val="1016"/>
        <c:spPr>
          <a:solidFill>
            <a:schemeClr val="accent1"/>
          </a:solidFill>
          <a:ln w="19050">
            <a:solidFill>
              <a:schemeClr val="lt1"/>
            </a:solidFill>
          </a:ln>
          <a:effectLst/>
        </c:spPr>
      </c:pivotFmt>
      <c:pivotFmt>
        <c:idx val="1017"/>
        <c:spPr>
          <a:solidFill>
            <a:schemeClr val="accent1"/>
          </a:solidFill>
          <a:ln w="19050">
            <a:solidFill>
              <a:schemeClr val="lt1"/>
            </a:solidFill>
          </a:ln>
          <a:effectLst/>
        </c:spPr>
      </c:pivotFmt>
      <c:pivotFmt>
        <c:idx val="1018"/>
        <c:spPr>
          <a:solidFill>
            <a:schemeClr val="accent1"/>
          </a:solidFill>
          <a:ln w="19050">
            <a:solidFill>
              <a:schemeClr val="lt1"/>
            </a:solidFill>
          </a:ln>
          <a:effectLst/>
        </c:spPr>
      </c:pivotFmt>
      <c:pivotFmt>
        <c:idx val="1019"/>
        <c:spPr>
          <a:solidFill>
            <a:schemeClr val="accent1"/>
          </a:solidFill>
          <a:ln w="19050">
            <a:solidFill>
              <a:schemeClr val="lt1"/>
            </a:solidFill>
          </a:ln>
          <a:effectLst/>
        </c:spPr>
      </c:pivotFmt>
      <c:pivotFmt>
        <c:idx val="1020"/>
        <c:spPr>
          <a:solidFill>
            <a:schemeClr val="accent1"/>
          </a:solidFill>
          <a:ln w="19050">
            <a:solidFill>
              <a:schemeClr val="lt1"/>
            </a:solidFill>
          </a:ln>
          <a:effectLst/>
        </c:spPr>
      </c:pivotFmt>
      <c:pivotFmt>
        <c:idx val="1021"/>
        <c:spPr>
          <a:solidFill>
            <a:schemeClr val="accent1"/>
          </a:solidFill>
          <a:ln w="19050">
            <a:solidFill>
              <a:schemeClr val="lt1"/>
            </a:solidFill>
          </a:ln>
          <a:effectLst/>
        </c:spPr>
      </c:pivotFmt>
      <c:pivotFmt>
        <c:idx val="1022"/>
        <c:spPr>
          <a:solidFill>
            <a:schemeClr val="accent1"/>
          </a:solidFill>
          <a:ln w="19050">
            <a:solidFill>
              <a:schemeClr val="lt1"/>
            </a:solidFill>
          </a:ln>
          <a:effectLst/>
        </c:spPr>
      </c:pivotFmt>
      <c:pivotFmt>
        <c:idx val="1023"/>
        <c:spPr>
          <a:solidFill>
            <a:schemeClr val="accent1"/>
          </a:solidFill>
          <a:ln w="19050">
            <a:solidFill>
              <a:schemeClr val="lt1"/>
            </a:solidFill>
          </a:ln>
          <a:effectLst/>
        </c:spPr>
      </c:pivotFmt>
      <c:pivotFmt>
        <c:idx val="1024"/>
        <c:spPr>
          <a:solidFill>
            <a:schemeClr val="accent1"/>
          </a:solidFill>
          <a:ln w="19050">
            <a:solidFill>
              <a:schemeClr val="lt1"/>
            </a:solidFill>
          </a:ln>
          <a:effectLst/>
        </c:spPr>
      </c:pivotFmt>
      <c:pivotFmt>
        <c:idx val="1025"/>
        <c:spPr>
          <a:solidFill>
            <a:schemeClr val="accent1"/>
          </a:solidFill>
          <a:ln w="19050">
            <a:solidFill>
              <a:schemeClr val="lt1"/>
            </a:solidFill>
          </a:ln>
          <a:effectLst/>
        </c:spPr>
      </c:pivotFmt>
      <c:pivotFmt>
        <c:idx val="1026"/>
        <c:spPr>
          <a:solidFill>
            <a:schemeClr val="accent1"/>
          </a:solidFill>
          <a:ln w="19050">
            <a:solidFill>
              <a:schemeClr val="lt1"/>
            </a:solidFill>
          </a:ln>
          <a:effectLst/>
        </c:spPr>
      </c:pivotFmt>
      <c:pivotFmt>
        <c:idx val="1027"/>
        <c:spPr>
          <a:solidFill>
            <a:schemeClr val="accent1"/>
          </a:solidFill>
          <a:ln w="19050">
            <a:solidFill>
              <a:schemeClr val="lt1"/>
            </a:solidFill>
          </a:ln>
          <a:effectLst/>
        </c:spPr>
      </c:pivotFmt>
      <c:pivotFmt>
        <c:idx val="1028"/>
        <c:spPr>
          <a:solidFill>
            <a:schemeClr val="accent1"/>
          </a:solidFill>
          <a:ln w="19050">
            <a:solidFill>
              <a:schemeClr val="lt1"/>
            </a:solidFill>
          </a:ln>
          <a:effectLst/>
        </c:spPr>
      </c:pivotFmt>
      <c:pivotFmt>
        <c:idx val="1029"/>
        <c:spPr>
          <a:solidFill>
            <a:schemeClr val="accent1"/>
          </a:solidFill>
          <a:ln w="19050">
            <a:solidFill>
              <a:schemeClr val="lt1"/>
            </a:solidFill>
          </a:ln>
          <a:effectLst/>
        </c:spPr>
      </c:pivotFmt>
      <c:pivotFmt>
        <c:idx val="1030"/>
        <c:spPr>
          <a:solidFill>
            <a:schemeClr val="accent1"/>
          </a:solidFill>
          <a:ln w="19050">
            <a:solidFill>
              <a:schemeClr val="lt1"/>
            </a:solidFill>
          </a:ln>
          <a:effectLst/>
        </c:spPr>
      </c:pivotFmt>
      <c:pivotFmt>
        <c:idx val="1031"/>
        <c:spPr>
          <a:solidFill>
            <a:schemeClr val="accent1"/>
          </a:solidFill>
          <a:ln w="19050">
            <a:solidFill>
              <a:schemeClr val="lt1"/>
            </a:solidFill>
          </a:ln>
          <a:effectLst/>
        </c:spPr>
      </c:pivotFmt>
      <c:pivotFmt>
        <c:idx val="1032"/>
        <c:spPr>
          <a:solidFill>
            <a:schemeClr val="accent1"/>
          </a:solidFill>
          <a:ln w="19050">
            <a:solidFill>
              <a:schemeClr val="lt1"/>
            </a:solidFill>
          </a:ln>
          <a:effectLst/>
        </c:spPr>
      </c:pivotFmt>
      <c:pivotFmt>
        <c:idx val="1033"/>
        <c:spPr>
          <a:solidFill>
            <a:schemeClr val="accent1"/>
          </a:solidFill>
          <a:ln w="19050">
            <a:solidFill>
              <a:schemeClr val="lt1"/>
            </a:solidFill>
          </a:ln>
          <a:effectLst/>
        </c:spPr>
      </c:pivotFmt>
      <c:pivotFmt>
        <c:idx val="1034"/>
        <c:spPr>
          <a:solidFill>
            <a:schemeClr val="accent1"/>
          </a:solidFill>
          <a:ln w="19050">
            <a:solidFill>
              <a:schemeClr val="lt1"/>
            </a:solidFill>
          </a:ln>
          <a:effectLst/>
        </c:spPr>
      </c:pivotFmt>
      <c:pivotFmt>
        <c:idx val="1035"/>
        <c:spPr>
          <a:solidFill>
            <a:schemeClr val="accent1"/>
          </a:solidFill>
          <a:ln w="19050">
            <a:solidFill>
              <a:schemeClr val="lt1"/>
            </a:solidFill>
          </a:ln>
          <a:effectLst/>
        </c:spPr>
      </c:pivotFmt>
      <c:pivotFmt>
        <c:idx val="1036"/>
        <c:spPr>
          <a:solidFill>
            <a:schemeClr val="accent1"/>
          </a:solidFill>
          <a:ln w="19050">
            <a:solidFill>
              <a:schemeClr val="lt1"/>
            </a:solidFill>
          </a:ln>
          <a:effectLst/>
        </c:spPr>
      </c:pivotFmt>
      <c:pivotFmt>
        <c:idx val="1037"/>
        <c:spPr>
          <a:solidFill>
            <a:schemeClr val="accent1"/>
          </a:solidFill>
          <a:ln w="19050">
            <a:solidFill>
              <a:schemeClr val="lt1"/>
            </a:solidFill>
          </a:ln>
          <a:effectLst/>
        </c:spPr>
      </c:pivotFmt>
      <c:pivotFmt>
        <c:idx val="1038"/>
        <c:spPr>
          <a:solidFill>
            <a:schemeClr val="accent1"/>
          </a:solidFill>
          <a:ln w="19050">
            <a:solidFill>
              <a:schemeClr val="lt1"/>
            </a:solidFill>
          </a:ln>
          <a:effectLst/>
        </c:spPr>
      </c:pivotFmt>
      <c:pivotFmt>
        <c:idx val="1039"/>
        <c:spPr>
          <a:solidFill>
            <a:schemeClr val="accent1"/>
          </a:solidFill>
          <a:ln w="19050">
            <a:solidFill>
              <a:schemeClr val="lt1"/>
            </a:solidFill>
          </a:ln>
          <a:effectLst/>
        </c:spPr>
      </c:pivotFmt>
      <c:pivotFmt>
        <c:idx val="1040"/>
        <c:spPr>
          <a:solidFill>
            <a:schemeClr val="accent1"/>
          </a:solidFill>
          <a:ln w="19050">
            <a:solidFill>
              <a:schemeClr val="lt1"/>
            </a:solidFill>
          </a:ln>
          <a:effectLst/>
        </c:spPr>
      </c:pivotFmt>
      <c:pivotFmt>
        <c:idx val="1041"/>
        <c:spPr>
          <a:solidFill>
            <a:schemeClr val="accent1"/>
          </a:solidFill>
          <a:ln w="19050">
            <a:solidFill>
              <a:schemeClr val="lt1"/>
            </a:solidFill>
          </a:ln>
          <a:effectLst/>
        </c:spPr>
      </c:pivotFmt>
      <c:pivotFmt>
        <c:idx val="1042"/>
        <c:spPr>
          <a:solidFill>
            <a:schemeClr val="accent1"/>
          </a:solidFill>
          <a:ln w="19050">
            <a:solidFill>
              <a:schemeClr val="lt1"/>
            </a:solidFill>
          </a:ln>
          <a:effectLst/>
        </c:spPr>
      </c:pivotFmt>
      <c:pivotFmt>
        <c:idx val="1043"/>
        <c:spPr>
          <a:solidFill>
            <a:schemeClr val="accent1"/>
          </a:solidFill>
          <a:ln w="19050">
            <a:solidFill>
              <a:schemeClr val="lt1"/>
            </a:solidFill>
          </a:ln>
          <a:effectLst/>
        </c:spPr>
      </c:pivotFmt>
      <c:pivotFmt>
        <c:idx val="1044"/>
        <c:spPr>
          <a:solidFill>
            <a:schemeClr val="accent1"/>
          </a:solidFill>
          <a:ln w="19050">
            <a:solidFill>
              <a:schemeClr val="lt1"/>
            </a:solidFill>
          </a:ln>
          <a:effectLst/>
        </c:spPr>
      </c:pivotFmt>
      <c:pivotFmt>
        <c:idx val="1045"/>
        <c:spPr>
          <a:solidFill>
            <a:schemeClr val="accent1"/>
          </a:solidFill>
          <a:ln w="19050">
            <a:solidFill>
              <a:schemeClr val="lt1"/>
            </a:solidFill>
          </a:ln>
          <a:effectLst/>
        </c:spPr>
      </c:pivotFmt>
      <c:pivotFmt>
        <c:idx val="1046"/>
        <c:spPr>
          <a:solidFill>
            <a:schemeClr val="accent1"/>
          </a:solidFill>
          <a:ln w="19050">
            <a:solidFill>
              <a:schemeClr val="lt1"/>
            </a:solidFill>
          </a:ln>
          <a:effectLst/>
        </c:spPr>
      </c:pivotFmt>
      <c:pivotFmt>
        <c:idx val="1047"/>
        <c:spPr>
          <a:solidFill>
            <a:schemeClr val="accent1"/>
          </a:solidFill>
          <a:ln w="19050">
            <a:solidFill>
              <a:schemeClr val="lt1"/>
            </a:solidFill>
          </a:ln>
          <a:effectLst/>
        </c:spPr>
      </c:pivotFmt>
      <c:pivotFmt>
        <c:idx val="1048"/>
        <c:spPr>
          <a:solidFill>
            <a:schemeClr val="accent1"/>
          </a:solidFill>
          <a:ln w="19050">
            <a:solidFill>
              <a:schemeClr val="lt1"/>
            </a:solidFill>
          </a:ln>
          <a:effectLst/>
        </c:spPr>
      </c:pivotFmt>
      <c:pivotFmt>
        <c:idx val="1049"/>
        <c:spPr>
          <a:solidFill>
            <a:schemeClr val="accent1"/>
          </a:solidFill>
          <a:ln w="19050">
            <a:solidFill>
              <a:schemeClr val="lt1"/>
            </a:solidFill>
          </a:ln>
          <a:effectLst/>
        </c:spPr>
      </c:pivotFmt>
      <c:pivotFmt>
        <c:idx val="1050"/>
        <c:spPr>
          <a:solidFill>
            <a:schemeClr val="accent1"/>
          </a:solidFill>
          <a:ln w="19050">
            <a:solidFill>
              <a:schemeClr val="lt1"/>
            </a:solidFill>
          </a:ln>
          <a:effectLst/>
        </c:spPr>
      </c:pivotFmt>
      <c:pivotFmt>
        <c:idx val="1051"/>
        <c:spPr>
          <a:solidFill>
            <a:schemeClr val="accent1"/>
          </a:solidFill>
          <a:ln w="19050">
            <a:solidFill>
              <a:schemeClr val="lt1"/>
            </a:solidFill>
          </a:ln>
          <a:effectLst/>
        </c:spPr>
      </c:pivotFmt>
      <c:pivotFmt>
        <c:idx val="1052"/>
        <c:spPr>
          <a:solidFill>
            <a:schemeClr val="accent1"/>
          </a:solidFill>
          <a:ln w="19050">
            <a:solidFill>
              <a:schemeClr val="lt1"/>
            </a:solidFill>
          </a:ln>
          <a:effectLst/>
        </c:spPr>
      </c:pivotFmt>
      <c:pivotFmt>
        <c:idx val="1053"/>
        <c:spPr>
          <a:solidFill>
            <a:schemeClr val="accent1"/>
          </a:solidFill>
          <a:ln w="19050">
            <a:solidFill>
              <a:schemeClr val="lt1"/>
            </a:solidFill>
          </a:ln>
          <a:effectLst/>
        </c:spPr>
      </c:pivotFmt>
      <c:pivotFmt>
        <c:idx val="1054"/>
        <c:spPr>
          <a:solidFill>
            <a:schemeClr val="accent1"/>
          </a:solidFill>
          <a:ln w="19050">
            <a:solidFill>
              <a:schemeClr val="lt1"/>
            </a:solidFill>
          </a:ln>
          <a:effectLst/>
        </c:spPr>
      </c:pivotFmt>
      <c:pivotFmt>
        <c:idx val="1055"/>
        <c:spPr>
          <a:solidFill>
            <a:schemeClr val="accent1"/>
          </a:solidFill>
          <a:ln w="19050">
            <a:solidFill>
              <a:schemeClr val="lt1"/>
            </a:solidFill>
          </a:ln>
          <a:effectLst/>
        </c:spPr>
      </c:pivotFmt>
      <c:pivotFmt>
        <c:idx val="1056"/>
        <c:spPr>
          <a:solidFill>
            <a:schemeClr val="accent1"/>
          </a:solidFill>
          <a:ln w="19050">
            <a:solidFill>
              <a:schemeClr val="lt1"/>
            </a:solidFill>
          </a:ln>
          <a:effectLst/>
        </c:spPr>
      </c:pivotFmt>
      <c:pivotFmt>
        <c:idx val="1057"/>
        <c:spPr>
          <a:solidFill>
            <a:schemeClr val="accent1"/>
          </a:solidFill>
          <a:ln w="19050">
            <a:solidFill>
              <a:schemeClr val="lt1"/>
            </a:solidFill>
          </a:ln>
          <a:effectLst/>
        </c:spPr>
      </c:pivotFmt>
      <c:pivotFmt>
        <c:idx val="1058"/>
        <c:spPr>
          <a:solidFill>
            <a:schemeClr val="accent1"/>
          </a:solidFill>
          <a:ln w="19050">
            <a:solidFill>
              <a:schemeClr val="lt1"/>
            </a:solidFill>
          </a:ln>
          <a:effectLst/>
        </c:spPr>
      </c:pivotFmt>
      <c:pivotFmt>
        <c:idx val="1059"/>
        <c:spPr>
          <a:solidFill>
            <a:schemeClr val="accent1"/>
          </a:solidFill>
          <a:ln w="19050">
            <a:solidFill>
              <a:schemeClr val="lt1"/>
            </a:solidFill>
          </a:ln>
          <a:effectLst/>
        </c:spPr>
      </c:pivotFmt>
      <c:pivotFmt>
        <c:idx val="1060"/>
        <c:spPr>
          <a:solidFill>
            <a:schemeClr val="accent1"/>
          </a:solidFill>
          <a:ln w="19050">
            <a:solidFill>
              <a:schemeClr val="lt1"/>
            </a:solidFill>
          </a:ln>
          <a:effectLst/>
        </c:spPr>
      </c:pivotFmt>
      <c:pivotFmt>
        <c:idx val="1061"/>
        <c:spPr>
          <a:solidFill>
            <a:schemeClr val="accent1"/>
          </a:solidFill>
          <a:ln w="19050">
            <a:solidFill>
              <a:schemeClr val="lt1"/>
            </a:solidFill>
          </a:ln>
          <a:effectLst/>
        </c:spPr>
      </c:pivotFmt>
      <c:pivotFmt>
        <c:idx val="1062"/>
        <c:spPr>
          <a:solidFill>
            <a:schemeClr val="accent1"/>
          </a:solidFill>
          <a:ln w="19050">
            <a:solidFill>
              <a:schemeClr val="lt1"/>
            </a:solidFill>
          </a:ln>
          <a:effectLst/>
        </c:spPr>
      </c:pivotFmt>
      <c:pivotFmt>
        <c:idx val="1063"/>
        <c:spPr>
          <a:solidFill>
            <a:schemeClr val="accent1"/>
          </a:solidFill>
          <a:ln w="19050">
            <a:solidFill>
              <a:schemeClr val="lt1"/>
            </a:solidFill>
          </a:ln>
          <a:effectLst/>
        </c:spPr>
      </c:pivotFmt>
      <c:pivotFmt>
        <c:idx val="1064"/>
        <c:spPr>
          <a:solidFill>
            <a:schemeClr val="accent1"/>
          </a:solidFill>
          <a:ln w="19050">
            <a:solidFill>
              <a:schemeClr val="lt1"/>
            </a:solidFill>
          </a:ln>
          <a:effectLst/>
        </c:spPr>
      </c:pivotFmt>
      <c:pivotFmt>
        <c:idx val="1065"/>
        <c:spPr>
          <a:solidFill>
            <a:schemeClr val="accent1"/>
          </a:solidFill>
          <a:ln w="19050">
            <a:solidFill>
              <a:schemeClr val="lt1"/>
            </a:solidFill>
          </a:ln>
          <a:effectLst/>
        </c:spPr>
      </c:pivotFmt>
      <c:pivotFmt>
        <c:idx val="1066"/>
        <c:spPr>
          <a:solidFill>
            <a:schemeClr val="accent1"/>
          </a:solidFill>
          <a:ln w="19050">
            <a:solidFill>
              <a:schemeClr val="lt1"/>
            </a:solidFill>
          </a:ln>
          <a:effectLst/>
        </c:spPr>
      </c:pivotFmt>
      <c:pivotFmt>
        <c:idx val="1067"/>
        <c:spPr>
          <a:solidFill>
            <a:schemeClr val="accent1"/>
          </a:solidFill>
          <a:ln w="19050">
            <a:solidFill>
              <a:schemeClr val="lt1"/>
            </a:solidFill>
          </a:ln>
          <a:effectLst/>
        </c:spPr>
      </c:pivotFmt>
      <c:pivotFmt>
        <c:idx val="1068"/>
        <c:spPr>
          <a:solidFill>
            <a:schemeClr val="accent1"/>
          </a:solidFill>
          <a:ln w="19050">
            <a:solidFill>
              <a:schemeClr val="lt1"/>
            </a:solidFill>
          </a:ln>
          <a:effectLst/>
        </c:spPr>
      </c:pivotFmt>
      <c:pivotFmt>
        <c:idx val="1069"/>
        <c:spPr>
          <a:solidFill>
            <a:schemeClr val="accent1"/>
          </a:solidFill>
          <a:ln w="19050">
            <a:solidFill>
              <a:schemeClr val="lt1"/>
            </a:solidFill>
          </a:ln>
          <a:effectLst/>
        </c:spPr>
      </c:pivotFmt>
      <c:pivotFmt>
        <c:idx val="1070"/>
        <c:spPr>
          <a:solidFill>
            <a:schemeClr val="accent1"/>
          </a:solidFill>
          <a:ln w="19050">
            <a:solidFill>
              <a:schemeClr val="lt1"/>
            </a:solidFill>
          </a:ln>
          <a:effectLst/>
        </c:spPr>
      </c:pivotFmt>
      <c:pivotFmt>
        <c:idx val="1071"/>
        <c:spPr>
          <a:solidFill>
            <a:schemeClr val="accent1"/>
          </a:solidFill>
          <a:ln w="19050">
            <a:solidFill>
              <a:schemeClr val="lt1"/>
            </a:solidFill>
          </a:ln>
          <a:effectLst/>
        </c:spPr>
      </c:pivotFmt>
      <c:pivotFmt>
        <c:idx val="1072"/>
        <c:spPr>
          <a:solidFill>
            <a:schemeClr val="accent1"/>
          </a:solidFill>
          <a:ln w="19050">
            <a:solidFill>
              <a:schemeClr val="lt1"/>
            </a:solidFill>
          </a:ln>
          <a:effectLst/>
        </c:spPr>
      </c:pivotFmt>
      <c:pivotFmt>
        <c:idx val="1073"/>
        <c:spPr>
          <a:solidFill>
            <a:schemeClr val="accent1"/>
          </a:solidFill>
          <a:ln w="19050">
            <a:solidFill>
              <a:schemeClr val="lt1"/>
            </a:solidFill>
          </a:ln>
          <a:effectLst/>
        </c:spPr>
      </c:pivotFmt>
      <c:pivotFmt>
        <c:idx val="1074"/>
        <c:spPr>
          <a:solidFill>
            <a:schemeClr val="accent1"/>
          </a:solidFill>
          <a:ln w="19050">
            <a:solidFill>
              <a:schemeClr val="lt1"/>
            </a:solidFill>
          </a:ln>
          <a:effectLst/>
        </c:spPr>
      </c:pivotFmt>
      <c:pivotFmt>
        <c:idx val="1075"/>
        <c:spPr>
          <a:solidFill>
            <a:schemeClr val="accent1"/>
          </a:solidFill>
          <a:ln w="19050">
            <a:solidFill>
              <a:schemeClr val="lt1"/>
            </a:solidFill>
          </a:ln>
          <a:effectLst/>
        </c:spPr>
      </c:pivotFmt>
      <c:pivotFmt>
        <c:idx val="1076"/>
        <c:spPr>
          <a:solidFill>
            <a:schemeClr val="accent1"/>
          </a:solidFill>
          <a:ln w="19050">
            <a:solidFill>
              <a:schemeClr val="lt1"/>
            </a:solidFill>
          </a:ln>
          <a:effectLst/>
        </c:spPr>
      </c:pivotFmt>
      <c:pivotFmt>
        <c:idx val="1077"/>
        <c:spPr>
          <a:solidFill>
            <a:schemeClr val="accent1"/>
          </a:solidFill>
          <a:ln w="19050">
            <a:solidFill>
              <a:schemeClr val="lt1"/>
            </a:solidFill>
          </a:ln>
          <a:effectLst/>
        </c:spPr>
      </c:pivotFmt>
      <c:pivotFmt>
        <c:idx val="1078"/>
        <c:spPr>
          <a:solidFill>
            <a:schemeClr val="accent1"/>
          </a:solidFill>
          <a:ln w="19050">
            <a:solidFill>
              <a:schemeClr val="lt1"/>
            </a:solidFill>
          </a:ln>
          <a:effectLst/>
        </c:spPr>
      </c:pivotFmt>
      <c:pivotFmt>
        <c:idx val="1079"/>
        <c:spPr>
          <a:solidFill>
            <a:schemeClr val="accent1"/>
          </a:solidFill>
          <a:ln w="19050">
            <a:solidFill>
              <a:schemeClr val="lt1"/>
            </a:solidFill>
          </a:ln>
          <a:effectLst/>
        </c:spPr>
      </c:pivotFmt>
      <c:pivotFmt>
        <c:idx val="1080"/>
        <c:spPr>
          <a:solidFill>
            <a:schemeClr val="accent1"/>
          </a:solidFill>
          <a:ln w="19050">
            <a:solidFill>
              <a:schemeClr val="lt1"/>
            </a:solidFill>
          </a:ln>
          <a:effectLst/>
        </c:spPr>
      </c:pivotFmt>
      <c:pivotFmt>
        <c:idx val="1081"/>
        <c:spPr>
          <a:solidFill>
            <a:schemeClr val="accent1"/>
          </a:solidFill>
          <a:ln w="19050">
            <a:solidFill>
              <a:schemeClr val="lt1"/>
            </a:solidFill>
          </a:ln>
          <a:effectLst/>
        </c:spPr>
      </c:pivotFmt>
      <c:pivotFmt>
        <c:idx val="1082"/>
        <c:spPr>
          <a:solidFill>
            <a:schemeClr val="accent1"/>
          </a:solidFill>
          <a:ln w="19050">
            <a:solidFill>
              <a:schemeClr val="lt1"/>
            </a:solidFill>
          </a:ln>
          <a:effectLst/>
        </c:spPr>
      </c:pivotFmt>
      <c:pivotFmt>
        <c:idx val="1083"/>
        <c:spPr>
          <a:solidFill>
            <a:schemeClr val="accent1"/>
          </a:solidFill>
          <a:ln w="19050">
            <a:solidFill>
              <a:schemeClr val="lt1"/>
            </a:solidFill>
          </a:ln>
          <a:effectLst/>
        </c:spPr>
      </c:pivotFmt>
      <c:pivotFmt>
        <c:idx val="1084"/>
        <c:spPr>
          <a:solidFill>
            <a:schemeClr val="accent1"/>
          </a:solidFill>
          <a:ln w="19050">
            <a:solidFill>
              <a:schemeClr val="lt1"/>
            </a:solidFill>
          </a:ln>
          <a:effectLst/>
        </c:spPr>
      </c:pivotFmt>
      <c:pivotFmt>
        <c:idx val="1085"/>
        <c:spPr>
          <a:solidFill>
            <a:schemeClr val="accent1"/>
          </a:solidFill>
          <a:ln w="19050">
            <a:solidFill>
              <a:schemeClr val="lt1"/>
            </a:solidFill>
          </a:ln>
          <a:effectLst/>
        </c:spPr>
      </c:pivotFmt>
      <c:pivotFmt>
        <c:idx val="1086"/>
        <c:spPr>
          <a:solidFill>
            <a:schemeClr val="accent1"/>
          </a:solidFill>
          <a:ln w="19050">
            <a:solidFill>
              <a:schemeClr val="lt1"/>
            </a:solidFill>
          </a:ln>
          <a:effectLst/>
        </c:spPr>
      </c:pivotFmt>
      <c:pivotFmt>
        <c:idx val="1087"/>
        <c:spPr>
          <a:solidFill>
            <a:schemeClr val="accent1"/>
          </a:solidFill>
          <a:ln w="19050">
            <a:solidFill>
              <a:schemeClr val="lt1"/>
            </a:solidFill>
          </a:ln>
          <a:effectLst/>
        </c:spPr>
      </c:pivotFmt>
      <c:pivotFmt>
        <c:idx val="1088"/>
        <c:spPr>
          <a:solidFill>
            <a:schemeClr val="accent1"/>
          </a:solidFill>
          <a:ln w="19050">
            <a:solidFill>
              <a:schemeClr val="lt1"/>
            </a:solidFill>
          </a:ln>
          <a:effectLst/>
        </c:spPr>
      </c:pivotFmt>
      <c:pivotFmt>
        <c:idx val="1089"/>
        <c:spPr>
          <a:solidFill>
            <a:schemeClr val="accent1"/>
          </a:solidFill>
          <a:ln w="19050">
            <a:solidFill>
              <a:schemeClr val="lt1"/>
            </a:solidFill>
          </a:ln>
          <a:effectLst/>
        </c:spPr>
      </c:pivotFmt>
      <c:pivotFmt>
        <c:idx val="1090"/>
        <c:spPr>
          <a:solidFill>
            <a:schemeClr val="accent1"/>
          </a:solidFill>
          <a:ln w="19050">
            <a:solidFill>
              <a:schemeClr val="lt1"/>
            </a:solidFill>
          </a:ln>
          <a:effectLst/>
        </c:spPr>
      </c:pivotFmt>
      <c:pivotFmt>
        <c:idx val="1091"/>
        <c:spPr>
          <a:solidFill>
            <a:schemeClr val="accent1"/>
          </a:solidFill>
          <a:ln w="19050">
            <a:solidFill>
              <a:schemeClr val="lt1"/>
            </a:solidFill>
          </a:ln>
          <a:effectLst/>
        </c:spPr>
      </c:pivotFmt>
      <c:pivotFmt>
        <c:idx val="1092"/>
        <c:spPr>
          <a:solidFill>
            <a:schemeClr val="accent1"/>
          </a:solidFill>
          <a:ln w="19050">
            <a:solidFill>
              <a:schemeClr val="lt1"/>
            </a:solidFill>
          </a:ln>
          <a:effectLst/>
        </c:spPr>
      </c:pivotFmt>
      <c:pivotFmt>
        <c:idx val="1093"/>
        <c:spPr>
          <a:solidFill>
            <a:schemeClr val="accent1"/>
          </a:solidFill>
          <a:ln w="19050">
            <a:solidFill>
              <a:schemeClr val="lt1"/>
            </a:solidFill>
          </a:ln>
          <a:effectLst/>
        </c:spPr>
      </c:pivotFmt>
      <c:pivotFmt>
        <c:idx val="1094"/>
        <c:spPr>
          <a:solidFill>
            <a:schemeClr val="accent1"/>
          </a:solidFill>
          <a:ln w="19050">
            <a:solidFill>
              <a:schemeClr val="lt1"/>
            </a:solidFill>
          </a:ln>
          <a:effectLst/>
        </c:spPr>
      </c:pivotFmt>
      <c:pivotFmt>
        <c:idx val="1095"/>
        <c:spPr>
          <a:solidFill>
            <a:schemeClr val="accent1"/>
          </a:solidFill>
          <a:ln w="19050">
            <a:solidFill>
              <a:schemeClr val="lt1"/>
            </a:solidFill>
          </a:ln>
          <a:effectLst/>
        </c:spPr>
      </c:pivotFmt>
      <c:pivotFmt>
        <c:idx val="1096"/>
        <c:spPr>
          <a:solidFill>
            <a:schemeClr val="accent1"/>
          </a:solidFill>
          <a:ln w="19050">
            <a:solidFill>
              <a:schemeClr val="lt1"/>
            </a:solidFill>
          </a:ln>
          <a:effectLst/>
        </c:spPr>
      </c:pivotFmt>
      <c:pivotFmt>
        <c:idx val="1097"/>
        <c:spPr>
          <a:solidFill>
            <a:schemeClr val="accent1"/>
          </a:solidFill>
          <a:ln w="19050">
            <a:solidFill>
              <a:schemeClr val="lt1"/>
            </a:solidFill>
          </a:ln>
          <a:effectLst/>
        </c:spPr>
      </c:pivotFmt>
      <c:pivotFmt>
        <c:idx val="1098"/>
        <c:spPr>
          <a:solidFill>
            <a:schemeClr val="accent1"/>
          </a:solidFill>
          <a:ln w="19050">
            <a:solidFill>
              <a:schemeClr val="lt1"/>
            </a:solidFill>
          </a:ln>
          <a:effectLst/>
        </c:spPr>
      </c:pivotFmt>
      <c:pivotFmt>
        <c:idx val="1099"/>
        <c:spPr>
          <a:solidFill>
            <a:schemeClr val="accent1"/>
          </a:solidFill>
          <a:ln w="19050">
            <a:solidFill>
              <a:schemeClr val="lt1"/>
            </a:solidFill>
          </a:ln>
          <a:effectLst/>
        </c:spPr>
      </c:pivotFmt>
      <c:pivotFmt>
        <c:idx val="1100"/>
        <c:spPr>
          <a:solidFill>
            <a:schemeClr val="accent1"/>
          </a:solidFill>
          <a:ln w="19050">
            <a:solidFill>
              <a:schemeClr val="lt1"/>
            </a:solidFill>
          </a:ln>
          <a:effectLst/>
        </c:spPr>
      </c:pivotFmt>
      <c:pivotFmt>
        <c:idx val="1101"/>
        <c:spPr>
          <a:solidFill>
            <a:schemeClr val="accent1"/>
          </a:solidFill>
          <a:ln w="19050">
            <a:solidFill>
              <a:schemeClr val="lt1"/>
            </a:solidFill>
          </a:ln>
          <a:effectLst/>
        </c:spPr>
      </c:pivotFmt>
      <c:pivotFmt>
        <c:idx val="1102"/>
        <c:spPr>
          <a:solidFill>
            <a:schemeClr val="accent1"/>
          </a:solidFill>
          <a:ln w="19050">
            <a:solidFill>
              <a:schemeClr val="lt1"/>
            </a:solidFill>
          </a:ln>
          <a:effectLst/>
        </c:spPr>
      </c:pivotFmt>
      <c:pivotFmt>
        <c:idx val="1103"/>
        <c:spPr>
          <a:solidFill>
            <a:schemeClr val="accent1"/>
          </a:solidFill>
          <a:ln w="19050">
            <a:solidFill>
              <a:schemeClr val="lt1"/>
            </a:solidFill>
          </a:ln>
          <a:effectLst/>
        </c:spPr>
      </c:pivotFmt>
      <c:pivotFmt>
        <c:idx val="1104"/>
        <c:spPr>
          <a:solidFill>
            <a:schemeClr val="accent1"/>
          </a:solidFill>
          <a:ln w="19050">
            <a:solidFill>
              <a:schemeClr val="lt1"/>
            </a:solidFill>
          </a:ln>
          <a:effectLst/>
        </c:spPr>
      </c:pivotFmt>
      <c:pivotFmt>
        <c:idx val="1105"/>
        <c:spPr>
          <a:solidFill>
            <a:schemeClr val="accent1"/>
          </a:solidFill>
          <a:ln w="19050">
            <a:solidFill>
              <a:schemeClr val="lt1"/>
            </a:solidFill>
          </a:ln>
          <a:effectLst/>
        </c:spPr>
      </c:pivotFmt>
      <c:pivotFmt>
        <c:idx val="1106"/>
        <c:spPr>
          <a:solidFill>
            <a:schemeClr val="accent1"/>
          </a:solidFill>
          <a:ln w="19050">
            <a:solidFill>
              <a:schemeClr val="lt1"/>
            </a:solidFill>
          </a:ln>
          <a:effectLst/>
        </c:spPr>
      </c:pivotFmt>
    </c:pivotFmts>
    <c:plotArea>
      <c:layout/>
      <c:pieChart>
        <c:varyColors val="1"/>
        <c:ser>
          <c:idx val="0"/>
          <c:order val="0"/>
          <c:tx>
            <c:strRef>
              <c:f>Sheet7!$B$3</c:f>
              <c:strCache>
                <c:ptCount val="1"/>
                <c:pt idx="0">
                  <c:v>Total</c:v>
                </c:pt>
              </c:strCache>
            </c:strRef>
          </c:tx>
          <c:explosion val="23"/>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550-4BBA-9999-EF7C156A6B0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550-4BBA-9999-EF7C156A6B0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550-4BBA-9999-EF7C156A6B0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550-4BBA-9999-EF7C156A6B08}"/>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3550-4BBA-9999-EF7C156A6B08}"/>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3550-4BBA-9999-EF7C156A6B08}"/>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3550-4BBA-9999-EF7C156A6B08}"/>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3550-4BBA-9999-EF7C156A6B08}"/>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3550-4BBA-9999-EF7C156A6B08}"/>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3550-4BBA-9999-EF7C156A6B08}"/>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3550-4BBA-9999-EF7C156A6B08}"/>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3550-4BBA-9999-EF7C156A6B08}"/>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3550-4BBA-9999-EF7C156A6B08}"/>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3550-4BBA-9999-EF7C156A6B08}"/>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3550-4BBA-9999-EF7C156A6B08}"/>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3550-4BBA-9999-EF7C156A6B08}"/>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3550-4BBA-9999-EF7C156A6B08}"/>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3550-4BBA-9999-EF7C156A6B08}"/>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3550-4BBA-9999-EF7C156A6B08}"/>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3550-4BBA-9999-EF7C156A6B08}"/>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3550-4BBA-9999-EF7C156A6B08}"/>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3550-4BBA-9999-EF7C156A6B08}"/>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3550-4BBA-9999-EF7C156A6B08}"/>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3550-4BBA-9999-EF7C156A6B08}"/>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3550-4BBA-9999-EF7C156A6B08}"/>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3550-4BBA-9999-EF7C156A6B08}"/>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3550-4BBA-9999-EF7C156A6B08}"/>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3550-4BBA-9999-EF7C156A6B08}"/>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3550-4BBA-9999-EF7C156A6B08}"/>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3550-4BBA-9999-EF7C156A6B08}"/>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3550-4BBA-9999-EF7C156A6B08}"/>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3550-4BBA-9999-EF7C156A6B08}"/>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3550-4BBA-9999-EF7C156A6B08}"/>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3550-4BBA-9999-EF7C156A6B08}"/>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3550-4BBA-9999-EF7C156A6B08}"/>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3550-4BBA-9999-EF7C156A6B08}"/>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3550-4BBA-9999-EF7C156A6B08}"/>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3550-4BBA-9999-EF7C156A6B08}"/>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3550-4BBA-9999-EF7C156A6B08}"/>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3550-4BBA-9999-EF7C156A6B08}"/>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3550-4BBA-9999-EF7C156A6B08}"/>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3550-4BBA-9999-EF7C156A6B08}"/>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3550-4BBA-9999-EF7C156A6B08}"/>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3550-4BBA-9999-EF7C156A6B08}"/>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3550-4BBA-9999-EF7C156A6B08}"/>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3550-4BBA-9999-EF7C156A6B08}"/>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3550-4BBA-9999-EF7C156A6B08}"/>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3550-4BBA-9999-EF7C156A6B08}"/>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3550-4BBA-9999-EF7C156A6B08}"/>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3550-4BBA-9999-EF7C156A6B08}"/>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3550-4BBA-9999-EF7C156A6B08}"/>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3550-4BBA-9999-EF7C156A6B08}"/>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3550-4BBA-9999-EF7C156A6B08}"/>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3550-4BBA-9999-EF7C156A6B08}"/>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3550-4BBA-9999-EF7C156A6B08}"/>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3550-4BBA-9999-EF7C156A6B08}"/>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3550-4BBA-9999-EF7C156A6B08}"/>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3550-4BBA-9999-EF7C156A6B08}"/>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3550-4BBA-9999-EF7C156A6B08}"/>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3550-4BBA-9999-EF7C156A6B08}"/>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3550-4BBA-9999-EF7C156A6B08}"/>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3550-4BBA-9999-EF7C156A6B08}"/>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7D-3550-4BBA-9999-EF7C156A6B08}"/>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7F-3550-4BBA-9999-EF7C156A6B08}"/>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81-3550-4BBA-9999-EF7C156A6B08}"/>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83-3550-4BBA-9999-EF7C156A6B08}"/>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85-3550-4BBA-9999-EF7C156A6B08}"/>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87-3550-4BBA-9999-EF7C156A6B08}"/>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89-3550-4BBA-9999-EF7C156A6B08}"/>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8B-3550-4BBA-9999-EF7C156A6B08}"/>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8D-3550-4BBA-9999-EF7C156A6B08}"/>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8F-3550-4BBA-9999-EF7C156A6B08}"/>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91-3550-4BBA-9999-EF7C156A6B08}"/>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93-3550-4BBA-9999-EF7C156A6B08}"/>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95-3550-4BBA-9999-EF7C156A6B08}"/>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97-3550-4BBA-9999-EF7C156A6B08}"/>
              </c:ext>
            </c:extLst>
          </c:dPt>
          <c:dPt>
            <c:idx val="76"/>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99-3550-4BBA-9999-EF7C156A6B08}"/>
              </c:ext>
            </c:extLst>
          </c:dPt>
          <c:dPt>
            <c:idx val="77"/>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9B-3550-4BBA-9999-EF7C156A6B08}"/>
              </c:ext>
            </c:extLst>
          </c:dPt>
          <c:dPt>
            <c:idx val="78"/>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9D-3550-4BBA-9999-EF7C156A6B08}"/>
              </c:ext>
            </c:extLst>
          </c:dPt>
          <c:dPt>
            <c:idx val="79"/>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9F-3550-4BBA-9999-EF7C156A6B08}"/>
              </c:ext>
            </c:extLst>
          </c:dPt>
          <c:dPt>
            <c:idx val="80"/>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A1-3550-4BBA-9999-EF7C156A6B08}"/>
              </c:ext>
            </c:extLst>
          </c:dPt>
          <c:dPt>
            <c:idx val="81"/>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A3-3550-4BBA-9999-EF7C156A6B08}"/>
              </c:ext>
            </c:extLst>
          </c:dPt>
          <c:dPt>
            <c:idx val="82"/>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A5-3550-4BBA-9999-EF7C156A6B08}"/>
              </c:ext>
            </c:extLst>
          </c:dPt>
          <c:dPt>
            <c:idx val="83"/>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A7-3550-4BBA-9999-EF7C156A6B08}"/>
              </c:ext>
            </c:extLst>
          </c:dPt>
          <c:dPt>
            <c:idx val="84"/>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A9-3550-4BBA-9999-EF7C156A6B08}"/>
              </c:ext>
            </c:extLst>
          </c:dPt>
          <c:dPt>
            <c:idx val="85"/>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AB-3550-4BBA-9999-EF7C156A6B08}"/>
              </c:ext>
            </c:extLst>
          </c:dPt>
          <c:dPt>
            <c:idx val="86"/>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AD-3550-4BBA-9999-EF7C156A6B08}"/>
              </c:ext>
            </c:extLst>
          </c:dPt>
          <c:dPt>
            <c:idx val="87"/>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AF-3550-4BBA-9999-EF7C156A6B08}"/>
              </c:ext>
            </c:extLst>
          </c:dPt>
          <c:dPt>
            <c:idx val="88"/>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B1-3550-4BBA-9999-EF7C156A6B08}"/>
              </c:ext>
            </c:extLst>
          </c:dPt>
          <c:dPt>
            <c:idx val="89"/>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B3-3550-4BBA-9999-EF7C156A6B08}"/>
              </c:ext>
            </c:extLst>
          </c:dPt>
          <c:dPt>
            <c:idx val="90"/>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B5-3550-4BBA-9999-EF7C156A6B08}"/>
              </c:ext>
            </c:extLst>
          </c:dPt>
          <c:dPt>
            <c:idx val="91"/>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B7-3550-4BBA-9999-EF7C156A6B08}"/>
              </c:ext>
            </c:extLst>
          </c:dPt>
          <c:dPt>
            <c:idx val="92"/>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B9-3550-4BBA-9999-EF7C156A6B08}"/>
              </c:ext>
            </c:extLst>
          </c:dPt>
          <c:dPt>
            <c:idx val="93"/>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BB-3550-4BBA-9999-EF7C156A6B08}"/>
              </c:ext>
            </c:extLst>
          </c:dPt>
          <c:dPt>
            <c:idx val="94"/>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BD-3550-4BBA-9999-EF7C156A6B08}"/>
              </c:ext>
            </c:extLst>
          </c:dPt>
          <c:dPt>
            <c:idx val="95"/>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BF-3550-4BBA-9999-EF7C156A6B08}"/>
              </c:ext>
            </c:extLst>
          </c:dPt>
          <c:dPt>
            <c:idx val="96"/>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C1-3550-4BBA-9999-EF7C156A6B08}"/>
              </c:ext>
            </c:extLst>
          </c:dPt>
          <c:dPt>
            <c:idx val="97"/>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C3-3550-4BBA-9999-EF7C156A6B08}"/>
              </c:ext>
            </c:extLst>
          </c:dPt>
          <c:dPt>
            <c:idx val="98"/>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C5-3550-4BBA-9999-EF7C156A6B08}"/>
              </c:ext>
            </c:extLst>
          </c:dPt>
          <c:dPt>
            <c:idx val="99"/>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C7-3550-4BBA-9999-EF7C156A6B08}"/>
              </c:ext>
            </c:extLst>
          </c:dPt>
          <c:dPt>
            <c:idx val="100"/>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C9-3550-4BBA-9999-EF7C156A6B08}"/>
              </c:ext>
            </c:extLst>
          </c:dPt>
          <c:dPt>
            <c:idx val="101"/>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CB-3550-4BBA-9999-EF7C156A6B08}"/>
              </c:ext>
            </c:extLst>
          </c:dPt>
          <c:dPt>
            <c:idx val="102"/>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CD-3550-4BBA-9999-EF7C156A6B08}"/>
              </c:ext>
            </c:extLst>
          </c:dPt>
          <c:dPt>
            <c:idx val="103"/>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CF-3550-4BBA-9999-EF7C156A6B08}"/>
              </c:ext>
            </c:extLst>
          </c:dPt>
          <c:dPt>
            <c:idx val="104"/>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D1-3550-4BBA-9999-EF7C156A6B08}"/>
              </c:ext>
            </c:extLst>
          </c:dPt>
          <c:dPt>
            <c:idx val="105"/>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D3-3550-4BBA-9999-EF7C156A6B08}"/>
              </c:ext>
            </c:extLst>
          </c:dPt>
          <c:dPt>
            <c:idx val="106"/>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D5-3550-4BBA-9999-EF7C156A6B08}"/>
              </c:ext>
            </c:extLst>
          </c:dPt>
          <c:dPt>
            <c:idx val="107"/>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D7-3550-4BBA-9999-EF7C156A6B08}"/>
              </c:ext>
            </c:extLst>
          </c:dPt>
          <c:dPt>
            <c:idx val="108"/>
            <c:bubble3D val="0"/>
            <c:spPr>
              <a:solidFill>
                <a:schemeClr val="accent1"/>
              </a:solidFill>
              <a:ln w="19050">
                <a:solidFill>
                  <a:schemeClr val="lt1"/>
                </a:solidFill>
              </a:ln>
              <a:effectLst/>
            </c:spPr>
            <c:extLst>
              <c:ext xmlns:c16="http://schemas.microsoft.com/office/drawing/2014/chart" uri="{C3380CC4-5D6E-409C-BE32-E72D297353CC}">
                <c16:uniqueId val="{000000D9-3550-4BBA-9999-EF7C156A6B08}"/>
              </c:ext>
            </c:extLst>
          </c:dPt>
          <c:dPt>
            <c:idx val="109"/>
            <c:bubble3D val="0"/>
            <c:spPr>
              <a:solidFill>
                <a:schemeClr val="accent2"/>
              </a:solidFill>
              <a:ln w="19050">
                <a:solidFill>
                  <a:schemeClr val="lt1"/>
                </a:solidFill>
              </a:ln>
              <a:effectLst/>
            </c:spPr>
            <c:extLst>
              <c:ext xmlns:c16="http://schemas.microsoft.com/office/drawing/2014/chart" uri="{C3380CC4-5D6E-409C-BE32-E72D297353CC}">
                <c16:uniqueId val="{000000DB-3550-4BBA-9999-EF7C156A6B08}"/>
              </c:ext>
            </c:extLst>
          </c:dPt>
          <c:dPt>
            <c:idx val="110"/>
            <c:bubble3D val="0"/>
            <c:spPr>
              <a:solidFill>
                <a:schemeClr val="accent3"/>
              </a:solidFill>
              <a:ln w="19050">
                <a:solidFill>
                  <a:schemeClr val="lt1"/>
                </a:solidFill>
              </a:ln>
              <a:effectLst/>
            </c:spPr>
            <c:extLst>
              <c:ext xmlns:c16="http://schemas.microsoft.com/office/drawing/2014/chart" uri="{C3380CC4-5D6E-409C-BE32-E72D297353CC}">
                <c16:uniqueId val="{000000DD-3550-4BBA-9999-EF7C156A6B08}"/>
              </c:ext>
            </c:extLst>
          </c:dPt>
          <c:dPt>
            <c:idx val="111"/>
            <c:bubble3D val="0"/>
            <c:spPr>
              <a:solidFill>
                <a:schemeClr val="accent4"/>
              </a:solidFill>
              <a:ln w="19050">
                <a:solidFill>
                  <a:schemeClr val="lt1"/>
                </a:solidFill>
              </a:ln>
              <a:effectLst/>
            </c:spPr>
            <c:extLst>
              <c:ext xmlns:c16="http://schemas.microsoft.com/office/drawing/2014/chart" uri="{C3380CC4-5D6E-409C-BE32-E72D297353CC}">
                <c16:uniqueId val="{000000DF-3550-4BBA-9999-EF7C156A6B08}"/>
              </c:ext>
            </c:extLst>
          </c:dPt>
          <c:dPt>
            <c:idx val="112"/>
            <c:bubble3D val="0"/>
            <c:spPr>
              <a:solidFill>
                <a:schemeClr val="accent5"/>
              </a:solidFill>
              <a:ln w="19050">
                <a:solidFill>
                  <a:schemeClr val="lt1"/>
                </a:solidFill>
              </a:ln>
              <a:effectLst/>
            </c:spPr>
            <c:extLst>
              <c:ext xmlns:c16="http://schemas.microsoft.com/office/drawing/2014/chart" uri="{C3380CC4-5D6E-409C-BE32-E72D297353CC}">
                <c16:uniqueId val="{000000E1-3550-4BBA-9999-EF7C156A6B08}"/>
              </c:ext>
            </c:extLst>
          </c:dPt>
          <c:dPt>
            <c:idx val="113"/>
            <c:bubble3D val="0"/>
            <c:spPr>
              <a:solidFill>
                <a:schemeClr val="accent6"/>
              </a:solidFill>
              <a:ln w="19050">
                <a:solidFill>
                  <a:schemeClr val="lt1"/>
                </a:solidFill>
              </a:ln>
              <a:effectLst/>
            </c:spPr>
            <c:extLst>
              <c:ext xmlns:c16="http://schemas.microsoft.com/office/drawing/2014/chart" uri="{C3380CC4-5D6E-409C-BE32-E72D297353CC}">
                <c16:uniqueId val="{000000E3-3550-4BBA-9999-EF7C156A6B08}"/>
              </c:ext>
            </c:extLst>
          </c:dPt>
          <c:dPt>
            <c:idx val="114"/>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E5-3550-4BBA-9999-EF7C156A6B08}"/>
              </c:ext>
            </c:extLst>
          </c:dPt>
          <c:dPt>
            <c:idx val="11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E7-3550-4BBA-9999-EF7C156A6B08}"/>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E9-3550-4BBA-9999-EF7C156A6B08}"/>
              </c:ext>
            </c:extLst>
          </c:dPt>
          <c:dPt>
            <c:idx val="117"/>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EB-3550-4BBA-9999-EF7C156A6B08}"/>
              </c:ext>
            </c:extLst>
          </c:dPt>
          <c:dPt>
            <c:idx val="118"/>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ED-3550-4BBA-9999-EF7C156A6B08}"/>
              </c:ext>
            </c:extLst>
          </c:dPt>
          <c:dPt>
            <c:idx val="119"/>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EF-3550-4BBA-9999-EF7C156A6B08}"/>
              </c:ext>
            </c:extLst>
          </c:dPt>
          <c:dPt>
            <c:idx val="120"/>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F1-3550-4BBA-9999-EF7C156A6B08}"/>
              </c:ext>
            </c:extLst>
          </c:dPt>
          <c:dPt>
            <c:idx val="121"/>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F3-3550-4BBA-9999-EF7C156A6B08}"/>
              </c:ext>
            </c:extLst>
          </c:dPt>
          <c:dPt>
            <c:idx val="122"/>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F5-3550-4BBA-9999-EF7C156A6B08}"/>
              </c:ext>
            </c:extLst>
          </c:dPt>
          <c:dPt>
            <c:idx val="123"/>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F7-3550-4BBA-9999-EF7C156A6B08}"/>
              </c:ext>
            </c:extLst>
          </c:dPt>
          <c:dPt>
            <c:idx val="124"/>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F9-3550-4BBA-9999-EF7C156A6B08}"/>
              </c:ext>
            </c:extLst>
          </c:dPt>
          <c:dPt>
            <c:idx val="125"/>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FB-3550-4BBA-9999-EF7C156A6B08}"/>
              </c:ext>
            </c:extLst>
          </c:dPt>
          <c:dPt>
            <c:idx val="126"/>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FD-3550-4BBA-9999-EF7C156A6B08}"/>
              </c:ext>
            </c:extLst>
          </c:dPt>
          <c:dPt>
            <c:idx val="127"/>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FF-3550-4BBA-9999-EF7C156A6B08}"/>
              </c:ext>
            </c:extLst>
          </c:dPt>
          <c:dPt>
            <c:idx val="128"/>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101-3550-4BBA-9999-EF7C156A6B08}"/>
              </c:ext>
            </c:extLst>
          </c:dPt>
          <c:dPt>
            <c:idx val="129"/>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103-3550-4BBA-9999-EF7C156A6B08}"/>
              </c:ext>
            </c:extLst>
          </c:dPt>
          <c:dPt>
            <c:idx val="130"/>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105-3550-4BBA-9999-EF7C156A6B08}"/>
              </c:ext>
            </c:extLst>
          </c:dPt>
          <c:dPt>
            <c:idx val="131"/>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107-3550-4BBA-9999-EF7C156A6B08}"/>
              </c:ext>
            </c:extLst>
          </c:dPt>
          <c:dPt>
            <c:idx val="132"/>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109-3550-4BBA-9999-EF7C156A6B08}"/>
              </c:ext>
            </c:extLst>
          </c:dPt>
          <c:dPt>
            <c:idx val="133"/>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10B-3550-4BBA-9999-EF7C156A6B08}"/>
              </c:ext>
            </c:extLst>
          </c:dPt>
          <c:dPt>
            <c:idx val="134"/>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10D-3550-4BBA-9999-EF7C156A6B08}"/>
              </c:ext>
            </c:extLst>
          </c:dPt>
          <c:dPt>
            <c:idx val="135"/>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10F-3550-4BBA-9999-EF7C156A6B08}"/>
              </c:ext>
            </c:extLst>
          </c:dPt>
          <c:dPt>
            <c:idx val="136"/>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111-3550-4BBA-9999-EF7C156A6B08}"/>
              </c:ext>
            </c:extLst>
          </c:dPt>
          <c:dPt>
            <c:idx val="137"/>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113-3550-4BBA-9999-EF7C156A6B08}"/>
              </c:ext>
            </c:extLst>
          </c:dPt>
          <c:dPt>
            <c:idx val="138"/>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115-3550-4BBA-9999-EF7C156A6B08}"/>
              </c:ext>
            </c:extLst>
          </c:dPt>
          <c:dPt>
            <c:idx val="139"/>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117-3550-4BBA-9999-EF7C156A6B08}"/>
              </c:ext>
            </c:extLst>
          </c:dPt>
          <c:dPt>
            <c:idx val="140"/>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119-3550-4BBA-9999-EF7C156A6B08}"/>
              </c:ext>
            </c:extLst>
          </c:dPt>
          <c:dPt>
            <c:idx val="141"/>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11B-3550-4BBA-9999-EF7C156A6B08}"/>
              </c:ext>
            </c:extLst>
          </c:dPt>
          <c:dPt>
            <c:idx val="142"/>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11D-3550-4BBA-9999-EF7C156A6B08}"/>
              </c:ext>
            </c:extLst>
          </c:dPt>
          <c:dPt>
            <c:idx val="143"/>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11F-3550-4BBA-9999-EF7C156A6B08}"/>
              </c:ext>
            </c:extLst>
          </c:dPt>
          <c:dPt>
            <c:idx val="144"/>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121-3550-4BBA-9999-EF7C156A6B08}"/>
              </c:ext>
            </c:extLst>
          </c:dPt>
          <c:dPt>
            <c:idx val="145"/>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123-3550-4BBA-9999-EF7C156A6B08}"/>
              </c:ext>
            </c:extLst>
          </c:dPt>
          <c:dPt>
            <c:idx val="146"/>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125-3550-4BBA-9999-EF7C156A6B08}"/>
              </c:ext>
            </c:extLst>
          </c:dPt>
          <c:dPt>
            <c:idx val="147"/>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127-3550-4BBA-9999-EF7C156A6B08}"/>
              </c:ext>
            </c:extLst>
          </c:dPt>
          <c:dPt>
            <c:idx val="148"/>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129-3550-4BBA-9999-EF7C156A6B08}"/>
              </c:ext>
            </c:extLst>
          </c:dPt>
          <c:dPt>
            <c:idx val="149"/>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12B-3550-4BBA-9999-EF7C156A6B08}"/>
              </c:ext>
            </c:extLst>
          </c:dPt>
          <c:dPt>
            <c:idx val="150"/>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12D-3550-4BBA-9999-EF7C156A6B08}"/>
              </c:ext>
            </c:extLst>
          </c:dPt>
          <c:dPt>
            <c:idx val="151"/>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12F-3550-4BBA-9999-EF7C156A6B08}"/>
              </c:ext>
            </c:extLst>
          </c:dPt>
          <c:dPt>
            <c:idx val="152"/>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131-3550-4BBA-9999-EF7C156A6B08}"/>
              </c:ext>
            </c:extLst>
          </c:dPt>
          <c:dPt>
            <c:idx val="153"/>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133-3550-4BBA-9999-EF7C156A6B08}"/>
              </c:ext>
            </c:extLst>
          </c:dPt>
          <c:dPt>
            <c:idx val="154"/>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135-3550-4BBA-9999-EF7C156A6B08}"/>
              </c:ext>
            </c:extLst>
          </c:dPt>
          <c:dPt>
            <c:idx val="155"/>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137-3550-4BBA-9999-EF7C156A6B08}"/>
              </c:ext>
            </c:extLst>
          </c:dPt>
          <c:dPt>
            <c:idx val="156"/>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139-3550-4BBA-9999-EF7C156A6B08}"/>
              </c:ext>
            </c:extLst>
          </c:dPt>
          <c:dPt>
            <c:idx val="157"/>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13B-3550-4BBA-9999-EF7C156A6B08}"/>
              </c:ext>
            </c:extLst>
          </c:dPt>
          <c:dPt>
            <c:idx val="158"/>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13D-3550-4BBA-9999-EF7C156A6B08}"/>
              </c:ext>
            </c:extLst>
          </c:dPt>
          <c:dPt>
            <c:idx val="159"/>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13F-3550-4BBA-9999-EF7C156A6B08}"/>
              </c:ext>
            </c:extLst>
          </c:dPt>
          <c:dPt>
            <c:idx val="160"/>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141-3550-4BBA-9999-EF7C156A6B08}"/>
              </c:ext>
            </c:extLst>
          </c:dPt>
          <c:dPt>
            <c:idx val="161"/>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143-3550-4BBA-9999-EF7C156A6B08}"/>
              </c:ext>
            </c:extLst>
          </c:dPt>
          <c:dPt>
            <c:idx val="162"/>
            <c:bubble3D val="0"/>
            <c:spPr>
              <a:solidFill>
                <a:schemeClr val="accent1"/>
              </a:solidFill>
              <a:ln w="19050">
                <a:solidFill>
                  <a:schemeClr val="lt1"/>
                </a:solidFill>
              </a:ln>
              <a:effectLst/>
            </c:spPr>
            <c:extLst>
              <c:ext xmlns:c16="http://schemas.microsoft.com/office/drawing/2014/chart" uri="{C3380CC4-5D6E-409C-BE32-E72D297353CC}">
                <c16:uniqueId val="{00000145-3550-4BBA-9999-EF7C156A6B08}"/>
              </c:ext>
            </c:extLst>
          </c:dPt>
          <c:dPt>
            <c:idx val="163"/>
            <c:bubble3D val="0"/>
            <c:spPr>
              <a:solidFill>
                <a:schemeClr val="accent2"/>
              </a:solidFill>
              <a:ln w="19050">
                <a:solidFill>
                  <a:schemeClr val="lt1"/>
                </a:solidFill>
              </a:ln>
              <a:effectLst/>
            </c:spPr>
            <c:extLst>
              <c:ext xmlns:c16="http://schemas.microsoft.com/office/drawing/2014/chart" uri="{C3380CC4-5D6E-409C-BE32-E72D297353CC}">
                <c16:uniqueId val="{00000147-3550-4BBA-9999-EF7C156A6B08}"/>
              </c:ext>
            </c:extLst>
          </c:dPt>
          <c:dPt>
            <c:idx val="164"/>
            <c:bubble3D val="0"/>
            <c:spPr>
              <a:solidFill>
                <a:schemeClr val="accent3"/>
              </a:solidFill>
              <a:ln w="19050">
                <a:solidFill>
                  <a:schemeClr val="lt1"/>
                </a:solidFill>
              </a:ln>
              <a:effectLst/>
            </c:spPr>
            <c:extLst>
              <c:ext xmlns:c16="http://schemas.microsoft.com/office/drawing/2014/chart" uri="{C3380CC4-5D6E-409C-BE32-E72D297353CC}">
                <c16:uniqueId val="{00000149-3550-4BBA-9999-EF7C156A6B08}"/>
              </c:ext>
            </c:extLst>
          </c:dPt>
          <c:dPt>
            <c:idx val="165"/>
            <c:bubble3D val="0"/>
            <c:spPr>
              <a:solidFill>
                <a:schemeClr val="accent4"/>
              </a:solidFill>
              <a:ln w="19050">
                <a:solidFill>
                  <a:schemeClr val="lt1"/>
                </a:solidFill>
              </a:ln>
              <a:effectLst/>
            </c:spPr>
            <c:extLst>
              <c:ext xmlns:c16="http://schemas.microsoft.com/office/drawing/2014/chart" uri="{C3380CC4-5D6E-409C-BE32-E72D297353CC}">
                <c16:uniqueId val="{0000014B-3550-4BBA-9999-EF7C156A6B08}"/>
              </c:ext>
            </c:extLst>
          </c:dPt>
          <c:dPt>
            <c:idx val="166"/>
            <c:bubble3D val="0"/>
            <c:spPr>
              <a:solidFill>
                <a:schemeClr val="accent5"/>
              </a:solidFill>
              <a:ln w="19050">
                <a:solidFill>
                  <a:schemeClr val="lt1"/>
                </a:solidFill>
              </a:ln>
              <a:effectLst/>
            </c:spPr>
            <c:extLst>
              <c:ext xmlns:c16="http://schemas.microsoft.com/office/drawing/2014/chart" uri="{C3380CC4-5D6E-409C-BE32-E72D297353CC}">
                <c16:uniqueId val="{0000014D-3550-4BBA-9999-EF7C156A6B08}"/>
              </c:ext>
            </c:extLst>
          </c:dPt>
          <c:dPt>
            <c:idx val="167"/>
            <c:bubble3D val="0"/>
            <c:spPr>
              <a:solidFill>
                <a:schemeClr val="accent6"/>
              </a:solidFill>
              <a:ln w="19050">
                <a:solidFill>
                  <a:schemeClr val="lt1"/>
                </a:solidFill>
              </a:ln>
              <a:effectLst/>
            </c:spPr>
            <c:extLst>
              <c:ext xmlns:c16="http://schemas.microsoft.com/office/drawing/2014/chart" uri="{C3380CC4-5D6E-409C-BE32-E72D297353CC}">
                <c16:uniqueId val="{0000014F-3550-4BBA-9999-EF7C156A6B08}"/>
              </c:ext>
            </c:extLst>
          </c:dPt>
          <c:dPt>
            <c:idx val="168"/>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151-3550-4BBA-9999-EF7C156A6B08}"/>
              </c:ext>
            </c:extLst>
          </c:dPt>
          <c:dPt>
            <c:idx val="169"/>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153-3550-4BBA-9999-EF7C156A6B08}"/>
              </c:ext>
            </c:extLst>
          </c:dPt>
          <c:dPt>
            <c:idx val="170"/>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155-3550-4BBA-9999-EF7C156A6B08}"/>
              </c:ext>
            </c:extLst>
          </c:dPt>
          <c:dPt>
            <c:idx val="171"/>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157-3550-4BBA-9999-EF7C156A6B08}"/>
              </c:ext>
            </c:extLst>
          </c:dPt>
          <c:dPt>
            <c:idx val="172"/>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159-3550-4BBA-9999-EF7C156A6B08}"/>
              </c:ext>
            </c:extLst>
          </c:dPt>
          <c:dPt>
            <c:idx val="173"/>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15B-3550-4BBA-9999-EF7C156A6B08}"/>
              </c:ext>
            </c:extLst>
          </c:dPt>
          <c:dPt>
            <c:idx val="174"/>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15D-3550-4BBA-9999-EF7C156A6B08}"/>
              </c:ext>
            </c:extLst>
          </c:dPt>
          <c:dPt>
            <c:idx val="175"/>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15F-3550-4BBA-9999-EF7C156A6B08}"/>
              </c:ext>
            </c:extLst>
          </c:dPt>
          <c:dPt>
            <c:idx val="176"/>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161-3550-4BBA-9999-EF7C156A6B08}"/>
              </c:ext>
            </c:extLst>
          </c:dPt>
          <c:dPt>
            <c:idx val="177"/>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163-3550-4BBA-9999-EF7C156A6B08}"/>
              </c:ext>
            </c:extLst>
          </c:dPt>
          <c:dPt>
            <c:idx val="178"/>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165-3550-4BBA-9999-EF7C156A6B08}"/>
              </c:ext>
            </c:extLst>
          </c:dPt>
          <c:dPt>
            <c:idx val="179"/>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167-3550-4BBA-9999-EF7C156A6B08}"/>
              </c:ext>
            </c:extLst>
          </c:dPt>
          <c:dPt>
            <c:idx val="180"/>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169-3550-4BBA-9999-EF7C156A6B08}"/>
              </c:ext>
            </c:extLst>
          </c:dPt>
          <c:dPt>
            <c:idx val="181"/>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16B-3550-4BBA-9999-EF7C156A6B08}"/>
              </c:ext>
            </c:extLst>
          </c:dPt>
          <c:dPt>
            <c:idx val="182"/>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16D-3550-4BBA-9999-EF7C156A6B08}"/>
              </c:ext>
            </c:extLst>
          </c:dPt>
          <c:dPt>
            <c:idx val="183"/>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16F-3550-4BBA-9999-EF7C156A6B08}"/>
              </c:ext>
            </c:extLst>
          </c:dPt>
          <c:dPt>
            <c:idx val="184"/>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171-3550-4BBA-9999-EF7C156A6B08}"/>
              </c:ext>
            </c:extLst>
          </c:dPt>
          <c:dPt>
            <c:idx val="185"/>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173-3550-4BBA-9999-EF7C156A6B08}"/>
              </c:ext>
            </c:extLst>
          </c:dPt>
          <c:dPt>
            <c:idx val="186"/>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175-3550-4BBA-9999-EF7C156A6B08}"/>
              </c:ext>
            </c:extLst>
          </c:dPt>
          <c:dPt>
            <c:idx val="187"/>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177-3550-4BBA-9999-EF7C156A6B08}"/>
              </c:ext>
            </c:extLst>
          </c:dPt>
          <c:dPt>
            <c:idx val="188"/>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179-3550-4BBA-9999-EF7C156A6B08}"/>
              </c:ext>
            </c:extLst>
          </c:dPt>
          <c:dPt>
            <c:idx val="189"/>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17B-3550-4BBA-9999-EF7C156A6B08}"/>
              </c:ext>
            </c:extLst>
          </c:dPt>
          <c:dPt>
            <c:idx val="190"/>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17D-3550-4BBA-9999-EF7C156A6B08}"/>
              </c:ext>
            </c:extLst>
          </c:dPt>
          <c:dPt>
            <c:idx val="191"/>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17F-3550-4BBA-9999-EF7C156A6B08}"/>
              </c:ext>
            </c:extLst>
          </c:dPt>
          <c:dPt>
            <c:idx val="192"/>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181-3550-4BBA-9999-EF7C156A6B08}"/>
              </c:ext>
            </c:extLst>
          </c:dPt>
          <c:dPt>
            <c:idx val="193"/>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183-3550-4BBA-9999-EF7C156A6B08}"/>
              </c:ext>
            </c:extLst>
          </c:dPt>
          <c:dPt>
            <c:idx val="194"/>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185-3550-4BBA-9999-EF7C156A6B08}"/>
              </c:ext>
            </c:extLst>
          </c:dPt>
          <c:dPt>
            <c:idx val="195"/>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187-3550-4BBA-9999-EF7C156A6B08}"/>
              </c:ext>
            </c:extLst>
          </c:dPt>
          <c:dPt>
            <c:idx val="196"/>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189-3550-4BBA-9999-EF7C156A6B08}"/>
              </c:ext>
            </c:extLst>
          </c:dPt>
          <c:dPt>
            <c:idx val="197"/>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18B-3550-4BBA-9999-EF7C156A6B08}"/>
              </c:ext>
            </c:extLst>
          </c:dPt>
          <c:dPt>
            <c:idx val="198"/>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18D-3550-4BBA-9999-EF7C156A6B08}"/>
              </c:ext>
            </c:extLst>
          </c:dPt>
          <c:dPt>
            <c:idx val="199"/>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18F-3550-4BBA-9999-EF7C156A6B08}"/>
              </c:ext>
            </c:extLst>
          </c:dPt>
          <c:dPt>
            <c:idx val="200"/>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191-3550-4BBA-9999-EF7C156A6B08}"/>
              </c:ext>
            </c:extLst>
          </c:dPt>
          <c:dPt>
            <c:idx val="201"/>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193-3550-4BBA-9999-EF7C156A6B08}"/>
              </c:ext>
            </c:extLst>
          </c:dPt>
          <c:dPt>
            <c:idx val="202"/>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195-3550-4BBA-9999-EF7C156A6B08}"/>
              </c:ext>
            </c:extLst>
          </c:dPt>
          <c:dPt>
            <c:idx val="203"/>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197-3550-4BBA-9999-EF7C156A6B08}"/>
              </c:ext>
            </c:extLst>
          </c:dPt>
          <c:dPt>
            <c:idx val="204"/>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199-3550-4BBA-9999-EF7C156A6B08}"/>
              </c:ext>
            </c:extLst>
          </c:dPt>
          <c:dPt>
            <c:idx val="205"/>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19B-3550-4BBA-9999-EF7C156A6B08}"/>
              </c:ext>
            </c:extLst>
          </c:dPt>
          <c:dPt>
            <c:idx val="206"/>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19D-3550-4BBA-9999-EF7C156A6B08}"/>
              </c:ext>
            </c:extLst>
          </c:dPt>
          <c:dPt>
            <c:idx val="207"/>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19F-3550-4BBA-9999-EF7C156A6B08}"/>
              </c:ext>
            </c:extLst>
          </c:dPt>
          <c:dPt>
            <c:idx val="208"/>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1A1-3550-4BBA-9999-EF7C156A6B08}"/>
              </c:ext>
            </c:extLst>
          </c:dPt>
          <c:dPt>
            <c:idx val="209"/>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1A3-3550-4BBA-9999-EF7C156A6B08}"/>
              </c:ext>
            </c:extLst>
          </c:dPt>
          <c:dPt>
            <c:idx val="210"/>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1A5-3550-4BBA-9999-EF7C156A6B08}"/>
              </c:ext>
            </c:extLst>
          </c:dPt>
          <c:dPt>
            <c:idx val="211"/>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1A7-3550-4BBA-9999-EF7C156A6B08}"/>
              </c:ext>
            </c:extLst>
          </c:dPt>
          <c:dPt>
            <c:idx val="212"/>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1A9-3550-4BBA-9999-EF7C156A6B08}"/>
              </c:ext>
            </c:extLst>
          </c:dPt>
          <c:dPt>
            <c:idx val="213"/>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1AB-3550-4BBA-9999-EF7C156A6B08}"/>
              </c:ext>
            </c:extLst>
          </c:dPt>
          <c:dPt>
            <c:idx val="214"/>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1AD-3550-4BBA-9999-EF7C156A6B08}"/>
              </c:ext>
            </c:extLst>
          </c:dPt>
          <c:dPt>
            <c:idx val="215"/>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1AF-3550-4BBA-9999-EF7C156A6B08}"/>
              </c:ext>
            </c:extLst>
          </c:dPt>
          <c:dPt>
            <c:idx val="216"/>
            <c:bubble3D val="0"/>
            <c:spPr>
              <a:solidFill>
                <a:schemeClr val="accent1"/>
              </a:solidFill>
              <a:ln w="19050">
                <a:solidFill>
                  <a:schemeClr val="lt1"/>
                </a:solidFill>
              </a:ln>
              <a:effectLst/>
            </c:spPr>
            <c:extLst>
              <c:ext xmlns:c16="http://schemas.microsoft.com/office/drawing/2014/chart" uri="{C3380CC4-5D6E-409C-BE32-E72D297353CC}">
                <c16:uniqueId val="{000001B1-3550-4BBA-9999-EF7C156A6B08}"/>
              </c:ext>
            </c:extLst>
          </c:dPt>
          <c:dPt>
            <c:idx val="217"/>
            <c:bubble3D val="0"/>
            <c:spPr>
              <a:solidFill>
                <a:schemeClr val="accent2"/>
              </a:solidFill>
              <a:ln w="19050">
                <a:solidFill>
                  <a:schemeClr val="lt1"/>
                </a:solidFill>
              </a:ln>
              <a:effectLst/>
            </c:spPr>
            <c:extLst>
              <c:ext xmlns:c16="http://schemas.microsoft.com/office/drawing/2014/chart" uri="{C3380CC4-5D6E-409C-BE32-E72D297353CC}">
                <c16:uniqueId val="{000001B3-3550-4BBA-9999-EF7C156A6B08}"/>
              </c:ext>
            </c:extLst>
          </c:dPt>
          <c:dPt>
            <c:idx val="218"/>
            <c:bubble3D val="0"/>
            <c:spPr>
              <a:solidFill>
                <a:schemeClr val="accent3"/>
              </a:solidFill>
              <a:ln w="19050">
                <a:solidFill>
                  <a:schemeClr val="lt1"/>
                </a:solidFill>
              </a:ln>
              <a:effectLst/>
            </c:spPr>
            <c:extLst>
              <c:ext xmlns:c16="http://schemas.microsoft.com/office/drawing/2014/chart" uri="{C3380CC4-5D6E-409C-BE32-E72D297353CC}">
                <c16:uniqueId val="{000001B5-3550-4BBA-9999-EF7C156A6B08}"/>
              </c:ext>
            </c:extLst>
          </c:dPt>
          <c:dPt>
            <c:idx val="219"/>
            <c:bubble3D val="0"/>
            <c:spPr>
              <a:solidFill>
                <a:schemeClr val="accent4"/>
              </a:solidFill>
              <a:ln w="19050">
                <a:solidFill>
                  <a:schemeClr val="lt1"/>
                </a:solidFill>
              </a:ln>
              <a:effectLst/>
            </c:spPr>
            <c:extLst>
              <c:ext xmlns:c16="http://schemas.microsoft.com/office/drawing/2014/chart" uri="{C3380CC4-5D6E-409C-BE32-E72D297353CC}">
                <c16:uniqueId val="{000001B7-3550-4BBA-9999-EF7C156A6B08}"/>
              </c:ext>
            </c:extLst>
          </c:dPt>
          <c:dPt>
            <c:idx val="220"/>
            <c:bubble3D val="0"/>
            <c:spPr>
              <a:solidFill>
                <a:schemeClr val="accent5"/>
              </a:solidFill>
              <a:ln w="19050">
                <a:solidFill>
                  <a:schemeClr val="lt1"/>
                </a:solidFill>
              </a:ln>
              <a:effectLst/>
            </c:spPr>
            <c:extLst>
              <c:ext xmlns:c16="http://schemas.microsoft.com/office/drawing/2014/chart" uri="{C3380CC4-5D6E-409C-BE32-E72D297353CC}">
                <c16:uniqueId val="{000001B9-3550-4BBA-9999-EF7C156A6B08}"/>
              </c:ext>
            </c:extLst>
          </c:dPt>
          <c:dPt>
            <c:idx val="221"/>
            <c:bubble3D val="0"/>
            <c:spPr>
              <a:solidFill>
                <a:schemeClr val="accent6"/>
              </a:solidFill>
              <a:ln w="19050">
                <a:solidFill>
                  <a:schemeClr val="lt1"/>
                </a:solidFill>
              </a:ln>
              <a:effectLst/>
            </c:spPr>
            <c:extLst>
              <c:ext xmlns:c16="http://schemas.microsoft.com/office/drawing/2014/chart" uri="{C3380CC4-5D6E-409C-BE32-E72D297353CC}">
                <c16:uniqueId val="{000001BB-3550-4BBA-9999-EF7C156A6B08}"/>
              </c:ext>
            </c:extLst>
          </c:dPt>
          <c:dPt>
            <c:idx val="222"/>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1BD-3550-4BBA-9999-EF7C156A6B08}"/>
              </c:ext>
            </c:extLst>
          </c:dPt>
          <c:dPt>
            <c:idx val="223"/>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1BF-3550-4BBA-9999-EF7C156A6B08}"/>
              </c:ext>
            </c:extLst>
          </c:dPt>
          <c:dPt>
            <c:idx val="224"/>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1C1-3550-4BBA-9999-EF7C156A6B08}"/>
              </c:ext>
            </c:extLst>
          </c:dPt>
          <c:dPt>
            <c:idx val="225"/>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1C3-3550-4BBA-9999-EF7C156A6B08}"/>
              </c:ext>
            </c:extLst>
          </c:dPt>
          <c:dPt>
            <c:idx val="226"/>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1C5-3550-4BBA-9999-EF7C156A6B08}"/>
              </c:ext>
            </c:extLst>
          </c:dPt>
          <c:dPt>
            <c:idx val="227"/>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1C7-3550-4BBA-9999-EF7C156A6B08}"/>
              </c:ext>
            </c:extLst>
          </c:dPt>
          <c:dPt>
            <c:idx val="228"/>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1C9-3550-4BBA-9999-EF7C156A6B08}"/>
              </c:ext>
            </c:extLst>
          </c:dPt>
          <c:dPt>
            <c:idx val="229"/>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1CB-3550-4BBA-9999-EF7C156A6B08}"/>
              </c:ext>
            </c:extLst>
          </c:dPt>
          <c:dPt>
            <c:idx val="230"/>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1CD-3550-4BBA-9999-EF7C156A6B08}"/>
              </c:ext>
            </c:extLst>
          </c:dPt>
          <c:dPt>
            <c:idx val="231"/>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1CF-3550-4BBA-9999-EF7C156A6B08}"/>
              </c:ext>
            </c:extLst>
          </c:dPt>
          <c:dPt>
            <c:idx val="232"/>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1D1-3550-4BBA-9999-EF7C156A6B08}"/>
              </c:ext>
            </c:extLst>
          </c:dPt>
          <c:dPt>
            <c:idx val="233"/>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1D3-3550-4BBA-9999-EF7C156A6B08}"/>
              </c:ext>
            </c:extLst>
          </c:dPt>
          <c:dPt>
            <c:idx val="234"/>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1D5-3550-4BBA-9999-EF7C156A6B08}"/>
              </c:ext>
            </c:extLst>
          </c:dPt>
          <c:dPt>
            <c:idx val="235"/>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1D7-3550-4BBA-9999-EF7C156A6B08}"/>
              </c:ext>
            </c:extLst>
          </c:dPt>
          <c:dPt>
            <c:idx val="236"/>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1D9-3550-4BBA-9999-EF7C156A6B08}"/>
              </c:ext>
            </c:extLst>
          </c:dPt>
          <c:dPt>
            <c:idx val="237"/>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1DB-3550-4BBA-9999-EF7C156A6B08}"/>
              </c:ext>
            </c:extLst>
          </c:dPt>
          <c:dPt>
            <c:idx val="238"/>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1DD-3550-4BBA-9999-EF7C156A6B08}"/>
              </c:ext>
            </c:extLst>
          </c:dPt>
          <c:dPt>
            <c:idx val="239"/>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1DF-3550-4BBA-9999-EF7C156A6B08}"/>
              </c:ext>
            </c:extLst>
          </c:dPt>
          <c:dPt>
            <c:idx val="240"/>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1E1-3550-4BBA-9999-EF7C156A6B08}"/>
              </c:ext>
            </c:extLst>
          </c:dPt>
          <c:dPt>
            <c:idx val="241"/>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1E3-3550-4BBA-9999-EF7C156A6B08}"/>
              </c:ext>
            </c:extLst>
          </c:dPt>
          <c:dPt>
            <c:idx val="242"/>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1E5-3550-4BBA-9999-EF7C156A6B08}"/>
              </c:ext>
            </c:extLst>
          </c:dPt>
          <c:dPt>
            <c:idx val="243"/>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1E7-3550-4BBA-9999-EF7C156A6B08}"/>
              </c:ext>
            </c:extLst>
          </c:dPt>
          <c:dPt>
            <c:idx val="244"/>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1E9-3550-4BBA-9999-EF7C156A6B08}"/>
              </c:ext>
            </c:extLst>
          </c:dPt>
          <c:dPt>
            <c:idx val="245"/>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1EB-3550-4BBA-9999-EF7C156A6B08}"/>
              </c:ext>
            </c:extLst>
          </c:dPt>
          <c:dPt>
            <c:idx val="246"/>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1ED-3550-4BBA-9999-EF7C156A6B08}"/>
              </c:ext>
            </c:extLst>
          </c:dPt>
          <c:dPt>
            <c:idx val="247"/>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1EF-3550-4BBA-9999-EF7C156A6B08}"/>
              </c:ext>
            </c:extLst>
          </c:dPt>
          <c:dPt>
            <c:idx val="248"/>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1F1-3550-4BBA-9999-EF7C156A6B08}"/>
              </c:ext>
            </c:extLst>
          </c:dPt>
          <c:dPt>
            <c:idx val="249"/>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1F3-3550-4BBA-9999-EF7C156A6B08}"/>
              </c:ext>
            </c:extLst>
          </c:dPt>
          <c:dPt>
            <c:idx val="250"/>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1F5-3550-4BBA-9999-EF7C156A6B08}"/>
              </c:ext>
            </c:extLst>
          </c:dPt>
          <c:dPt>
            <c:idx val="251"/>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1F7-3550-4BBA-9999-EF7C156A6B08}"/>
              </c:ext>
            </c:extLst>
          </c:dPt>
          <c:dPt>
            <c:idx val="252"/>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1F9-3550-4BBA-9999-EF7C156A6B08}"/>
              </c:ext>
            </c:extLst>
          </c:dPt>
          <c:dPt>
            <c:idx val="253"/>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1FB-3550-4BBA-9999-EF7C156A6B08}"/>
              </c:ext>
            </c:extLst>
          </c:dPt>
          <c:dPt>
            <c:idx val="254"/>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1FD-3550-4BBA-9999-EF7C156A6B08}"/>
              </c:ext>
            </c:extLst>
          </c:dPt>
          <c:dPt>
            <c:idx val="255"/>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1FF-3550-4BBA-9999-EF7C156A6B08}"/>
              </c:ext>
            </c:extLst>
          </c:dPt>
          <c:dPt>
            <c:idx val="256"/>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201-3550-4BBA-9999-EF7C156A6B08}"/>
              </c:ext>
            </c:extLst>
          </c:dPt>
          <c:dPt>
            <c:idx val="257"/>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203-3550-4BBA-9999-EF7C156A6B08}"/>
              </c:ext>
            </c:extLst>
          </c:dPt>
          <c:dPt>
            <c:idx val="258"/>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205-3550-4BBA-9999-EF7C156A6B08}"/>
              </c:ext>
            </c:extLst>
          </c:dPt>
          <c:dPt>
            <c:idx val="259"/>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207-3550-4BBA-9999-EF7C156A6B08}"/>
              </c:ext>
            </c:extLst>
          </c:dPt>
          <c:dPt>
            <c:idx val="260"/>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209-3550-4BBA-9999-EF7C156A6B08}"/>
              </c:ext>
            </c:extLst>
          </c:dPt>
          <c:dPt>
            <c:idx val="261"/>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20B-3550-4BBA-9999-EF7C156A6B08}"/>
              </c:ext>
            </c:extLst>
          </c:dPt>
          <c:dPt>
            <c:idx val="262"/>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20D-3550-4BBA-9999-EF7C156A6B08}"/>
              </c:ext>
            </c:extLst>
          </c:dPt>
          <c:dPt>
            <c:idx val="263"/>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20F-3550-4BBA-9999-EF7C156A6B08}"/>
              </c:ext>
            </c:extLst>
          </c:dPt>
          <c:dPt>
            <c:idx val="264"/>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211-3550-4BBA-9999-EF7C156A6B08}"/>
              </c:ext>
            </c:extLst>
          </c:dPt>
          <c:dPt>
            <c:idx val="265"/>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213-3550-4BBA-9999-EF7C156A6B08}"/>
              </c:ext>
            </c:extLst>
          </c:dPt>
          <c:dPt>
            <c:idx val="266"/>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215-3550-4BBA-9999-EF7C156A6B08}"/>
              </c:ext>
            </c:extLst>
          </c:dPt>
          <c:dPt>
            <c:idx val="267"/>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217-3550-4BBA-9999-EF7C156A6B08}"/>
              </c:ext>
            </c:extLst>
          </c:dPt>
          <c:dPt>
            <c:idx val="268"/>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219-3550-4BBA-9999-EF7C156A6B08}"/>
              </c:ext>
            </c:extLst>
          </c:dPt>
          <c:dPt>
            <c:idx val="269"/>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21B-3550-4BBA-9999-EF7C156A6B08}"/>
              </c:ext>
            </c:extLst>
          </c:dPt>
          <c:dPt>
            <c:idx val="270"/>
            <c:bubble3D val="0"/>
            <c:spPr>
              <a:solidFill>
                <a:schemeClr val="accent1"/>
              </a:solidFill>
              <a:ln w="19050">
                <a:solidFill>
                  <a:schemeClr val="lt1"/>
                </a:solidFill>
              </a:ln>
              <a:effectLst/>
            </c:spPr>
            <c:extLst>
              <c:ext xmlns:c16="http://schemas.microsoft.com/office/drawing/2014/chart" uri="{C3380CC4-5D6E-409C-BE32-E72D297353CC}">
                <c16:uniqueId val="{0000021D-3550-4BBA-9999-EF7C156A6B08}"/>
              </c:ext>
            </c:extLst>
          </c:dPt>
          <c:dPt>
            <c:idx val="271"/>
            <c:bubble3D val="0"/>
            <c:spPr>
              <a:solidFill>
                <a:schemeClr val="accent2"/>
              </a:solidFill>
              <a:ln w="19050">
                <a:solidFill>
                  <a:schemeClr val="lt1"/>
                </a:solidFill>
              </a:ln>
              <a:effectLst/>
            </c:spPr>
            <c:extLst>
              <c:ext xmlns:c16="http://schemas.microsoft.com/office/drawing/2014/chart" uri="{C3380CC4-5D6E-409C-BE32-E72D297353CC}">
                <c16:uniqueId val="{0000021F-3550-4BBA-9999-EF7C156A6B08}"/>
              </c:ext>
            </c:extLst>
          </c:dPt>
          <c:dPt>
            <c:idx val="272"/>
            <c:bubble3D val="0"/>
            <c:spPr>
              <a:solidFill>
                <a:schemeClr val="accent3"/>
              </a:solidFill>
              <a:ln w="19050">
                <a:solidFill>
                  <a:schemeClr val="lt1"/>
                </a:solidFill>
              </a:ln>
              <a:effectLst/>
            </c:spPr>
            <c:extLst>
              <c:ext xmlns:c16="http://schemas.microsoft.com/office/drawing/2014/chart" uri="{C3380CC4-5D6E-409C-BE32-E72D297353CC}">
                <c16:uniqueId val="{00000221-3550-4BBA-9999-EF7C156A6B08}"/>
              </c:ext>
            </c:extLst>
          </c:dPt>
          <c:cat>
            <c:strRef>
              <c:f>Sheet7!$A$4:$A$9</c:f>
              <c:strCache>
                <c:ptCount val="5"/>
                <c:pt idx="0">
                  <c:v>Alan Dominguez</c:v>
                </c:pt>
                <c:pt idx="1">
                  <c:v>Amy Cox</c:v>
                </c:pt>
                <c:pt idx="2">
                  <c:v>Valerie Mitchum</c:v>
                </c:pt>
                <c:pt idx="3">
                  <c:v>Valerie Dominguez</c:v>
                </c:pt>
                <c:pt idx="4">
                  <c:v>Rick Bensley</c:v>
                </c:pt>
              </c:strCache>
            </c:strRef>
          </c:cat>
          <c:val>
            <c:numRef>
              <c:f>Sheet7!$B$4:$B$9</c:f>
              <c:numCache>
                <c:formatCode>General</c:formatCode>
                <c:ptCount val="5"/>
                <c:pt idx="0">
                  <c:v>1379.98</c:v>
                </c:pt>
                <c:pt idx="1">
                  <c:v>843.17</c:v>
                </c:pt>
                <c:pt idx="2">
                  <c:v>336.64</c:v>
                </c:pt>
                <c:pt idx="3">
                  <c:v>305.13</c:v>
                </c:pt>
                <c:pt idx="4">
                  <c:v>272.79000000000002</c:v>
                </c:pt>
              </c:numCache>
            </c:numRef>
          </c:val>
          <c:extLst>
            <c:ext xmlns:c16="http://schemas.microsoft.com/office/drawing/2014/chart" uri="{C3380CC4-5D6E-409C-BE32-E72D297353CC}">
              <c16:uniqueId val="{00000222-3550-4BBA-9999-EF7C156A6B08}"/>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64930555555555558"/>
          <c:y val="0.32635264903264344"/>
          <c:w val="0.33333333333333331"/>
          <c:h val="0.4501246326245147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3">
        <a:lumMod val="7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_xlchart.v2.2</cx:f>
      </cx:numDim>
    </cx:data>
  </cx:chartData>
  <cx:chart>
    <cx:title pos="t" align="ctr" overlay="0">
      <cx:tx>
        <cx:txData>
          <cx:v>Sales by sub-category</cx:v>
        </cx:txData>
      </cx:tx>
      <cx:txPr>
        <a:bodyPr spcFirstLastPara="1" vertOverflow="ellipsis" horzOverflow="overflow" wrap="square" lIns="0" tIns="0" rIns="0" bIns="0" anchor="ctr" anchorCtr="1"/>
        <a:lstStyle/>
        <a:p>
          <a:pPr algn="ctr" rtl="0">
            <a:defRPr/>
          </a:pPr>
          <a:r>
            <a:rPr lang="en-US" sz="1400" b="0" i="0" u="none" strike="noStrike" baseline="0">
              <a:solidFill>
                <a:srgbClr val="000000">
                  <a:lumMod val="65000"/>
                  <a:lumOff val="35000"/>
                </a:srgbClr>
              </a:solidFill>
              <a:latin typeface="Arial"/>
              <a:cs typeface="Arial"/>
            </a:rPr>
            <a:t>Sales by sub-category</a:t>
          </a:r>
        </a:p>
      </cx:txPr>
    </cx:title>
    <cx:plotArea>
      <cx:plotAreaRegion>
        <cx:series layoutId="funnel" uniqueId="{E9DBDC8C-F8CD-4523-95D4-3827CDE4EC84}">
          <cx:tx>
            <cx:txData>
              <cx:f>_xlchart.v2.1</cx:f>
              <cx:v>Sum of Sales</cx:v>
            </cx:txData>
          </cx:tx>
          <cx:spPr>
            <a:solidFill>
              <a:schemeClr val="accent2"/>
            </a:solidFill>
          </cx:spPr>
          <cx:dataLabels>
            <cx:visibility seriesName="0" categoryName="0" value="1"/>
          </cx:dataLabels>
          <cx:dataId val="0"/>
        </cx:series>
      </cx:plotAreaRegion>
      <cx:axis id="0">
        <cx:catScaling gapWidth="0.0599999987"/>
        <cx:tickLabels/>
      </cx:axis>
    </cx:plotArea>
  </cx:chart>
  <cx:spPr>
    <a:solidFill>
      <a:schemeClr val="accent3">
        <a:lumMod val="60000"/>
        <a:lumOff val="40000"/>
      </a:schemeClr>
    </a:solidFill>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_xlchart.v5.4</cx:f>
        <cx:nf>_xlchart.v5.3</cx:nf>
      </cx:strDim>
      <cx:numDim type="colorVal">
        <cx:f>_xlchart.v5.6</cx:f>
        <cx:nf>_xlchart.v5.5</cx:nf>
      </cx:numDim>
    </cx:data>
  </cx:chartData>
  <cx:chart>
    <cx:title pos="t" align="ctr" overlay="0"/>
    <cx:plotArea>
      <cx:plotAreaRegion>
        <cx:plotSurface>
          <cx:spPr>
            <a:solidFill>
              <a:schemeClr val="accent3">
                <a:lumMod val="75000"/>
              </a:schemeClr>
            </a:solidFill>
          </cx:spPr>
        </cx:plotSurface>
        <cx:series layoutId="regionMap" uniqueId="{5CF8B556-EBB3-473F-B66E-7526F40C3631}">
          <cx:tx>
            <cx:txData>
              <cx:f>_xlchart.v5.5</cx:f>
              <cx:v>Sum of Sales</cx:v>
            </cx:txData>
          </cx:tx>
          <cx:dataId val="0"/>
          <cx:layoutPr>
            <cx:geography cultureLanguage="en-US" cultureRegion="US" attribution="Powered by Bing">
              <cx:geoCache provider="{E9337A44-BEBE-4D9F-B70C-5C5E7DAFC167}">
                <cx:binary>1H1pTxzJtu1fsfz5Jh1zZBydvlJnDUwG22D7dPtLqgx0zvOcv/6tpAob0hg4at6Vim65RGVFxbBi
T2vvCP591f/rKr7ZlG/6JE6rf131v7/16zr/12+/VVf+TbKpDpLgqsyq7O/64CpLfsv+/ju4uvnt
utx0Qer9xggVv135m7K+6d/+77/xbd5N9i672tRBln5sbsrh4qZq4rp64tmjj95srpMgXQZVXQZX
Nf397dmmqjZXflPd1HX19s1NWgf18GnIb35/++Cjb9/8Nv/Cnzp/E2N8dXONtoIdUM24JoaY2x/7
7Zs4S73dY0vTA0Uk4dzWd52ebxI0fPF4bkezub4ub6oKs7p9/an5gyng6R9v31xlTVpP6+dhKX9/
+zkN6pvrN5f1pr7B/IMqW2w/sMimeXy+vJ34bw8R+N9/z97AUszeuQfSfN2ee/QTRossTW+u6uCq
qe8W6xUQogdSSyo5l+T2h84QYgea28ymTN51ukXohaN5HJ8HjWfoLD7tKTpxVm6us7tV+ufQcPvA
GFtKItij0FAiD6TQNlf8rtM7aJ4fyq9wuWs5B+X9XoLyR7z5tkk2d8vzCphAHJQSjDEorPuazFYH
toAiY4RtNZ2563SLyQtG8jgk3xvOEPnj3X4iUgZjlr4mIuKAGc6gocR24WfAUAobo4Q0Sqo7Bbc1
bztgnh/QL4C5azgH5uteAnN+07052iR55Qflzd3e/ecCI/iBsqWi5s6+QFfdlxt4AFJrxeAgbJUc
u+t7C8+Lh/U4SLPmM6jOj/YSqsUmDv7OyjR4TTHSB0wKpQzd4TDzAyg1Bwq+nKaCbuXsIU4vG9Pj
IN1vO0No8cdeIjRtu7ObPrh6TXdAHAhGOQDY6jEykyRK1AElNjfEBnb3VdzLRvM4NvfbzrA5P9tL
bM6Cqpr+z/Pgbpn+uZrj8AsYsbUtd9Yf5v++mrMhPVIxuHI7X07d9b1Vcy8c1OMYPWg8A+kMkcse
xjp/lNEmrTbV3Sq9AkLiwIY7TTjdQTQLRQ07ENxQKaW9NUSzeOclI3ocnh8tZ9j8cbGX2Lz3g1dU
a4IcCKw6NSAJbn9muNiQLGK45kJvcYHau6/cnhvN45hsW83weL+f7sDyJt50m9d02rg5IFBmivE7
dfZQm2l5IJStBKcQqelnJisvGdHjuPxoOcNmudpLWVkjng6uX9FPY/aBNBAXeNS7n4fQQFyEDWFh
Nn9UXF4woMeR+d5wBsx6P+PQya85uSmrm+FOnfxzEwNVRuF+Gcnp91jmvhOgxYGChwBWdweduOv7
R6zz/Jgeh+f+fGYInZ/spegc3mSl96ohDjtQAlSmMDt4ZiGOzQ+EEFwLsvMAZpbmBQN6HJvvDWfA
HO5ncHN8vfFf0wEQB9w2RLO7wHLmAFAKsZHwAGwyMzPPDuRxOHbNZmAcL/dSSo7jOEiz4BUd5UmL
AQvQyjtC7edQhgpbcfk91nmoxV4yol8A830uc2z208Ycp9fB5lW5TnMAfsYI+y5GgYa6b2BAQoMH
1QZ86KMxzAsG9Atk7mYyB+Z8L4XmLLjyA2+T3m3cVzD9iC610EbbO9s+U2K2RBqNGECze/5T/P/8
iB6H5sdcZticHe8lNsdZ94ruMhLQRAsltRDf3eH7EmP4wZT3VJTsns9weW40j2OybTXD43g/rf1l
1tT+m+UmyurXxAVkJldUgPvf+sLzrA0hB4wTuGpq5iS/dDyPI/Ow9Qyhy/10AU5fmymzEUIKzYze
MS70oZUxNhw2QkGl7diBWe3G8+N5HJu7djNUTi/3Uo+dgqRqrqJXDC+5PpBMM1vJXYr5ZxvDbK01
p7vQf+Yuv2REv0Dm+1zm2Py1l9i8y5qgemXXjBwYG3Gl+k7MzISGgn6mNvLUO5pzptZeNKTH0bnX
dAbPu/00OWebcog36fXruWdTKQ1kBwrrISpagVymqB8wu1hnFvK/ZCSPg/Kj5QyTs/00MmcBis+q
1/UB1AGHgUfWZce3zO2MOKAGNCaKO+52wl2y7AVj+QUsP6Yxx2U/Q5nzrPz/4Z5pUGGKI5PMH2WZ
oeiQAZjKbu6ozIcIvXRUj4P0sPUMp/N9lZ+qypoyuFunfx5yQqdxpcEEiMfZ5imhCWdA0zuMZu7A
lDV+bkSP4/Oj5Qybs/2sEjzL0vpVeRqhD1AKOOU0H486KUE5gJCUKT5zA14wlF9gcjeHOSSf9tJD
O7/5Vm6q6DUjThSaoXqJo9js0eSMMQfw3zRDznP7fMYEvGREj0Pzo+UMm/P9zGme37Sb10xpItvM
pRJCgiC7/ZnFNZQqJAAkzgjYW0cBfsL9CoDnx/MrXLbzmKPyZU8lpnvzV1ZGd2vzzw0MuDM4xkxM
Rc23PzO2GVUAqGgiKO7cOc8/SczzI/oVMnct59jsZ7y5dWgWmzJDsuYVdRrHAQCOzNh3yZmxaNoc
UBuCo9RO580RunUeXzKuX+A0az9Ha7GXkvQ+ipHgfNVTA8DJ5vCod6aFzCMdMDuo3CTkjg1FmHpf
w71kRI8j9KPlDJv3p/uJTXnjZa+Zt+HQcTZqmbh6PNBh5AAVgThqI2Ys5/tnR/ILRHbt5njsZy3g
h5s0rYa43bxqMTpS0LZBLfqOFyBzedH6wOa2PRHU3z2G+/Ly0lE9jtDD1jOcPvyxl3Jz4eMc45vj
6nVpNYGjNcxmRu7KAM3Mc5sOd1A4bdPxm9ufGb320lE9jtPD1jOcLo73EqdtfuolFvm/O4jLoecI
WE5Gd2TBzJezJ4lD4RNOS22RmnkKLx/X41jN28/QutxPT+ETtB/OHd/c3Jnrf+50w6WzBfI7ZBfr
EHCf9xPWKPHggrPpKM7WKZ8FQy8a0uMY3Ws6g+fTfnKjn276Vz1BQMF5cltASL4v/X1owCBwxEqw
Sj/yc/et0rPD+RUst7OYQ/LnXuq3z/XGf0VhwYrjdgEUqu8c65mw3J791Ei6MTXTZ8+N43Eotq1m
SHzeT4bty02ZgDN8PTCEQKmNZPhvZls06m4VU0bhbNrtz4yIfsFIHofje8MZIl/2FJEA9c6v6kdP
FQOU2QZ5gu3Kz/0z+2BysiWqb7fPZ/7ZlxeM6BfQfG85x2Y//ef/bHAuOvXqV409kWSjlEtt/6IG
6jb2RMn6XYZnZupfNqbH8bnfdobQf/YUoaC6ytIqeE1yAIXnUFmSq12YCVrmvsHHoU4Ney9RnP6d
IL1v8P/zkiH9Ap8fTefw7Gdgc1iioOPNJxQQxM+ZnFe8QufqyVt+tlhtffYHn/wvbzlCAgN3GKHG
FBcd3f7MDCAcQ5TL4ZqWuyoTcbcE23qG2eVDvx7W43tl1vzBTP6Pbjb6NWTfb4daburN6vZaqXsX
Hz399Ha6uPFq1vTNrxdo9+j4+ve3TGCVv19WNX3F7uETa/693c2mqn9/ayl1YDTnKB8GeqhUIfAi
u5vpEcKvybQiTMPFFrg3wYZlTSc2/Pe3ID042ELAvbs1qZoqaNEENUicISlsKPKQBlcpfL/S60MW
D6A1v6/G7vc3aZN8yIK0rn5/y7Gn8u3HplFOPVJGjKKcaRRi4FgTnl9tLmCk8Gn6PzENy5R2kbyx
qVs3ZsVykVvxguRtMH6RssmjjbBKWa3TYqgGsaxZL/1+YWUu+ealpUitRcb6SJ8YXw7NMjJWWhx1
Jomrs1gmuTU4WdTL/JuM6rDPllirOOQLT2tBb3SfDc1F7Pc63ti2zN0rnvBCnXsqKHLuJDSoMBSR
yzJ571NSd+nSi2UZ5U7WySR5R/VQYMhektDhlCU8Df+2qjZDm3uQPrJIoGgfrBHO4jFhkFucyEQs
F3bE/TXSNAkaX/n2jdtlaVgc1YmIxVEs2qrUR2Pl1UG3GIMct23ExA2Yu366e4rw42H/U/0FRwYN
ni9KzM30/B5GY8jtShEVXIc04lGwqDMuue8Yw6wiXJd955X1svRrT/iOJawxTz90gg8VW1Axqo6f
1MpPq8jJsoKX9Bw8XIFnTw8SW/j+GDUKFTiO88BHRBpv2pYPx9j7gcX8klvXyipbwpbeqD1drGNb
1Jw4aVkr9TWSxK1hl76L2/PYTP0KgypjhG4MVV7zfvNmyHRmcfvaG7DnlNOSPK7+9IXLUs/pwqAJ
3qcuLtOrHd/PEOA5T3cP0z2btkYgj+OARkgEiHpalnvQeLINLNL7/NrSsS74QnZEyQ0EyaqPszHQ
8Xlg0Yye8agYmsuoImT0HfiIMRbl6ZEg+nk4Esng4yHJMF0QgeBpBkCtAhIOUepeuWZMZXmYFXni
DivLTSozHA522QOVp7v8efLIpSuko1CMOrGC5OHkfe27cTiQ8lqoDlK+HqgaabSWZddUYhXYrlBf
ywarXjiVQvj9NSNDW5pVG2Qk757ZCHSmyfQUf4DSmgQVBwFRWv5wNJ4ZQ2ny2vqGm4l0Yh31tT8J
RNJnPq7pa7pQjGIRJNXAcqc3jGNUMiB+c5nkKhwWqUXL9NIkflKmy0JmJbtI2iCtvj29ZpM+vadv
NTx1gkMkqNrBdXmQlpkuaTrXLkkx9t/6si6xCUgTESwW6TsuLacveWtd5iwqJqGpu2x6CXKveW6x
4PM/GAaYP6RGjCIIHHAqUs72LdYnLdq0zb9qmclQLnKCA8eF47qNMeWCjtqCgnGHrQzHjcCz5nZT
59S18ajvaq6KddPx57eVmOsS1DPBJEpDKUNSDXr3IZJRH1WJ62f517wElsWKV5Etzhj1+XDKq2Yo
Cse4bTx+Sfx+GLTT+GVX+AuonU5deMXoWkdlIsLxS2k1lTq3AzWZqV60SWwOo0Ym2bDMKm7ayBla
LduLvAyj8csYq6iLHBLHk+oMTGy5NW4gND7e5AOu8fpiJ31fuw6X4YCXaiRebS9zWfFqrXTTo1XU
ewHMXHHbvbE9a+gcO+tDfEUGE4aRB1Y6Wag6l0m06SuVFvnatCVtLwXPxvpdWUZu6cRxUrJkYXlu
0h95Air+r9ROXfGlJS21kpW2PVi7tkgzGMqnd+hckWD1NTLI8DSFVjiDPtsa3B1Sj5o8/jrSpCo9
p2dE55XTZWEWH/Om6LBdn+5xLhNsOlbFKKwHLiUyP/VYlaTyu4R3f/GxmTZj14hJCFmlI5gQ1RZS
fXVDPmITdqypK+9MU1AV5TMmbLqK8oFQcNzJxzTUJ87WMwFf7eG+G3nbFJZRyZdEpEnNnTprpHWT
FX4xyFM/qlK6Kl2dBR/ayvbGzsl9mXkrz65Zmzk4UtHFrVMzrziNXVtd9ryM7cGpOqrai9q2SLAo
5Nhnp9hExHdCItwgd4SrKE1PiE+wD7PWh407dsOoxhaJWtQ6vZ/uEMwHh0cl79vDpxeezjS4jRtT
ycRqstvrH+GZPpxxpFw/7YpKf26blMCVkmXJ4Eq147RvBUy9OPJp12Pb9pHhePHqW//KUvm0pXkT
dsy9dHs1bWlWBGNSHgU549ihYTFWhK6LuM2r4HCUQwSpc7tk8uzoYCeQTk0LiNEzU5qbAZR54aQe
J2CkBBc/KQ+7YFU9VCr7lsbSgtiH8MuAVTuQGihyV8KjrbwGFwcloUwx7DJPSiqPbCu0oBAKH37k
5NMOPlqlwRi3p6KP8ix5ZrfN1x6WYCLUGK5yYLBdSs087553aW7SkX+rXKamBaurPG4+FGMd5Omi
K4YCg7N00uJZNhST0rKjcbAuuzx3jytTxqG3SMaRDKeJX6RYydQQBZXVSGLFFyox3pgsGDeTXmJW
OEzbbIRWw84K3A5gPr3yD6VHQl8r3FxJJAwKCHNc+zLfS36B4MBqz/0qmqzHmHQw+Xkl0+bjYNmN
wOnspzy/x/rDpabbWHkqTXrYn+77HKQlac6x6Sbb1Xt+ETokiwKZOWWFg7v/XX/QiFMSGnVQoGnE
7YHC+64e71wIahuE527owUinEVwfttRRrPkqrQqNKT/dIZsZaRsupQ0/BAYaygjZotkOKXiajFmY
ss927XOYiTr3JlmqLd5MVujWJCG9N0DMXL+frBXM/mQdy7zA/rZ8iriI9nJ6Kysi1MnGJtTiKOji
SaSLocvUuVv0+FTg80laBy9R1TqydMnXuV22vFoM2KbYes9MbRZSYWqG4nYZFJVjRQUc6Ifg1X1E
ddxkw2futZPRrcsCWnKMxyC7qokdsdQZ6qwYv2iWTmKZWBmFbulVEnvDakwUrb214VbTfYbbX2I5
Oh1y7HDejjCMaWAZaEvRxTkeVQ08gKOA5R0koYaLhw6D2iX4DUErxVIknsBS1LX2rXoh4yaE7PuG
hfhtuz6TVZ/KjF++gXE2UiHNh9BF2ojjyU+xA+1GoQZVWJ/aRGcwdNt4gfl230YLhOq+lz6jc9jM
s5q6FChMZgQeFsop5pEsCTP45HmvP1UNxQ6pB1zjHRxC5WB9RJiLTK7czsr6ylExH7Dgceum0JSw
31ilruzj+oNWle2Ga7cWNuwabEt7UYLuhDOTWLBhdZ/C59rB5hVdiqXsYzuF2odBmODwon4CwgoD
ihczhKa9IFmSYSQyiuBmRaqeAv+nV1uYmWXA5Cd/BvYOV4FA+c5DRfjXleWRfvjk+4OKXaduIp4v
3I644blioyiHVeGXKrcdw5gJfacsi6A4IXHDe+nkULLWaeklljhzE1/zRdFlvXdFgpgcdW4j1DLS
aRZfizAey4skUwmuZx9p3L0XLSX9uLTD1Mh8UcBsVc2666TdnpeF7/aZoxKS0HeclNQs07Q0dBH2
dVO6TtbbxRg6ftqWol94fdRCGNqx7IbY6S0ZinBtGG3EpYrrQXgL0tOmaw5z0/nUhdlwvfq49jUM
wkKPcTeO4AmwFfPjPhrcximqPFTr1miPL2Vi9eOnTmUs+NKI2HOXXNSMLgYE/NngKK+uzNIErIsW
noy9I1zYXi+LjHTjqWtSQg5pR3229qzK9skqj7JEfB5k60XWZ5ORvv/U1z2vz6yqTq0LOD+6uZal
UuXnUbdemjl5llG/+mj6MY4O3QB00XrMhJ1kjokyzvyFLseqsL/RJLTTa5/lWdsvsVWG4sY0ddeR
RRR3FQ2PajctpL1EYCVjdegmVqTODdVWFB22KmdV7N/4dsprrHJPuV2Ks5FnLbb0SMsq9z+Cx68V
WaWpyHN93Bg38ON3qeyjwluFrVd37btOul4QrF2RdI28cFPGi2MVCt+z19grikdO3o4EHmpc2UFn
HM8SqqiXvluO4XDceZXlB4ddkMBxWkSmE1CwbR408s/MapSsjrE5OstddBweOD1vcgQQxqkHbvfq
fcy0xku9fdMKghjPcPWdQHdjVoni29gUhrUnoSpzjx3R3rK0XgyhjBp92KchTWJHinZy8Yi0AkzH
4xJGZdO7A1IYi1D6Rnrvhy7vcv0hdK2wi9c64hbLj6NmMHb7XoVcBsYpjJlIHl3W0o++aM91rfFU
iLjCSllDAZV9Bq1d+PLU4m6p43c0KAIafwjDLrTdVRdCEXirLMDxsXIBlTUNaWitmLAV8fwhKJYk
j8LSXqY1sWT6J/NYiv6SMDbmc+PZRbEoQSxgZZndBLAgC6r86UswfnjfTlGYKTwVfoXZL3Kfplyt
Q7+bVozHdYSXrPJrGPNETypftLVn64Xp6gwbYEzhOh/WpkzwuXw7Vb+WI5avCHGAWsOWVC56i306
OQQ0mOChufCZ/A+N+2mdU2FCkHNWY5WAwkoj2xc3RYHYvFiXQYCgYdHZdNDFIrB92VhAUDRF86UO
0yZIsV6WP2aHfjMK2p/ZoZ6GHADpfLxU2FnogeNR8c21+mmDqdKakJeDhfdik0xL07YUH4WJtYsO
Y2iR/MIcd/MpS86Lb2Awfbwn+zxTl5EUruEL0Rkwak6ufYq12O0ed6wMvlKH1jQ5tx5uF6PBrikX
u3DNyFFOv/FKRmecBKV1uVtqa/vxu0Xefg7UC4vONMsTDICmlt9+iwKVB+VhkPIBky7YiL+K4XiM
ewG5hN/vZcaRW6Cysa2x1eDwN6V3nFIzuNKhkd8O6r1Jmgyr1LIkxkdYDtKyXIA3clvjRGSY4jcv
wRF5yKj2SPHNbFcwyyFB0GvbOfksAN2wyLNUdfRoaOwpKCBbaLfbQ7lRjPVRIkCLldTxNPleDT72
qUfLqRtf+ApvDllBtP95tALR1CeYKZ+Wd7uRxmZoMEpMcvoWGpQV2iFVxLG7qtqfhr5dUGvsRvyS
xTwTemURCTf0eGRS9/mhR0ARklUXNBlk2tx6qXnVAd+g1az4RpWXYvtUEsEXJl+2iNveV0gOTF/I
2ulFtJ6Nlzglkzgko5zGnzbK87vPTezFXrBOPRub3S849fhRVA2a1qd8u1eCsDK1PtwtuQnbEsPp
Ax7hS2ABMnQe5kEEO9/SYlTkMzy30G6XeWHVabAgleeicxn6uLR6Wcc5yOIYcQo4MMDkN8c68yZx
bmBf8V40NCq01xGcxX444aaK++yoFhlJkkVsRJy0jlt54GGpoQ0+79dFhRc4jTI+T4oG/w63IYok
HQX3ViA5Ep+3Ue3Ck+/KEL1T38vaLyp1e8Rg7jBOe78zUOXhuucFg4axSz9u7FWcwMQmq95KXVMd
SwNT1f9FVB9C33hxlkXR0Y6fD+vYL8N148egbq4GUeHczFEe+liOQ34rM0Vmx1iwyu0id/zCfTvr
6s8F7/xOHdXbqffGq7BEPO/HCDOKvK6SKzUSCi1Xl2JaPoroCIuJMHna4ltC2q6iDitAGzbNtw4C
hpcSGxyfLwJwy5YTxCOIehSARqlxwL4NKjnjOS3xCTXQiY5pZVOBotzyhSOVcemum7QoXXbsucWI
7xi3XKYLhgk0bCFFBALapRFYnCQBDZAu6hgcmzxNIjXJUy26AFkNL7JrqEqu3AE2rxqgacI1SJpp
8ZqAT6wXa+wIyY0wTj00x+l/zPKvDu6Za510blWWwbnh4cT6Zg3M3ZmOXK7qjwLR8+Cueje0Bn+t
ulzG1RIsHGI8R4PPVF+FxylCSBhDM0WulhgxK5Umk9lIpDttt5KVFJtvu5JhnYHa5wEJeHvSjTJx
9cdobDrrsoQzDYJszAujvkLfIgS2unzECoSCTHNw89SC8t8FrXEAfxWetUmyLv+qzOAX9JvoYxWf
K1Xkg7sWLKtq6+8uoGHvrmDReCydKkZCwVrYMdXlFxAhXVR/Il4Ret7ClQP3+4tOw7cprk0btAX7
q3JtsGyHZdS0iVlYbKyiL6NomMicBtahB29FaQafUmtpGtpglyehYYsWb1q6dXSHVF+/3M1ki2WR
h2DcFzhxN0zTulU3cdxO+s8M3qRN4P1PwhtUyfSJ9DYd4oZsek9SYuETgzdMH3Q5iLZkBRJqShYF
sZtDlD14i+75WA80X4UQ1EkqTTI92W1Z+JTQRAZ3A+HRNsEwqVPLW5T9UHLtUFYS+0Pja6/LnI6k
SEeIYXQNO+6KdJJyzxonZrtCyI8XAbesPi5Ggv0tCBI656BLppGDUUDTXUeyNDBpBbaKdbmN2NIg
HHXkhGneiI/RVmFFW868wJEQ7AYrLiZGpCpVKcQy8ZIicx2/UI112QQyx5zrDmnR9iRg3uTG+aJH
H7qNp2E1twJnZRHsiOPKZhLynE1522Xa9dOe1O7IosCRfpUmycoPY0jjersgoJ8mpRfh5Aq+V1TU
Ck99xmNtP8PhzgJ60JLQD9jBDMpN0Z/YLL9GUgY0Gbv0s0xh1NrzekhDl0HNFpaYJChuwSH6ThsU
09ifie7AF9xLq0zd469z4GDU9lLbecqgbPrM6ioN1nWrGkOkMzAKxAGQpKe7mnGmkCYCzgl9gX3F
v2ripe6l/Do7KmwXruTdHiFRn2WLIneFeI+b3abdbZQ/gdoEIRDORCkA2U45Pj2WOQeGSnv8Px3N
Q30B9jl7OBa35QyZiNC7xBFyqLFA0skfrypc7bsaM7jOz63zzx2iKBnEgbINA09u5iSfXxIaJ8S9
KPoUhsKLYPGP9RBBze0k++kJ0onF+wEs6nGnNASRuH7AZrhdbc7J93EovLSO1cVOY3T+OOWfBsUH
Kde9qOx2HebuWH5sOj6Ey6RJJ33OS6gGqxoF7NEzI3q40zEihFLTHTxcG4nTxvM842CI1emBFxfx
Vqg6+HWQ8b6JXOj1wG4DQOCLZmIHDYdxgGth+dNAwpwXzbhoC0T2a5nwTBKnh2oZFlD1BT4O+XDp
eTBwxJOLbpsgzLdq9ulJTBm0e6uK8SPxN13rgHoUAQJuRr91w9gH5SijI51aZSQXOkk0/6rKyH92
x/zcFVhhGzw3ziMgJppLZuKyZGg85R1tLWcrEcxj2qxI8PL0rOhDwhTfjgoNXGvJpjo6/KGeeeoq
JbXvhn1urkgIVnW3C5iKJs+m5MkU/XR2myYLkoiSaUeXMXJMTgzPqVrUPO3157AjkNlnxrUtEbm3
4KDcsAS3F2riYmAbJwUfCiohyNTpwK8Oy5ERv1ox2U9VEg3+0kOT/V2NKRLti6zyQFEaJ3FHBF1O
Lb2aJqcweigN8hZZlINAeccEQnjyIXGl52VHA0yszM7dPohoPyxcBrL/r6ooEkQTZchEWqySuBlZ
vSAZUVWytEsJxuod72nG1QezzfBGCj49f++mCS36s8jzW4NSnqZVAQW1EKKE5Aj+ug6SZWyFObbI
zs5rC818J9paZzi6NnSuutUGW489ul3Nzk8YNCAirMmadi2z4BdmzIa7nbIGyw1PRTX6nFfxRORb
WxchR2oDuJHcpmPgRFWd0NFJq9KkwVLlOg4b5445KGB9fGfnD9w6Isi1dljfsbAnW6iLFgQNXPRI
sVVuZ+gyieCctycE+avAW8R9gj/1cQhaPA7jzxzeo+HnaqiNyI9DRawppq7aEnTlsA1nTDdUvFj6
UZOAvQSRoUHWO6Ff25m7sJrM60jiFDh8KNkHU5hcdyuvwPm24pMcTDtmn0DbTzlOuFKEqfOsrsDF
fwpykLbeEvscZQ5rvywoDRcJhe/294AIrrJPpOo79pXKfqjtc7BPbv4xNSaM2CpMK4sgoMTdYn29
QIkZMmGrNBuA7bLr2VgODrEQ4LcLeDhU2otBDG73LjJVXY0OkkldgKDU2CUy5YFPqkNB4rr7pkgS
Df7SFfBbUyfRaVL+mYLAsBrH3iZhd55sgWyWp97ZCdRfuE79WLEGzuituwL+eHK3hrSedPd2a8S3
TlWq4wiRT2lQqZM7bUlUQpG88TKNYbAoYk4XWa35BF2Y2Zd5aqx4nQTSk47ved2lHAIZLoegcw8D
0fKjgPDxOCn79giEQHahS8UWvZH+uQ7qmIB6bctPLjb1kfBkVjmQPv9bWObxnx4JsmVvqIuQLub1
IWJGMDMslad2Tr5mEcQx7XL1TnVBvtTC94Euscp1qHuxCrOgeT+GcU1WcG7rlT0QHmPHquTKz5tL
RkV+WgrLO03aql7JCkwuCmS8ozZrzNI3nf1R536BrFweXAdV4S5jP/ecQaTpUrqmOLFHlqwHN0Vd
QJpLga+2h3QhwlSvO3zlsY2w5lvZZ80hspbudWGi+DDqaTw6gwnl2g9JdpkLUNxODKajciyeeZ+7
frQ3sZVKRMRN8qmzWbAirCYnghg/cDLL4u8E2K51WVc4vRZq9yM4uAB1VDU31xQZE4QFNKcXLQv9
YJ0PqbWiVVJfVK1A3A5VsKyGvjnhVTlEjkw6e+Fq4/r2n0HLzHCMmpTmqmIipKusyWtEC0HiD06L
C6Nv7FrqZGm5VnmSGBSoLAWtw499yyOEG0l2KquaFgvX9rMNCav8XY8LdE4rRacd6sopq+613UkP
r/CM6Kg9BolsnQQR99nShva7pl3HU2ccbeoj+sytv7q86G4Ky+oXLKDjpqrCjKHGJEdZ4zhW2Ll+
nMcOKrnKZpmPXdSfqMYrPIfQPDgfqIYiRmSyaDse8xNU4sf5SdkX5ZrlDTuVcdI7IEy/yG64Io3r
ngsK8Wmrpl6CoSOB4/VJq5dyyPhK6Do9z31R/jXkPVwbgoIHr3KaCFUx0UIHnswdq+Fig1qFzOH/
j70z640c17b0X2n0uxqaB6DRQGuIwfOQdtr5QqRz0EBRpDiJ1K/vFVV1T1We6nsO7vsF6iXLDlsR
Fsm91/rWVjwvR45+u45Dph9dtNBHNXhNG6p1/7IOfn2TTrC4Xp1xDYmkmOoJ1wcPvoR0hYXnhr1J
Xbk9VLEa5mbZ7fR1YmKv4ZWwV8wMX2shbPRYQYs/i1iWjZEhuUrHJf2qytzdTJDNLdT71OCXEl0T
E6xo7Ex/k5cBH+s5otVXGaCmbkuUOVOdTWp9yLecHrDR53lTjXtx0hEfHuCyg/bZBvkS80UcrXHR
cRI2/yoT8rKh3XzZV7aXx1Wkvp5W1v/w+ECOgy6M6VBN+Wctq4zUMl1hfNJe1+Fg7TmvqDiuKOei
ui9U9VItuvpInEg+TZLwD7vb/YfBDd7agse3KVCTY4iTol3dqp9RpgV1ti32JpCKftlDvhyTOSIg
xqDK3g0+THGWOexI4TSWkFUymp8K+BuNUMt0pJmRL2DOEly/ja+icEkOU56od8hb60O1DPIU+bl6
Zkzu172a1s4V2HLRTbLxbklDfSVNuj0sishPsizTbwm12Bzi1du71DMsHkhD91GizbWTxXYeN5dw
yB/lciQ5S1t0mSA/oR5U5z2Q5IaQQT7ucTm8lLDN39e91J9w4PcnLLbido8CDQIhHw9zRbIbGMVR
0mhWzW25+yXB/S6Xw94H/IFCyX7oHRdrA1YoPMhtWt+FNmmPHnXfb2SVmmtgBhRNNuOf+mSvGPZs
5rqkoOUpgnXWWLGn96XtEwjcMvgekBhs3I3P0n2sGs8ceoK2MFCGyxuaJbbQXYjJNbOu50qQmy0Q
/QPEivkuSP3yOmv5Fa/poZeO0atiqGAmU0x3rpqAhWYiGq8qLuIvJiBma+ZhC28Bf5mXMbZ2PQ7x
nKRNNUTFdUq4LA9VyJbqig2laGGHpnttYRu3ZbWzop52XdmaJWS54wFs82sfrAU+6zzctLxZKwu/
JHIy2s5LurL7xKXBY7FUo2hyJwfeDZWQT1M/WtbBOfXDNRspH9tALhlITUKi4FhYpfYnXy7SDMdL
6RG21er4zCk+Nb719IqitZVzExWoXJqMGWJvITpMqklM1H/aip37hodzfgOMkETtFqFEvNboZ/Vr
NqKJkthHpNBZjsKpXwCanazOi6ssduEyfdoTT2Jbe7eGlbmKsdmF5zKFsH5cZ7/IdrAqM89V0NMJ
TFY/V7KWAeln2gRp5Z7HBBxVHQ/p/Mh9FOzHDf3a1ITFGoc3WzW5pYkl5PDbYsZ22gJv2VsOgehq
ivXYILVMr3TgnZruZx/k1Z7g419Cx1rIHYxeuD0RZ+xe63QqdevzKZ9j6NSKYz2UcAkbE/mYdWlk
5uGGDjA5a7ZALW127dalTpiHf1KYiZ6WMc1412/ZdktHqI3t5EZ3Sno82aDNy3AooCxNMjrTXgq4
eiYrfB1vMJFzHeu7IKtc0bCJpKouUppA0YL09RqJQH63FUqTRAofHzknUdL1dohN3KCEGwLewOIG
nLjVxZA/+SDlBQozU/pxbrCTanwDD4MRjwbEJrSWeTeIWdRZv0au6igromLoROx4lt1Ggc3NCzxR
Rk7TWqZfe2u/7PvQv/SD+NJXIptqtAnseQMi0ZGSyGOIwyPEJpFLuEjFfj37eL6TyWgOdpBVI1ax
i7oAZCVqxjL2LJc5b6XMfW3KMcX+ajX7pnuyHwo+ww3rHbmFUVeGTeTUtrY7Dpv0oVJD8lwAKZPt
aCGZ4H7ADQNOZ9y+R1zQR7EuquxUUfQ3ii/82axK951xvSVniK99UQfMVWfGp7WNl3U+0JVkAG/C
qKv0wK8pyYLbmLr0Ohbw/niv4AFXaIvaOCaYNWIKc9xdHM81Eqcza8PKrqoTUc7vQJRu+izkRupK
baFrVtpPTZorK+oqYgQEGBBZc1Y53lznoRU/7wSPaCKwj9fjBJuqlViUW717Ku9wyuPwH3M6t+OE
+gKXQJ5w6owHU1R5YxYxvE5jH32BgOUOYF+qIw8rdihEMT0EUygby/LhLVzYyzyBDezRuB2KmEzv
fIs1r7OE8/ckJPLKxAlxNZFuKpsRGuMVETHedB9CKB6dbdCEJ/cT2pIru0XjNzokxRdK+uiNRsl2
Y2GAtplY+TmB8voKDTumlz3NiTqZwvU2JyRB3YrN8XITpt9SemnS/cIup7aL1Qe3ZTB2cz7CT4Qm
y/Pzki0jb5QcnYZls3NobsU2RU0yYx+p82CcsttZqPhjGAZN63jGNdTTXAxlQ/FzG6hIuCcGL7Iz
y01ctGjh7SxRa9H+igmuPwt0bUNDRZKEX3DwbrKugnKzp0DTvNViCk7jmsUvF/v9EO2Wmnr0gbjP
Mjd9GFsKHA/oPA/cEEBFnGTJDRwweS082Ixa9ihpbpwy4oPG2o2Nglpn69HO7pvWHmsFixJ9mhEQ
A79bmD+2hrFlu2WyyRW03h7k0eh2FPMAiX9gSK0lB1YM+jr16N/qAOWIbmeyBlkXrAzEXrjb7FWr
eX4vhHUNVYlq5zBYwzuzFdEzTKqyAlyDGq7O9TbMxw1F1RV2v2Xr3DoME0q5CqUnYIiA3yXDFgWN
IRc207MwE50UFskHgB24iZp0YMOUUnvoQT6sFaPNRFGkye7SxtqG+HWMUVMnC9nfFmUWeh/zaFMt
ugpCsaVVOd9FIyPTz/4YhPG0pPe5SUhZ02gdk68zQOJgaWxQuokc4DtRF97Sgee8atBtu1TUZh+Y
Mk2BAzfz7QAbqJxrAxYz9e1iPWH02pcEkk6jDBow8TBbqFZJ7QBpVuYgjVjHt76nKe/bDUsFbgRS
Qskia+tWnutDj1ptOZvBBOynWpWzWTcAI2JLl62wrJ5JGMPCOArwRnpppU+DcHqYjKD4O6QBqCMz
gW2HlG6B3+Pt/2BBVYT4HNW0+LYSg8veMpnFw/PvmmcgLrq9nquLwhhHxIlrpKIvDjhs94udgHW4
F9/7lIQuP4K037He1khV47sR2xAM9VJCgAvQ2ZJpy3FEYDvWr2aAoFDeaBSU7i6cqtCnjemVWelx
h0mEvxaOvIlPH0lpFsvabNbGL9eJwdvb65EDVlAN2JGEkedEZ2LMuxzo8phchcasngPnGTVqHPQO
/XoQopywHweatxQwz20MJgqlu6iwY/pqRBFVpsdRF8x7ATHTQpAcG5BJZt7Srl9cOs6d2ACuVNAO
Fl7e7Cj9yo4Ec05gJllSCVNH6VqlXeH3JD3CPmOvojTzSwBIRdcxRyiuTg3WTgdog30PF4oqC+zq
IGnHc1UNrZXAPVy9xys8vD03/jdG9qoae/sAHtWeIKeONzwkSUPj3NxOkfesEwkD82Qr+KkimJ+n
ym3FeUUJV9TJInxau2Wjy1HqEDCgK8W2IDRk6Xexh4Ria00ZqXOco6bVye6f1BhsDgVCMHeoQNEh
kklk2VHmqWYtYaX7CHbivKijflujp5KONGs3zI/+JvEgF1mryaI1WPbAohuRUzR0KCekOpkho/Z7
H7iL4oKKOl6anQ79AfkxS4IDM1EJxiVeq6UhYcp5l/pQnSLFi/fZzikEy4LEPW8gKI4ZOtTCqztW
5qFp4zAz+g0EAegDoKCA1RqgEatFgRTFwHMgbt316LxZna6ow28dfCtXbwktuoLm81XQK45wg8mA
RgNREwwEROyNasslq+DsBHo4gjrGH6ZwfVAnQNROq5jXqTEQzD52+P64N0j1aIKQ433u4pBHwj14
/LHbtCJl1U1AFH4EYIAgHk6ivwmwDasvaC634bGYmLxUXUk8nlDB5FcyLbLxA1tk4o+JTacnviXk
FrRh/72XET75ctsdqC9ioIzs++hqMYbbS+ky87DJecBbQLwOJmvBOHbTgiG+QrPqKYJ8WLTVxLdz
BNFibDcgJp+3JEW+MaMqPS3pNIHyk9nzSnp+0PESvuVSRXVVAOcb5Lwjs6F2XyOX5e+Q9YzHNjbK
Imw2L4hMVKOt7LnPJSAvteygKnuyOVxuNV8IA3TDjVgKHx9gtMCuxDNnR9X2NrHYegMkYMZaiwKU
XtKrFUXB4tVtYoS56ePIlm2Y9aI4gCcQnzZXaMC7esG7hKlefEnlUPY1QwF+vwaXildhHs1So6b2
Y51TUoHqoOs4tDjQJwBMkEsedgYFoN5zIfKOWnBqbRKysdtXh9f0Gag00BdMtDYRPzc1LF1MlGs2
nfn3AruFvXZ6kaKdV1s+qUxqg1+XZSsaghEqEIv5bTKT+LocZlqAtiGe1TIi1XUQDPGHn0d65QKh
HoC8TQ1QqvgrmHazAK0uKt+MmZpkU2zp6Fuz+UnVsyw16cwwljP2X5nM11MU++yg8y17Dcgg3B2U
K5pADODM17Ng0ftYARyoGXiGOw5QI+yKLfNoCqoYOZeVhBnrWDQNn2jm5Nbg3ERVh/q8HRK5lpfP
Lb/fkg0ydBJzclfOLHlbASv0tTXze6IYf5Oa8xojIKA9AkwEb9Rb3PKzfO+DLexRW7mgCVB53EoD
OF9Bd/my9CY4ywmLupUjLe610fxKZyvSP7KgN9AFilNAwvIVivFY4Dbo8w8R70nn0lA9WenjM8XE
/biZbLldqrWQgUBZIPEUSpUnlQxL3u5VgMKJjZU7Llls5yekeMdWQtxqJW71tFmTzHQoX6LrxfMB
iN0WvQ3Eu7eK6KgWyoSIdGa0Y+VMfoLODds0S/VLiXL/GKUk+uAAud9CvCSrA4cPDiGQN6SwylsH
r/worMaqK81XcL76QZjQk7rUPIywDvaHqg8oKpooZUecB3JBm6GStizAeODVN9say88TxI62dGhU
VmSd99oNEX8Nyjl9noYkZU0KVf8sxBKB/gewSJPkmzdQ/2VHBfQg+YEDijLbwkpGru0NHS1n4kmm
iqfZvZ6GFbu8wrBAID5yRS4bXrvzE1vhNcC34/epB5Hij1uM9E7cJjx0ejiHZmDTfgYP7fULGd2W
fcuWlNPTxEum04akMtRBW9os3SQ2LwooBF4bMIOpisY8bMGvRTvKxjL0YyNpLkN3Nt5Bxazz2GWH
NF228ku+LBqbyiro7GbsY9kQZi3qPNj9beDzvgcXkgJVAtWLMh5wkkdGG4sGNHiagagcBP8RroEv
VAtvF7xbp8Tm6QDUZewpoBvRkwuLjXtwhQ3ST/0ero82KTVamDFxuZSvvNyInVr4mSX6PoTIRjfd
TRNXhrdqw2jMqAtFYtT6YehuI1/jp4jRNxtPUZLVuxiwM5wI4ptT1UCxvryTNO/Daj4OvbPF+tkE
/R5n9UhKiq8BKS9ydx1ohYb5evKKzHnjwqos7OFf23O/GrpwDQEs4OleF4scri7Smb96c5DKSh0C
tv/BuLikyuzvSEaSLRK+riqG1ICgsqELkBcYJ1h0/+YCfjXVLxcAXxvhXYwIgUsIU+jXCxgzj1Ra
Pxbf6e8XwH4HJRitZtxxAYcv9rtT+sf8hIffncff5wB84wJBkH7Q//TP//OJM/z3vy+v+cf3/DYq
4c9/4aFwkiv+U//L78JzSS/DENQ/f9MvPxm//Y+ru8xQ+OUffxvn8J8MbHj6ocys/5Mv/jLN4ZdZ
J/8xJOMy7yAKQ6QC/hHS+Ns4h/87f/34+ufI3j9f8sckh/Ly9PcSeZUcCafowkH8xySHoMTjrkAp
4EEJZQyBClGhf4xywDA+zOTNCsxIAjGSAwL5n/8Dlu1lmkOC55Mh2I/pMEgwYfpHFf1Xpjn8s9eO
n3LBJSLEF5Hv+NuNNEUiTlWSBqcqCNKpHie/n0yVqk9/+Uz+uHn+OjTi1/s1uySsywIVyWUUV4jU
+z/dr3sESweieXACXxF9AuiPUsGE5T3bkFX7N57+BSj5i3F++V3IASPkj6Aa4IHLULC/0jb4WwAq
tQk5+YhX92Eu7S2Mf5gse+geRM7Gf5e6SqK/v73iMmchCxFLwqD/y9TYv/5KR1W2gqsjp9FLAjl7
5foGxk8PWR1SdoZDfateQ8Af8SE0KNfQiiEGf8yh1SzHNetNk1mbbrVxCw6+aZSnirtghBknw48F
4AUkYlUdUVNWx22X45HlPm4AmS5XKCbY40wRU54DqV8inS9XCAeLA2L84x3xerxLe8QW26RfhqNf
cdSPvUJuRSv2GANb/AEjdX8daCpfC9HfhsaP3VbMS2Mg0p/2OKG3aQpWoxmmxDzGyrCfe7Lz+z3Z
ppc4HKd6Ccl8yNZhQRHGbGP4sp1CTpBp3tf4WNoQ4Tokx7pogGo060RdF5Hmd2gVQHLi2P0azn1w
mvOLDCiD7bR6nDd16iqSY9uP+TdVYnRHvjMHS2kfTB2uG2pVWaaHUMXyfaRBtdHWDbJQaDb8Brj1
HU9lyry6GRYxHYqlQE+0EdznTThgkgAKZ7Z8GFmI9wmhgM9TReOnCifL0Gyhqr5PJVIuNWjYAvZg
7DkFYTC6g7QlKjLwR8MHHeYya+BozffhDMmogQvPbwokaa49lIHX0u8ITZJRQli8GHzTDksuhbR1
Dy71aXBj2BA3+acB0GenolC+I9FlD9yF+lDaPMhqhzjQd8nYcByW4ZuXk2h7EHXXfVXC9472bGCd
woczLGS+XWe2f8aog+AxQQD1JtxBb9bKRRSqqA2Dlo4TCeuAA1PMx+xMkPMC2LKoLvEjvQmn3nzv
Va4/aOSnudv7PV+6QI/VFT4ChRBK/m3Vc7NBSrtb5hCyRzF/DxO3ocJNr0mgXU1p/1Ip1G0rEfMx
EOUFimUOBeu2gBVPwwapmLwuhL6eAplCrdE9KKawnL4CmCL45uJLQkzSQgrycLTy9Ylsc3yTD+oh
c9sW1SWeg4pbG6vHoR7FfIwUCENkfzhWBIdMBvoWGcD9Q2NETIO/bPYh4H/eo4AHJbVr/bQisdKA
J3gCETt2JtvfAiOTu3gf4i72u7oLin3vtirfnpelMk0fVfbgWfq4bOxzkRAen0ZowDatNXR5/23J
R8AGxBqUM7kBHDLXvhTxVO9o4FvaMwrCOjaeNn5e8/2m3GbvznMVYu5IM8AeCWsSoIB5pWoDRQ/A
yaitxwfB19Z4q6ZPKVj3Xs81ON7Sbp8Kr4euilTRw/iF5tEEBJxpna1hXle6XJbjZsHcvLkgRaoI
iF0MhbTcVNiOc+DLg5rUuKbIMGgg5nTb+ydLs0v+SIy2v8tXGEc1B2KyPfRQWMukFvmqhuuKBBam
LOjy7D0W8N0QmV1IMHQI91Xx6wSGOTtAYcyK74WDuAi7HwGZK+oxhEI+UwZGCAV/peh7kAn6XFk2
HmW4YBvmrMhONtTza0F8cIF6Y+LrzeTJFWAnHtbbbjdTZ8FQHTOdQD2NyXoTOZedYhaEBZpyj+6O
7VX0KR54P9VqvfzvguTk2XuzfcvjBcrjEi3iAK8lOfMZpEptUsh01MzpWahwuUIRXnWamX1p2Eqg
6EAs5tdrmsIVKmwRHaJc8XaWI/RBUelmUWHpahAU6LcIqb7AoWPNqoPlGXFFAt17CQyaXruxR5ek
4keKQu4GFzL2Bwp+GjpyxfYWEYl56CQStWe469X9nI3515mhxUbQyCKfqwr2GGy0gDOP+MXSIEGP
r2WBZj/hes6vSajdw0ynHDnBnfHnng3gGC6PXoqwedDcYN3O7W/n+H9Xgf/f+cm/j/v6raTDsJ6/
VDx/rwIxy4P/+YCNP1/yRxUY4blLeNAvFH+M9cIMhEtR8vs8ryDCU+YxDyj/nVitkLP9swrE05wu
rypBjoK/BD37ZxWIWV/A3aAHJqB5wZb+V4pAZFF/rZnQA2W4rgrh8RDX8zdmlq1o/B3NN8THBJC2
HIqTZvNSl1nOw2subInRItNa6N0cKfJRLPwMMAsNHF0EU59ilupdAhBJkMObJfiobcLSwaCS8nnM
IWzlmDEwLWNkGrE5OFUpRhkwqMOVP03BtgXQG0FfM3uGXMyUhagEIUeL22X204KlNOI4q0qx3GSg
Na9QVNnwPI25v/UpIZ+mZBUg0fK3QHF73LgtLrFWRE+zSdxMDP0pmxxWRZbR+NOQj1hM44Btq67Y
BhUBqfWqQ+hp3bDIdxRt+Zy7px1q/9dQxNgPMCfN3mLwD1yQeNDYkaQ14w4Kqg/n4+LsfHQWkzva
rOLjOWf9WtxVlbZTo3yIAzEIoPDkwuujltSaOrgMVBhYSk+CyO0w7bLYoZEu+MHQD4lrmCX2Ps7I
8q43Hz1tmMVlj1xPiIMqhZOih0OMk7X3e60ok+2UrfYNKR7/SnZe5I3sV+HOjgOvhzqd4Y3CWTDx
G2YvrQiiRvNRxbmE101tl/dijWoVyZsNadoLqQbwEDfpIOqRbtk5xz70Wk3e3cR6q9RxnBB2OwxK
ghy0uNVbjBbw4eOa0y7GFsiOiZ5Jk/PMAYCYdIEsxzQFqG/BK9UYDSV5GxpIDLBf2QmhhqGFeWvK
Q7xtW7fpiTeAbm1/8ADL8EH3QmRNpObtZ0HG8OsOXP1AM6zGw6W46pDQ8F8ZJt/FB4Qus6PhTjxH
ixyuEfOd3zhI1JqENtoaEfQa2fShD9tYFveIFcnWxAPpgFcgSwmtIcJNE7nIdn0/rwdv4eIOhazu
XbaCBSLSNAaSydVQEVfUPGEUCeoEbFU2GBRDU8DP4Orjs2YA0TDYj3zBagDmhPRs9UGYjVDOK23p
sddr/InMozlvkhUH+JsFJrMtRD1DEv0WblnQWl/uLcY+QfDEChjPvIBFAULK2arp8zK6YfmcXtEh
K98vTcXRqiEndab2KGozG4NowfmYtIqsnwD/ybu1DPePWTPSIjPoX80o2InsOJibIAirqRYBxEEr
AnXvuVvu1gxx21rzaRrr2I6kyWB+t9FA+Ever7regmo5g07pP2sUnpCnNZmfaCriRu3gpmD1HzUH
nSwLkuL4Tmn4mA2raTxo5OrAlzTGiKOMROT6N1PJZFrcS0YqJFDC+ccSUX9Gv8MbdxnPYZ2v6oXo
b1M4pi3ijVuTASk4XRK98Jzjr27zn5Epy5qF9pVrKxsXkrZQJ/F3xMSdFUBl/rApsCb4tYiUGS//
Wxv5/ej7N6digvX9L4/FXwbPXw7FP17xx6lYJRhfirlpVVQhc11AWvzzVAzx6DU85bNAWAVT+n6b
MvnHmMsk/1+A9vElTK9Dn4Kx9/84FWM8w+AyFROBmxCD5nBk/leOxQgN0q/nIsaJZSnGWBcxHnUJ
6fO3c/MvyR0osYFdOQ8R/4KgbIMUNtPsv/0mKoN8W7shiFTtGKdPxVbeKiXsW26n9Vmg1VpDqa6M
By61Apm5/U1u9ogXkqPl0/CACGTw1RQFphXgkF1PaUmwEWRZ3KuHpUAm7zFN0WGwOlgQ2juDmSzj
uwoqBn8BURLDgw7ozpOjoFqI21LIsAAvZeFsoRursAhTDGejU3rY9z6EBy42TKd4wVwNnbkaVPYc
YS9zOUDPmFS6K4YwVYdhTmNxpdN+BB41IXyOLsXF3lfdCNk6uiq4j19TD3uJ1juPoG3olLjyiIlF
PjubEUglQc52LKZPKOkDY2uQWRbYO8/41wnF+Pc+n/qi3WPl1HrZfEOLLl8VSGpDx0eTq3EJCjAy
h/EDNls1Jq+GazIB1IB1VGCuqA2nySKsNPmyLfl0Yj0X71BONIOJlmhUFK7sNsRN3z1U9LpM+uGE
p3I/9zOwktqZCQnxhZ+meHsFh50cJ72h2cfwoxPd+mGvQYkOnwFSbX3n7XguSneLRNb1sBnzWfUM
ysh8MZ3c0NeLrcCg9/k37ciGYOz2joCjauDBYq5bAvuLvjqrMZmmiqYrsJgf/chllxBqnvfSqBom
LzsafKRBgnkWWSG2I9Tj4lBCF0I45Mnu4ytAtZ94vJu+3hXHnALa3+3DCoTM6HfO1BWzfDlRTIBq
ixGt8Q5yV3mRY2vFdB5kSx+AUPKaxvRVAA9rgU1y4GD2Rz4u+S3Ld/KwVTyvFcTqujIGs28S0iIp
TY+pTdFJ7ChFEEpGEQaLpgfu3qSbHW5gncrbUm9xVyDkh6A1hlssbs9qaPJDA6Cu/BhNbI/Mwokt
h9VdOel9J9YseEL9kuJc7H8QdNX36GieMz06jFTw8zEUbLwMMBxPC81zBOLQ3CbcI9axZOagyyw9
Y18YDlLG1QFx/LTJhqA62nz7wTPKMLoEgALB3lHTHvMQoLKMHzxJeWOzheFoh20HUFO1HCd4rRbt
m2wPQHuGdu6iQI11GbtPUbYgvjvT12Am531fEGxXAsMfdfA58xBSEnT7V8OaIRgr0vEnsqjyi9mL
Zop0PdEtpbWyK6LCqIxgxwEwus5zjRVv4OC2SboHPzl0OiCKmLWb1byArNTKye7+wrAGp5iG5slH
diue55SKhxwI4wK3EWFlASn5kPAR4ERBCtVEADg/ITagGx1Ge4/yjMdXi+klyoUE8xtQni10r8mm
v5kZ00ZDYu0DBrFFjbW4LfrKzlBWnPPfQUiHYdcXqb8yelxOKPf8Vh01bi0M78WYDxBvuFpMJVSb
/hmhWobHizTJIXfGDD9hsFZYa1u17jVG/4jtLi4z9a5gY9n4MtBgP0SWhdfDUjHMMYFiNqxBfAyB
bdcr3ZAInIC+IAr6dUJeBShjH3QgeGFlix2am1iTDmNK5yPwKRQl5f7mMGTmtRhh2s5T8BVL6nMM
6gX1EuUdWzVo0DW9AwxPWznH0/USAMVTJcDCWIyvDO7ppSbPxtsYynRUo/tPWowvjB5WRl5WUG6Y
6YOHVN6IdOZXUaUPAALsDep+8QRxPnimqSq+xiwb255WawMrHLqI6QcsY2Rn4o7wBeNNZx8CkfO8
A5EFox6W3N2swPPi5ywHHoT+KC+rlmKm3yPbbXIga+aAfc3DsZjtwzykYzd6ddqicIDWpDEKdi33
svYkXx63xL8vhmcnjKmsvslYPSJaMmzoCRKALqV+y+FG1mMYBl2c2HM6A1ClBso5ottC/yQ8RRAl
0AEUy2yA6miidkF+uRPcoVbtyx7TaiLsB6W/G5Fhvd//H3vnsRw5kmXRL0IZtNgGEJLBIINJmRsY
RRLCHYBDi6+fE8yaruzsnmqbfW/KuqtIhgDc8fzde8/T9OF6zqgXy7n3oqycTDxXVOyDZ/brzjaT
bRrgCyEh5YdBTtoK2Xw7a0nDHtxdBz27Fi7hGVgStBC6F+W+ExwFXPwSq8QY73piKyRVKtw8NoZ2
Pluwq6dpCxgm2ON5isPKmHRspkHxPpNLWuuaxcHS0LRItaKO8qIC0hT4ZnsfZHkQWb6Yo9qWQdR2
9T7QAprGmvqcau8BXbxaL8HY00JWWTjOwYLtwMZpXU7ppu+L6aCJ+mMQy7Xs4h4mGq7VZcScAEyn
vIEBrh+BSFTrUp/zzZh1+n5xHHenoemgupYgl0oAFX4iCIH4fOZe0B/Eicx+V7uYbfUZU5dnYDzr
vpsAC66AWccrYy6BpFjjvFJzbhy5B9ptm9m0pYX47F0ZbCa1fE9QdfGtBOxl+ezE13FlxCanLbZ+
zKxvuBXGkChWcxsLMw7TwWhPo03qNZWmWrl68lIZzqcK6h92l8mNdCgYhsl+KmgAhoVo60fp86eW
xm6wL0/dJ3kCvAJtLlDwyax57ZjektLOz4FZqb3um8sRCAZfgye+90WsR2ymJE2qbHjy54oHRmd9
y+gDhJyp+hXNTPZ1N5NvZokH4dJf3/d2AWZn8IhIgAOnU7kUR1Bw4xoAjB0O1vzW4hNYDYTTV2PA
exgx7K31oPYfW91cboXVApwqF7ShVeoho/CFKd7+0In8hWUvumtY4P597Tn8rkXso+lxDMtpDDUZ
JOeeE+atw/ntxcvdbyhv2FllcrqQFHZW7ycWZ5FcrZ025otOs9R+CBwxhoCbGqhz/tpeYnJjNa1Z
rvQwzsQIcZBk7gAxKqnMD6ecSidCSMDPqozqZjCWbqcvk7fzJsf/PopWf+n16Z1ccnez6JaWr4ch
HXa56qwbp3CHtbFggWdnVd3AiXMOA3MILuF+Es1KL+5qpOK7Eb+Xjjdz0CgxTI5jjt3Kz7axfCxs
bZ5wTcnUVDi/GnerlOGwZEq3A4/QBgvHW5PH/JxY3xDhsV92+pEGVP7cugEiVFIf5JjGS5RXaRLW
ifUh3RZrtZuZ70aSa0UImy6gd5r1016NFU7WTKR5T7N+nt516ctIVX37DY9Zjf7QetdDqsltULq3
iA1XceV1XkTAtZp2uP9zbmd38D7ixKNXDifoJuic7MnBl3FtAECIICzJtZNBY1Mwe/DBEKdYV51V
3TWW3WSY6vX2NAlSKys9rpyV16k+QV7yseANUzvflH4mt+B2wNJ5Y7dBnjXXBPJbejSuts2dPC4I
AMnsid1MPPGI65/lOOnfRN7FOz33sr3u0B7p49o91OWgoZ1qOGCJmY/yMTERUq/gZRWrYEmbQ6CZ
LIhUH8VaZTI4mHUz0AFCn1nRDVOROyTAo/S2OXfL1D3p/gLpTOFY9tsquOIc3t3YCRknKO6NYP1V
tIIIwEaicOjTUF0tj0HT4Xrn+NCO9ygXZkDuzSYsuATKcle2VPOwznLWwxVqNcwHH3PEA2jpxX1O
hJYt0eBPPFmBbgYsxGbqVnPjTsnaFrZ7Ak+Wvgze6GoUK/03uZSzEWHo0q4l6uRLXDjlpol9Ai3F
Msk93lg9yv08wa5pC81ftQUSih5P8XngR3dTwfbaFMG3saA2bsu6fyuLEtR/6uUbt1uSKwyiLsX8
QLOhK4bi3khH2uK6Z25HvxBHPCR0aIoON1pSS3o7i2xXTqOczWiU41naRAgiZ4nJ1w6ZWA+50R+L
culXNn7kXY8J8dZUmHrufC9vqhs4oJMTBZjVaGOFcEpNioVCpcHc+hh9TVO1H5Sbmd/jx/Lq0f5W
dYlLWpMCr/I9rJl5kBbBaswRua8k4Z3QbUkpSrj6TWS1Kfvo5MuJ0sm1dl3qOk+mnxV9tIwY8naM
J1DGG9J5HOlaHifHjIYn5mw46fna9JMxQkYaVAhkc2T3Idd6HDpN7fo2MO4InHEWMGptuxDMiYZu
1g4YENUenEEe9Z2VHVXuZOS8e++zaCr7/adttsmaLt9OhbpvBcrcC23hPizsYLzuWI8rv10WJ3Kx
N/2ofJXs3L6gBDe6VAtrYOmPSz7qaxqwi70GoyQ2rdkurzqF9dWIMX8lMV3RtNK3FX/28GXHVSpT
z+lkF3eIec5hUYxAoG+sIic1LARNKLpr4BAd3CfcuTrw0S3sQiNsmrw62aSiIoCn9kNLFbnupikI
l9LI1wnPOorzGsnQbLp1L729psohIow63HVJFmwa4tKvjj3Zu0I0ahULdiZZgWz0sirdZolFLqNy
/KOVFe7FbpeOYNC0YStNmxxWGmAzbm4G3smq6fD/KtOcd7Uha0opAovg89GCjMAe19w3uKSDyVnX
s+B8w00JOSnPEMow1K4DyWMcLJT43lLTr6rAK3ZaFlsgcniSlKNb+gSJuzbUdG0mqmtZG9CbNAAD
T7v58hVjBd/1k5DXk+jL0ElKq6ECx2Us5zT9gQkTzGQM3A86FuG8SmPttmz8vcpRIAlqLo0kPia6
gYfOOJ/TTg9Ow5QIguCZuxMIw2tTkiXR26o6ZLpx6/sQsVqUAWD4KnltvTIHgnTJGSij9k9CqwGX
FbpYGzK2iWgE1ktCCnpljWBlQowWxQv+zJea/N4qHfyt7QCfWaEmfID2and+pi97Mu0InBw8s9Xg
4ACdykSGs7DoPniJG7mLfMXqml4mABAHKqdn5XOISPxoXuqPMpfPX25pafZ6te67UlSrybLW5LDM
lcyC+JBnrfOKiTKG2Kq7ITWzoYdaiVq7boib94k91cfKzUvultbbGrrwQrOxs6MkQXBL/4EQam9P
vU9/VB9ObUe9nesDUc9L+2fCKLAP6hrNHO11lxBo+jGWHNHyLh92qCJwkbTaPNMIpyOgmvcunbqD
V+CaAFnrHRDrInz0au+jtfIA1sTB9Irh/OXrTrL6jfMapdhcInPaS17sy16Bek2Gdn4aupg8+jBe
Wxj4Hyml7jMNvKHXdN5V6lpjWE8LhWOV7uNxqdsVcYeG/ET/PTDq69GYrVWam4/IJkQ8BtveKJek
7ojh7CmdjGJlXRhfOO6H0Oxj5x42DFLzIkzcnukRJP0LTuN2N7fpt8Y1PrGpUf+RAFyViSpB+pgv
VmpAfx9K+6OlPRvpSWNFSiseJ8jin0qRctgkkFc6PAEjxTeeciwDbnHnzx0uC9Rcg6yOH38fGHiA
42AYGhoU83gH4mCpVtKPY9pOUDw3TmvPGcV/YXDGmRx4/VZwx4Qbp1spy6lcPl7sAR9okKVZCcXa
1UVzICiAvpwlE0edOOJSKe9a5I66GRApEpiAWrUyF5EZ2CoXWa4H0FntutdTdTIBYO35H/wnUfqf
MCbv7Lxi8/Cz9BAoXRxmh4cr+an3WKi+3grMquvJ7YGH4VXH/TMdQFsh4OvGY8MjKZRGR+7FvPQC
VZmEc9CjYhvucFkTVHmZ4WxNh0r4pwmfTOgwYhjtd95Qf0/85TBxw4cSGASpQ+0aozK1jnRqkOre
QRlDt/nLq08UYVrVgd7SL0fgpjI1MZ3WxyYZzgRfP3Bwc8djyl0HU3mubQU0qpg9gqm4Hf5y8ntL
od2Mpv2UGXZ71cWaisbGhckmrXKb6ipZZ1Vh7Kacw1nj9O2+7BKdzgXZNF04H3+5/fN4zMK0mr+L
hISCCbIUcmiTrfLOeoudwfg2+o6I3Gkem/ArBOC03vCNvc9c4Y/D4a3X/aGpaUYBswuNGNguRm+N
Pgu0unWjw4IL3PLa7mQbxuRKSDvAbOvXXmJcgrl6Kg41z0cjWKqNyGb12hpE5xxQ8UUktGV5F6hE
U2jMQnvFktPceLrUdjkPvGYFYGna+UCTjh5ulBA7X46elSWHBgvGmszo/EadxdJKVPGa5YZ/8xVE
WLq0f9cy9/NnGCFItfZQ04Y+LxMhcCeDnRb+FUgw8eQvp2byK/VrICHoLBUtS+BufqYSXEFWQplZ
2YTZQgQnU2bKeSHWTsAhneFnPiGLh/s5cR7+iigk9dztWAfz+iunMAb+4+i77PBpaX5D31Qhmcwb
32jj12K6wPGL2CdCfAkuSA7p2tVoUtQcv9ILdTeQTLaDbtp8RRgaJNr+YJfsPyTTdJVv/yXNIOBy
489YYCdbY4XW57lV89gou74ixOoPK9S5AC4W7LftrPIYESw3XtxqgrYyZo4OCds1XDAB/fLUC7wy
LON/k3/AFNbUoa7GbgvILTsuSqkm4oEFIxefHhXTPHbQ37qi4zF/qYTYZV5+CUaIPu92mJqq1a/p
iESTQwiJffrm9Kqj+aQL5a44hjHjw9SCR2m2yYeT4muOyiROpoie2nw3kxIA181C+zMq4bUcvCeT
R/RveQkkAkD4lPULythBoWmSxezHbZLF9Rnd1HzKIRtOkWOzYS+NY9y2IHQBKPyVqGAvq24lWaKn
n6kKJLUeTGfgXzez1j0JpeknvRjnrQk1J+Dw2lrn1vG9u3+bt+iAZ30zTYtmKHYlVmlVsq2uCscv
TWrGNI3+NXZhNUGSn+jwk6X7l9hFowoSxl2T5BEuyltccrhQXbLaa4s21L2+eMkht9kqS5nOn1+R
DHznFGqLyyCVr1xGGqBE4h3P8IO7TrUZNZ66CewJHvZjFXHYAVMCJ2GrtNHXoZgWVw0S7n4Y9W6N
NUEcFRiQlsre0I/VUo0PoHRxtLkT9KJUG+0QBt9XFk47K1GrkzOP/q5IDTzxw6K2GKzs0FICS6LW
jN31V8iD7i0hVQiN9zr13bGp6nHTwxza0c706NJo6d2c5qRvL3GPCS0jTFRbXBOHetcGw1izOcU7
N3UAAV+yH8HA0rByM11nNS6m1PBvy8md9uPsDAcX4xpOPMw+dsepo6diDOk3N4c2Dfrrr0gIg1Te
Sn8y1kM865vcn18xoaWhaUPRjP2ctqIR48mtm/lRyyzwRw2ps6/IiEYMaJsykSP8JTdSiXKGdoJI
nYKFii5meSgWFbWsvuDHlPYcclRYdnMzuVgbjLa/9bE3mhR6Uka/xEnmlIdNDuBL0M8axFHz6mh0
kG/+ypUYwsdqUS0nRyz8ez0+t9Y034zwXxGnxWPQms9WwmbN7I51ZltLRKfkNSgbTHEJgsc4pkn0
FT8pPa3amIawdyOxEVyxd4uvOCrYDqSpXl9WSbLcWOQfV/gknlRb57du0oO5AMNc1912WOzh+z+S
KpZu6Bt9oUL+57hKEeT1eezrM2OsJASlyufRblwOgqnUbnyLaBL50nRfl7p5tAftw9a8/powHzwE
9n+yoJc4CxPMnrvR6XHrTcdBYedoZP30XzPX15zH/yBbezyH/87MxYSm8sd7l7333a9JgJ+/9qd0
zazFi75suKQv0Klxff9DuvasPzzToZGGacs2sLxjtvpTurbNP3TUaROfC174n6r2n7Z+W/8jgOHt
XPRrek3gAv8/0rX9FUH51QUPr9EKcPVjSPccXTd/m3XimDOzvOjA7ipmM0Um8+PW6VLSFeq659kV
b74+4PtgfNS6JEQdYiNEGp1mcfANoWjO+/f+4IuDBvP8eurlcfAvwArNPdG7YoHoWrnycuwoM4cj
ukblgqer0KM6YWpD6tcBJ2EtCwO3DyiLzLOKB9rCaUyS3/Y5MNakdBN8lRdm0IBuVvKaes1eINrn
QQb3vZPxqFWVSUA5f3M1pUeSQSOEyJGBMXg1ezU0z4afqnBxBgvAiqOtYeo+Epq7Y6zHG6cFsCCO
epZV9lklHYZjcHqUF+bZSHGTmSWfx1UThJimfnaN/FIJYPceNT4eoy6hgJGgjwbN2zeNv4co2a3j
lq9mCOJ10hXMpsjFpyk0HhQo/qvKb9pIr/mjcuArsLFD8xH4GnR/X2RtG8UNPzXovIdB2do6hQux
6lMTHdrGrU+3WUZuTQE9CPs8+j2PJn4zt7GvZgFa/2LSlYF9264UtLG10xnLOankOZjlsJYtLymT
xbly7Jq3P1rmuq95Q5ZyRaQvyQPUzWnFKciPgqr8nMu62tWU0KETzyIaxYxnKJDJeyw1g+8huA90
Ho5WeSn/UNvpVeZc4M736c4MZtjkQXsPF0SQS3DBFmly2RCGXnajz7dn8UxlF/f2vqHdf90kWY1U
P9t1GymP+4Cz57kYfOJregBGzOCIKfgHMILzkPGmklzYe0trgo2REyKu2AMPXtCZHMEvd1HHz2KM
PGWtgc+napGghzQP3dglYGxyY+EhVGHhOCfu588pINFJIsVfyTF7IwvDtV/4f3nMOYjJaGU0dj7R
6KHidwq+pdZQfmR6armGfBaETds8f13vIiEPO0huK9C7nF1TbhnCX1z6mqxt7/ryoBvJJ4ucu9rl
Z/2Uu9P3uFWqy1rAOTU/SNpcK9cnk2/wRlh5/mpQIjtBidljvbufF678WLNOGA4WH+h2Ltepx+oI
vPbZg0sTuh5X2O+5mXxW49eXUaqLN0LjR5Uo3uBCIz8CzjlQfjprmyNoKEUbH+aSfiFZWRWa+DOJ
Uc5DaOEdgSyNYNmISo+KxuYr1QfeQ5K2V36rTdvENY2jVccMI+sWcy08FuU8WqCe8vKi0XGX4W0O
8fmLa99koVLZAu4aUrkWcyLXOuuEjER2HlLn9LW8rHxZdrrRmwRSsU32GBVBy+ScDAsut50G4pCk
ermddIvmrXFZhqiC4de11Qo+vhaXRxcYPVsIt0CpsFvAAKNDernLISsvm0o1wbZNbLFmJEGwwc8o
6cRwO3/dAJc7nCV+zuwFNNfMNoZfpkPFCRbcJJfYcw8grWu4jdAQuksDOX5VmaPtnJSPumi8FtF4
bcfYA3YvHA4QWLkEhvhMGMSIM5TVo2us5oKhIaFZGvFBb/ryiM1lOjn0KPwxf9OSbF7R0y2P6HRi
DWE5C/tF13aJwzqt8DoeZy8NNp7LTVYyZOyogYSg78n2RRvhFcKXTxCkpGSwt0FKCxxcI3/MGDmU
tJZ7kXCsqGEULxafttmPtHMjryQITmWrE9FxLDjTCZtiYrC5jVw6zRPBNu7Nc2oF/nYxynmLAoUy
Yg+cILHShQxDQC7tcT2xRKpd4bODFR7R4a+9yQwmc/21aGHbDKGWaIgROB+Yx6vTBrDP5nzJPcVo
Ak4H8UPkaP1zPSmsf8CuREVKOK318ji59nTqPfGJMZuvZmYFfH3XLrobssfFTGFwXe0S36k9oa1r
vsMWaDsEgJjCeGsaCy7MqpZbP64/a49/XfT5mkWvVmADp4OtyWxjNM27rwNaYZQnuNTaeywqNGCh
pbfa2J88PLccS/3kMGcT6QJNtpJqF1fH2hQj+YRy0rDZM4PqO0gMKkEmt9nuOuC0DNMeN9ObmVdT
ZKg8ICukm/cOcnDU+qPKr7FQ9Yds1LmEYHpgwoDcsfv1JYzLmTfrsO3YLlky15CJt2mAlNDFFfAi
sUM27XqxaT8BAa61g4r7V6gc1Qept3c70yuKRmsSn35taQtObnoYbcjCGHek7asNSJcJ01IDHCFU
OZSwIqcKjRIeRZFp+PF1MFaLtqGNM7Yneh8+rR8CgcUOKbbTnmcojmFKiE0e4zSwOC430nBDWt51
dnIG15yZSUE8hAYc5UPquf8hSXhJCv5W19gudHVCkTpI6d/51bTmmbtEtm7nZTPuiSX9zAQPFwtx
t28qi9uKVWdn3Om/lIC3P1/h1wTj76lC6ilyGsweM2mleZb+Wz0VzLY5B4iIO2P82uxYg1YmPspR
Q8NT4vPvX+33QOHXq12o6BgPAcH8ToxGF+K0vpT9Ts7cIJdKIBCxtmZSkv7zc/030fEfDgEG7MZf
rsm/SXQINtDX9tcTwM/f+fME4Ad/EC5liHbA+A7q9V+CvYH9B5eO0d+m7TFe2Qnsf5wAMK86/IpJ
eJzELaeAXyId1h+EL/hp7uo/Dwf/m1z+8/78uzHtjv8v3lX+ms50Rc8wkHqd3zHaDCIzbWX29t6R
PghOhzmLTdkN24XJfweZ1M6OqBljjKtxnD9g23pHR9hgonwDK05V9XTdWqW9Sk8CaCLie1qYgHDv
YgpnV1Iuk9Vb2zulWFTuZmTW+4I2P713HJNF4hrfKxUz5ST38D2aLj4OYv5k2vLdpPn0jbJ8nCDd
9Gp5Z2CTFmYxZQbymDC/MYhRHKBRYArwLLntLVYaoJDryjE5UMgYgEFepAdjaKElZgWzWwrNtSJT
S7wDQ1qgrsZyukHhk1sl/eA4twnFEmQA8zxpfQDYV+jXxpzp1zNzKGixV1a9MT1SEUZlJs9GkAUn
QxO3Bg3769g07vHqVJHh0lYsa8BgxE+V9YmPCSJLMWNeNYaSkrhoOuDYho3kB0qfOaNTi4Uw67eO
1NXHSL5kYzWM+UI+JTTSV+KhtnOXPpq0aU0VU76Dq8ywGHsEO+fNRtgZZv9U+VkM3yMdz12VLe/o
H/MzTCXrnED03UFIbBDn8+nsuHw5DAbJNgDv+iud2U5vhdVPEWgvb6MGOWw9Q/AxEsw+tijlbigR
k2th9x9aYK1oEc+hFagrhqDv7Vib1j1T6hh7VJVRi8WoEKrYa762B8UiIkgYxE2Hpt7W9eB8JhBx
oBZ1GbRIe9wy2ynem4zFvmUq9EIyQ8t5EoBjwJay5P2Vsuf8McFI9uLVLlNMGd4ElI7YpRrG+j6I
7ex60V39msbaNKzIaGZPjA5sj3mvy292ZastkBATuZ1Rcjtnkl6+EtKyzsvsZddJYi+b2fOwaxFC
9e6wkhqEMLraj7IWBx84Zv0W55R34FDI2SVfbPneMxn0FLuu3MEftq7cTsltoVzwW76XPdeMATsh
azlnUCbLbkpncFvaYF2Zo3MZLVIlNwwRau/zxQo4NbZyX2j9XtH2xoxWOj5HZmW+UHy71zUV6Z55
ZmpH4xZxF7eV3Ix26txINV6Z6WhzO9bNTqN+7NOke017OB9ANYWxNlXsvYJu/eHUU7FPZgVQdC6c
fVXH9sbzObTMXmk+WrZ4pzxXCdWXbb54fnlfDdbyiDd9BsJU6ucqdTlLTikjcBhwiOB7GY1+wibm
GJwi3PoVcmx+61HJwtugy/AOXyPdlsPlALpk8gHdtsCTpRG/GURxlSdcxNGyiD71QB995ih986y2
AzsWDM2qE8Z9V5V70hfuoYL9UiL6hYvrYWnNZC7OyPryzonlzqUHf3DjpdyDXQERonoB1gVRmUoR
GzYjczZA6OrIa+nOxki4d4rW648FqFtoiRzXcQo3GtaWeAbcPj1wbKJjaxZVyAX1MPSmAtkWsNSt
1kybUbpoDES68zAINk6XF9u4BfEK0AWXqTwPcTw8azEdZOFaxjnXGV5VUh+0oRwRgkt9aN6tbuad
2Ho06pOH1wEgDH7antM9sb3nzptrxcN7kRnCzcUruMzJDS5usdWmDkL9PDte2AyTe8GbjLhx45nu
7dISf6v6y1E9GB6SZaYjLkUAJ4lcF9tcm0lUwka/IrmlrucyZvyXoT3npmj8SwvTWmMxIhvr1mSu
m9INObI+EVzW91IHYEQmql6ZuajeJLOUMF6lwdkBA7ZvW2dCRUi07px1moApj8mA7N6rm3vTNiem
eKu3F6exAvF4GvxKD/24WHA1+tJdAz0OHgOeGidK0/SJcH52xNH6PVg6d8cTcQlxCKOfJ3bGrTTm
xzbHEIhbJTgWvd3cdnlcX+f6WENiyiS0zUKtK6NNNkYAxm8x04v7rraexFiYOzxC1hrDUbVJp9z8
gUjQX49OoF5tVGseLv1iP6eFzB460xjkiqB2sLHyINmCFsRcOifY/ow4vTUMErUQGh08/PX0Te/5
6svUWaJ57tS6nUz/yr/gZ6JJVumN5eUjNxrmykC7HDSU3i9b/HL9toRluRfBoh5kD1eegp+jb4wt
cbDstRoGiAOI2gu4M620YbJOG7euhpMxJOYhMBLxnXgJLRNKTzoSPG4zlvgVQ57VDmoIwz5F3QQv
2OGzqChH/VnGoCbYmVD2OzOaTde5Xfpce1e2h0rE4PANJNT2xshKuXdsjblUdtKeJbLFQzL68cag
0/YtHTJweoMHuHSGmLuxCLudmrl+K+GTvetLz/bfN91CQ2uyk+1kjUa0UJivzFa7wh9vQqcrm2xi
3FA1Mgl0ZZQ9YPJCZPr5knzj2Z/nCY08CpFV3gMBDksr6M41jq1dlbKkqZs9DJFL2wDU82K//gwg
5u4HidWZ+fXaMQPIC9C4uB2GUuw6p39xGgcyBO6vlBbI2L+Jzn2BTfyqx/2nJ5cXv5ruUBPJtS0j
R3SrLvYNvLR1U2f3Jr3Jg0o9756Oi/nI0bN8h+oxPTUxvziUrsatns1kNA8q4VP0B1W39dBtSYMC
uL6m1AKkRYdJ6M46M6vOBpeYpceJZjCEMSwit3VXzy6GyfizpyHgkzccuXAkxU14HPBPwrjSiXtQ
9WwLCEvXmaq16kWxgVJ7BUNkTLHY1HRNioOviSZqx9yMKPLElZHM5QHBzXtxZqf+rntxkt/GUyqv
vNQxmnuYeWm8lYvAmxdO7QgxkcnrTv7hp1OrPTh1jC/JSJnNC5IEdvS+vvjOyy8HOh3BzeC2T7hX
ybBMNCIZEA1JLrGfJs0cd5zMGQZadP2Jn5w2AY0KIjDpIWvsYx9gUKPvgMVSQOx+hJup7ahFHsqF
/k/qmt6BJwjT/7QsAbovscOWxnwih1mfGq7mYelIGqbZ+HqZ+XZoAiyGra31W6OcMPT2l3LLWsye
+ZxWc5VlexFvGB3E8NMq7nYMXrBDUfvZtgWVE86xjYs+baO81pL9Yicd/sw4xmpoZgdMJUcO0xKk
tKGOIC2gQCde/b23XBlC/pu3WT1kGHfaYE1TmmBoJiusW7aiOZUKHmQxIpjDZd71xIIhl5jFlrST
/mn3MWW0EorMEKKYZXzQ/XP9p1bvS699722vFs5DXMMj7cKslhlTHL+OJv89xP2HQ5zjBIgr/zec
KXyVNPebMmPO9l9h/p+/9ecxDs/gHwYGaE5lpvl1WPuHkGOY9h+2jngCtQmB1LA5MP4i5BgM2PF1
zueMS76gm/4UcizzD8fiDxLa+Znb/38JOb8NKIJJClfo4idiXBcoKPOSt/wVLcSDDmB+308nmvrB
ehjBFK4qi7GuofDG4QwpZj7kE/vjWtdFR6lkDw9kU9iW26D8UzGE55X8qP5NE8T4Z/DZ17uxSWxe
+GM6Nbb7G+gIboYSQdoPlLSlcUoER8JV71XQlom5MWV1GO3+xSNJnK2awu/qkMFtJOwZAuvZaN1e
+RF0nX7D30jx4UhpPKDb+MZ2dp34h8EM2mnzy/X+N+/Y5KitfukXXb4/myneDB8DQEIU4be+jZ3B
jWZIYneyJgLB+IgW+TDYrNIN5Rm71jBPRh5lPH5oHLtwK2ehW9sCsduA1111H+yfrRFmmnJIkWQV
qNoi1Rlk0jh4upJLkFP0YP+hz7YRomDw2Kb1FXOlyfFkreZeZ006FNu//1T/ehk8G7czF4LeO/Lj
5UP/Ekv1yNQwy0C2p7KLg8cqIUPLoY4aaaVQ8245WgffVGzI579/2d+6UmyMHvWGh67Ivcg/Lm/r
l5d19CmxVZuUp9JfjBNTc/sT05WYQxynj3//Sr91+b5eiQYJjD0ogIHn/3afKWL9S0049MQsHfuV
semcmePOx3QgVLrG8SUXDDQzokBuOWPxn26a30fI8SmRTh3Tpufnsjv89vKeZ2XQ/eBnXXbu1yLv
sZDKy3tglHOLUQqew6xz6bejrL9O0ZX3o5PMcWWqrU3v2mp0BImc0Qs5QdsHq1EmYCNiQD+UNihc
3syECKFF2M3OsVx86X//7f3OI+Prw2zMtsGsNlpQ9Jr++ULpbu+UjhNrZCVijGdN12Jo1ERH8Unf
okwOY5qJt8QPGISz1OnGhbiYhdTK3mcHBKkK5zTxQrvKhx9ZY3kfg0PddPj7N8ncu9+WJh1VxtKR
1grYW1mdSOi/3k7YTTMdT6Z1DVJCxYEfdUG6bC8z34NNN/Q9QzlrncTAjA0CFjxHJaPctmajtpLG
FrPb6+JOSacgzSzH5Gkk/rUHsYDr06nVA0NM/ChmaidAsgvIAJQ1UIM4b8vTqCAd1BfmQUJUgr7+
FwrBHNJix7ALeWfmyS31ljWtZO/Vpw6MQvcFVHAHdFIjm032BrtfFqJufn6UKRwGABv2Ib2wGZYv
TMOopyBG2aky2iYXkMN4YToYF7oD/pR33CXdt17XSHwTgvCg/dQ9fRfTvK9TY2Savafh4+K0Er8h
JoGRyEiLE66CLaFUC7+VaTd7ow7kRzYol3V/4VHgdwZNMVwoFc2FV0GlqLYGqfYbhjlMaxsP3Mb4
QlxIuoZMUxkZiB4OFwpG0Vr/w955bNdtpGv7Xv45egEopBr8k524mSkxWNIEixIl5FwIhas/T5Hy
aZFq08fzHthe9CY3gEKFL7wBPYxWXlMVQCIDa1d15KhxQaYbDY1IheUnoN7pudvL9tYXCq0NmVsu
fZtqfYwA7e2p1tAkplOXHCwUTx/xPZh/4E8Hcgk3OcQ86mdhj8VofAij9qGfhT96owGCKlx1rPlV
uPBGIiR4lguBcoZ0SBjPgGGfBUUAcca0LI3MSE/jJ/GM9MgsUCHJngVJcmYSTM1noZJFhMtFgLpz
GWP02Kmq2ujMOJE8pXHquuvnYbYWo+ws6ZAVzTdXV0BOe4Tmx7G1r+C90ihBObxbT/C2UzEmYVnW
bnKYPLd2aInTXAthNEEoSW7Q1TOdxxTjmV0dx5yHCNvN3T6AUW5v+1I58TV9rQDbp0KHc7rTSynV
RTDQXEs2MwS+Yab351uHwErz+Jq8UQTQrKjqMOFEMVSHusx6uQHZhx72fqG9hvgUwgqItcaooOAE
GFMJBfA1x5Q2QlDOQ0xUcCBnqdZttPrsmLVLuW9bpb2FdstAB+pmyCy4QE2SRT/g6tOd3NmNq3BG
i8boykcyIz6rBcwsP9/W8PVXfRzQSejBhiUphKsYAFyH8spQZ3Bdg0of7WGgaQr6pKStSFBdnvRZ
l1kAQTz3D6utVmcnRFDQmysq27rGu8KiDa7q+g/w27I6BSyo6BunKvhIJxwOBLoqrgP3PoV9gPOJ
m6oTkBRAzDmMxRmys25xGFvuAPYXCIh95Cwr5ZRct/NlFWFutrdYKj22eQ4wYcA35S6JRTKaRiiv
MwsH4pN6zcX6HSlCSf2KG4BrAjyuO3WQHDkis1oEIBRo7O6yJot36xiDhUcduZU3oJdz0H8Y1K6b
Ct9N6xwxRO/gtDH2TjRvw3bv6HRtTtPMQU+gkIaga34PKBzSdEyfBOPOZc5Q5FdLZn3pEVPWuGqz
jtwrmrsZdaJo8ixxp8vZHa+CVlKNrhEdvvTHmiMJ1kLBH0gcDqAPZ9jMfsamok7POjrfy2GY/TU7
d1Si7rzc9R/9JUatPgKCITDhXihVD8GKmBHq8SDTSwHvZotu7z5zsu5zOc9EFnmST7eDH8xf2z4V
R3hgSbyPCh+KRR3FfI9fNvlyqPvJucIYRHgfBuU7d47C/mEDZ2yIqGXrkNqYW+XZsYceTeU+pAF/
nVmhfKjtzkzOPO8GWM8Dgn+LBmsCB8ioM6VzzY01GGI555xg8oFiJbO7Ypfsd0BWF3R3Bhm7N3mP
5dlHN6Jbebp4+TxeqkWZ4JN67Y1fWMGybygezadNs66g9txKrbh2hebhza3P7E/cF6rfV9BceYqx
o+S4SQEnrltZTCydtqQw8KHuQ5Z8PxIVJHzGnuqqOr3uHE+D3BNtavO6EccbLyuAAgMM7LHDw8UO
bYGgBModvHUW05YnYgPBwcLEyaquHvC0kGe4wWYwgdD6Z17oJHica/gdm6VHLVKoxR7OE8LcHFGu
ushvI06Lk6G2natOJt1nj/ZlZ9j2mXvWRIkcz2N08aad7qGtEeBq5EJchpUkuNPfirLwb5ZxQHO/
s/VU/DEjXjUc8bKpfmBdb/YQ0tV0Rx4QUVV0dTrAEqnkH5YdV4dqbhPa6h7bnO7n9GPWqOGc7nLu
73y3d/HULn30UrAwkg99bk3JvnRrlslqxUKeenXjdN8rNmQN5IwptceGjDmS+7hfHPDDmPYcMnN3
7vSjG9D8L9XESSsm+N99l3/pJR6PliZMP1ul6p0nPAf1sKkcJ5ywNAMGtF8qxzjVzVjJnra8Fop+
qGkf1maa1OWiw/I2nxAMjaCxeBWK08d1hmi3xSxoWGkdFU1zWQeLd2Ep3BT2aVdX03mi5zbdRv5Q
pXdEItAlMBdFAiTMhmlTpMOMTtk8obtQ45RyS5fNyT45DXWzaYNeTKHvgVNYki+jxk6VGF7ImRW3
81d0qaxpW4ZAp04zcIcfqNrE60k/oq69z1YjN5a5Khc38L9W/6oKWuOiBBwquPScFHtITXQz7AHB
8NbmqKZH16/wjABlDwhbLGLpd1OJbuDJGnXM/sJbUGHRoIFhRbR4Fv0x+9q5y1N0mFgOmXxgrlcI
0UjkmA6j28r8EFVpMMMn++xSe4scJD+n8N7HZmkG7ZUoDx+8Mpo+dvEgsYtJmNGwXQVvk8QB/bBM
qAKJ1L5NxQ2WYWVwGi/GDCRbFiu5LGDmz7tqABtLbR9xk8uSVh9pJIInhyGNihRPUts+1Z3HutfA
AzJUzdLw8jkq/W8l5W8qKVhzBb/E77+1w4lUm/7xqfm1jvLyN3/WUWywrR4tHQpxpEwgYv9dRzHi
h/SfUVlGsZxqKInAn3UU5182CtimyEEOQAnml3Z48C/yAldS+fB9AfZe/iNA7NuUDjmoKCTTCCMu
B3raJCO/5K429Va4MJzPiJV1OchCKSM9fuon6dX9WW5XIWXqAsxump/QYIIMeSHYATHhregPhGrj
N9prkzPjRlKIy9oiR8bdzFKs3BwONvKgwwkiDwgBncAD87Pswk/miUL1yv+NgZGz7KR3b/s0OVE0
ScZqXNILB0K0XrFbjEIL3KzFHjVRPazOBBUA9iIxl4DEUCWd7M9AxGO1bUD2t/o271ZEsPeRl8zh
B4q8YyqvswzcHoYqWNKCy4KST4SAa2k59qulEUZGL3aLiy1R5X/rj/8nATQKfEzzv64/7r6Xj/Nj
//3XVfPyNz9XTYjOO5MRTXQ02IMXrPhPXVA+Csni8WT835XxpwCaROWMpYKgOjPPFgZ7/mfxEUl5
D7yHDfXNjYyi+z9ZNI40Kfgv1TNAKn4AJsWzHUTsgbi8qZ4VOcBaZ5XdUQc6/YQCpREraAVKlQhN
IdAX9pU6tJ2+KRt3NR6ZIHOpWyFNbrfICGQ1wGWxOp/ibCTTqpF02nK6zd8XFRiPC1C7BJDYqSfq
po4sLNfH8otn9eC5ENo51AmCk1rYGJMvksXGIGZHxAb82xw1j4uFJiriPz4dhAj6xjHkUMVAAzOg
swAeL7hSEKJWiHOOSiF9E9z351jswi+qMFu2Fj8/mbk5dyP6oD0N1yw+baxefaxl4p2BQvmSh531
KSsrQIxdjYgCbl5kvW5C9gPeuo2G9npdQJpVy/BhimB6WQUPCdkbNrv7wXN1cZCSg0v7wiKKrtWJ
nRQ/WgAN88aW6FQhtwOUu0XN0u1Ue+hWrp5O7odAIHOThepS4dUKLxSkqhPdITV9if1NvUmX+pZN
xLlYQBLSG64nerCz+Vd10ejqwovaT3GFtsrqqAUh5uQLKO1T03LcGJxEoYsvnW8wMU1zC0Fz/VyU
YGxbAX2riNrxMBIMbjPEs5iCd4uI0ZqiBoCXjbkF7Np9vlp2izgJ19C+FoVlUa8pUCAeZPnQwAh4
IOAAWGvg4+g1CcycQPiCoCc0tbFcW9sbau4r1h4WUnO6e2w8WlgtkqloqxAEw6YqCWJcnN1m/4hG
BfGwr7prbEn6T14R3QVD1mBijBC+Qxp7gS1xuF9D6RxlF0Q4pEb3SC9YHeiF+R5XNXbtCnwTOFej
eS9jyJc27OYtTsrig0Kf/arKKLvQgE0XEO5pt+7LtL4VlKP3okdNdOc24uNQKhQqoxgpfZESkbJy
Nnk2ZYbXM2HHuHTypO8ggp0mrYNvcKaxlXH8aKMQdG8gDS/jeUJ3fTzMveXfEzhn58je2F8gTE67
AaV+KPM5vEqfsWwOTkQNB+STtpFUQLv8tKEFj75HrvQPPLhX6ySiDhn/0DKcL0u3x34mgaMLjDij
igFqlD597tz+Nzz6v1CGHNtj6/vrjR4XkKF4/HWbf/mLP4MjV/4LEUm2cqrntheYdtHLNg9Tlh0b
qhhxkUuP4heyEBQjAXfU9iiC+8J3fAK0n9u8z0e+TRBDTk8nBiDhP9nmzZn1yy5vbodaMRxRliHP
ydnyOjaKwklX1QiUJrXXNv+Bl0AswLTMroW1kVK5qx9ycOLqMGhR4kE1aN//tsRlW1+gANl07qG1
PPIGOrEWTL5axjY2bVFZpMt9b1cW3dHea4M1wKkH1qoFeIgiJeSDcsTpDwPUkVIAvYcW87vEhqZ5
n6qR/KjEnAGWp4e9oNsRRwFBOREDsgi4I2S5j/EOkjwWgIZ6wtMd0R9EoqAo//Iib34H/jqvI0cP
dSNQxnTg+Mc3Bes3o4NmC8XQYfW/t8M8SUKrJMSQbNMDjSouZeJLLrmAtah+dEGf6TsvRLmx37oo
5fM8NWWf5f79W3puWv37WOaW4KI5fkhJ3QcLDXDs9QsLcxfJ0aFPngCL+MUlGoTYO6+eSRZPUmgH
eGgTz6YOwLi0jUYc84AoG7J72xSPDfJHeH+GIELzM8wcQIDt1zhZDZB94VXsFTJzOIL0wPSXfbAW
XXC1rgUKdHtC4QHgC2zaEZmz9x/qdaMOZAqDTGAO1tlHDpa18PqZ4rSg/MVB9N2eURu8xSTWaj5W
ZdysN+9f6LXWubmQIANAQtanakFY8yam0WjsyzVY4ifTniCEbsu48OyNa7PCKUHk3vU8QI3AIDHw
Swu4k5OE00ecFur8x/t38rqf9nwnwHYhisL6ow3yFqHriERTNs6DpwlhwuDKR/ON7kWPdHMozhLq
cqiZvX/F3waZ5CxiKzH5VMgovHl2WA4W/suh+FZCD2sg/GoaUmjVRWus57+5lpmEv0xSxpmNi/Y4
jBpCUba/1y8UJYISSITvPi1Ogobdd2rCYQpkqR2Zd0nTmSEudTCOcv9PH5I5hJ5+YLsRUXDwJtUT
fTn0EiLhN7y/kBRESMaUJWJEnRjd9y/1ptNmXqEk2QUeQLOQzfstLSBHM72YqWs+DXBPqvBIC6a+
L7Ek71DGDeH8t9eLXGObwCwDi2fv/Skt1od8CFtCSCBqiGJtbMTG5Ic8BwPgIddXu+VFMSU9AN9x
9ryqP75/07+9GB+dTglAgbcDg/XthuZISsuLa9ffasBO3EVvySL/MdF+9z81TRXA40avvFHx3w3W
77PP5BOGQAG0wnXeblux5dhL2/vWVxodjktRFZfOEepd1KY0TB0BX61ErMMrwkedlsmCg1Df028C
4L24011WrTMF1jRaVvUVGBFZvKghnJz7lfb+nvARvV2e3CDUWbNMkIyMMAJ7PYFJ39u+glTyNY0y
l6UIbV6tNwPqK0yqVePjMp3IgeLZlSXijNU01Jjv4TETIN2F4FPhJfobE7DKfwSDzchw/HkFVP3J
obX642UD9uKW3QVYUQJwLJF4JxJKhgUzdUIMirdT9yrgGK4FMi5Uo6vYbNEWUgtc0KWNFH2gT6eW
z6s2IcQG0R/0DndunmNosLHXLMDdz/U6RAs2XTpnxgLLy6vvARwutG0EIkLrDctf+p/qDKnYhx4x
Au7RkJZqDHmhuX3CLLLN6/0YLOX6sCoRTndgv4Pp45Dzf+ZNirU1Q5Km6HJAIkoXXK43FUz6QtOf
by3jjIiSHQ8D+DTHsVandVD7GwNv4zcDBxmsFLXEcKiCE39aUvVBzaHxbYAahkIpZuFenuDlm0gu
bSHfwq+viDtwNQsgdHAlcE7vPgMEw+I39qYuuyy9OsJ70RmW+hylWT2ejQt0Swh92NkzdATujj6P
UM7nsLRjZc7MDldpVlsbdQr+b4MyH+IxPx+AuDvlUevQlkG+s6klMaC+XTP9hiUxm1hZgTqu9iSh
Af/JwpaG4nbA5L7/8zs64H6oP2cxkMUtU66Zl41IV58xGEWGEtZxaVM2Rw3mJ7hKXkbVK4qZkfNJ
zPiFeVZpcVaX/YiHhJNKc0VhhURtuo1hOW5aHXY8Hhu9mS6NVJxagm4xkyaPg7z6WCPUEOICi1Q7
06X1c5c1NdVSMmsSF9FjeAALWi0/kHRy4vBA56iIxJkFQkB/66iTM4YNbDSu77MxOvFtVFKOyHcr
7OJyPkWZdkJVIllrE7vlZIJ8plGnMA+RyzZYLjtBazLZk2yb9x66E7vAvl/RraQX6cZm/vai8/gJ
F6JOTGdymDy+pdEN/d3dmIuInzB0CDm7MOBW3BKKuOZC85ibe/EkDp8BXFkEOb/pqENOfCfWIMD1
KogEt5dXWWTiNupqsG8H6pb+p2z0+GErhTZenrknzRh3U8UIjstMC3izomLBN5WEgBgQKNR6QszE
AzNFTWg93bVRzb87ByE3dK3AEgZXhI4rUQbZHuucfsVqNg/TVHrMYWCbJe1h9tbseqBmvAl/IG6E
gNo6YrqDqkIZb48GTjvo40TzJ68ujZUzXwi9mz7uFsWU0cxq1I6MKycgZMc/IjaIH+0ut+9k6mcG
WErpxOxMaZnSow9sDLNQim0BQVEdAL/O3KbPkwBUXm98rRemfzSA/0LdD6FNXRMozA06kD65aU8S
r0rA5UGci+y6ccjZAQnno3nDdTZpdMfRaR0m6zQbbFO+XPpONcN2KYfBms+LeAi5x9jCwORb50Vo
xsPEcmoepgZImTS3Ehsmr77CZ1Iu0TagCYvYJxsx281eiSTHJjdpEQdGroa4fZk2sYu89jEWAHUS
CEwF22zwDbVey0vNZqt5ZpkvxQrau0+XNEW3r0lHJ7xSC756TB7Ugs1MRJ6naw9At828tMdlYA7F
NHeL5BxhmJXPOncae9qcvmCrHDqouJR/Ct4HhArbcsbuCmdTly03R9WSt1QDv+AsoCoz812ys80u
OBqwL7tOhtrrdLBVi1QYHOMBXhGk49jsS4VNQeGDVEh/KmbImLA9td4SMH4qxU/+amIUWQu0Hgcm
1IQoAzK6vP1O++cRbUMPcCxuHMl5CumJS3sOvj6gkNF94azXbcgpj2dsy8qDsWEOWaXGjum4BOgW
gLoAtML+oKPU8q4XW/dtsmGL8r1jS6+SR4qavuk3UMdNiGVEbvS3KurIRn7mIez6ZnBmKliNPCl6
dlW5hzQ/C+t0hACOFiOl0mTXxXMd7z0bJdXbuFt4eJT+Snb7Sc8hdwzo3mKUmgouab7LIUgzeaJs
NCP4c1pX2Ww+014jmLjYeZvAOWgss90PGP6uD47FrISVFfaynzdEoonN+oSAzcrFdwE0DIrCToi0
W8a2uxtk0StrE66ODr5gzFP2t3a1lHcSZyWUqnrg5N0ZvkZTAXRqGttvLWgB67xPKtTHqP+FAo2R
Nuu+YLsXYFUT1k355OXl2n+sjIbY40yLfr7GYhmQPbR0hSkYOLYWzYC8lj5VM5BpA4Wi2Y9g7XUI
kKFWXtkVRPySY3UfRwppzI531LPJL7T0YA3XU08jEM+ByYT0az9r+DuhLqFKtb2l1WeArKOHa43S
XoKbk1cYyf/S1XGzaSXPHzNPY0DTKuUkK7fhWs7rupNZudr9IabA25zjuAYPLkAUZLZtpz1MMkyw
syRAW+8S9IkaDr5AIWyI/RrMZg8CxlaD/kKdOUjUIHfAOYxNRRi6Pb2IMjkisKJQcbBnuCiytu0T
Z6Z6eojbxalRfwXVjzxcLHzrpsU31LsfB0q4zYndhrrt9hJX5eXOYMbUpTWo2vroWd6wPqiaWY0k
bBD092s4Jciylyqg+XgC1DtZESmfwjbYSeCggK0yBX5hRTIKSXxZNMJNt2G/DngYOFUe1U+pi9r4
AhEIh278Mn0BOG2E/h5uXDH4yj5Rcd35KBlADSiDk7iyiuAKJUyrKHAmaAlr0+9phDcFctBNVIxQ
rR0fPnWwDwT94OSqd3mY/OZn9G3rMg6cjzPGDcD4Z1RcOJZg3VStf4/iU9t6uzae+3ginqKiXBz1
FPpEYzH0mfbQUzJk/tdWj9/fSS/wpuJYkWwkLO4uMuFjzwHOcki9wOxwFe0EtpLM0ljyHHJwJgmk
HoHhc3S+dolFSIp9D/Lilz46IJwyqvYTF+pLGPKdh9HHEh6Bt6EwmUNIv4C71WjS40k6dlUWfPLr
oeZWnPZZXoASKLWGFnQF26Q/DET2EeiM1j3xXJ8oeLaJ3UAM0WlnL8sjULQzHpOzoWJh9e7beyQh
glUcpeeWhEQ1XRD2lGqsbB6UuATwD+LHVW82xKp0OaNnPHAJTVB5VwxQW4fm5Iy6eeFOe5BMXHuk
lt2stxPEHj7D633hy+y8iVlLg9/QDjgZZG72ycJDYaDcurkDU54+f4t51qPspYlXZTyx27hq7IOv
M0pzzSFwgYBegBOeOBZVi0yYOKvb0IQsqcRjDYeFpg6U82O0Bl3I3Vw6WMMjQlJTN9iEbbwwttLu
fYafPVybEOm53BMMlTmlfp5gHtzVCWNdtAnVNpAggOuNI2KLgWwTL5fNic7Qh/5RjhYDyzaTmzsY
Bwsd9eOfI7F2LKHN2NKzpz5Up3xjg1kkss4FShBRuSEgMlMxs4kDPgK8jP1PJWb2xdnLa+TAdJwH
0r9R3UUwTnhikdcO72gcptDBOzQpJrTj1zm3Y/l5KsCVFce0DZJqPvUIR6e7NcQnnP7J2priU99D
J05PW7s2QYWtcKqdN7OrTSIfBR2TpaJe5yxbhBT6UO3AQBOlJG5sonkEXUD2HZGiHKboBs1Ft8lo
FYQ296NXz6wDAVCXR52Adk135eCZJdJVnSl41XnHL8QT1uyPuVOSGmedYyYYJqUwq086NyyJs5OX
0zWdpoRDc2xmAtWtEOhl3IGTM/GmQu0FyS/YUETWNiOQ/4jXsOYH/r/5baISDO3nEhyKMdnivjAN
h4zFvWDimJhgXrTmbl+WR6F83ks5zg0vFV0IoaoLsYgp+TJFc4J1sI/jDiZwVcdcKLcZzgasMw8x
f154WbuyvqxmJ5nULimHCFAcXwB5b1fOjebdjtaECAtUxZ5HsNsJb+B8AGicY6zVkPIlocz6x6kf
M+OfUiB7yOaiZ09ceLOjihpJepd5VtmuSQIhY5Kx2Q5mOiwjTxJeknjynpX2V30uZpf8ib6oXqaT
xQV89jilzsKgxC+Rz5DYE7HGgLoST5uh5UNg8DMjjpCzIjBYksQm+0KgXvBTQs4C+MSyrOWboFm1
3oCrsUFjp21KOkIDKRmsY0QPc7xDW1iM1taaHcYfj1GTdMMkMFFYvzgmyUfexwTySdswP+IhTnhr
qqKg2+wWdDXkNuuxlSFGkX6DjytBCHvA6nTkvBCsWhQ0TP7AdAoAUPNFMM3MVtmyJwfHNvQXDF1r
TDuIaJzIwVNWF1hWfHtZevVUmtCqtCpjeKC7phy6nZqmwUyMejb1I5BUz5AziA9zfW17y1KDnUpW
k3H70lIM5OyEZomTLSftZYBdL8GrnvPkJMbpYvwQLOE6nEbj4pTHCGw1cP4xxAgjIQlUyOYeAnBQ
fI30VM9elXe1iUTd2mUX384vWeNSgIpD0C6fgBBeEvCPwXagcuWWe9QNTRb4kliU8WpuullRnwbb
2sG2aGmOrWS8HjRcJjpJEo7O2zmtYX4BQRzNrYNS5CTcL+kYo9GDwo1XXIYtxRF+cdXMKO0Cwus2
iteIkSQykrQuN4GVDSudgRT/m0fRIOAv9/pl55CA7xjDyinMrHy/tvYfakYRNUEw2ZAzwLu8qRlB
1gQ8Kcv56xIrk2cak4PU31l0OUuJ3kHP8/7NJd9W1ShTwUn2PVPOcyMCp9dlKt1CqLZVoL76Ae3g
H+XL1Chpp3N0vf90v1/KMCNwZzENI1pTbyqrbpq060R14mvmxWZ/agJPTASFbNbsXe9f67ka+Gv9
2KF0HDrCRytD4AP9tkw5AMMrZzC5XxdRjSQyY1q5zERfeSnLEKCaw1m4ovFTPI61Bzl4M05lF2EH
oJCkvaIKYTob6CKZCg/WWWav/dn7qHu00giRQn/gTEC3fean92//t6ESlIUJbGFnko67tvn8F7zR
0tOAB5rjP6rMWbgPDiiTFnK4kkK9f6m3cw7AtGdzIWN7b9OnejPn6qCrZ8CB6eeioVpwllW9qu4R
KHL7C3dQV+9f7O1zIU0CU4PEKoDjBm3uzWwDWJFkgFqHL1MHjPnBz0OzUeZ5azai9y/lvqY5mW8H
AONFwOIpVIvfNHcSAH8lJhDufT0oJHVjsn2VHBKqDgSGKIgwmBv6QxX/CclvOO0WX8gHYhsfKryx
XCBjIUIw7a52FiXbtrN65lzLEg70NEypQKTweEwWuFgmao6U4fSeTlFgqiqYV/Pbk+WAAsBtz+fV
0cE3hVVwW4kJQhyMv7tTy0ozXR5qXKu8F0DiX1Lu3ow3YyCJeGwWnRdC57HfvFwfYKWsgnG5H6vc
TOS4obKHzcrcEGi+P97CLN9fVpx5p8IPA/qT8A0jYRrOv85Z9JcpQThefBd5zfO1Rp9KA/Z95mQc
IaQR37+0qkp62owCrjamqPDzJ1xxTUBtzShqffK90KT/hE4tG7sLsJMA3Cry0VovhrhNcUXEhbSY
wfeMxBcYCcdEk9mKU9R0+Fknp7hqaq5WmbvEHysmpnw2NZV54aufcxXruZkEttlcGJtXUxKx/NS8
ydxhkc8bFNLNe1d9ZuowPyvO4/PczSkRclDGMUmB2GgHFeTm9P0hjV6/PsOTpPFlu/T3ATEaLunr
Ie14gimy2/hbOYnwU96jfXtw6SYcA5A2HiWxVB2wIJDnGj+aeNd6cX2s3KJ8mJIMlmGNsiY9hgRJ
ORzcEaxMVXcfE+4NN+UyTOk2jSZs6WX+oaIy/Q1lyQGHp97CIIjSZ3A9+XFzntrZcGnrF2vDdCp2
1pCLP1baLtMZBsQ5Zry40ns7kuziAYgkMB1V4uSOaFh/4wWYKhy80hKXoe4nJPl1t6eFVD6ktLzO
ytKlqJa3iuy3QZshB+pffqHJ6J/rBfndzbh2NpyPtg/vXM7GxzbFfApX4iAl4k+G4QT5+/puDsX4
kIGrATZgW16N6rHffoZYOTyVVtvfBt4wfCeVG48YOecHqmoaej/l1QXuhMyszehV01lZY7Q2y4n8
Js3zP8YogBkVxWOB7nbf3KE9QwbpORYgLcvytsDdPnhK219drYYvTrh69+noj9t0CarzIgR47WU6
O39/RrzerJkQdGHYzKAI0wILIQm/nhAN2VLY4d3xxPtabqQbw9wNSiM0F/R2cP/+xV4v6JeLheBK
MFKVoAXFm806Xr2aEFbWT4EdVrTUF/sOpVUXmHxVXE6eMLLjSVN9oKIOofj9a/82858fk9Y2FU42
8bfH9+gPsim8vnrqMEJr8bRvi+VQCXSt/+aYeP6mf29bz0/puS59OsMjFPJtzAWRo3DxUE6fHDT5
po1wOS42DfFBtkMgAQkgt4o/ZsgPtRu79BFSERMuTCdT5gcIeyhQEmBbgus+6OVZbXXhPectRpCk
4eqhqggzoXdU7cZVjvcB1dz6RzWK6AJxmfDD5Gr3D5kT1m2cxrHbbVIk16KC3gzwsApIdgpK184s
yUN7qZ9wiVBU3sb+4CS+/WgvSkCOk+JvuJVvMCsMiQkDXIhvLtgg330bEjhWOCxepNcnbzSDj6Z1
eiKavDwu6/JYo8L9GRbCshvdhBph11vBEWq3X+/enwK+mcyv3kxosE2mfYq3PMf4mwPFKeKKalsa
PiUjdTayT9yrFqzoMeSjqKh2E7yLY1gpXOEgWFcUR5vq2JDmXUJqRF+kDBPrenUS7yhWTZ7Zx/JL
hY68v+0L6zLTdXiBhtcJBBlxR8mgvG4sXhpS6N2it6taqFJiFRVvw1YiaO8SqyK2lP3QQZ5dibDN
TgoKK8cM/9hr3EJKtWviYfyKWc4ITtstPlh1xAERLM58EK4C9Sr6LLmbSwlwNe1sHiBdEM2fFFbT
tHs6NIhCzsRbD1L7RZZq7w+HIlC8oUaH2Oz7g/u6i88rZmyh4BMdB2hxhm854CMVFN57GD91medf
oeaYP8C20HpXdLV95cw1+/L7V3Re48SeL0ls4EoD2Qex8hZD79hu2Vccnd/zNvfOyDKtahOP2jon
r8f9xWYt7bDd7p9aYZcPWKuoiwy47wdrkuLw/r08I49fTy1CTbZPF2dhgGtvsTP9XPlDlCDknSzU
4+hFNfGXBjnIaYfznr/pMP4kIagasPCQ0VK9y7HdOqagx3akFVJiUW9VKdZPQfgpU+VkKiVUnGpr
SC+xQhqOnRDLVYAI12nih4m3wYcC//BBO9hqJC1KtZvegX+OQK/fnqBKC965UNYlTIeJX5hDC3Zn
qm/0MnOcIRHbHpKZ03uLP0NxUdEVIaIU1ZRA6SxrOrCYh+0negQP/kSNg1hkuFUuFpnoGIHn7EO6
y8xEqqvbgCT5RsispkMBAAV5koUyrApKMJ8DrcLLuZUIGTUZjj5bxq9xTunlzv2JHSTuH9iHZZ/G
Gg9XL3Mz41SbY1v3/tt5fcgBZRdAVSTgNLBpLhT+N3kihd3MxViofZRpJEZ9jHWUzw+owZmkHVXT
+W+T4LegLodUETEEFDzAN7mu++aKfTeIKAFR9Nh6qamaqIX0/2bMqDV9TFxpqmixpANBHKv5mVgi
tPtr6i8IqL3/7K/PPbBOPjdh0FW2x1nvvM2RZ6wjplkm4gtdUppZWHPRN484h9lJ3r/S21F2iSh5
WuJurka7/s3uinVqBz8hd76MdRMWl4jWmWZhltM7OsK6M3Xs9y/4Jh/j0QDmcZ6TGoA5pKH9OnZR
ebQSwukekirItXTfi9gUXijTaN5r3BNpO5w1iU7lNix8sqv9+zfwRtWewSVDYf8hS4EbwaO7r++A
vlVaOm1Yf+lSAtp6D7puLfb0YVOZn7wUUqc+NcX6wMOSCR/OF5iO5SvThK8IZsnu5pfBqXLfNJ0B
I2lTGvCkIL9ZMUgnGxjQ942GHdmIFc2bzCkU9aNw9k35btJjMzW7NLYpRRBukE7lOxWOJJMOtE98
kZHFq/N9RFLiqtMMsCvU/6awTAViQAST8oXVuyF9FcOv5J0FbUaeGcLB5+txpmm5rfAFMjTQbCDf
KwrXlHHzSD3XoF3HlO+hOmDlvLGHZGb8oyTvwUq40zKZtm9dABR5f/h/m3AhAjR2AIGLs/L3qT3S
60hx+NCfgcgLquhJq0xTBok3U5P8CaJ5/5KvI1heOMUf+YwaQwgkCt+mpED3tOpQTP4sE4gqAlVK
GRSX1A1Q3r+yB+xQY8wtsRZuD4sTmzK1VVbmbt6/jd8DKsTXJaA5oGtoVv1W1xMundBimYvv0NXs
EI6nzL+C8tB0DTmDeILwaR2MpWxtfdUT0mKgR6e2+rvb+A8nMKwe6gAoDEmPlfh6/oOUGqphDcvv
cRXocfd8wqAfkpYXWRko7EggxcJsGA86gPneogfxOY2gy3Pwrc7d34zJf4hAcMGitkwsBNbyLWJ3
rcZ5apYi/56EdnDbBc7w0S2x+zIyOucE+uMVluPqrPXq6rRchHOpkMOixF6q5cbI8gBIrucJL7lR
/AA53/mbqMuKF8bCX9ZPnNczyAQtAXhXn5gFzDRVsjdDNlWxrmTnjd+penfJPcvVHzAd9jDqHdBx
dIOpoKc0rEG0i3q/+ZGudogoHeJ784kIm+HBxxjhwg7n4h5fwJEOCWHtoc/7kuFOcmRSOtq9Ly/6
vzTUO91+////7/Gpymo0Oai6fFO/sibIiQ0H7a+JFtdF+Zg21Suqxc8/+sm1QHzZY3Mi7RUUkDmp
OKV+UurIu/+FmheozueaDAXG/yWiitB8AlQ5AKDKvvcnn06g5OwjCxZwEfN30T8hWhAHvEqICAuM
tDPwf8D7rkMV9X/YO6/muJVzi/4iuBC6EV4nYWYYhkNSJMUXlCSKyDk18OvvAs+xfUjJh2U/3we7
5LI0AYPQvb+91/5wMjZQHehtMuqj6DSFFpHtuoh2Pivv3LOMiqg8SEqLsH+12AK3aWP3GlkIMH4Z
ix+8AEprKgB/oDLiwNd6zYL8x2Thgqh/nNx0dtE8D2+QwNkujpERZhcdHsuNt8AEaz2O86O5IAbt
BTbYsZW9TN4IhMUCI+SxtnAJJ8MPR1CF4YzrYZcPIwTD4Y1m6OoRqfKuBnE4vOEOp4V86CwMxOQN
h2jZlJ6v8ZW58beh06KnHis2G7qmJMNdtX1qX3ZSj9BwuUlTmtVjt4vUKh9j1xqvKbu3XWfnAoOo
8H61fF3YWw2xrWKiB2WP2mM1asvSGdPjsQB5zUS6NtkGSbpYnTy4pog86GH8ZBxP6qcnblA1OS0C
h5t+YACNYTIw9B/jmAFIBDISyxHEcdHKmZwGo/50jd13icrab7nZ4i1Dq/4I1EbuXAtjI5NKzOuU
wmYaCZqQjj1uFngqyjl5wUM/tTJlQhhOcsNAOBaYG8UQ+maqguaaja520MeiudETFzOhp1krphLN
KqFK+RAxr/FDWZl3mCFoQ7VaGqlwOoxnrEJyZ3vV9A2fZ7ods35pSJ3oWiupQR6WQmTKbiy/bEUO
3KLrfRKBNCdjP6BEmSniwR3U2mGYtsuXmmXLjsITqhF97FGmNsBBKXbvqE9I7LDct7MXnJulsJks
DdVVKaH+Ff1xFbAW+wsWnPBshXV7M0aDc0bUGb5CvVGb0KPjgmy/OnM+lLtpKOOHrFXBTWaW0yMx
FI1xXd8P68Axg81oxM412cjgIaqUBVLZ1k6aCmidxtTo7QansS4DPKO+lizd1IbTpNNDVbswVZbe
ap41xV27UJFXeRCFai3xUuICyBtHrctpng9FY9oUgHVtvu37ojuMtGpB60rDB3rlrAtvdoClGZUc
7xnhtERLqyagLjltslcDp162spyZLXvI032LqWBGHjblTRPP1AGN8j6pnU2b9IKiH0s5l8ZU4TvE
nZAx/8azcOrD0LwwlCr3BFH6VZdM/NY9uYRzlNnFA2P7wme6Wn0ncvho1LSBd0Daj/zSEE8rUgBT
W7lX85Spc8BD/lgI1dCkYc1PvTXn+Q6Dh/kjKYEAa3MB/7qmY/c4ZopGjKT6OXh1sDekXm8jTI/8
gk5yh+m/f8Kqmj1O+CAfrbGL5ZoNRPpYawW2k5QrzNY6Nom0U23JFHY79o8XY5lgJUCb9llc0poO
z/o4qtbDCT2l5N75t9qJkmOemHLGGkcoI77BxqmOSqtUsy5D2ncGCuJXQLJUBoVLo+FFo6+5ZHyz
xtRDdU62rArI6a5DTV9Xsh2PJVgNGDzSfBCglk6d1nyJ5+YuQXN7UbKkiVT3cO6u5Gg5cm0iP9w7
TSIucn0KLlmWI4InbbBx4vBAZMm5WuofuTT69o71fbaRjV7+sHv4t1TPljdW4M3fF8gcexmNmm48
r9UFpY3iSxgJubZruqBXY16znZi98IpoQ/+1A+SFqy9cB4CM1sSj2JgnqjmSW6YpGe/7zwXXw3K/
vqQ/d9wynFWbaOitJ3Bb8R7Ptumu1DhOl6YC3Y1hFXRI15mIlKmIEHBqpe2achGrPd0tz2nSgoyp
OgOjOdP666GNEZayYJkSRPmYqD1oJHVbjgLcThqO1h3+b/c7kjywJ/bBpGoZh3nbABwOHrnAvSyH
Qn7rZVNekA5usHoCqeKv6pa6CQ2W+rC3I1peRqFfsbIy7idDa68dmDIT8AJrxJVCre+qZT9V5kBr
cJ4b7iW5jvK6jVuSz8DR152uftQ8826N0Z4OWMmAC6HB0PAUtAeZVrifaqEgrCxof7dyf1DtIV9L
TbyAxjUvDQe3A/0w+bTKvATLMziwmNXW1agi98qz0vQS2I6dUP/1I9LJCOJ5KWEHqy+l3typegZR
bTQRvmJUZ7SAaBcTnvf1ePbOtdGUW802I4uynLHdh1p0nRG72bHGCzakfo1HQjzCTxBqd1zvPxKK
d25rE1BXVGflPU6TpbW8qY5jktKr3QQyu5Lo+2vZFsNVWejhXhsVREmbbafPkLg8c+bmhL698YZw
cPMCBUgjeFYZGcse4T6EdiCOfELmZXhB16WsZEW8W+Y3IHnkDqdmecAUaa7Z+KjN1OrxpdaEzsou
itLvyDdsRK+6r2ZDYjlzS0QlJ33uWuN7UlfpeubxeDmMeYh/s8WFJdyadnFo5BuVR7TwWKp9Nawh
3fbG1N8l7APRo8YGOpjLAMgtCeU3WnAXD0Z7zTyh84lh1HyKmHp0ZrLGNpnh6q+EmbtsbyPtMPYX
TUzpuSzG77jbs+caFz0qmJu+5GQLttMM2p7b3nPkZj+bNG4PlsbjnuU3HVSSP+HL9VZkTe39EHf6
QQeZvyG2wQSNoTodrlryw0tcglZZpPkdm/mVYMxI2XZmHc02iXdVl9SHngXJFv60t7cgR+8cxcqL
8Sk90WY0XOCKA+aUqQpvjcHmRZ/mbq2we2IWbosfIIjoVRDZfdyHxrqfIns/DhC7YonPeaz2BR24
K73yzB1jrR+1Xp37nv4oojTJWiSzzy1aW02W9mTE7DhIyMS7OJ1ZYZCZ2NKucO1UzdnRW4Z8tT+P
qIo6Q1Ga8opbV+vSY1LO4a7APL1UNtN4HNOzCl/92M5ZuAtEdmXlmnbrtWoEU917e7zu0NKt/Kyl
xc3UxNGuy2E5z6VWrO1sOntDb2zSOM38tqsYi87UO4uwpI4JP7xfUBTATdixTlqnoHt5mnPfCTPe
z0lQrj1p/KwJt2zllOSrGMPlyowryYMsBWpWWP15ZA7wI86ZEFK1CWkaq5WthuJsa4PLw5ia0UH2
BuVtVX9QeePtkyLUmL7M7jHvpnMWy2ciFV/eNgj/v5f6ZC+FQLPoY/95L7UD6RO/vNtK/flv/txK
ufo/eAnyuOQbMRc6f2H6uM4/bAuw/ILoedvVsGf6J54Epo9ueMhlfACduRy7rD+3UwCV2Zaxl38b
BpmUdf0326n3O3tSeTZeGea1TNb5Ixv892LIYg+Z3YoWdNMkJ07HnQcBUZiRdyl6y6MjTTbFJRZK
tqIeU/jNX47Vb3Lh78UwKZdqTcTQJfyJLPWL4lzX4ewNs+I22JvD1plye2vEZkYJR5zv/4e3Qk4H
ncLIB833/RdtLJx1BgMqHiIgLzLTGNkdUIiATav+H74Vh9JDwDf40T9ObWdDpdUkBNB7pWKg/3O9
abqOPY1y+k+E8veS/R8HEF0G4gAeL0t+3AuroetTYkqdz16WGdpkAtbr7VeskZuQFeQat4m2kI/S
NQzg8hMpm3PwL5PJf775st/nLIaS+UE772g/Cayq63wNdyOVPQojpiHqy//2hyMCh/CENc9mZPZx
/tkSX2MBGPR+4wlmMeJtMi1V7QzbpMqL/JMv9V6fX76UxJbHTMzCCAhBZfnSf/GcyXowrchg/xdO
NqmhtPnpWOary4QfHkh+QV7rT/DTf1TXfj2My7CFHbZgLID57IObgdB+gre+7H3YJJJllof7TvfK
7d8fxvdC4x/faxF5GHMCvUDMe/+9RB8YRVqnvW+RLltZmnZJEdqJHRklrXouPxFZf3cU//puH04N
vHZhTTKl991hNPBbxatwoBaerTfkdc/DxZum3//+C5ofdKG3X46Bhi1JLuL3+ngrm6LUdseRy86I
bHESpcgecDUjJ5czdQNsojZ9fesMk7uuM9G+2NjhjpW09n3YlP5AFmrbK6aTzehUP5QiDTHZwluZ
OJvu5oZFFk63tZHW8yc3JuM3v/8y50IUXyT3X844tw2RpTouo3jsRboSxMBonlFy2GqaBcKoNdiz
kHPdWBy9rUmTyDOV7oryRre6doDbE+QLvRNe0/CTa0H+9qNxf16ucMl/PlwMiZcB/5VZB1A62poB
JlxI7IrMlN0xMArbLyq2CCKNtpdt8NIVR1UkDda0HINUjvd5NegFW7GWzfVU6CsLpOsmwGm7wvs8
XYS92aAdz9phZlK0oSaE6i5nSW7RLfrQw3N96AY3IEwa1+uGiu8dgy0GQ0x4tn2pjl3akOzRsn7d
IVBRAiYvIpF+6UeX0kUxYUdjsLVrwGBRW9qdSs+Z93XsoEMIujZhr7DNjSb9UWvqwU8KGtQCOb2m
k3XbuV26IpVFYQpusROvXOz+/mz99QJxuSYXoRzxggjth+euakPZy3H50dvoWksxEcWufjBidd/P
AUvtPjf+60uSd8QxaEsd4fSXSYPXqMH15rTzmyA4GK3YZkb4wyvEZWOBPgbq+fT33/DXZ/tiQmEP
wsTAY+nz4bZGDn9gMth3PmEojD9sgw5hOULbM5tp8/dv9etp6kqCtCbuXeaaOIve39vCXjItGkqe
gu4gL0qtNg4oI84nB/C374J8yjKFSTHH8P275MTV827kAGq4zJpV7XjaHvSwe/P3X+aDQ2S5U/Nt
XAOTOJHJZRT+/n1SMMaGjfvAV8ooN1Ctk52tcmoXWgJ4gsgqSwpOfObZIMrdRyixfinS+LPbEiOD
D093ahQJ/iygC2YBHx1hdV2KOR6c1he0w21HEN07OM3dTqB6uVQAz4J9tPK2yEA/s3J0btMuGRFf
9eEqn2frCA/8swmi+dvP5DgLcQZmCJvW94cmFGRSgshq/SLsiwO+o62nI1bPVNNdB3SdrSOnr75m
gIrXGbyCU1/F02L1QL13EW2dIvuZGWq4ThFb53l8pvDJXNdxV91NBXJxhZ63x2s1Hospu6Y/7rPF
xe+/gMeQFfqM4PpfnmF/WV0EBhG3yR05qChIYeNUOzIe4ZeIu9i6qp1kE7SGvs4du+OJ1eRHvLvf
3Ni5bxvbO/RVEIBeaIYtgo13Lgnb4TKef84yKI6WS8sxNOEJGTLReFZ02Q5sePXJI+HDEPePs5MN
y7++wYezc+wyPnA5wRTUkvAYzF5x7KTCnaORgI8bbvI9lMEk0Q9WCQGvrWjo+/sLxPrtWYAXDgcy
pjjn4+Xukvgiwdm3fqJFiOt95srvLKtuHNEC6vT0lzIb1CPDo+gHUZyuHwjqliZcPitCzgnbnam3
sAJs4axGiOI5AwZk1Ig39OEZLppDaPycCsPgVuncOfRnS0KMG1vzHisXEoUxSP1Sk6R95rL85gz6
nT3xRqEwoFuPXis/Oea/Lt1cm90gUEoGa0SsPxxy8DxOGtAW79coz0XgO0OSbbSZ0kH6ra1P1om/
uW0zh2Zj+IYcYjD9/gxts5QBGDcdvwqLV49aEp7aYA4FRPhP3ml5pX+7z97OpIUuxChPiGXg/+Fi
roOwr5xAciY14X0KyOmRcPeCXcVJQhwuBc6s25p7JMb7mevnN09fW1+GkZbFg4mF9/sv2YE/M4ME
xah3pq90otwop77VRfCaOd13trz2Jw+ot7XnL9+VcRCZHzbc9sd7ujdorYohdPhsw4vb3mLdMwXW
ZiqAfVrD/BMW+H0ZM0gKp4rFDUCH9dCGDSWmnyWdfnsySVvwZMF9SD3M+68e990go4Hrd3TLbqNX
DkxOyhxWWlyiukaf4bl+89Ck3heUsUcrr/6L98SGIRUC6eVHnhrlA3UM1jOa+Cd7xN8eX7Ry3JzL
4X0bSv/1vpq0Rlgaomp99sjNmlFdRGlrgkExoG51xBO0DgfR44ivgWIGYb5GDchogNAu5tn+7B75
66Ycnw27QjblBDR+MViNUy8pUEv5MANd47TAAN9u5qtpILEXkrhaV21e+JHTmasy7fVPLqsPOK0/
ritWQxxs1u1kXz7cLrpwAP9Z6I0PMyD6Dg9Qk6uxCbtTGxuSDhW7tHFq9bzASps84gUDwxm5gcDM
SCiviTquoceNV0NkUalugrQw1jKU7cvf38Z/c6NxqXdmHA2owMB/+v5EjDSXBBK5Kx+MXLPrBbB6
0YK3YC0ff3JIfvNW+G0xHzF3o1Dso/YTJ0Zb1dD7/W4O8lcBm+Y8F1HerDRb/x++1uKtWyxeXMu/
3NWqopq7yhW1T9Nyc0butXfl5AQXZP5REf8lNP5GPPvNTYx3QhZhifhmZH5/AJnTh0nZ804xdN9N
AFb4Lg9rc8vTDZiIygUlj9H0ycP3t4eS/bXALmyQq/rwq5ETLjp4OLVP8cKwzqXC2Jfk5qbRSUT8
/fcDes43+HDXZKWhAxwHOW5xx3r/Dd1UlH1IFNi3BRnzHUiwjqasSIwztIygwLHctOaGfEAHY8ga
Rm3HzrFX21k5qPe5K7m4YguN8RC0U/ZgUuGMW7lgirsB/W9TzxjU0TeaN7Wr1HJlu8MZyZS1LZZK
04KvZK0du6SOxhvkaOxGS7cApZFy9mPKIGYgAk1E8CGNjHu7N6llyYQim5QYubK3FEFH5pPHlB5Q
WIJYEq4qdjDRhYrwfG6aOG2iL21WGtMhI00gfdpNcrHV9Mo45rNSmo/ZY2ivZV707pXo+ik42y2t
JDv+tzZSHdG0qSK046XFpkgHEV65TrHUaEpSChAl6uxu0BhLHptCK/dGQzpsNYWN2ay8KH7IcYKI
leqhqB3orAyrtduXZbojvz6F27yi5OcyGdhOxmtsEyOzjnb0GHMNclKbcqAw5yLXoGWgO+SVualy
rDerIXZd85tDLwOo9KBTzMsYRt5Vko4SHwBoMt2MgTPcFbFoOhLmNZECnclnuO2nIeyxWEdqV7vK
i3eCntBqBS1+ntdtm3h+gT+j3GbBEkzRNdMDNdZK90vCIJEIWF5a61ZEAzhhGpD2uduf0Xl3/SCr
x6Ays6dMc/XbrrCxtuQMerUpybZW7Z16/IdF3e5U5BS3AbOyQUR0zFAa45uCKVLqpfku7IejBUuH
KXn7LUlt+md7HBh9oiziONaLsLRxO9CdwWdoHJ/RoL71RGz7wpuBpoyCdCdE7IuWIszvTkfZg+in
hOzs8G2usdQPlsKnQlmnjLMHPFZbmwrpG+nlzdbQi/gGhP2M0yc2Ltw8i64s3Dc+u4WYyXHwoGZL
+sAAzzGh0hVFLcEh8ES6Vknas6iA2ZzxlNi0rTOf00wd6k7gcAZ1x3+lpxR1CXt9c0yVMjezntZb
RUx9lUTBQD0i3dSjhUuGX/YmcMVtrkWKLI4b7aAP0UcMinkTEODxyQLrt0GYVc/wnPTLInLcDbZT
0kF617zaWl2sQRBVGxfB2geaLQ9k4aEDFIE6WHpsHtrJATutMN9SYBjLytilcnrK9b4GqhfsHSnu
4n56onun2I6Mf1dNHzzlthbCu01z9zD0DhWsWk23kNTuaSEIji3cqQ1+HHerJ0Ljd6jnFRyPeROx
b7iNG224qUFE3rY9pc2j1V52U+Awx6QuaNKKn23NcBL3crzHMUq1FhP6V9F2PR1YmLvSTcpEdZ4A
VtQFDZMMbfWGUp8y9jogIm40r0xOnscctIraODX7CB6m3CSSsB+/witPr2sCJsgj9Mm6qXHQMT9T
tNTBOzFm94I/lFvFBbGFBiGn9tKdxnBsv05R47T1ajIDMaabGd7AV82wdnoSUnOlUUxT+Y5mlj+A
EqTV3kozs9/kbuMMq6mkjvNS02yCcilsKmIT0yC1I/Ks3iLS1vQKNRwp6saLjKhoPtyDv1U3JtnR
+yAv0vgwJnazlRR6EY4x3R1UnXEGiIMYF8Ep+27rAetJ9N1q68x6dlHxkP3RkTGxtxlQsnUyytiC
Od/ad2JIg1cPcb9ntm1TUlKBkcNq7qovzJny16Zq6Eqf8tZ4pmGp2bBFkyevMKuvVD6NGxqOJr9j
xXLv0u39dWh5nQnfCQ1WZn1kVEsWBcrBwRRW+4gKt8Dj8QMunXicCZHl1U8RxW0/6kqkOxhO9ZNT
M6NNaIfIDmAb0l086e0jYGZq55xyHDd2IHO4eXPLxZGZmqTjRqSb0LblOmHBdYDFQ983EvKWXanX
7FL2Tfk+r6g8XHVxODwA6Vq6tWRsMMcNxyBel7qovXWO4ZGm+yhbzkFtPIbgsUBlRRlxmaanHY7D
qT3QyMRXdJbq0AvAQXxUOx0eBlP141UYBOEpdmvio8DnrsrOdS9FJHhVi3yW0GMbI4sp5xUrEZhb
VRSdkrGtnpHuzC3CmTyFWBLtbVHm824mgLwDCylyH19weMqyanBwFEXyxEVUc1Hx6yLC18cUlPGJ
zGD1vYG0ehZzY9y3Mcc7xp3vEzabfDfioGqNmC40Ts1zJZvqu1x2mAA+52ogZ5UQM2DFt6c3nZfV
aN40GlEfK8ikl/PQVt+7qWqeyIiZ0Omd+gfmECxG2LU5rLQJBccQNcLvcam9eGMrTwIAD3TQ0gtP
igaRivVunk8vlJMJ+PmVOWIYXVmjEUyXBo/laoMLPVxrkVvXsN+jpOAO1QftCpqWcV8ZkzzFsgy+
VPj9IJD05bMd2mRhl67olUnpobEaXBaRsrfMbdi59XFq9GAT0gR30VCZvCfbrL64WsJ9MVw8SxX/
utK18NTD2Yf36UpW4AXdFidh1dmhIe4XrDoPEWcTp2NwjDA8xqtg8Fx66Ufidclclf1q5jpHxira
x2lCtAY/3r6QsJLrIJiyg9F0y1neR1XPzMWUd3EeDQ8CW6OzJpNRHzOpp7du11TfLDJddxp8m2wF
ayU6TXZeGGBmiuYpq2d149pt/6BXKr2Nl5/bpDH+UiZGcFuLgTdKtWkHaRtbBYuM6CQgTty7CZkt
PdSmV30uY19TVIGR+nODW7rLxKHGmHFpWyOvWM7pLUt29YXodPsyj3S0HWdKYKItubLp1amQ+dZB
HwFXQ29pcZgC78OEoZUU2WENybEyaXZwS16Js7vq23o65MNALj7qOZNmrW649dqCM417VnTK0qQ0
1rmBX02zEkTcAUoYUmrrRsPBtkoX523bvZZwP2i11Uli1/lYv2plYjyIkG6lYWyNn/aQwC7j0qvP
3C3m19JMqmZtm7j51k0i+590O83ksweaNrSq4rDYPMlbXx9To1ktBIr7GZP/rdfp3M0ce/iJe60+
wz9bPDZmdd0NU/VVJUF9Njo3PAV2Hfud17u4wV06E9to6YYiVnAo4Hc+1qBa9HOjuS33eMxR8gDj
k4NH+vCKPXGwq+DAcxMjk4Fu2lk9A2HLfZ5bt7sO8ir0hywb9gJE1aHmsXlpNSLtV+T14hsyvAvq
S7Rfmmqgrm2OXjuCnviQq6raBENlfcdrLXeionyuEpTqmZai8mKwbN/geK2YaAK+wsIOpMbKp1s4
VuqGRQhWF5EED2YWinWmlXf4g68Gh1ui0vWYvUzTbEa6Ma9r9B+9j4ZjklcNb5vaJ32kXC6ilsu3
rZnxuh5rV8rWqhPh2+DODszy4CmcRtx08xn2LsPGGh/nQcbdcZimDEZbP1zp4dhcFqFTHMOomFYs
9VkCLuFEJNRvHqi2A8BBdZuWg/UCLPRYx7rBLY2a5dlq621hG/BCO3GhVCIeWW/rlNmq8rs3LnOm
sttFKMuHOijx0tYRC9KBINWjC4TnVi+iEQNVtbfLrN54I6Xuq7gu9+44f0P/y7+mORg1njkcJFMT
ITd6djhrZ5qwgSVp2h5STccPGmh0QOei2rWU6F1ERl9tWKGOWNJS3beSpL3ra83mVueFt33Lm/Qy
cG56TKEgd61pxaZUfPOIAj3YbZft49h5UFQ4+cilEetAlnKrfKnfKOMxuoph1JK6NA8BZS/fIz0Y
8UxrMPtMY94AkrQ248DF2FZRtxpTpMJwmuwLFhfiMRHSL6Qqd1xO3IDLhN1paNee72We9zoA8ntU
FUQlL4covwlzcY8BOoEq64kdYF15kQdt9kAYwDlPA7+SHFpV7xzWhfjoG+qjlap+zoyaTChtXXxd
J5wGcNPDmHqaouK2Vk3RSuQJ8NQqaWj8xA06YwDsHZsFvQiTbwku6GM4FvsurbNkJYVGBUyizrNO
1JN2zx2X4o4WtoSFmqSTOnD661zI4AtcJ5YZYoBO6egJbTZdfOvqzbxJc8u9aCfqXwIyfpGk6yC1
GnmCPliW62j0DIYW2XyYpnK4sikRKFijaSkXHJmDKlQJRnErKldUYi41iWQF6ajREi4jZmjDFYTr
5Gkh+fj0ABQ8clTJE2uukDT6WAOJEFj15YSYza7OGTAW902SHj3IULc0IhybxFH7YICS7bbpApsq
L9qCgthWlBnD0bFbQd3q6NVKMNm1yd5QmvfkMTNln/OtgYO8ziM5r2vy5Us5c+SuhqEznmicbA6l
6Xw3Zvtn0JT1MyvW7Jn4QslNq9W+OBnlrBDFwi1Jv/w82axYsqkxGHpjbIO6CYWb5ZDaA4Mf4qNm
4cTdDDj7nL2DOZhnjLDLkzYCCFgVk1OekG9KzJ9uEpaMATJuQjgIk+c8T4qzWbv52Y7RkUkxcAOF
/NK9ZK2pfy/aJHqpA3o61qbGC9a4AI4SIObdJOgAempY8fC7xWxyaOvDnztotnXIKpcniqeqrzwt
0c7mzMCbHCJIHsogNu9ZH7MzTfNIHMNUtS95SvF527eICO3U56+pWNLk7dwFzyCIje/pW01gKSjW
bGsVPJspUYi1CGLNW1fwx180WZENN4mjUcyTyuIug0vOjwQavNw5YUcQX3gjikavosUbDkSWGHNB
tW5k95SrEtgNniFp8G+8SmUNWEkvlRtRwMzFaTh16WZo+ZTURWKXAo5u8q2EqXjTJBZFexHPsmPf
qBeDEa3HaozDHYtXXnnWYHQdxIj8uImEN2m+Ni1LgI4JKV32Kvcuk0gnsm03OYtWQJz8StrMo26d
qT4gXjMAdwjJIaoVHa/5q9n3vGtfWxTGj4QZn/84mHLQMNrCATHi9dzqONMcY4biyn6i9C1PAlir
QWau0YI49JAcijuJf6zws5gM+OIsiNlgpird0z8xeyezlgqApJwBqzRdeSdxHYObEMxbcdHXfD9o
iughTaWnyUWLi2Egy4Px48obuuF1sNFGV70Jh+7K1ozoPp0G0y96indzw3POqUNmYF1Vrn4/gnea
9goZPjiJni+9Nwedz8iqnE+N65wfz55UoTH/KyXQZp3cxQrtn5A9ugxHcdAIhHKTMNuXmN1LjE2f
FfFE9PVnTKdz5ns9gW0WvvQd0cAam2qd0RjDepefc94X6H/HEewn4ZyyY0UnI1ElB91uEFEaZisJ
N5dYwtwosOLzb4H7KqI7Ojn2BZiTr80ZruspGix9XS9LyMwpTGgSeAO/GIlubvFv60dm0vDUYXmc
89BVl3iZ4od5jsYvI5mdP8Zg/+9B/cyDauLv+4t0+kuvpP+zbML4vQf1j3/zbw/qUj8H/QqKEsOR
BVr1Z5zPlf+w8YNxaePxWfyK/F//9KCi/f7pObV0upIcOnNI8cEVd83/ynJK6+Q7XZctDzUfvJiO
hIx6bS8i81+m4J5Z0nlcutke3sDXkYYjsnrchxgSPkE8uGsGbV8suo+bG08saYxd70y7FmmoWzQi
VvXmwRrz6dAuChLlQPLgLapSM+nVxlmUpm7wmtcpwAVZLjoUKXQGtos2xUhZv9Xe9KpFubKAM+Ot
iuMdlFe17UPnlsI992ac403qdvkFULiRVwMma4Hi3LaaaW4AdTZHRK0FS3kitA/6aVHUEqS1ZtHY
ZBvITemMztqYxv7ejD0aIxdVLlr0OYFQNy6KXduFj7bI45W5qHnOout1i8KXLFqfvqh+ht0itixK
IEv5rUAa7JEI+0UrnBbVMEc+LKmcxhE1jJtm0RbjRWVMF73RWpTHKqtZIixqJOhSxx8XhXIUqCRU
2L3Aa7Z2YtEx40XRZFHzzWQFuch0R54UlBPHCJUkNsBxdlQN8KsC+EYlzZFLu7fYtnYKFh2112q1
ryw0OeWUxq236K3dorziy9nl3niejS6/TXG9ELF2m36VMNFO2dhlV01lhePWdAfuMkWdPvXsGM8M
6sXBaiHKWRbgylUVDs1dbRGcMIUhL0Q68UzTckl6nl4P7jpVfN2U2fhEjhEZQNreg8otOKqklRBu
SlSvaPBoYiahdajxC5ydkcx/kVksJDJzkPvOcquvTpzwhEqcIXso0kJeyAylH16LcS2Ktye+kSGQ
h3rVXCIWuRtQMQYHzzN7iA09+kFrVgWlh0FAY2OpF8dam1ml1oArSFLSZU9heZnH1zrKHqwyC8T/
6CTPjsn6YqMCUAzMjIKHxOQR7loBuM48Lu+MtDSuLVuVF2J5ArDcTZ4rYJHxCjg2jyyiEMYuT+Cu
dEvsaJJDfN3T2V2s+lAo2qcXnOoIacDqRqbrEvvnpqld8a3WrexhQub63vSOddAsq0/WIXnjPYZI
/k40KGDawF0RpqlOBqtn3KMVYfLreEk8E4TnYfFON2bIqSn7YEr3sh348vUUTrdOpvMZc9jit/jH
WWGW0k7X1sTvULkZL0ivYlRv6XwtaPTOp43q8uprxPXnxzD8FgskO95Axa1NCXyXPVRGEV9PNUJB
TA2sb/RW9ZOGBnUT9LCH3j5ZgjvX3RHP4OUzsD9nArhIBLKRAIWDyD0LtUhjWpdT0MZCrZBFf98m
YlyXNnXIoGj54m8bVWa43RdH5fzFLEjMgxz+QFmU01anScNPRpE8v51pdGfybjN2N5peJvYrMTQ1
+gC88jRWC8SKxRkaJwLLA8s183EsljlGlwvn3MhQHMo0ULcGa7pN07ArMcOeXoxq4Efte1EcNYrk
IIkHI4jAMe9eOieKrwsCWyfXsKeLOjDM24As7O1YLy0XnJHECD0ZPHsmOtko8wh5KVC80ODyjs4E
iS4LI+2OKobBn21WvXXIbqykmZFcML8WsdXyDgAJGbg2DQpqOXBhrsuEI/d/7J3ZcuTYlWx/6KIM
BzNegUDMESSDyfEFxiET83AwA1/fCylVX3V1m2R614NKZVbFyiCJ4ezt7stn6tTOQrZG6FkORaUs
1/nP9yuK1qb3zFsW/oIG9Oaw8vM1WSV+my7Xtoyvg5zvwXP/GCRn9cGs3ksa2iMIDGTWLlrXM9dH
9/GaR8ypoQCR/ssc3RM4EbannIhLzb5Nrc70EO86a3mOmtbamOrknC0W/CyPSXq3CjmwGZyQVla3
jvdY72mrr5qOHuvG6eepBfRytQae4Zlwoo1l17ovbNyPxG2uELM240RvQVgd9dIO7wXx8jsxaZR2
VxFqzehY8c6qstRz3MEgYpqxVEFX3g8DHZ2dk8l4o1CiXpKlHaT2U5ZgXWWc1Kd0WWnQWgFDSDO/
GtHtS8d84DWZ+xlpRs6lUfimRNorRQtfgFEKzn1tsSV23OGGKTECFzrwJfJKSAiNNvi1ZVWPvW4Y
pI/T5bsYyG8u6G+r74DA1vRYpn19dO2MRUBHeMxc+AUnlthOsg+9dJwzMh3iyZo5tHNoPWTTXBxU
QDD7kYfwRnX6OpjKDB6J2zOOLnReVNWbVHsUQwCd5zlT7WPDhY96YakbcwjfVFFIH4ST14v5lz7X
tzpx7J+Jxg6Mdnv13WZptxFZ9qPD0Pgxk+UNuNdbL9Gl46t9iQDBovtINbQBTHxZeB7oQ76P0kXn
8OqQdF/YLrnhoyza73juwkClnOiKmDoS4oiQYmAZaoThoG73wTJo5bkS1pWUevbAZdUEqhWKexBo
RjBqwH446yrpPiuzemO0ygAsXqt/tgDLAuo4DnNBB6Ne1x89pbwb6VC6kIrhVYU97asVb3uXWQIj
aP9FNONNxvpOnWX4NIoab72eDZ7JfhMcDspyY5hPIe5n3+I2ZLIqo1eg5a1ftvqmw65wHh0GYg4J
zjcwpOFGn5d4yma5niEAHqEoWvNxBBLDRlILHcophvQptXuGZrLqP1uCyT/Zl+VHtylsr4yI7FaD
wkrCMsZt1vK1UaGTE+zUqx2m1QONfdiMYsnJSl+dIXXjXOuhHt9LKhPeSZ/pV6sjK2JywvIai+R4
zl3Ek7xL2B7HpQkOAL3NXUFa0XlAKhHHVgvF5MFHsa6aK/utE0kCvewunztrUu4sQODUcLMw5ZdY
qVCOIiUY4Jie8VoZXDFlGHmU2dXk8paR1+DUV9fKEfbRQOcPQmkWQdjK8NnFq3ljv5SkAc0SEL86
t1SuXeSYB04K2U6olQySKQ994v6VEcTN9KssNO1OQJp9Gptk3NexLV8s2SHL8izcMBYy29pjC16a
9kv8Voes4BTGFlk5qhUPsFpocl/hU/PrpkvReuYQ3Us4fKwcG4SRf9ot6f62Cce7zFLUSxOWzTbX
q2YnCUf6/ZiFPmeGy4Qqj4F1F2kRc7CzvKVNU9WbFEY5Cqxs/EWQxU9Agm4LQ6WkvMmMHY05lwkK
3q5B0vJIQetbM2+H+yXjjJcNNAJV1uDczSNqv0zbEb0yU970zr0CqWx/jjaN7NKau61LQ8C2z4kk
w94FQdEkyQZQA7c4pvpVw7jxBq3uIKkjGaz55FYdTYL+024ap2jT6svjbOn2dUo04SEwpTsckjuL
EdPPBQHXoYp+Qgzc6R2vvAHQejDQSRpMVIsc17ir3xMmP4wyPCeRvBmhaW7s0EkPFHhMpzDFvYq0
QZOCCFjr3tyMp6s42T1FnGvOZyVW7TIi2oATrFTSMty3I7SAdgQNAddViXglRFJl2nXVaGZRQOPS
dJg4/y5nk6NK5qdRkZnB3KYD3PlaY80HdjjNPd7bIE0Li5oor40GAPJx5qBEeJYeVtp+hTgwSz8o
hOW3RemuK59+fAztZQnEvLTXKDUrarpN48Ji4VUuehIstXVLXLoM0qWjjBrVcpO7Znon7dr8bKeK
RjetXD5FK7rLWNgKierhZxPNiHGmNlycYaADxGFRZxBuX0f39p5Fj3Zm4SJvEUeVAIor7kHFfifq
ttYt9OnH2EUzakgDTwEM8LFQEsuLUrD9mWyhVAzJ5IfsF3hV1jl5DiPZqY77A8D95JmZcVp0Dtqs
Bb5tbRw8eDzN1RLgJivjK6ZTkJ184h7nCCZKkIr10B+xQvlUWRZ+gylLz+NYtpzjWzCTVoK4n7qP
KqEa1ZOcZRS08i47LAsVdhwSjPlsoL4/1LTkvuSNml/auPhiAAVRX2myZ4nRrTuaMqw2SRl/yaLg
ra/I4tserPWZBcR+C5Rz2DbUSbxxfLECDeXh1gEh8DkD3XSqbe/0lGIvT2gkmVXDlRt7XrjTwPY9
Wz25aoDF5XnJB4fAydwRHy8lHATgyfEnhhA18sI0mbaFiHkVqG6D4sRoWHEOyF3n24lUHhxDZIob
WoMDEdCu38gMl59LjAjLel43FB75NoSQHl7Jj3KV881V2A9Xib/lwRg4Yjkkq/xfr0aAarUEJKs5
QKw2Aeu3Y8AsY+pV0nSsWHNWXEIRh5L0t7ugXI0GLO1W0wEd5789CJyeV0sCVRGrQUFfzQpsiYZf
8WpgsFcrQ7OaGibcDdlqc2hXwwNb9XPWkESuI8wQVCQN99FqkNBXq0S2miaW1T5hrkYK2uaSTbqa
K/hgTwx+ACJcWCVKigUj/+3G+L3K+M/W519tfVYC5D/b+hy+gTj9I/cJg+P6FX/f+QhBhJhkL9le
A8Qhm8b/3vkAdvpDW6sJiQNajs325e8bH8MldawyyGkgEU2iLiyD/r4BMsQfLuw2DNu6aUKvV/V/
awVk/MW8SASJXDMfiyAHoUf9rwjnTISyN+3QurKXVA5RCAP9VKJx4Z5wEN3tyFuRxDrDJl2R+eNC
Rt79JCX6M8bz/mjYmW76otJ/WJaYXjJbSU64YUHf5JqDYFKXllOg8oBP3iic+bob8lAkGcUoFHpS
SxkqXjkkMI5OmZu0O07waXq1iT0zMsnc2SJBlweoZxgA0176AJ2iTVmATiC2Y25x6mlakLr9A/SN
DvaQOobnnOPiue21bjdbgzxqlKR9L3C8DbhU34bbqm+Q9O2dWif1e1Nkqs/ZxkJ0bj/0JhV8v+x+
U6IITXxa5njaq3Vl0AHoKNcyVUJkbHvYxnRFNqHfuBobEcwgvSgG6p9ybnMtGdM7JY61l2Ge1vB2
vSFNRndbEqu3mejQretlucGR/JKbifs0mdN8B3pe39Wa+zJNjhUMKh07+lA8GKki90bfaNemKJpD
zzLCV9MkOdNoOx5MK04utK59uJ1kxMLxGpi4Gk6yyNxdXinDZ5vZ4WEOTX2blSL/SUNvEyypI36u
mVtJK2JT7V0t+dkTAAxQpaZXaqbB/UVJGvG+cCg2KXLnXdN6ohc2RJzJqV6KpACzwx9dyhp/azwO
OPcVM+DgVwXkn2zfrO2i9OyxZKzImYmEpydu8WgvE4ECdLj6sF6RT3JorS16JmoMG6hszyZDJl5s
Q+PIq8HelArv352Khj1jEwW34VmZiG5GJrJ74FTLHbwd1Y8Xks6xrimMMOpk8qfoFSsy29jBn8X+
SAF18jhabX42MVOeYw5PF0J5ZLnicLwHpdNsy7advjo61qiZUvXO7zOl/gV1Nu1h3xpiV9jpeOaI
luwn2r/OoGhY6U3WGNGllpNwqtGViSqXkQd1zD4Jtg0VcCBbvbLoA3TbuEvuNVR7lT5Fs64XOVg5
9GkmMYXSouFQyiTvCtVONloU0woQa7iaFLrmvarQ3NNQFIzzXQ3/moG2alZi0jmRfChbWjX4jLl9
ingvFt4ABuRXxe4ucBwYIVRuWufGVL5p3yYQFAOSp2YnQoxulFHzpgUDvo43iV5C1X1hIUXRVGOf
6pClZ+Egu+XEyD4HS+Rbjdn9K5PhclymAla/NcTWbmw4BDBGj69uZej3CnAmkhJ02Pcdvh+/zMb5
VI2K0fkOe+ajY9H+SlGjEgczNt17rIRVsEjezJZFcqmbdNyHyG83iuDNHYSf/hm3U4WfssQ/DdlX
YUiOkpNSI5ubhesUvuPyLVmU3aE+5i4sRHvElNQMcyCWIeV4Fc5BAqH3aZjkBJdYim1sUr8Ru7DC
MeeEF6rsmnvLkhsROs2PBF7ZzdX7fVPqy93IiYGaFfto9tzWbJa16ZCEBYf70arusVsrWDBFO0Hc
cubHrM3rS9EO2g+NdpR3jApyo1gM7/3YjAdnTuLwAC/HfpxSqfkuI4M+1eqFcycjdDU+RIZszjM4
ap+Hp3rFTrBic0qIP0VCpaYq3U2kj+phkQI6vGlda0OWB+zf2qFoewqZRVv4KO0ajRphtGvICW/C
pP6h2PWM45hqwkeGrPlnoda1vyj2vAd9YjzYIIkSfotskZhAYl8kZrbDP1dv6PPG4qst3SmJ++mp
zFVjK+sy8i1nsC4qqhmLXR5ELkm9TYhl5U2v1Hg/41L2lSknkmh0s8K+xLTeeAkueLBc5adIpQIs
ClQRue7+Vxoq1dWgpvPWQkLDvFJ4HKLUj2gpokCKPN9o1TCQX2+Vxq/xib9pS9SdmyK/tWxFj7Fr
lb7eNPUJE0t3v5RMASM9c/eqSNy7Nm5AZ3d9uARGZDW7wmCS5ITqbNrMGTa9HRs/o3WzM9rTV88m
zc94ZuZemI2x32AIOFMZKr2qNseXGju0b4h6uZFvd1lPVtYbERruDd2qMbs62LCSbLqUca/wwIrw
sJiJ8Z7lA3YFWyZXEZblblEr8QG4yGDPujwxPoS+Ns7a3hwsEKuqEmISo2UHb9riHAo3v9EReuD0
oHpuAzYZzg4VUeS2TRci2PAw1ln0okwmSZq+aAG1lvF9mrcA5hUZjc9qZMmjq0v7GDkx4B0uR3fP
cxOLSKeeW3hkt2Xp73tKAzyZ4xTFz5cBfer7H+msFasl1eOWSHalKzCLLVF8cB3llrE9ZlZuYO3o
ehj5mMSdfTJZEJGcLg8wgRa+6oRnZN1sV+FcO6yrUVZCmIrGGoMTN1S87QtcaVHXp57GgIjHNizO
EQwvXkXh+BEnKizyQbVOy9DaX8LO88+mrZWr2TYPrV6Yj5jan9TZIGTuhpLBR4dn1ynLzuntPpCm
PTy1Rdwf8fJ8pEvaHeKUBJDMkpUywI4cjD8m2UmJ2mPCHIewExm3lnbN+2W1kGK7NQcClA8YqLQ3
7G7jGTsHPHRWu8OLSBJlny+DeS7qJD1qibmt9FT6BL3YPhjPkzIanopLPEhKPfTsaMh/uE5U73q8
iXcYVIQ/tXQWqzL86SAS+Gxw4x37LWYuNg/7lhj/OTaM8VSbWfQ6uJQ42C2k5nrBrWRY5vKLYMGP
uABSqWWp/ZiFfIQOtrPP58MukuqXgadqUMfiPWwZG4rKwG5aV+ecVBFOrelMRabxlMsMgQRXZmAo
zbCDK+BukykL35t+nsgcJ807UwojrAs0uhq04WCPab/NrfZ9FDxXXIpc4WAN4AWYGvM+/lB6E9Vi
BplgO+lydF0yCBn0zqk72RUBdeIwxXA1cnJuZD1x4ah2/pQqVvnIoSo7ldLhVW9S1+0lY+akd1Ag
xQ4IQH3FpbYtLH3tPVWbCw5SAheTqezi1Ci2aqxFZxt7f9Boab+PmBrZ1GGUvmehNR1iI2ft6vTN
Zk5TE/VtfG8Fz1q8vTDvGe+XuxoVyM/MRhyrpSm3pjNOH70TQuZsJS7TMGst08vySNLIhv6xoSdv
+gJNXb9bJGxVjrkfReSGGz7IL4BScpuyp6j8mfbSw9yqjl+kmbKPliazfFtmReoJIysv9aShx2SG
hQW4kLGP1+wb552GQ2ShdK+wMAfA/US+ydI7zr1+l6j5dsRWsVXDmjfoGIrjwnOAPSenzdhxVOqj
FfWXQyjO6+Z88PoOWaOyuiggBdN4HD2agITpg4k3HT64OrP6CdtV+tPwJvCrfid5Gu3hq4aBXfZ1
6yFDZEhqfeujWbQbCbjTIHof2q/Qyxt3K3p7zTGoD3bNC8lDiUixpnfia6rt/I4YDQ+EQctRfzL6
cEvgkuLRmcI+BUQxOHH1lfTFgPpZlLlb/LAnyvKMY2g6SXbqJsetfozzwE8NK8+kKLPnlpyUvbTB
oa8jHQp78EsMFxss8Zm9meOI1p0uTDtixvP0s8Zq/T26fELOCOYrX1O9Kzi/t7M21AcWiVPjiYEs
OgbU5NgPjrzImn+7aq3qTefO07O52fInkk9yWWD0rIh2CYSMyovqqfxuQlVcqPpwDhY+PO5ghrmr
3Vs/FkzZnkT1+jbyugWTai/1CUYGCEX4cremkCuotGhQl+riQR3jGNdJNbOEjcd+b+Sdsz4N5g2n
Pm1TGRxhtLEtMCAn2d5qciPAyaWd1LLFS6aCPUxwFAYIQtPGtOZibRLjz1OzugIQMhgvLaahiaxK
zYK6FYq2IgYzejzH9DaSu/IT2pTfRjO8i1IgJhTMuNMjIlq0GdIoCf2uX9QLdFDNpwy+3TSUkKG1
whvucQ/Vzp3DWxgRHG0DmxneXq+ty+I4FWn6I3Ly7q3j6MnM1A7XuVyix8Jc2q2z/rBpmU53itsx
fZlaAYcjhNSLhWoaAquv1cOctvIxDAtKSujTTnc9wtoha5vy1kUusRMp5DOkfPEq8O++llX0HNIw
cTY0vFJIOKqy17UaC3bpshHqB/Vku0X9iJe9LTdhSIXuBeuW8VDG8sNeGsSdepkiorixuvgOGRda
YpfIwEWLgwq64Zy/pCoylpOO4c7RXDCJcy+0HaNQ98QCZ/xeW9b8Gk8j5qWohq0Zldu0YXm0oct2
YZvfmez0JW7gjvZtbQPRZfxcOPVx4lfM1qPTeL6XtpPFm9LNk1sT4Z5V5YKSiOdZC1pHEYFmE6hD
SU8O8bKkZ9LEyaHQXfuKu48BdrK4mFTlE3ji8hRHbHo9S9CA6SEKVYFqZpBseVRoXPkj0M/UXu6U
uUJlAG+An3TIb+V6TtIXrqtmQWoRUgU0oFFOVnPy9RM2q/syDQVmWFK/zJ/rQVaYzdnUOVzjhV49
bgt+hVmONo478onytepGp7gTEEB1oigWw5gUvAUICrSx4/exxbob46e1fCtoNeO9cFGHLCja/AcH
ZX7pyqmefiyjgvDrKR0Db3ffq61ua7BaIPDXnqs303jiR9I4BGMiGSM5t6JCp/l/hTG08Uqrvi7R
tAsVW/7I82J6/of1z/+RB/0LpZ3xQYUEZkJd4VTGdsf8SzazBg2Z5roYr5CdqMt0KVkR2sBvpDgo
hBjD6F0r9N2Qakc9M7eK0WzNWASOHV7qfqEftgv4VnfukhLLSHb//MP9JTf6t89mAfIi6g+l5a8k
oUIMNOqE2nit6wZeI2fFcJ8M/6JX8f/6Q3AUEbpmn6vaf/0BmGk3MfQO45WeOm/9n6VQKGhX29/f
y39Wkv9yJemsOIj/zij/LyPaIc+TkkTh/9xK/v6iP51o9h9rmR9QPRN3CtvH/+9Ec8Uf5kr0WOEu
LuibFZT4515S4x/h+aCclRpLfrlsE/++l9StP1Z8EqFul1oVV7X+rb0kHLK/WNMANNC6w32EWY6N
obvuLf/BmpZYCesbAS16krhrUEcr0zMRuU+1tFn1zJMwyG4ibtSZJDKzhtXZjQ2OiabaMkDuG8rZ
Qt+pcuu4LLYRBvlQUaHYqer0gGJfGDuR2rPykFGE/iIxNJs+MYoo9Weg3OgGWjtwUi4cCZeYaYX6
JXXBnEVe/+ymls3LbWyWwyKWzlh5627ANKE31LmD3/P1sSL1SDUkCo6jyE83ne2v30aNznGxyi8q
jUnx2vvrz44J812waNLOrtbFm9YtrMtoYLwphv7WEnHb2pRKslzKB1XnxS6SxzpN54eJUp5rE2nF
bXUdlYE9VVQGp84UmV5pqhHTXlrfcrPGoxONFB0u1byPYIQdtbpJTjx2d4iIDfmkKqm2Zok3R2tj
bNrdqGViM5mY7Y3O1l5yF0ku0Zv8UWgEqt3YeI9IxtyZ1exukDv0+15Lm8NQzcYmFtp9bC3thjCh
HSgz4tdEA8y9biv5VS/Hm6lypjXznNhYPdnxF0GRemfAR/TZYGUnURQkQ6xJ3oaGh7rXU8Fz4dhp
XClS1vls/dKf1TGQWlVdw7opfqWDBWQdzti2NQEisQijusNyv8wQ1UqE5CUsJZb45/kLbvkXF+ef
17Ch9OvcPA5jhUhJlPExbVr9pk/udNJrG6hxq5KTy+LPFA7hh1lZ44aXxonV1LwxsfF7FsFP3uS1
8kBxSPGYN1nBxitvr5qexX7HT8QP3eyhocjoqkxZ7yfcsU+oPZS8tNp0nQmzbmpy6oGg2HKjkEnZ
qEMY/VgcGxN27khs7WlZMWmXaYpvoq7FSaep7Tir/XfOv38X9Ub+YA8l3nN8je7NJq774OD4ZQUW
pqzfCW1fDYWVZlrzRslIxuwWpS9vqsYVbVt9d9YywzjNuebVjW5sObq3lwpS5ht7QPAPStfFRyON
xYZ4Zi4Z9gdjI7Ns3HFwp/lA9icK3dqjGlsXyrwlbnyrJA9YOSmN8BPnrjKn8KflGiR/TIKzDzET
Wkv3rPBGwKdwAz6hbkP7ZAx40LES4Ibo0/tYb+4UrGZibtyNmxs3zh55UDr1V1vb9qFIq+d5hQgh
iL4XNu0laznR7BeJdjINtk9Yf075/K1EyOyVgE209OqL0bsYgmY33NfjoFxGx4Ug3tfRJlWNNx6G
7Z1WF9NWYSsOfzUyDzMGq2eDpBsRbrtlcdngnkekt1LlaHNk84gbvJGWkgGNDc0ux4zIwfe4dMm5
K7rYkx0GUbxyZcgIganXQxQu4PGlRTCOdbLNIJ37BkehmxPq+UPtmNEBpBCZYqayAzC36aGY8mVX
dhnBfl7YO2p7rIvRDCRN9PHQzEaYbVhAjg+j0T1j+FH20OjNK0vruOQGo0RhVPEgKbQKbWCEa+n9
HI56ccbrfi0a57OSlRlY1uL+SDkVbmF6ZiQhk/B+1p3kDr37ozRqtjUSP9GSiA+rHkxgnI3avbcN
3zLp2HrT1Ll2ivKSEVwzuaTVKPeHwsg538X5PeUJpCsnnncQfMnc2OX8vvQutJOQ5zOaP7168zS/
u/NENqpIVPkoG4xTqkUO1CmLuwqDIDQAl3PpfWSGeLdqZiLUEoPDXm4OKlmOtDpQ3kA6MSk7CIh1
6d661P5VV+xvI42swQiWm6WCI7BhkLuGlW+V9On5BuTnicG5N1n214mlbMVCOtnRumI7x8RBeLiz
zpz65zifW2Hs56HsjkWpxj3vFkV+ZQqBMi82UhAX1MxqzAeNU+GsrSZnn/UsQM6T0VgPEy/sR70J
uUWykUuPTdVgvrYiaY7xUszg8vEif3Zc/YkvoNmxh1VCG1K/Vds3CTSBIQGN/Vhp0DLlHCrbzgU4
vQ9ld5hha9zFNGk8km/VbQ/ftr2Ls5AL113G+A0MShsMmlHsRRLFHw6nftcjig5iK5o74xzpjWC7
ZNSsw5YRUudQM+mO+jBQQDot+AN4tP8qM4OjORyn8dINbUsZoCZVQp0zw/OCyQUXCOHbyYNQ1b+o
BJ8+ZKMmb7yTscASTbhgXSnuwsF0f6lT3BP+z0P9Rh/Y8KJk+XItVPsAnQaZqtCtb7N0zQQTji57
AnMDNgc4DgezGg4FT1u/5fwwb+a8WeXFkJ8ii7rYee6H2Tyzmsq/lVRNMV/0GjgUq07Gh1Aa1jPv
ETeo0T22PRKnwvLHrkNgooJmxCaZpq+MqcbgYRThcaJ4ZOVRYUAo5li5T1KLPmKNrrA3UAHZVc/X
nowh7Azb19xiwfsus2+jk9kNG8Fj3tKZwNxYhgcEqwLLXczNWledvFukTj4FTr8zexrkCGoy6Im7
1JS7v5njPP4MnVi+OwZ5tlJJGXCVyI3gaspZOTYiHe6hi7DF0akX+TLUGXosuTT4YCRP9zj062Zv
K2P97kZT6fgzNTKHWnSUHKRJKlmd2EX6Ip3EMDyn0rsbdTTY6pVJl/jN6vzAPUeSpdfUevZngwmf
T+4Gut2ob6HbhUZQJmo2bcSgmLs+N5Jb6NbqDiHL9kskC1zHjoEpSY9Z+JpiQGHKNPs8j508iriz
NlZtqJt56Fv8bFxwdl4vPjA9I5Aqljai4F0AwsQ1PNHWD6Jvu02LEn6mOQ5nhI1pYzPZaX1obYMe
84Ia1resSTuWhVHfQrWf2uo1mzGABx2JKLrSU7n8hNeiX0IV9UnXrE+K99wnOy6Ljypqq60eY/Dc
8IgPC28eMuxCAFZ4IiLMqofEVu2Luxj2+2A2Oa61Go+tFpkLTAR91j/tEZ24C4X+7GK4Sjyn0CcW
Yw3SZ1lp1Z40Dn+bLX3m7EkSzjcnC+XgT1osPgZ3ICtZmvU703n3YLq46Ojd0NS3fuEAGUTq2HMt
qW3vYV0X365EVwpoS4uUIx6U8BXjSfmEo9Bqt3oZT6e+7WfmShrcN0tDw0YB6+KQRtm9uvTJqyzt
azQPRDGKgcShEmB4RFyaO5fmaFe99vh+qL4pkCEpFtbuSNwpniMieydxEtU01g7GJ+xWDVJZVUfP
pTHbyHLFyHJZKLqYfdEmKnHSKLq2nbYEI2ikg5bm2JsNs9sstZ5ve1XtzwIF0Oqb4mecaj0kod6y
QfOwevYGLMqbzOqapwhXwqdlVCEl6SrIDn6by2r9M/pLrE3ZIeKYhVc1NFnpJE2UGtBHjPS7xh5W
egyfmHmUOOfRoo+XCtnoJQ8nmg+obKIyw1SYD8L+3KDpsIUFWHzKmsL1I5UzYjFGR4dIe0tXgez3
TuJKKERalL22jk1wHN0YFSBOTLyvda1ZAarocsoUQXsG9o8z32F+1owk+QqXpCO90XXgJ+SwjVy9
PMg80jdatrzUM5K2LzTRfEQINPe6lIhjatL8DU3+nyn5X0/J5KP+2ZRcficf5f+MaxnO+jV/DsnG
H/QkruXAuG0M3WbN8Wday/kDUx4nMPih67Cr/YN3R/xhm64N3t42WbL8RuD9OSPbfxA/BqPFmfhv
o/W/491hnfK/ZmRa1/ivAezSIHD+tSe2Z1pLlnhS1jA4BWwyzz/MFAQJ2WNVg0CE+RrYTDsDbuqV
YaRJRxNni7jrZaGcZfIFJPKAfO3wbWNguVtIJ7y7akrWPHIzYtt8VbGZqpBruFzK98IMdYKLQrvD
v2sRtGJCu+CscegQSwvEn9bNLTIjziMNV/mtmeiOUoePomq4Zxgsnzvs329VlgyKvwx5uTCQ1NMH
rpligq6tzAun64gY1OSyefT0Du5zUFsy+4y5iyNMCwXx2hnyBebEOcEsLyeeABRmXtZYl86zJVxQ
ZRrNAapcOTYjpe6mkKicVN9JdyWFgMqPz3pqD07ACyshvVTmlo7ZIqu+VpjCW9Wpy7VvZ9Xv9bw9
RW47fqEElm8GTFrOtQ68bGQp+TDXafShxRqTMYVxXoHbmhdU7QMgU/H9OeN1IWx/zy60Iq7lTJJY
aTHadBEk2dXRi+kB+PWyreduM7fVwbZHUAlw4f2h7IFTGPNu1BL7npCHq3mpXnxNbY6RZiqce8sU
qBZd2j3qM4bppG3bABKrvg8X6ncAgKDomV1kb9J56U/ADpLwsEAvPw5LTnBWjWBFIBVI++yohVb6
jTLnz3pR949wzzlJ9QKYEMwz8ZoAPH3tFOSzejShLVCich4XPLtUz1pQT2fDH6dwOS+R6F/ybK6l
v8KyziP9uSeEqOGXi/kFNNvcKRld1SiQg1HmQY3pI92Uo4uUJhBvLoyzjfBc8tIf8repFbaAuYso
tCF5DSPnPU2Jla/hYEmnlNSj+9JxS7GHYpfc4jrTX7SoSB7cheIuT1ft5lFgLd72MjZOQksZEuK+
iveMwjhRZ9zeWjfI/TgLGpUppfYtmAhvShk1R10t3J8YNuxma6nI9J7QRycJSB26NxY/y4hyHlXK
axrp1n1sJExMsNGpOXTbJfsyKGRzWVoQX4jUpdi4JkKvLET5g99jRi6hje/tKW0vrZjjo02GxA1E
NeJgCksDt8gcFRsuV3jCulRXGlCFIV7yz0UVGRc5GH0VsAyvrynr1ATqesFd/jqVIjUAE0Sua/Dj
mRASSJ0Micr/VaWIus6b3GFOLSwT7qTm55ItWNlx+FS6BWc1RqRwADVxm+kDmo8x+NG9HK174aQc
WQ178XWd4QysgPs45dw9QTv1+VsYIu2KPOT0ZP8Xe+exW7myZulXadScFwwyGCSBrh5so21kt1ya
CaF09D5on74/6hxUp5RqCefWtAZVQKHuTYrcNBHrX+tbHc66dVpZJW6V1rkDhYF7eIqFXms51cQV
YvNKsr2mNJH0jgQOsaIUkdxNCuXOD2hqgkDFrcjzchu0eKFWMWbAh/F5u4pQYSY3bkzwxt/Iis38
nZxbsnQU1avCubJEbeyHrnmULKFpC/IWQN6yQ7bZKtNuqC7LZfecL/vobNlRV10+nVAprEO37LfL
ZeftTW12Ghob+9Hf+3LSqLafbd2KH5IiGOr52MeLOrrKE56PZYdvstXvkyNjJv4l26h33aIG+MgC
atEHHISCJEHEAmK0Ep5o+WcWNWHRFSIco+AQ0RrEojq4i/4QI0T4iyJBMJVh+6JSJLMImGXztp6Q
MIpFywgWVSOdfjRtf65nrmGgzXNKyhFAhJ+aZ2YbPYzP6ggyiedO6CUIJ2Q5AK3G1q25aCrwch7Z
9l2rIaFqE9mF8RDDxencXfSY3Czv+tjOV/no6vWwCDcwc/qN9azmYA3y9m6EKR23CSVrf+k+KEA1
DqRjY7fnehGHJiDwO2sRjEQ7YcKRtJTjUU6jIzVfMub0qvkLI7j20h8HeaYw2FvcRudqkaXMsKEW
71mqgmq2M+jD2klWumvNiOpqela32lL0K2+RvOpp8m8ZVDEuw8iSndJFHFN+88MtI/OYxqE4n+nN
3RotwycQWiOA6L4gpwfvbQrvXazbGwANVB8scty8CHOhCqcrCHQYp3rRPMxp2K0NB6+J5ccnpzFq
HglkvgbVCyUF6Q9DUn7XZ0FwchZhENcmyYbSnDB/9+c+e49NugiJ2Rg8RYu0aC0io7XIjfEiPKpF
goRBkK+1rY7tIk+OHbcOOO9PziJdgrtkbZqM1DAo/lIrdb8PbC1o1vJdUL7jdGZPsw/GwM1+qTYo
ruZh2y5i6aAlummzSKi8Y4yLRMfoqnWU17cEa7NNvciulAPba2eRYv2xjb7LZ33WL9uW7vPulpsw
u/JLM7uB6cIYcZF240XkFcJcaN9ys8idh3yRgjPP9jdGt8jDg/jq9A3rY2Gkd/kiIjuLnKwZZJ+1
zxozr8NFb8bks8ZVXZxNz3q0s1CLFonaQNo9Ou0wkdOLx4PSfCIpgVQHI4OK+hcb+n/WyR+ukymH
eHedXA6vFsnP/4W/F8m++S8B80csOIPfVsi++hdWHgbKFsUTrgUw6f9NkexlikQBOvwDf1kgA1X4
e4Us4RuoZc0N6MSTVGSof7RCtl8BDgD2QQC2Fat332Se9Eyw/22KNOVa94Ubw66q8/HcSFowc6mV
3o62Q29f0c8HIizoN9go0HLSZ1nnWeB51noCtzVu2P+iALHt72+krYPHdObxPq8XsSjS+KQP5bOa
ExS8/9eAYZCWRICwTFnD4+To4dQRrWeiP+UZELnEy370i0jV1533GBFFQzx7VrH0s6JVLOIWWs0h
WuQuDGjZNnnWwNSzHlYs0hh54+xngVoWAtq5SvyxB45Uy1sEP1S1rq+CX3qR2kKjv0wxZKFUFHHy
ZV4kORmE/acxrMGKTG30i6w5uh3kMELzzejeABLyWfJPdsuTHo6Xs9vQz+UTIv7l0s13Kgv6PVZu
n4dXvWFR6fOsGYaocYzoSlteWFGSUkTDCwO9asAMNoOv32cqaLeEU6MvYrJJ5dpe7u3aZe63YtiV
3U0CEiIrBvQ9+oH28ZCFOwKB3tFhlrEzy7GyN3Oeq7s8CkGNwYzO3NU0oQOg7lsd+jL+doIBsvR/
TGDsKqZqjYs3POsZUPiNXltBWh+7IE22OFPA/TE9IvtXj/55Q0DnebJYEC6qvCvgaVBvYcZ1t72b
1/twiso9pK+WXUjg6bUf51m5ltDK7+ps0EfheuiI0HpOpZ+REzaqIrsWGKNM8Dhzch2rqSSrhhvx
c9YRi1Wd1B7DtxJLRDRP40LecX2WnSrQULeGZJvBcrnGRIowMsYIdrhLcfwNI6ZyM271USe5Ha1U
NIY3nq5+QdOcur2p5zreGPRX/QLLlMkV9IpsWMVy1t+LhmXHPsDI9hh0Y3Lo7aLezv6ULLhL1T9V
wmdTMTRIQ6hRZz5N3C5bjto+E6XPxmuknOF61m2YPNYmKfn+BHgoJlkoZgZEO1f08e0wudENZvVJ
ZD/4da1BrmGOxlzbURY4xi5MuptKmAtqKbcOW8zMuSgxn0jdYzkaFOsvYT2EHscgYrqhguBOtmO4
HQosFmstRF/sg0IsCWh0OiZiat37lntEwE7PwCflPN7g5akiBT+WDiu3QKqRPg7z1qzyda1FcJZE
6bQyXG2RTaXJuAntfJOl4tzSPv4tU7irsZS3eBr22WA6lHLKYD2ZDcq+WUy0P9Zc9w7MGUZ7OQWb
wmu4A2VRm1cGs1C1advOxosc4KAkcXi08ibfxox+AZn6wwVtx7hfSWfsaoexB97+uT5Xbd0d8Svm
t5MoZLGKS+XsVFKQlPHb0xzxYKZl8os03IMwSEBkFI56TSk30OjonYiT9t7orOwqG0Z33RYoVfHo
iDvQgby1PNx07EsYn1CWTOyQdACh89CDmYifp+/SGyyUj75sMhrSebCN0t4nOrxVuIhhEIhkHRDu
XSf08jor9p/evpkVxt9ULVe7HO7JrEYbk5nawaWlhk4shVPbSqxbBQNyw+sp3bJpcA44/XNYpf7S
Qi3b7tJhnbqtxwQPKi6wT3Ym5Wc3d5JNRGk1A2NKQd1Ou/doLN15NailxzhseaewTEHxj53A+G5C
oELkSMP52oRkyugnTG7mnndjihltX85S7jvDJxEpDH/chm04ngXWTElVYeZrEKWUAMRpfZV3kC7c
Jl8kQOvJVOxpsEP3Z2MAttDxa73F0w8OweainMB8IZnMjDUx7GZcbctOeFBZhNEVCrCba273zJji
UY/riG3hRcwU7TppPUxhpkPaukjppScgvzU96koT6XZnTevln9mNeDfUyaO6h/z8nxPyTZbTYXdO
x+Ja9JRnTVlo3pNdyX61k9RfXBHKO7cei1Ndg8qemJGeZYRELvtZeweGmi0MB5SNLRyhjJduFHd3
sbTJYUSt/WS33NK2XQ8XzHGKS09ULXFER1y3S+37qNEz2nyY7kKRK48UjYjBYfqszNmsXbQOtiEz
cpJ1n7QpzkSPV2YWXgsfSl0ME4UsSOd6BKM9lxmTHS49OEglgY7mo5lV0VmOZIQ9KAseIlyu0Qog
X/uV5d9Svm308YXVp+2eOHtNTlWM33L6FdezXc33dm8jmgeJ25CSjXW4cuv2Aau7dTEjzF4gnBNE
zpSZcL/V0a2jOnFHSss6m8ukghlUs00ihx19quqqhUOgxpuoLRHNeDHVe77o41MEffDejqTbrjpi
bQxrbVySlqQUm7vyCKzrpDsCzOzPbaH1Z7NWy+J2YguTmp8nAEfFntRIE3+S7AUAd+hSdXyJUhM3
81xG+GMpmKXMXRA7mex+hMRijvMPT/dqG6QT2+Am5hUckSnsSYgPwSqMpm43mPn9MI4UDaQDpHYs
mQd+ymwD+Cw72YuS5BTusQuNalPDF/sf7NfPQsd6+mh97MPsem99fPkUFz9fWK3++m/8vUBWOKNs
hWURpgiuKsdnufu3jOwKZGTTlbRPULzxIgGKP8vxXMujK4OaM4uY53+tke1/kdp0KXExhW9KC2vU
//nfL0ou21f/9/8quvymZPTd/ud/vLLqSW9hVxA1lUuTF8t1/rjffVaTj/BNSGeGrLCdfNqQL7lH
f7sab/gh/zwEK1KH2Tr9Efg/n3sXf1uEB0OXwVTx5z1ZbCZhHm0nBGIUl/S/HG7/xlGWv+K3o/DR
HUcn4ihu8bU1vpbjT/1R/9NHJ/LK1+nGpSzKnkN088k1T1O8qedv758FtrvfmzaW8YNvW7bp4Xzj
znBfNW1QNKeZx1nNXuta7NwhwsAcunZwlVnABOeJ9QZhfujquC/+clO+uDN+vxP+mCY8H5pKJJN2
JF88O/J+u4C+I0fBUK3ZJ0M6bSsbBRn1gamua5iL9SdE0JoiZl7vn/Fy0X7rFvnrjBmwsBHkdNWS
nP79d7NbHy4Y5rK9S6vWkRztA1/geR+qmW++m0x/vcX+v2f5x2+4nKUv8C6y8fT+6PAKm9oUhjdx
uFY79wxUd24QjIzwXHP3/om9bmj768x8tigmj7LiB315Zv48//1bqrkbvrcTZBZ2mN0PlgbjykDN
Z2yhzJ3yZvMpYoS410QlV+//Ecvj+8fV9T28vpIepD8ad1JQA/MQmkDHgJKfwKZHlxW4/Q+O8tZF
5ScUgnPlNfe6aFlik+lkLpr9hG0Kh/qSCMPPw+Ie8O0/PyHJ7A21wbF5oSx/ym93aQo2Alb4AOyS
fPjGGuDAe+XX/94xXj3nDHYtVffcI8LSjMqanfTy0/uHePPm4P4TTAK5PZgKvjwP30+8obFgvAF7
50boTOsIjXFiMDbEnyMDihzYqmUCYPcbbKnmAYvY+MHPRnj5z6ePwJDkwQM8KZff7+Wf0WYGY6y+
bvaOUTTfS1dhrYzNwdq6A+85J2COx0AkYM3WBUe7NbuzsbXHLbsJsZvGftjFVdM8WtFsC7wubbJp
tHvCBdY7G7B1JOYAF52VGOc2th57/IUBTGjch9HKhZVyP6XeuHITF8irotzAK6uvaNVMQLyWCZ7o
9x0uStbgEcY7X6hNasCAJW89MQPqypWCE3eumi45RGbmnpverL4YOTs/jJ5TdGnC3T7Pwoyrahrt
NjIcBPMQwxcjEmxieDK6C7it8wMT+mwTURPEAq/+rqzcPQYxsCasu/2mded8J632QqaWfhiLSZ6G
oBM7o3OzbQkz4CDzhZbWCXlGqLTG51+JS89M8y2puhF+wtjf2q7mHwFleeHOybSlCdmaVrS/iUuq
u/n4JsSlw7KLTkHSD999zXiin23SVipgX+f2CceL559DoYLPUYW2vCEaOj+ogQIIpgXiZ9OMVG04
rdS/jFpiQQapox8J95PiHuFInfre5B9aLrAj2exODhDZHNIfi2FHbfIq0BinAptGmiXHF7CSREUh
MLRmhOWuuywxrpJQ/tQt76hh0t2PZB4f5Gz99FGmvowW2ynZGfFnDcznAISLS9JEfMOKQf6cddn4
q2igszmpTeBbWcWP4AT4QDuTfy+ncwLji5sec99pH+Plq0O2yD2nPogXVj4EW9tpxK5rh2ULRkYt
LHgu/AYW/cCwa1da1oyKA4Ju7RPn2npYd5L1nHnh0YElvV+KXGH9zGpd1wkt97mX7hMn6e/Scu7u
NNuJ9UwwiRuDecIpCxmBk/VJj5jkkfKNstv2jNauPZ/LSWYf2mTeULZksVC70hRXJIfEUvkZmE/2
fiNzkGDdNYG4pe07PE1hbN4lRUdJFIMi5xqQZbKLaPDaCdkE3wJ0MMQyywiurMHHk5hGrtutpChw
EQaBvJ4isoCQHNUadVEe8XfVF7XhCiD+c39QAKVuAsOmpqqK7BsXwtbFIB0SUPV8AlLYMm/CJLnv
olpBwm80E5tuZD+Ykkf/ppkKQaUeSrDNRmfsyinyfskk9X7hndXrlonJeYPC+y3yTbENu1oypcU/
yChF+7jh/eV6BOy/NwChf2R1y5Vs+zGjba8y94Ip5x5EmXWBJ0jem2j32wB2P7ZCdpo7zy2anUMS
87NnBf3XInCik5nX5r5nY6iw948Erwg526tcCu+7gOt9rAlWXmEzHJ4agBOXRUfj9kig7z7zNfiC
tsXXRGTAOR8siJh2n85nYdV4N7iLiqcpcoZTM0H6HpNIX40kzi/E6E6XyFHOeQqHaCdqB6zfpNVd
hQd2A8SHrurB8Pq1Y1ocoEZvjPAd49dqYJEWK8am1IQXStHJjfp21geD+YvKKZ2voqyMMLP2yQ9n
Vi11pbyEwDq0O24NZzPi62D8X7U7XYKG27RV3GK6j+S2M2V9ng2KUXZU1hElFTn7UxLE/JtOECm4
Py6pcbeYj/y14b0lyvk4gao7dxJrWmdOQE93ogrSZE6e+AeP7clZiWK2weHlHxxoLGdgj0p2naGx
a6I0RlBTpPnWHqimM7YkesuUsDkYjUkZTlR701mAmLF1Axostha5wDW+R67DSAJ2ZRUA2Yusqb+x
uda8xvr0BK7KI5YLyETzFviKq5KWtt519wyK+p+uWcxnVug551Yhit1A46a3WrpZnsAPi2/aLVp6
3v04+NX6HWzUlnGeL8z0+PwftwrloARLQrVjmFur2XGH62FOxmsMlXrbeylwUO7hZ3OFt5EixCz5
fMiYlCw8sRYkdoflsl3ZmTa/paluP8GsaTe9s5QRysY2tjG67SWm1oRMRGjdymIMviQyKh/7OM93
lIAUO2iOwTaehbkM6VCUatNfm2OXHlXZPXm+rQ+eq7wUvjrBVC9IzWVlnfLybPorKke4fEWEItQI
P75U6dhfCoM442oS5bgvDX+ywEoI+9AwQyWL6fX5Ee16TNHAGIRtaF1hxVgsVQPmqOY9wVd1J8bW
/Kzbfj7FsuWnq3IKTJ3KK9hKKCiwc9VxWOSD4DjOIMBE0/WYYGvjHu/zMOAC5af37FlclK7dHLrM
jn74gv90miWo741yzgM04V2oyH9aNZQ2nn7D27H1bfBlG+nj4MdUxBW1uvNrZWwdLANrT+tiFwL4
WUOtmvetL9qVkbjjzaCIDFLP5K9Lv7Ux1iHG2Ljan2BYYvevuMExKqVHipXjtWtKpDhpFj8hyHUH
qzXbe3pI5kdupPBGRVT56KTzsbtjb1SypRywqYqdh/j9WbP71diiLPBAA6jcNcWf/s4KqGjQOp3R
s83+Z18ExkO+GIKhxSVi4xnq798p1WPwazL5Y0dpD2emrMQVDXHGfYhac8MgeDrCBum2hjPGX4qu
9U5+2ZMkMDvnk91N8lPfLAUcTjVd8aVSZ1EdGZsJgsDGqGS0ZwdSXs6h0dxizSy2VlPkWxxP49Xz
VdegYzdl63nX1jLcL+jP9ps2OQeUIEhaRDgusIuuS27Es5GJ87lbR8W28AEe5JO28drksAYak4AM
tXrTsbOm7DrA13kQdPuk6+d7eQaBdvIN6bGu8IDQMW69ctsi2OaZGzKbxS2zcpwivTbrJD/g+Vaf
/SDodzpgdcsQno8h8Sh+/rmeL9MWWOJiXFqHg28T/J7SiFegELeREX9r0mm84qUwHSxAM9duM8+k
eh1Gu1NbTY9kVBzySzODkBmR7cwVKeZfhhU4ktzkmqE7rH7bSo+yy53zZKAaSbiDsQ2aagTs1/Lp
xtrLVKIuDRvETe6mGzyWAdZcgY+Zb1N/8Bvk7lVAqc4lPdqFWBduUd535VicdbxwWAMVbnsupKXh
vEEabToKNuikpDsWsuixDtRwZluCHDrwBOO+NU2mDrjEWDFLZn1Zz2vDDFseTQKq0HjbGGnb62sb
qFJf7LQoaBfsuJ1yCiaOth+Lb2Yop0sJ0ZtJz2B+wzxhdQxeSntlyJbBYcuDSW2sdZzHYT419Jwc
1SCnraenhtEJOXZyvX1Vr3Jf9XDc+5I3HWjT+WSqkWfesDNwhwH/x72EDAI4NYj6i04baPz8R28S
GzMgjq462EPnlbvYtOdD4gVAfsigLmdEw9horUleR1diji1AknF+hxMX5qSXFLAWI2OnnRIMl+1M
1ldaxzzAHkV9h2JLHjiNjfMw6G+6anJXOACgfSbGT6/W7hl9EZ/tDndbhrH+gtNIN5lZ8uZ0wrY5
87xm2JZZaO2CIO4Bqwb6HLdKQ59FbbpbVojRsZoBoOgIBHYVl2s4Dfl3tzC+t7NzPVrQiq2RdnHW
bTWCKeYHd47vhzKa141nhHveVjsuRL8WS1VGGKCsAIH9bBSMk3Ril6RKYJ5uvGEZEdsNZc2eNg7Y
tnEZuhXnW1QOXWYdEgdv7OJyrAjyFlEIUxiUuIozGColbSs7UtrR17ADc56OIiMb1BFwB1VT3lVS
WZCyQxO5O7ei8yhR1U0BE/ezEYJP56uef2mNqvtOBZy6w4Qsx03mVemBwMMMfMRPd1ifuj3cTgKQ
hJ7ljfSa+SYJVXNXMebY9jnJgPU4NvlGzUptkacD+K8wR2D3J2d9naL/mVl8DBMxAdDWhBabOT8n
f23v5zRzfJqgytAGf+1RTJdSVPON5b34MqrCuxQ+Dq11YwFr6usE27gF8P0mmKfyoCfg7QBFQdVT
Obmx8hzDduob0cI+5VcEuO58o46jHmAoz9O1FDo5FQ5oxo5y1y+KFjdmiCKyribP11/SLHKPZN6L
T8HkLshN5u6P5vKFVCKvwJF50X4siu48ij15GeWt/lRo29kz0BhoWwv7c+gn6XdN6xXzV8GPW3Y6
uOndKv+Rt8yMoV3JJ9hfpcUjUrlHkVryotGIX8pgg40dqJDsdVvZ0Zuq5YNduPk2DRzKc3CsRVel
Mf1Me9f7bNGNBqN8JpIYZvNChwNaC199xRpv5lMYwaZZdTiVNmpqeJMlWbInpkcskv4Ffl6+tseJ
XQV+fXteDcIj2FrNmzbO740sxvOnCUjxll+hEtMa409sikX1qbETGwd9hnBoSrfuNg4r413pK4rN
07y80HNmHZomYCm1DfMpCG0iaJXXkdVrByPfs11Sxk84nPj3BkZ3olPeo6bMAQ9E5+3YxSx1WDGd
S7ahL/goEvFqmuRpFHb5kNRp/bnqCHbuKsOZoOjS5pLu+nKxDWH1g/1i6OIkCccX6xZixte0UZiU
u2ZIjr3V/QwHbyDv44mL0feKc5uV7feiwh4EH7PdKCO9mss+I3xrG9lOp27NIC8pL9KeTNjKryt9
RXNQeJWwGFolMktaQGhOfdmEisBNw2CS5/8HA0DmuHzTcGq6wJTsQIOpKdvuJjURGWSYRY9j09p8
uFyxFZQbnkD1lN9so/oqQd1+pSvobsZ+Lc9cBTbLQMLZETPhzV4ZNtm3JYnlu4NeR1HdkHileWkd
ENJQUWeezT2Aeoc7fm94pdxFkXJJYeL8XIGOcA8RRqk9psHwmzNBggC6Va4c2whhOY/uPVsdvieE
NL4uhItNFfqf5AgkyISOvONfgZE91vpOxvKHS8MDNH49fQvnAKhcOnhYuu0pufRJhe0IeHLFGDru
6jAhwmX4XBQ7cD+5fSTv4x7MXNLFPLCNH62GgjXVFBG0dUj9aDuybtiDPPJCTq/HalbHulZE2Aat
tlVWBE+ln87rrBk88oh2ckWzOHkZByrZygJtsR9bkj5hPxS3xdySvLKMU57n+qC9KT9RvKRu3Joq
bZUo6woumf1LhIyhywTCeNPFQChwR1zTZRZdZE4KhbJKfKhkJJ2M7ksClYz6m3aX87rd9hVEnFmP
5ikIOsVYv+rWpU7L3dTb2Z3mjctAH3Ci7/fmrsm6+7DD8je6pjraS5+lHpqvcIPdfQKeaU3B9Uim
zDX2cDb6C5Zy7nGQmGHasE5Z/5bFr06Dft1kuvpm10n1hW4/UmEQSqL0W2kmiXkuaAE894Yg2aCW
0D8cttZ9ZxnjtAYU4fhXcUake10WNbAXGy61c1YX48zWLGr8q2Jqsvsipzoudyafpuo23FRIWPfK
an+OI/hJc2ap0tQ2zSjz8B2OeX50MisHJOewSULVZJyaJoc89sVihdlTpJIcef4d5u/qMQ9ZG8sA
Dw6rwoyuRu97a8XdBh/jQp7k+0oNzL4b1ZPLFmQk3Og05ok11FLXgUxkdJ74Lv1sOJelY29VTR2v
mWJnCQOx730j+BUp27lxTMM6taP/qx6l8Rjy6D1QEtFEG6el/Ba/0Rhs8BQt7nyn3Jn+2G2tGGgm
ACMcn0y7PuBV/KmCkq8DU+FLj9EAqbOXKqgaMwvihoeoLNHvKOumGqoquSdpj49k/sFg4C213HR9
wZQHg5ta7G+/S9guxE/WSS5qeYlabrb8rzh36YIJq2zzvsz81qGEBT7BcyzH4dX38lBmq4BLjQjz
5F/DeyoS+WQkvbg0Ncac9w/11vgIZgNWOyh+HPHVNYQsBLbe5lBFU3QXaaYXQhHjm4Cbd1WHY75j
MP/vTHMA4QsbHc6xiMK8PD+YD8Iy8MH/NXiAt8NXukGyY0/60STllZXweZrDA82QymXIAZP35aFS
Xv5zVRnNnjAoQLcsgEtj1F5ySC0UTfyy9U31POLJ5uiSprGPxPq3JjkWcSPpY41kIPzqrplCWUVm
GrZ7L2c4wKILIaMeHt7/Ef98EOyFXGN7tjR9dhOvDiKdChdj6eN6E/hwdKnpYxNpTfgyoZyi8osP
7s8/T4rjkaACRONYwrWtlxe1ZqXjTZVd73Pqhc6lmk74yt0Pnu4/HwKbGTr+bdSWhXjy6iB+CMab
QFK9xy3SrdsKAmRZ9aDikBffv3xvHImTAPwjlXBs/KsvTwdGH3Xuk1fuGXZCKTfac0JG91WTPL5/
nDd+JuFKID78VrywnoNhvw3BAEWmtt+45X6OaZTKngwvA8JUrOM6OL5/JOvP295+cahXtz3bRkXg
lEN1NB/Dc5KkoQf3r0AJkMW+mB8mzF07InFBs6nxNm7Mpg6+KFaRWz0T5k0YyOyslp1tDjGMTIGc
06PjJdVR22TXwiGaLwOazW+hmdpYrxBwWerobWaRcDpSAjVeDWWHqDR1Kluz84X8ThvGBye6YLhf
TUp5qJDaTR4AgWv41UAOr5ph+0XHNW0j/ckn4n8FEu4WRFX8lM8dvpoMdlaTBV+aMQ3PXMJOjJHU
QSk8fg7DElFX6drqHihBpPhMkawtc9K73iW9QTP0xZTasnRAAoixvQZNAkgixKxEWh8Xo5EY3XqU
pdwzbho2WnvWmuMkG3bV7kUq8TIkUC7JBJTRhtLy9eyGI1GYEsqqF1oGSzmKGb+5wVB88LV6416z
fEaDOFjwiVnu8t7/7V4L8r7GjzBxXRJcnL3w7QO/+kghDEWdK2J3w/79W265o16OrMHMulI60sf2
gnf85QHrUvY9jFDI1J6WBySQfFsThKKputK7wIP9GqGG3MuYhrX3j/zG48sL1lRA+kAj/rEMaAhH
G1Gnij07z+lzj53ra40Ee+9QUP7z/UO9cZLMXHkbsf3gf16/zRlVsAScumKf9w1CZS/Q1RFnCXsl
RXOgSxOSTcvMa1oNFjra+wd/4zxxWmCLNx0+1ox+X15hYJwdO8Gi2FOxFO/qobgPx5DpazI1HywK
/jySXF5SwsVhhK1/CQH8fvOwLWtDbKTZ3vK8T9NUDBvLo9ekyWz7H9+mGBAwTGGMYkFgqlfnVC0s
4JB+QEZ9VM3NCi3ETq6HwVEUs6kf//QCStPmxCwBCIsJ66tblJo1urizmtNycptq8akokfWRWVua
7NoPruGfDyAHw+yAWcBhxvT681Uzro1Ul3NmhryPbONTPXs/qAy8Dwf1gSvhzzUch2KlqDg1Pi/O
q/PCVh4DK2U2alfZ1ka+8OlEhdDQ0zxR9EeUg49WVW8f0cec4i8GuAVD9vsNQtePC0aFI9aiP6Z+
9VRO4t5emM2gADNCm9bFP//psOIQAWXVwRFf3ZFOixNJB266N7ruCFFrL2WKR9/84DB/LmwkEEBW
azYxYy7m8v//7a1Jjc8YQ9hI98QkDAjchTxUlKNv3z+ZP98iHEWQpeHNjDH5dXnDaFgjRniR7hub
TSabr3WWdL/cQp2SWjPjIplN/PiDt6T155eSo/LicB24G7wtXz1q2KK1jxEs3fsOke0ho1tvXVQp
/Ug+g7O5YK7UTj5IKaOUROSgVFJz3JruTo91eMgY7ZyRFrifJ6e+pS803YRVxeJgWRaAOXXOcaqo
B98aFK2SrfPBX//mD7PEjtDnPR9G4csfhilhlCE2QvKAJ7ZNJj85GiPSw/s/zFvvPQdfJbs8Mgh/
LDlzWfMZCctsX2gXDFPZ781U3Huu/mjVwl/78lvJT0HeD1elUkSqXv0UjpvZRVUXvIiIyDBbDqLD
qMzx7P2zeesNBLiCnbGHhs21e33NTGsMOyNlnt/Cd3X5TI1Op7dtm33rE/nPV9FssLCJ8smAMUgS
7OXh6G5XPR6IlE1d8GO5dk2sTnkTfHr/rN56eMCbKhdLLhuD17fx2JIZmksenix2vJt0EqjegfMD
/bM8a0LH+z5kFDWzgW8/+FS99c7DEStZV/tvbHpQM0yc3X26D0PrWhfG05yEZ1XyWCXzHb/+B0d7
64Zn2wOTUeI1+2PfmnGOrqpaqrdDWOy5ctzTYCXG5v2LKd66R7iIrsXnyMbm/Oq96nfW2DmoYHuv
G8xHuk6oIsJxTHeTTa1a3LrDQyK8ct2Vur+uKb+8cuAl7iJ4Odt5qhSzHuz5oobDnlHweBZ1XfLR
Flq8eeUp51meTNth/fPyzmpAXNOml/O1GSXKna6fhF4A3bbXAvrxPhGOqmhzidAVCzt+TIe+PQR+
+TViyErgSxP0hl2Pr5TSvckANRtxHu9fyDeuI2MmlqAu+MtlffjyT8xc/oZ4ZLk9FPOPahb6zKzw
NwUZI+Xp6f1jvXE5xLPtz1m0E1bdL49liYnCa0+ztA/EDxML4iZ3zKd2Ir5AXdYSoFD6gxXGGw8d
mWChWNHwxfpjid03tME1YcnpJc5n0I7G2mKQjrTY0JRsTfVD3Qz1hgFpv//n5yoEvmY8jiwQX78p
JUGguPHacs9e7aom7IZQlJ0QyMh2puEjFM7wn6/bOOAiA1hAVnmVvbq6igFAK+tyb5hhvYY0waCw
sPVpqP18nys20u+f4RvfHI7HGmqBwrBYfPUEQieUUUwfx37sQ8RE2Qwbsy7rjY1J7d85lE+61gPc
ivT26oNQEd/XOfy8vfDL4sbJaCZrXK3O406ID15fb92jNg/UkkNYxLdX92iPS6Wg4Ye9St7dd1H5
03GANsNehfdVn7yOdM0/v4w2oQvLERbo7tcPoBiRv612LvYzPSMr0x1uGzoDqqWV+P0DvfFixmRv
OraNF50Yx/J7/rZErOYBU0bAFpCSnU/hOO68ub5//xCOzb/xan3w4hiv7gnY2WkiqQ3a47EVK5BU
tAU5rXNrdSqAnDPQmQRkbOUMTbVpVRI+lEPjMr9nfNJ5FIEMosOgVMQMXyQpJSBfAmrY9H/ZO7Pt
tpEsi/5K/wByYQ7gleAsUaMl2X7Bkpw2IjDP09f3Biuz2qbdVmc/14trrXKaIMFgIO695+yT7pXV
1kccdvLeBDMHRIzk2bDU813WoJegup0ClGlErTsetgWyJ+8co0Y+hxnSeJj9DP1DbjTJtsgaKJJ9
FcLIQc11G5NBskUPRlZyoupbCSF2Z9TNdEgdVFO9JbNTT0zF3gPQpoqkCbjDyTajVwRjCO3OHr1Q
tiqGuQTtKR30e8lwTSyCCgZSMLe/v72/Wps8xYXBOrFwLlysTbdqMJO5rE2Ue6/V2L4SsXJrW9rW
yooN9MXi//Gz48zNYQ9BPxaRi+s5csoh30z5vq3k0nO6gaFwGNr8ncPrzy0/wttp5NP4o0fg+heX
scdEglD3sdvqyX1ZqhoZj/elSp6YC52YEQedY36O6vydkunSrE+HfbkuXVruKMX15YHML7MqAzNE
T6SY5o8Sz+0KLKB2j/Yc+CtjbGqcasmhbZO+Wqc5uh0AIWzkFaEkDsJbJx60g6V3QDxbOw9CtFos
uHLHCIKhkh+/gSOkUB9R5yRijtYEDsCr6sW8jgwi7RO7CbzZwXDbxjbAOazrm5j3s27T8isybOMO
9z7sGDJitzi6+P+z2Qlk08YboQnzubKc976KX+3pLi4/4UNQ4AtZvqrv9gilN06WJzif9fZ1wju0
mgZ9lxht/87K+tVe9N11Lg9GfdljaveHfO85qR7k9BuCTMrN738uvzrauJagWjVx4LjexVNDr8yy
qIA27rGhwKV08hXF+EuRSGSuzfSO6eyXF1uYaBx8cbddFhFuzWaUp/xWNOlmVKLzrrfLLaIs5I2t
euf2/WojcGn787TAsvfT4TedJsJwETbs67i+NxsBzSScXoq0/toqxojSfedOGr9aF8sYigKWqZ64
nNPMTZlyfzmnxWMqMV6YBsRCQsZMevHrwtLk3i6rNhhL33pQekgmV4TOOMIjePIiL9kS1zY9CVT6
KKbDiATj33/Tv3x7bIi0kejfYmj7cdmCBGs0oKHZfqjKr5YfPUuzf0wtRrv/j+sIj0qR8ndxsfx4
nYZACFkikdlTiZZ0c9rXfNKGddHV7zxIf3VspTnFHFVf/hAXv0Nr8BFVI4fat8i4ZYPqbMjv68I5
EqZ4mxbVhyz132lU/GoBf3fJywNrPNsA6x0922vDuIu64qtvp+hN3WNdvBfXYP1q/VKRMiTj+Egt
fFEXEckBVGsUGduMOX1uZfltUD58hZSwIdq3UaCVmgoyduSNqhb5r2YsYqkaHY7fNy82TZWXkHD2
fWciIsZogvRftvUjDI9i7eWA20BnedtRDN6z57BrghBq0DBozbiek6W1WZjf9IE4PVF4a0LxPscE
6DAdLzctRz7l9QMMXgKdwXaZjyU6SB72pvPOavrVXfAXpy4tDtbtpSUrJaEH8kbJya8E7N/OxGvr
9otTOlf0TEGsTMM7F/zVV7yYJZhdC5qtl7e9JG10qjgM7VXlQwYou7rcAu0gcyUKCU9tFpno738w
v/iIPNcXt7GPLean6tJ3Jw/2gJXuEz9aUtknl7Q6TmhTXDQvcW3Me1RBb7+/5tnBeXEIZXBOxC1E
blp3l8/1CLogk9k027vZ7Ady6NxHWxoENlmTcyWLNH0uzcwDhYCA6qwa9iR0sqyb202LsmenDYBk
3rn1xi+amPgU6fosuzZkIPPHrSManbmEecfWMYeoyyySxdCIWdsmrJudL1xrxUpBzOSkGz+qJaiz
JkEMbf9Fnfpf/ajWL/bKxReOQROEEoO2izcCpTpys1aRCp3HFqORRWqsrHS+R+6YO1d8XeLQxggE
cT0Qw5XSRDY0WGNAb2V/N1iDvp2mUP8obQ7eZjvrHzkW52QRsaQwMcBGGX3CNDv5dUIfyZbdb2w3
lhvke/a61vJ2L91KwC7vxNqLrswisR7J+x1v+dniC4G5Nr9Ir/OPqS4+6R25eb9fHr/6/EzA8KCL
ZUJ/2Tii3UZcYWvx+dNkfJQoRfajO6oXZWhy+88vhRYSrQFudB4bFwcQhk5VlS2PJb8AW1JW3mKw
Gcvk6Ms0evn9tc7f2+WqX7q/FtUrj8HL8j/X3LQbMkVx0Duht2oZGOO/mImTJbOtX+ciNa6MQg/v
2pE0HtPUonuz1fwAWFu5K3P9Pxjg//q/4RsA0vLj/zdK4KewnKvXvHltfuA3/Ouf/A04s/9AZbEA
F7zzuHQ5hP/Fb+B8A4uBSRmHLY/Ao6X+/jsqh2fo39hfABAsO7rz7Djnxu8/ATbAEGZr+m5l0XZZ
+pe0eSgJaLle7qdV2HppHI3uVWaWnhHQlDXQEBuA46uga7QSXbCAvA3UM8msIrzBVgxBqUZ0B/hx
bik3Hjmy6Fp2bBqXSm+jzWNth3sPV6sbdFbPPiOqdC5vEsnBWmyzmjiH4abVsQyOAHgFcCe7IUYh
2ra4jNzr3q6aL0k03Le2wpmGJksENrrWbYpWjFyWCpWiOU+PmjdjLZpbqcqg8o0c2vYSxTzvMGg0
+nWOKh6dQ6MjIBd1g6wrrbyuuiN2O3lEVOJ/atLZAroIM8kIaox15ZWb1xIe8OR/1Cxo4VxicufN
yPhJ7UqB6wtbBHYaq1DebVLl7qdKiGGt+cXwmUQ8gEG4W7dFNxF+V0uCFuPeJPSW/UHjN1to5S6Z
s/QQEw372UW1+tFsLGi/RqH8L5gfv6TjdOPpdUycRZJNB/4IT33nWrfKUfoe/7qxwULgByMuav4b
y6/uuziXA9LiSV+3Q9STDFIKn55FV0C0sUOXkb/h9Ptcm7O7Dv798ygzMOr1NGAgENO935jTkXbm
AhRWcMdgoGtqL9NY/cl6cO7jhNjsTV+Y2i1uIjJ+HLfeN8VoQOVt8w9yFhDUvK64g5Akgp6gO3Bm
XmuebKc3X7QibRZlmWndFnbUrf0S2lmGKO7QK2O+Sgmu69eqQ/1umDmOpwVmMxCLvrUGrF0pR0H6
6WE1f9Z43Gw9TFI7PLHzwZbm/AXaMALnxigfZwSlN51WFdeFFnVYo2dtuh07xKsGKZ29jQMf1f9f
/wu21e7lSXOWEL9A6RDqq1XV+3ZeH2MUBkN+5Hw5pMVatGEV+1uz1uBiGkT3rfqBZuG80SXpGV/O
28R/gJHvAXFQr7G7/WZHZWPuviTTj3vq+R/9TVY3/vCZjaJnXhiPCz39b7C6/wcHskWVInyxaPbY
/P7aUS3/DxxXvoFAy1okOjr78P/ssPBr2BeZGjJbWP7VBQLnd0icM5Dmuw3WpgA6F0OMREDi/HQu
t1xL1t4cRkdkOS1hXjTK7gcjmlnjGMtUJfxjr7/FFGaHsrLJhYwLz3/oi77l+Jz1O6syqh1oYF0P
vruNd/96C98jWhjL/Lj389b4cDyJmFuaNo+fi6ECwvnJSUzPPYie9NFbH47aLdQD9no2SSdZGV3x
qAxbszeqDldtxAROK3tCZOHdhX969MzuG9QEVb0pJ5GJl7nUohuCbvAq2PwwP9H1ad2arLRyxqjg
at46xVOs38J09hqN3OFW8/ZDEs5rG103aWVGOtikgRS2SOonOfXRvhi1LCZ5hrEAuUZNOq0BacES
hkruH726MxZ6e7wZa/8Du7usu40/eNYdFv3uyS/KFNdJlfUrdvAUkv0QV2/ZlOkPdmgVDJ9tIkYD
JRGkw+4F5Ivf2pQpUsIiTbYKNEgKv9wiyxO9IZSsgQyH8HkMF5+zmusjXgcwAp3VfFG6rG/9DLuU
G+P1i4pjWbjNB5ErDIX+OO1E07Wk4sr+OGq9tlZiZsdNQYDfVLY1XeeR3GoqTkDQdUbxoNn+J92K
MbYqpEhUtan8aJItKlaYQIeTBjL8HuAECVRCTs1mUP14HYn5Ue+i9LaeOoVVEZ8BqXKugdcj0ey3
uiEh2C9lsxrRds88mXXlPuheUj70hEpTU3vZndPPgtRyEnySE1S6xnqKKVcwTGnqdp6rDZxCc1uh
yP/AsG/EcUwExeiWzo7gy3xbilYmgVHT72sQVSHeEMZ+tMJyg2pDW1mzTiy3XhYHe26HwKgi9567
Xl15boI9RKT6MWLaely6fUdp6Gm0DnM9/Vi2RvOhEHALq8EQTpB0WvlYNWomAc4cry06BH9GQrpb
Yk+qDeh88ufNvg3SqcderpAdY+Ho7e1cDSMJLkkpXxOWPRPCegw4ScNMZdd/0AURk0Rc9lfO0DA3
RhIIWVymG0LA85U5KEbLmL8eZIulr9NnBJe1kizpOhPhdoAwBxmEWKCPDi8SkFjPs9Tzu43jD8ar
GcWSwOZp+orPOTxRONhrD/8cnTW7HzAGxu4nnsQzKW9olg9m78b1uhisSWIfJuQK0xPWipVwQBKs
zCoT5gIywbqE5nFaQyWJZpzoofbBwbMt8EWl7cEHgn/llw6hXCP38UBrusYQaKTyOgJxeEXAFHcP
qMQc2P2CMu3lNp1MJ17lXmh/IYllIAMYOs6HeSjzaz8lrJgs2yo5OQRDbK0CBanpqeXXJb2KxBTO
G/0OZKIFSqf1h3uRk42yE0nhHpK2fvLlML+Jfh434dDYB99F8YkvHkRsaWjFDTvh8KmXsFZXpedO
+iqL5txYM7hJFutvPkwkkNUCsIPw8aER60W8LSPM/oawAaSdBrA+/Koeil6jb2V2PRWixXY39f2h
iNzCWcMZBFUbQy4lbLBw61Wv0EyQIzDcu3WPjRwULG7XKW/SW5sfxm4wPdrJyGoLbVtz0ACeU8/u
jct2cEXplyoS6NLsmYNQ9aA6qy02eD+IBqpA7GvVQtsXFuB9tSD4BUeodG10yl7rBX/vskYJF1/A
/f3s1KfBlPJOmUPyVC6Af29B/UdTR8JbOQBdPCcBOE2SfImjlnwAdc4KgK3q3jVqSrWPYH3wbY8V
wQLmOWNAnPMGwFW49dZeYgjq2aqO6AqHT5EnCZ9giPxA87/aQ75cz5qrkX3cEWugnxMOmArZV9Lv
460Y+vrRsQrq29Bw5T0deRrtfaYexDRmxr6pm+iOoWRJzuXUJiksCdl8LiY9z1Y2UV7Orl5CGMIl
jkFWfmWsHAM+QYvFmWwQY3DkCs0E5O4EkOKtNi7hDk5PDBsW1rb/xv7uP+DwHLaVICbe1XwuEfn6
fE1MmrWNJys+1IkJ4mggVIK9YTzES9AEUWAGf7Do2Of5kSc461eTXiyQ+VlqAVHzpFXETiWujXOG
hZjMJc+iIdoChjw4xL4lkbD1XHAkfG0Y7ORVRjWB28/iQ/aG2DTS/RJb0NiXnmeQVKP1rIDqH2KK
hTvfkgZXzb6YmNdZiE5i3Y5aeR2HbP2zk15HkxcSxFEcfEEYletoYwAfU1t7Oh6ysrTjmwlnz86m
cOAfzKN5m/NDB5iz5IE4Hckgptkhs5A4IbuaP5Sna5/BQlT3tWmNV7ZT2SkWBUneiOP3XzCpNVeJ
5Yh1TezZbjmXvKVLVgmr1MG4eY4wsc9xJtOSbNIUWFBXPE7rK8tb0lEcSxKDYjSzACsyaQR0kprg
W9up1hRh1CQpPLsxeIZNteSs2OfIlekcvxLZSxRL3CyxLO05ogXr5EAtfZ6BnUNcuiXPRS3JLhzh
+Lrkq2bH/a2m28nDpLuPCdbeXXyOhrHsmhSJvJHWqTmHx8BvN2/DBF0kR6zi87SkzLQdeTMEsPB9
hecYGiS8+WfLqTJek5Qac8mrgZNMGIKQpNh4VWNc44dlOx6XlBus+nhJOXcRfpN6pI2vGBkkr/DJ
MU9j7MSQahFYEvslfXvSn1f86qAPWYTHSAhHaOc3WlFlD4MkWBVeynSPz0OReNGTu7pEiGFZXuJY
u6Z5iPyBh7XjOSfpIMkHWmCa1wq+nbOGoA83f7AVmYdOZhNvkWISDRl9fxnisXrz8Kki+581/yhs
iEYcMB2z3hBq6W8mY25JFV2iZb1zyqxfEDjbnrNnS5V25mrUZkGBH8f9dWXMDiZd9pE4qM8JthxP
6hczXnJte8sm47bjoX/Prxbcgc4aCFH0EojbxzVPAuQAebVPKu7nehwAvPBotTl/FanlPY4jAbtF
JcjatZfYXdQAbLTSt8qdV7hpfKphRzD4D0VGFok3PtemXz2QlSI+V6EX7woXzT6m/4SIOiNc8spE
le+qpoZvrkUZRmppzDwyKiG7ncpK484kmzA7eqXyyTUV5Tc/15EWpjrss9JDF4CfotdWjdW5+nok
2MVqr1zAB8Vfuoz/lHXvlXWMBOhf/e9l3XXRqeanxKx//au/6zrvj2WOBAsLVdBS2vGCf1V2vv0H
fnOi0ZkwIZUAvfg/lR1EUwa1OjJMJGE+s5d/V3YmL0jvlOYwYhwKP9/4J5WddTHnRh9FPiUNLmQG
5En85G8DKDB0hTLqg8PCZeQQa8aDLkGWeL0qt0UVe+3KKYX+1mgi/CCkD2Moy8OjVivynHn+kxQg
gOPobr5Lzg333qAV73Fe/+CVGacHWRKbW+itHxiEddwaudZ9jWtyt0YZpc+2CU76DOVhrYcgx205
rnNT9OvFshsYkV4PuzZbcKwVuPsu78Z/pi/kDtiwJJap8WKtQQT549wj5rBGoVqWB46a4x1cfqZ5
U+czOWiXz8X7/m6J/Kpk/bFgPV+PdqVlM60mHW/JLf9ewWDCTBijJCkPg1aDY4lS3OgDE44QMNHv
r3Qx21quhIEQ3L7hkWlOq/XHK82gmrFuuSmRDtR+Jts3J0lH23lWqB57M7V3k4zDh99f9GJ6cb4o
Snj6BSwmxMrL338n0Ih1kxgiTp+HzmU/RIJP6guqBuGsu3Fx7/zzq6GvpduM6c/9yS0R+d6g8ixO
D4Y+OMkpr7MZuB8RDbdd6r8z8r4kVC4fDYn/MoJmNrMMp378aJjcUpklujpUckzB2ktq+TUDFCa6
DApXcpLjbUc5fz00Sb8n/bwtN6oBA/BPPzN2DYR/NmJ6/rw0bKRGI6as48RYYVriQdtMcCCiMPzg
u8T7vnOxn9eQo6PZRDaCKwtR3sUgvKZQttrajQ+lMc/3hVc361bjF0zsZyIP05njI3LoMO9c9+dl
BM7ZXeSprktL7NIOlkTxoCIXuXmORZ9DOd/mYHXM0nPVxf/sWsCmeX28LzqbKuaRyymYrbTB6KWv
Dop6HlzEJJJVqdfTVTQN1tPvv7yL/fZ8LXSU3EoPPBcmhR/XUJy11Cic3Q5g9AZjXXBaOKbK6t+b
ol62xZbP5DBc8V02GZar+eN1MIY2tVuM6hDqTh9zmqGeWNlTDnG+t5xHqVRGBBppaozgaCCFGyot
efr9Z71YO8tnJSeDjc5ABe/ql2uH4ixRldPyHvqFymD0Ff2GWYtOoTVlxwLaHRJLa3pnPz/fwu+b
lVwWtyQfHNM2z9BLVVUfuZzuQqEOEkLsSx272RGl13RTMmbY1VaZw+XQIFud9ZUigMY99YfBzcc/
iZGpaohCfnZMwpyUsWUkFBJHfAzxer4j/P7V+3T4Yhh5cDrANnTx00ocKxxmoWl7XFPu2zR1dh30
VUqZFaYuXh+SjmmWTbEmBKfwITnpPaCylZWH4aFLCvvKb/0QO6hn3fia24it28siBo7ji373+2/y
51W7aCPAM9BrpVa8fKu6n9MIAKBzyHzQZcRmemNC7dK0m99f5+JXz4rB+MlXRhWy6Ioun41KM7kp
WqMOxVBAX1MzhL48KZwrRjDO4++vdbmdny8mcLXydHTolV/qiSYP4a+Nt+BQFTWWKy/s1wQxANHi
p0IuRhkFCBunK6MbBQzdPNpR0rTv3Fisn8sv8cfl6iF4xg+K05rs1MsGdlqXmskvI9yLbqing0hN
NtPWH63yEHXlfM8UT39zJLw/pToAalMp0R8pldTeys1056qJ+vDod910B78HRloDZqUOqrQlON1M
svmUyoWXpirzYU6t8FsP4fQZyfJ8ImcJdpFf1RC0qhGYZAaAsq91NtwmG8wHp4Og6Eq4pS1ZfdeS
fONurZdq8e/BXJuiEH1GSsPpNqvRY6bhpL/NGsc4Zq4Uyf6Yh98yT3PKY46SdV7lJDHhJjfshlap
RMJiiUUCrYFb01d5ZdqvkujyL+BMrKfBsmC3jWGfaUEDTvtb2rf2sM5agvw2jRfLU2Txy7Ydthaj
7tUbONcIKmDkfKOzjFk8h+WrUY7pXoTU2Y+6rS5dezfYOoehXIzNn57ozE0eV+KTVw2194Cwi/XG
rz9Ktknhc3kyErV7D/3i0lPpxKcZzNp6RCp0AkhrbhoKXZDlOB42lRoaInaY7n1ASzGdeM6kz1U1
gelcbi98vHZj5lK/Ly3IN8diFqk8hEbkWkdTz+QpifwMesAsYzrN592qM6arup0XG7Ixap/zImFF
Fvpo6EGKhwlLdsm9mxxPNUGt6/KDPSr7pQNQioUk0vO7JWV8yVPhdQap5MltyVFsKgFwUEfZiuO+
nqKdP4NNXjHIdx4J8LSevLyvMSqiITxmlqneUoCiW6Mu7FfaTFpKhd+k9QoY9HzvDDS6gjapxzu9
r8ZbNTGUhKhqqM8pltLDSEjeM5YaG+vssg4zIryPXkfeDuQkTG3reTQ4wBhZMW/zPmUtiaydT9Ew
ofUKKb2m1ZncmTkag6M545zTSYiIQcwHoAsM6hCGFQtsQ8Bj+SrBujNr8Vi9TmKPd3VImti+k1QM
5ANqH1yyjpasV7CCkZbC+PFQMs006pj1j7eFllbbNqbbHw1zsYHb6wSTVtT3EcP5g+7V+RXDEzsg
7EqtgQvpJ8OCxtlVugtK3gk/RK3YFPYS1+rmyWniagFZ3OI2m8UugbMaVHk4krQdW588EmhXJYwI
vZjIx0o6a61r40zT0TQDgwH+1h/JPUQZnCYBd9V89lV/q6Icqqbhb2FoWVsUYMWReR3TFg0wWZIN
/qrK+Fhp4tWBTJKUSHnwRzC5GHs59qeamdOJSNjbemy9FRPxcd1Pnh3wwLG2TqWe3BBwA8RJ8wqN
V6B3iROUbT7sEj/Tg2Q2lnQu3WX+jTpW+fKhkdObX5qvZQfFN9Yyaz255DWZ9JwOmu59BIAVwvyw
yjSYRpTaYVeanzPLPs44u1e9qW6kC+8psd0PfR9eFbmIPraoIjYSmthRphkbsL2ckTJzunGVZZ3I
9qzuDZU2R613kvU8u9cAzyavXNlZLIiTXTaRqPkKarvcQ42Nu1Ue9mG1miIrPhqFDR801CJx3Tkp
b6hIbYt5+GTOT85sW9txSDHbtb3pX7WGUd1yULLlesDVsE6Enj7VJN0/0bIcHqfC4fxQNKUXrcp+
nk6o560lh15s7aTFjJ6p+jCm7nigWZxxUU7RINf0B88ZhgcxTNPGmrtuszx/yJECvoJmGSzpXdPS
FBT80tIDI0uOAmYC/7qeOIssYPg8yV0I6LpQbEX5QHQUbMaViHyxL2NKH1QICb7hKd/6s06va0Di
HcDlzm6hZT6LdK7WBoO2GxvHfBxERELH69YlJX7LTJMEK1yR2zxOnDu9G4GziS56aeNouLK6cd2q
cDjGQ6eTkusN/mcrHptw5eRmo4KeffKQ+7U8Ep9ELq45IH2dwb6VK0BkbbwWqXafTrXYZFP9MSdd
dqtnxJx1du59a/FXkAKXG+YHM3PECzhPf97pjtJIeB1Igys6zmP5WO3LefZvRq1y7+uUSRUgyjLQ
2krsqaD9vT8aENxLo6u/lmjSN+UQT8eqtU4CRu7JD+shDWzfuKaPnHOEycUOXr1/n4YV4MPQCi2K
/1jatClq44OmNLoPbeof+VLJ+HUIEuQhDAk113r7yzjrzb0gB/owVnmz9orKXHsuS4CgMlJ+w8jZ
DUJLty4JRviDlP2UkGl9h30bdHdoxIcwrswTd1CtLUByVR8au95xWNh+fnJpHwRh5pt3UZU6e7r7
1rUfEdNcQ/V8DJ3KWGfeUOxSfS636dx4r13LR2KjqYK+YcgHX7io1QoGI8jpPjdJwB4YDUUo259z
fbRuOt0rbvU55NjvW4W7KhsoG5spwZ9OeHef7tIkF5+cxKWJU1TR1ag5XrEGvZ4eJjjMX1vK8evW
Gjr0TdrorawS1XPAPJtnuu0P9dKZdG6o2FELIZWhADCKY2rAom77FsRsnKV3peu0t14zjnuraqQf
KN/bZ+NcHwYv11YIDbyrohrDU9wh2bGjPntLcqYnG6BL1Qtcq2rrunHyzXcyFQalYCSL94VeUpzW
z6KB6s9Lb2rgKSmT99lkiBDO/avOSALQrdbA2SnRbvJw1dsAPrCz8KO7K2wKKtALpvFOpzZJZn4Z
NL9E31MC3cTg3mxyiHAnxnfFm8CUeZxHrMMegLY7GrDzbnKIwWPw1t6hK23eYti+x7hCN5qyCdRJ
1AY9DMrEeQJ3DVL3C5GhcKvArI7ym9TIhW5Vk0p+2G1OmdRq3ypXAlB1SvNGDU73BIS+f7Nr5X2K
Or/OMVD6jORGffZofDsTcOIsoCOCy8O1pyPzVj/aZG7/MrXElZHAUJGIiIp9FVfL5HJIjIBTFIIH
cxK4eiq6GmYVkjqZjhbvqh33dh7rJ3tQKbmAA88MRllTFqRdh/2PzQlipxFX494Il+THmsj0dYtf
nO1smqNH6Ong10fHJMjSH3mMGHSHWJd05YOombUPKvV12LIF3xsPhZ2lL5biWYF1pTZapiPpOtcy
7kLtqc8QOlnKdJT0kxSlmSPqq8c9ztrwmfAG61UzS+2bifTjOvQIMXbyOQ6Mgpcd7dF/MnJYuWbn
1J/D0lYcJ4GTM4F/4mCMgSp0CURPqgfXeo6Y2aLyZXtFc86iyp51J9fhjWsPooc2HoOZD5AjbpFo
uas6Jz6NbMFsNXI4WQsh5crIa2LvqLFJNbOLwB/VW5KaMg8wRblwPNqCR2UEokAzt507fG1ny99R
y9tBxdBgm6DPDpLMPZpN5gQGLBzghh24Syh8cC+0tQhZzjqJI1eTk+262SBUlBeWBThSLMPJKsum
dGe3anysXFMGZudFpzjvv2klY4ZqzvKV2/fmUdHY3TR0s46qxsLo67QHzBEiolXW3a6UCwq+JWOQ
Gp+nDgchENOFvWl8VW0zvLzXejvG14kx7hI3WliZcgwwLbrI+MbbAVnSStqju3dq2MZ61nuUJuU6
7UhIIKYmvBuNRmeSFqOKa5uvba3B3198SYarmIJX/ud60rJtjRf+qi3pHcwMPuKhuYfI9qpcmxQV
OXFOAQKZNcdMqz4N2XzbJeGRdLmnsg5PbLk0jMjEIxJl/hZX0TOJXA/CzHclp+kgj9NXX1eoCBOa
lKL13wxHb8i9WFR+muE8FamqN3phvo2+wcGKzK61J81D6oI8BtUEDrREgSDgs0bul6yH6mFmdLVX
jkZFEA1d9zJb85exVwc37hCdiFQNweRP0YuOSA+LcO1B7a6ZfU2walWhrJ0xb/oKlm0/4h1p5bVT
Pele3yEMqvyNbNSjIHZqTxZNAtOy7z5qZu1txgGhVU8Nc911tbZHVbD8zCf96FhKfITunzNQqlxv
3cihPqjKpT06xEs5IXw57gryIDc6GgUbFKY7X7e9o9VbmY0PDmbIP3WX6dlRK1MaOnCKG9JFzN4c
rCum3wv+okJwcJea9fJ6ZpXErxNN54HGBVqxQ4Rc32f8njD+patpx+1Kj1NjazSoLAkXcYa9sOCH
3rSkW6p1oxVxBXmVpqnbDJScZ0Z+Z4afvCgh/AAePqsbc9OS++BRiEBASiUMpYKyKGLZQ+Zke6HP
tMw0pqILP535aaFWUWMsLJVYzeNNxTPu2avC6aTZDlWygjzeTpWr38Sao/oNOJf5Hqwp2xI0XSvI
jaU6MdTYf41nc7iN3cm41g0CFYyoTo6S+IBPUabR5I5sQQxJ47QbF39uSb8LYVxRDK5zamW/lLx+
C3ZcOmXzQp4RR4dUc/UdsQb1gbM9L625ubaRBQU641kkdsIgF0Af3Pazm2bmWtUc/1a2LO+ceg4S
QmAP51CGJVHmYCagsVRjgVCXDk0B1MEnrxP0CJZJzfl6fWlrmwnlyCF0SfegTuh3IBGyj+f/xPcy
80F3KfsLgdEE4M28N62EGIqspQYbazDzDM0Ap84ce/6VhuHNufvoJ9xMBMPgO2Vbbc+N4jIdGaOM
GJi6hL5xmqlSXykF/VrzeYuZHEiGmElCcDOneSlUywdQMV8t+8iMKq/DI61S42PWkZPC2RcHQIhF
/FA7+XiXjJx3Z03qsLg7SDvlNGHv0/lcdkYvvHQo+6pelkXgTHG146hGbd91qajXfRIOsKlnuiI0
L9kMOoPqREcLDmnNAesY6lnG+tdn7dovohIciaZ2OpBY6XnzlV/XDTG9QKRpyaA9J7UimskPSYbB
vk6rVr9xEIRcFTEk+2Z2aF6FgHzO605TxHwAiCHjYcbRk9a4WmTbkNXaj9ry/iRR1RrDY5oilFn3
abfck5RICiSi8z3f1XhTiJ7bRpMysI1yPp0DQIilBz7T5fNJTCHJxItlqijUvHVtVkBr67y23y8v
uKRWRCZOGF/23hopM/18UWIxy4X+MdP5JygQ6oPIl78tWu6WQS7KFBgWoTA9L7RB4OU7axJgcNgY
jh2vkzYB2Naw7iWRVNeGoM+6PjeeDBKxv82GTVMpZjVZMy8aj1rxSisxt9Y8zvun1kSHfU7U6GVY
vIZSH+8mtG7lSpP8hG2rYzY5tOExLI3iNRENorBqJMhgavpURzWQhsYDxQGfMEci2hEeHSWcgBfu
n58r85q6pX5p/eX2ZnqaHLuC29Q3hfkAvDjmpMUbNxvyGLI5K18rT3HpsWv6Y9pO4QH7Hwuy87Tm
dZ5IpNLpyLUV/86vVXLF5vvW/Td757Udt7Gl4SeCF1Ih3DY6MooUxXSDRQUiA4VQQAFPPx9oe45E
nZHG5/rc2JYlqhuhqvb+9x9EP0apldF6DPJLjdqGROyYNO+xIyUM447DMMQsds0KjNUc/pm0MXTj
sEsaIlUcIPBLWWEX0E1wWbFVWSwyumzruna8GK9ih28+0PmIbc12eDAdAfjBWDTYivUtmJA8XAgp
gBRQa4wRkVr0hBM+Umeev5ifE5MUGUaRRgNHRLKmm07E24buFAYg+2PocqcSLzHuFhqCVz+WXHA4
rO9gZ868eULGZ5DMqpg6gOwfw1fB1g982r4Ar+9vgUefHNFg6Mc3/3I9BkyhegryDigVxXhKWcHJ
KPP2wurH+iqdBnWXmVPwVY5u/Jo1GvawSMsZ90dOJjdDTT4LH/vvkMTq0xhinpkTp4k6uiNKeus3
ANzbklyD+U/4+b9Eh98QHWxMbRje/N9Eh8sX6r+X+uv3/PW/fugvnoMvVjKDv5qfYTCBXQiDrb94
Dn74B+MNARedkV4Axf1fNIfwD5/JYkBlu4r5Mbf8X5qD4/+xzlktKBO+6wOPO/+E5rBO1X7A2FfT
LMoLTBcx1v3JYLo2Sc2r0oIo1MQSCyMwt77A4XH+VMHiI41A/C4Y9aeBCSa+gPmg/Xxz+tx3o2Jw
gxTKrTcftUYAbxojATzelP1mevDTkI9LWjkL6KwQS/5Eyx9ED+4qUn2cByJJJlu3N0XTwSWAtbQz
jancWD2mN26bG7f95OtP370D/47JANfk/X1FXGCvM77A5hn/NGVUM9vl7A9HOFSlBkBLl33pcyaP
WKcSo512Z0Saox8lrAAYTIKyrChGhna6Zx/7CBBkJZuGdg0bDTRQUCnJDQmWqdjPdsGfJaKlqiKn
NJZxoyUJXpR9PZskvvjza4tp6K2TByCBZIYcU5egstj3WiAbdElEfs2HdXyQbWRizeiJWtSOG2aH
y9FstXVHbqe86miB7+h59IfBIdBx8nr5ElRVZhLGMM6vac8VjXU53pcKBnOf6/oitsgVJD4HpdnU
2PVFGpsYYmWzfIKtwg9OOgsvevb7HbPt+DYcQbW3Yy/N5sStqisIkgzaopgZsXMgiJvLNP3ehmCe
2XdzM7O76ia9FsQnYNQSYjvNaUAIhp91N005wrkbMVKK8oE48d7DK3hxdIY1STVtIXZ0Z4Wy2xvq
tfhsUb4+eK1VnlqMh3eWM4z3OY3YfZsv3keejr1b4GbsahvAV3m6/TI3UFESHy1yNtXzJ8Jtmyd4
4jyZFgXm0VszMP2Jg80Z6vDCg1N/JGp9fp2UnD+ZHT8ym13/4JGicBHrxD0RrGPdKUCqh3yY6gvd
NOFFVaG53qLXcnOAWyI2Np5azE2B3nzXy7iMpnq0d0Bqxa300nCjGJOQVdh0X9yYXyYFpCYi4XEj
OgI+kQjhqhYOKss5MIb54GWqPDUBD3f25QQzLqdD6B1c2KFKQkyRJEdxoAIg+4BXB8OKi9sEU2/A
urS9gnUhwMST8VthwsarScPCTcc02TSs5jnT7XiPAdpyGbYjf5WTzgeJ7GBjaa44nAx5FaM2izyj
FddGYo4gjlyL5+YhM720ikYyP6rNmNbjN6bj8wHBmnuduDyJGDvpjVvLeVvRPlYccIr7WlB+glKK
CD5iDlirKSEZ8cbxrWfG7RfsKJfLekrnTzbS2gPIKklBXVvsweKGr2buWXewrKctVCt6FYN72yc8
R9R73Or1FS1repoZrcR+IYwkARzgSbgeQQ8krc+vcBzlU5n48VnZF0+T0SsGiV11nQSvNN6UX5lR
eSmWGZWNjE08m8APq8pD3Sc27+bGNorsYBNdtHXd8tmN/RHs0JfM4gUv5VoS6ZQHRerZsI9bV15L
BgTX4TCJazXH1l2d9fJJCa95JlmGt9Wn5ersuHl2KjGf54QmftTBOgAwcuquoJ6al4TSBONvZzao
0cJi+3ZxQcoi6JveuNWzrIetzvLlEt+m/gHoE25uw4Bzgz1TCeZrEQVX5lXkTWZ2HBrbJyws1tmB
KDPIAaVn8piqQvnrEKt9tDLSuHJz9gl3sJ32avBIX7MfgiK0Cu9pbOpp+JJ1yn3KiE0pkuPoLLWL
8fpi1Dustyd1ObdTLM6mxFHuLcFpRGi5ev5kkdwXNZ5K640lNEbi7eLteQ8FkAnMQKYPemBrUvWV
apgTEN8TnrlG8WEwe+OmMctbQ6grt5LVHpayuFlomjbCB/vtRAKGHF8BmDB2wvXnmNhLeqrs4lMP
1WoH7VftlDt/zgImku6ovhapXZ2MOvkCRSE9pQsOcbWl5EUDz3hXilEDrSbDVyvr212S9ed6aOM9
mgvrTC9FuLXA/aPSFwm2pkl25S4M4MBUxznq6JC8PDgzCtlus7Ktl40M4/YERQD5haHBw0wCDKqs
gGVfleVrIhdmV7gKgd337hwheLydaz/b2ZURnudEbF5i2jURK8OCJZfNOs9msqxVGCQQbniQtjWa
JxMI/1j5dDVycIJdMxl2BPzIsqzXHFIT63LbqMzzSWThUSXWR6eKQ1opv7+w6tApdzb3/ksvp8mL
BEYVeJmjy4kRjwzjkbwtmBjWxMA2Bo/pQepq21S4uocWCGuIilPEXrud4/6L00zqkIiEM48DPNgT
9zRuUuS2u7z22lu4itbGGop+j48zOuO0MOg7Av0cQOnZTE6hz2u95n+URfFElEjjR5725gPDQnAm
36Otg3CB3+zoOlSIDu5wMJP2rhKOf8J5yDa3M5sIiYWFtPuNZF1dumUvz5mrEk5pm/YJF9V+66Qp
q6rf0Vi1mxoLlg1osjiTXqc/LZMD1XoNGMSW7jiVW2c0GoBgb3mRpSlO5HQtdzKXDZl5fXjUiwhP
lYrnD1nhLNsxVu1ZgfQl8uySSBavGDfllBQMxhz3xu8xnWri1Yc06YgrM2Wwb40R17V1ZD0JByFd
6OSPvpeQZWfOE+qpmeikcDT2iJ4aYLnqprQMznLajVOWOYDaeKlvEyMJ74nCtQ5lxhvvOU16CkYN
F3yK3csGLyCGJ5NxC9kguLLaZT5bSaIlU/KQMNLW66pvbtJeEVHuX4QaZW7kThOQb4mTNOO3tLiU
/WKdJP5rLdI8rzsvl9h5UtDQXfRPE/IeGxXueToz1YtyKze/SeJ+SnSBtae3Zm6OpwUVTCQrozso
NOBPU6kyBuZFll+4Q9J/qZzcYwTduyOefFaN+uOJwB6TWJOiJ+eqqQHmDF0Xez8V4+cmt5poKKe1
LpDtDbk45ZZA77rZBWhgzhF64eRPfFju8/pV6YmM7e4ibPvGjTq4+ygQG5GRIoZ6McqzRlzPdpwd
l7SWn21Jb8yMcS7WZ0Pjt5ZIee5wDq0shVz0yK5shulBLYevAUNEiRIKU429WfQcOOQBzK84awA3
zEZ8K5mksgagX1z4sSnjbSLWdjPNKoY0UlwvZETeGo2UXG7mpHsFoZ4cMJwKoooiL0WQqeVnLRV+
dyn2qyTzcToTlIBs6K34ajPbuiPRrf8qcz8PtrZIuT6rWv1l9DzbO8pQ76NGBNCTj9e2pE8ivdnm
qV2e4GnVFyXxjEfX7OGiNBObcZcn+aaSjE22qeg53MOqMW7rJFT3me0k10lFpVELT14ly9u3CNtH
B6VStonbdt2UITa8DgR8M1T3KU/CtrU+sA3WXx3p4YthwGfj1Ibj4yVsRJuq4+uswZCH1DLUfZoB
amys1ghqMPZuPiSVN5+bOAHsUjVO22QNbWootp6AnKuon9fyN/SaJ3/Q5YlxjLnB6gUr5krPr8Es
s4Ne4gZaTBYCeE5wMGYRmwzLpVOS7BK2v6PB/bseYiUI0i/5EPbe270w8CiaJDGGY2LY7VmMqdNa
Dvt11CLoJzZ3Le+dNtiOPJjnfu5IdptqbrYaxO8aGmtty37sE//8JhA2ALR+iuxRjdNU4BTD0c2o
/CNvUeLa9wZ7lwxEvs4uBWEacmeHBJTKTwhiyHtBGuDQPCdxzYtZI0/rnXE+ryfZPirlutdEN+tP
ExX3/tfd108uQqvHF6KB1UIDv+afon7wcyn80XD6o5GtNIYeFHaWLDTTypGgKd46jiJeMGvkjSfR
lxwSzql1kt685JK62Wfi+RvK5xun88c7iPYK4vf6pXyI9e8a34RsLzvMCOWpKodpIi6ma3CVai+W
yRgPXafSLVvzspuxnmHqrqigcknz6qfrMsUD+jaf3PaMkBUYTrFovqLx8W8CLyGRbCAtPTa6BquD
QfzOrxnLp58ePmz5APCCptpZ7ST5/e+Y60IZUFXmqTtqEtoihGQy37UVbh0N9BXuJVkNYer4r7Aw
xyOsy2RvWPYLsS0PBOg62E9SLhliSrZKVs3l2Nnu0yhJv8wWpzg3zcp5tnF/15fYTtfjOUGTARC8
VWwR9Sz7DAD7ULGVHJOQRHTTSkl20xX1almFFxSQjC+0M5/jaDshjSDRoVl3GNtVxu2YwDAzQMwg
2yWmIGLUdZEq9+yxngv9v58a6PiKDQyElZqdZpm+JCn4Qxhe8IZ0cLwgbay1uq6X9qYmyYE9hSy8
rUuI9iOicERPaK0/uswCdraOcULBdPciV4xVRuh3ZNel4/1K7iV3Rdjlc+fAHTwbysVHlRVPCTcp
gxhi6H7QO5EUqRkp6cQlIYsOEsguEnj99O6WC6rt+yYmVb1vHfI8fW8pkxPqumwbL+v/iCno463Z
I7uJ4sxDPItTdmCf43nYE/HnaMlpTE3fmWlew1lIueKkDtG1sgkTVK4p5X1YdBtjpsinnTaPdN9s
sYHbP5jkg0ZA6iLqBeSvqAqB2HVH4xakrvw856rYd9mQHdRIdWUWE28kE4xhm9aeuh+y8tnv6B8h
tsmnYCqdbNvNK99mvXfhmjd4tiyrK5VIjdsut52TxcFxUzhjdohxeK8jNLPlaYBt8aJhn724s0Vt
aJe2vWHZFntnCLoPdKLBxdyaiEAnmn6vrPuHGnbcAxI152RqdqNh7e1q5L1RCs9mityl1EwZy0nt
rSWpTsQl07XUvrOhdvJvKqdT96YFpRFMvnkRfce8w6XDkhbd87arF06AobF6pHQASm1byivGdeQl
xi67yRDXWLQFA51R7LqDT7bewhrpoThYG23xm4O5tF+aWnNXqgUSId3hRmTucsRZsz1rZQsqhzw9
3OhwPULTiu1SzD4AUGW3j4QjBBfWBMyCEDS8SCzZnWWzX194uMUcOg7QQ23aImqCerzHHJH2fpqz
Q7AiQIip5VVVgA/5GW1ygIv4K1PHZNllwSKfCq/6MGpffmb+SLttigSFkgu5cErxrHT5S2tjLZzX
b63dlcsVYCndRQ1OgBezM6E8WZeqXvd3syimLewF+SxarfYky+ZkbpqTvVNjBjKyNq+ZNmngU+22
N2bd8WSanFLk7SyWdVITo5bYMwJXoPW16AXXcZiFAqxydaU/ny8JIwM9gq69vYYMTygkkro1j1oZ
5CUnIB5OP7c3b4hP7fD6kE5VRh5Rz/AD6YJJd86wpaGgKnE+vFCxh2XrCg8YicFtcFs6WwBHbv0K
5C0ZUfcF3P1oStNXTEDmy4XlVkd6TihGJg0WFiSgV6bUxW0rXY1gmjEFfQolmWqYXbaKGOi0HnjE
yYSGXy9cEU6eNiDOwhLEZhUILoZnDLRjQjpUEAGQbQJnANxNu7pixSS6EsR9k3NPwWN2AF9jDzet
AxEkZbt9XNDTlhsxTO0X8vyg5prD/KlGa7WJ7a48GSu4Ap2PbY2OnsnoitSsI/JNQKkBX2nJ+Jsq
G7CnXdjiHIuPf8Nv3g5JXYDd1k3qQmw0vpnmspbLvsHjKyuKpbbHcvnPVxNKzR47hPJUN1Z8a1pl
fSEbu9i2wg0uoDm0j40Fhsb4G0wNQ//6YiJk5np06bSYLg1s7obdf21KTPZ1QrHTmW14Mfnss82U
cgtTgUTBrB0eSFFgHdLTPu16j/IcA4bwYn2f227dhoky6uHNlyCSYeZT8xYdP84hOp9nCALv0hX1
pi5ZTwEatGcr4JVwF9V/VS2DuNSKk2sfAjrk3/X9IWGYyGBwyNLjcuIV/Xorb4MQhJRI5uK2wj9i
v9IStx4G0XdvZ4M1AAHDPkmvfbZ8cKfVBsIQ7rWfGGjmwykMLtqQMqSdC/sO/vsYhRVDLA+5AQ5J
PPjUy6076REinikeZAhAfJpLs75YHFVfCJsitlqfQUp5+NRjgy733dJQnE8Wuxm8sft5okyWBfic
2ZT2HVR+Nlv2scemD+QT+jjGtFgORm+Q4DgAWgbksJ8lmFIxraT87NlNZESbU+xX4cO+bTTFyUCz
U7GwCX91QEGbkkUxm2PzjCAagHoCM3aymFZhoHB2vJakJ8DlHYc9L8/bNqt97gbIETxvnKUe6Opn
uIN2tfYTUN7PdOfAYga0+YQUn8Eb5hAzBL+Rm2myvaUj66iAkvZgeqOkx3N41wwzvtUTeJld6io7
1ejnzyZZAiKuWyURTvauK5ziegmI+S29TIB6Qd912pDzIQUyYU12oNP1wLwXwyLrzml99c1fucsD
Xx2GbcHCzUKaEKbH8jOZ7pQcbb/gCVazyDKZpdcQz5/HUXDXELg4JywoWCpjwT0YSpNuaJzaR6qS
3N0ozbB3Q6RvSN2iRHbFXJlNdoJUct80MRXkPM7bUfHA54BEncIGUn/75dvCnKucI8aA8/lFTJyp
aE3dU70M+oO2jXlfpXkGvaVhQWdUlYkv2GRwH0yuXeljurqIbLmU3kJHNvnzngSUV+UujQfThgb2
DSheqYSuTWc6rVXArFtaMkjK6gCQwBVPCDZyAmAD9wneUIqbHMXsAKCyU4Jx66aAk3U2xMNfzuf/
HVX+dlQpXKaEvxpV9v3Ll1RBGBv6H+eVbz/517zSC/8IcYWyMNsB7cI6iwne3/NK5w9heo4QaB4Z
FQqHRuFvD0P7bSqJtSHmh2sAKj3CX45brvWH7azO2jSxHrsQA9B/4Lj1XggV8AmoETGm5Vzg272T
74XOTLK3NOQRv7jXlFL/QDR2vJpj/M5y9999kk2qCRIkBl4/WfaXNQmWa7l6DGwsEYiif5Z1oze4
H6jou+fw4c8m8Aevrnf91XpNfAbkZQJA0D+u3+S7/grLl3jpsC46DlOhoEKY1/2In5PXLvf/+IMA
EmyCoPg4k8/68YNGjETDpluQALCei7J4xQ7wNeff/8nHCKTHPk/8p2c0MHrrU6ElPekU7sKA4eKq
to4Knf0Ht453Fdk/kYGM0N+khN/fOmlWbpNyRSN8/wuNNgNWvE0NWOe/uSjv54eE5QAekzwnEpne
iyf9ETkNvkfymE5wpDw1386JvreM+V6OsHd+fQffwy28EZDi0RMiewPAeC+9h2LZsDYbeQRqBOTj
KDnmsPI2jZG9INuCyewikbfm+J9HmvDBLhGCq4AagfG75eV1Dd0w6OUR6KH5qLAagNttFPeE+jqb
X1/jeybA2zUCibArYKDNqv7xZVxUrmYSOyXxei1RycxJd9jHxR9//Sn/ZhUTnf2vT1mxje9ekJVh
MRoM9Y5GqAW0JH0/VphAYvX2H9267z7p3a2bkJw3DMR5QUo1bz2dvyxIp6L/x/J6swr4HkviW+Mi
G/Bm+KFL0Or6rn53UU1ciaBqZIVhsN1spTka6N0kZ/viVvMuZOy+tcLOwsxNiKPZ6Wabl05ILePW
Z/AiIKhP9B+7gKi2qGMQ9+UNRvbz2MGtyLT2yi9eUUA5p2SxxkvpI2dBYdF7GzsEY2okfwQPoWpH
m28zHnfE0ddtdTN3of1Q+HZzEnEeP48VBcpUaXGM/YV5xVyHhynnfS587SUArnj4bADdQDBbasth
IGVPFWW9w8e6/jgYuXtmhsv0pY3Z5a3B47t7Fp+Su805Mpoxj1I/SJvd7JZYLBapAcGT72PgsPxS
xVx0gaRi34SJvGaQ12wHYmtxqnfiGBMxXBDIGncG6OUxlXFrMg3LWxB1A9lpVJlc3VKxcSGfGiLw
cRsCBZtLmmT1zvM4AhBKWnv87xuEC6HlnLkVZSTZVM05ugmMDyrKnSBEaIn1nf2QpKM414mVPydB
U957E4hS2zvyqfUq+yHm2uXGn8BGZOWqhe80xkRa+jIcsPyZWevac+lnDXq5+35CjErRXd1A3Rue
Y27NeZq38tpT+atp8UxV7tkPVZC96n6KPw7e0pymdWtM+745n8t1xtBRbsLHDjEc+pBnnr4l4to9
saMPEdSQ7DAmpbOhDMioQW1Vw3NDBr1xFXPKBFELRN+kfsWuy7pCTcZNVCXpJ7Yxgda/vfZln6Bn
M+PgAi1bvStwWnogZiePFhduetXK5C5Y7LVF97PiOVwg6VXthJRGpDkj/gGletQsnVceMqaE8tIC
Vwq3XhqPj2ksjXDHwLIPkNOgINx4IAYXhLsvD4FRizumO9UrPmXNGdc472qmrivFuj26EInvG5yX
7hx0OHkkqNCzqIMeU2Bzl47NXmlAxU5LhxAYm0cwxLpAh4bmudkYSWEgLvDC+77tWHYuNFhEKxxx
yxwGdDtyVBtRTjK9J6ovGQ8qqPOXcMIGCr7eeEk0NpyeLERF1I+xpm4Ox8elW4oDWeoDWUZGZ2f7
XDpi2S2Qd9oN3muT2sDstj4voey/2gtryzUY/G3LSfSfRow0npIcGqk/l+yhAGFi0wHXnkFGyxgC
TkjFrIInIdKkeG4Tuz7D4LIGQO3tCG7/Kw1ICG8HsS1fBPJ5Us1bY+7pR1LoC1cJLpQ7bCfDQ27w
hJTD0YfIAPAsoAMXiJI/5mOHtC6VOv1Wy1Ac68IDT/NS6PKupR5lP48HQo5gXoaKF2FBxHSG4RWM
9dWZ1xiYQVrlIeySb4Pq/G3a649oFaEXjAiX5+ysqj1gohipA0ehf5MqFiXDZr0DQhgvx6ELd0nB
OseXOIZL6RcPAezfczPUe3RfmMktWg5RNRV9gccU7svOUPJSsyvqD2kJqaRWeXjtUFQypmPVFwob
0hE9NjhxPu+Wjt0NScd4sNZzV7pct13lL1lvBNcB0XQvpe6DG2ccLFIoJtAE3EfPtOKNIn48flYh
1AmznJvtSDbWTvQLy6hCs0Cco5q+9EYHVz/p2XNStwhuLK9rAZTLFyRvQBwd+4dHrPfNksE6tdEl
b2MfuexGOCq4iZuiA/1T7GRvlRa6pxbtW6W2OeYIUWWrZutNfHQHMHfM+mBgzG9NX1LCh2Rd1psk
7E3eYIhOXVZeO3Jo9unkBDyESl737VpXN3ZzXlqSl4nOE/PNynJJROLuZHEIluABtLztupDUnoYi
sL6ZE7vVuL4jwlysqyIesqtc6GQ/4qnDHkclsTGMQVzlidj3DFqisekwvHQWdsSh0dG4eM0n6ETh
9eLHNQouv4tco58ixRPGNtDsOtJevfpulEkM07auMaFQ1U2v2HuMhN1jCln0xYj9zIgn2t5BNQoS
OGZXTmybn0NLDedALdSjjboOir489p45HvKUuJIqTIzLocuuHaxHHo08769nnQ6Xcb48ZKYzQV+B
hhbMhGG7iyWOC1YMwMnYzkmjiz+UxZPfdtWWAexrk8RJhNToE+v5vhtNZE1Bg4AhqdCymQ7xXzMc
CI5F/BM897MhGjTJPofeGrhxMrIUmXzNztvV7DhmFUBYMi1Y+wuPVP65yXpuTwwIz2BP74V8zNNw
bwLyrDC31epI7onbHQC7NzZQ7LQZ+jBHwFWWbGY5TV7LK5KH1eolVax2MiaCJsh0CAq6qkMk3S64
2EonqxiEwt6HnjG11UZW9qe+squzqXUwK/EHU4IvQ1fAgFBtlUXuSgkMpskSPZ8nGzUCh0/Zsf9V
/hTftqDZxA0WeWoc3Gys0jNc9hwM4+BRj8EZtJoGBb6nHMwIqcUJudgsYee/9nOeBpsA2/RvUkC0
sbLEP2kwbMiGc9itSI0wARw1+/ocrBEK0dANw4fa8/Hiy10VYlwbJPlukGnnMjlV1sjU1+qfg8Is
YBTp8uOUOxo+oeUBNFFcQ3aQ/jye1WVebJFofHYDhZw4h0Aw41LsCmInbI/1xcYx3uCbaqzSdwMy
ml9pzmp7PrBObWfT5EyLFT6DR7slDFe38UuRimLnk8q2eyOBYXmHnGOw9RWOgYixQTjNbe3aCivL
0lmuWK7JlwRDMbUprN4AgkZBkpeGccq0MIO9n1Tsb67H9u0mVCd0S5hNTy5hRFvJBR8LJiLMambx
OweUn9MrMFuDkWyaoWDkiqv2j8VovyyJq3qzPIJMsd/YE+6fiUKKE3TUCQOl5dXsGIj/7IW6ogi7
5pwFL84Hp4KdYoW/a9TgZ8sfiuP1+4AQkJm7hh68Ny3yExvrTbbQY1dZ98oEQyzYUycfu7pS3cYz
x9yvW4yfOsNwjaCz+STsIdf4hnc3AGlMlQAlIjSjCKtjFXNAcRzXddqcG+7cnH79eT9Heq0f6GPN
Am3bcX4KKK07ChzXK4hyxp7D2LBLNNusx0NkC5n7BQufcFfg+3DtiWD68HbsYBpDfl1qT9Yevp8R
xUUpXpqlHQ+651z/9ff7OaeG74eVEyyslff+U1MudYbPCIL7Y1pV7pka++q1cbDT3kzD1KMHRZxP
6iiKGzJVcmu4Wl2FN1bBN5YWhTY0yhdKmfossGE3zDadZ59J6MHlrMS5a0Mirru8A9HvQ2TTLfOC
gYn4MYnZlR1N47pz/Sr+6Lim+0LSA7SZkH8csPn3b+BOcgDHsyZWMsvy57dTsa7NMIimpbB/Gx60
drHv3kZMwjwstDxPQCp793IkCnYqp1dxHMjMRP/YNxukoRivOO5ji7ruyGwdohosmr1APhRhhflP
g78xuyeoC8Lr6nSHquDH15PYyckjBys7hvTbB4G9+DnuEb/bBn5CLPgUgAqb1D5S5vz3QIzK1Bh7
dZMdPZfi2SMDnKB3DwE5LJZk4xUNuqSc5oEJ2Pj46/fN/vkeU6LArgjWzF5CdN+1w7hpuWNXTiTZ
9VMSM8KDI2XEcfhcKUpjpK5ivg4NEd5j03NfhHOL3FdM6BpHkURDU6c4qicdHqQtElwHSouknMRV
+Ej9zTAYytjXNl41m0ZMCPCf4N9/8erf4dWWFfKgfoFXZ19IdX6pf4Cq//yhvy1E7T8Qd7Dn/p0O
4fwvVB2af7hoBULhAp6ZwvVQiPwNVQd/kHqMOAO3CCTwb05z/4KqvVCsZlM0uiwaX/wTqPp9hjjI
luU4Ltw37B5d0o/fvZeI8SD8lr11XjP4HLCgwGRGHzsBUAD5oiZssknnqrnIC8uYKHlxOIbskiII
7kMpXvwMhwoLJmq+lkci95aZXGiX4JTzxF4dh6DCsbaw2UBH8t2d/jeI9LsjDWcFvnDArTXZOATb
xo97RtArHF+6BWto+Fy3VlobkaBMu5hH32QQNdMZ//oDOZh/3ChX4z+ToYNLPgHAFvfsx480stKR
hmqSc1DJC/SVRh6VI2fLgVTipEUE0Rrt0epM+I3EYrc6Uu7ou8fQY+PZiyS1mhPWdgAKy+hzV2ov
BkexB09/COoMDnqDQeqHdJ3vlrY1LAc3rpvzvLfiDmp2zRlhFXHnbdoOP65IaAVDFF967rXhjfoW
gxj6PkyUX4ZaNj0uEQEfFQJHJLvOj9emQ8SIZSfPAJXweCIU10Ov1J58yxnTIxQsHTKTlo2fo7dz
KIVm1wi73TJI66oLwDEiP8nmhLyHcEp2gDqIm1O3hOCeJvadBZ0BdyG/59r6DtKikc76Q+JNfA1t
Z4HeOcKWT/Y4FQtDYrtNrwkD4hthbOqcKHpS/alDEkW8bWtAe7Pz1OqJcGMicUXwsW/sPX/25KPN
8Dg9G7qe9y9BJQ2c5ovxdulqBsROaesHGVi4bjn2wJ3Lerw/IT03ujl1EnlQNHYFPxR7MMDoHUZ+
VyoMenbYznOC66WFdGSYeZ6uZB0QxaarV24qnO0syotavGCCFd+rmZ5nVNiCMAnHPGPbZt4NUbP8
1WbfcpPwfuIpeC6jrscUVYw8ugva5B330VGRyFZpaIZxFSoXATvu47w0PNbRFrZ1TtRkmZ4t6yPx
15sTtlnB85NOcx62BthKVg6kUi3jOF2meF7dGIEJyRyADEcWGKEBNB+M4Hc9LgxM/ZEz0GB4/uRv
m9Eud2g5EqJQWmvlMuv5DpbkcMXpQ29W5TEMmoVQ25ckH8TlPCfevTH61tU0yvIDHvbJiw04cgQ4
doMos2v/pU6K8UE6mFpAUOKVTScYliO+BkGU5mtNX5UxViq29gT8MXwL7g18mYYbG49AfMxHn9dm
7Hxu75RVXneNM4Ugu1AkRk3WpmodDFpnN0gXB9TANbB1qTTPLnMoEl7nfFbyif+s8lc8//RtVplA
HB55f1GT8I70zOtVROds3aFL4/GUBS5EG4MQCA+m+FICo/qNfOLOsLgQQLMoC9lM8b43MVV6xExM
31LNsxAM0qb0MbOl7R0K5t7nAvWF3MS6p98fczDLPLb1B4YX7VGly6wvnFpx6/1G8SmAZPmysVht
4Q5pIffFD1dSsBL0G8iD7e6uWBbDuDcU6SwXA7lP3YdZw2snFsNh+10q2shPmWtWxW2M6/kRjmHX
AoY6zmlBIT5ulrniXtJTci+1OVF2hmHCjWAG1R3jMkDn57KrpGeyRZoYvb3IhTZ4cA28/G7rjeui
GDqIDhs9QfFjM2/su0wZqLYYCKXeoy4DZV/nMWQUyEPWm3v/ZGEHFlA8BqtPAKZoSa6Pfpx0+XNn
dRAIN0IhMnHiYCgeOnYIK0WWQ+rEdVPVtRdQ2xhxuPPLxCAxpSCjdQPTMz/rW6y5oB101lWOz4p+
CFTcFt+EX9s2GNRMlMmuMkfbvq44fxby1xQcwFNc21ghbIjYMM1TajtgBMJa8X2DfHhkYAt8lCwJ
rmq8Vx/FqGJgXOujPyaaVJj/Ye/MdutGtmz7K+cHmGCwJ3BxH8jdb2lbkiVb8gshuSEZbIM9+fV3
UM68SMun7MpCPR4gH5ywJe6GjIi11pxjFlX/gJFP26K6TfAr121o9nFyNHM/wqMXpTAs0mEMhClm
e5O4hX2g8+OsuexSaSltdErNnUUDoCQfpJ7BqOXwjera0z+0oIBCs9A/abR6gg5CXJDNZRekyTh5
B5EZ8UveRu7XKTYjbDpN+a7LnSvQkmreZnkz3TqVG3+yzaHcFmxSG4595h1Dt/KTsJJiZ5Q67SZ3
KQA54P6/8WMYSW6dUZ0YRPhcp3WcPxiydQNfb7vdonW0AIYJ7n2DpI6hU/1uyJfiyqbDse1Rnt2y
rNefpN8n7wcrvxldfZL7RrXWTs1qAgZSlfsB9Mn7uHXyh7Gw2njXdCWmATYwmENqAbziZzs8qLAZ
1Qi9NXfp3qSDWd2z6dSPpV3UyUYubUm6ml59TBzoI4Kthz6PY/dlCMdsutTOZEIFGYpNHLntt7QB
bZCjzz4Yi4x3IwrLix23rrVJoP3MWAE4DmxWJgYN2aLae7ma1ymXWR3dZDJ2sS1uZVTVe52c0E3D
e3xEYEX3CU+bcyypv4btXLj9RXVW9N6vE2evtUu2s2GbhJrUFo+QUse5aNAyzizY84F07vk4asIn
aTcbAfE1Tdghhw1VP0v0c61zP6TD8kXXc3mGZ7qcm7Lx89+MZN+0FTifuAjxmbquNb5J7f3j+URV
hUm0APKnqatpp5RrW3c02YQsjZYwxpTqDMyuOfz6XPRmSPp61TWCFGu2MFy4dj9e1YqWxE1G2z8p
JEVPOBZZGOrO4Izx6+u8GZO+XgergcNx2cBu/pYqDR/X6Vs/jk4WfXLWVL1hzV5VqfYUsWD884ut
I18+ToEy5C0uXPAMazGHwJOXMzypVvXgqz5AS3t/++tL/XyQpUeCsJWzuA4c6u0gXQEArLVJd04m
YJpLuarSbBK66QR21bl10XH/4+tBAgYtLzD6Y+V+M9QWXsVjmxf2aZmS6MP3LQi4KTuGXa5TlTad
+Xh/fc03pTffHW9upQLjd+fLe3tYn4vY6vyms05oPjlduSgxU44l1KpIo1c6hYW+xQy1YuDPOj3t
6R/fpAwCbT5nHTyxAYP9x5u0Ki2lTzmq9r5Pm8M4ImybxFj9JuX850eBq7gCRwfJKNAD3jyAeWSM
ZQQ1/gRuqznMKWJF1/tt0Pa/uwoFpWfbq+7ip36N05mGsjXey6vywkmZICFA/R/cJjbBFxAQqHZW
HMKPn1immA6D6bBPRoScFjoQN8UwAyLYIukQl66ehuU3Jd3P6xdrOmsYb8tak8vffHww3qJ5zB3r
pFWR8yiQnjKeHTiK9Dn9whLFrxE47cIt8uu78+eVhRRlJDOCd0uc8tu36tPuh8ZoG7jveboj4rbO
nYNgZpForH99qX/zFrk5kDZxBke98naxdHHWcqnCQB+6KhILUZ2Xlglpbq0N8LWCm9a75tcX/Xfv
j5QFD2GbTYvPfLNCD6jWzYRsyFPuIGMpC1QTue4lewqd3z7pr120v3UTedR9uhPQaizXd72fn7R1
7KqznjCtbZGUSlHYwG1cPb8DttoQRIR2h+Ymx+Rp5FzH7G9uL4PCwbmjCWlRXFQMLPEYfBEIOTl1
LiXzfy9z6vw3H8vPCy+2EtNd9VIomMRbqVmZ2mOKbZE7vKCFTYgHIuSVcNQGUJ641aTPsf7X38Tb
MM7XT8flqVpbkejc3vYB45x+ScQed9I8jbPu5JnUDx2ezi/EULBlwpBa73eZiovqc/WEEHcRGzP1
pzvVGirfq7hfVnommvYOf0nyjzcHhgMoJ9GpmXx3r33Mv8l2dGiegJ546ovF49Ct2/KTiBnWt7lZ
pih79d+1cX66NxEVrk8DrRxuUczhPy4zCmImh/55OYETsp5bPDwymFXJbTqt/fRff/z/7mL0jUwa
3T5LzdtdADWHr8fKn09TzGhdlrj/8SJR5dh6TZX064v9tEzzzjxyN4QOHYfl7M1TV2SaqNtIn09O
ZFNYxikYfpiSCVXiry9kvDG/IYVluVwPD+gZ2dLfnoxyM0knp3ZHThBN0t7o1HB9qHltlz1EMBnb
cy0HOiFWjI0hGRMGf3ntmg295HUbrNR0l6QZfQJtpFhi3oi1ZnEZYeuaQyuLrpe50/O1+zEqcG37
kenVTVditS7+6ULsEGRE7C25CgD1fzoKpSU0CBdC4MlYGGGPDI3OeHnSfazP//jUxaW4ByxGAbT0
fhpQYQI1umHC4NAgJ8Y0IHn/qoLTqAG9O4N0/W3/cN29/rYw0vNnPTR49BkCIEB++y2VS2EK1djW
yVGT9ZVM4OFETrn/4bUh4rgtXR215IArp8n4zUpnvL1FrFWkiVjT5Mrr0GuNdv+7HM/K0TggtQGk
DfOiWLCpE3oK2geXrGmE4xR5L9gZM2szVMybL36MGqM0mzg9GN2MmAMY7Xyn9wVdxCVb+zWqcdfC
oieHNnj1CTSF00r87iK9cbtZK/lNY2offCRJTKozz6xubdkiM1hvr5wYX3i7XSPq0wAktA3wV0w3
9jjRGmsj5sfnjMYREg41xO7Gi5lCXxP5njUbyI3F7Ui34dI4nQYeNnVuqlloy75yS+bLQweJQncB
JFzRltbLsHXt3gdm2tRXXQYwDrVbvWDBnNVCAb2kJ5x9IsT2Y/eY8kSi4HP0KrU7et/6AJTEXOSq
qs6FpHnU1yIXX0bgnzTFNVyAEGLrtRkKDiC5GeaJP7sAK6ujU9GiRDXkR8nBGTKqolIt/O2i3D8P
n7AM6bz4+XquUTXPWlLmNmikklBB6JDxKm2dm8nPjrGnTXf1tBTJDUKlvLrKYjV0ty36n2KDooin
uxJFnd1VC4qWTdN3Qu2YCE93mY7UOHacKrtDh9B+IZ6VdwH4wV6+mk7ZW9eNEmsrasz5mjG48YO8
dfvZxqi9vK8RNjOqNaR1NaxoAzoaECh2KdzAaefUuDA39EHoXHVLQiPcK2ZA2ugX+Y1kSEWIwkYi
etUke+39VKVcWmULu5avoxxQQZKbLamS42B3dyLVYPBm3C7JDfUqPj0xuwAHUBBax2FoCHLYYNzR
wqUuMco5Bku4vcTcQSUsToSf7pi6VxY07vGYYG2DnD8JFDVVk9PT8uq+XfZTTg0bMJ6ly4gAYGru
RWk3OW5DmxusTJBXX7S0YW94PQfQs+fuw7ZHqyFxmMKdsKBj5I1ohHiKbls1ffO7JbrBlIuy9bUF
Z+c9L8ZMJnFvScN+TqMkieA7tuiyvz9Wzqra01dvzehCwHouAWU2NOdncS8mkTAFZVdUZJihrQgb
x+YuUt7qQUpym8/VaNeeOeHM/Qvi5HHYTWgjb76PZgjaeo5scz1IxBZnO3IKEZoKuXZiG9rzQS0p
fzDQ0oF/3f5cp6fJmNC7cq9sl3lEkOnpJGGAZnp7RmrEY1rUGpOGfLb4YEnYBbYvfSNOb9tS8UKE
Tu9kV+dGe1cuQk2f+sk1NVAgrp1ld17lT/21PeXi3pGytMIe+Nb81dOYZGzRixvW7SxqusDJzNnY
5Pkb3YL9mDEAiNmEdgX3isU0B2Wo1ZnuRw7mWceUmvQjhrg5wEe4KlGEbiNkCbch/TYt3fo5NxES
0EFbPFoSCN5Oha5PtNrokHceDbKlH+T4fcf/z5z0d3NS6iaOWv/1nPTydXj+8vzDlPT7j/w5JRXC
+mMN1QM9SE/l1X/zl6FHrCfCv8aixh/6iuZzHcOy2bUFE9M/x6ImCEOKGwgAHmpzyHP/yMGD6uDH
zRpJiLtehqqQ4ynjozfTxaSzpqFsavIHotbFhWjZx9kUGo3kJYe8k6C73kx1dcL4QZ5wJdSw1ZeY
JHTHy/e90aorwBu98cg0K4P6mjfJWU0Dea1GrSbi9BrG/OZgDY9dho6ti2fMoTVFUegP3sBAqpNw
rqDHo9AdZ3HXAwR4KodoeLewn0z4GUtUt9lCDG2gCEfYpYWVHVxYPjxgGRpft567vcPWVAVEDhH4
BEoE3CuiMMYT8+w6u2TyxvjgW2LpScWRyNN7chmCfM6yLwSlKiJL7KEIRmYt7yLsqExxQWzpG6hU
JLEwacrcYzU3FiBf0U/1vkVTp2NfpsW9mkZnkPq2mo/McGy5Ae48kZrKC+RsFS2I6kmELMxbw6ur
W9+S8d0is+GdykdWKDfvNpxSif6J4Pjt5di4h8LPSxUiqwd5xROMtdLrs3KD2Jxe5zVpOQ8oIsjf
qDcj1oJOHSJhp/2+iIzYdPeezRR65zaU+aStyqIpCUWB1HsxaZaXIkRmoR2tVlQI0OtY4R6XlEgl
+bwpiOd8+tjWuUWrfcAqGzSmI2p052kE0DdTg+UzhAA27geAkppiV3s1ySI9U3eEGOjvZPQuErO2
GyI8+GNot/Rv+DB7lNFXTJhI3YmVjvD6AJZGRPg/kjzaKKsd1hsH6yghBTYG74lc5QCwPN7UU9f1
fa1fYObIzmzQYLfDuGBUGI2xFY9xlBjG8jSl+Vw2X7pRdQXEbUZLeXT7+hT/Z8H73YKHhJBy7r9e
8K7TsvzaVt2Pa973n/pLGQJZ1TPplKD/WN1af4Ou+u6rHVF3vFfxh+2wOv21BPp/gCRFSGTRBKdX
5VJl/KUMMUG1+gCEaWMBleE3/yNlCAjSN2ugL+j6GS5NW16gbog3pbmJDqrorFI/l7pWJaoHqeBo
G5AQEQg8MdXbzCJyPpjNoW52UJ0FFL26M79OUw78oVjSksH63F7jErb8KgDMsnycltyyIPlTTm64
V19iz4gfiglsAYmR9scBAsU13LjuhlAYLdqllbRhjCIvJ1mKvwwHZ/LrvSaT7NB0sjy7Ejs3/p3b
vOnMF20EInZm/D6B+XOM7mqQUOYezCzq3at2UQvgEuL5CDu3CrP/Il/VKkY7IQYAewwcaLfMsKGW
rJ03ZqObuHfM/gkF/chwvQdHep2ZKUZ81RRuvcv4bt+zJhZOaBq4PLZ1HqUPIpmRcjPwX8ImlcyT
wOcCiWgq9d6xeuPYul2yNyb5JacRsU3ddMWpqlSS6mQYe2mk9zMe7xtHItk48E/Ma9BeUQE9Eqd6
V5odzzuq0m0ntOeJqKzA02UxAgVxORlDuNsqep1I1LFtb5jMKHu70Fe7E3puXw8+A3jR9a449r6v
aHMufvRhKTz3fb3GYDXdbHhHfGemRlZ6bedrdh9HUbeJ5OOAiXqrmQbxFogq+QzqgVVsKk8OKdyE
PLgof/piTNdSLkIMM8/jueu72CMhu062buosd6qMrVTfRzHj6EyA0+sa2uNGNx5mAsHKDd1y0pSs
SMmdN0fRwSI/6rFeTLAiS6st937u5lbQxaObHixyqvIPKRtB+RCTSkgcRk9RMWnbEVRf2+4ZBs96
e4SVUBaYpHI7Fc8ElzQx3xwpKrad+9uiZUuGfHFZUI5vJz3COoUT5siw7s5LIgfUOhk0WVaNMkxt
MHEWGxdcA7/DxAKWKcgXzUyD1jagKS7RAHLNq4kZcu8ztvnCNo5x31zbsyeDZVzImKvW/CYVQnja
g9uITm5W7kpK8QdNS24nFMNBw2V28TJ1Aea0J7JxiRFw02gXDfN7xoftUYEf2oIjk1eq0IgTt61s
10XKOPkaB9yM+n3bsu0EBaFyJ4ve+W70KkBx+bwcdcWjaTi58eDPxqeyI0NMidgNZNJpOAHksCPK
q+tOEJ/lkTL0paF8OjWpFZ8Vo1hiuwp9CzBuj14gbK2631mko2UoKjZpoZVhrDRfQ54ukzBOkq/2
oh4xoUE+ZNyKW1gHYmE1cPMwaENk6uf4qrRJ42LmVO/BsLzvUiLaBaHWAXNVQt0bKW549fIs7ZnT
V8Ruf0TRRobt6ovxSO1BV56MB1UPePaoCMD5QzRWCrOA/V6Z+V3mpVeLiCjEex0Q7XKfOt2+0lvi
6uPxjjgUkANEM3j6vI1B6DWxk4TeYD20Su29ebqWsCzBIvXTrqnzbjtEC2FMkfXBwQ0SjKSXkIGX
f80tuCZGOTrYGJP+faqV154SIvQ7OA8Qr1gEU+/aqvEYyWJidO75IiBF3LrVoYRui6kpUYMMI/dW
3YqS78PZU+iRy5T4/cFr8s+LO6OLMnT/5LBcnvoGicAUmfKS+J2EYWCSduam4jZO1O0g2y0xihtv
qcrLRHDHc76uZlkfuZxcZKud69qw7lJDOaeq7pKQL4wabqp9vCHJo6611G/G9C3pCiL13JaeTKry
AF7TzIkm8k/IdM1ty7J+25njGpTh+MdMuneR09yi+9F3LBNEQEltdMM2c7qPrCv9xhjcaAhqs5MX
afRkWnRZt9f5onZ6pXpG+HZyZ06Tf91MOnIurSPWqXiCN2SEaBBwuRS7EmJxMMnaDciwuCN8gdUF
3T6GdLmDW2jy8kg7TKwUxlXC7qCiEGsaEQeyu8/xfe2MYonej9l4XWuqCSfRyQd0fA825K4g14bn
dvEfnRh4JuBa7uO+BiCcg+80xh18kmPlyL1vSHD6EJAvhojVfvSazyXw/y2ZHu1B74z7OnIzbuCM
0W2R5MPZVqN+SYR51/v1Vd4mH5zMAJkESU2vrDlgpd1iU/xk+SNaE8sOs3UtrTXvxmvNfZvK6W7i
q8PWMsQgKZ3F+5RFsXjMbc/ZNKbLo6aRE0juOgkSw3ZQ2Yl2YLezB2WciX/2AlKYU3RCPtFO2Zx7
e5w3yzGpukNXy9OQRtketEcaxr5Wo83QCFvJ8nCJfAwS+DM4rFu99dnS+L4g8GjeZSag7jYpVvqM
26hr8JbEvY0DEUDSTl7qybHC0eivplSxJ4z5g7CGQwmg1B8WNlbpY41suvcDgx/05cXnYSoPvjc/
kt2abwfeD0qpKgst203PwwxnC5vEzgIyZ4QxoSaXCRYQ4LCIQKKettPZTu14N2vmHLR9bD6ROVff
0S7PykBDjVJvvYyVaSjM8ibWBjwoVcMJv2NfqwFlH+aKAkUIUe/Kvu6vDEBOyNoMujW9DufR1B4S
bVy3Z+hwleMHmmdfRsgFH1Cnle/0uB6mjTXnFk6ReZH9XSk17+i32XKi4HuwJr1+0ZpBiw9RgRhs
Z7uj2QZmLsYmsKwK1Bb7rLEdOv9zoQ03InFxBVljd9fa5c1YahodM+22mJP+HXCCjy0xCrt+cqoT
TOGPXmvl95RiJ0ND7cekZiCYI1efWF6tw4g/6Fkuotki/GyOJolVW1kNyd6BHRN4Xp2FRWbxZtvh
aY2o25a6p13HyDM/YOolW3ZovW9OD/u3p6gL7MTMnyvPnd+7I9lZWe89mZldhwDB3Q8UKulGixw9
xNQq76Fh6QjImBb5LokUponVebLWh4gvTAawXCHxIPjhueblxbRstoX8UjfZy6xr7p3vl8NHs6Wm
Rnp0wQZsY/Viy3ZlLXAIpY2V0AVsrICk7/yMvaeCTtSTgNSW8bUw8kOXRVkIVQ+SS+9Xd6jBFIw8
L+lvASd7h8V11Edt8Q9VN0/3BFxbO+Gnfhr6QFqvwIZ/UZn3mdU5x5/u+JTrUf+QSnF2StPf1z4e
R/JT0y2WTzYIuombzgDqlNgG/WZSkAykZSbyQ8NWV1K0S5B37XxV4MM9jJWYQKKqz2SzirCf8hRg
aD2I9yyQLQrZ3syJBu7GhAywMkZIRmHP5tVq5ZNCq3GOndneEfCWflhdjDO2ttxbjVyz+b5ITPFC
B9l5sdISMPDSxT5xPHgZmRNuafRnOwMLMeJOXIh4wU9uv2iQmXBxmca7iEKF/sRYNqD0gc9tCk4e
mGjTIU5CYg8ZxJwbRGG7rBji977GQVRcc9AKC7htjb8csVV9YW7v7BV4HrJ+a2y5oJlQ41XEf022
H7BJ7vnWTra0ugDQMXliVSVBs/Wfhs7C+bnUhH4SNLCxc4ydTaTWXMKKcIDXXMaalBZP5AcTZVWQ
NBLXmz5uo8a8yESa6CKdZp/XjndOkwLddMeAPSP+cV6SXT6o5q5JBmuvi5c+TzgwIQDbyiJ6oM1e
BDkRkJFmmbi363rT2g0uPhmhVpnLravyw1Jy3xVYkgOUBCKstLKGbzEQADUplhNITCjGh6BV+GSW
LPk0+t0VeeT+Tvf4iAERPmAWqrZgY5BCpsV5dHCrSuGhGp44GiLmhZwauzV7Yl4dq8q681HT7YHG
fs7L/gEZIUR6h/SagjrF6GxwRwi/Ifd2m9qaCaaq7eZaa6YBfpZmfEBlQE56XhQPU9fSMQaYBfNN
s5jGN8AlK8RwCQqSwJAVo4RiecDsjgQUYWqYVlH6JWvERkzugqeXu3zKnYAgYEj/kxc9uCK/wmZr
XRoL53+vym8cfmFZJe1WyKUKEy0z+EoHtN1tslvyvnhoLJlucoz5O+gO/tYiG5dDt2cHsyZz0pNZ
XGbYFDuCSNTF8aIXvW3ijZ9N+MHGbLpVM9pvv3VEOOcupx6BaU+v5aWc5v6CNzEsKjWGS9usTWJ9
vuAYPWnCI3bYqczQHQYUR747XiFz+VJRb4CVfjK85Tmunb0r2v6KMnfmw8iQEi7HyMuGLTLcfZ58
0zxFdJjT6qTfyPqgsuZGpSbk7oTlMVFeiFpL39U15S3qYXNPSMPeqGxBe16e4b+ygUodi7/3AFDK
DMx0eZ7c/nPUx+SKZdw/lXnbd9duFT1Uw9JB1CrjTxqZ4lgHQEmmyxLSv7pafO+RTtmm8f1qn7E5
BnDqSSuAhBZopS6uLKu+lSOnM62Vetj1CxzpDJ4o3mZS9EB73gBRHjz6R9PCliAj3i47gUJrVSe7
2fPaY8Md/Glukq9mhmGPePs5SEyjJY3IAnUAuq54yitZVNs0FcWFLYsk4akycw54FaZ4AinK2xEd
+WHQJrUyCLK9TLW4CWsDmmdYYYB/wtyHLplpD0VOrR7G3suZ7CTDkVN1BtcjKfeWX1o7AsjjMzgI
Z9eU/f3cLPTLKv+d7/Xypkw18c1O2/68JKlzgv3eHAy6lmRDRfPOHq3m3ioxvHqN8UwNL6/JxKLA
j/V3uEAHEGxVfGUyogh7LDvXzMiAgi/TtDdJn94QLVftBqIldh1j3E2TxhwASkSuZEFuYoTSECAQ
KKRtF2/obWjM83USIHr8FLU0twatu3cOvoiDm88vIPj9oDBcXAo5nxiH2uuyz8tDI+cj+XLotMfh
gt6YY0WboLzP/E/4RtON8lyE7kWCC6G2S45BzbIZM3596+Mw59mJnYnjHlX/zjLApHaTgTWYoU1C
dMCRc+PRLUqsKXkx7Fiu7C2r+cxXb5fbHKaHxMRIMeXd9VKz9pTCdFzMST4Nme+vTFA9u2arZhca
qRYuc+ufy7b0gjqTEF4j1w76rAg1Zny0vQ0F1qHVMdPl6aHNLBE2TS0DpNP6uctUd2or85tayElA
dxqstYWxpBfB6r6dQJneyIavscogbfoZGSd5PoYaMtrAIVBuk2FgOY+WvEkN1NxZVVzHjvuh8vx2
z/lahVPN7U9Q7K4U+j4e6XfknU0tYyfzihbnV6FUR+ndfV2qGul0dz0zsAwaQl4XmL90GaizDJPw
XbCCwdglvD3AheAKQ8wUrMq2Hh2SKscAk9U2h5b5NPKkhv2KG9f7jjXSFg3BCMPL4MoXeM1Hz1I3
E1aTI/nnxoYS8swS/aGOhnJn9dOWUos7mbFm2A1kqfI06Be658aeTHHaKAubLkMubCriDjrC0ZP9
dhmcLIQqXvoUOkv5UVkabZNxHL2dwVCNtfPOmOOZd0QmWeaMVF7eiEWTcrDT9GBZIFXSEdiIKB1P
CQRvgsbKl7Kr/FsZa3yRnr1Xo0o2SKyXByRkN+7iM3uohUEzX991rU1iYdNIJ+SgrAGsdWeygFx5
X0TJV0+oS7sY58xznk1hMAZ87gSppp33rRnmmjI3hXMgyHJtC3+jZBkKWcsNrt5vdddkYa5lnxKl
JVu1zjpXxERmVBVNFY9eySL9eFOW9AISsXBsAVUhK3nTJCzQYds3zoSvwSKkvScOVeNMT/ZbTHzk
OFCUD2pu+Efs5Dh84LrrtdqW7VQ2m6RzETI555qECeAqoSMnpiZTlvc7ujhIDvPeZrQiXMUOPase
asvS7C1ACH6AJ4wMzlwx8WVV60gRF41Ncz1RGP8nTuTdvYbDvd0VHvL2XaNlYxOaaAqqs0ONMLN8
GD0AFcsXCiown5Ed1fQcwL/qVz2ev5c2m9ysg3fit3Qsvutr/rf79fuv1eW5+Nr+n/UXf+ZwwTqX
dP/3x/9tv/9//LXaPHfPP/wPuJq0m2/7r81897Xtc36UX/Tnv/zv/uW/vr7+lt904tdm968a8ZjK
QWF87v5VffsXkN2+eEl/6Ml///k/W/Ku8wcoOKRhbHU8Jqz//9+s6bp/MHDE5YOY668J5Z8tedP7
A70qcj665Mi9XIdZ4V9TSe+P1f+OnAm1Gbpj/uqvj+JPhyOf4veP5t84Hn/CGLD6IxxCw8P4E8HX
+s7/LuKZRZnRXZ70QzZx5om/oZx7R3P9SP7AytU/kHx1anWSMKL+UWRaIM32N/JA/62IaX0J6Iho
sfGeDUTIP76ECn1p7XGwOFTNrF8i63GmpcGoCtAvIFmDJ75TBPDWcRmgObqu61juXcMqt6PxZA1G
uCSbstbia32tPCqPbZaJG+YyZm6IwG0sjiwPGiVHoNefVx5xWiUBdj88RZ8kpOL1j7NlBaCDHtql
Ihq3DVpyLW2fXnFHbyjOnCt0rbhAFhhXPR2A1iQqB2jhbJYfwJAGDffEYcJ0VJDGhVr9jAHeJTl9
ubW6lvYYO19KHQwrA+pwR2h4m11ZWn+LbrXfcj6Dte53t47/JExt28bu89LyCgopAoSOoeWwkyuf
JNVk21f5ZmBxgT50N2nRvVRjA/agoNivoe4Y+j7N+xuMK2cpypcFKlYnWewZ8e0Bp7MBd10ecPz4
XExUTpn0yHPQx8+lRRoPXoirsh1tYDN1WDstFwNQnZlEVmDd/8+Y77+zuBirWu5Xq8t12rbrf3Wd
/iBu+P5zfw36MHPrCFwRGdgrE3Sd5v1JK/XFH0iHgJSuK81fywl//Gv50P/A443MwTewhziu7f2T
5YPp4Y8DPZSVtg9+wFvXDh8t+Drw+5u4l1mTsrO6zY6FJATNjUGaw6tm4yU8FVRWl+iHTtkAwHAf
c8oVcJ2tYFhj8ioaVQ8LgT9Uu/Ga/MKZDWS3L2ZkWlmEmJsRAZlss4Z0tM6axSBLJu2Xc5S6c8/G
WxtbE0vzte+ydvAqOUHNiTVll9c0NbJc0P2plCyFJjFJSJUMz+8wurrEEwEv9sYRedWKYH8NbXPR
Cp8qe0LP5JRQuHmZBCEQGls/mz4hvazJcIphjB1n7FecJhOLgv2Qz3XcN+8FKCa0CJRwggIUz8qX
ITZjZzf6LqWzPkRxui36eCJWHGCf/ZToPiylFXfdJeeqM5EyBiMF83ijDJdQaDdGSHFZfC3xdlU2
i/hujHUHxWxWKCtI4wL2jdHSFN8QeGzaR2Gt/zKG6e4+Tk1WE6HM/D+ISXCwA2dOOBZFosWgK0Zv
MT3gaI6IU1DwTqS7uL/L+KUgzvbd4M7VtgJnzvjJnVUd0Iz2Hpd+6jSOXOO0RcBH1JazbDr+b9Uy
wlmWari41KRtmOmxechRjFLkQ2gcI7B1TX7LNpfvi6bQySdCyuL5u7oZPBkOeAfODSWHslSNtiMz
uGGIoIdrklahNvvR7eDM0wMn5exRT5CIuHmZhCZG4rBLM/urVk7yDk0ySEN/UpvS1/xdAs7+2LGx
PkmbviyUeigxblMeU7/sTlYEPkaI/C4BbnQ7TBgLcQ7FLnm1iuS/0aG6KI+TP99DgR8aksf99sVe
0e0FcQybiRbcMYsdGJBjV5xxILCUYxMOMZjnlNsw45Umkn08Vf5nh3isnI5TI28GzMnP8cDZngqD
Tc6fPU6fnRTaicADfmrWS/22aRmCjQS7fTCN/F5qtfHkEHQSh+SEfE4NR3xw0IFsLCAqO+oF6xjT
N2MCNpHfYI5fo6j1nhdGE1u/rvSZUMG4e2Z+sJULAj2RjFaQ1eN5sBL7XQ7/a2cOCzwnB4DMoUHa
d8TO7FyTGiaeJqP3LsItCTEzRgKWZQbA3iKruMd/ft/CK3hnjnZ1yMzCPJM2OF3wATM0j2v7Fu6S
uIAtlI+qTOQT32i+n6bePLOb5Ie+LOtLtlj55xqaWRRGTeye0sZcbpTdDXRNsKvg9xVDENWeS8nS
Id3TNGZyGqmW197cmLf+ojtQdXgkDvnURMwGvTQ9lXS23vV0PK+Gxkw/IkqFYG7Oo35dZ0NK2nqm
7nt4UO/T1KlPeM7LrUYy5xPjEvmhGZzu3NkVQdhMwuRJX9zF2IkiKW5wgEXHGlLjvlv0GJWz7+0a
Ndjf7AHuHGe3+eMkQeAz6TiWWV2Q1hFdY+Qma6RPdIKX1/l4GR8Nvz7Ptj4zMzGpfK3+S1+OiC6z
Mj/oeAeC0qYdI0RLLE5aujsj0SeCTB31QohPf9bVmO5yC76XU1rjrazoayWZN3Nq6s1bTE7zYw8K
8jM8huGWDyR6N6Gr/ciIT4SDNRYbnpNuUxWTJJXNkvvakg6cz77KHuoUuSpfO0+LRtay72b1FxKp
uv3iFbQnp0g3t5MzWeRFNN0NYaDQigZUuYw+h4TABNv4thgJM1od+gS3Mp0SOpr3BEAM1/BSb2oG
ERejMuJHsn/z/WL7akd2DYJOsPX6tZNm+rVPaPhFYzR/O09Dz0bRzvAwqpWRmE/v/h97Z7LcNrZ1
6VepqDkc56DHoCYEe5GielmaIGTZRt8c9MDT/x+czry284azbkRNKuKOMy1KJAjss/Za38pUV1HK
xReVsF0IxowNUu4HQ8upGFPzsSrRLMhWQrXsjOLcKbRgx+BWwzoFkgUWTl2Z8t6e2J77AvC03yh7
eockMCJGaW5N1XqTJPsGBuQnrAhs7ZP0yLOE6JYq9dcETe6QNRZZGTOOH2SdNHeh0zrXONlRymm9
weY9peqxKTqPXZIz0yheaW9V2eEBkXK4y+KSdQHfHudUDMP0mTKXZPKxXIOOLKzhqIV5vwsa2V/3
bW0c9Uxf0stKPQ0gEW9GC4FhotttZ8RjdMuTrXqxva785LaF83XCOs0mtcVPRzT/M/JmstQKINQD
iByA1F1NY2OtoZ63bBL4PX1Pa5ACZJoMK9Fk/VsFZy+DEwGlg5IrDcdrZKqnoCvaTUlx98G18jjw
LTtJvxYmbu7G69WzGxa2vTHLMP9khKG7K9QYnDsZuFe9W8BqG+f6EHkuO68U4N+k83xDrm+z69YU
3iVx8+acyqnddG7D5qnUwA22uHYTM2UZljlIVX3RPbvQawFcsjjCG0C966oxhu62Chv3NGve9EUY
XdYtkE0e12B6w6tsaLWHKLLsF5BY3HpStrccqrWEutehreDqUWu+aYVb0kFRGNcxBg1uS0B7Uzeb
5CoJLHfntCjwXBNDDI7P06CayKj0gfu5bylhu62IjTfyvOVZCwvr3mXThWl5NE5D65ncBif9hiiA
8CkBOy8fIDlmQ+7mtgNRWMRL1a1+huuYHEIdQlQdFeVNGerGo+O2/WZ0NHZEqrR2mp2wpeAIsCFZ
oRN+j5u1VhoVYBPR3DoURb63UZ21lEJW87obeu9eWjiOCtXoW4E7+wEicWQiRlXmTRoomhX0fvRu
s5DCTEIwpT8I4+Ri9uRjz02BTYr9i2mPR6/V3Q3uefUF+qXeQv5jzxS0ytmz2a78BlunXwRTc1PN
WXWTTpXaw/LS9yNdnD4tCpo/DLM37wJZO8/MAvrDaHgJNECLwiw317qXnK7nbZBWHy2VORst8W4N
nRYi/j7RMndAOoYaOCCWJm0CLLGqtYNd6JTME4GsAx7aan6PqzoHsk6H4FHvxrVV8nib0Ki5NE30
kiS1bgJm062MeVh3VJYk2FZqJ1kbamb+wOrUXRthp1DV6qdC0GMLYcSs/IBd9I7nXbHt4bkhAaK7
aLF09jqtHhdHOiNPBSd+YUCzWSclbMvUFOy7KgmwqKTUrzqylunBykLpc2WDOSgrTEi1ie+SlHnJ
+No38BfQcu7suo5Ww2wMB1tM0BloxeB7QuyKi8Nz2JvMEeuNVN+lgtsKzjqG6ZFJtaAHSgz3vcjC
R5GW2aOpMwOauJFMnz22ulRp613Nqc20ElrBQTgVJrUQrBJGqpInGPuo4ADADCkYOERyTFr8W+zq
ZdwxYnrlHmEpbL4YsKAbjtQp2UB8SFTvnYKeMjk87/XRyrCGAP8xzmxgpmtPseXx0hi+WKjGY1QM
8yZk8P84s0JLTPshtKFgdnp8TVJS8leaxzx15CsF5Toiapb5KsArtXJysrpzrx8mzSlW/RAZa9VR
S1IZ81sdUUXraLduxbbAo/RknYH5YU/G6rdsi2EnDA1YK6DTkSPCVZzJfJMl4SMfi7GloNz0kcG6
tZEx3GhZTNVObJwby3yRDY6HsW9pF03TbJ2mLouGPOONyQcWjTnaI+bLakX+oThiiTFY7rvbKCym
IxvNSzSZ+pNRA+Dw3bHMfWEX9Vai4PizNsIGSjtjPZcTAp+ZE+GGPzjHifEyafrIVgPHUw5N2Qss
54JJO+X8XZAe4fJ70xpng508eICsZO8rOMhHtmPiHOEQXvfhYPqzW/OYa6L4EFcOIImmnX1ygpY/
mR3u57INrwuoQFsvTaaLJfjjEjfbxHObc06o6pZNAxauH06t/0ZZ+puqAw8ARxemAEhgLufDnw+G
UYA2GXdufEjyhmOdNtIZXc+4puG2pPa9KQr1XjFLFTyyqYD5/Ytzvv0pFwf9TLeFri9Jc6zTC3Ht
x1MpNlHWrHMVH+RIS/ic1DThxFkE9tZL737/Ur9EMjkAc55B2yO0JKy/oxZibJY2yCleqtIpB+U7
MkG4mcLyy+9f5+9KHS9EtBD3vA7izf61STEtpwmbmxMeuoqlFJFo82B33xq74/ZG1SnB096LsNxM
Zv5WLTxQ7ioULWlYtzlcs7QvNr//lf7+ES82XphxDotP3JC/nP070bpRyymDLFYxn8VSNmokC5nL
zDyShyKM6neQ0HzOkob4b6/9/1p2PsfvddmUX9ufheZvCum/VOj/j8Rp9KN/solDyiUi+Yt4tPyj
P8Uj7wPQWg/Emb18R/+lHFkfqDgFEMhV/Jd0ZIoPNkYlvkywlPk+SZSmP6Ukm3wM6WqH/0G4BJPN
/0RK4kH/85eWECvPLr5EWEVApIDv/flLW0ubJgIVwiizBBYIeM12365M8Fdsh2yzfxFh7oAUs8q7
uJqK68XOvVIuaC6/8LpkI51Y3CdtOk+bWh/TS8SARWWJBjPJc+rd6MXGEfq4xAMbV2ptuSTl+V54
JhtKUHB0O1jRVZ8N5UmE+NhXpZ6dYAinN05puLtceNEucAJnZ6ZMsX6YazSZcivbzXFUH/Ct2+eu
WfaAtMBovtGRRKVqjyJKZyyHV1IWE89MAFa+EXUkULRlrU0n+F2pTJjFsTaMh058StO5fMOz5p7n
1AiYDUe35fFPxnPAp75Ng9G+DMHokg61vUz4S4PnYYE279Na194HHuxfnSr2LkZSuAcqM+ov4agH
yo/ySt7EUdVB7DfqO7Mxh2OSsptYTTwVct9I9C+JKLFPWRDFsMIamHwAtV2HogivmmrW3jlhQwsF
xk2gcVbFYYrVxx7hhYrWBV4Wuf1jVLXtvee1qOyZNtefFircR1ZWKdKBhSECPSPp8Fl6AAncAmQE
wd+VLmJOCpaXOthKZP2mSLx2iB7DM3d5Vp5dkX3K4rbde3PcbiUnsPdZdNkpFvVFm0PrmNZtdayD
eb6qgqz3C8tpts7oNvq6xhSD7j91es3nGaYfsWSh6PMudfy0XGuQ0YzsapJOQCVIbvOHjh4bYBl0
Jxlb2j6xRLSDXJ09wHuJntM25tmMKmjgLxnLcpNzuJS41Ej7Y+g0UjBgXHv4qc3u3Jne3NB5KAx6
SiS8xmheEDUhDnJ/aIqIwcVgmIORN3yNca8ybowLEqHIiJVWSVTcxNDtViZelVNYl/Pamidg6bWb
nyt6Qk66ZkjOkPmAaRIVgyUqE3D4RO2IbnMiCs1PahzMCtXHwpSSYdOhwyTfz9VMAhVHAiYBt5DX
sL282zCYIn9wtQ0l5bjOpn5t19Z1nHn9O62g6UHUeBuHBEf5um+6CSNZNF7NM1Zkkptt8eiVSfBR
y+1QO2IbV8nGKxz5GZNq060iMXR3PW11waafUvnSItXiOChUdyu7Qr2y9tF9rxrkW4oTET/F1E53
Dawwd0+/7NCsapdpNNanhi5tAx0iaGn3W3WBNAi8CWJwECM/4UYRlBsT7Ax9p0ZqYmHkviaOcM6p
NU4CVS/1HmYstBhLSUIsvZRZn605SpZbNyryN6K53iOi8ydNDNXarmqD/g17+mJVNfmLRsqy2ARu
UHxMQvbfflYnrH1RGOqX1sF/tCJUUR3coGzXuC6ZtVu081Okjxiq2voW7dNDQon5PrMiVtDaa3Pj
khsHR48GO/ddg5+xitcm9uzNPLRUM5fSOVqigcpoRKyOamzXu7LruKPh03N8zavErqe7807vNWtX
xiId12ySAhMUdC1e9DSipcPkZtrropp8r8hjdmcocodwMtQ1Tk3y6V5ptHe1G7MCC5w8eaYuQk1Y
CrBhczMLukMQ0vROPnCoXhGIwYCZgCD2cPNDGhnE1FzMptbeS8vBid7IpOfsO2ncXGYQ/CUnOzow
TLPfam6kXqH4D19UFg0vk1nIs8HhLd+0Q8MeyrCmOvC9wFDM0l6QrqldzHHPDQHAPY2KGymq+zBt
qjVj3IALuY6hQKZqbRfO0SScSNdEgdpMfztjccwOM+W2WUpT7UaRP3BQ73ZNzdQfM9NgrKthvrED
nAoc9b29UWKcP88w/9ilSVutS6ND5i2jHqKncJPLKGje6K7MTNlFS4pgqOLnWQsx30wcCFLx0Z1S
Tum4CNlKtHR9T01yCUbkSd1L7ItMYC7OMqvv7DwTd4RFwxtuiyNHgXQ+MMY/YaIo7hT8j7tONoG+
EnESPA3QraiHJ5GyKtBjjxFMgCeXchBuUgNfKxdE+I2gv+WGPTPCTJjTNRmnJrgFnP4YwPDnEv7g
ts3Tzh/zKb7udK/DKesozsFNnl8nnuDXtVNtK5sMh1ADSYGvOguklawbVp+SX5/siM7+sgiwGM1t
cG+6tX1I4nR4wGjgkrrvsW4YszZd6IDp8l2rqRJYwhRce2VV3ROHcA4hf/g7rnGaEaba2o2sdbdj
oOZXDuZsn2elzftQZhNehgm/H6GijWqDDmqixf2oi+V8pbezc4hitJh8SG5U1pGeVbpxCUpSRdxk
U3oZ52Cx1OvneizDkiZXc2mH6MqbENLmbnk/H+pylCcvmVHFTc3ZJRSkXtK073Fb6QO5L2+OPgct
QNJ4xDq0qtUInNgS7XSc0FNv9bQedt7keYdeds1THZR0Bkur3/N9sicSS2WNe9LB5N4MtGyS6Z/E
mmRZhNXK8NTtYIicBUtieD7uALmJrJgqVJWZF2xQwXl2vPHQ8GCMV5U+XFOi+S7K2HuXjaGXK6ux
1McYv+mrGIL00JRatYMAo7Fh7rnVcPlFPKTNzLB8g+TzNu6T9Aab/vBaOc6wTltpv+hl7F70qeCb
Fy03TdBwerybh4EKnrrW9fK+mLyPcFhhYfaRG1UwD1UnfVG4eoT0O3gvsRak9+BQGnVj1yw094YD
RXY123ZqAXyVSpx0G7MhzmZZCAUsN4pp/6TBRp5KfZ7uaxWuR8+gTdiIbGdbeSy5I8CdgZ+Ew+0s
dQI6bZ01Oc2qWvTRqgwrftNtvuI+yFVhbeqB2BWecXvxyJylHDm678qQyqXuyCWr10QW+gJt4k0F
8wtj7/hMpqh4T/pRf/IIrD1IFVZHoLYPqnCmTW6o/OCopvKdjooMpxzv7Gx+4Qb41Yyjt6S1X5xu
6D4BP2SCMGtChI3VvTieluxtx81ulMw2g5lrJz4c4BBUG7IPaNVXY7Z6xJpKpQjsWMVhVXYxPQ1o
AbeGNaSTj888UquqxjH/4Npdvclnfb6NENAgesJxz7U/Duf/PT39g7UHQqFLwP83IduyaN+Kn+w8
3//N98MTa/cP4G5sTI4LyxGm0F/nJ05JHwSkMgFfXQoUK45c/4rYCiH4TwCp8Lyjh/x1ijLNDwbI
RNYROkcfG+Dlf3KKwrnzyykK7jtWmsVNAz4T19GiV/ywkK+wPuoBw9zFwULMkKLlOEyBMFm+pex0
2jugogu8jCFVuAvu+BzqNGNkuLU+NwHhLnbPuU67sYjUeIhmhY2RpYX9Ptc60cYidjHK5NV0KjEu
Z8/xbKpT2czic2KEo7eSXTp2KwEad1qGoN7YxZpdPhL/c/RDo7y+P5IzqIdzjb61iSC+MDZhtSXa
aafnCpHFl13QrjCTnkQ3VfGqJvmOw6+Y9TX2u9eeSZ67dISpsh9Zpk0J5UtgufDXTVCqt56L3LFh
b49r07Sj+JzBDDqwInD2Wt3Vh77ME9xxcTHe9krb6Umnr0vdex6K0dhFWtbiyQ/L5bciePM8WtwO
yE8QCgK8HHmSReqSfpES9yzVCGvsOAkrMshXFo/YAqEFibhukPwC7H4rPnneZTF3HL302DrS+9Tc
NNWQ2FeDdKx33hHK3eknCuqH2a7mA5jkRjOvnDoc001Sy1VlDjYkhNqtomyjj/pwpiU5i81ssQNz
Li+2ZLfynjYgM4paY5+wH4K+RUKu6jvnitU9UNjZl0yvOuv7KO0SHvFeWMOlPcicHFvPxsSjCw+O
CUdK9xsYyHGqdaWjifaGLu+aBuY6yQNt/MxUXyVfPQIoX6dAsC+61ovGyuU9zSNyyw1/ITjBDnI+
VgM0XTaGXn8a0FOPNkko3qg6DSIs911yiLFlG5s6S28ZrOuNiJkegygdLs1EEmtpKeGyxJe+nqo0
hMcu5dFN0nIThgI+RBynu7SMLjKuxrvW7syYsEWmr2OPbYqfqTY8ui5juW8avNu+nrjBnh07htbM
mKxDPop6y/21eSv1KnvXWyUN5NHGxkaultW8G7ikJyiUJ/7ZePLYGKSXTCPMUINJ7ezNonuNErNv
/bk0rRuNd9DiEFaFr2Ftiiva6fItGXJtB6CDDDIvd8YYUe3kLMfbomzlEkNgqjRl4ODgdBf0hi7S
qyX+h4sXcwdTrl0c+kFwDKMBjIGozcyT7SbzkSkMG24iWFl1PJlqg2izIM/WZeG1HSFKrDvTPoEt
hRI/psErM4G3hQTfc6o0zE2q0uLYSad6BJ51bRWOdbtc2SAlGrFGESCvrOR5TjhQ8tBufdeoLJaR
mO55ByrxtZSTuJRWGn4MqxjssDIhVfcU8zQZftkptsNdkvTpDmxpsCJRR4MfPXS7yq69+9DUcKTQ
k3ByU+dp1sWlMBLS4OS8TuncW+i0ilN30gzPlqLhfpWk40Dqz9BfcmtiS97BtEfZzIRxB9KlY7Xe
GF81GjFzv+Xd2KZz0h7oFXwHDegRl8cUsda6Cftc2tvmfWUMY0SgrC/fTXcKH8gNhQLrUW19IggT
7wpS3vyMSjvgaACsTTvDCq5GdhgE+biUvk/fpQprAyt93BpF6O5HC5vhUBVEITrqT7etFUou9K6N
r6QXdQ9s6DAl8/48NKO65bImO6ZPJ496ct9KA2+v0QtOxZehnKNba1CqPTNzP492Ed14mRvT8VsW
n9G2vHUmGH1WFdghezOVpmDXLg+Bndy1ee0CkyE1mHJ130uNllR2aJPO8tUI/KHFhi3QKabRIpjt
OIpyOrCRK9bTxmuZhbRQRh0chkECdIEbbL3QoeStDSoF70qEM5/j5PBMHgf13kjKs55VKB29M75r
Y0E8VDfaryEZD9Yuat6UWdQAUdONjzo56MsskaP60Z1vpsIqtzIDxaDj6b+ivU/csymbU58FXKq2
JUiYTVMq8QZaq16bY1feUSNE1+jECgjwf6etTNZJXzH6i33RF86LwYlAW89cWpuZW44fwV2xV24Y
Deui5M7vDsgejtvbZ13Noc830mBHJvXHUOHHcAcrOpZeXTG84fVvcXnyznrR9CWe6vbeIhyb+EoP
onUjpoxTjiT6FIyg/qVkOzXX09T5QMe+5DnhZZYNHqdYvTyTJk58zVD1ie6C4TZztA1rd++set2K
V6Suo+Bg0Oh9joRUa4le8po1vf6QNFl1diqXVP4gG5wFduTdmd6IVOjidSjHIGaXHZiD30exuNR9
lT7nbL2fQ7eob0iCBE9VGsRX3QhKPcLr9SihAm0iUSa7CWf4JphahU2jAENv8tey0maJ2B6KbO6J
XDvdo2kKrEOx2QDCYaXu25ZZcjSOxI3CP2ZsHPSNYzFoKKB5OkxXFtphSneV1CmhMA3ex3b4aI5E
OqyevDn5avaeRKbno4yl/a7z8zW/DIr4Bp7xgFFeeM/TbBFyNmce9G6BsLdqwibeYguxTw4+yYfA
6etwpUG8TInJI1Ss3WE8daqst5ivALr/d7Xwf2VNBfr52+H4+sun+q1Jf56O//hH36djz/pAFR72
02UtJhh0+XnffanfBmeLmdl24cksJJm/hmODPQI4U9dm/QDed8H/fl8xmOI/GYZhG/wyDGMOYdaE
AcZTiyvV/GUYzoxOQ4KI+pORz14foalzuuUqMkyVTMWJlhBzwrEFJDrC6LDoGOkiaViLuNEsMkeW
uygeBb/+uV5kECwK9mn8po20i0yif1NMdKMm4D7H3UdzEVTqb9pKv8gsXuvG1/oivaTfVBgQlfqm
gkLsk+43rttFroH8p7aid3P0IFHctIus431TeOjFSZ+gmQzHhbbfrcZFDBJqoClGRBqAR7f07rLI
ze9qvcUciJDUUFNDABFxyVbWfIdmVd8t1Q9b7BeoOEE7brTBaI9pxVQ40j/j97YcN2ZksgGOMSw+
dMAB3hwnV1SnlgGepRkUoOIpfgODOnpWedpNPjeUam2Evb71Iofpz1LRnTXayaYXJqwxTRTjqQ4H
nvKqeWRPDV6PARQEgclE6Qujmh+Ktkt9IcdP6TgSLTX6lJuA1scnFRfsbYrKal5pKGIEUHyGj1ma
5Nfu0EdbrY3mY52zJ11FzPzrrHedhTxIAjkJtPhG95pkr2XhhYBbsoXmkwKtsYgLwQjfi6FknMB2
fyo0SS+bzHHtt5Sg3HNn7LYpIrHfIuNdXJK5+4mV7tlRYjhxQ5z2rGWNN3zE5ZGMeXtP/Vw2chvU
iCroFSCDOgJ1k3NLOkMtFFslHW1NY0JxS9+vcd9OZvsCgCn7OrG+f9D7Ll7bHIAueWNp10bsUCKB
Esd7hVTLStXjluvmH4067rfSrYp1wb0aB24KLldYGtycekRhb5oL9h/IoWML6s3oY7VKuHDwgmFe
fYe5wl5B1RLNQpsNym9Gosobk+nitmh6wYLMUy389Xxe5aIk3QetmUSy+dbrvXv1rToAdlR1bdYy
9LtCEO/SZ7pvmnDcjpJ6+U3P8HuqZniWWVi5ex6h2ZekCJMbUWHliNNwvqS4kirKVwPtnXiqm6+C
sJHeSg02HAzWkd1VEdsOh/soOsacK1d02CTrBb74kWSoeK7HZDzZXio2kdl059ip2IuUlepvay2c
X1TGYQUzRzVeVVYcPnhYyC4uTmmOTeGu7x02KaJpUck5G6aW0WJE6mciXFIWDksTBaMyoiBobTet
k6LaFRobOdfmIZ0kwYHMSn2wJh7OKwAsuE6YADjlYkPKn7iNVMw1mF8LkGsbZH9rE2uVODuRxIuC
DxY9CdF/g21FXfIwDy91ZOprW9nGa8Z+BbwsIevnJogobB3dbrpHQjNCn+pTjT5sGe2ZL/NjN6N8
rXKNLlm/15TVbwuMxHTmGBBhNFh0+bWG8+nJkQU2O8cug8o3lQq4k8R4w+a8/JxJIZYZNR/Pxuzk
POVTK06pP+q1p7BvaJVMpOUFSAbhCB5cJkiyCaXU2xGFDVKIW423eibkc90ERecTE6wrtc3sknXt
WbLVhQ5HZW6OKWHLZBLmnh8Ok82qchQ0pd4H5Bcn+zF08qq9a5ctKFAdGgGK41zpkJj81oVjU63J
9KTDfZ2MoftuhpwXC5hZmRisxxy+pnI2bkXQfKt1XZt8npA5ZIqnXNY1Dy6Un/+KZP8kki086d+J
ZNdfhv+1f8srDEX1l598Bn/8y+/DgPPNOsA90RQ/2gwc/YO1BNewjLDnp5KQx/2fMhnjA+oVWQ0q
UpgiFnHrz0lA/0BHIf87eDuuJZwI/8lk8KtpB7MKP4gT4AL3dBlJfhbJyLuOBBsAIVK9RqBg5gSn
2+HTD2/Kv3FAMdH8ZEL69iKk9IjI8Hf+rZehLXutIsU37/G/qtXoNDPVTr3j4/1uN79/Kcaqv72U
ydviWKZwSNMtc9APol+Zc0dKQmPej31M9VMWIyTopKnlcg7MwMTvc1kDtp4tcwUVp/yHl//b27nk
Gs1lVyElH5r1i90K6pBrDbaOB7QYHvTceXYxqv7+L1x+xI+kc3d5CQvRlSYInqv2LznFutamTgRS
7S05PIyW8YQoU/od4i3ymuIq/Uvz/TefHKUJf385nC3UlEBzX9onFpX1hzeU4m9csEgBe8IW6kjO
QtL27Wn5MbW4GWewvMxvreBmqFoawg0oBivF3gjLR1pDX2Vy4pynhzzkWNymB+KANI73Ze+RMf/W
RM79llZyXUk6onIWpTVD5YEAvvFJT4Yd9+MWq/XStli3Qn+aqMZcEjFdvmaHYVxHquN4HqXGuhPT
+DQhIJ7QXYZwZTBlcbhTXv5g4z99jienZG1ekxEIS+titUV6Z1towr0JpIQKtZCwRiFX3K4D/ACd
YtFlqW3fzfOBB8qZRH+/NfL8q+lkd2VsvqM33rZ4JVAc3fxYifE1JF/ASyT2hjMaWDygjOu0mtUu
VRaO/EKurSYZviBCqYOTRJdqgvkYe4h+pp53GyYy+3oE34Mt3Q6Oemg8OZoMjkkUU6TbOAs/qgcs
rnkPIxjz9SSThGyUCh9aG5Be5zJGen1Irxr76HEI+j1hnGCT0MR1Rpz0u4hofUBnzpVFiCrdoAi0
0/JoCj2CQgkUtrh0vAflUM8ScTzxdRfod0VbI5jKSqJrFmNd249m4WjPUdrXl6KEM7hxgeo/lDJF
QK3jbi8Miwm6rmG806UTXQW5qs9lxqZKL1S6ZWnGJZIrtpZlOfnJUEjcEJ2+7eNMPJllSudzj3Cr
RbHevXSxgKHni0meKAgMH+IIXaWIqUgPMGqvI2Uv2aZ4KQfT6uAUBFF9W81oAHndnAIIjy84nNsH
E0DPniy8PMvRsPd5wbXAtizedm0x7orceIlQvlDfY0AqiWOMe7OJvVuBS2dHQ3N9nkOtvOmyaa1j
+jgTa6oUTo1MbOuBMs7StpgzidMw3Y9WvKs9s7vCjZ2uKPCyb2JsOEFgUOkQtA5RVhkSpEgjtrPW
89iHRzMPFuLxcFtN6SOSMueGPtF2JvSfK6yuKR12PSpTxz6QZkW50w32pJgAsv0EXeVgVY26mkqx
kM9Dq7zkE88Nrmh2MDQxhuLWCNT01mAoX+oZOe2FiXbVhrZOW7YHnCBjbIKJAYcca7yzVkLxamFq
AAvwSByBWqI/Jqgiqj00N3hx07bwAzf0dmEQDFcjKiBLwg4Ng5jejlE64LvPpk43BYemoONkYKXo
QXY2HGc9kqdl27kNEtt7KkEUcW6Ii7XtRG/YvJ49iWstbFtxF2NV2eu98Qog86S5WXifloJNvMM7
Devl2JolKYIgrVezCc0uGPoUugflh/acnLVGAW3BrbQGtP+ZPkJoktRwTSs3CPtDwGZ+IzVxC+Nm
27Id3ycaUZsS681uTvmxYWCrx1pqDpvrZtDWlarLbUdE4a3p6RUso8reNONWVaHxYFmV5xcyJVlX
OH1z02mVwX5WuIc4HwyYSBFHjWXejiLgFivLrObrIEtbEk9BNT2W0s1O3JBmLLoeHmXdeqlLrD66
52qrAZHJp3QO75eITmhbu4gHAL499PtVGNLhkOWyuG5y95D1+mOak7PSA4mnCEu6WbsIgixg1kGq
uecwSL8EeLqwFzQbp9PNt06YFWRqo79UHNe9lZXx3eOWYF/iiWMGpUbZwc71es+qNl2Xwzx8LDkp
o4XXS5MYMYbJz2y+QHByxmUZomXPclACnWo2b2l2sDGXs3qTWZ40q9LKDMxXUbux8fzzPbHHz6Cr
MRyoAqWrKfyURMKTFVkYSTwSKxzWsoWLO5qwqbl7ZC4VPd3smKfMiAeFs2DuOTK62h5Xrg3Hw3l3
pIHDo/f43FVgJUA+XOcha0a5owcgxw1pTiCLJoo3UhMkiu1FexKW5VU5dtbewqZ0sWNJb70Whq+u
tckp5N1lU8Tb30fjo+TOtSZN7HLynrIHg4ZO3xKSQJbWpvq9qeyNTbHGc0tm9nXs7ejaru35uSmM
NfW+wFuTqq6vO1m1cL4Srjx8UntMlPUKbq625uH5tUgbnU1BnW5JIzaHLES57RODe4Yic2NfAQBh
S7jWs6b7Y67475D/D0O+YeKd/GEqWoAb3/EYC6fj//zvx/Yt+nG2//4P/lqDYyK2mJ25xGBHwNn/
l9C3gPfxC3sWkh/leCaz1Z/zvf5BgLyQ3wzG3wd7w0H9Q/9bdsLM90ts/Rd+xe94Ft/W2z/MiaD6
Gezh/gvM8ng6fo0dlKrEHDS505nQtsZiwR2qadqCOPee8pySMsQmeir6MKyuyHxQCDZN8W5c2i6+
NUTVigI/vSpp64Dyt8ljSZHRNFk3uGcbvLJlNsbAvFYGJKmewGtuMwfeac40gpLvAO175mPE7Sav
9l2OR4uRrEd5EVmgXbzc7PNjWSeUmPk6S0/3Ky6hidFhYIE99gf0d4ltLXCAQh1RSlV/X/W8yfda
UTrIhsAOTYCyQz1f8V6aBnEGuP2Cl4VRUS1571wPAUWb84ShLyeW3A1ZfE1xCr1sjj4bGFft4KHI
9ehhbktjzx9VYkLttE8DCYYHNzGp/q3yKLklYHTdjrU6kOUKgUAF3ZsnQVdCVQxgVaVY72ySRL5X
9vDT6KuZHb04JridLGQMmrUJJgyD6NWV/gcOHzfyeB1R6qwdRgY+NpepFk739E538PNFmFK6GtBw
qzs7nRV2t+v/YO5L6mflklRPYZAujhy8wudqJKXNp0CaU8/7w7fL/L93hH+4I+goRf947D9+qZsv
04/3he//7M8zvwHuBqwEhk4MKH/I/N8XAI7Fuf9/2DuT7baRNG3fSp1/jzyYh8W/IThLommapiVv
cJR2CfMUGCKAq+8Hcme1LWc6u05vqxaurCxLIIFAxDe83/MS4nhMDOg/4ClsAwkMUyS+uSR43utm
8sfuAAiHXwchBnSJbej/ngcHtYI3eV3ApgXzwkBFia8sB+SPeZ3ZCoLewRH7YNQY7ayERe0zrkV+
h6e9c0ebnpcudjpYEHqaDIcxrfr3SaONJawUg8lZIUbgo8z4MYgYDRaUYJgOZqNi3DAiO33PnKoO
SqzCWzigdzgjIDzFIHasNSL96KrMynkkEHguUG7H/KrryIn9oc/r+X0ngiv6bShrFSWCVe0WUbeY
TKN/JqN6GORCpOBoR5ABgxBBWa8/Bhhb4zuupealqmR+7AQKh7r0eT2XkS7p0nmEeatOpaoBdmmG
cYlmE7QMXMaXzhSgH5vaYhZtLJnWjUd8LFaMPQO9GIG/zpKdara7DKwUN+rVS1J4ye88/xQPpY6f
lsZIbZQhRX/H3h7UYVYOhxmuWwjmnh/sHIkM36RYyWZYBmXwaczmNg6rwtcfvRJ8h9uMQeiYAbsp
Ctw9WmBUOtrA1Q0YHSvQt9O2S/sAI3ckudRpAwEaM03phMuOkofIfLJis4m1p2GwGMbtsUFfuYNl
3Au/C/SddIziNuUF8L0xHoxHUS5pda6YHCaOTNQ7vym0lzmRQaisNjrmiUq+aoRPp4ai5u7183XL
p2JlC9DK/HkwwcJVqwpJRei56HK3uhiq3TBMI/TUBmpOzU1G1NxvKoTdAD361CSQRU4OeqjPc3mP
Y1OS4J9u5POesrOwtomDXf3OmpcEJMPQBOR7nR9nuz6MwiZuhqRO8JTG5mMDYsTdGs3kAz/NbSpM
fclagL57zIauW3N1uLNd56TowB3nA9KP4iY0q/iQNGJ6bJuku/fBzl6zeWSCkcFbd01qah2RSMd3
UcugQzY1WCEFk3NHESsNfUa/0Vr25PMjfOEwm2lAOLPZVTv4CIAlnBZ9DAh7dyFpo5qs5LTz7S7Y
FYVpvUgXpDesh7KsceLGJHgdm4iHt0Gm98kpL2p+VzAUzdatQb6aiHaYysTeW9RetunRfF+iMpge
0lnmoUVQuZ57PXoo3TLFlSCW/s7oA2MrisS6FdQDdqWP1xbSUCiFzKmmpb/LDb370Nf2o9MXwDkd
/RMH0pSF5NyLyARqLW7l+JmXcTT3Ycf83Tb1Z2jxHmI4BhSZ+Ix8hlQZaRRQH4v63Llz+b7TLCgv
0wQmIrWN4xBXaOAAA29KsG4LE7jfmIE9HxmnzwsUPpIzuHCsj0itKBuVE5PDkXB5UZl4Wdl4UIeV
iWct1mlRvq36UW3MuofjqkcZPnGy0yDhWt0DMmIE6b6V39GpcM5ITqA9JyMUAN3rdAZYy4Jj2tcC
kgacv4a1VLr3ODJ+8hAZRvxlElkGK60+iIlHPzcL24ZYSgJzrWEpTxk2bqHOzzzPbQCRQ8sEPO24
LtsPbQAmlWEkAxZVMuJToOXV/BFAgU63ok1OI2UDLHab+gZ3YdqZrafD6QF3gLsBQQocmWk2mtVY
9KAfcTEHT1w5Bq+yAztnKKS+Hl13upMRLj6JmrtPAd/fwiQMz5pDU9Zet3bnWBwHJtupiLmLvZgk
N1+Vi+fZSm8H2EOJV+PJVzUiFAXBjgshiG5ngRDHFGV2NzIYNoWjSInMMhNwteU2XSiCUe0SPa5C
OZXPuN61G5FOJkNUrXeqp0G7MhbM5j+YybwNpCL88aqiR9Xsz+KMex+CY1RAZIxs5iiV2ZU6d4ie
XneWNu+jl0CV+bGoeUNNdGCMWi1vUeOyaSkmA25Clv7a1RjCYl4DlCpCEU4YUbvVTsVsz7SECABx
qjAvqM25ENIitWYonk9SjPn8IHWJjCORWlCdOO2nE/jaelrX9dxvmKKaH4RvON/8qf8TLv19uLSU
2f9VVv4pgVq6JA//VOmX+k24tPzYv9KoRftgu44VLAayZC3/k0bpS4aFlJg+NupgRjX/lUa9pkzE
NoFPeftNvEQoRTsSjYWB5sE08Lv+N7Ip501hXw8CLu9QBndQZQQ0F34Ml1qkprOMq+xegJicnm2k
jvjN2l5vb3SAL2x2lqQSOO1TVPGldqjNpHFESCOn2mPVqe+Q309fBYwF2sZ644SKbuN8pyrX+ydl
Dm9N19cVc7uvqMuhvlzlhZzId+hB+wPe4APM/O5rAYuJN3vCkcUhCJmzJHinp1rvvR/rYcQiqHF7
0UwfrAqbmdCVY68/4dVXpAD7bA0WmUhqvSqPIPhkqHyPGt2ImHBGTTQ7uUrumSpoG/9DQq6ymLIw
7MqeZcBNpZ4PgaPsrh0D7saGBMkq9E9p6/XzsKua0TfLsNNL/IxSPFCZ2tLbL4nWia3XNtPZMYuK
0a1JZvyoO2nz56YCG/Hwn3zlfyVXgorJev3rF/CS1F//+Y9DVzxXX394Bb/94B8Zi/EbA/Umyg03
cM1v7cg/MhbjN/J1YDQQ834ciqaOQYIO0vN/upt/9Cn5dYiOlsGAf7OUwTTOm2SF6gorzYarR29N
x1X8zdsHw1WU4LlRiCK8zKak/gDSuE83sR+Um9R0HmU5jg/okKixDc1jETvaQZdQieoBCkU5J/m6
6eySpKSszsWg3zAQxFKiKfBCqm2JG/0CtBOGV4Q2pI1tNpEJ+J13ajhOVqYy8CyV4jmwygcAkg+W
JncghaJ1LxzmeSWWl0zE+YRp6cugD+mp5D6GrddgdlvV7UrXQO4qx0RLoc93daCfXaOzVoGQzxRU
Ff5xYjPZYN1En750ANnW4DOnjVf7J89SO6xXwVDG1UuQQ9ExxkukHAZvUvyBzPwBHfDZzqY7HcQ9
RD9tpZL0eWr6el1DhnF6DtrR+ELx8LGdum1dREUocDP4RHS7x+DJXUn8ejZ1t8i7sB9h2vExH4tn
D6/brR7Liy7yh+UO9OXgr6lWvmRNpYUdkvCtVUC4skraHEPsJeBJxmtsyYtfKTekdRkfRBF8IYAL
dkZi7+MYiT9F9MNc4AeuyY4bo+sguNOjmQwmFBp1dZPpIhv7MbHyY6yKZ9FmBCDOCcC7cFeu3W1s
vpC00xfcJc52wbOarB4jiYYhbXtJEgZaX7gTrBhBIB+tuVFmAiYHm3BQWKaebNJ8QetrIwZdDQDl
WFvuZVI+Dwb0en3ZDHtJX2q5VgMJdQNf5yw7/dybqFgSKk5+vCC69bvGY4B2zJMXiw124xjpQ56r
O5OHs0eOBnY75RsyjnxDbEahvncLen2Yf2GARpqZ+tk6ISK+F0C56mm+CbuNVomjrqXurNVUybBi
gG0d1elzNcpgg2cQmqH5bsQeFosBgQtP6z2mSv/db613AT0wdnxjOzFOPzuD2LdqvM5QtVKU6yxU
ax+XPCMSJiy3etoHAwRJt54SylM8T/i7FqU2VoKa+37VmiVstk6/VbHxJbAkUSUuSpiDFUfDG6+t
GK62Kl5KHXYXenDmP0p1tSIjoYMGa6swa2TIrpaEWFaTgS333ajcE9zbx7qtsi2DQCSVtrftl59b
BvUSxeyvtNxHGIXTHgj7jLUGmaepNZ9RswUhDdNpLbRofG+5LLtCxVE4tTj6TEyt7lvceWBnOeOh
Q8h2UKNGYyGZCvjzTckoZjPBgcLdsUzwvTC1wvrSG93naRTuveHnzdIwrdPWXos8AZIbkAOuQWLK
58irabgg8SncXWa31S2volupNBe7LrK6FAY91P0kOjH5+plZ5DHMVbFRiTsxqpyum34S8LdVgm+0
6wLrS5VgIKPuKQJ47anQknMF/3ODjvhWazQ6oWo7iKecZ1VNWB9VJuOuOPJtIESiD6N20MyBuy3T
EsenqY7ORs+8TVyx/OfM/FKjc1h1bUnsO+qhq0xja3k1z42B4tWAjhNDUwOXTtP239m6N+yUyaKb
cu/R01zmYVt5iEbxoklxZ7v5N1LJXyKWf1YuUNRCBmLz6lPhXtSt30sJwMPYAz6b9d4escewhran
i6hOqdM+zJHhrr474v5EuvCT6ITBtIADzSJYo771VicR2HKo3InwC9+eek1/DpSclTBxwYb+6yst
GpnvKu22v2hxkJxwMYr9lOh+/F7S85SVkaXh5p4/B0vTd9mOM6YOQsyIuvrAP+nbX1/zJ53Lck0q
dwyIUMLjv3+8ZmxVQeKjPttPUPk3Tjdea8WLrVk4E2kQn5bvWxSMpHTsbr++tMVg38/fN6AS7yFA
Mjwi6x+eI0NIcs4mv9p3iCnWGUW28xRRzmG7uIMhn+/1QH2RHX4puWTMLQPwtRaMOKEKhTSIwiiu
5rshJm+bLWcfBKUWIs3cgNbHuoXtG59wXO9AULV19lC5Yls640WV8U13EsbglX3C2kKDQVcHOxgo
zVPMOGFo+2wPv/6mf7KEGIDXTUJ+A6DvYpb8/YI1izQoa/ja+8TEK6jWz3ownykPtn9zR5dRyZ/u
qM2sImE7lChqaT9eKJCGr/g/WatBYR9wXThPRkpmUbAJV26QrTs/f+hjo3xfjNPZ6/XyfYIpRGjP
8Us7si8voQqZfE7JRd3FGtNGgRyuWuCewEjs4JEwSNikJaVZRhFaZarH2DGnXRmbzUalE3MSusBi
PFc3JTj24ZLZxz71SyyXe0yFq/QlSqEPVnnBU1R+vaMx8xLV882Ph+3cdxzejbVPJmefJBVeZ/jA
0Z5VdzkEv9Ac5jMMXWuFca7BXKL2WThUHTyDGOvXD+xPdhgLmRLyKyhMpvO2qD17GgwZzar2s4Qv
Szih2NmcBggIUu/9r6/1JiN8fesdDEx4WmjoHHP5/78TRglzSrHLnKq9k48XxCLHkhrl31ziT3YW
zzUYBVn+DBhi/fEaaF3gWeo6KWQwNtR+8SKh/APGy/ySzta066FJ5aa9DzTzJKMAH9CqOGoq+gTC
83c8k5BVlSN2S0Vm7VGMcsgG7E7NVD5Q+3qZXckYS5TmeyB7M6JkS64Gfe7ui9TdjH7z0e/5127n
xwdoq7T6HeIWw7DQIgVtszWFiTdS0Jo7HKr7lW6mL07FEmzT/GFUOQKxeFrKpQSohiT6RThWVQll
U72/1JUJy8+av5Vg/vKEsf/kjeVZBKgZ2YfRTZo/3rBFfK7qqaz2RkGiMNLLC1PU9VDlc75zwh1I
CbfWxeSfSselENsJ5geN8l2fsZajHBIu45lbGc1y1bv0BAHXPsqssdY+zMFlcO6E262LS4mDNaSZ
rR3BTtRQ6Fp72XRjDvTL3OkrYOAflEV0CGIH3ZemYALpt4lADHePpNmB3NuhNbnEjjusMsH6tBs2
vs4dkY9pTJ6VURHsTGe+BY0Yv6XJf3mT/uQl4cxY/mNgCW8uPKzvF66MW1xp5FjtpV+tCXHUypN8
HJtqadTEf/NE0D3y696cjotIlW2NuQb/p3eyta3JYjwRZx5q5EguOtyDouwYcVIFBs+HQkMOGIIE
CZ19v8oyIsC4eHBzAkBch9xVXaH4S8ux3QQUmtF0dj1YOR8zDyRho/+uCOB7JAHRvqpqa2013Zcy
my+qmO5KbzmMWWaxlT8DySVKpaaezfA9BxRPqjZDwlUcAzIfk1fn9Jpezray1qnDXwwgJ7haz080
ctw20dBjntInB+XTFV+SoKjCek/SszpWg7ymPYmkn+M0MLekes4s8fxlpnKymWS0xquZG+dWS4+M
UrYrA7/XtMqn9fIPWsm/icZlQTYDMw626DbLa9QpB5tyeXXjJYFwco33CRuXoiVaohD+oHDSW3sN
f1tozmObYRhYYVZ7HzjqiwByLAducFakDylqdHrThOJ2YT9myXiRyBzoIDigt8ojarPjXLYthWle
YIwRjiTFuzLiZEnjkYXJ2+HK/qEwnM8JQwHH3HBOI5O5NEymcEmMQNyCFEEldcck0omS9qNJyfhv
zmP3T15vYh2ap/qCAMSJ+8elW0xMyJq2U+47b/rC0Mal0zn3RtIsDPay9RJ/vaba9dIE6QMivdd3
vkr67STxBGLW6UvVlhbwjwowUx6sfRDZHlxTvD8RalebQA3TvjA6jQQNxDwSgnSDPCn+0mpF8NAI
5HJzzLnYg/S5r3gPwtlj9Ftjj8n66TZahFu6sBpEAekQqphZmMInso5JDDkPE6vmgcSE2V7GQOzI
DsrA0gWsUx/S9nkYh+FiO0O6qwtXbVKBrLWV812ZyCs21QDBDW1mTGP64nawd7E/unhkB/s8dU8j
hwhJ5nC1kHAs0Xzv/XG+/qfE/fclbpd97a8rbEuJ+4nm+A/VNYuw8V8Fbo8SGsBCHxH1v4pof1TX
gt88ZELokOCDOiitCfb/0Ak56IQoOzMsiHSNuUA26z/qa/r/xZH+pzdreaE8MKVomknR3mZLxui2
o67HdFh9rBLCvIqdd5aQzWku2NS+uzXnb3v/P3AjP9doArr///9+OoC4FmMohGgUFXHMePMWowsA
mucb1cGzJNC1cTJOiBCD28QduAf6H2x+fb2foiiHfgIQEgBnKKGst1Eh7V7Ta3yd65VGzsS83qBe
xNreQNiDEIodE660pXzjinOkef31xd/qLHxnSZRc9F88PRy+3nzZVtM7BAdoQ2c25K9lUVLbL4zR
v5+MGevhaA5ukan/3Vf+k1vscLfYw62lYPu2YNp38Bqk72GHUBrqnCO6/Mo+n4IJToU6x/r0b18Q
8dvSv+GKFGjJt37cmTNdU4wuiQDpZFTfeYs7w4RAYVP6lvbZ4mh7+vVtXQQ5P4YVnvM6/8CIDDf3
p9B46gx9jiM17oeaU5BhrqgzaUe3OjRnaVdlOIHJOvlFZR88UHuXdnSqW9U0nsRgPp8rZrw779JP
JgUWMToD1tmLGAANrnqcTP9vVoHj/cnnJf7h3Weagqjr7QBuBdM4zsp+2DsedJarVuLAftfFBROv
cb1YPbSxIY80nacCnFLvGFfewemiYe23p3rmuseU1ssB9rLzHFsdxdDELVhL8NHqu3L2jZPCmTU5
jrpZlBssO4xTiWFuicGxMxuQpjsCJE2kOLhN5uxvG0cZJ014mtgMcLjvGm1SF6Pn7IhS5LOrWYy1
87tPE3sCgDircePnrZndCctRZ5ddwl2nPq6G+0wftU/4sgfRpRU0lQ8iyloLcnU3aTFemnhIG/9k
lSoI5tQCMwVXPRjt99S35H1FTQ6FjpNREKX4b1K9ZyMQTNIzAjh26qzhbHAO8lb4IYC05mnITExw
hG4d3BGkFMLqsXnyS2s869BgiXFaTIZDTAuWGT7hPPtCV5daFIzIlmPUPFlMN140rEmuTk85O51T
59khu0O7PQXqiUomXTLQRMBbwEary2ALvinSEmZTCDzR/FdpdMPNNBfrAWjCczFwH/155L4J27gO
AQ9t9tvgJtvZeXaZr7qkMVXV1pKOtcXrpvcJxLSEMt0Yqcu3tZowssQkKapmRjpzRaMvq1HmkN9g
6zmNTbfr5FjMoSamPKFKG6XlIW+1tuxXLjrxYdODPP+UUCW++Q376RoAiKc2JZxkdwX6y36uO795
SuKGlx8SzX0wieDWIMtGoF+lS+icE1fajDXcCWaMmV5clJ+oeBqJCsHklvJ2N09KoSgK4xr9E3Mx
gocU4Lx+GCAoNSuJX/MllXbAcChCsv3r/bdVD35t8O1NknvemuQ/6cK2CvTT69/pI/iX5aRn7Btz
stf4ru8Trx/XMg6C7dB2LGAoPogB+lw2+67LoujOYMSgCcdODrhYKj+4WDrsDHRg9JAGnHkBfJx6
5kIaZ+WXuak+QFjS4SZEUCPGbQEtZjEeX3g2+EPrB2n03qhQimhVcuy6PtV2k06hct3G2hRdmqZy
ilVSI/NfVcnQR/fmHExPTLnJr+OktSOEwG5OzxJ+ufzUcfuZgaiqcdch6gBtDpEeV/MR1oOeoxFx
Rof73F0bK0qW0gvI3SqYtgF+E20CaIopKyxa/cw6Of4y3zDKPVMsinGNmu4ILiVh0jBR5ZradLKd
3A075msfO91s1wxouFR6lfEOWkZ/kVS641WPmu9zb+fwpBKrQ3UTB6m6Gz1t3Ns+jhVk/ICaVno9
n3wxxF/bjm0TOZF3rNLEPTV6FSyVY3u6Z4q35IEr1G7UmmMIMc3cfw0oUsh1pw1xumZxBxgL9apa
B/bYIQDyvOhmVV1fobizP2LQqUHIaJ8rw8vgrsBN2LcwADGm8ywWndBHltSUO93XxOB/rNiX1YVj
jrVsRtQO9q4WcUovuQZo9+bJQe10W9zbs8Uoii6cM47qgqoqui0OVKfGNpqnCdfHYjXm8lnVzAVn
jsuGWZs5vkJ69ikDkDqHyLusQ6R36S71LOvgN4GeYCESVWuO0Zr5sXIDo75ad3yNeGtYpe9A/J9B
dsxdY3wuhabNhzmxB/9glQILg9BomA+xhLGkkKZlYUA3Ou5GVJRlgya6l1oTn3F5SA60MK9ekrS3
ohfPU6mW3T81bsxjDOsMB54TIxvs805jpEcIkubnQYuYtQEcip9PIL0PJrgD9AOjPDhQHsjJZGuE
vJfenR3Vwt8GCKneqcFUVOps81YmfrOuVcf09khesYYw2UL/LGxnZGAtqk4Md9m/F4bF3284scRH
h0pH9Hvgy1Ss2raJ6u3s1yiMoAgP+At0uXYP2GDg1pX4bc5osB4nz4dTa1d4RCSWvs74SrAYsKAH
WRh1T9SqiUWa3vHvLYlFRm6MPNY2CMSG9N5ms7CLWICP6CZgPpl/0tTEsVAyXLjWCrf7qhdZcO/Q
01uwhzOLBrGTunSx7i9GwstSQoCGti6pjRMyEfbS1jXZ0zNglbeRzvHO7UngOsmjwcs3YB8sB7wH
AORQ40qxBIqRtkLJWikrDnAbp3iKUi9nvxej2E/JyD44OnHX7eB/+PdMglHE9muunHGYAJHG1+Dc
WFzedSRjK97EOV7T3t1Z0Ww/zwjLhvB1C/SYChIbrLeWpS/1Ijn3svJpHDfSvpfDgIi2cOaR1rDW
fa0s2lMIBwUrwqS590wpR5271GGfLlF9ifXUAh1avHo9IoaJFGX37WMZFaWqXZtkRBKRpnF8eWBB
79pCiD3Td+rcj8S+JbCjjTEXODmgPoSOA2WqtBlqd2PTCnUR1E/SRDX5znRGPnVaNnxXOc5csiLf
9y522xRYk6BDsZl2K5J4UftJXx89L4yV7R6HvINyhVfe9CHSaufJTQw21klAcZaNUMhRQaJ1HBlG
fJWoUCb2zcK9t2fL79gXPeNDUWv6sRkS7aUXbbBLBhmoFZ+ZKCfVvOBmKtCm1DxR6lCo7I2rJVqO
pxjhXr4Vns3UQ6zS5Y4yIjFTVoF3EQ6NjzsVM4N99SFanmgGH+x5HkpWXNHxGDWjJWvozVkXOlOc
DdbthY+K4GZoExQY7hOh5QfXSrXhw+gq+F9hKpM48S8MVQV0CxfOCJ4ZftxO6XbKce82PmY+0XK8
U7LHDMUg3MAtC2qCbkfY1BVluu4lXn7SncxdiYRRMkib6MfcFsnJKvsxTLWE/jQ8hbUCrHgssrlh
0DJpL7XPzpKPifaotCA9aj39zbFLOHomv9wzGIg7n8L3vRjk61yVu650PHF0L7izpy4KqZG8j322
dAvpxZbRA9qXlEmp/av2UI9ATOK+MC6VzRbDLCeA9wztw8rIiUh6t8xftNSGlDbWEXDxugTe2dKE
4w2UIbvCSwWbXSumd4Gy5YF1TWAwtPq7oG/0d2hBx/UIXcPtpnLPXFa7ITaOPih3gIfLIbpGXCk3
yrbpYPb2Aw5t1XueNudypYojJ1/J4CQGrZ5Gpdov3Q1NlYchtyGrcKve6VMTf2zo3zJmZ1qnesSv
MbRimjtQyXZFUDCLOJ6t0rgQ+VUbeMv6C+AJh7LdqxS3BGIMKbbypB35ey2b/wlOkgdiD7zCWybg
ZbIuB72oCbS1kVllTuBuNeGbxQ6SLDOanFfshn1W3w2tiZmPhb/gQ5cXLNIyYbdJXcGKnMfFCTsC
UtKdp1xmFM4Ju/8mFbffZlE0L0g4HAoL6Gx/GibHWCYLOPGafQPvgqAfkiT2M0vg++t07afsBwEP
nQFqGaT9Nonbj+lhECX9kNU9NpFwaAGW01m8tp3QipWtjMW+eUldXrfDX1/3p9Sf6y4zE7TWGaYg
U/zxuqTkBZQ21exVVrjPvVaKfdmpQm2ll7B/1WU1XVw3WfwxYW2k3/hZf1lp/7lJS2uYaQ0YqS4f
4m3DG+w11RPDrfcSLzpzhTmNeYWmU9/hI8RuD96GP/VGkJYskTdNeTb31xvwn4rd31bs8OL4bq38
LErlsE3+ET6LukjfYG4RMH5Xt3N+I81y6XJ/M5leKhv/XbfzAdby2tjQb6Ej0Lhl9f133c5yf6Mv
SAWGfodlmub3ttXWb/xVg4VhBd/kcf+OMBWmxZtXODDgB8L1ctDsGWjjlt7yd31IbyExQofO9thQ
LbFBsNhzzh015rU5CqhE/djo9Yr+VeIeIuzs7QMBYeAzJo0SOjQlFu1bJhHKfFM7ddwCjKoNuTi7
V6W+0kkavpYpgRr0MPuAg5JxYpDXPvT2wJKeTIbfC4TbzAcZbCAyK3in84LKM5wx4iJcOZ6qJfds
9JkXbszw+10x8e/fG8zwPX+rU6AAqMK6il2Xjo/pNzuz8BKxIbBcfsRibC/MITmdzZZwn3EWLiwR
0HOqdL66xMohCUiZTxSZSRSflxzUNJ898S42K3oztSNq/+gibvra+bpxLaqlvGAkNHCwo6T+0Nhg
XadCsQ3kw7IPNsGSOJtmLPa6YRnXRRv87Jn05etaG/bWmFgfZ0mEV1kkup2lE1q6ZWecYpM+AdjX
OLpl7qJyA6rdwMAkhAf7CWX1aybQY60qGyO4FMbhE6P5r1Gm4K+97oUlmebzFC8hyxDzARxD8mll
wdV0K4aMGCXUOQbLhU7lBopvbedc08+t5onclu8evMaLg9Stk2un5V2VeMQLORGWP0bGSshUPWRR
Oh6sOoDMvYTtHJbL/UR1tUTCqqTmwbrm33x7oAVjiWKNkwDR1bA84deIkUfadY9osSACS6yYjLXK
4XasMVLM0/dUuPgK9ZTxW7B840+/Q5ESOsXAfZGZRgSWKG2JbyZQqIBPPXLKtkfssW+WQfZPwu1s
a1uUMxMso5xfkghY80ofK0rFhbz0c+dsJ1xj7bCIKMowg5O990Z8o3BcbOnKGqV5rQhQnl5zwdop
Wei5QiC4JQTgN82RyZ8cBHy2ZFlEsMnUOWEUG2JJP7IaTNHxZAOr96zNa4pIcX+wHwrP44DGLoPF
p5nEvhGNHFhTsum/enaA14LeN8YpkS0vIQx7HnBNARoUehATuOdZQ3xdZdjDhXnAIMWGUhvrzeC1
vK/hv9t7D5zVQctGgu5JWnzudB6IVUvGXKl2xFW0IhlnxUTG0H1VRFEx41Uaz25c1gmVLCplS1Dv
Wz01QweTTN/o+GV9q6dkLACscWogiR7HAJEjSbLAse/2uoRfY+gp7xiKX172BcT5FLmk1dIauCXS
jKezinkVQLMjDUngzW1NSrS3b3lWXzekVE3hLwWypbD47cR/fSWYayLxSpd4+zUGanU2DvTi7dPs
kYa0DhO3a3dwjauNRcpNW0qLqIqyhDGwlgZmITxeTjSLaAtBk+yKxJEj8I+Sr6On9iHtFA+0fS1g
wTtigaEFQaqaj9yf1/Lca+o3oWw1V9RprYOX1MG9rIvgfm5dHmGfTvyGujFw/ilwQ/XDwesS65y1
I04xmoD/zNjJHKz1ovH2riP07bdUtFUaiXeiCWSEOevHQuYnt3M3DckGnQBvGKVRPhBpjLqUZi2T
y9QpmOMZw9Xp1JIXwvS95AHbs1/lGpVzo+D32EBODjgy+OusZ8vQIf9ce6cZuIPkZZeGhY5tUJK3
T7ketXTUuxhlcmJeX3srLlMEEZYuFDk+dAFjDcTTbJHWzBdWec6K0gI8HNaFSUE00ue5Oca1RyJk
VWWRHJlwTneZPqe7AaExw+KSp1Skkf3cpSZbsxFNrCmmwVjgkzvzWEVXOM86LgrUYCuDGA/txzVD
N8KYsyipCkPWY70YHa2BumKVSsZEXdy3W+OU4rp8LWnRCFgkCDI3Y7DEip5R1BO88CUmNmEifI1z
6MRp4rC6MZSl3cnaE6ljZHeIKMR+MBaK5Ouat03QrqHe851DEydQi6fpYsmcjsGNOQ+qSkjRucQo
jbaHgs4IBH6mHfsbeaC/ZohuWY/B1Plh0/rBDfNlHuS3LS3rDAJ6cj6WkhNROjtkfofvQwsCSGwa
BkzPtsvbVRQ5yA3UAZFuEXe+vnHl6Ns3WfUKkVLriGT7urPWdUK2LhO/vRmpVVU3iWA6/+SApkzD
wl52KWOU6c5Oeuc5AFW+yYa2fG8kSKdxoP2KD1FwEE2zHAatvhzOmK1jmkpifJKzw0YG94432Gcu
00Akjj84efyUTHu2H0TcayMeCCFWcQ3VJ3TrObgrKd2hn/YiqlJ4WwTF+zkDaainjJCGmIHGN45S
wcwKSdvRrnTemnyphzPxAvopYYuh9ilNkJMQgN2vdVXe6tgQxyBSgy5XE/Ra4hBLXAl9Md1eDqLO
rYor1MbmjjPGP4Ml1CPe3dHCapoZu9Yw+hOdofqug/EdjvCNP6ZeS4V2qqLPbW9uNLNu7zt830LR
e6Hu4diNrKk0Sk3u+346dMnQ3HlZAMLkjFtSHWLS9QkHpm3TdO1WY6L33NjjKiu9S2Qy4PBpovqj
cU5gihUdgBWU7Kqw7OmEMTBIxdlcN3QU16ZrzlXo0bqJV25rZ6iCzHJvYK2RQBFu/BB5urXNK3MM
Vl46b/VByaOTJXkewjKcxhWjwcm0nVwwAvuAZSnCuBugO5peEtz1lj2/81XvHbss4JhLFVRSpSEo
KqXx0TZGDHihGb9L59w/embE6jXIeN3EhxPvZw25faNor+TecCfUCJWRlNdadZqjngu7zj5OXvnR
zry2uP8v9s6jSW4r3bb/5c2hgDlwgzeBSVeO5VgkJ4iigz8ADjx+/VsoSv1E3m7pat4d0U2FWiUm
M5HAd/a399pV14v7rszwQg397GEyVD5HeWv63rM1+Jx5hCv7mWrXjYss7mw3jzzSk4dVK6CKTt0U
rctQs/lr4YsLAcF0tPrixlNZsd7wfjlfi8GTh22E3kozph6n+fzs+7T1ljntdG4yf2IzEtp54X6m
O3V9yOwV/biCv2iVLp7+wVb3PZ2KjD/Sie2lXr5QXvCkUWUF6rvvb7w82+7rbbXDxh3rQ7Nq4pj4
k3tNgBduRNc/df4I+Es5TEZxX3fNzbAlO4mhZj6ZszZOmRsuY62MC0tN7WT7TX8u/VFcNxZlxrxp
koxsR1rRIaK8dJ0Xaz7BgYI7Fqi5unwHVhcMl3eBvGHc8RCgDEdM8pCyNztX2MTv08YKLYlV0SQl
dfT2J4S1thMFtD47wpIPrM9X7WMPzy4CG+NDobfvx7w2o0FK/aEk7H3drNXwTBWCdr3WRFlYM7j8
3Mzs+nmYKqwqCY7LC3J8R6/q0Hwo9gJUhE5q/7i+UcBNhYThzpZ2qzudHvLkdel+FofRtXetpayB
vbvuK+Y5dKRdySMgg+6pVH/QMD82FH3N+Ju2YTzqSZmFNjvCkJt/Gm0Q145Jmg3nSdpf2ywVsTkY
uyyuV/vdyjiv0PpfE6VTQJg0/fKBiThmulZMgrkuo7XUy3gAPveUdNxRuPMrkj6NwQolN90TYo11
rDN4XL0JhcieK2O+zkbNpSjCGgt/5EbCUbuLBlt/mOayMqj+rRTFaW5HfvYhTwzApUZR7/0RWz+l
X7n5w/co2KOwTG3pUJhkS4dxQvKtARt8HJxM48akcufkleP8XoPU4/HYS0yHLLSRRQo3jiqyLibI
19zkPd+LnK6E963jVefNYdPjs747UBW3ERje9wuFC9wbkOjznC548VgrNEK75DDpqNoq8W75X3zf
Sq9Z2d2Sae5fNArRrmrl4Y6TaKRMA4/1aBJ4n3tHEejwE3jGHQLjS++0o36uS4LoF60zNnM8cdfy
D5aP735mN6oxOaUc3JK7ZPBnplmQfJg088b7mHQVN/WkKCDGcPtedTZANnB66E1FQRgnNCuh6UHa
0w4H7YHKEesjrQM8dc2xWEn+5J6VHghu2/VVh1zaHQB3oc7qds3yc1ImMr89MoNmKmPaknPPIOJM
gmdTjny8XvTdGrGas/GEnluFdTczlvv7zvRPJ/5/Y0T5VR3i6GxzsDc5QJsux+hfvBng8NDchrw4
JY2PdF43ACBeNrGN/Qex4iU4iNpnGmlYAJL5n0sevn/9At68lj8MMuev//f/AAfHEALgk1/2UlF8
kD8f3ucMj+lmDunJXvAHsArs0VxH30jMW4PsZ8qwmbTH3MqzlLRSskkSnn1ym0pkbU8fjVtweUyV
f/2q/s3bgksGJxBjO9THX80j0hoTsu8iPUmN0Y8u+wVwbd4wk+5grRCAA5PPWG8MR9qUtn/n7PjV
u8KbwW/v7P9lBKcH9ef3RK5uSQn9xnuyVhyFaNBaIWz19JsWfCB4zCnXsmbPeirdRDsb+yZI4mok
zM7ywbwTzkoCPNDLIc1Ow36CbjuCu9/f1vmzhKf8N2/Xv/kQsXsYyKhofWyaf32/Jj/NNQtA3Ukm
E9QQtrUjhlSHUFFAPJCCQ4KzNIksffdai3J96Aa0ii7jLJ83i3qoASb99Qe4V9H+ZI4h98wMJKzd
02UZPIZ/fgs1u9O2kbkBJAhElODNhTAgSb3vkXh6cAj78Xc2zf4rhhXr3E6cL+SMTeJo0D2eh33f
7mcw3tm/fmH/IzqyvzAs8z6lzejN/0MRdVncAwXtslPrpEyo0M2aaiSrMCsXG3Ju9fKReh9PnNdm
3+fgoe7LyyTMCSPG5PekmrA46DqshgAeKXOxMXCM1XIOUcCeGN/z3WtRJTTNB2rXenAa8M3W6gS1
pGTjNd6sCINffxxK4fPh8Nh2FUCuLXyrZLdCgGXBQMkc94o/l2trI3xRBrbbcgL667fD/FUW5+1w
oe84BrqBcLCt//w5ZYbW5Su7+KOV2dwDzWbDguCN+1FHLrz6N68GbqRJe5Tmvqde6oyXBSlre1x8
h3crtWjTDO2NmEVRCf6SN4v/XdxqTeM3ecgyd5V5VkRar8eZNf2poaqxDsmUTmmcTp06betuDbNN
wPJw2FfWFR4Hgq9vf9j/KtF/r0Tvt/W/8I6+KdHRa9kMrz/7R539B39PZ/soynx39u+MxUPLNFg2
/K5DAz6jbo0lA0klD0/lzk74wz8KOgHvKPACtjs6RkSusD/8o/ZvZDoRjPkxnj3caf+JDi3cn5cd
O/N477fnQUoxN5fzznb4sw6NAbLtncU1rzdsHel2zPt0HQDpmnpQr/2Nhusrbmv21cHk2QVhRnz5
H1HPHDCzuXHqp1a7Tnjt8dpp9SFljw1UdOtvmpT8lbLGi9fNbkShunPVjFJ77CSNZIjGkExzb68H
q51HQisLS1VqeBGSAagabdcE9b5wdqju4ghH/shEkpWBPyXWseiAvPO6aYixU0zU2Y2De+MCp4b8
ZJfcz1t3B2At2u+xAV1vxqnrgQERhi9Dt3IuhgCtOeIiZ839dUSojcai7UMiN0WoLLneJCqlrnog
cDnp4BDgq3RVr8WMVuR0kVuOdtNx70nNoyZt+eKvUxH37U71qURcLepOlauIuVsPr8oc0ELdGinC
pnjWqtnjGzX9SrxTgjOB55/WfswfXDwP2MSNDRHVBBXVrHsnUzudyGvfqdXXAQmXGyvVHMgM3MBA
6K0VZwA40HdppJqh1gcTJaIXTmM3mcHsx1z64Ov1HA90fvv1eGoFsYqkMumGg10cUgamR2aicx8u
AGJm63t7mKDKDPsfoi0JH1O9ROZmTENlaw578/Fz3UNtXhawydLIr1q8A6FFLVuzuQctB39kU6sd
0SmuBXD03KCznZOf+JdhhWHrlSYk5C3R3q8WAgNHSpuuJJqjrHFZDqZIffC59Xo2mWKeaCKmC8Tw
psh1Z2phF8Om6Vrj3LDoIpK4NwLbYwU/OnS0oSXFvlF8apdWXHWad0ZUqEPTtrpo7NUcWBxqWBa6
0Dg5tlT0EpRF99T0zntv2a4Lc3aDdHLEQZMcazGoZke3rV83u/hUdIM4Fk2iUL5nGcNO1S6d6X8T
qLbRMPl2xDWxk0oDZ+aS8FR6T5E0zNmUpByHHzLb6YDcYWyh6Cs9IPZ7xo5pfFrFZgBO7a8Wrfy8
rWIhe+y1cZHDIrEloum2SSjAFdcCbSJd5KatOGXE5Gk6WWEmVvy90lAftH6AqO0uSYTrYwr7Zu2O
kGlF3EBlODjg0A6JVTwrUv03uDbrg+V9Tv1evyyp24V262hPlTBI4gD2EpFb5flDPZVeKHv4TgVJ
7CNd7OqJOhQvwiBfPmw45aO+325AflUHCu1mPF6Zc9g4+EQ26LxYLnSCD6am0/6ttlinpyLmaZeF
o12aUTZYEHvdwjkbHGPDPPWmExub82BP5hVHE1I1iPLPI1TVw+glVmQib4RO6s+RPZPs0G2iGL1d
6M90xuvBoBkO39xuOwxZC8dxpLSQPi75WGrW+o5Yjn4xkEPsgNmGTNeslVnstN4MVasmD1bJErZT
Xx54qeO1C5mcf1AjIZJXx6Z0bhF/PucQYaln4TQ4dbAhRx7rkbvxfrZsMk5uVpEOt/TvS5J5FJA1
9mXvyAkKZ3jUvfzMTOxcvI2WeKHsBweTbcyGp4kzeueDba6cSGC2hLjtf6H07SFnpcV2ANiFJJtX
5MZxzbVvNUTMQwU2E23sOp/553tXHjGY7PqElAc31VSIC6aN1t21kLmWFxgif+0amtFSDxUZFvTJ
3W16FdlOnD3jELLyX2MzbyiZlx2XVOqom9V0D3A/X/1u97zkcJkmyl0eEzNLQ+AY8bhqAbiR4riI
7tvUI9G5GxXJtiogJlc0HNI6WB6KypzicmXRsQ5lG4Hf9U74ye6ayvzkOP11kYri3NvLe2/uXeZH
ZwjJCDnnUc/lk+9PL1Wi5gjT9zfKs6kKS+Coz2n1ZBrjlSsGddt65iVvQLXbTVOx1yHiqqt3VYbx
L7EyL0y67rtSow64gTyyvY3NUQjaahJKUOJuHqprNlHqKBblBbZFhV0Fyr63sk/+iq0PpMepqaRx
tTnQfidz7Q6DV6HxePyOctueEIvzdz3tXoXBQ2jRkgWEF8Dk0kirg4IEEOi1/bhvwzDAdvnV2vXn
VHVAwyYLKAHCNhYrHi9Z3Tkfq3L5MCfjeHJX92szmqzX0io7jOZAPEsu2oG1EeJKPfl3Q4Vfeid2
dELsL3y+aTtcPwN+47BOHppig0gAHH3pcozZsOXPRqa9jH5bBB3dlxYNiNwLx/HsTZviXpODL0kS
58T9N79kKODHVOMuN3vs9UZFyw0NghSgEvc+pMhNB1rzqOAWrXFM3eJlhpUKvd17Wof+qsfrHaC3
fre01r1Uskp2qWkjIOkYB7txvdgQtX7xWtZpjeBJvnFXPSgkl2j2Vnp9PuMPlMOzoCoSMjyCW+fL
08JOT7R0vFEUNb/HkQMKgzI2py+qoOPqq707zIT+zBIvY9PBlwyrod1bp85s8gmCWgul8NkaOT9C
Y19XRSg2tvuGuzeB162dc3qazMR+sESN/POxmRa5yYuypt71w6LZbTgAHCsMW1UAjW1T6r/wI7h7
+bD+3XiNeINC8J/H67ss/5k79uMHfh+rPf03G70BcAM01DdW0b/GauwdHohmDvYgrRAl/jxWG79h
uDDRKAzX4Zc90P/7WG15v+0la5zoLFx07p5u+gfcMeNXd4dLShcaLLQMQA9sQX4RiJJZS6dM2vYZ
Zxa8IbPYyocMIPyFjrcppOISLKBVbAcmqO1gzEty8QDxfeTBvDzbEt+FcIr+hSbT/iXF2/UPk1W8
OpPThc0LNC2HjPrPM78PAjIxZl+ci0k0r3Ym6EfTM3kt7QXZocur9ei3OtNE28Bx/dOn+G/EO+Qx
/u1/Fs+8nbrBuZlTEa0yb/abP584qDfGeTLm3TlJkw91l7Dem8fcvyl9SIGR09ruNc0mkpjr6rhX
i/DzZwP7xadlk9tXd+zZVLTbal3SKu3j0hmr41CpsYzxhTr3LlPUGi4o4edkrodro7XaA7OyIBlD
VLtYau7TmNzru8xciSO4WJjhpSG+QoIl6QBdh2IpD5sqoPrBYaYuHPMjBH/aA9hoB6gK5KRwYcc4
lMYH+I+SRYWQ7KwHyysPKW7oLMQ4x+4sF/qLBvefCI77NBK1hVK1dTyDXaeVt0qgz2nZLuiqxppO
K2pHWFJxFhQI85DfXMjb1EUyfLSZzMLaXNYPstjt8hrdMdf2XDD0qXV48eYEVG6uw54MqC1YJjo8
PeRuq1wPcwYAZ/GB3WjCnPuApqPuYd+i3OOaz42IUCusuUZ3kEtdXUUe28h4HulsO0xk6+jY4qtE
3s1LAX12nYPZkEXmkzE2WSwHdx7PvudXKRBHOTws+ciYZ1gzIIvcMfQDW+HEC2Qy4HIJCO4bwHzT
zbqij0RnMElz8tYl4jhh+k3wsRaaODEHmlpQCZTx2bY/kM/34sx25LtSquWAQcpEMrfRhYQaeGqn
+gLvqijUQQ2QRFd24sfN9EhEZCYkEz2nwnCaIr6p/pkkZ/2wkcwhdNKMZKcLYE6ePbivhFfa01br
W+xX7XBac9UwUaLwYi0vKP3CZ8iUFk6cXo/weQ2qX73l4nsGOYliF+nnjIdQ5drZNzHr053R0CcS
5NKtvyEkESXB9W1xHMplvdeIdHkARtC2AsdVThHx3XskY0F4ZKTIBF81oWFnfjQUeNg26FzZTGGC
4ygNiyWh6sajq++rLNC9qP5TxdHUm/krboPaIC+RUVgatLD99Ju+81X+Sj9L1Z58icR01/egJ7Zx
s870DxfThz3e5V+vVL6+bvhuxzDxx0Xxrei04YtMxqICATN0WQhPhEj1MCqpxQ1dNDfEleQKO9Ad
jHicUJwfV6tZ1xM8WgzcWiL3lbtUdRqpkQDTJ/w1MBCpMQE7jCdHsiadS/0ESjnjUTDIa5XNeRt1
zMavfYO6uUuaXOqL3pyxtZQPEOP3myHr76DccnlXbCOguLHpfAr9fH43tf/Z1gwatUo2Y2bF2Se7
9Cj6lyF3Csr08olXz8FnO3UNpOa8mVs2dTbm+InOxcC3JzZ50CYsL+7Z82rBqC/jZ71gkrwpIFDo
t2CCWHe0APZf8Uxw/GNtD0t1v5WjAvA+CVaaMVwC7qOlNkyk+8ztfdVbWt6E5Wxt1EgviZlUW8ST
wFhf7XFkl3bxplznl5L4FCIGxehMyEFjbPP0QcJTy3sQ2bZ8Hdeh5tJRW3/VqM257XqDV8wKqNEO
88hKZO/ia48dvY53WKyIRzlNbpKJM4qFLWSKzN40fLGoAKjulF1RBo19r7EjD4PDmaaKwcSoNWT1
dU3GsOCWuM1cuzRCnrGFeNOt6GgyRMe3kzGSvXI/sW6bQUoTeffDKt2oSmo8Z9UDVqeeQo1x548N
bc63mbP6dQRWpAkSTxfnlP1nXM5987k3hmcA3s55Ypls7yDk+X50KquKNGBC09HDWUF9jAdKAqUV
5UfYRXIwQBrfZNaUsD7VaELNmOchNYyLwyg42l9s4nNowpaRHQBVxIXZ0M8HB2G5FoT0rqhUza5H
d1N9wGxZnZfOa20KkZRxZWnVcPbZwFKs2Ccwc3nObPyR/TUSfoc/nESBaxJ+7OmmwfdIScI6uHI9
ytlauftNTqEi7uNpaKe2OCwJN/y+tvqX/+qy/7vB0f7rTP+d+obV5SdFVrz9yB/IWsP5DdHeZ+Hj
u6xa9vXhH4qsKVBrLcznrPi4Cv+c6Hd+wwni83Ou7iK6mkx8fyiyTJV8LeHYMs2wFdD9fzI6Mm7+
PB8hs+7GfoYz3eQ5zYT783RW9iP1E6OfvytKbix+iIqJVKDS0rnzk1aIe+F0qgc1oUvEncRnPA44
izlhmUzNvNwihxkciEri1f2Ql4P1kMHdqpYXG+WiBC+HpQtrpyxPfF/1+d1QdfrXWm9nHslwOnMv
VEbmUUg0Gg1ujYaTlTcdG18ABc+64lIX0vhukdOiZor13mdtd+DDwUovbim6oGlSFh4DZWs2g8kx
3ZotsvxKv8O4xnOMk9g4BjzEa/AxVatsvlpCe3Z17TMwLTIYrNED0O7urZNN+TmHlovnTeRnl1Th
p3m/vTLOIYAq6WQPyvVKus2bZX1H4VviR6051yq2Wv7ETHHbwJ2cctWIXGB21YEkp+AjDSFQO59z
MLvPPdpOcWub2ABxOLt3udKJ66wUeODdcnCiDGT8yHr6iz8FvY7P8NG1B3KRfBLrh2SF0afR3TYS
y0nSR6T2xA/Q4MgBrbz8c+4k2RWoHmwSDFv20RGLfk6lNcHEKWlO0nEyGAcXjwJDYW61L6vi6ZtS
2t6HnkvZitZLTOCaTZ08J/zNozFldkcO8YJLothybj7uklHMWHA7UlSCuetHhseO7jLFlRWaDAVL
5FfZEuX6aPFYYwVXAyb87ipEwiyFItXnAnRSajmRvZPWmezc+w6aDgo3e35whUNzXzoI7GuDmKLX
nXGv2f4cy6kmkyZcJCGlbOfr3Pqs/vjS3LJr2JDi16bOOMqvjEmHDpTjtUjhTt7octTd9kKV0+y1
oJbxmaMOYOlAxODQ1L4TZZdBG5W5IQLdwlQmg8xDoMMO1pOtA/eEnYQ5wKNBpTWEJaKao791P/Yp
n9VmTO4jAbccD6+2+O37Sk0upYBNr8M28OHYKX23YiNj7yh2M+1pQ0bhJS7YptnXGiJly1LOLV0Q
MGutXU80yPQ78rC57TUvv57kkF05iZxfzTpz2qAk0RyvJOrW85KuhLUQ26RCu3X07LSihTX4wkRl
BIOxDkY4U0k3nHRVuweZ5vk7+tJQh7Nuglvf0MjLNzvxsESR4M+HSBV7Q1ubsOu93ijo7iJTE1S7
ZXyaUTvV++lFagoMGDDr9J0jMUKGCq+Qe7Ns9Xxb9bZ+VNjHWHbApuWKExrtBy6gByCs+a2GgDYd
piSpMswiuoOdovLmDybV2ccBiTK9CL0nmgto655jwxdt8yXfKc1plpB90Grf0sPTMyt3WT0c0nFt
PizJ3vfm4Z562jbPRHpLWiWP/E2MzjC3h+HEnWh9pOJxac6mjUQWMqKazrHSM3NH7GCitppWfYeu
+WyPpPqs3O63x6k0p/Y0l5kB9z9Zl8hrNZ7Xfa8DoizMe8EuXAaJ8Is6LlLuZvZI4qtcu+K4LZZ3
KTRvLSNv1pblejHoSXJZXG8RvxP9u17Sx5WRJiSd+ayaQ9pukIk2Yd3DINVpkByzKoLpZ16Bs/dj
yyswVmj5bn0W2WI80R+dY76vTD7nUqTFZ9W5xSv1ENqzparpIyf7SXFoFILvmlgmKgk2C7cwoKoz
6ybM8Pif+tihl1pd8Q8IbE7abgpFz2hXvIkexo2LwPkHsnuFCdOiz68VpyZ2IFlootenHLFUSj6e
MfakdQqVOaEZPB0CTPT43xvZjl7gUej9ZKyp9R5z/gvODAe62psD25e6eXK82b13bI6GwKvWaDAz
Oi99zoY41bFp0jmYpOFOP36QSS9uq9qEwVErGC03s2qaG2xSTnH0usb60A3wCpcF4+Tg5NgC6Iaq
2HRP+kA+dSqW8aZua0gyq9E/kOYrVNjw/ErvjYWQKgq6qNZtPdWWO7hYUQWViMkFk+Ps3QqvNA7/
naf+V/MUASQUmv8sxL37JmW/VtOrzH/ec//4wT8o5IJ6Y5JMoJBgxXr81b+mqjetDks3PUhvmttu
e/ljz20yVUG6QceD978XLv1rqrKgK1HMBj/JM8CM7BLaPxDkTGefmn5Sndy90ck1dFMgDjq/KnIg
OfutbnW2a+6Ob2O24RK3qxkKWLJAPcbtb1hhXeeqPsyD0/kBFlJ1BraAjrF1lASEWaXDM+76obJB
QNssOYkDjhyQv7TTkNzNDrUf9QqnF8T3YgQbtAGDh23f49tbRbQ5FQtQzQJGELM1wQNsZuQLY8yH
21EzzOY9OQWesnsJCTqlTrh8254TU8M/LUhWxcrXaS7h2dU9kuuhz0QH6MhabtlrTt4aT8q39pMG
VDxI7JZSFLbCCTBEecrdLf9Ge1L6Zd4oUVn4mQ/22hRj5O8lK9lb34rhcuwNMExRFD/ulSzNXs6C
w626mvbClrzJhptppsTF2OtcEj2h2aUZKHlh0mPt46bFFNq8KeGy18FoJIGCqq7JecNOoBNkL47x
FG8zDZ24Uukh0S/SodNTQmJiC0jtjOnzzou9imbe/PrdsNfTgLOs7/W9sqZAubzL3npspr3Shppu
ntV7zU05Z+4BFqc+hCwubqRrpHq8us4MqY0q3yKUWMIR+IbrsREfejsdHg26K70jUigdOyYhHGK8
I9U7Uo3W+6UqzQNQG+9IpKGgo2dLkhtMe5T3Wjpk+oYuEtue+geK6r0idt6CxnvkmCejjEVtPLjT
u3oPJfez6I4MPu/ESGXlPhtYu0dw/GjsgWbCFcvd1Bd26JN41npvCO23EHRGHNrag9E4HBM4BYW8
t/VB3NB/+QKsxYnwZpYR7THrQe4x63UkcO1oMPZmMth6YwxhWRbFQ7IHtMc9qp3soW0O+/SAoW/U
gsVaNupNlLwFvf098134iX0Y9xw41q4vRuJrUPb3qHg2kBrnIuckuyfJ+z1TThjFig3PnqMSgyTr
Z/u+4WoL2RJf0WmbBbXXORHcmA8bQcRg23PrGdp7YO9Z9nlPtacj+XZjhJBR7Zl3jljpud1z8HbV
tjfk8/2LSzojKgiAx4rHAnmKPUM/dVw3b8H6Zc/Yt4g+APuzPCreIvioy5zlOes/rHtCf0pzQVrf
EfVKdt9LaEA8IKDOuyRpbIKMfzG/Jf7nH/n/VQPN82hCjZgfbR6rUAJsfPXGe0NwLcS6XeRXjtLd
e1IXSfayiI30/GgUlXWQ/s7/qchK8ftP+S1V5SZCf0shTgVXZwoV60lao40G7iN1urI4z3vlSFA1
GyylhdCOkEeFnXp6nPJczBSrvQmC6Zs6WFr6VHwsy0FtMtqmUrobFhgovmvr+Fs09UjEEZdZmn6s
DWic4OYNxuBSa2py8HhK9HhZN4NDnZEv+4J3Xt00YvfJAA46YChTuNSe+Dg2ch6+uKVvlA6wFpqt
pqAah+aCTgdHCkGXUyW/OEl5LkAfaAzoOoidJ1mOANT1jkNvaA7KZPMBDP7H9uK/jrS/WZnhqTX+
cmX22Iz/IRv9+4/+8az2frP5V7mk63WDpzhSxh/RaOs3tAeb/B7UyR//zx/JaPs3jGhYxAgtO8Jk
ufb/n9SUiQhPt13wcb9Xqf6DJzW9iL88qVnR6baOkkI1K+0F+i/6x0gxnlRF3pyWyUXG9SmJp1NB
5jBDaLk5OBIsLbJl4d37uYWL2sxlfst3t4mmKvO8CNMZ4bUkt16cPlvfUcgmH6feST5BNQTuggm5
JTyx2adW7a5in/foKt9h87QecqqZFw670aAtdB9nlutb12gJdLzxnQUKKmzrMm5d1cWdn6MLqnWF
Wc1lzwl7mwr5va9H0luuv4pDqfXiLkN6fVdmiQi1Zpm0WO8068LphUUAH4EsIs3KzIw9YY89oFmd
G5M+9DYcTA5BY21ZPAc96wwDVpfxUnXTR52B2I+gmgzf+F0MtkdCstNKRkk1idd2dIK5TrX+CL6y
LnBUWKLel3HOw/yU6zgCY9Iw9fecD/wEjAcunLRJWhpbnnzdHBuebEke56XdiGWECa/sRbRo73LW
ywe/1DGowKy7m8dEPrWsw+6GXk3r1dItqR0Jcg3oJRn3bR79lZFw4uy4/W1Z690vJa+rA4VL5MZI
kno/3eOdEMXi3m/51n4yUs97l1TYiwPWZboRJdgXEVuquTm4Xk2b5Oael7Zu70qj89/ZfZZn14Xw
7VPP+3eYWAZcc/ftjluW7bkS3zwsb8yf3JbNI6Eu714j3QZzPYM5t3r2qTbwWkHMJUfJrvNMdse6
aBWhVFaIzV2pOjy8G0+O2HELg+MXT01iFqOANGza/WnT6oE/s2EdLJl3n+et7j4qROEXJk2O6f6G
A27Xgenp1Wovhm1AwSC3Xf9+QWzAkSD8R4i76f1ClD8FY6uYMG3K0xlKe/y8HLdIDrEkfPVIiAFt
MvzrtrXc9DCuOmfzpZD5KXG7YTtDfQMNnyejdm2SgpnDmW0XSUkiKoSSGN+Gc2bzTAvSuR0fWIfZ
5XVmLcTmPM2wAoOei2fJnHqT/QiIoDGRFvF+REectxxJSrU7xkLt94jJW95kfcuegInZN6B7IoWO
ddIp5VtShcTAHlvB/eodUvUWZ4FtpQ2X4S3nUr1lXsy2J+1i8x8VyD0W4yap9rjOisKPMrlx63q6
yvcYTUaeJtmDNdVbxqb4Ebgxf8Rv0lp3ZeTusRzbYuuXbyR39D20k+zxHX0P8gyWXp27LZ3f54OZ
R5qfNTcsdTvMm8NDsYeB8DCabBAK0/BYTGbzeya7FIPMHiKSe5yoUZhAGI6tumVtTOAo36NHzh5C
gjjdk0eSvIbTqufklKbRHKN1WJYrDbjduRlpiFl9+dBs3vVQ9An7d6PHydoslzkvxthd8ioWAyIW
+6kj6of2FUNl3GGHCrtkOy4ezqs1R2Lg9ODekmp+JE2fYg6c962k/d5Qe7/niMC6rWNzB8DpwbAs
M5gUYH+2xqC1BDbFqQL45eHlP5BcCZk+5ZUu2/5bsbq3+mYmHztVzphvuupROqC6i6npQ8rR2blW
/fTOGBPr0O1e/TnHICic7TbvvPVYCabvLOurw2qURFU1fsqg3QB2nGpaEmrbxyZxKX6p3LutVTfD
XCbs0jK6V+AxHLsEPbtwNP1GqWS+c/rKQ5hoPrN06Y6IgV6cJ2tywJbNNJ/YfdgYZnfaGvyA1TRp
lwKYxNVaEckc3fTTvveKUgMdt3TJIZr+2ATV0KiXuejmk16nwzPtFQMXxqwdU7V8H5VTHVfCjvGg
iDBNhpl8skpbqwOcfeLMArGGxOmZ+nl0WClh5RX2lYT3cIB/xtTXpuSbW4BFFy/B1r9omns/tpmP
f4pHU1EDqRtsUXNVOJt7u/adhHTPJrOIvS4fHpDSk/d+B7HOsusEY+yY3YLi6D7LpmyQype8/NAS
42PzNakgyU3vUBPHPjbbBKVjTvQXX6VaPEzAQZpZbrcS6Q3n2Qw6B+7dvcX/cYPTW7vDA/XeJaKg
h4ZPfjbtWSQyqhlLMC5DaVzspUiv/bL2fBo/iMFUQz66YWnCwAbHlm+RmLFI2JDCwsk0rFsrYdhH
nFrQPJFdjy76JQZat7xoKmV/3Kbo/dqovR9avX/hipNdlI9ze6VbajdENvdUF+m3VlHKyBt4p8eK
y0BQSbuYfbjsFVQmVlFAWEJD93OLbxadYN/GWhF7IOtNwH1IcHgqIkQX6fLEDou1s6NdxHpusnF6
yPzS+7pQyBe3HJivu8T8pPnj9zyX6Qc0iyVgg6iHvbCfpbA1QqU9PZtWCcjQIEq3rV3ynCpxXKzi
U+KMXzyzs49bIwZQFPTnolB/WKfVj4YKL6Xrqteurkp2j/qZJl58KYbZfksTd4IgoUHTItB3mqBf
NaGJ8TfenMR4BxJWxQjJ5b00nFuZsg+nsGSM68EEe2mytcABmam5jXuj3m53iz6u/P7rWGRPlCox
SjFfYNSjh9SaiEYCQoignJkdKxpurqXd7cNM54UDjPrg/7F3HsuRI1mXfpfZowxwONSYzSZ0MIIi
qFJsYKwU0MqhHHj6+cDMms5kdWf+Neu2XnRXW5EgIgB3v/ee8x3NLreNyzB5EVn2aAiXNLCxMT/G
wsNmkvjeFwCI9/1gfQ1R3PoqwR1qeB9KjOibxgGGpzPTuwqmcD7XZi/pGDQfmPrUOyqFq7HMQtbO
ut4SSki7NRrsQ6qn4mgP9ZGU1UUaaz0l45Sdc575VYlSZGcRKb8XaYfWxUz3asjrq6rTD3KO2501
x+Uqh78Jr3T+jKNarju7rx7oyINSa2c+67CwJ5Tq5bCFEtnhKW+Lne4h2SnD/xRG4j127vCD2Tj2
LZMlrIm+c2msjufK+VSIwmLM1BMbFif1qS5JGAPw9cUrRgJ/LdgzjCM2PX8S2Jl2PPg1ybStrOU2
AcuHK8KN95xYvHuIctGGOXS6o+mrb0XphXcqrK4UX3qVK9gH5k08tXKNJ4lHlDwy5hEa9a2VWjd2
nT4Bc3XvwyU7HmGiQyNGlNV9H8MOTQHbewOmaRc0r2RLPxtN625I8H3uYD0sh83GKm+Z30drOQYn
9AlfmVoggyxgoBrmbTi2t3NOaRp3jAcQ3aZ18ZGUN3SYrX4c2/6utrrbziivOa2hr3bnifceO/c0
9TDtBjwAEwSblePnMWIa+vEEb3nSOSNI8s9u0ZQ459RKTIg0CNQt5jsBM/O/Sa3/I63kUr1Rbv3n
Fu23wu/vVqTvP/i97MOKhCwYJx8ZVAuufgG4/zX4XqxI9FhtWirSE5R+/2rR4jdCExmg2gsQR3o/
zL3FH9JfOrSujSFuqST/UYd2kX/+2KEFr031aJo0Z2kVU2surrsfiFiBif43DBvjhDBmuDCiB96K
Zv5Y5HO29eq+3YCGEfd27iIKqVDgWSy6R9/yOdVk1fg4UbcxDWI8YjWdjy/IHJwVnp1yDRgjXXtu
GW9xl95HRB7JrBuYFC2KPAmxo8/uRqAjqLgjgA8Z8Q4WeC1iZpYIkKLExiozxiuNzMVDVzboq2pB
MCrpHDdyHNpH5tWcsT0Soade5Z9Ng4Gwbz8x0/hq112z8sL+MgUTh8zKdfbN6MhyZad9cZ+gYrrC
A9OcJg+r+Eo3RbYf7JlWVl7q8zS63rGINPMsRIFXkl7lrmt7Vo+sml3IpqZ5o1xDaOgBU7gZNLUR
A+GGwLTJLKfDjI17i/iRY5bTOGdT+QcGbfe1aXmoGwPrusisUxnqglAVVHiRz4Qni7Np1TR+uOvg
Y6x5YKqtX1owZKMMxion/Ciz1ZovqzjNEIp3nmN4iAJSdx1W1HS99OqdFhH9aV3alkNDmMomy+eH
xmHnH6f4mbJVPJG+6R619IYPpVWJVYxYbWOiIQtvajUJc5tXcaJotxuxZZ6GMrTnh1LZGSG1yVj5
xidoZRb9L1SYxkzTsk05lpdVO69xiAACMWTXALVkRHnf2KV/E0TAOZC2NzSuFFItclJo8B+ILdF7
ryg5jDFu9m51gY7R8DqTXSQxirhb+XNrD0D/EufsZYrMa4uj2NbIZqpYHEAssGkvsxtjYn5vYFnV
RF3vmSkuWvHqu3Q8+6Yk5xe16MrrbypzLyy7RXO+6M/VNy160FbJIk1XHFTT8YJustiXTeV70a3t
zUCldyhLzX7eS87Py5mRks99Gs2+NR+MYUKDAdAizYsA7xGtf7EzHd+nqIC2Wzmmvh4TDLPNDtNA
2a+t3LTeAZXRl1E3JPRMaQmrA1MfYM3MiFAMWNAl10bf4s3F72o8x5mTZAxFPc5/4EL1NaH0JvrO
oKFOiRpGqY0I78s8NmpIug6GhxQixnPolFlxY6STsNYFw9TbeRhdiN7wU8J1z6y/xBdVlkw+rPhQ
ldizEtJZojUulQktX4zpBu63fpcleYCjt3Htj00sxSaPiui2AaN66zaJz9G3Jr8lhne95w9gJmy2
zrZA37rVZY7ab0Ja4BLp8MxYm+LMa6yloJkgZa2swFJHkabhMfahxfi1ZzA9bjsP+UKnnQ1YoA5v
OlQbvnL8TEvoVjfB9YkFHry246zklXdoyKK9h1gttgbnNkiH6DHMSY+pKSodjsDR/M1z/99O6O86
oTaW2V9tiI/MLL+07ZcvP8rA7G8/9X039K0/IEOCj/i+qX3fCQPzD9YkG3sAs0ySGpc55l8tUPcP
7O8mo0Nh0j5d9ru/JGC2/IMNchGHBb7jLxvlP9kKMfv/vBXCtiAewyK7y7KRkzFP/Xkr9CYF83Z0
yqMx0PKp9wMtkXTYhsY4ilVX0Hhgg/LEeO4WikrRNuRRLWQVAIbeoSlkQrBS2BZb+rjWTdtAY+HE
nm3dhdASRW7rrEeF+CBy9XvWq6ZhquXYL8HCdxEL6aUPHPpcC/3FC73PfVnDg7FBlKFfjjbYaJu1
tXBjYKL0wOhMk36nDVZmDnS7c2jTrPPSZ8CXogaRdePDi2yLY8/CCKfL3fUtQnuzI+l0SJPo1lpo
NuWU4O9C0AnWq5UMmhghVO9jq2/2AnXxVfsKxokgdv6JOgZcjn5F5xRIJ64rRPBPGXSis05n874f
ldiUuXcZeiu4NlNcoH4RRR8h8gJvoaw7zF4/bLKE4iNMTbUHT0eqWgITXUH4qerKOyr07DvXYCec
KYNuSy+4isps41Q6uzOo79nRBSlV0+hvcSFUqz6DKqTwa2zHRpprxjjyHKS6PfbtbBxCY6Z3mMXG
FfF29TYTDYIf9B+blunJNQQ7hruNbyB8G8f+0YJjvhX4W85RWDh77FbFTjS2w29t50s9iPbaSwxq
rF48ugtFaaL9vG1H3Amhl7WXOaNAGcFf7VxCVjZGDYtJLlSmnvM8CMOPZpG0e6umDO0HPMwc/sLn
wU+qHQug+xmlVTYR/ifS64hZJCKoBQilNWwov8AFl9BjP1Cuqh1sduahJiNs4pGgQiyEKYhSwZ++
KsevEV3O3bwYR+ldAdLgvUG6SJ4X5ru0foqZmD2hqZpeDJwCiFZmx7w2qmw4+cbiEUOQCIArAOpU
R/SS8XH5m3ihZIUmvCx7IWcB6X2KX2Fa5Kc2B7+vsouuGuPKR2F3KwoFFbtJKO9rMCNqndCC9Q69
0SfTTmGmHlaQocB4zQvRi77GLi0XyNeslb2LF/KXeIWANQsPbOp9mk5zACSM6YNZrnOB3dUeOZDC
tY48EgYQZmsxF3cItQ/QQ7JV3JfNtXLFS5U3Xnhu4MjFp9rK37mJ8u7hhe4xEVjGsU16GYp9jjEW
zdkQjGXwaZawBbdROM1slrq9a3vhF5+CEgr9WZZkC/td/+TU2r5TeFVoFGDrfJRhSzqa6mEm5WVw
NVaewG0QttCWaoRqUAeNIoXkPQ0RXnAOM08iH2WmNw6z9A4UvOtV5Ee0jt8a6DBTYXLqcPnci6Ge
d6GbMkvYVlFofphjTJRrE7/fTQOBzHvHOUM0oF+dybqUHCXDz2lIYDN0jGDFCseOKA2CUanaeXKd
DKJm0Y+rgOiVbK2HBaFtdkH6p2eEk3HwywHRv1Plo7Gq/L7PNsNraMlSGsvrMSqW8AjydDJ8XDwp
Jmp5jI6dOazKBuQQthT5me57l+3poqMYI8SU1vBgJJweOuYOwbZ0Mi45E1aAGnIhdtjIVKHVtjkg
EXMEd8nah267yxDGrUTQovIqIuywxMsFZXVL3ICo3PXE4cXuTpDqHHNTVVAvI097YETj0r3Vg6t3
zoL4NM18gFrm8BmvXeCLj2RziRPn9latskpB8JqLYCSm2navy0A2xywJeO+1E26cLJcdSay2t4fb
G+9Lb/D3Vayyu1Lk5zlC5bxSllOddezEpxDLLHL3TsYMqnxvUYIlGN77skeUho/pygfUxrQ2Xd5V
jplW5CZbBdLM2JnQux68HH2JKxjvr4m9MQDQlCUR7n117w+ee4MqZviA+F7QkbKD0wSMaJU3ytpk
Wkb7TtE3W81zj829aOfpUzM1f7JHqRumje5uhPqzTrA5+CthNuZDNFvhjsAf/wnsRHuRyLvYHMr8
mJPwdFt1PpR7YzKvBgj3n2ZK1rsptDatRzo9S2d4AIZmvs88K9kQueF/GKxGV6SmiPqQOo0+ebM3
X0tH+CtYdNmmHqeU9pZNd7OpsDFEekezQxI5b6IN6ewYxXQ62HKb0tS6Q+aHziYL9m1e1k+zV3XH
yR16KDsl7IehcNDeWkyC5hYt5Uihcgs+liBDpYV/ggFZoyay8YYAk1iR26mBvkhnJSxGcxFm+Tv0
fLia5zjbyjRAmcAN7GpwpxxERxmzNM7yvQ16kb3QCeqXwRfdNbWO9YWBQrVzOoSDmRVaB7dt7HeG
5noiqKJNDUV0R6RPvVVll99k5tg897yH1/S51R3kzOBMEEO5pp+WnmlNAomy4+EmqxzweSJ3D/k8
fGx8mZwnGcfvQuYVN2FowW5OW5eTQDGj2fEhOVSFbd60GsXnOuHNv3NST++Rf6kX3ysRSLkZkIi5
uyg83gUEDt89FvQhURHH88midv1zxMe1qnVhYhOvzGNsRu9IrXTpsNGWzmniLq4Oe8soGIe2aZGH
UIbmVqqovnaSxMSk0VLVsPsToWDY9UbSJSYNyeqeDNHDAEUKzPhMggoNDIaJ7aBdSklAK2t66lOy
sDuIwy18gXXczFwr4reZoz/bPi+1GrpNRXDyi9A0tzSsXFxgZspKoLC5YAEfGCZ5DzYsP+IUSCBK
ovixdac6ufxXk/g/0SQuDDNUAf+54fX8hdCYsvvpdP/tZ/6SOFh/cKpGN2hz/FiMvv+SI3r2HxJ5
A/IH+a1r9YMc8TW2UQi+9v9XFzBo6eL/87+k+AO/CJnt0sG8iubH+0cn/J/P9yJYXrYAxwiwL3SJ
5ht7MNqgfgbZ5xx8vwUFGsf+CiOm/Rur7VIl/CR5dC1y0OHoUpEgpXgbuxr2WPFs9utDn5a45gYz
QP2LOvtjiWTvrnAx2eX4USHlzXiPf/g+7r5d5cewyOX7+tvFcfiS6MzH5vFh/1zCkHIHmJ0IlUMk
g4omkWqJJNMIMApOG/cpcseXKChq7BJlYm/YL5Iv2qALsHWVa29yhsWEb9Db7gY/B0NrNETQsNC2
fgoaOs1BInSTYhwSRfM1BUV4X7j5uPn/uAlPcgNLdC0P0ps6zFSytotuDg7AJwXZJZhCCwOyc+KN
01NjY5EOrQzIuEH4CTyNVzAy8XTw+BfrSBIs0goBfR6HA746qHyYg+fdQG10xFCS7XwQxo9F0pNz
i7qa8WLB/OzX90Bd/Lfvwfcwwvu+j6jnrZuoBc/Yg/sMDrSnxo1CRklCn5qY0qVff30lyt+/X4nc
BIeusE8a6ZsPy2GWDWuJKw2AhRCSAcfuXL+5Up3dXEwHncWvr7c8QW8f7wALuYR3yEP2llwlLOLa
CuJ9Dwj81IUVhdNHj5v111f5N58fZTiWLHACiJ/eYg0DxXLBQdQ/KAFH0udTq+0gOWSt//jrC71i
K9/cjyNomHm8eAyx3i4KKWS9YOQZPIjZgjzqtfSWAp6ZaUnzmwpcBIQfoKiF757dTwPZDnXOTiuR
0txTaxA37DjNRU0uw2h3YA5D9Bhn4sGy50O0sAdgmiAQ4dl8goqOeRcVkOTImhLMtpIRFwGfJJB0
iuTQCrd9N7pzcvj1Tdqvqa0/3SVibyJlUOZi/odd/qbLv3hf+3hW+jCmTCsLUIJHuhbtEb9Ctquy
Vqxcu/qqc2Ush196upOXHkg8BMRi1d0uqxX4lywZSZEoSVl2S2S9GNBuHIZgH72xKN7RIGTmOooH
Kyga9mwYs2vlYnoQZhbsYrzDkJti/RRHJX2CKJn2GdlwdOs+spxlB7dznNuoF0RsJxXpLm4QH4o6
FFub0/IBlw3RVk5SbMnBsPatXfmPBO+kx9SAwldaDR1jZo2fYtpHNGay6Cjrebit4dw2q2H25BlZ
bL4fQtfZUsrLtSuxdrlICiB0WlF1yFSVPXd4w3Lyq1eYioxbzoDT52kCgsv0rduCFbP3TijRp6Vu
LNYzY8ON4c3y4gDZeWRQUrwDJ5Z9ra24gkxjBvSIAsW8dzVWVNpVGev3HkSDjVcIBSQ5yI/plOrz
3ATurUvu1abzkzJY2UUy3vbMO/4EgQIfvmm3GKrQwYfZFyMz/GuDXu1GRgldZ09dFYXLX+1aDQ2O
4KgHo7ypwhqCvkZNSo6XMlYG1CI07Ofl82QmmtImJloSxxxkAquwPzgxwnWpY0xyxIGcMQ5NT0ae
4Uq28ObfWGToQQxfuq4m+8s6LUZ7jyfYP3Jitl9U6LZ3KZ9TeezMnvOe10IblbsSSdKWmTJE68a2
XyrizndZLCD/1xrIzeLWeiqhsK2rTI98NTicCf+NDuPU7+LYvoiw6MFN18ORCf+0mgwiW1YqFp85
ARYb5Vr1ZVL5dRI68RqcA+VqlOOjCzMM0ETHrpVJ8JnA/GRGUgKb1tFDmUbXCIs+xiiqDnHXmfeh
NU/bVLnvQCZhLCvLDQKodG2kbvDcQarf2UpZZ0/34xXVa7CqhlmvC6JFVn0Kv55uGmkgwHZZojCM
WUWJY4YIJZRHUbDPWl2uJxpXHwxg5fwxOkSLnZEtifKmwhDXQI1iM/I2bEPAsCLfLVFFJ0BtI1fs
VdsaJwelzbkzOP4r7Uwv6diaWMpbj/7/RPW/MkVa384ov1mmWouB1mTJY4yE/WDZiXnwKl4X1+C0
n4FhE+DCtkTVxbCqYjhYXRwu6a/lJzXI6H0KAeuz67XTe3tQ41Xh+wOpaAEIQihoZ2UaWNwpzdco
HIZjb/F+GVNG7ko+YWuCmuW1FvkogTc3G6txYZqbBGZqY9ZPcjDLHX3i+GhmUb2VeSURiwAGCWzC
vSy3Kc+JBrVammi6nYp/TMsehBVdpOYKJkq2cat+2hsuLammNbNdmA7T1wHFUHVjTqhdwoWbMg84
4BVZldhRSX9PInYOa4aEIcy+3prDKLbcsbryXOZtI/K0jYjNiWka+pg5GOWt4EW9mRKzIX8uxB2K
maMavkBBGdFCmjOuwlR9ij1EZ/j7vedXfkJJr/fRMDlf5BVJf1k2cjoZOPJhqjJXANRgOaB9R93Z
WxBltOlm9zlysPdpamebzJxHcvg4FxpOjZQrIx92lE22qwGbP1ddi3AOE97n2YhNaFkw6lPFTTY1
xy83r4BKBJK/a7LrGzuewyuvXcI+RxsFKWBMwt8wn9GbGrhzgI23C5dw4/Q2IPpuxtFLD+B29mp4
DajM+BkR5MAeXHfhUBHsOZLvY+6Hgey8kHYhjRnGYfh4s9TZMnp1bi0WhvVcorGqOzEfTFJ81oHX
h1ecVRzsk26AUCNXV4PL82rZ8fSVM/DwnEC13tqVaK5SHFDE5zpS7C0srvuwNJxThxL/fuICEJPB
UyH38UiGcfB4foSSvUTTugS2Ymblf+EEulcmWkC1BLuavgMSC7WeNzTVvk3FPK44L9onR5t7BpNM
37CZ3Az2khobkx9L4K27HvIUXMGSMFuV9IFDQ6zHrktWTkbcHw0a5CQlPuQsjoa9ek2s5eP3sk9K
+k18psdOqi2WTMaeuoQg0xVkHiob7dQ5oJNcs7JORMsiDJPxjR6FLubj6/b+34HU7wZSDqL4H05C
f4ste05UhAz95eeK9fWH/qpYEdhLl98jOD8vcyfK0n+p8l3PQxCPMn45Wf8YWBYQc7aI+U0TkBOn
xx8MdJBnwRv4y3nS/5Zl9g9k+d5y/Z+P21zepmR1mdw6jHWX4/gP8gx/IDOhwkFDzTqVgP+GClDA
ktcxl1MDlNBmzBp+nEqfUI9+yfdgrUONBM/lBAa9v7ErOKqsAPbO8UIr3CqPzlG8JIaoJTukKoF2
Ai30j03YPYbswksrpnkx7TpTyUbxAT+R6VA+C6hMd3Uxss8MaOU/O2FJ5lHMwV9O2nkpzWYBLovW
ebFrTn2rpXp47tzK+JJpTz+x4RX6C4O8wEvJZpfjTVx5WwUBE8RRejKZWPt7d0DbPtoS+OoqMnp5
03fCslilK+PRkA7WPXpow5a8Z3z7HFxXbZGAc/WErW8spRE9ZrH/Mc9y+rwtFSwfC6CQg6XH6JzW
Vr8GkYqKBFckFl1/HJ2d1eCZhnz3pyzm8sSGgTnJn+XGISbsvUpb5idWKDnmsSTmoT0+wx2ZliEC
vW8JQBbFQVHfhcFsegBm0KtiNzY+sGyzhePZemJKHTPyAjYN9w6O5XPdoqlGFEPQ6HZWyPNxH4Uw
/8NgiVbjNNmJ2wZ/Bdkq2D4eFX3Bl76WS3pZDjZHRhLd1xLko8clA1qw2JG9u2QBBRmtGiLmKG0j
4ivwAdQOv76zc6oRtYRTtWiS+7XXtRAi7bokScuneiRnKw4gXBuqIWtoLPvqZCkAhOvX/5ljsMJy
WNMeWDU9lR9ZVAU/49hT5p3rJZRIBDORc05XkOKGQzhZv3rHu0EunqyYhjMhww5R61UGwwetUfDM
gZJRoyLwlGEQwwgIkw63UfRDsh+9CqGF7gLM6Et0T437ot3LDjkkeartfApKZCyrqSAIU0QWlPEU
VcYSGseHwjAEsn2XkbB7heucP2CkQR1tcUjy6b5G2kMvxH0ShUMGN5WBLyQq8N9y43s4Vm7CYYmA
arvQBI1aD3C+oyrtPqPGp4uOahjlAipOMAicZvN9nqaY6CujHNqBrv0SjiT9hcCk3eXmfXoLIGwE
Ipy1GhfG29zQ/HkNqdKctsm3aukA4cQkTN4gUGcVosO/8yGfEqjLFV2vB9I+GOR+UU3xbH6L3UxH
AvNGlREPgbKMKZgcxTDvOajKF5NzOCE0S0CmaxKV2cCEGFaNo9WBQYojL68RWpm9oB4ISlDtFmkt
EWSNWIL2IjvntiZOfmfSHtx3sksn4/n1r/RzqvxDPgGRXDPK5491apenzKC7fxMoiK4wTls67627
sJqyBQ77gNScJlSVL18poqnlM0kns73pICGfApfUtElV/HMwLSj5b3lvRkXxnVVLPBuFJLrmMWeF
8lLI67IwrWmXkHrxdZ4dnsjUNZZnyhLwgSLH8It91Q8jhAGr0D2WiEzDds+6cdMFHE9QXI/3tJv1
3ZBOZAnypJHSXPWYDvK4hOIVyKA+dz4VSe3AYHMEefWrVqDD6QtsCGtAlvBRTC88vSZj82VCTlnc
z/dpPKFUyUHBfuhk34Y7vAz6YeAp3qejX+yQCIu1OUQOZ/eu/ZQaOLAY8fJaEKGrH3zXKNaeQLK8
EmpU3AwfwNmlT8DdFVllr+YKYMe6A+Zlb5ygbEk0S6JhPmhK/cNoBd6npk5piVll5dtbCQmRxaHF
WhNFqTzikuHznZakd+V5rCA94xguWIy3o+XIrWQgTTXZ2eNKNIweaPHL+mjrxIZ348fxWrFjoJGu
y/t8AMSAgh6cE7CbWDwFrxRqjtNfpFfYVyGp3YcU9PLn3PHmZz/qtbczWQLPjXKTL3ajx8fecaYj
KQ/FdqKluEZ89UT0gnqmtm83qJc7PAMBiXWTxWxekHp4tihm+f90uTN9XEFlZM5fIJTgzbHHvD1h
hwWbNaTeJEnSDO0PU5a2pw5AHxJqus4Uqiq7LhzhbBzSEzg36o6DXxLO3tmJGsR8qvjiOEGMLtyn
ZEWq3SBq77R/QxPqnjQsaNu0KhHgAeVprXPOHLu5UP1iITMDuqUMHWdCnzZtk9XXI4o4OGR9eFcO
itVk8pBbG3V/b5XlezsaLc7QQTtH+6FP7HNNcrp4Cmu7egYbqB4YDt/FztCQ6cIsdIxaiyrV8h5K
j3SxvKcKvm1QnuMtz6lqCEl+H4lRn8hXfpxRarzrkaftK+3g7XDGsgp4P5BCHQYFYhBP30HXAYmY
tbhrW2TNblHHhFqbsUmy35yvp7DpzEsbV9VWC/ATeaqsVZvaCuw7iLJ6C+6whKEbxuPHkFFSvrZk
7yC+LvqegX2T52DoLJmTRAqT3tdm90isqP8hEShN2QrhEfcplI2CcvI4uKA210Q2fiSRuz6NQHJv
OmF+HJXfXNd0pztGc7p21x4wwzPy6HQz0JR8mAJDniadWpfMcruvQALVxymIquaFyWI+XKDWhETA
QKQ+RnlWrutGvRfTHF7i2Ao3mYtUnqOgPg8drvgcJRpzVnXVt7Zxq1SHqkMAbSGuqfiSd6M+N4td
BIixuBAMNXxAqhFuIgged0EdOLf0BiJvlZVghVfYNesbxunZNfmCotxg9TYugAidjSd7YriLHKmB
dPVV3RblRzrQyNKr+insa4LKTfXcsSVuiVVyFo3KBwtAdzqm7dmYHPl+HCMbmWk2KWRArYUsCbhS
G1HC2TQfrntPocWg5ZN5olvFJnYhEP61lucx7iR36FPfxRLAW1QzrGPzMwg85VExMfMVo18dRG69
C1MJlT130fALinRaSNTeOs83Vj3wHAg0MjFDPXaKIJwXWxMMaJctfIea2SR9TdT2xY+ke+cHqnuo
lOzZ6NH2cz8x3vhZwyfuBrRDmbOq++jJNRuksBh5yHPSJEjR1IAcWRQPSVoNJfPeNN8JwEMbLXI4
LbW54AE73JKrqY3ju2JRjeDPnh5NpYbT1NoL+5MfHJDsX7MCDeS+tUm76YrgYnfmsK/LPuYfhaxP
eFia+9hBXbPGujBu8V8zKo7HyrrqAQpeksSlkAvdI1N74sMyOrhmm4cg8Iv+Oe5jGiawQ5k5+Rwo
9BA9DfhcYHlpRM5Na1+5daEP2oxIzwxiH1mQy/cAOHJE/VCYwQxrqndJgstigLVu0WXrWjvEKJHP
QhBoHKB89oocV4L0n+uAGx9qrR5w7niA+ZswpcFiYYwgJHjTLBJNP4QTpZVFMgtU+hWAC+gXUwS0
UKLLIJx46k9ayWo3CqGxkrGeYvMDgL/2WG8+p03vfqXVOW6TzHXmQxx0+afa85pDoIJwmy9HK8wv
ClPIRO8IfH21pkPs4nBtQOgjelj7vd9fj7UlNiFha2v0vgi+iEw6kZUy3MwkG9tP7G/ZdVfmzMDX
MCqKu7RLbFJHHUwXhY7c+zwgOXLtGIFaDV3KsaAc5Z+ZJcxoF7glWtDB5CzI9DgjsVg/REOuz2UG
7gPPRKAxbfjhpeUYcA3wtmblnezoPRzvsiJ/kOYtoKIPERyS+zkcU+ATUbxrsn46O63j3DRl3JBJ
1DQGQC6nv7KrvDtpq5n2fpnoO8vp2sd4LK6asTnV/qw3TSCa26Kt2k9QTumVdI26QoYa7lXkP3NQ
G3e0ZDaDp+SFllUOV2jIMpgduojyqzaeR2uXBPMMBleqOl0zK6jSVSHc+b63zfpPnRV5xOMj8gG4
KKJnGxUSOiv0SFmvjOLTtMiUjADBkkF7H+1SjYXlT7+raUhPJcIm9U3mBA/FNo6hdvdoZ7z7Cj1U
/aqMKl9VUnZpvnRjUF9rRMOrxOdZOBLgBeZxTqcMkm4ae/fBa8BjQtRjoEb4HmV4Vy0pkA5TfMLp
iTUY381LRqS0lR95d5Gomzt2v2P3LU/yh0r+7tvs4sdR59u5V2Dai+bTshm1WlK+HRKSTIBYLuJc
6yklj6NNJeoksXicJ5KrA2X9dqL3diQFLcwGrCGYHZtIWJxl9PpDJY4DZ8LD31aHEonbGUsxFFMW
5heAo+iURNV/glQj5U00+L19VMxTQ0itlhEX16mTkmb6GrxEr1Oq20IN1g250UTIKsJrnoeYiNch
w1q5knMZcmwr3PazSehkQEEvu/lBuEu8N6IadUh6Eoq7OnVeKmcYuwfcyU67mzsL+/i6dNH9fJyp
JzAQ+ZqCLQodcoPtaIkbZcV4LDybJNl8aj/zyJRf/XkoH+wg4kTfNS3/PsPMGru7BNcVURsZy9pp
UmDR7LvMIFTaXQB4tN37EWneE/+iAm9aE8aqYsvVOOV8MqSXWvg1p/bXX/rb4SODR8eVdGrwoZCl
+DYCKuOEzLTBrA4OXV8qzSSlNuiR1EffWmqf9P+OvlT/5ul6O8R/vRD8I44B+HPE26fLV1RwTc6F
8pgZDM2JotgykuH74d1bEn2X9PiIQDIXYnT1uzH+36/OQNdHjOxLMyD4fnn2f3jUamMilnfSFYlk
NWrTcaSbTfYV58dcHSoN4Wfldh5FgDEWlG2//owtRBo/tZwC5AOIrf1AWEtK29t7H1PHwFKiqgMa
aH77MEbo/wBbkg+etpTNiB+4+UFO1amLlrgsU5U9hV8ZeTm6A219G9H+t7352/amL/lu/rMe590L
pAVcqT9zV1kWlx/73uDE1/UHi6RD0/6bAY3J7/cGpwV3dWks8owLFru/4GBLCJaQUP75IQlYg9/1
lxrHgWBClQPIX6CfwR/3T9Q4P6+nTAB4vHF4kBSAul/wmv38kAMobSAk9e6lGEitX7O/9heVt5Aa
sMC3H3/4YH77Pr9eDPYsFFkzkC63+2bxjhy9sLw6eYkNSv+S+NTHCRvRc5Z0y8u0LHmR6cmXYEjV
b4bvP7/M3y8NT8X0/cW09/ZlTozM0l1lyQs6fS4dwJrYDtOISI7jHxpYX7OqQAil5daGUMJ+8zr/
vE8ul/eEpEXtQ4Tni3t7eWEnUckQyr7khUFzzjc4o6zNrmfrSarlcnpp9/z60xY/LyHfL8qjItEC
k+vwViRS1kDMozoQF0eULBtIVo+icOlqovYKnusOFYVMoHOzdvdsJXHXd59deqP73ICbt26Yr+1r
unb60OJmD7fzzKLr+oIlL3QG0zoNdThZm2RecAjEL7IB67ykj/Xr+1hUEf9STXy7jdfGO+MB1PDy
DRPHJzeT9kUsLnQseVb6HEBJvvTk/JZVLk9YAXXGeO7XV2V48PerBrweHigewX///GLQSPRS7Sjr
kloDmYyvsaJeGX81U91coJbqe0fW1o3joWpaTTFd6F9f/+8vpsdBx/Y9JOI8N2/flSEISijG2rq4
hqvvk+WFmYJe30UDufO/vtSbveb1E7YtNlsaFlwQW9zP9xpOXleaZm9dJLKte8bk9KCHxKK1Hdp2
+xkEsXwZTHd5O026zLU38rKQXa3BNMfGb77uf3fjNiYjGxcsZqS3T62QRhU0ZsiAnVlhs5YeTJyz
6ApzIFOAcMtf3/u/e0kWwSPvJf/xOFj+fO9WTTS8YQ8CwS7a2XKK6RO/dm57z6wILl4adwM9UiL4
eMpfk+mJI9KLJxzMywrYQHUy3EHfR/R38XqaAr4JA/ut1f1f9s5sK24l69avcl5Ae0ih/jY7kkzA
gAEb32hgY6tvQ208/flC7Kpj8++yR53r/6bKVTZkSgpFs9ac36RXkyQjXdNqyXjL3KDCbBHiYSwO
v78I6x+mF1/w/BBruZj4V+HRT1uVrIijIVhC6y7C1NMeFLvx4zpu5r5snruuNLaQbZn3Fm5gGUxE
j6ZY4rdyCdtjs5RsH9LcQZujJkX2qBWZ8jXozPn+99/zn74m6i72U+wbHRppv95rYxbD6EWOdecq
nxuy3maroUBumZH10CJ8/MPI1ivoL28xhDpGNWsuljWcYe8/sexjkZn5Iu8mKntn2iPuCzxr/R82
pe3BtOfbzvakB1QkYmcPYg7ewoR752NKHEXDSW/pX22ikW7B06UXpsFLkNq0fxw9JtZbJFk1vA36
9vBKjj7FdGJxroiwdS6FzwUpYDRvLID/uC1+22H/PCWyWHPooCVJAjTCxvf9SBXkoc9WNL6DYIy+
qVlUt8t8I/uA0Wbpj9WYwEDK/DHrd8KlfY/5gDjZQ5jQftgU/G5zu1CB3IqMsDLkHv6B8GLIzEjs
BotSZbzYG7wqFJdMW1ECMZPJeGwMwDE7069r0klihABbuqaUcUxh8mZkmgTNEqCh0BmdACdoqrtB
46IDWWZXaEHqmzGjFrwL6g7SZiMK47NFcDJ5IUvxzcTrtyvYBySAFJRq+H5j8rq4UMFIUEyqXdqz
fp/ouZZkidhZc0tqD7aVeaVaOxpw7fqkJVBi843maaiKbNrZke9/DMM2QayRwZCnnEYxZFO6MdBo
ePcU8VChBF9bo+iI/YMpkx8V4n1Bl21wcMUSS855ndPJlYgHttvNGJ1MlH0QmkY6mT4l++7OmGAR
4IrtKxf9v8AbWBL60dz6cVl0W+wPSbQLMkKAY6BcT03OGPGpkoA1rpcQ9mCCTYatQbj3Mdry7WrX
fZGhwzahChRx2Y6eiMeGVUCmCz/G0bpIyHpDCxzIiKbmTH3OvyJoJx9Yma3EAi2u3kDjqFGhjqMq
bK+Qr8Eij9/A5E06B5eo15KbMQ/7bwjiPPodKHEoRBLhENplDBfHIVgmJFes5Ww1mab6TJRhehJj
AH6afcBX6Og1xz9ag34oooNQdv0Fs4P7GVcNpl+vSV4ZKPP3eIgy3TaOq5058HhQ0fWgHuPGJfbT
H7cMrFXNFVXzTD499odNUPevTmt62xmWR/MABT7NccIHdFNOVVWE5YM/wtoOGQDFUvu70i8DbUqH
Dh0QdwbrIRL8t4XOym22MPQNC0vdYizw7QAoh81nI6HwzdfNs6rb0Wkog4NBLtBFoYBn1tSHUItA
xjubMdJYZnvDeWnhQ8ORpwe8ULKKisfZkDyxJaKvW6L/GbajH+qWme6epQujEni7xWLq4C6HiGb5
xFxhv0uxQikeKuVVY2uaXbCbwonhVcV07vHCMGWnTnw3+DQvt2rxnJeIjskmTk32q31B7wz1n/sy
Ryp8oowoXyUVH9hB0MINh3nIJwR+X3YJ4JuWNzQA7Wvz6wED8eU4cdRntnXR0+CRoZ0vZX3Oq1w8
tKZuVZNiTV2lxzGGc8SnmFk4IUE2ltXz/8TgnCQ+MDY+b51EFDj0FgOXm9MJVupNX9j8C4oQ2Q0W
QKYYztXBVdyW4VXo1/P938jzVWyl50j2cMFVhL7uvDYXozqQr22ob+Xak5YAH8ic0d+W1gbtM0RD
aMrZdgpAZOlyS8gKf8wLjwIITToarDFFnYE6zM16Nl50K34E47lfRQNDynHDLjIBJBFxetLPWl+s
d4+L4N5bSE4BPfH+ZiiNRvma1gyGTP8J3TjFGVrYyAvy0X1BGB3uwTrL16ZgtW3DuH3OcqCF2zmV
y/26UVB5Wy2nOSu8l9VOg92eR9vyZTBLZa+0AWiNpSiiL3FumjdY52g31xH+oq7I6yuGEc+Okjub
97pl4ZHUetZMeDMz2YTXIP+QRuTNczQUrOZLjiZkH5EF/OIBfIYaVXtLfdnKjm8+8jOj1sORqd0a
HSWmdYMz6K1Krmivvx1+bN20XjIw8rvCXRwYIUbeErQAVxb7IfhacMmu85L4SLIvWHb4gigqqWoF
RjVlcJms6CvISD68Wl8hC30w3fO509sgVh6o/tNd4EzytQglz6iJAjZ3/M8wtliAYVAxt9X6qAKm
EOXggqCAacC+9HjSN2Ae/Usupz7bNOQJDB1IASWfkG9LF6870la0bno9PF2ATTdmnLEy5c7Ab85G
tqsOne/hupliIzmWScQZ0PJAwpPYA2hyT8GLL0MmEkU4J9elOIv8+XlM/YcsR7m871szvcAyzBhZ
K1JJOXFP4Y5w/eskkBc24N2UVIdtgZHxihQN+7INecMaT398OSEXWFUFRW81z5mFyJqOWXdku98e
iYPjqcJuI5+AhZz7MLEFDas0egICPN/OS+y9dEHP+2qClt6LVBmAUFze+K6TfJN1JMJFtOR5SpkC
XIs9+v5NSOLEbSxvQwKYpsug1g8oax2mJlFH7bHsKH+mvZrB1XMclYC5ejZFItA8T4Hr9ONiUum0
deCvoMMPQDLjGOIA5UMqRNkZy7rGcTLPh4iU01ALKhp27y2dw9v1ClmJ2CNLjxmoq9FHrgdeNRnN
s6K6/DAiSH9ImbrNzcSR9gG1svVQgxyw973epSko28XbjnFdNhdlMqKawkChEqwqDrch+F6gqM4G
gTJ5GDjJ6LuGWHAOEfRa5E4hjeel97iKPI2cl2boeV8rrZ+iQTnfm2oh9dm3lX0YZIEiwcVK99qm
OS+XcHSxMZEdyWUJQx4fch7N90kaefZ+ImWD4DQXNY8bDoV7P3cTKV/0TJDGGJ3pvvytWEkR3lTa
dEuH1rnMAQnWexgIU3EqR4+fxh8g2o9oVCd27BE68K3SiwuARD33zYKA8Dq2mOTZisT6SO70nFdQ
WtdnpW/A21ykD+5jJpgX9MTaxT4rzjp2o3hmWZt70rhnP12+4jSK7tbx6YghugADOVxALnPya38I
GCKBOSD4cPPxlMQLbsS3AVFOZfCjIVGX3lE3dkcjIxSi0K5kVKvWwzoqvDnXpW7QevQ3MfZYbWXd
ZK6uNuRSB4LRRLIqGDWrmknlxtZvBUWIDsK02qT6gt7KqkSPFdvOmfi7hY1Qt2O+t24sh0tgyFkP
yObraWcVMW+WH7WsMCjR7EPdMGiGrGa2t1PrA5YMMjwSxaA2DQsBFiKO7rjOgOCQKKcCZ+Rm99Gq
eMEfDITBn3QxiAWIzPDYXkgiGXsmhTruxujQGvRW9xUuLeJHhp7XzG4XPjdulvm+XByOBA1HNXgr
Cxs/N+a6h2UkWWiCtWTsMqeDkt+xFyLag3yv+dgPY5V8sDQV4bLS0RCdqSOL3aDX+qe0ZrSbVqS6
h94d2ITERh4+rW7tCic81+uHE5h14X8cgrn8gAX3W2JExjYPM3kk7AxMRcfMPuVx9iO2oTb4aEw2
tseRejvWNi/wjKYOAy0r0pJOattT8gzZoSzeU54t3Oe04YHW7qTmC2PI7INZEZyGwxjmXDLO5SXe
2+zadqRlbVk1y0tO9vNRq1WgqTVNdR3VeFvCuWC/4ImZyZBNpg6uE+QUzbPszVOrJ/9TFsUUItEd
s6canJoTDIm6l0YtqMJQZRtg0CKs+RhngsfTlQ3/2YYWN8l21XxLBXDaBDbkRwwKzEvtyB6n1Fu6
NgnmexLJ2eHNrQF7B4nSelDO6TCcJzvkVQ2TllaG2fH1UKVQbBI1+wOEPHzTeV1MItzSzwrua/69
Zo/J6oL8YI/oh9A+rNlPURAxw60Hw9iMq+ZU4PRgyuuZ02pvRrVEPY12GWrBqzSM6Zk1oXWzavMs
o5evQi3BzrO1ZojhBFXdE6yfIKEZrWXMbKW8VDyMfPJ2nTfDLGdyRDZr75e24p0o9H6zicLgquzI
jUOUT/lqIrj4GWjURGIB816HIO2mL7D6p5EBqrJ2D16sZ2alalYgznbJUbhJ+t0ZPVOe3Wbgjes1
msLNoQwTOah3GC2sQK2KK/MqcC59H/nlJQe2uT9Kzjcb4AXdBeL54VA4QgScVRASmrmyHoIA2SBq
RGYl6jzcEp88GWpNkeAksfarPLp8D7CvvN0q1mvcmfdBxSxGb1tmF4SzR995Q5WsNA8YZghZ9pZe
HPjk5AEoxPw4J566SpwlfUTikO/IVQyZnTntqAPKysGHFF2a4OOdxrjt1kwfttPk+9idPR8FQrZv
Q2O7rxmx6t8LdpU/6mKWbLcnesHsq8TZaqR5ZbEpuyh0bBBCZa/D+aLThNqW3Po9INv25CLgukl9
MofizEs/lU0ff/TY48/boQROkeuMImDMy01oN9FjQjjEt7pd+E3uGmeUYrqKb9Uac0SDbSLXuTc7
iArh6D2v1Zn/7fD8qcPjrQWU33R4Uvmtxj/xS7AeknNddvm7wRN4f61lYouWNERnLMf/bvCE4i8G
NPl5iG+0C1XX/v/V5fH/MulrAibkbwT6cn7hv7o8AAZDetwcj9YuIJ/1XyjY3xfetNcQ8jNdc36b
RQTKr4U3GhNJTm6s97bZ7EqsyK7FbKGWhVmv7zj6/HeVPv2BvqB07ei6m2e9q6rmXHUjmtI922Ao
dtaICUjp6rVXBO0xXtj5//7z3tf51s9zPO4X7RUsBO8qi2HmKYnG0Dn7deK9ZPposW5WpYua+fcf
9b6TxEfxqGkJuFi8ESG8uzSiWlH055ZzzvUZPPVpVUGlYGoiTo1ZVXEm93Oopjgj/1Q//YerZCTR
QgwCkzbaWgb+qcw7tTnmKqNzzlJQliYqW5fhicwGUhNzoPv9dVrv20dcKCMQHiUad8o574uMc13I
Eiq3c55qmnkcAdmRbKbMZDM89j6rRUUZLjkB0eK4s3QckpkDa44tZLZS1hDVn2r1//PyPfp3nkch
F18HqoBfRzGEPM65ceScg8nhcldhskk77eL/87PQc9J4ZQgzcN4NqDgDl56AqAeqOVFPcAz56vfl
fD/obfXvb7QeMD8Xc1EYULfXcAXfZGi97/Sk7MZZfgbnPEbJjzehs6Bg//sP+ad7xyQEeYEPY5Z6
N2opbDt+LwrnTApvfc6CkcNMQBrB1mLv/adup6XvzvtLspH0CmQu3ML3DaUgglGlIOufM5GyuV4b
KFi62H2v6uygzTkReQsvqW44LUlvX8YjoQ+/v+Z/GMGos5n2TP2q6k3GrwMmEghVIi93zjNwz5NN
dqKxafXWqDEkI5SDT7nPc8FefVEDncz15UVVn14wg/ypA/1PT4AYLuTr+knTA//1y+RFCLAsb3h5
8ffcr/vU1dzBSSbc//7C/+mjUBgRsYWe1P4fffa5CThi+619Tl1ub7i6WghBZaoPtNz/9x/269rC
9I1dn95h6LCy0Hl6P3ybpIfx1TbGKaJGoGDXdPSZbApdahX5Yy4O/jCWNQD4p+GlPxIgAUm0Hvlp
POD33fQmV3ARyFo6mRGVBNwebPRlJ+d7ePb0SmXEc11PA0lA7SyN8Q6UdA/OvlGxnUc5DDpfb5bX
GeSt1LMoqilkd0Crg/1JWeb3Nwn32a/fmYUfDqCOiUHSgdFtzWj7ae6ugjlz5tJ2TrIwy4Op8KrW
qWccYkvmw6Y2y4WeIoeFrkaLnzWLt7f4ZXc4xykLoNDn5InQlbk3Ir/rVYHmeJ0hBHmbt1OtoIeR
7NgZUoVxLY55AK7Ypa+HnsLDtmFm/FinK2k+kvYOKbDA0CKy9rnXXSvkwkSzZNzADbL95RYoELVE
ZCvhU6+ATm2TMGqtoyVdfrX0E9y4ZZh4+bbo0sjexGjoybCsWj5DF6jW9Jm2hYewcUYHqzOFJLxP
Sc0IaRyOUNTse5Lf2HJ7p7U3J/u4pA7fWVVyyrH6v9JFap/9phLNiUCn5d4K2LUYojdw7KB3Sr9Y
S8gj85Xt5flmoj70REI1Y6/PvZccehJ9XDTcL4sVUiBfRVTeSOG2pEz6rVGROGIFa+87j7QxnAvt
1k9j2LlChqCTJ6JZYSnrAoOBhP5MTYOeX0SZwp6d+b6gXfi0OCK9WBvka+t4PaFi6OX+hHge7hH2
qycxUlpuQl0OINUe09Xcyde8jIVGPaA2VDJC/B4sHaCpZuFfAYEj8Saq+C2lPnZDp6HONuhy77rK
VazU8LLICMd9lXSZlnrBYVp8Xx9UE8+hM1Etyj8lemOy9ujX4ruJFeY+p5s2YzMwKBuuBdI2bRk1
SLfdF9/LuZuYq5ueggA2xy2uet87rUdJg/qWvJDOSItYzFoAAuQiL/ddz7ro1QnvX23GCyHJKrBu
EoPG125xS0oyFPSpXGAJYb15I8pZlc1YHjnyPUn0+UgYe7AxkKxwNlo6O74HPTsfloJ1Gc6Fy/m+
AVF3rfwC27OV0sIl68Z98eimIdmpOiLsQO91H2NbiaNS+AB2IvacL9U4Vg+BSpdrooOKXQvXwNpQ
E7CCA3CQ7pQW9YgzQbcSZDETflSpetiZMvKozql02oBDRYdL/uZyE6DWO5dOUqNVzsNwm7qSQj9t
D0TrannIQeigXE8aYuxNjdhiTJILAdX7jpJRgIQ+GkoKBl3/I3AUfD/hDzeh55JXgYECNOWQMzNt
la7qTmaDsrpH8PEZHkUnD4AFvW8zzvCdhBF0Rauziw9ayAFEcGjQ7OMvvxjrob4Bu2sRF6Vk8iXW
HTjgbUTJeQl642qJzhZZ7e1FICfvuaHCBnenUV+8eKpPtlNitZgnR31BipzvXVcoVLMjjzFA6kOc
3lR9yfA29Tt6yzhIzM6/0JtRFKkzPc+dlhjsW/aAGzBt5QG4WK8nJroAQBHuB0p+l8hZmsusI9Rg
cYflewT9ZJ8YqQEcvC4/p/lIDOxS9RtiNIhIamWKy6J7gSvO+0GhexeROLwdxs46lE3NLwoM6s80
LFGORnAc8g6Q3c7z6T9hcWhD3yYVA3FPXOsn30xX7HSDIz65xd1V6QhqI4r4IKcIox3+iISieCPh
/mMVVfVi7EVZD48NVtVmO1byMLj5QqXY/Fb4sv4cFqkA0GnNB2lE9m4o+B4hebN3rEqKwBKm9yvP
aSeCUUyeqI8K4Yr6Q3WL5Ksh8KJnUBsEqvcva9vAEBmvhNStnX3d9CI7e7MuIwl7pobObNu/xp3J
hFQrPKaLqRiyZk8nq/MHNCfBMLvA5NJkpqBatyY9ZFpxakvrv36OLBpma8XLX9Ct9jJkPQ4GN6KH
IRzcw12hf5s1N/LiTYeHUkJnMtTMtjPnKClpa+28kcLN2Di8+kPitkdnJrnquDafmoZhu619gnJo
xFXFs6jbmP1cAuXSAjBQa3aPJHPBzZKg+bE0o6Nbi6R4FNhg91XmTN/RpLTx1s0N9xMp1eFll4Ty
CHCEnKhqjtNhgwU2+SrH/iWjrLp3HXL+tiTitPJzoYzB+EiCVm0fA5EENyPVsq1XACpPpqk9Zgi8
D0ugYYZhXPobUrWmx9HtyntaFD9EoT7P0Gw+AFqhcEWIeAGAAaiogznrNe6T+FWl6fQxHnyeHG98
tm+py5LTGZOjthmTVBPjC+mfiFyR9W6eCsDxEp34QjKajKcjSdLm2Wnr5bqV5NF7pNkQGl7mg7Xx
eAqgSqgnPGFfnQk5s/rieu465wMu1+JDi6vrvkyDdtvVlvzmjEaxr3tlf61Dbzz3XqOoyEUi9TYy
sAn7SVBPTIOasA62BdMFkZaE7wTOCbnC16gxpo9TH+fo6AbzmuAt90s+eQSWdthcWCt1sjg17Pgm
pGh2DejEPhnhRNp8MsbyRaRTc0a1DkAUc8MZvJwRbZxelh3QiCU9GGxmyWO2hIg2qRP58yFBC/jg
5Q2utwqAfZMm0ZW5DOquT8h1D8d4eh6Kvh32ppROeprTeXa3IBYNUsKiKchvvJkC90WYDPLIKde4
ynxVP5ppJ0JyCjCDboThmzl10WC6mVjhf1hjK6+Hphkv8P4uZ4TSZbFrwiSiam9xvEiY3C5yJ7JS
WsoNzdZ49Me7WIwTuNAsghIBarl7zufeBuZbuFdzKphGcTaFEBObsZp2ouyGCEpjLa57f1HuBgUV
6UxB4TtMiNb0vRbeEB1Co1X0AqjvOk4LZqPwcL4OfnovS6t9HKxFPgXYePfjrIDwZjNdETByxJtQ
9ib+LfPh80x+isdMJa8IdFiHehPOGuFmaUHGLgXqUXFOAe7ud7jXovQD+rD50ewmA0pkDxontVv7
EBh2h/umqdxDK33A1rVIQ3kxMHZ/UKicPzWB3X+bXEjXk0dS9cGk0UssVmHRdcnqwiduKaBuT5ZY
C4ggQc109Pvmh5vM8a3MkBVsVCp7AjbnpKa7TMgBbM122ThI0GDKVt0Hg1SYvTC9qN+FsWZJq2We
URTVPpEquCqCcz6Q82M4/vg5oV+NrCZW2Qfqwr65iXDIf6jCoug3wOQMhMM2Tw3bhOUAppqKeXia
QYhEzpte939roX+ohcJc16ep/1wLPb5ML2n6M8rj7x/5l9LddaiEcjZjfUXB6Xr2vwuhTAka86EV
6xQ7+CcUnP4uhArxFysvsmMopLiIRBD+uxBqBX+FVEEDeBAmBYUg/O/k7r8eHTUOEtMKRVUOYFS0
kL7+egpHvFWojHjnj1I2DSo0VcoFTBzfU+++aKA6KLqStOi+EeIlHpIkN+5FiPWsctiRbYs0gEEh
Z9zXwJ6mHUAeXMRGs3dnVDvSNPk9noGPe4N0KL3NurnJSQZDBVATh3UYKFLsGysLr4RBliTIB8BD
Wb5c1GLJ78mxVkfeEVRDljF8r5QBnC5xYCIZOnSSJAc8XonsJ2j1zfLig/JJd1iPYQZBxWHn3OWd
OviFSddhMZqvZExnL308LbfA3CF4IH54XsjmQDAY5/7WXlT/fexiayMaVC2xMK27OPHutNIH0Vch
xeMAyjbf/TRebt+qQD9bxlYB70/FIf0IqJ37PFV8AETU6LrjTyfhUjlOZkTS+6g6O7x0bQKL6afr
kyymmhwlQdv7m1SU4W3tN+KqmgSX1nhB7UJ/wDyqEnLqfN+tL0M1jNcK9NiNoFP4aqW58alqXXmf
wCnb40vKrge3R/gVEOL8VBRks8VJ19Dct+sPQdA9olYiBlRvDuNJgOAXF34S4sH02q+/v+jwnYgd
dqrp6wFM5ZaSMZibXy+64dgGPLypPjp1GT1b+unHdW19tgTbM5ax7pKeancJo7zfO3AQxKY06FRJ
O1PX8zCbXxtSJWHIuNP8Ia6c/DTVtvsxWvhTawvxndQr6xwbYvqQ4Ge4siEv37pB9MTxUFyEaVo8
5RVQLI9m5zGtpoqYkM5gxbK93UKq4F6ZEOw22px7NpX9WnnD1YQpjrZ05B6XgBMuG2Z7l84YEWcX
iJfJuorp8LlowuzkOPX0LU1AJEByn741RD1TZmC72fXUIyJU0DTPh0OfTvM9L2V+44+oAAuUcMfc
Zn1Ls27jRZ3HySJT7jlwAGamGOeGXZrKdlP7WXhhqk5sRcpZ0a/QaswVT4nzYZpdl6S7XS1BIeDH
Vc33oGhL0jRRDGASdtHV6LMTIDwpj3g/0nMBcu460tIQon3Ga1qaXJywB+osbaKyI6XsLNwqJxb3
BqrTDxJP35Ut0phczUAdJ1e/m2TgYJmZ5CeH8J6vYZzHV45DZI8Zz/Ofehu/zlmaNyRIxKBspE0/
Atrnr2OHBLwoYqdi3CcQu+/6cKguDEsWT8uMJY0jAJu3UI+drlbfJhFwcutlsxCGtiSvGfv4m4YE
gRNEgfYTCS3NDu2SedEGDSncTr5rCT1/LFt+Sz6itdAo8Oqi4Nlf1Trc0OxjBds+nvcIBcX9bHY5
oXcULCAUGcs14tZ0y3S1HEbsmnpCrfNT5za9tXd7Q+xTc4BDmc3jfNOR23S3DtsmazlCp95y3bWu
dWU1dUR3NTA/B0YpP4Xolz5huGhvUpnS6oSNgLPEBp/xtTLzi5YQVcRrczgkG3sYvAtnUbm/z4Mk
+BCY7LP/UEwVvxaz9e3HaRX4uvMgYFD5+tX+ab6aWksSX9NF96JrPIyYuG02S9caHzMVcgVWJsyt
10rjIVvSkT0NwmosvB2kyYvARAu4sXkHh40o2ugUIO58yUevW/A3TzCiGhJAnjuHrvXGpHcPaG4w
Dr+fe/7pAhy9vFL/Z10W7rvxU1Hy76wk9u/ZhfZ75GHzDey6+NCCiOqooDDPRC3CKBd7K7WLxDX2
VD6aF5rz7tmavOgH756tJV71iz371pVHTvQpEQ0b3bYIogdkjAgkkiomtfT3331dj//fYrHefOBf
vsW5AQ0xzYR3N78EfqWcyb2vB9dFms8h+QejmdSUDpHkE7nN6pqskflD4Y/VRY8ION2IqgIX0KTj
qS6DdDuForss3Km7rP3WeOhBzl8AGuzTbQdM6YMKZHrlC65/KsOCkpOc5I+RZYJHlDpfZTQNl6ZS
AVWQFoHJ4Ex5deFjJt9i/lWbWXRMQ8MQfRKIXo9GYAQnmbLnJ6rFOxTSjg8NG+1nQF/QgaYxImc5
6faq8isSKWEAfLdiDlEbUToA9WUjrL2ym/Bg1/lXq0TvmdhVu7E5Rl0Wzhg9Vz6vOnsCBDT61YtC
I37toFCMexodfD1UaSc1d+K+EHIZdmVmj9BXWk4RoDwOmZlEz4y88btDQjUziL41mR+dhrQiM8DU
VjRqQeK+STsTjlWZP5iNULjfST/97JfZNxBiSErjZMaaTkRp1wn022TDXSXzJNHgF/NNZinWkt8P
BDaJPOlfRgIxOuwZMH+763bw3baBuboc0E0Aiyis3t8uJi/YZp2bi2luL6gFJCAUIi4gQWl+YCvW
vHiiV3fKYk7ax6UkPKH1SanMilObFnKigmqmyJ+MLC03cVwd+jbXryu236/LZBaPTP/9VzE54/ch
9R1jR8WuJO4kCdDXVWzHrseqJ2YLlzDjwKHpsSnsIioORH8T+w2RazgGsTHvFtUQ3e2UjzNYC5tv
KZdia1A9DlvPuAMItkw7OZjDa+uyrDC+kl2H6P44Wwrqlj47+kWqt5z6uZKP2X+Sc350DSpwu5m+
BTrk5ZPVNNUOJK+94fskJbgYXggURgzWTJC8SYfX/waRHW3kOOYnYgHNowqLhagLSGcXqoXwdg0c
1SGkbciTJ9aB9EkaGbgE1Uw2LM20zD7JwAlhLOWtFx8Rq5hwWDn7AYFLEPsb9Kzvid/WGxzUZicT
6/uFIUtv1yktZrOTod/3ZCeYXG7OlFfUkhslp44/R/3Aa7AkQkW6TeU4u0JZ1UMc9/IyMh1WHWVl
9tfEjtJlG1tek5+Nvtfbn3C5Q9ZVG3ty2MyvJU0A0D4EHOwWZnZza1TKuordKT8tDARCMSbaO4az
JHgXLNv+bKHWp4FNtNwdQsZo2Fg4/0ilG8YjORm4X6RU6gduguAyGJSBRrPESkJWGixOs1PT3hnH
EHmTlxJxQkbvZuqw/2ywRdhEuccd3CsKWxu3icwdULnih+9P99Tp6OVw/q0hE+ckRxQTOXG+Xya3
ovQniv1FyJ2BKXG3vkj/e7L9w8mWnpsOAfjPJ9tP32X/f/6RVfn2k38fcH2fMASPzqOt2+g2mp5/
H3ADQawaaaEO8WUWjmrB4fLvA65j/uXhQYPY7pPLgAVZ/PuAa/t/UXlG2QConiY1tqP/SunzfsWk
3O1xzOCAzaLJvu+9SCReHFhtGQVt1BvDuQ4qBMs00eTZXkreKUdTCfPBtu6hYjADxoR/pHO6IxBx
OlJBpMAZRYN/6Pqw+8jxzQAPXCAOJ+DqImGx2dgrGQe0VXtg5wgvZ9boHEzTfncYsiHS1BgHug5p
cYW7cXLX240hmF9Xg3jaCPtOkA/AEJe4Iz4kiB9JFg7xKrhdtA297HM4TU/sbiH8kOm0PCpCB9nK
FiDnRsPc9ZoJxBtsnTDkAwqaNTMI2S74IGVE7b1LdtQVP0I6fWf6kIZq4y6NmkxSl8qmY0cz71pN
S7WZJZQipXlFSD2WB2jb9gG0HK9fKDlYhEpfOUA9SSfAS+kJw0DyfHesYBMt5cc4cd0D9fkG1A1/
7ZsQlFChPhJY7m7iALpS4CyHYATAY7RmvYthSjGTpE7/MaePchuxENxFiBdmxIQa3VQvA1dcBIba
ESEVbgJ/JAkN8ebGg+e14zsTLCNBVTl1WOrKpw8/zf405HlzxHyI5weKlDUkH2JYIohmF9Mpdv4I
I91xJ2dTFbFyQFijXWbH5xHtyV6QjnJ/JHOrf3Qknb9Nkyprb4yioxq82NCnZOXyPNzhSgXi2APD
SjUVa9B8LNjMT1FFSFE4dY9LvjjbkCX5Szdly8lKQP6UC+G0dE32sdW7uyKL43vJGkkYlV8X10FW
tjfFiusKizLxN01Ze6DnpXeb20a0MxJ/fI66SNwtbZ3t3dibr1hGv9M5oVNFh9PbR22KMhIy12lG
PUrv2t7a9IivCAbAtWSBBxsqaCmW3X8mpq4Cjunnl8kKJZtWQNm8wspI0ZNfzKklE5322R0oNves
A0k+5p6T7Sg8D1CJZOtt+7Hklk1N2V0PGo82O8ON0QhaRZP5HUHSF3+aarktSXq9RG5Dz0Jz1pbC
t+Su7JbgGTDs8EC3gkzrMSr2XkscAPFXGtlmrvi2yCMBlOLyNH0B2VmbO2uhb76XBh0sXJUw4MhG
E3sXJdIek8lo3o2aFpdrblyjW17b2VqiuxGs3ORaz0jins1uAHFO1b7zzbI5hl6KJ8uBO95djBpR
BxjL+wRi/SGOmu8mJoBlk2mkXafhdm6BevpDUjhY00ABbrPEE8eYOeee3wD91ZYJCYvpOfDC6XIm
v4g6u+cktDNjOYlrWk3g9YJo7mJQ1s1zueL3Ok3i60x5yDSbb9SUvk7z+paV3KcZfgMwP1hZyWW+
Av6EIv/tOEQW0a6komZn+tVZvk8lteHNbNbutXTtaO/bdXKJr8Xat00/bTzfMHYWZaNPTlcu7qZX
58r0jSPbieQiDxDxRp4wDm6EiD00l+lQORkGt7nIP9P5WNg4t9M5SH28e3250aADJM1EIdNozNw7
rKf5vvFyiKNTUm6DEZ581pawtHObKFjYQBejIxHKWWV8PY3uxB3IlMLjbLqXLhzV69nsjaeJ0PSh
OA8A2XdlIRssgXGNHN6wy0PWnL1l/kyMm7erkclfzipSe5d/dS5cs762CrvFVO4YM/HEdSswwA74
6S9zXH3MVF17Z4ed/UBeCdsSD/1x4lrJtF0atRC+F9X+Nizy/FkhcIan6k9nUMuksHQj7N4go+kz
sL8Gb9AdtECQpsR4QwN++YFXauRvff+QuLFTbPy0GcDu0p6KvJYGbAIELfEqa1cLc7iMSra6NSCb
q7QYvrCwkIbWF+OxUu3EWxrVxv9l78x63Da2LfxXjLxL4Dw85ABXU092e8yxkxdBbikUJU7iIIr6
9fcrkmqL6nYfO2UcEBeXyFPULpLFql17WHut4yhPyhLBiNDPHwAN6sGUgDB7bYQIPu899aNnW861
PgiVO/ofk3EaOZurwB6E+PmERwk9FSoH7DSy4woNrcH+Wksj5UapSIvO3e36xiJYmgqahzsrhw2e
E9uZZYmivS4oCd8dItunHS/4MBe673bm2VdA8jNnBLTo74IOsxhwhQOjZYLtLSmJT8jR7GjqUkM6
P7ztbqIc9HepGo8H8UGrxiZb9M068QB9o1U/3gZg7EhQuBMTdeFblGHms7LY3R3CcDdVjodsCUXk
YexRzKAJOID5VKd2cyyM9U16RE0SGr4bz0zpifSKabEtv4ahQcUMZMq0KDhu1JTKdZp510UJKWk4
p/yJJAoaGvq9HmoRKPy9+b40/HCWDrJ7r9p8AEsyeF+uN+8OzOvt/IB6ZaoE954dHmcHa+tyNFIa
hDV/n1kz8whxmrFFHRXOtCKnEedQ/WFs6borC+b1w67wPeuW9kHa6qpM8eKpxslJNOsfdAAfii4q
uEYZV8rUoptZma7nLi0voa+4gy9lph2qiQ8X6nECoEJws24jZK0PWzUIkF8l71ZdJ6b/0bRTazM5
7o+4MhmqgDQt09SGFAn8rSgXQ4KqqHCHVrF6MEf48bu3WqwN1pNkkx4/60lx+BzGyuHWzjfqXbGL
sqtdNUDDcQ+8Fdm1ivYmBAFKTH8QMQfQgF0TGaKxHmIxne3AWlQbZ0MHQbG53StuoY/Ab4QfnGPh
34ZKmJGbgqKeBpxZpTnecqcVgyuy9Oa7rHJ2M2S31Zme5psIZA7mdUtnG9qHFRgXpN+8fyNenkzs
DZoLaQJOAr5d3bgWSY/9RDmaBbolhVqOON2OdG+gyXSXJkW4nuZko9SMZvkCmQNOLmVmIkxKy1YF
6A3MQAHRMTiqW0pl6NaS5NiTxhDkgwElDRRndhaO31wptiMoV9y3qjmw8jHF5Z0/25r0lcaOC6nA
Wi+syZaw6s+M6r06OWyUzXtnne4+0CJaZjTRV/44hvrsKvPn9KmAnL4+qusD3Ivbw14ZKVVqgxFB
pPZzAHR7Ms9c9XW4cUIT9MGh+nLUfWNmZeaVns+L3chHVJfe74h67I4OvXEW6/trz0dYZDTwM2+q
HwaozleiVQUPaBeMQ2pJN4ZvKJ/JVW7GXqLM12Ov0B16YCojgjh4mytjP83zLxjvI6jAzLqDqPsr
EqBbNjaNJCO+KBR7AcAd+kkgL5+WebGpRmlhauM8hx1ubFjr8G20yyDvBNdTTHNz/SYxy2TmlmH+
uixs88YC2gBAhOrT+yxIiy0p0yi4MoRqqMtHu3WKDBrGIDKq5WHurP9y8bn/QMDcvpuT7oegodrb
rzMAQ9Zk7gHdexMqpj7WKvtLHurZ5wqNhZHlmQbCkKCgNAAfNylECWjRIz7/p54YED7A7AgvHZU5
zhLNfRMgB7PSBnMRDPvqAnvq3/rlQKVRyLC+kAPIgCikQEVmgx3CthOSywjZIpwAMAigAuyMAC2s
MhrFsDRMaaEnbXZADYZS157OqX15j6JC+SEDpjPaRCWkj+YWSVJUzxcV6cTdSItjA6hVDJlUoibw
5mn7fBzGFLv1eb6bDgAmzbS9Yi81aruvgd0e753dMfmYlACzx9jzzd9xrmaf3EgJvniqEngAvTbu
LbCQ+S3Eu8qtksxhM2K93ik7z3qvH/NyDH4qvtFoD50Ojuh4qraRTKvIVvH9FQtk0xxmaTtfbzHN
YTQrrcS82gSD6Oag4IsnblB+AhKjwwWQTvNkt3nre6AqNoI6c0PLwx1GYj9hA7JZbARwsz2WT4el
f0xyCXljQcVZ1aycJGd2o1hQdW5r0k4fHyUIFdofBKXnumb3tGuiTzLwyKjE5RJZeXhAE0EJuicz
qM9KQRT6//H/D+kqWvR/vBj/w3wBj9t5aRtVc/FvTqVtxRiy6ZDFJLQHRC9i+BOJm6ryk+hGFvrn
wHy/Bf7mkLBfI+QnjU0/jEgXnFp8lCEmz1ZFgYHoH6T2zwT+3S4CmmwUky4CaAqpGMIbp18UtudF
qfomafz7Ilx6WUCa8+vZbDxTtxVljvP86+UNBMD5rAySHvQgTA7cwNkACUI7qnAX/v7ed2k/Xr58
qxoz3rkXdVL6BmjUpVb/lCioQkQpMAGAwtkZgCoHdAnDvWKRkXe07c78K9scPOdhHc+dHMaSRMsG
R1hbTTrvb+G22XnhkvSpY3sElMZace2reeqJNruoWPlAOf3wdZEaGfTVipUcb4LM3czTT84GHSIY
J+P5p2qXz2hdMG8zXIZ3GyJQH2jsfBehRxxR3Hf0FKUZbW8NOAPLve7C5ByEu/X2I1S03h4MAGeP
DfIwdjjXKXRpyCoV2m0KDPmPCvayu2C+KxBkhY22nCHnG+jhnZ0jo2seLKygujXLv5CbsiAwR2J1
RPtCOoaV09DfGgM7Od5tcnc9+FhC5m9EU33vUQZIhCRQfphf2UCys6v/W1ajTX8K7ZlpbQ3eF6u0
+rDKQJBlp8Y58eu72I/yT/E/+6OXB3q1+iE7BBkQe7OTh6wfqn7il8YIFrmfF8vV77/pKLySRaRv
EOMhLmohQYxcX/PzwHWH9AZrLucRFoarSXyeTdL3puHlN2zm8+W/eekNmgm6Wf7+GzUcID5yk2AP
NdMgEQtz3XOTQNA3BG5LF5JB15O4zpf8S2vh5Rf8dZNAa5n0SjCG4AHobCLVW19Y7fOVoHIwWRZs
R8C6TpPErP/3V8JDXES52JFQFXT6aDmtfmwhXIxwthvcoanQbyAooeuLGvH5HLAbFJgULdF6VV/N
Df/7c7BY4mBMgEOm/kN+7mdAni0o+2S3A1Gn5ogKRH2x589nwTGHgBjoMVZxNsTVLL0+zYKi8OXk
JgGlapa7Bljg4u3pzzZA0GhKOzv9MwYAfHAopV5fc4bUxk2V+lN7XcwCTeUOXeaacDjF1cx3j9YA
h6Po9pOaBcNA5JyWcypgzSxcrAXOTNCmiuGy7epb9ej9yZRwlku9vg4AlxMfeC1nrLguDAF8BIQJ
NA+Cqa2v3hkChMYU2a2gC816BSqGdhLE6d8xhzgHoIBFV3AzCw3quUdLAZbq5pkaXtBHh+Vn/ESw
05RZTd6yeckLP1FVBJc4vbQCpc2i69PbE0xLbgRDHcJ6oZpkX599e5slgqy5o4o6fb/e3gGYIvn2
umCQB2IG01NjBi42gG0SQ5CV0OGwq6/eTQJiMkIHXs4YAskw+MYY+2fXgKMPyZaAeiJ/Ul+92wgq
4EdZt4gTESELxaaPrfnWF0cCQBGsIe3p5Hj6thU0jnLpvYCZAzoNm4fgh+G68AhsdwisULQlNEGS
YO/pl0GAH+QJeulnswZgkMgNikiojYMuLILDLBgO2giPZ2YPZ8GRdgxclDjgYqLu/bjjO46BRZwE
dwRRdfN773YEob7DApayi4Y2pNPKImg2np0FVyemVoQoSPt773aEIBtpgrh/7h8Z8G/hHUCl9Pws
ICnN8UFGHRqb3u0FOJek7aJDPGiQJBR0NOK68A9dh3OD3AnZlUe72S+7iGKNKmsRDGtImUHUTlqL
cDkLhgBoIlCvNXfqkZcMOZcj6xzolKGEMgLUrM1HvjgWXJV4UnXIMbaHZ++2Ar0t0qkTomb4i4Sg
QusCMK3nxwLkjUNkWHRkuZpd16NVQBQrfSDohIrkD9no3fe2raGtqOSYT8nT3jnIsHsZsnuA45BK
gaBbbNf4hYNsk0WnvqpDqtK3c0CjziGbJyA+cMDUIRzzfHxA7pjmVRenqP29h94Ap7SkT8QWADqP
WwhTa30x4LkJEIkz8uc2525jKHvnGRIrCWI/Oc/QJiKmVwE4wrPHgcieGnQ/aKdZaJywPplDiiDS
niG5IyqHug3Y49m14A45M22N7Erze/92BA5Ls0D/uX9MDglyPSE/+LxZFLKGlkngbIu2dq7+HY3C
bMnuCH1oOUCcwdQ03/rCNeBwoNQAwa8gNBBX79xEANqa9BGp4AZSbW995CexAn1REDs4IpRo7EaT
vu2TXaBjS3otkEPBB3QBJz1+6/MzwiaRRs0BeFhrPPvnLIsCqeyOwB3SICWAifjxW3dmgR0hmC4E
8KC++uc00hfXGKt/bh1xGnGL4dQ+ZYou7YLJLFFnpxTZzELvzghSfaLNWtpfUBFrFJ2N9cUWO18L
ZPGHEJWSv2zdqv6dEZAjyKIvyK3CdC4ySd+s3/ks0BrKL0CvjW8YlZ5lUmg9lT0jdPLsDgKPKLA3
F9/6fBZcm6xiDXZt10rvfEeBP5BdC7oOYxXxMpFZMwsXdsERJykFJ7BZPbUL8GzIW0dmgYoK9QT0
EOuruxYau4ATTQG6NkE98hR0OMOlfWcTxBFgI2jGnvUUUIygeVzQVH+rzffLIugQsclmFkQEQV4F
77g1CRcxdY1PtEku0lLfu1UACkU2p0BmBVg2DOyCuObcFAI+gE4I/nJSivXVu2QC/H3SjiLcBuRl
kN+F/Ly+LvNqzlBEFKbgj6+v5gTqkyl4RhzmpwuvBAV8ZeazdQ4ucqwUXhHDAriHTHF9/cQs/MBU
PeLfx/AWLmvku7/KngPIf+8PToDop7+3aG8B6RZA3s4fCkKO5t7fgPH/6mBga8DR2Y8nAFJ9n/af
ty/49Nade53e6vQ/r/1Vukgf1lX9Q9U+5v0iBD3/P8Hi6yJcdAC4NRTy25P8/lvnOc9c5P8wcLa9
GFcIh0iPm/rHOOoOXEPH5QfeLqJskZ0eUXzGBoEoO/J4Efh/x2nkd566Qf1Ljx0HcbpYxudP3YDl
5EeOotVD7j8UeWfwGosmO/hkFcCdmq7OR25wXtIjt5DyV/Hfr2hzKsKv3Wl3gXyf7vosS85jAPjS
6p4x6/6y8z1xcEXhTfb5r1Zx6nUfucV+yY78fbba77fq/NBk3CwX684CbGFasg98g05vFPvdHdlg
f6SHjpb+4sKKGEhlyX+/m7jsLosGoCL7wHdPbVODeZAemAGKh211evPa7DUtGLJDv44LSCkvp7mp
0suO/WbhRx3rASrhVxwvbxZwmS+i5fl0tCVl+UfOssUDBO2rPO+s6bZoKz2+/7D2vUW3oagpiMoP
zVmQxXlnZbdwE/mxs8znvyTxO5Pe4N5/xehxkV4OLeqj0kPHUX6xuFscluzI96uvKdL23dluCnny
Q+8X3XOLfJ+ojckPXL66XoRJtva7xzrji6rTrxj/dpVmq46lAu0iyhi/YvA3q4P/0DnGWijNrxj8
zzjdnh6zjg+alLv00LBRr1+NF2nMSdldLg1S+NfcYLLYXu79prguO/zbtd+d8Sb7LD3sNsAj6UY1
WpPSlR46XXmXPZt1flB24HerKILpdL+4CBPacqXs8B/W8XL16iZ7crY1FTDZ4T/GxXcWYptE/jU3
eLoQ2x452eE/MfurLFt1XIo28yk/9qEbVcJdLnqdZcf9I1+sT6MIm9KmKGWH/fcqDTnZOiM3yT/p
kX0im4vl3SbWZIf+vODcQYS9uzXbkp704P+JDFUyfvr8kqSy7NjfJ3J5ceTnMk2PPXFP808nHoDn
/lk3uSb+4iFYLdJ//S8AAAD//w==</cx:binary>
              </cx:geoCache>
            </cx:geography>
          </cx:layoutPr>
        </cx:series>
      </cx:plotAreaRegion>
    </cx:plotArea>
    <cx:legend pos="r" align="min" overlay="0">
      <cx:spPr>
        <a:solidFill>
          <a:schemeClr val="accent2">
            <a:lumMod val="75000"/>
          </a:schemeClr>
        </a:solidFill>
      </cx:spPr>
    </cx:legend>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_xlchart.v2.7</cx:f>
      </cx:strDim>
      <cx:numDim type="val">
        <cx:f>_xlchart.v2.9</cx:f>
      </cx:numDim>
    </cx:data>
  </cx:chartData>
  <cx:chart>
    <cx:title pos="t" align="ctr" overlay="0">
      <cx:tx>
        <cx:txData>
          <cx:v>Sales by sub-category</cx:v>
        </cx:txData>
      </cx:tx>
      <cx:txPr>
        <a:bodyPr spcFirstLastPara="1" vertOverflow="ellipsis" horzOverflow="overflow" wrap="square" lIns="0" tIns="0" rIns="0" bIns="0" anchor="ctr" anchorCtr="1"/>
        <a:lstStyle/>
        <a:p>
          <a:pPr algn="ctr" rtl="0">
            <a:defRPr/>
          </a:pPr>
          <a:r>
            <a:rPr lang="en-US" sz="1400" b="0" i="0" u="none" strike="noStrike" baseline="0">
              <a:solidFill>
                <a:srgbClr val="000000">
                  <a:lumMod val="65000"/>
                  <a:lumOff val="35000"/>
                </a:srgbClr>
              </a:solidFill>
              <a:latin typeface="Arial"/>
              <a:cs typeface="Arial"/>
            </a:rPr>
            <a:t>Sales by sub-category</a:t>
          </a:r>
        </a:p>
      </cx:txPr>
    </cx:title>
    <cx:plotArea>
      <cx:plotAreaRegion>
        <cx:plotSurface>
          <cx:spPr>
            <a:solidFill>
              <a:schemeClr val="accent3">
                <a:lumMod val="75000"/>
              </a:schemeClr>
            </a:solidFill>
          </cx:spPr>
        </cx:plotSurface>
        <cx:series layoutId="funnel" uniqueId="{E9DBDC8C-F8CD-4523-95D4-3827CDE4EC84}">
          <cx:tx>
            <cx:txData>
              <cx:f>_xlchart.v2.8</cx:f>
              <cx:v>Sum of Sales</cx:v>
            </cx:txData>
          </cx:tx>
          <cx:spPr>
            <a:solidFill>
              <a:schemeClr val="accent2">
                <a:lumMod val="75000"/>
              </a:schemeClr>
            </a:solidFill>
          </cx:spPr>
          <cx:dataLabels>
            <cx:visibility seriesName="0" categoryName="0" value="1"/>
          </cx:dataLabels>
          <cx:dataId val="0"/>
        </cx:series>
      </cx:plotAreaRegion>
      <cx:axis id="0">
        <cx:catScaling gapWidth="0.0599999987"/>
        <cx:tickLabels/>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_xlchart.v5.11</cx:f>
        <cx:nf>_xlchart.v5.10</cx:nf>
      </cx:strDim>
      <cx:numDim type="colorVal">
        <cx:f>_xlchart.v5.13</cx:f>
        <cx:nf>_xlchart.v5.12</cx:n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rgbClr val="000000">
                <a:lumMod val="65000"/>
                <a:lumOff val="35000"/>
              </a:srgbClr>
            </a:solidFill>
            <a:latin typeface="Arial"/>
            <a:cs typeface="Arial"/>
          </a:endParaRPr>
        </a:p>
      </cx:txPr>
    </cx:title>
    <cx:plotArea>
      <cx:plotAreaRegion>
        <cx:plotSurface>
          <cx:spPr>
            <a:solidFill>
              <a:schemeClr val="accent3">
                <a:lumMod val="75000"/>
              </a:schemeClr>
            </a:solidFill>
          </cx:spPr>
        </cx:plotSurface>
        <cx:series layoutId="regionMap" uniqueId="{5CF8B556-EBB3-473F-B66E-7526F40C3631}">
          <cx:tx>
            <cx:txData>
              <cx:f>_xlchart.v5.12</cx:f>
              <cx:v>Sum of Sales</cx:v>
            </cx:txData>
          </cx:tx>
          <cx:dataId val="0"/>
          <cx:layoutPr>
            <cx:geography cultureLanguage="en-US" cultureRegion="US" attribution="Powered by Bing">
              <cx:geoCache provider="{E9337A44-BEBE-4D9F-B70C-5C5E7DAFC167}">
                <cx:binary>1H1pTxzJtu1fsfz5Jh1zZBydvlJnDUwG22D7dPtLqgx0zvOcv/6tpAob0hg4at6Vim65RGVFxbBi
T2vvCP591f/rKr7ZlG/6JE6rf131v7/16zr/12+/VVf+TbKpDpLgqsyq7O/64CpLfsv+/ju4uvnt
utx0Qer9xggVv135m7K+6d/+77/xbd5N9i672tRBln5sbsrh4qZq4rp64tmjj95srpMgXQZVXQZX
Nf397dmmqjZXflPd1HX19s1NWgf18GnIb35/++Cjb9/8Nv/Cnzp/E2N8dXONtoIdUM24JoaY2x/7
7Zs4S73dY0vTA0Uk4dzWd52ebxI0fPF4bkezub4ub6oKs7p9/an5gyng6R9v31xlTVpP6+dhKX9/
+zkN6pvrN5f1pr7B/IMqW2w/sMimeXy+vJ34bw8R+N9/z97AUszeuQfSfN2ee/QTRossTW+u6uCq
qe8W6xUQogdSSyo5l+T2h84QYgea28ymTN51ukXohaN5HJ8HjWfoLD7tKTpxVm6us7tV+ufQcPvA
GFtKItij0FAiD6TQNlf8rtM7aJ4fyq9wuWs5B+X9XoLyR7z5tkk2d8vzCphAHJQSjDEorPuazFYH
toAiY4RtNZ2563SLyQtG8jgk3xvOEPnj3X4iUgZjlr4mIuKAGc6gocR24WfAUAobo4Q0Sqo7Bbc1
bztgnh/QL4C5azgH5uteAnN+07052iR55Qflzd3e/ecCI/iBsqWi5s6+QFfdlxt4AFJrxeAgbJUc
u+t7C8+Lh/U4SLPmM6jOj/YSqsUmDv7OyjR4TTHSB0wKpQzd4TDzAyg1Bwq+nKaCbuXsIU4vG9Pj
IN1vO0No8cdeIjRtu7ObPrh6TXdAHAhGOQDY6jEykyRK1AElNjfEBnb3VdzLRvM4NvfbzrA5P9tL
bM6Cqpr+z/Pgbpn+uZrj8AsYsbUtd9Yf5v++mrMhPVIxuHI7X07d9b1Vcy8c1OMYPWg8A+kMkcse
xjp/lNEmrTbV3Sq9AkLiwIY7TTjdQTQLRQ07ENxQKaW9NUSzeOclI3ocnh8tZ9j8cbGX2Lz3g1dU
a4IcCKw6NSAJbn9muNiQLGK45kJvcYHau6/cnhvN45hsW83weL+f7sDyJt50m9d02rg5IFBmivE7
dfZQm2l5IJStBKcQqelnJisvGdHjuPxoOcNmudpLWVkjng6uX9FPY/aBNBAXeNS7n4fQQFyEDWFh
Nn9UXF4woMeR+d5wBsx6P+PQya85uSmrm+FOnfxzEwNVRuF+Gcnp91jmvhOgxYGChwBWdweduOv7
R6zz/Jgeh+f+fGYInZ/spegc3mSl96ohDjtQAlSmMDt4ZiGOzQ+EEFwLsvMAZpbmBQN6HJvvDWfA
HO5ncHN8vfFf0wEQB9w2RLO7wHLmAFAKsZHwAGwyMzPPDuRxOHbNZmAcL/dSSo7jOEiz4BUd5UmL
AQvQyjtC7edQhgpbcfk91nmoxV4yol8A830uc2z208Ycp9fB5lW5TnMAfsYI+y5GgYa6b2BAQoMH
1QZ86KMxzAsG9Atk7mYyB+Z8L4XmLLjyA2+T3m3cVzD9iC610EbbO9s+U2K2RBqNGECze/5T/P/8
iB6H5sdcZticHe8lNsdZ94ruMhLQRAsltRDf3eH7EmP4wZT3VJTsns9weW40j2OybTXD43g/rf1l
1tT+m+UmyurXxAVkJldUgPvf+sLzrA0hB4wTuGpq5iS/dDyPI/Ow9Qyhy/10AU5fmymzEUIKzYze
MS70oZUxNhw2QkGl7diBWe3G8+N5HJu7djNUTi/3Uo+dgqRqrqJXDC+5PpBMM1vJXYr5ZxvDbK01
p7vQf+Yuv2REv0Dm+1zm2Py1l9i8y5qgemXXjBwYG3Gl+k7MzISGgn6mNvLUO5pzptZeNKTH0bnX
dAbPu/00OWebcog36fXruWdTKQ1kBwrrISpagVymqB8wu1hnFvK/ZCSPg/Kj5QyTs/00MmcBis+q
1/UB1AGHgUfWZce3zO2MOKAGNCaKO+52wl2y7AVj+QUsP6Yxx2U/Q5nzrPz/4Z5pUGGKI5PMH2WZ
oeiQAZjKbu6ozIcIvXRUj4P0sPUMp/N9lZ+qypoyuFunfx5yQqdxpcEEiMfZ5imhCWdA0zuMZu7A
lDV+bkSP4/Oj5Qybs/2sEjzL0vpVeRqhD1AKOOU0H486KUE5gJCUKT5zA14wlF9gcjeHOSSf9tJD
O7/5Vm6q6DUjThSaoXqJo9js0eSMMQfw3zRDznP7fMYEvGREj0Pzo+UMm/P9zGme37Sb10xpItvM
pRJCgiC7/ZnFNZQqJAAkzgjYW0cBfsL9CoDnx/MrXLbzmKPyZU8lpnvzV1ZGd2vzzw0MuDM4xkxM
Rc23PzO2GVUAqGgiKO7cOc8/SczzI/oVMnct59jsZ7y5dWgWmzJDsuYVdRrHAQCOzNh3yZmxaNoc
UBuCo9RO580RunUeXzKuX+A0az9Ha7GXkvQ+ipHgfNVTA8DJ5vCod6aFzCMdMDuo3CTkjg1FmHpf
w71kRI8j9KPlDJv3p/uJTXnjZa+Zt+HQcTZqmbh6PNBh5AAVgThqI2Ys5/tnR/ILRHbt5njsZy3g
h5s0rYa43bxqMTpS0LZBLfqOFyBzedH6wOa2PRHU3z2G+/Ly0lE9jtDD1jOcPvyxl3Jz4eMc45vj
6nVpNYGjNcxmRu7KAM3Mc5sOd1A4bdPxm9ufGb320lE9jtPD1jOcLo73EqdtfuolFvm/O4jLoecI
WE5Gd2TBzJezJ4lD4RNOS22RmnkKLx/X41jN28/QutxPT+ETtB/OHd/c3Jnrf+50w6WzBfI7ZBfr
EHCf9xPWKPHggrPpKM7WKZ8FQy8a0uMY3Ws6g+fTfnKjn276Vz1BQMF5cltASL4v/X1owCBwxEqw
Sj/yc/et0rPD+RUst7OYQ/LnXuq3z/XGf0VhwYrjdgEUqu8c65mw3J791Ei6MTXTZ8+N43Eotq1m
SHzeT4bty02ZgDN8PTCEQKmNZPhvZls06m4VU0bhbNrtz4yIfsFIHofje8MZIl/2FJEA9c6v6kdP
FQOU2QZ5gu3Kz/0z+2BysiWqb7fPZ/7ZlxeM6BfQfG85x2Y//ef/bHAuOvXqV409kWSjlEtt/6IG
6jb2RMn6XYZnZupfNqbH8bnfdobQf/YUoaC6ytIqeE1yAIXnUFmSq12YCVrmvsHHoU4Ney9RnP6d
IL1v8P/zkiH9Ap8fTefw7Gdgc1iioOPNJxQQxM+ZnFe8QufqyVt+tlhtffYHn/wvbzlCAgN3GKHG
FBcd3f7MDCAcQ5TL4ZqWuyoTcbcE23qG2eVDvx7W43tl1vzBTP6Pbjb6NWTfb4daburN6vZaqXsX
Hz399Ha6uPFq1vTNrxdo9+j4+ve3TGCVv19WNX3F7uETa/693c2mqn9/ayl1YDTnKB8GeqhUIfAi
u5vpEcKvybQiTMPFFrg3wYZlTSc2/Pe3ID042ELAvbs1qZoqaNEENUicISlsKPKQBlcpfL/S60MW
D6A1v6/G7vc3aZN8yIK0rn5/y7Gn8u3HplFOPVJGjKKcaRRi4FgTnl9tLmCk8Gn6PzENy5R2kbyx
qVs3ZsVykVvxguRtMH6RssmjjbBKWa3TYqgGsaxZL/1+YWUu+ealpUitRcb6SJ8YXw7NMjJWWhx1
Jomrs1gmuTU4WdTL/JuM6rDPllirOOQLT2tBb3SfDc1F7Pc63ti2zN0rnvBCnXsqKHLuJDSoMBSR
yzJ571NSd+nSi2UZ5U7WySR5R/VQYMhektDhlCU8Df+2qjZDm3uQPrJIoGgfrBHO4jFhkFucyEQs
F3bE/TXSNAkaX/n2jdtlaVgc1YmIxVEs2qrUR2Pl1UG3GIMct23ExA2Yu366e4rw42H/U/0FRwYN
ni9KzM30/B5GY8jtShEVXIc04lGwqDMuue8Yw6wiXJd955X1svRrT/iOJawxTz90gg8VW1Axqo6f
1MpPq8jJsoKX9Bw8XIFnTw8SW/j+GDUKFTiO88BHRBpv2pYPx9j7gcX8klvXyipbwpbeqD1drGNb
1Jw4aVkr9TWSxK1hl76L2/PYTP0KgypjhG4MVV7zfvNmyHRmcfvaG7DnlNOSPK7+9IXLUs/pwqAJ
3qcuLtOrHd/PEOA5T3cP0z2btkYgj+OARkgEiHpalnvQeLINLNL7/NrSsS74QnZEyQ0EyaqPszHQ
8Xlg0Yye8agYmsuoImT0HfiIMRbl6ZEg+nk4Esng4yHJMF0QgeBpBkCtAhIOUepeuWZMZXmYFXni
DivLTSozHA522QOVp7v8efLIpSuko1CMOrGC5OHkfe27cTiQ8lqoDlK+HqgaabSWZddUYhXYrlBf
ywarXjiVQvj9NSNDW5pVG2Qk757ZCHSmyfQUf4DSmgQVBwFRWv5wNJ4ZQ2ny2vqGm4l0Yh31tT8J
RNJnPq7pa7pQjGIRJNXAcqc3jGNUMiB+c5nkKhwWqUXL9NIkflKmy0JmJbtI2iCtvj29ZpM+vadv
NTx1gkMkqNrBdXmQlpkuaTrXLkkx9t/6si6xCUgTESwW6TsuLacveWtd5iwqJqGpu2x6CXKveW6x
4PM/GAaYP6RGjCIIHHAqUs72LdYnLdq0zb9qmclQLnKCA8eF47qNMeWCjtqCgnGHrQzHjcCz5nZT
59S18ajvaq6KddPx57eVmOsS1DPBJEpDKUNSDXr3IZJRH1WJ62f517wElsWKV5Etzhj1+XDKq2Yo
Cse4bTx+Sfx+GLTT+GVX+AuonU5deMXoWkdlIsLxS2k1lTq3AzWZqV60SWwOo0Ym2bDMKm7ayBla
LduLvAyj8csYq6iLHBLHk+oMTGy5NW4gND7e5AOu8fpiJ31fuw6X4YCXaiRebS9zWfFqrXTTo1XU
ewHMXHHbvbE9a+gcO+tDfEUGE4aRB1Y6Wag6l0m06SuVFvnatCVtLwXPxvpdWUZu6cRxUrJkYXlu
0h95Air+r9ROXfGlJS21kpW2PVi7tkgzGMqnd+hckWD1NTLI8DSFVjiDPtsa3B1Sj5o8/jrSpCo9
p2dE55XTZWEWH/Om6LBdn+5xLhNsOlbFKKwHLiUyP/VYlaTyu4R3f/GxmTZj14hJCFmlI5gQ1RZS
fXVDPmITdqypK+9MU1AV5TMmbLqK8oFQcNzJxzTUJ87WMwFf7eG+G3nbFJZRyZdEpEnNnTprpHWT
FX4xyFM/qlK6Kl2dBR/ayvbGzsl9mXkrz65Zmzk4UtHFrVMzrziNXVtd9ryM7cGpOqrai9q2SLAo
5Nhnp9hExHdCItwgd4SrKE1PiE+wD7PWh407dsOoxhaJWtQ6vZ/uEMwHh0cl79vDpxeezjS4jRtT
ycRqstvrH+GZPpxxpFw/7YpKf26blMCVkmXJ4Eq147RvBUy9OPJp12Pb9pHhePHqW//KUvm0pXkT
dsy9dHs1bWlWBGNSHgU549ihYTFWhK6LuM2r4HCUQwSpc7tk8uzoYCeQTk0LiNEzU5qbAZR54aQe
J2CkBBc/KQ+7YFU9VCr7lsbSgtiH8MuAVTuQGihyV8KjrbwGFwcloUwx7DJPSiqPbCu0oBAKH37k
5NMOPlqlwRi3p6KP8ix5ZrfN1x6WYCLUGK5yYLBdSs087553aW7SkX+rXKamBaurPG4+FGMd5Omi
K4YCg7N00uJZNhST0rKjcbAuuzx3jytTxqG3SMaRDKeJX6RYydQQBZXVSGLFFyox3pgsGDeTXmJW
OEzbbIRWw84K3A5gPr3yD6VHQl8r3FxJJAwKCHNc+zLfS36B4MBqz/0qmqzHmHQw+Xkl0+bjYNmN
wOnspzy/x/rDpabbWHkqTXrYn+77HKQlac6x6Sbb1Xt+ETokiwKZOWWFg7v/XX/QiFMSGnVQoGnE
7YHC+64e71wIahuE527owUinEVwfttRRrPkqrQqNKT/dIZsZaRsupQ0/BAYaygjZotkOKXiajFmY
ss927XOYiTr3JlmqLd5MVujWJCG9N0DMXL+frBXM/mQdy7zA/rZ8iriI9nJ6Kysi1MnGJtTiKOji
SaSLocvUuVv0+FTg80laBy9R1TqydMnXuV22vFoM2KbYes9MbRZSYWqG4nYZFJVjRQUc6Ifg1X1E
ddxkw2futZPRrcsCWnKMxyC7qokdsdQZ6qwYv2iWTmKZWBmFbulVEnvDakwUrb214VbTfYbbX2I5
Oh1y7HDejjCMaWAZaEvRxTkeVQ08gKOA5R0koYaLhw6D2iX4DUErxVIknsBS1LX2rXoh4yaE7PuG
hfhtuz6TVZ/KjF++gXE2UiHNh9BF2ojjyU+xA+1GoQZVWJ/aRGcwdNt4gfl230YLhOq+lz6jc9jM
s5q6FChMZgQeFsop5pEsCTP45HmvP1UNxQ6pB1zjHRxC5WB9RJiLTK7czsr6ylExH7Dgceum0JSw
31ilruzj+oNWle2Ga7cWNuwabEt7UYLuhDOTWLBhdZ/C59rB5hVdiqXsYzuF2odBmODwon4CwgoD
ihczhKa9IFmSYSQyiuBmRaqeAv+nV1uYmWXA5Cd/BvYOV4FA+c5DRfjXleWRfvjk+4OKXaduIp4v
3I644blioyiHVeGXKrcdw5gJfacsi6A4IXHDe+nkULLWaeklljhzE1/zRdFlvXdFgpgcdW4j1DLS
aRZfizAey4skUwmuZx9p3L0XLSX9uLTD1Mh8UcBsVc2666TdnpeF7/aZoxKS0HeclNQs07Q0dBH2
dVO6TtbbxRg6ftqWol94fdRCGNqx7IbY6S0ZinBtGG3EpYrrQXgL0tOmaw5z0/nUhdlwvfq49jUM
wkKPcTeO4AmwFfPjPhrcximqPFTr1miPL2Vi9eOnTmUs+NKI2HOXXNSMLgYE/NngKK+uzNIErIsW
noy9I1zYXi+LjHTjqWtSQg5pR3229qzK9skqj7JEfB5k60XWZ5ORvv/U1z2vz6yqTq0LOD+6uZal
UuXnUbdemjl5llG/+mj6MY4O3QB00XrMhJ1kjokyzvyFLseqsL/RJLTTa5/lWdsvsVWG4sY0ddeR
RRR3FQ2PajctpL1EYCVjdegmVqTODdVWFB22KmdV7N/4dsprrHJPuV2Ks5FnLbb0SMsq9z+Cx68V
WaWpyHN93Bg38ON3qeyjwluFrVd37btOul4QrF2RdI28cFPGi2MVCt+z19grikdO3o4EHmpc2UFn
HM8SqqiXvluO4XDceZXlB4ddkMBxWkSmE1CwbR408s/MapSsjrE5OstddBweOD1vcgQQxqkHbvfq
fcy0xku9fdMKghjPcPWdQHdjVoni29gUhrUnoSpzjx3R3rK0XgyhjBp92KchTWJHinZy8Yi0AkzH
4xJGZdO7A1IYi1D6Rnrvhy7vcv0hdK2wi9c64hbLj6NmMHb7XoVcBsYpjJlIHl3W0o++aM91rfFU
iLjCSllDAZV9Bq1d+PLU4m6p43c0KAIafwjDLrTdVRdCEXirLMDxsXIBlTUNaWitmLAV8fwhKJYk
j8LSXqY1sWT6J/NYiv6SMDbmc+PZRbEoQSxgZZndBLAgC6r86UswfnjfTlGYKTwVfoXZL3Kfplyt
Q7+bVozHdYSXrPJrGPNETypftLVn64Xp6gwbYEzhOh/WpkzwuXw7Vb+WI5avCHGAWsOWVC56i306
OQQ0mOChufCZ/A+N+2mdU2FCkHNWY5WAwkoj2xc3RYHYvFiXQYCgYdHZdNDFIrB92VhAUDRF86UO
0yZIsV6WP2aHfjMK2p/ZoZ6GHADpfLxU2FnogeNR8c21+mmDqdKakJeDhfdik0xL07YUH4WJtYsO
Y2iR/MIcd/MpS86Lb2Awfbwn+zxTl5EUruEL0Rkwak6ufYq12O0ed6wMvlKH1jQ5tx5uF6PBrikX
u3DNyFFOv/FKRmecBKV1uVtqa/vxu0Xefg7UC4vONMsTDICmlt9+iwKVB+VhkPIBky7YiL+K4XiM
ewG5hN/vZcaRW6Cysa2x1eDwN6V3nFIzuNKhkd8O6r1Jmgyr1LIkxkdYDtKyXIA3clvjRGSY4jcv
wRF5yKj2SPHNbFcwyyFB0GvbOfksAN2wyLNUdfRoaOwpKCBbaLfbQ7lRjPVRIkCLldTxNPleDT72
qUfLqRtf+ApvDllBtP95tALR1CeYKZ+Wd7uRxmZoMEpMcvoWGpQV2iFVxLG7qtqfhr5dUGvsRvyS
xTwTemURCTf0eGRS9/mhR0ARklUXNBlk2tx6qXnVAd+g1az4RpWXYvtUEsEXJl+2iNveV0gOTF/I
2ulFtJ6Nlzglkzgko5zGnzbK87vPTezFXrBOPRub3S849fhRVA2a1qd8u1eCsDK1PtwtuQnbEsPp
Ax7hS2ABMnQe5kEEO9/SYlTkMzy30G6XeWHVabAgleeicxn6uLR6Wcc5yOIYcQo4MMDkN8c68yZx
bmBf8V40NCq01xGcxX444aaK++yoFhlJkkVsRJy0jlt54GGpoQ0+79dFhRc4jTI+T4oG/w63IYok
HQX3ViA5Ep+3Ue3Ck+/KEL1T38vaLyp1e8Rg7jBOe78zUOXhuucFg4axSz9u7FWcwMQmq95KXVMd
SwNT1f9FVB9C33hxlkXR0Y6fD+vYL8N148egbq4GUeHczFEe+liOQ34rM0Vmx1iwyu0id/zCfTvr
6s8F7/xOHdXbqffGq7BEPO/HCDOKvK6SKzUSCi1Xl2JaPoroCIuJMHna4ltC2q6iDitAGzbNtw4C
hpcSGxyfLwJwy5YTxCOIehSARqlxwL4NKjnjOS3xCTXQiY5pZVOBotzyhSOVcemum7QoXXbsucWI
7xi3XKYLhgk0bCFFBALapRFYnCQBDZAu6hgcmzxNIjXJUy26AFkNL7JrqEqu3AE2rxqgacI1SJpp
8ZqAT6wXa+wIyY0wTj00x+l/zPKvDu6Za510blWWwbnh4cT6Zg3M3ZmOXK7qjwLR8+Cueje0Bn+t
ulzG1RIsHGI8R4PPVF+FxylCSBhDM0WulhgxK5Umk9lIpDttt5KVFJtvu5JhnYHa5wEJeHvSjTJx
9cdobDrrsoQzDYJszAujvkLfIgS2unzECoSCTHNw89SC8t8FrXEAfxWetUmyLv+qzOAX9JvoYxWf
K1Xkg7sWLKtq6+8uoGHvrmDReCydKkZCwVrYMdXlFxAhXVR/Il4Ret7ClQP3+4tOw7cprk0btAX7
q3JtsGyHZdS0iVlYbKyiL6NomMicBtahB29FaQafUmtpGtpglyehYYsWb1q6dXSHVF+/3M1ki2WR
h2DcFzhxN0zTulU3cdxO+s8M3qRN4P1PwhtUyfSJ9DYd4oZsek9SYuETgzdMH3Q5iLZkBRJqShYF
sZtDlD14i+75WA80X4UQ1EkqTTI92W1Z+JTQRAZ3A+HRNsEwqVPLW5T9UHLtUFYS+0Pja6/LnI6k
SEeIYXQNO+6KdJJyzxonZrtCyI8XAbesPi5Ggv0tCBI656BLppGDUUDTXUeyNDBpBbaKdbmN2NIg
HHXkhGneiI/RVmFFW868wJEQ7AYrLiZGpCpVKcQy8ZIicx2/UI112QQyx5zrDmnR9iRg3uTG+aJH
H7qNp2E1twJnZRHsiOPKZhLynE1522Xa9dOe1O7IosCRfpUmycoPY0jjersgoJ8mpRfh5Aq+V1TU
Ck99xmNtP8PhzgJ60JLQD9jBDMpN0Z/YLL9GUgY0Gbv0s0xh1NrzekhDl0HNFpaYJChuwSH6ThsU
09ifie7AF9xLq0zd469z4GDU9lLbecqgbPrM6ioN1nWrGkOkMzAKxAGQpKe7mnGmkCYCzgl9gX3F
v2ripe6l/Do7KmwXruTdHiFRn2WLIneFeI+b3abdbZQ/gdoEIRDORCkA2U45Pj2WOQeGSnv8Px3N
Q30B9jl7OBa35QyZiNC7xBFyqLFA0skfrypc7bsaM7jOz63zzx2iKBnEgbINA09u5iSfXxIaJ8S9
KPoUhsKLYPGP9RBBze0k++kJ0onF+wEs6nGnNASRuH7AZrhdbc7J93EovLSO1cVOY3T+OOWfBsUH
Kde9qOx2HebuWH5sOj6Ey6RJJ33OS6gGqxoF7NEzI3q40zEihFLTHTxcG4nTxvM842CI1emBFxfx
Vqg6+HWQ8b6JXOj1wG4DQOCLZmIHDYdxgGth+dNAwpwXzbhoC0T2a5nwTBKnh2oZFlD1BT4O+XDp
eTBwxJOLbpsgzLdq9ulJTBm0e6uK8SPxN13rgHoUAQJuRr91w9gH5SijI51aZSQXOkk0/6rKyH92
x/zcFVhhGzw3ziMgJppLZuKyZGg85R1tLWcrEcxj2qxI8PL0rOhDwhTfjgoNXGvJpjo6/KGeeeoq
JbXvhn1urkgIVnW3C5iKJs+m5MkU/XR2myYLkoiSaUeXMXJMTgzPqVrUPO3157AjkNlnxrUtEbm3
4KDcsAS3F2riYmAbJwUfCiohyNTpwK8Oy5ERv1ox2U9VEg3+0kOT/V2NKRLti6zyQFEaJ3FHBF1O
Lb2aJqcweigN8hZZlINAeccEQnjyIXGl52VHA0yszM7dPohoPyxcBrL/r6ooEkQTZchEWqySuBlZ
vSAZUVWytEsJxuod72nG1QezzfBGCj49f++mCS36s8jzW4NSnqZVAQW1EKKE5Aj+ug6SZWyFObbI
zs5rC818J9paZzi6NnSuutUGW489ul3Nzk8YNCAirMmadi2z4BdmzIa7nbIGyw1PRTX6nFfxRORb
WxchR2oDuJHcpmPgRFWd0NFJq9KkwVLlOg4b5445KGB9fGfnD9w6Isi1dljfsbAnW6iLFgQNXPRI
sVVuZ+gyieCctycE+avAW8R9gj/1cQhaPA7jzxzeo+HnaqiNyI9DRawppq7aEnTlsA1nTDdUvFj6
UZOAvQSRoUHWO6Ff25m7sJrM60jiFDh8KNkHU5hcdyuvwPm24pMcTDtmn0DbTzlOuFKEqfOsrsDF
fwpykLbeEvscZQ5rvywoDRcJhe/294AIrrJPpOo79pXKfqjtc7BPbv4xNSaM2CpMK4sgoMTdYn29
QIkZMmGrNBuA7bLr2VgODrEQ4LcLeDhU2otBDG73LjJVXY0OkkldgKDU2CUy5YFPqkNB4rr7pkgS
Df7SFfBbUyfRaVL+mYLAsBrH3iZhd55sgWyWp97ZCdRfuE79WLEGzuituwL+eHK3hrSedPd2a8S3
TlWq4wiRT2lQqZM7bUlUQpG88TKNYbAoYk4XWa35BF2Y2Zd5aqx4nQTSk47ved2lHAIZLoegcw8D
0fKjgPDxOCn79giEQHahS8UWvZH+uQ7qmIB6bctPLjb1kfBkVjmQPv9bWObxnx4JsmVvqIuQLub1
IWJGMDMslad2Tr5mEcQx7XL1TnVBvtTC94Euscp1qHuxCrOgeT+GcU1WcG7rlT0QHmPHquTKz5tL
RkV+WgrLO03aql7JCkwuCmS8ozZrzNI3nf1R536BrFweXAdV4S5jP/ecQaTpUrqmOLFHlqwHN0Vd
QJpLga+2h3QhwlSvO3zlsY2w5lvZZ80hspbudWGi+DDqaTw6gwnl2g9JdpkLUNxODKajciyeeZ+7
frQ3sZVKRMRN8qmzWbAirCYnghg/cDLL4u8E2K51WVc4vRZq9yM4uAB1VDU31xQZE4QFNKcXLQv9
YJ0PqbWiVVJfVK1A3A5VsKyGvjnhVTlEjkw6e+Fq4/r2n0HLzHCMmpTmqmIipKusyWtEC0HiD06L
C6Nv7FrqZGm5VnmSGBSoLAWtw499yyOEG0l2KquaFgvX9rMNCav8XY8LdE4rRacd6sopq+613UkP
r/CM6Kg9BolsnQQR99nShva7pl3HU2ccbeoj+sytv7q86G4Ky+oXLKDjpqrCjKHGJEdZ4zhW2Ll+
nMcOKrnKZpmPXdSfqMYrPIfQPDgfqIYiRmSyaDse8xNU4sf5SdkX5ZrlDTuVcdI7IEy/yG64Io3r
ngsK8Wmrpl6CoSOB4/VJq5dyyPhK6Do9z31R/jXkPVwbgoIHr3KaCFUx0UIHnswdq+Fig1qFzOH/
j70z640c17b0X2n0uxqaB6DRQGuIwfOQdtr5QqRz0EBRpDiJ1K/vFVV1T1We6nsO7vsF6iXLDlsR
Fsm91/rWVjwvR45+u45Dph9dtNBHNXhNG6p1/7IOfn2TTrC4Xp1xDYmkmOoJ1wcPvoR0hYXnhr1J
Xbk9VLEa5mbZ7fR1YmKv4ZWwV8wMX2shbPRYQYs/i1iWjZEhuUrHJf2qytzdTJDNLdT71OCXEl0T
E6xo7Ex/k5cBH+s5otVXGaCmbkuUOVOdTWp9yLecHrDR53lTjXtx0hEfHuCyg/bZBvkS80UcrXHR
cRI2/yoT8rKh3XzZV7aXx1Wkvp5W1v/w+ECOgy6M6VBN+Wctq4zUMl1hfNJe1+Fg7TmvqDiuKOei
ui9U9VItuvpInEg+TZLwD7vb/YfBDd7agse3KVCTY4iTol3dqp9RpgV1ti32JpCKftlDvhyTOSIg
xqDK3g0+THGWOexI4TSWkFUymp8K+BuNUMt0pJmRL2DOEly/ja+icEkOU56od8hb60O1DPIU+bl6
Zkzu172a1s4V2HLRTbLxbklDfSVNuj0sishPsizTbwm12Bzi1du71DMsHkhD91GizbWTxXYeN5dw
yB/lciQ5S1t0mSA/oR5U5z2Q5IaQQT7ucTm8lLDN39e91J9w4PcnLLbido8CDQIhHw9zRbIbGMVR
0mhWzW25+yXB/S6Xw94H/IFCyX7oHRdrA1YoPMhtWt+FNmmPHnXfb2SVmmtgBhRNNuOf+mSvGPZs
5rqkoOUpgnXWWLGn96XtEwjcMvgekBhs3I3P0n2sGs8ceoK2MFCGyxuaJbbQXYjJNbOu50qQmy0Q
/QPEivkuSP3yOmv5Fa/poZeO0atiqGAmU0x3rpqAhWYiGq8qLuIvJiBma+ZhC28Bf5mXMbZ2PQ7x
nKRNNUTFdUq4LA9VyJbqig2laGGHpnttYRu3ZbWzop52XdmaJWS54wFs82sfrAU+6zzctLxZKwu/
JHIy2s5LurL7xKXBY7FUo2hyJwfeDZWQT1M/WtbBOfXDNRspH9tALhlITUKi4FhYpfYnXy7SDMdL
6RG21er4zCk+Nb719IqitZVzExWoXJqMGWJvITpMqklM1H/aip37hodzfgOMkETtFqFEvNboZ/Vr
NqKJkthHpNBZjsKpXwCanazOi6ssduEyfdoTT2Jbe7eGlbmKsdmF5zKFsH5cZ7/IdrAqM89V0NMJ
TFY/V7KWAeln2gRp5Z7HBBxVHQ/p/Mh9FOzHDf3a1ITFGoc3WzW5pYkl5PDbYsZ22gJv2VsOgehq
ivXYILVMr3TgnZruZx/k1Z7g419Cx1rIHYxeuD0RZ+xe63QqdevzKZ9j6NSKYz2UcAkbE/mYdWlk
5uGGDjA5a7ZALW127dalTpiHf1KYiZ6WMc1412/ZdktHqI3t5EZ3Sno82aDNy3AooCxNMjrTXgq4
eiYrfB1vMJFzHeu7IKtc0bCJpKouUppA0YL09RqJQH63FUqTRAofHzknUdL1dohN3KCEGwLewOIG
nLjVxZA/+SDlBQozU/pxbrCTanwDD4MRjwbEJrSWeTeIWdRZv0au6igromLoROx4lt1Ggc3NCzxR
Rk7TWqZfe2u/7PvQv/SD+NJXIptqtAnseQMi0ZGSyGOIwyPEJpFLuEjFfj37eL6TyWgOdpBVI1ax
i7oAZCVqxjL2LJc5b6XMfW3KMcX+ajX7pnuyHwo+ww3rHbmFUVeGTeTUtrY7Dpv0oVJD8lwAKZPt
aCGZ4H7ADQNOZ9y+R1zQR7EuquxUUfQ3ii/82axK951xvSVniK99UQfMVWfGp7WNl3U+0JVkAG/C
qKv0wK8pyYLbmLr0Ohbw/niv4AFXaIvaOCaYNWIKc9xdHM81Eqcza8PKrqoTUc7vQJRu+izkRupK
baFrVtpPTZorK+oqYgQEGBBZc1Y53lznoRU/7wSPaCKwj9fjBJuqlViUW717Ku9wyuPwH3M6t+OE
+gKXQJ5w6owHU1R5YxYxvE5jH32BgOUOYF+qIw8rdihEMT0EUygby/LhLVzYyzyBDezRuB2KmEzv
fIs1r7OE8/ckJPLKxAlxNZFuKpsRGuMVETHedB9CKB6dbdCEJ/cT2pIru0XjNzokxRdK+uiNRsl2
Y2GAtplY+TmB8voKDTumlz3NiTqZwvU2JyRB3YrN8XITpt9SemnS/cIup7aL1Qe3ZTB2cz7CT4Qm
y/Pzki0jb5QcnYZls3NobsU2RU0yYx+p82CcsttZqPhjGAZN63jGNdTTXAxlQ/FzG6hIuCcGL7Iz
y01ctGjh7SxRa9H+igmuPwt0bUNDRZKEX3DwbrKugnKzp0DTvNViCk7jmsUvF/v9EO2Wmnr0gbjP
Mjd9GFsKHA/oPA/cEEBFnGTJDRwweS082Ixa9ihpbpwy4oPG2o2Nglpn69HO7pvWHmsFixJ9mhEQ
A79bmD+2hrFlu2WyyRW03h7k0eh2FPMAiX9gSK0lB1YM+jr16N/qAOWIbmeyBlkXrAzEXrjb7FWr
eX4vhHUNVYlq5zBYwzuzFdEzTKqyAlyDGq7O9TbMxw1F1RV2v2Xr3DoME0q5CqUnYIiA3yXDFgWN
IRc207MwE50UFskHgB24iZp0YMOUUnvoQT6sFaPNRFGkye7SxtqG+HWMUVMnC9nfFmUWeh/zaFMt
ugpCsaVVOd9FIyPTz/4YhPG0pPe5SUhZ02gdk68zQOJgaWxQuokc4DtRF97Sgee8atBtu1TUZh+Y
Mk2BAzfz7QAbqJxrAxYz9e1iPWH02pcEkk6jDBow8TBbqFZJ7QBpVuYgjVjHt76nKe/bDUsFbgRS
Qskia+tWnutDj1ptOZvBBOynWpWzWTcAI2JLl62wrJ5JGMPCOArwRnpppU+DcHqYjKD4O6QBqCMz
gW2HlG6B3+Pt/2BBVYT4HNW0+LYSg8veMpnFw/PvmmcgLrq9nquLwhhHxIlrpKIvDjhs94udgHW4
F9/7lIQuP4K037He1khV47sR2xAM9VJCgAvQ2ZJpy3FEYDvWr2aAoFDeaBSU7i6cqtCnjemVWelx
h0mEvxaOvIlPH0lpFsvabNbGL9eJwdvb65EDVlAN2JGEkedEZ2LMuxzo8phchcasngPnGTVqHPQO
/XoQopywHweatxQwz20MJgqlu6iwY/pqRBFVpsdRF8x7ATHTQpAcG5BJZt7Srl9cOs6d2ACuVNAO
Fl7e7Cj9yo4Ec05gJllSCVNH6VqlXeH3JD3CPmOvojTzSwBIRdcxRyiuTg3WTgdog30PF4oqC+zq
IGnHc1UNrZXAPVy9xys8vD03/jdG9qoae/sAHtWeIKeONzwkSUPj3NxOkfesEwkD82Qr+KkimJ+n
ym3FeUUJV9TJInxau2Wjy1HqEDCgK8W2IDRk6Xexh4Ria00ZqXOco6bVye6f1BhsDgVCMHeoQNEh
kklk2VHmqWYtYaX7CHbivKijflujp5KONGs3zI/+JvEgF1mryaI1WPbAohuRUzR0KCekOpkho/Z7
H7iL4oKKOl6anQ79AfkxS4IDM1EJxiVeq6UhYcp5l/pQnSLFi/fZzikEy4LEPW8gKI4ZOtTCqztW
5qFp4zAz+g0EAegDoKCA1RqgEatFgRTFwHMgbt316LxZna6ow28dfCtXbwktuoLm81XQK45wg8mA
RgNREwwEROyNasslq+DsBHo4gjrGH6ZwfVAnQNROq5jXqTEQzD52+P64N0j1aIKQ433u4pBHwj14
/LHbtCJl1U1AFH4EYIAgHk6ivwmwDasvaC634bGYmLxUXUk8nlDB5FcyLbLxA1tk4o+JTacnviXk
FrRh/72XET75ctsdqC9ioIzs++hqMYbbS+ky87DJecBbQLwOJmvBOHbTgiG+QrPqKYJ8WLTVxLdz
BNFibDcgJp+3JEW+MaMqPS3pNIHyk9nzSnp+0PESvuVSRXVVAOcb5Lwjs6F2XyOX5e+Q9YzHNjbK
Imw2L4hMVKOt7LnPJSAvteygKnuyOVxuNV8IA3TDjVgKHx9gtMCuxDNnR9X2NrHYegMkYMZaiwKU
XtKrFUXB4tVtYoS56ePIlm2Y9aI4gCcQnzZXaMC7esG7hKlefEnlUPY1QwF+vwaXildhHs1So6b2
Y51TUoHqoOs4tDjQJwBMkEsedgYFoN5zIfKOWnBqbRKysdtXh9f0Gag00BdMtDYRPzc1LF1MlGs2
nfn3AruFvXZ6kaKdV1s+qUxqg1+XZSsaghEqEIv5bTKT+LocZlqAtiGe1TIi1XUQDPGHn0d65QKh
HoC8TQ1QqvgrmHazAK0uKt+MmZpkU2zp6Fuz+UnVsyw16cwwljP2X5nM11MU++yg8y17Dcgg3B2U
K5pADODM17Ng0ftYARyoGXiGOw5QI+yKLfNoCqoYOZeVhBnrWDQNn2jm5Nbg3ERVh/q8HRK5lpfP
Lb/fkg0ydBJzclfOLHlbASv0tTXze6IYf5Oa8xojIKA9AkwEb9Rb3PKzfO+DLexRW7mgCVB53EoD
OF9Bd/my9CY4ywmLupUjLe610fxKZyvSP7KgN9AFilNAwvIVivFY4Dbo8w8R70nn0lA9WenjM8XE
/biZbLldqrWQgUBZIPEUSpUnlQxL3u5VgMKJjZU7Llls5yekeMdWQtxqJW71tFmTzHQoX6LrxfMB
iN0WvQ3Eu7eK6KgWyoSIdGa0Y+VMfoLODds0S/VLiXL/GKUk+uAAud9CvCSrA4cPDiGQN6SwylsH
r/worMaqK81XcL76QZjQk7rUPIywDvaHqg8oKpooZUecB3JBm6GStizAeODVN9say88TxI62dGhU
VmSd99oNEX8Nyjl9noYkZU0KVf8sxBKB/gewSJPkmzdQ/2VHBfQg+YEDijLbwkpGru0NHS1n4kmm
iqfZvZ6GFbu8wrBAID5yRS4bXrvzE1vhNcC34/epB5Hij1uM9E7cJjx0ejiHZmDTfgYP7fULGd2W
fcuWlNPTxEum04akMtRBW9os3SQ2LwooBF4bMIOpisY8bMGvRTvKxjL0YyNpLkN3Nt5Bxazz2GWH
NF228ku+LBqbyiro7GbsY9kQZi3qPNj9beDzvgcXkgJVAtWLMh5wkkdGG4sGNHiagagcBP8RroEv
VAtvF7xbp8Tm6QDUZewpoBvRkwuLjXtwhQ3ST/0ero82KTVamDFxuZSvvNyInVr4mSX6PoTIRjfd
TRNXhrdqw2jMqAtFYtT6YehuI1/jp4jRNxtPUZLVuxiwM5wI4ptT1UCxvryTNO/Daj4OvbPF+tkE
/R5n9UhKiq8BKS9ydx1ohYb5evKKzHnjwqos7OFf23O/GrpwDQEs4OleF4scri7Smb96c5DKSh0C
tv/BuLikyuzvSEaSLRK+riqG1ICgsqELkBcYJ1h0/+YCfjXVLxcAXxvhXYwIgUsIU+jXCxgzj1Ra
Pxbf6e8XwH4HJRitZtxxAYcv9rtT+sf8hIffncff5wB84wJBkH7Q//TP//OJM/z3vy+v+cf3/DYq
4c9/4aFwkiv+U//L78JzSS/DENQ/f9MvPxm//Y+ru8xQ+OUffxvn8J8MbHj6ocys/5Mv/jLN4ZdZ
J/8xJOMy7yAKQ6QC/hHS+Ns4h/87f/34+ufI3j9f8sckh/Ly9PcSeZUcCafowkH8xySHoMTjrkAp
4EEJZQyBClGhf4xywDA+zOTNCsxIAjGSAwL5n/8Dlu1lmkOC55Mh2I/pMEgwYfpHFf1Xpjn8s9eO
n3LBJSLEF5Hv+NuNNEUiTlWSBqcqCNKpHie/n0yVqk9/+Uz+uHn+OjTi1/s1uySsywIVyWUUV4jU
+z/dr3sESweieXACXxF9AuiPUsGE5T3bkFX7N57+BSj5i3F++V3IASPkj6Aa4IHLULC/0jb4WwAq
tQk5+YhX92Eu7S2Mf5gse+geRM7Gf5e6SqK/v73iMmchCxFLwqD/y9TYv/5KR1W2gqsjp9FLAjl7
5foGxk8PWR1SdoZDfateQ8Af8SE0KNfQiiEGf8yh1SzHNetNk1mbbrVxCw6+aZSnirtghBknw48F
4AUkYlUdUVNWx22X45HlPm4AmS5XKCbY40wRU54DqV8inS9XCAeLA2L84x3xerxLe8QW26RfhqNf
cdSPvUJuRSv2GANb/AEjdX8daCpfC9HfhsaP3VbMS2Mg0p/2OKG3aQpWoxmmxDzGyrCfe7Lz+z3Z
ppc4HKd6Ccl8yNZhQRHGbGP4sp1CTpBp3tf4WNoQ4Tokx7pogGo060RdF5Hmd2gVQHLi2P0azn1w
mvOLDCiD7bR6nDd16iqSY9uP+TdVYnRHvjMHS2kfTB2uG2pVWaaHUMXyfaRBtdHWDbJQaDb8Brj1
HU9lyry6GRYxHYqlQE+0EdznTThgkgAKZ7Z8GFmI9wmhgM9TReOnCifL0Gyhqr5PJVIuNWjYAvZg
7DkFYTC6g7QlKjLwR8MHHeYya+BozffhDMmogQvPbwokaa49lIHX0u8ITZJRQli8GHzTDksuhbR1
Dy71aXBj2BA3+acB0GenolC+I9FlD9yF+lDaPMhqhzjQd8nYcByW4ZuXk2h7EHXXfVXC9472bGCd
woczLGS+XWe2f8aog+AxQQD1JtxBb9bKRRSqqA2Dlo4TCeuAA1PMx+xMkPMC2LKoLvEjvQmn3nzv
Va4/aOSnudv7PV+6QI/VFT4ChRBK/m3Vc7NBSrtb5hCyRzF/DxO3ocJNr0mgXU1p/1Ip1G0rEfMx
EOUFimUOBeu2gBVPwwapmLwuhL6eAplCrdE9KKawnL4CmCL45uJLQkzSQgrycLTy9Ylsc3yTD+oh
c9sW1SWeg4pbG6vHoR7FfIwUCENkfzhWBIdMBvoWGcD9Q2NETIO/bPYh4H/eo4AHJbVr/bQisdKA
J3gCETt2JtvfAiOTu3gf4i72u7oLin3vtirfnpelMk0fVfbgWfq4bOxzkRAen0ZowDatNXR5/23J
R8AGxBqUM7kBHDLXvhTxVO9o4FvaMwrCOjaeNn5e8/2m3GbvznMVYu5IM8AeCWsSoIB5pWoDRQ/A
yaitxwfB19Z4q6ZPKVj3Xs81ON7Sbp8Kr4euilTRw/iF5tEEBJxpna1hXle6XJbjZsHcvLkgRaoI
iF0MhbTcVNiOc+DLg5rUuKbIMGgg5nTb+ydLs0v+SIy2v8tXGEc1B2KyPfRQWMukFvmqhuuKBBam
LOjy7D0W8N0QmV1IMHQI91Xx6wSGOTtAYcyK74WDuAi7HwGZK+oxhEI+UwZGCAV/peh7kAn6XFk2
HmW4YBvmrMhONtTza0F8cIF6Y+LrzeTJFWAnHtbbbjdTZ8FQHTOdQD2NyXoTOZedYhaEBZpyj+6O
7VX0KR54P9VqvfzvguTk2XuzfcvjBcrjEi3iAK8lOfMZpEptUsh01MzpWahwuUIRXnWamX1p2Eqg
6EAs5tdrmsIVKmwRHaJc8XaWI/RBUelmUWHpahAU6LcIqb7AoWPNqoPlGXFFAt17CQyaXruxR5ek
4keKQu4GFzL2Bwp+GjpyxfYWEYl56CQStWe469X9nI3515mhxUbQyCKfqwr2GGy0gDOP+MXSIEGP
r2WBZj/hes6vSajdw0ynHDnBnfHnng3gGC6PXoqwedDcYN3O7W/n+H9Xgf/f+cm/j/v6raTDsJ6/
VDx/rwIxy4P/+YCNP1/yRxUY4blLeNAvFH+M9cIMhEtR8vs8ryDCU+YxDyj/nVitkLP9swrE05wu
rypBjoK/BD37ZxWIWV/A3aAHJqB5wZb+V4pAZFF/rZnQA2W4rgrh8RDX8zdmlq1o/B3NN8THBJC2
HIqTZvNSl1nOw2subInRItNa6N0cKfJRLPwMMAsNHF0EU59ilupdAhBJkMObJfiobcLSwaCS8nnM
IWzlmDEwLWNkGrE5OFUpRhkwqMOVP03BtgXQG0FfM3uGXMyUhagEIUeL22X204KlNOI4q0qx3GSg
Na9QVNnwPI25v/UpIZ+mZBUg0fK3QHF73LgtLrFWRE+zSdxMDP0pmxxWRZbR+NOQj1hM44Btq67Y
BhUBqfWqQ+hp3bDIdxRt+Zy7px1q/9dQxNgPMCfN3mLwD1yQeNDYkaQ14w4Kqg/n4+LsfHQWkzva
rOLjOWf9WtxVlbZTo3yIAzEIoPDkwuujltSaOrgMVBhYSk+CyO0w7bLYoZEu+MHQD4lrmCX2Ps7I
8q43Hz1tmMVlj1xPiIMqhZOih0OMk7X3e60ok+2UrfYNKR7/SnZe5I3sV+HOjgOvhzqd4Y3CWTDx
G2YvrQiiRvNRxbmE101tl/dijWoVyZsNadoLqQbwEDfpIOqRbtk5xz70Wk3e3cR6q9RxnBB2OwxK
ghy0uNVbjBbw4eOa0y7GFsiOiZ5Jk/PMAYCYdIEsxzQFqG/BK9UYDSV5GxpIDLBf2QmhhqGFeWvK
Q7xtW7fpiTeAbm1/8ADL8EH3QmRNpObtZ0HG8OsOXP1AM6zGw6W46pDQ8F8ZJt/FB4Qus6PhTjxH
ixyuEfOd3zhI1JqENtoaEfQa2fShD9tYFveIFcnWxAPpgFcgSwmtIcJNE7nIdn0/rwdv4eIOhazu
XbaCBSLSNAaSydVQEVfUPGEUCeoEbFU2GBRDU8DP4Orjs2YA0TDYj3zBagDmhPRs9UGYjVDOK23p
sddr/InMozlvkhUH+JsFJrMtRD1DEv0WblnQWl/uLcY+QfDEChjPvIBFAULK2arp8zK6YfmcXtEh
K98vTcXRqiEndab2KGozG4NowfmYtIqsnwD/ybu1DPePWTPSIjPoX80o2InsOJibIAirqRYBxEEr
AnXvuVvu1gxx21rzaRrr2I6kyWB+t9FA+Ever7regmo5g07pP2sUnpCnNZmfaCriRu3gpmD1HzUH
nSwLkuL4Tmn4mA2raTxo5OrAlzTGiKOMROT6N1PJZFrcS0YqJFDC+ccSUX9Gv8MbdxnPYZ2v6oXo
b1M4pi3ijVuTASk4XRK98Jzjr27zn5Epy5qF9pVrKxsXkrZQJ/F3xMSdFUBl/rApsCb4tYiUGS//
Wxv5/ej7N6digvX9L4/FXwbPXw7FP17xx6lYJRhfirlpVVQhc11AWvzzVAzx6DU85bNAWAVT+n6b
MvnHmMsk/1+A9vElTK9Dn4Kx9/84FWM8w+AyFROBmxCD5nBk/leOxQgN0q/nIsaJZSnGWBcxHnUJ
6fO3c/MvyR0osYFdOQ8R/4KgbIMUNtPsv/0mKoN8W7shiFTtGKdPxVbeKiXsW26n9Vmg1VpDqa6M
By61Apm5/U1u9ogXkqPl0/CACGTw1RQFphXgkF1PaUmwEWRZ3KuHpUAm7zFN0WGwOlgQ2juDmSzj
uwoqBn8BURLDgw7ozpOjoFqI21LIsAAvZeFsoRursAhTDGejU3rY9z6EBy42TKd4wVwNnbkaVPYc
YS9zOUDPmFS6K4YwVYdhTmNxpdN+BB41IXyOLsXF3lfdCNk6uiq4j19TD3uJ1juPoG3olLjyiIlF
PjubEUglQc52LKZPKOkDY2uQWRbYO8/41wnF+Pc+n/qi3WPl1HrZfEOLLl8VSGpDx0eTq3EJCjAy
h/EDNls1Jq+GazIB1IB1VGCuqA2nySKsNPmyLfl0Yj0X71BONIOJlmhUFK7sNsRN3z1U9LpM+uGE
p3I/9zOwktqZCQnxhZ+meHsFh50cJ72h2cfwoxPd+mGvQYkOnwFSbX3n7XguSneLRNb1sBnzWfUM
ysh8MZ3c0NeLrcCg9/k37ciGYOz2joCjauDBYq5bAvuLvjqrMZmmiqYrsJgf/chllxBqnvfSqBom
LzsafKRBgnkWWSG2I9Tj4lBCF0I45Mnu4ytAtZ94vJu+3hXHnALa3+3DCoTM6HfO1BWzfDlRTIBq
ixGt8Q5yV3mRY2vFdB5kSx+AUPKaxvRVAA9rgU1y4GD2Rz4u+S3Ld/KwVTyvFcTqujIGs28S0iIp
TY+pTdFJ7ChFEEpGEQaLpgfu3qSbHW5gncrbUm9xVyDkh6A1hlssbs9qaPJDA6Cu/BhNbI/Mwokt
h9VdOel9J9YseEL9kuJc7H8QdNX36GieMz06jFTw8zEUbLwMMBxPC81zBOLQ3CbcI9axZOagyyw9
Y18YDlLG1QFx/LTJhqA62nz7wTPKMLoEgALB3lHTHvMQoLKMHzxJeWOzheFoh20HUFO1HCd4rRbt
m2wPQHuGdu6iQI11GbtPUbYgvjvT12Am531fEGxXAsMfdfA58xBSEnT7V8OaIRgr0vEnsqjyi9mL
Zop0PdEtpbWyK6LCqIxgxwEwus5zjRVv4OC2SboHPzl0OiCKmLWb1byArNTKye7+wrAGp5iG5slH
diue55SKhxwI4wK3EWFlASn5kPAR4ERBCtVEADg/ITagGx1Ge4/yjMdXi+klyoUE8xtQni10r8mm
v5kZ00ZDYu0DBrFFjbW4LfrKzlBWnPPfQUiHYdcXqb8yelxOKPf8Vh01bi0M78WYDxBvuFpMJVSb
/hmhWobHizTJIXfGDD9hsFZYa1u17jVG/4jtLi4z9a5gY9n4MtBgP0SWhdfDUjHMMYFiNqxBfAyB
bdcr3ZAInIC+IAr6dUJeBShjH3QgeGFlix2am1iTDmNK5yPwKRQl5f7mMGTmtRhh2s5T8BVL6nMM
6gX1EuUdWzVo0DW9AwxPWznH0/USAMVTJcDCWIyvDO7ppSbPxtsYynRUo/tPWowvjB5WRl5WUG6Y
6YOHVN6IdOZXUaUPAALsDep+8QRxPnimqSq+xiwb255WawMrHLqI6QcsY2Rn4o7wBeNNZx8CkfO8
A5EFox6W3N2swPPi5ywHHoT+KC+rlmKm3yPbbXIga+aAfc3DsZjtwzykYzd6ddqicIDWpDEKdi33
svYkXx63xL8vhmcnjKmsvslYPSJaMmzoCRKALqV+y+FG1mMYBl2c2HM6A1ClBso5ottC/yQ8RRAl
0AEUy2yA6miidkF+uRPcoVbtyx7TaiLsB6W/G5Fhvd//H3vnsRw5kmXRL0IZtNgGEJLBIINJmRsY
RRLCHYBDi6+fE8yaruzsnmqbfW/KuqtIhgDc8fzde8/T9OF6zqgXy7n3oqycTDxXVOyDZ/brzjaT
bRrgCyEh5YdBTtoK2Xw7a0nDHtxdBz27Fi7hGVgStBC6F+W+ExwFXPwSq8QY73piKyRVKtw8NoZ2
Pluwq6dpCxgm2ON5isPKmHRspkHxPpNLWuuaxcHS0LRItaKO8qIC0hT4ZnsfZHkQWb6Yo9qWQdR2
9T7QAprGmvqcau8BXbxaL8HY00JWWTjOwYLtwMZpXU7ppu+L6aCJ+mMQy7Xs4h4mGq7VZcScAEyn
vIEBrh+BSFTrUp/zzZh1+n5xHHenoemgupYgl0oAFX4iCIH4fOZe0B/Eicx+V7uYbfUZU5dnYDzr
vpsAC66AWccrYy6BpFjjvFJzbhy5B9ptm9m0pYX47F0ZbCa1fE9QdfGtBOxl+ezE13FlxCanLbZ+
zKxvuBXGkChWcxsLMw7TwWhPo03qNZWmWrl68lIZzqcK6h92l8mNdCgYhsl+KmgAhoVo60fp86eW
xm6wL0/dJ3kCvAJtLlDwyax57ZjektLOz4FZqb3um8sRCAZfgye+90WsR2ymJE2qbHjy54oHRmd9
y+gDhJyp+hXNTPZ1N5NvZokH4dJf3/d2AWZn8IhIgAOnU7kUR1Bw4xoAjB0O1vzW4hNYDYTTV2PA
exgx7K31oPYfW91cboXVApwqF7ShVeoho/CFKd7+0In8hWUvumtY4P597Tn8rkXso+lxDMtpDDUZ
JOeeE+atw/ntxcvdbyhv2FllcrqQFHZW7ycWZ5FcrZ025otOs9R+CBwxhoCbGqhz/tpeYnJjNa1Z
rvQwzsQIcZBk7gAxKqnMD6ecSidCSMDPqozqZjCWbqcvk7fzJsf/PopWf+n16Z1ccnez6JaWr4ch
HXa56qwbp3CHtbFggWdnVd3AiXMOA3MILuF+Es1KL+5qpOK7Eb+Xjjdz0CgxTI5jjt3Kz7axfCxs
bZ5wTcnUVDi/GnerlOGwZEq3A4/QBgvHW5PH/JxY3xDhsV92+pEGVP7cugEiVFIf5JjGS5RXaRLW
ifUh3RZrtZuZ70aSa0UImy6gd5r1016NFU7WTKR5T7N+nt516ctIVX37DY9Zjf7QetdDqsltULq3
iA1XceV1XkTAtZp2uP9zbmd38D7ixKNXDifoJuic7MnBl3FtAECIICzJtZNBY1Mwe/DBEKdYV51V
3TWW3WSY6vX2NAlSKys9rpyV16k+QV7yseANUzvflH4mt+B2wNJ5Y7dBnjXXBPJbejSuts2dPC4I
AMnsid1MPPGI65/lOOnfRN7FOz33sr3u0B7p49o91OWgoZ1qOGCJmY/yMTERUq/gZRWrYEmbQ6CZ
LIhUH8VaZTI4mHUz0AFCn1nRDVOROyTAo/S2OXfL1D3p/gLpTOFY9tsquOIc3t3YCRknKO6NYP1V
tIIIwEaicOjTUF0tj0HT4Xrn+NCO9ygXZkDuzSYsuATKcle2VPOwznLWwxVqNcwHH3PEA2jpxX1O
hJYt0eBPPFmBbgYsxGbqVnPjTsnaFrZ7Ak+Wvgze6GoUK/03uZSzEWHo0q4l6uRLXDjlpol9Ai3F
Msk93lg9yv08wa5pC81ftQUSih5P8XngR3dTwfbaFMG3saA2bsu6fyuLEtR/6uUbt1uSKwyiLsX8
QLOhK4bi3khH2uK6Z25HvxBHPCR0aIoON1pSS3o7i2xXTqOczWiU41naRAgiZ4nJ1w6ZWA+50R+L
culXNn7kXY8J8dZUmHrufC9vqhs4oJMTBZjVaGOFcEpNioVCpcHc+hh9TVO1H5Sbmd/jx/Lq0f5W
dYlLWpMCr/I9rJl5kBbBaswRua8k4Z3QbUkpSrj6TWS1Kfvo5MuJ0sm1dl3qOk+mnxV9tIwY8naM
J1DGG9J5HOlaHifHjIYn5mw46fna9JMxQkYaVAhkc2T3Idd6HDpN7fo2MO4InHEWMGptuxDMiYZu
1g4YENUenEEe9Z2VHVXuZOS8e++zaCr7/adttsmaLt9OhbpvBcrcC23hPizsYLzuWI8rv10WJ3Kx
N/2ofJXs3L6gBDe6VAtrYOmPSz7qaxqwi70GoyQ2rdkurzqF9dWIMX8lMV3RtNK3FX/28GXHVSpT
z+lkF3eIec5hUYxAoG+sIic1LARNKLpr4BAd3CfcuTrw0S3sQiNsmrw62aSiIoCn9kNLFbnupikI
l9LI1wnPOorzGsnQbLp1L729psohIow63HVJFmwa4tKvjj3Zu0I0ahULdiZZgWz0sirdZolFLqNy
/KOVFe7FbpeOYNC0YStNmxxWGmAzbm4G3smq6fD/KtOcd7Uha0opAovg89GCjMAe19w3uKSDyVnX
s+B8w00JOSnPEMow1K4DyWMcLJT43lLTr6rAK3ZaFlsgcniSlKNb+gSJuzbUdG0mqmtZG9CbNAAD
T7v58hVjBd/1k5DXk+jL0ElKq6ECx2Us5zT9gQkTzGQM3A86FuG8SmPttmz8vcpRIAlqLo0kPia6
gYfOOJ/TTg9Ow5QIguCZuxMIw2tTkiXR26o6ZLpx6/sQsVqUAWD4KnltvTIHgnTJGSij9k9CqwGX
FbpYGzK2iWgE1ktCCnpljWBlQowWxQv+zJea/N4qHfyt7QCfWaEmfID2and+pi97Mu0InBw8s9Xg
4ACdykSGs7DoPniJG7mLfMXqml4mABAHKqdn5XOISPxoXuqPMpfPX25pafZ6te67UlSrybLW5LDM
lcyC+JBnrfOKiTKG2Kq7ITWzoYdaiVq7boib94k91cfKzUvultbbGrrwQrOxs6MkQXBL/4EQam9P
vU9/VB9ObUe9nesDUc9L+2fCKLAP6hrNHO11lxBo+jGWHNHyLh92qCJwkbTaPNMIpyOgmvcunbqD
V+CaAFnrHRDrInz0au+jtfIA1sTB9Irh/OXrTrL6jfMapdhcInPaS17sy16Bek2Gdn4aupg8+jBe
Wxj4Hyml7jMNvKHXdN5V6lpjWE8LhWOV7uNxqdsVcYeG/ET/PTDq69GYrVWam4/IJkQ8BtveKJek
7ojh7CmdjGJlXRhfOO6H0Oxj5x42DFLzIkzcnukRJP0LTuN2N7fpt8Y1PrGpUf+RAFyViSpB+pgv
VmpAfx9K+6OlPRvpSWNFSiseJ8jin0qRctgkkFc6PAEjxTeeciwDbnHnzx0uC9Rcg6yOH38fGHiA
42AYGhoU83gH4mCpVtKPY9pOUDw3TmvPGcV/YXDGmRx4/VZwx4Qbp1spy6lcPl7sAR9okKVZCcXa
1UVzICiAvpwlE0edOOJSKe9a5I66GRApEpiAWrUyF5EZ2CoXWa4H0FntutdTdTIBYO35H/wnUfqf
MCbv7Lxi8/Cz9BAoXRxmh4cr+an3WKi+3grMquvJ7YGH4VXH/TMdQFsh4OvGY8MjKZRGR+7FvPQC
VZmEc9CjYhvucFkTVHmZ4WxNh0r4pwmfTOgwYhjtd95Qf0/85TBxw4cSGASpQ+0aozK1jnRqkOre
QRlDt/nLq08UYVrVgd7SL0fgpjI1MZ3WxyYZzgRfP3Bwc8djyl0HU3mubQU0qpg9gqm4Hf5y8ntL
od2Mpv2UGXZ71cWaisbGhckmrXKb6ipZZ1Vh7Kacw1nj9O2+7BKdzgXZNF04H3+5/fN4zMK0mr+L
hISCCbIUcmiTrfLOeoudwfg2+o6I3Gkem/ArBOC03vCNvc9c4Y/D4a3X/aGpaUYBswuNGNguRm+N
Pgu0unWjw4IL3PLa7mQbxuRKSDvAbOvXXmJcgrl6Kg41z0cjWKqNyGb12hpE5xxQ8UUktGV5F6hE
U2jMQnvFktPceLrUdjkPvGYFYGna+UCTjh5ulBA7X46elSWHBgvGmszo/EadxdJKVPGa5YZ/8xVE
WLq0f9cy9/NnGCFItfZQ04Y+LxMhcCeDnRb+FUgw8eQvp2byK/VrICHoLBUtS+BufqYSXEFWQplZ
2YTZQgQnU2bKeSHWTsAhneFnPiGLh/s5cR7+iigk9dztWAfz+iunMAb+4+i77PBpaX5D31Qhmcwb
32jj12K6wPGL2CdCfAkuSA7p2tVoUtQcv9ILdTeQTLaDbtp8RRgaJNr+YJfsPyTTdJVv/yXNIOBy
489YYCdbY4XW57lV89gou74ixOoPK9S5AC4W7LftrPIYESw3XtxqgrYyZo4OCds1XDAB/fLUC7wy
LON/k3/AFNbUoa7GbgvILTsuSqkm4oEFIxefHhXTPHbQ37qi4zF/qYTYZV5+CUaIPu92mJqq1a/p
iESTQwiJffrm9Kqj+aQL5a44hjHjw9SCR2m2yYeT4muOyiROpoie2nw3kxIA181C+zMq4bUcvCeT
R/RveQkkAkD4lPULythBoWmSxezHbZLF9Rnd1HzKIRtOkWOzYS+NY9y2IHQBKPyVqGAvq24lWaKn
n6kKJLUeTGfgXzez1j0JpeknvRjnrQk1J+Dw2lrn1vG9u3+bt+iAZ30zTYtmKHYlVmlVsq2uCscv
TWrGNI3+NXZhNUGSn+jwk6X7l9hFowoSxl2T5BEuyltccrhQXbLaa4s21L2+eMkht9kqS5nOn1+R
DHznFGqLyyCVr1xGGqBE4h3P8IO7TrUZNZ66CewJHvZjFXHYAVMCJ2GrtNHXoZgWVw0S7n4Y9W6N
NUEcFRiQlsre0I/VUo0PoHRxtLkT9KJUG+0QBt9XFk47K1GrkzOP/q5IDTzxw6K2GKzs0FICS6LW
jN31V8iD7i0hVQiN9zr13bGp6nHTwxza0c706NJo6d2c5qRvL3GPCS0jTFRbXBOHetcGw1izOcU7
N3UAAV+yH8HA0rByM11nNS6m1PBvy8md9uPsDAcX4xpOPMw+dsepo6diDOk3N4c2Dfrrr0gIg1Te
Sn8y1kM865vcn18xoaWhaUPRjP2ctqIR48mtm/lRyyzwRw2ps6/IiEYMaJsykSP8JTdSiXKGdoJI
nYKFii5meSgWFbWsvuDHlPYcclRYdnMzuVgbjLa/9bE3mhR6Uka/xEnmlIdNDuBL0M8axFHz6mh0
kG/+ypUYwsdqUS0nRyz8ez0+t9Y034zwXxGnxWPQms9WwmbN7I51ZltLRKfkNSgbTHEJgsc4pkn0
FT8pPa3amIawdyOxEVyxd4uvOCrYDqSpXl9WSbLcWOQfV/gknlRb57du0oO5AMNc1912WOzh+z+S
KpZu6Bt9oUL+57hKEeT1eezrM2OsJASlyufRblwOgqnUbnyLaBL50nRfl7p5tAftw9a8/powHzwE
9n+yoJc4CxPMnrvR6XHrTcdBYedoZP30XzPX15zH/yBbezyH/87MxYSm8sd7l7333a9JgJ+/9qd0
zazFi75suKQv0Klxff9DuvasPzzToZGGacs2sLxjtvpTurbNP3TUaROfC174n6r2n7Z+W/8jgOHt
XPRrek3gAv8/0rX9FUH51QUPr9EKcPVjSPccXTd/m3XimDOzvOjA7ipmM0Um8+PW6VLSFeq659kV
b74+4PtgfNS6JEQdYiNEGp1mcfANoWjO+/f+4IuDBvP8eurlcfAvwArNPdG7YoHoWrnycuwoM4cj
ukblgqer0KM6YWpD6tcBJ2EtCwO3DyiLzLOKB9rCaUyS3/Y5MNakdBN8lRdm0IBuVvKaes1eINrn
QQb3vZPxqFWVSUA5f3M1pUeSQSOEyJGBMXg1ezU0z4afqnBxBgvAiqOtYeo+Epq7Y6zHG6cFsCCO
epZV9lklHYZjcHqUF+bZSHGTmSWfx1UThJimfnaN/FIJYPceNT4eoy6hgJGgjwbN2zeNv4co2a3j
lq9mCOJ10hXMpsjFpyk0HhQo/qvKb9pIr/mjcuArsLFD8xH4GnR/X2RtG8UNPzXovIdB2do6hQux
6lMTHdrGrU+3WUZuTQE9CPs8+j2PJn4zt7GvZgFa/2LSlYF9264UtLG10xnLOankOZjlsJYtLymT
xbly7Jq3P1rmuq95Q5ZyRaQvyQPUzWnFKciPgqr8nMu62tWU0KETzyIaxYxnKJDJeyw1g+8huA90
Ho5WeSn/UNvpVeZc4M736c4MZtjkQXsPF0SQS3DBFmly2RCGXnajz7dn8UxlF/f2vqHdf90kWY1U
P9t1GymP+4Cz57kYfOJregBGzOCIKfgHMILzkPGmklzYe0trgo2REyKu2AMPXtCZHMEvd1HHz2KM
PGWtgc+napGghzQP3dglYGxyY+EhVGHhOCfu588pINFJIsVfyTF7IwvDtV/4f3nMOYjJaGU0dj7R
6KHidwq+pdZQfmR6armGfBaETds8f13vIiEPO0huK9C7nF1TbhnCX1z6mqxt7/ryoBvJJ4ucu9rl
Z/2Uu9P3uFWqy1rAOTU/SNpcK9cnk2/wRlh5/mpQIjtBidljvbufF678WLNOGA4WH+h2Ltepx+oI
vPbZg0sTuh5X2O+5mXxW49eXUaqLN0LjR5Uo3uBCIz8CzjlQfjprmyNoKEUbH+aSfiFZWRWa+DOJ
Uc5DaOEdgSyNYNmISo+KxuYr1QfeQ5K2V36rTdvENY2jVccMI+sWcy08FuU8WqCe8vKi0XGX4W0O
8fmLa99koVLZAu4aUrkWcyLXOuuEjER2HlLn9LW8rHxZdrrRmwRSsU32GBVBy+ScDAsut50G4pCk
ermddIvmrXFZhqiC4de11Qo+vhaXRxcYPVsIt0CpsFvAAKNDernLISsvm0o1wbZNbLFmJEGwwc8o
6cRwO3/dAJc7nCV+zuwFNNfMNoZfpkPFCRbcJJfYcw8grWu4jdAQuksDOX5VmaPtnJSPumi8FtF4
bcfYA3YvHA4QWLkEhvhMGMSIM5TVo2us5oKhIaFZGvFBb/ryiM1lOjn0KPwxf9OSbF7R0y2P6HRi
DWE5C/tF13aJwzqt8DoeZy8NNp7LTVYyZOyogYSg78n2RRvhFcKXTxCkpGSwt0FKCxxcI3/MGDmU
tJZ7kXCsqGEULxafttmPtHMjryQITmWrE9FxLDjTCZtiYrC5jVw6zRPBNu7Nc2oF/nYxynmLAoUy
Yg+cILHShQxDQC7tcT2xRKpd4bODFR7R4a+9yQwmc/21aGHbDKGWaIgROB+Yx6vTBrDP5nzJPcVo
Ak4H8UPkaP1zPSmsf8CuREVKOK318ji59nTqPfGJMZuvZmYFfH3XLrobssfFTGFwXe0S36k9oa1r
vsMWaDsEgJjCeGsaCy7MqpZbP64/a49/XfT5mkWvVmADp4OtyWxjNM27rwNaYZQnuNTaeywqNGCh
pbfa2J88PLccS/3kMGcT6QJNtpJqF1fH2hQj+YRy0rDZM4PqO0gMKkEmt9nuOuC0DNMeN9ObmVdT
ZKg8ICukm/cOcnDU+qPKr7FQ9Yds1LmEYHpgwoDcsfv1JYzLmTfrsO3YLlky15CJt2mAlNDFFfAi
sUM27XqxaT8BAa61g4r7V6gc1Qept3c70yuKRmsSn35taQtObnoYbcjCGHek7asNSJcJ01IDHCFU
OZSwIqcKjRIeRZFp+PF1MFaLtqGNM7Yneh8+rR8CgcUOKbbTnmcojmFKiE0e4zSwOC430nBDWt51
dnIG15yZSUE8hAYc5UPquf8hSXhJCv5W19gudHVCkTpI6d/51bTmmbtEtm7nZTPuiSX9zAQPFwtx
t28qi9uKVWdn3Om/lIC3P1/h1wTj76lC6ilyGsweM2mleZb+Wz0VzLY5B4iIO2P82uxYg1YmPspR
Q8NT4vPvX+33QOHXq12o6BgPAcH8ToxGF+K0vpT9Ts7cIJdKIBCxtmZSkv7zc/030fEfDgEG7MZf
rsm/SXQINtDX9tcTwM/f+fME4Ad/EC5liHbA+A7q9V+CvYH9B5eO0d+m7TFe2Qnsf5wAMK86/IpJ
eJzELaeAXyId1h+EL/hp7uo/Dwf/m1z+8/78uzHtjv8v3lX+ms50Rc8wkHqd3zHaDCIzbWX29t6R
PghOhzmLTdkN24XJfweZ1M6OqBljjKtxnD9g23pHR9hgonwDK05V9XTdWqW9Sk8CaCLie1qYgHDv
YgpnV1Iuk9Vb2zulWFTuZmTW+4I2P713HJNF4hrfKxUz5ST38D2aLj4OYv5k2vLdpPn0jbJ8nCDd
9Gp5Z2CTFmYxZQbymDC/MYhRHKBRYArwLLntLVYaoJDryjE5UMgYgEFepAdjaKElZgWzWwrNtSJT
S7wDQ1qgrsZyukHhk1sl/eA4twnFEmQA8zxpfQDYV+jXxpzp1zNzKGixV1a9MT1SEUZlJs9GkAUn
QxO3Bg3769g07vHqVJHh0lYsa8BgxE+V9YmPCSJLMWNeNYaSkrhoOuDYho3kB0qfOaNTi4Uw67eO
1NXHSL5kYzWM+UI+JTTSV+KhtnOXPpq0aU0VU76Dq8ywGHsEO+fNRtgZZv9U+VkM3yMdz12VLe/o
H/MzTCXrnED03UFIbBDn8+nsuHw5DAbJNgDv+iud2U5vhdVPEWgvb6MGOWw9Q/AxEsw+tijlbigR
k2th9x9aYK1oEc+hFagrhqDv7Vib1j1T6hh7VJVRi8WoEKrYa762B8UiIkgYxE2Hpt7W9eB8JhBx
oBZ1GbRIe9wy2ynem4zFvmUq9EIyQ8t5EoBjwJay5P2Vsuf8McFI9uLVLlNMGd4ElI7YpRrG+j6I
7ex60V39msbaNKzIaGZPjA5sj3mvy292ZastkBATuZ1Rcjtnkl6+EtKyzsvsZddJYi+b2fOwaxFC
9e6wkhqEMLraj7IWBx84Zv0W55R34FDI2SVfbPneMxn0FLuu3MEftq7cTsltoVzwW76XPdeMATsh
azlnUCbLbkpncFvaYF2Zo3MZLVIlNwwRau/zxQo4NbZyX2j9XtH2xoxWOj5HZmW+UHy71zUV6Z55
ZmpH4xZxF7eV3Ix26txINV6Z6WhzO9bNTqN+7NOke017OB9ANYWxNlXsvYJu/eHUU7FPZgVQdC6c
fVXH9sbzObTMXmk+WrZ4pzxXCdWXbb54fnlfDdbyiDd9BsJU6ucqdTlLTikjcBhwiOB7GY1+wibm
GJwi3PoVcmx+61HJwtugy/AOXyPdlsPlALpk8gHdtsCTpRG/GURxlSdcxNGyiD71QB995ih986y2
AzsWDM2qE8Z9V5V70hfuoYL9UiL6hYvrYWnNZC7OyPryzonlzqUHf3DjpdyDXQERonoB1gVRmUoR
GzYjczZA6OrIa+nOxki4d4rW648FqFtoiRzXcQo3GtaWeAbcPj1wbKJjaxZVyAX1MPSmAtkWsNSt
1kybUbpoDES68zAINk6XF9u4BfEK0AWXqTwPcTw8azEdZOFaxjnXGV5VUh+0oRwRgkt9aN6tbuad
2Ho06pOH1wEgDH7antM9sb3nzptrxcN7kRnCzcUruMzJDS5usdWmDkL9PDte2AyTe8GbjLhx45nu
7dISf6v6y1E9GB6SZaYjLkUAJ4lcF9tcm0lUwka/IrmlrucyZvyXoT3npmj8SwvTWmMxIhvr1mSu
m9INObI+EVzW91IHYEQmql6ZuajeJLOUMF6lwdkBA7ZvW2dCRUi07px1moApj8mA7N6rm3vTNiem
eKu3F6exAvF4GvxKD/24WHA1+tJdAz0OHgOeGidK0/SJcH52xNH6PVg6d8cTcQlxCKOfJ3bGrTTm
xzbHEIhbJTgWvd3cdnlcX+f6WENiyiS0zUKtK6NNNkYAxm8x04v7rraexFiYOzxC1hrDUbVJp9z8
gUjQX49OoF5tVGseLv1iP6eFzB460xjkiqB2sLHyINmCFsRcOifY/ow4vTUMErUQGh08/PX0Te/5
6svUWaJ57tS6nUz/yr/gZ6JJVumN5eUjNxrmykC7HDSU3i9b/HL9toRluRfBoh5kD1eegp+jb4wt
cbDstRoGiAOI2gu4M620YbJOG7euhpMxJOYhMBLxnXgJLRNKTzoSPG4zlvgVQ57VDmoIwz5F3QQv
2OGzqChH/VnGoCbYmVD2OzOaTde5Xfpce1e2h0rE4PANJNT2xshKuXdsjblUdtKeJbLFQzL68cag
0/YtHTJweoMHuHSGmLuxCLudmrl+K+GTvetLz/bfN91CQ2uyk+1kjUa0UJivzFa7wh9vQqcrm2xi
3FA1Mgl0ZZQ9YPJCZPr5knzj2Z/nCY08CpFV3gMBDksr6M41jq1dlbKkqZs9DJFL2wDU82K//gwg
5u4HidWZ+fXaMQPIC9C4uB2GUuw6p39xGgcyBO6vlBbI2L+Jzn2BTfyqx/2nJ5cXv5ruUBPJtS0j
R3SrLvYNvLR1U2f3Jr3Jg0o9756Oi/nI0bN8h+oxPTUxvziUrsatns1kNA8q4VP0B1W39dBtSYMC
uL6m1AKkRYdJ6M46M6vOBpeYpceJZjCEMSwit3VXzy6GyfizpyHgkzccuXAkxU14HPBPwrjSiXtQ
9WwLCEvXmaq16kWxgVJ7BUNkTLHY1HRNioOviSZqx9yMKPLElZHM5QHBzXtxZqf+rntxkt/GUyqv
vNQxmnuYeWm8lYvAmxdO7QgxkcnrTv7hp1OrPTh1jC/JSJnNC5IEdvS+vvjOyy8HOh3BzeC2T7hX
ybBMNCIZEA1JLrGfJs0cd5zMGQZadP2Jn5w2AY0KIjDpIWvsYx9gUKPvgMVSQOx+hJup7ahFHsqF
/k/qmt6BJwjT/7QsAbovscOWxnwih1mfGq7mYelIGqbZ+HqZ+XZoAiyGra31W6OcMPT2l3LLWsye
+ZxWc5VlexFvGB3E8NMq7nYMXrBDUfvZtgWVE86xjYs+baO81pL9Yicd/sw4xmpoZgdMJUcO0xKk
tKGOIC2gQCde/b23XBlC/pu3WT1kGHfaYE1TmmBoJiusW7aiOZUKHmQxIpjDZd71xIIhl5jFlrST
/mn3MWW0EorMEKKYZXzQ/XP9p1bvS699722vFs5DXMMj7cKslhlTHL+OJv89xP2HQ5zjBIgr/zec
KXyVNPebMmPO9l9h/p+/9ecxDs/gHwYGaE5lpvl1WPuHkGOY9h+2jngCtQmB1LA5MP4i5BgM2PF1
zueMS76gm/4UcizzD8fiDxLa+Znb/38JOb8NKIJJClfo4idiXBcoKPOSt/wVLcSDDmB+308nmvrB
ehjBFK4qi7GuofDG4QwpZj7kE/vjWtdFR6lkDw9kU9iW26D8UzGE55X8qP5NE8T4Z/DZ17uxSWxe
+GM6Nbb7G+gIboYSQdoPlLSlcUoER8JV71XQlom5MWV1GO3+xSNJnK2awu/qkMFtJOwZAuvZaN1e
+RF0nX7D30jx4UhpPKDb+MZ2dp34h8EM2mnzy/X+N+/Y5KitfukXXb4/myneDB8DQEIU4be+jZ3B
jWZIYneyJgLB+IgW+TDYrNIN5Rm71jBPRh5lPH5oHLtwK2ehW9sCsduA1111H+yfrRFmmnJIkWQV
qNoi1Rlk0jh4upJLkFP0YP+hz7YRomDw2Kb1FXOlyfFkreZeZ006FNu//1T/ehk8G7czF4LeO/Lj
5UP/Ekv1yNQwy0C2p7KLg8cqIUPLoY4aaaVQ8245WgffVGzI579/2d+6UmyMHvWGh67Ivcg/Lm/r
l5d19CmxVZuUp9JfjBNTc/sT05WYQxynj3//Sr91+b5eiQYJjD0ogIHn/3afKWL9S0049MQsHfuV
semcmePOx3QgVLrG8SUXDDQzokBuOWPxn26a30fI8SmRTh3Tpufnsjv89vKeZ2XQ/eBnXXbu1yLv
sZDKy3tglHOLUQqew6xz6bejrL9O0ZX3o5PMcWWqrU3v2mp0BImc0Qs5QdsHq1EmYCNiQD+UNihc
3syECKFF2M3OsVx86X//7f3OI+Prw2zMtsGsNlpQ9Jr++ULpbu+UjhNrZCVijGdN12Jo1ERH8Unf
okwOY5qJt8QPGISz1OnGhbiYhdTK3mcHBKkK5zTxQrvKhx9ZY3kfg0PddPj7N8ncu9+WJh1VxtKR
1grYW1mdSOi/3k7YTTMdT6Z1DVJCxYEfdUG6bC8z34NNN/Q9QzlrncTAjA0CFjxHJaPctmajtpLG
FrPb6+JOSacgzSzH5Gkk/rUHsYDr06nVA0NM/ChmaidAsgvIAJQ1UIM4b8vTqCAd1BfmQUJUgr7+
FwrBHNJix7ALeWfmyS31ljWtZO/Vpw6MQvcFVHAHdFIjm032BrtfFqJufn6UKRwGABv2Ib2wGZYv
TMOopyBG2aky2iYXkMN4YToYF7oD/pR33CXdt17XSHwTgvCg/dQ9fRfTvK9TY2Savafh4+K0Er8h
JoGRyEiLE66CLaFUC7+VaTd7ow7kRzYol3V/4VHgdwZNMVwoFc2FV0GlqLYGqfYbhjlMaxsP3Mb4
QlxIuoZMUxkZiB4OFwpG0Vr/w955bNdtpGv7Xv45egEopBr8k524mSkxWNIEixIl5FwIhas/T5Hy
aZFq08fzHthe9CY3gEKFL7wBPYxWXlMVQCIDa1d15KhxQaYbDY1IheUnoN7pudvL9tYXCq0NmVsu
fZtqfYwA7e2p1tAkplOXHCwUTx/xPZh/4E8Hcgk3OcQ86mdhj8VofAij9qGfhT96owGCKlx1rPlV
uPBGIiR4lguBcoZ0SBjPgGGfBUUAcca0LI3MSE/jJ/GM9MgsUCHJngVJcmYSTM1noZJFhMtFgLpz
GWP02Kmq2ujMOJE8pXHquuvnYbYWo+ws6ZAVzTdXV0BOe4Tmx7G1r+C90ihBObxbT/C2UzEmYVnW
bnKYPLd2aInTXAthNEEoSW7Q1TOdxxTjmV0dx5yHCNvN3T6AUW5v+1I58TV9rQDbp0KHc7rTSynV
RTDQXEs2MwS+Yab351uHwErz+Jq8UQTQrKjqMOFEMVSHusx6uQHZhx72fqG9hvgUwgqItcaooOAE
GFMJBfA1x5Q2QlDOQ0xUcCBnqdZttPrsmLVLuW9bpb2FdstAB+pmyCy4QE2SRT/g6tOd3NmNq3BG
i8boykcyIz6rBcwsP9/W8PVXfRzQSejBhiUphKsYAFyH8spQZ3Bdg0of7WGgaQr6pKStSFBdnvRZ
l1kAQTz3D6utVmcnRFDQmysq27rGu8KiDa7q+g/w27I6BSyo6BunKvhIJxwOBLoqrgP3PoV9gPOJ
m6oTkBRAzDmMxRmys25xGFvuAPYXCIh95Cwr5ZRct/NlFWFutrdYKj22eQ4wYcA35S6JRTKaRiiv
MwsH4pN6zcX6HSlCSf2KG4BrAjyuO3WQHDkis1oEIBRo7O6yJot36xiDhUcduZU3oJdz0H8Y1K6b
Ct9N6xwxRO/gtDH2TjRvw3bv6HRtTtPMQU+gkIaga34PKBzSdEyfBOPOZc5Q5FdLZn3pEVPWuGqz
jtwrmrsZdaJo8ixxp8vZHa+CVlKNrhEdvvTHmiMJ1kLBH0gcDqAPZ9jMfsamok7POjrfy2GY/TU7
d1Si7rzc9R/9JUatPgKCITDhXihVD8GKmBHq8SDTSwHvZotu7z5zsu5zOc9EFnmST7eDH8xf2z4V
R3hgSbyPCh+KRR3FfI9fNvlyqPvJucIYRHgfBuU7d47C/mEDZ2yIqGXrkNqYW+XZsYceTeU+pAF/
nVmhfKjtzkzOPO8GWM8Dgn+LBmsCB8ioM6VzzY01GGI555xg8oFiJbO7Ypfsd0BWF3R3Bhm7N3mP
5dlHN6Jbebp4+TxeqkWZ4JN67Y1fWMGybygezadNs66g9txKrbh2hebhza3P7E/cF6rfV9BceYqx
o+S4SQEnrltZTCydtqQw8KHuQ5Z8PxIVJHzGnuqqOr3uHE+D3BNtavO6EccbLyuAAgMM7LHDw8UO
bYGgBModvHUW05YnYgPBwcLEyaquHvC0kGe4wWYwgdD6Z17oJHica/gdm6VHLVKoxR7OE8LcHFGu
ushvI06Lk6G2natOJt1nj/ZlZ9j2mXvWRIkcz2N08aad7qGtEeBq5EJchpUkuNPfirLwb5ZxQHO/
s/VU/DEjXjUc8bKpfmBdb/YQ0tV0Rx4QUVV0dTrAEqnkH5YdV4dqbhPa6h7bnO7n9GPWqOGc7nLu
73y3d/HULn30UrAwkg99bk3JvnRrlslqxUKeenXjdN8rNmQN5IwptceGjDmS+7hfHPDDmPYcMnN3
7vSjG9D8L9XESSsm+N99l3/pJR6PliZMP1ul6p0nPAf1sKkcJ5ywNAMGtF8qxzjVzVjJnra8Fop+
qGkf1maa1OWiw/I2nxAMjaCxeBWK08d1hmi3xSxoWGkdFU1zWQeLd2Ep3BT2aVdX03mi5zbdRv5Q
pXdEItAlMBdFAiTMhmlTpMOMTtk8obtQ45RyS5fNyT45DXWzaYNeTKHvgVNYki+jxk6VGF7ImRW3
81d0qaxpW4ZAp04zcIcfqNrE60k/oq69z1YjN5a5Khc38L9W/6oKWuOiBBwquPScFHtITXQz7AHB
8NbmqKZH16/wjABlDwhbLGLpd1OJbuDJGnXM/sJbUGHRoIFhRbR4Fv0x+9q5y1N0mFgOmXxgrlcI
0UjkmA6j28r8EFVpMMMn++xSe4scJD+n8N7HZmkG7ZUoDx+8Mpo+dvEgsYtJmNGwXQVvk8QB/bBM
qAKJ1L5NxQ2WYWVwGi/GDCRbFiu5LGDmz7tqABtLbR9xk8uSVh9pJIInhyGNihRPUts+1Z3HutfA
AzJUzdLw8jkq/W8l5W8qKVhzBb/E77+1w4lUm/7xqfm1jvLyN3/WUWywrR4tHQpxpEwgYv9dRzHi
h/SfUVlGsZxqKInAn3UU5182CtimyEEOQAnml3Z48C/yAldS+fB9AfZe/iNA7NuUDjmoKCTTCCMu
B3raJCO/5K429Va4MJzPiJV1OchCKSM9fuon6dX9WW5XIWXqAsxump/QYIIMeSHYATHhregPhGrj
N9prkzPjRlKIy9oiR8bdzFKs3BwONvKgwwkiDwgBncAD87Pswk/miUL1yv+NgZGz7KR3b/s0OVE0
ScZqXNILB0K0XrFbjEIL3KzFHjVRPazOBBUA9iIxl4DEUCWd7M9AxGO1bUD2t/o271ZEsPeRl8zh
B4q8YyqvswzcHoYqWNKCy4KST4SAa2k59qulEUZGL3aLiy1R5X/rj/8nATQKfEzzv64/7r6Xj/Nj
//3XVfPyNz9XTYjOO5MRTXQ02IMXrPhPXVA+Csni8WT835XxpwCaROWMpYKgOjPPFgZ7/mfxEUl5
D7yHDfXNjYyi+z9ZNI40Kfgv1TNAKn4AJsWzHUTsgbi8qZ4VOcBaZ5XdUQc6/YQCpREraAVKlQhN
IdAX9pU6tJ2+KRt3NR6ZIHOpWyFNbrfICGQ1wGWxOp/ibCTTqpF02nK6zd8XFRiPC1C7BJDYqSfq
po4sLNfH8otn9eC5ENo51AmCk1rYGJMvksXGIGZHxAb82xw1j4uFJiriPz4dhAj6xjHkUMVAAzOg
swAeL7hSEKJWiHOOSiF9E9z351jswi+qMFu2Fj8/mbk5dyP6oD0N1yw+baxefaxl4p2BQvmSh531
KSsrQIxdjYgCbl5kvW5C9gPeuo2G9npdQJpVy/BhimB6WQUPCdkbNrv7wXN1cZCSg0v7wiKKrtWJ
nRQ/WgAN88aW6FQhtwOUu0XN0u1Ue+hWrp5O7odAIHOThepS4dUKLxSkqhPdITV9if1NvUmX+pZN
xLlYQBLSG64nerCz+Vd10ejqwovaT3GFtsrqqAUh5uQLKO1T03LcGJxEoYsvnW8wMU1zC0Fz/VyU
YGxbAX2riNrxMBIMbjPEs5iCd4uI0ZqiBoCXjbkF7Np9vlp2izgJ19C+FoVlUa8pUCAeZPnQwAh4
IOAAWGvg4+g1CcycQPiCoCc0tbFcW9sbau4r1h4WUnO6e2w8WlgtkqloqxAEw6YqCWJcnN1m/4hG
BfGwr7prbEn6T14R3QVD1mBijBC+Qxp7gS1xuF9D6RxlF0Q4pEb3SC9YHeiF+R5XNXbtCnwTOFej
eS9jyJc27OYtTsrig0Kf/arKKLvQgE0XEO5pt+7LtL4VlKP3okdNdOc24uNQKhQqoxgpfZESkbJy
Nnk2ZYbXM2HHuHTypO8ggp0mrYNvcKaxlXH8aKMQdG8gDS/jeUJ3fTzMveXfEzhn58je2F8gTE67
AaV+KPM5vEqfsWwOTkQNB+STtpFUQLv8tKEFj75HrvQPPLhX6ySiDhn/0DKcL0u3x34mgaMLjDij
igFqlD597tz+Nzz6v1CGHNtj6/vrjR4XkKF4/HWbf/mLP4MjV/4LEUm2cqrntheYdtHLNg9Tlh0b
qhhxkUuP4heyEBQjAXfU9iiC+8J3fAK0n9u8z0e+TRBDTk8nBiDhP9nmzZn1yy5vbodaMRxRliHP
ydnyOjaKwklX1QiUJrXXNv+Bl0AswLTMroW1kVK5qx9ycOLqMGhR4kE1aN//tsRlW1+gANl07qG1
PPIGOrEWTL5axjY2bVFZpMt9b1cW3dHea4M1wKkH1qoFeIgiJeSDcsTpDwPUkVIAvYcW87vEhqZ5
n6qR/KjEnAGWp4e9oNsRRwFBOREDsgi4I2S5j/EOkjwWgIZ6wtMd0R9EoqAo//Iib34H/jqvI0cP
dSNQxnTg+Mc3Bes3o4NmC8XQYfW/t8M8SUKrJMSQbNMDjSouZeJLLrmAtah+dEGf6TsvRLmx37oo
5fM8NWWf5f79W3puWv37WOaW4KI5fkhJ3QcLDXDs9QsLcxfJ0aFPngCL+MUlGoTYO6+eSRZPUmgH
eGgTz6YOwLi0jUYc84AoG7J72xSPDfJHeH+GIELzM8wcQIDt1zhZDZB94VXsFTJzOIL0wPSXfbAW
XXC1rgUKdHtC4QHgC2zaEZmz9x/qdaMOZAqDTGAO1tlHDpa18PqZ4rSg/MVB9N2eURu8xSTWaj5W
ZdysN+9f6LXWubmQIANAQtanakFY8yam0WjsyzVY4ifTniCEbsu48OyNa7PCKUHk3vU8QI3AIDHw
Swu4k5OE00ecFur8x/t38rqf9nwnwHYhisL6ow3yFqHriERTNs6DpwlhwuDKR/ON7kWPdHMozhLq
cqiZvX/F3waZ5CxiKzH5VMgovHl2WA4W/suh+FZCD2sg/GoaUmjVRWus57+5lpmEv0xSxpmNi/Y4
jBpCUba/1y8UJYISSITvPi1Ogobdd2rCYQpkqR2Zd0nTmSEudTCOcv9PH5I5hJ5+YLsRUXDwJtUT
fTn0EiLhN7y/kBRESMaUJWJEnRjd9y/1ptNmXqEk2QUeQLOQzfstLSBHM72YqWs+DXBPqvBIC6a+
L7Ek71DGDeH8t9eLXGObwCwDi2fv/Skt1od8CFtCSCBqiGJtbMTG5Ic8BwPgIddXu+VFMSU9AN9x
9ryqP75/07+9GB+dTglAgbcDg/XthuZISsuLa9ffasBO3EVvySL/MdF+9z81TRXA40avvFHx3w3W
77PP5BOGQAG0wnXeblux5dhL2/vWVxodjktRFZfOEepd1KY0TB0BX61ErMMrwkedlsmCg1Df028C
4L24011WrTMF1jRaVvUVGBFZvKghnJz7lfb+nvARvV2e3CDUWbNMkIyMMAJ7PYFJ39u+glTyNY0y
l6UIbV6tNwPqK0yqVePjMp3IgeLZlSXijNU01Jjv4TETIN2F4FPhJfobE7DKfwSDzchw/HkFVP3J
obX642UD9uKW3QVYUQJwLJF4JxJKhgUzdUIMirdT9yrgGK4FMi5Uo6vYbNEWUgtc0KWNFH2gT6eW
z6s2IcQG0R/0DndunmNosLHXLMDdz/U6RAs2XTpnxgLLy6vvARwutG0EIkLrDctf+p/qDKnYhx4x
Au7RkJZqDHmhuX3CLLLN6/0YLOX6sCoRTndgv4Pp45Dzf+ZNirU1Q5Km6HJAIkoXXK43FUz6QtOf
by3jjIiSHQ8D+DTHsVandVD7GwNv4zcDBxmsFLXEcKiCE39aUvVBzaHxbYAahkIpZuFenuDlm0gu
bSHfwq+viDtwNQsgdHAlcE7vPgMEw+I39qYuuyy9OsJ70RmW+hylWT2ejQt0Swh92NkzdATujj6P
UM7nsLRjZc7MDldpVlsbdQr+b4MyH+IxPx+AuDvlUevQlkG+s6klMaC+XTP9hiUxm1hZgTqu9iSh
Af/JwpaG4nbA5L7/8zs64H6oP2cxkMUtU66Zl41IV58xGEWGEtZxaVM2Rw3mJ7hKXkbVK4qZkfNJ
zPiFeVZpcVaX/YiHhJNKc0VhhURtuo1hOW5aHXY8Hhu9mS6NVJxagm4xkyaPg7z6WCPUEOICi1Q7
06X1c5c1NdVSMmsSF9FjeAALWi0/kHRy4vBA56iIxJkFQkB/66iTM4YNbDSu77MxOvFtVFKOyHcr
7OJyPkWZdkJVIllrE7vlZIJ8plGnMA+RyzZYLjtBazLZk2yb9x66E7vAvl/RraQX6cZm/vai8/gJ
F6JOTGdymDy+pdEN/d3dmIuInzB0CDm7MOBW3BKKuOZC85ibe/EkDp8BXFkEOb/pqENOfCfWIMD1
KogEt5dXWWTiNupqsG8H6pb+p2z0+GErhTZenrknzRh3U8UIjstMC3izomLBN5WEgBgQKNR6QszE
AzNFTWg93bVRzb87ByE3dK3AEgZXhI4rUQbZHuucfsVqNg/TVHrMYWCbJe1h9tbseqBmvAl/IG6E
gNo6YrqDqkIZb48GTjvo40TzJ68ujZUzXwi9mz7uFsWU0cxq1I6MKycgZMc/IjaIH+0ut+9k6mcG
WErpxOxMaZnSow9sDLNQim0BQVEdAL/O3KbPkwBUXm98rRemfzSA/0LdD6FNXRMozA06kD65aU8S
r0rA5UGci+y6ccjZAQnno3nDdTZpdMfRaR0m6zQbbFO+XPpONcN2KYfBms+LeAi5x9jCwORb50Vo
xsPEcmoepgZImTS3Ehsmr77CZ1Iu0TagCYvYJxsx281eiSTHJjdpEQdGroa4fZk2sYu89jEWAHUS
CEwF22zwDbVey0vNZqt5ZpkvxQrau0+XNEW3r0lHJ7xSC756TB7Ugs1MRJ6naw9At828tMdlYA7F
NHeL5BxhmJXPOncae9qcvmCrHDqouJR/Ct4HhArbcsbuCmdTly03R9WSt1QDv+AsoCoz812ys80u
OBqwL7tOhtrrdLBVi1QYHOMBXhGk49jsS4VNQeGDVEh/KmbImLA9td4SMH4qxU/+amIUWQu0Hgcm
1IQoAzK6vP1O++cRbUMPcCxuHMl5CumJS3sOvj6gkNF94azXbcgpj2dsy8qDsWEOWaXGjum4BOgW
gLoAtML+oKPU8q4XW/dtsmGL8r1jS6+SR4qavuk3UMdNiGVEbvS3KurIRn7mIez6ZnBmKliNPCl6
dlW5hzQ/C+t0hACOFiOl0mTXxXMd7z0bJdXbuFt4eJT+Snb7Sc8hdwzo3mKUmgouab7LIUgzeaJs
NCP4c1pX2Ww+014jmLjYeZvAOWgss90PGP6uD47FrISVFfaynzdEoonN+oSAzcrFdwE0DIrCToi0
W8a2uxtk0StrE66ODr5gzFP2t3a1lHcSZyWUqnrg5N0ZvkZTAXRqGttvLWgB67xPKtTHqP+FAo2R
Nuu+YLsXYFUT1k355OXl2n+sjIbY40yLfr7GYhmQPbR0hSkYOLYWzYC8lj5VM5BpA4Wi2Y9g7XUI
kKFWXtkVRPySY3UfRwppzI531LPJL7T0YA3XU08jEM+ByYT0az9r+DuhLqFKtb2l1WeArKOHa43S
XoKbk1cYyf/S1XGzaSXPHzNPY0DTKuUkK7fhWs7rupNZudr9IabA25zjuAYPLkAUZLZtpz1MMkyw
syRAW+8S9IkaDr5AIWyI/RrMZg8CxlaD/kKdOUjUIHfAOYxNRRi6Pb2IMjkisKJQcbBnuCiytu0T
Z6Z6eojbxalRfwXVjzxcLHzrpsU31LsfB0q4zYndhrrt9hJX5eXOYMbUpTWo2vroWd6wPqiaWY0k
bBD092s4Jciylyqg+XgC1DtZESmfwjbYSeCggK0yBX5hRTIKSXxZNMJNt2G/DngYOFUe1U+pi9r4
AhEIh278Mn0BOG2E/h5uXDH4yj5Rcd35KBlADSiDk7iyiuAKJUyrKHAmaAlr0+9phDcFctBNVIxQ
rR0fPnWwDwT94OSqd3mY/OZn9G3rMg6cjzPGDcD4Z1RcOJZg3VStf4/iU9t6uzae+3ginqKiXBz1
FPpEYzH0mfbQUzJk/tdWj9/fSS/wpuJYkWwkLO4uMuFjzwHOcki9wOxwFe0EtpLM0ljyHHJwJgmk
HoHhc3S+dolFSIp9D/Lilz46IJwyqvYTF+pLGPKdh9HHEh6Bt6EwmUNIv4C71WjS40k6dlUWfPLr
oeZWnPZZXoASKLWGFnQF26Q/DET2EeiM1j3xXJ8oeLaJ3UAM0WlnL8sjULQzHpOzoWJh9e7beyQh
glUcpeeWhEQ1XRD2lGqsbB6UuATwD+LHVW82xKp0OaNnPHAJTVB5VwxQW4fm5Iy6eeFOe5BMXHuk
lt2stxPEHj7D633hy+y8iVlLg9/QDjgZZG72ycJDYaDcurkDU54+f4t51qPspYlXZTyx27hq7IOv
M0pzzSFwgYBegBOeOBZVi0yYOKvb0IQsqcRjDYeFpg6U82O0Bl3I3Vw6WMMjQlJTN9iEbbwwttLu
fYafPVybEOm53BMMlTmlfp5gHtzVCWNdtAnVNpAggOuNI2KLgWwTL5fNic7Qh/5RjhYDyzaTmzsY
Bwsd9eOfI7F2LKHN2NKzpz5Up3xjg1kkss4FShBRuSEgMlMxs4kDPgK8jP1PJWb2xdnLa+TAdJwH
0r9R3UUwTnhikdcO72gcptDBOzQpJrTj1zm3Y/l5KsCVFce0DZJqPvUIR6e7NcQnnP7J2priU99D
J05PW7s2QYWtcKqdN7OrTSIfBR2TpaJe5yxbhBT6UO3AQBOlJG5sonkEXUD2HZGiHKboBs1Ft8lo
FYQ296NXz6wDAVCXR52Adk135eCZJdJVnSl41XnHL8QT1uyPuVOSGmedYyYYJqUwq086NyyJs5OX
0zWdpoRDc2xmAtWtEOhl3IGTM/GmQu0FyS/YUETWNiOQ/4jXsOYH/r/5baISDO3nEhyKMdnivjAN
h4zFvWDimJhgXrTmbl+WR6F83ks5zg0vFV0IoaoLsYgp+TJFc4J1sI/jDiZwVcdcKLcZzgasMw8x
f154WbuyvqxmJ5nULimHCFAcXwB5b1fOjebdjtaECAtUxZ5HsNsJb+B8AGicY6zVkPIlocz6x6kf
M+OfUiB7yOaiZ09ceLOjihpJepd5VtmuSQIhY5Kx2Q5mOiwjTxJeknjynpX2V30uZpf8ib6oXqaT
xQV89jilzsKgxC+Rz5DYE7HGgLoST5uh5UNg8DMjjpCzIjBYksQm+0KgXvBTQs4C+MSyrOWboFm1
3oCrsUFjp21KOkIDKRmsY0QPc7xDW1iM1taaHcYfj1GTdMMkMFFYvzgmyUfexwTySdswP+IhTnhr
qqKg2+wWdDXkNuuxlSFGkX6DjytBCHvA6nTkvBCsWhQ0TP7AdAoAUPNFMM3MVtmyJwfHNvQXDF1r
TDuIaJzIwVNWF1hWfHtZevVUmtCqtCpjeKC7phy6nZqmwUyMejb1I5BUz5AziA9zfW17y1KDnUpW
k3H70lIM5OyEZomTLSftZYBdL8GrnvPkJMbpYvwQLOE6nEbj4pTHCGw1cP4xxAgjIQlUyOYeAnBQ
fI30VM9elXe1iUTd2mUX384vWeNSgIpD0C6fgBBeEvCPwXagcuWWe9QNTRb4kliU8WpuullRnwbb
2sG2aGmOrWS8HjRcJjpJEo7O2zmtYX4BQRzNrYNS5CTcL+kYo9GDwo1XXIYtxRF+cdXMKO0Cwus2
iteIkSQykrQuN4GVDSudgRT/m0fRIOAv9/pl55CA7xjDyinMrHy/tvYfakYRNUEw2ZAzwLu8qRlB
1gQ8Kcv56xIrk2cak4PU31l0OUuJ3kHP8/7NJd9W1ShTwUn2PVPOcyMCp9dlKt1CqLZVoL76Ae3g
H+XL1Chpp3N0vf90v1/KMCNwZzENI1pTbyqrbpq060R14mvmxWZ/agJPTASFbNbsXe9f67ka+Gv9
2KF0HDrCRytD4AP9tkw5AMMrZzC5XxdRjSQyY1q5zERfeSnLEKCaw1m4ovFTPI61Bzl4M05lF2EH
oJCkvaIKYTob6CKZCg/WWWav/dn7qHu00giRQn/gTEC3fean92//t6ESlIUJbGFnko67tvn8F7zR
0tOAB5rjP6rMWbgPDiiTFnK4kkK9f6m3cw7AtGdzIWN7b9OnejPn6qCrZ8CB6eeioVpwllW9qu4R
KHL7C3dQV+9f7O1zIU0CU4PEKoDjBm3uzWwDWJFkgFqHL1MHjPnBz0OzUeZ5azai9y/lvqY5mW8H
AONFwOIpVIvfNHcSAH8lJhDufT0oJHVjsn2VHBKqDgSGKIgwmBv6QxX/CclvOO0WX8gHYhsfKryx
XCBjIUIw7a52FiXbtrN65lzLEg70NEypQKTweEwWuFgmao6U4fSeTlFgqiqYV/Pbk+WAAsBtz+fV
0cE3hVVwW4kJQhyMv7tTy0ozXR5qXKu8F0DiX1Lu3ow3YyCJeGwWnRdC57HfvFwfYKWsgnG5H6vc
TOS4obKHzcrcEGi+P97CLN9fVpx5p8IPA/qT8A0jYRrOv85Z9JcpQThefBd5zfO1Rp9KA/Z95mQc
IaQR37+0qkp62owCrjamqPDzJ1xxTUBtzShqffK90KT/hE4tG7sLsJMA3Cry0VovhrhNcUXEhbSY
wfeMxBcYCcdEk9mKU9R0+Fknp7hqaq5WmbvEHysmpnw2NZV54aufcxXruZkEttlcGJtXUxKx/NS8
ydxhkc8bFNLNe1d9ZuowPyvO4/PczSkRclDGMUmB2GgHFeTm9P0hjV6/PsOTpPFlu/T3ATEaLunr
Ie14gimy2/hbOYnwU96jfXtw6SYcA5A2HiWxVB2wIJDnGj+aeNd6cX2s3KJ8mJIMlmGNsiY9hgRJ
ORzcEaxMVXcfE+4NN+UyTOk2jSZs6WX+oaIy/Q1lyQGHp97CIIjSZ3A9+XFzntrZcGnrF2vDdCp2
1pCLP1baLtMZBsQ5Zry40ns7kuziAYgkMB1V4uSOaFh/4wWYKhy80hKXoe4nJPl1t6eFVD6ktLzO
ytKlqJa3iuy3QZshB+pffqHJ6J/rBfndzbh2NpyPtg/vXM7GxzbFfApX4iAl4k+G4QT5+/puDsX4
kIGrATZgW16N6rHffoZYOTyVVtvfBt4wfCeVG48YOecHqmoaej/l1QXuhMyszehV01lZY7Q2y4n8
Js3zP8YogBkVxWOB7nbf3KE9QwbpORYgLcvytsDdPnhK219drYYvTrh69+noj9t0CarzIgR47WU6
O39/RrzerJkQdGHYzKAI0wILIQm/nhAN2VLY4d3xxPtabqQbw9wNSiM0F/R2cP/+xV4v6JeLheBK
MFKVoAXFm806Xr2aEFbWT4EdVrTUF/sOpVUXmHxVXE6eMLLjSVN9oKIOofj9a/82858fk9Y2FU42
8bfH9+gPsim8vnrqMEJr8bRvi+VQCXSt/+aYeP6mf29bz0/puS59OsMjFPJtzAWRo3DxUE6fHDT5
po1wOS42DfFBtkMgAQkgt4o/ZsgPtRu79BFSERMuTCdT5gcIeyhQEmBbgus+6OVZbXXhPectRpCk
4eqhqggzoXdU7cZVjvcB1dz6RzWK6AJxmfDD5Gr3D5kT1m2cxrHbbVIk16KC3gzwsApIdgpK184s
yUN7qZ9wiVBU3sb+4CS+/WgvSkCOk+JvuJVvMCsMiQkDXIhvLtgg330bEjhWOCxepNcnbzSDj6Z1
eiKavDwu6/JYo8L9GRbCshvdhBph11vBEWq3X+/enwK+mcyv3kxosE2mfYq3PMf4mwPFKeKKalsa
PiUjdTayT9yrFqzoMeSjqKh2E7yLY1gpXOEgWFcUR5vq2JDmXUJqRF+kDBPrenUS7yhWTZ7Zx/JL
hY68v+0L6zLTdXiBhtcJBBlxR8mgvG4sXhpS6N2it6taqFJiFRVvw1YiaO8SqyK2lP3QQZ5dibDN
TgoKK8cM/9hr3EJKtWviYfyKWc4ITtstPlh1xAERLM58EK4C9Sr6LLmbSwlwNe1sHiBdEM2fFFbT
tHs6NIhCzsRbD1L7RZZq7w+HIlC8oUaH2Oz7g/u6i88rZmyh4BMdB2hxhm854CMVFN57GD91medf
oeaYP8C20HpXdLV95cw1+/L7V3Re48SeL0ls4EoD2Qex8hZD79hu2Vccnd/zNvfOyDKtahOP2jon
r8f9xWYt7bDd7p9aYZcPWKuoiwy47wdrkuLw/r08I49fTy1CTbZPF2dhgGtvsTP9XPlDlCDknSzU
4+hFNfGXBjnIaYfznr/pMP4kIagasPCQ0VK9y7HdOqagx3akFVJiUW9VKdZPQfgpU+VkKiVUnGpr
SC+xQhqOnRDLVYAI12nih4m3wYcC//BBO9hqJC1KtZvegX+OQK/fnqBKC965UNYlTIeJX5hDC3Zn
qm/0MnOcIRHbHpKZ03uLP0NxUdEVIaIU1ZRA6SxrOrCYh+0negQP/kSNg1hkuFUuFpnoGIHn7EO6
y8xEqqvbgCT5RsispkMBAAV5koUyrApKMJ8DrcLLuZUIGTUZjj5bxq9xTunlzv2JHSTuH9iHZZ/G
Gg9XL3Mz41SbY1v3/tt5fcgBZRdAVSTgNLBpLhT+N3kihd3MxViofZRpJEZ9jHWUzw+owZmkHVXT
+W+T4LegLodUETEEFDzAN7mu++aKfTeIKAFR9Nh6qamaqIX0/2bMqDV9TFxpqmixpANBHKv5mVgi
tPtr6i8IqL3/7K/PPbBOPjdh0FW2x1nvvM2RZ6wjplkm4gtdUppZWHPRN484h9lJ3r/S21F2iSh5
WuJurka7/s3uinVqBz8hd76MdRMWl4jWmWZhltM7OsK6M3Xs9y/4Jh/j0QDmcZ6TGoA5pKH9OnZR
ebQSwukekirItXTfi9gUXijTaN5r3BNpO5w1iU7lNix8sqv9+zfwRtWewSVDYf8hS4EbwaO7r++A
vlVaOm1Yf+lSAtp6D7puLfb0YVOZn7wUUqc+NcX6wMOSCR/OF5iO5SvThK8IZsnu5pfBqXLfNJ0B
I2lTGvCkIL9ZMUgnGxjQ942GHdmIFc2bzCkU9aNw9k35btJjMzW7NLYpRRBukE7lOxWOJJMOtE98
kZHFq/N9RFLiqtMMsCvU/6awTAViQAST8oXVuyF9FcOv5J0FbUaeGcLB5+txpmm5rfAFMjTQbCDf
KwrXlHHzSD3XoF3HlO+hOmDlvLGHZGb8oyTvwUq40zKZtm9dABR5f/h/m3AhAjR2AIGLs/L3qT3S
60hx+NCfgcgLquhJq0xTBok3U5P8CaJ5/5KvI1heOMUf+YwaQwgkCt+mpED3tOpQTP4sE4gqAlVK
GRSX1A1Q3r+yB+xQY8wtsRZuD4sTmzK1VVbmbt6/jd8DKsTXJaA5oGtoVv1W1xMundBimYvv0NXs
EI6nzL+C8tB0DTmDeILwaR2MpWxtfdUT0mKgR6e2+rvb+A8nMKwe6gAoDEmPlfh6/oOUGqphDcvv
cRXocfd8wqAfkpYXWRko7EggxcJsGA86gPneogfxOY2gy3Pwrc7d34zJf4hAcMGitkwsBNbyLWJ3
rcZ5apYi/56EdnDbBc7w0S2x+zIyOucE+uMVluPqrPXq6rRchHOpkMOixF6q5cbI8gBIrucJL7lR
/AA53/mbqMuKF8bCX9ZPnNczyAQtAXhXn5gFzDRVsjdDNlWxrmTnjd+penfJPcvVHzAd9jDqHdBx
dIOpoKc0rEG0i3q/+ZGudogoHeJ784kIm+HBxxjhwg7n4h5fwJEOCWHtoc/7kuFOcmRSOtq9Ly/6
vzTUO91+////7/Gpymo0Oai6fFO/sibIiQ0H7a+JFtdF+Zg21Suqxc8/+sm1QHzZY3Mi7RUUkDmp
OKV+UurIu/+FmheozueaDAXG/yWiitB8AlQ5AKDKvvcnn06g5OwjCxZwEfN30T8hWhAHvEqICAuM
tDPwf8D7rkMV9X/YO6/muJVzi/4iuBC6EV4nYWYYhkNSJMUXlCSKyDk18OvvAs+xfUjJh2U/3we7
5LI0AYPQvb+91/5wMjZQHehtMuqj6DSFFpHtuoh2Pivv3LOMiqg8SEqLsH+12AK3aWP3GlkIMH4Z
ix+8AEprKgB/oDLiwNd6zYL8x2Thgqh/nNx0dtE8D2+QwNkujpERZhcdHsuNt8AEaz2O86O5IAbt
BTbYsZW9TN4IhMUCI+SxtnAJJ8MPR1CF4YzrYZcPIwTD4Y1m6OoRqfKuBnE4vOEOp4V86CwMxOQN
h2jZlJ6v8ZW58beh06KnHis2G7qmJMNdtX1qX3ZSj9BwuUlTmtVjt4vUKh9j1xqvKbu3XWfnAoOo
8H61fF3YWw2xrWKiB2WP2mM1asvSGdPjsQB5zUS6NtkGSbpYnTy4pog86GH8ZBxP6qcnblA1OS0C
h5t+YACNYTIw9B/jmAFIBDISyxHEcdHKmZwGo/50jd13icrab7nZ4i1Dq/4I1EbuXAtjI5NKzOuU
wmYaCZqQjj1uFngqyjl5wUM/tTJlQhhOcsNAOBaYG8UQ+maqguaaja520MeiudETFzOhp1krphLN
KqFK+RAxr/FDWZl3mCFoQ7VaGqlwOoxnrEJyZ3vV9A2fZ7ods35pSJ3oWiupQR6WQmTKbiy/bEUO
3KLrfRKBNCdjP6BEmSniwR3U2mGYtsuXmmXLjsITqhF97FGmNsBBKXbvqE9I7LDct7MXnJulsJks
DdVVKaH+Ff1xFbAW+wsWnPBshXV7M0aDc0bUGb5CvVGb0KPjgmy/OnM+lLtpKOOHrFXBTWaW0yMx
FI1xXd8P68Axg81oxM412cjgIaqUBVLZ1k6aCmidxtTo7QansS4DPKO+lizd1IbTpNNDVbswVZbe
ap41xV27UJFXeRCFai3xUuICyBtHrctpng9FY9oUgHVtvu37ojuMtGpB60rDB3rlrAtvdoClGZUc
7xnhtERLqyagLjltslcDp162spyZLXvI032LqWBGHjblTRPP1AGN8j6pnU2b9IKiH0s5l8ZU4TvE
nZAx/8azcOrD0LwwlCr3BFH6VZdM/NY9uYRzlNnFA2P7wme6Wn0ncvho1LSBd0Daj/zSEE8rUgBT
W7lX85Spc8BD/lgI1dCkYc1PvTXn+Q6Dh/kjKYEAa3MB/7qmY/c4ZopGjKT6OXh1sDekXm8jTI/8
gk5yh+m/f8Kqmj1O+CAfrbGL5ZoNRPpYawW2k5QrzNY6Nom0U23JFHY79o8XY5lgJUCb9llc0poO
z/o4qtbDCT2l5N75t9qJkmOemHLGGkcoI77BxqmOSqtUsy5D2ncGCuJXQLJUBoVLo+FFo6+5ZHyz
xtRDdU62rArI6a5DTV9Xsh2PJVgNGDzSfBCglk6d1nyJ5+YuQXN7UbKkiVT3cO6u5Gg5cm0iP9w7
TSIucn0KLlmWI4InbbBx4vBAZMm5WuofuTT69o71fbaRjV7+sHv4t1TPljdW4M3fF8gcexmNmm48
r9UFpY3iSxgJubZruqBXY16znZi98IpoQ/+1A+SFqy9cB4CM1sSj2JgnqjmSW6YpGe/7zwXXw3K/
vqQ/d9wynFWbaOitJ3Bb8R7Ptumu1DhOl6YC3Y1hFXRI15mIlKmIEHBqpe2achGrPd0tz2nSgoyp
OgOjOdP666GNEZayYJkSRPmYqD1oJHVbjgLcThqO1h3+b/c7kjywJ/bBpGoZh3nbABwOHrnAvSyH
Qn7rZVNekA5usHoCqeKv6pa6CQ2W+rC3I1peRqFfsbIy7idDa68dmDIT8AJrxJVCre+qZT9V5kBr
cJ4b7iW5jvK6jVuSz8DR152uftQ8826N0Z4OWMmAC6HB0PAUtAeZVrifaqEgrCxof7dyf1DtIV9L
TbyAxjUvDQe3A/0w+bTKvATLMziwmNXW1agi98qz0vQS2I6dUP/1I9LJCOJ5KWEHqy+l3typegZR
bTQRvmJUZ7SAaBcTnvf1ePbOtdGUW802I4uynLHdh1p0nRG72bHGCzakfo1HQjzCTxBqd1zvPxKK
d25rE1BXVGflPU6TpbW8qY5jktKr3QQyu5Lo+2vZFsNVWejhXhsVREmbbafPkLg8c+bmhL698YZw
cPMCBUgjeFYZGcse4T6EdiCOfELmZXhB16WsZEW8W+Y3IHnkDqdmecAUaa7Z+KjN1OrxpdaEzsou
itLvyDdsRK+6r2ZDYjlzS0QlJ33uWuN7UlfpeubxeDmMeYh/s8WFJdyadnFo5BuVR7TwWKp9Nawh
3fbG1N8l7APRo8YGOpjLAMgtCeU3WnAXD0Z7zTyh84lh1HyKmHp0ZrLGNpnh6q+EmbtsbyPtMPYX
TUzpuSzG77jbs+caFz0qmJu+5GQLttMM2p7b3nPkZj+bNG4PlsbjnuU3HVSSP+HL9VZkTe39EHf6
QQeZvyG2wQSNoTodrlryw0tcglZZpPkdm/mVYMxI2XZmHc02iXdVl9SHngXJFv60t7cgR+8cxcqL
8Sk90WY0XOCKA+aUqQpvjcHmRZ/mbq2we2IWbosfIIjoVRDZfdyHxrqfIns/DhC7YonPeaz2BR24
K73yzB1jrR+1Xp37nv4oojTJWiSzzy1aW02W9mTE7DhIyMS7OJ1ZYZCZ2NKucO1UzdnRW4Z8tT+P
qIo6Q1Ga8opbV+vSY1LO4a7APL1UNtN4HNOzCl/92M5ZuAtEdmXlmnbrtWoEU917e7zu0NKt/Kyl
xc3UxNGuy2E5z6VWrO1sOntDb2zSOM38tqsYi87UO4uwpI4JP7xfUBTATdixTlqnoHt5mnPfCTPe
z0lQrj1p/KwJt2zllOSrGMPlyowryYMsBWpWWP15ZA7wI86ZEFK1CWkaq5WthuJsa4PLw5ia0UH2
BuVtVX9QeePtkyLUmL7M7jHvpnMWy2ciFV/eNgj/v5f6ZC+FQLPoY/95L7UD6RO/vNtK/flv/txK
ufo/eAnyuOQbMRc6f2H6uM4/bAuw/ILoedvVsGf6J54Epo9ueMhlfACduRy7rD+3UwCV2Zaxl38b
BpmUdf0326n3O3tSeTZeGea1TNb5Ixv892LIYg+Z3YoWdNMkJ07HnQcBUZiRdyl6y6MjTTbFJRZK
tqIeU/jNX47Vb3Lh78UwKZdqTcTQJfyJLPWL4lzX4ewNs+I22JvD1plye2vEZkYJR5zv/4e3Qk4H
ncLIB833/RdtLJx1BgMqHiIgLzLTGNkdUIiATav+H74Vh9JDwDf40T9ObWdDpdUkBNB7pWKg/3O9
abqOPY1y+k+E8veS/R8HEF0G4gAeL0t+3AuroetTYkqdz16WGdpkAtbr7VeskZuQFeQat4m2kI/S
NQzg8hMpm3PwL5PJf775st/nLIaS+UE772g/Cayq63wNdyOVPQojpiHqy//2hyMCh/CENc9mZPZx
/tkSX2MBGPR+4wlmMeJtMi1V7QzbpMqL/JMv9V6fX76UxJbHTMzCCAhBZfnSf/GcyXowrchg/xdO
NqmhtPnpWOary4QfHkh+QV7rT/DTf1TXfj2My7CFHbZgLID57IObgdB+gre+7H3YJJJllof7TvfK
7d8fxvdC4x/faxF5GHMCvUDMe/+9RB8YRVqnvW+RLltZmnZJEdqJHRklrXouPxFZf3cU//puH04N
vHZhTTKl991hNPBbxatwoBaerTfkdc/DxZum3//+C5ofdKG3X46Bhi1JLuL3+ngrm6LUdseRy86I
bHESpcgecDUjJ5czdQNsojZ9fesMk7uuM9G+2NjhjpW09n3YlP5AFmrbK6aTzehUP5QiDTHZwluZ
OJvu5oZFFk63tZHW8yc3JuM3v/8y50IUXyT3X844tw2RpTouo3jsRboSxMBonlFy2GqaBcKoNdiz
kHPdWBy9rUmTyDOV7oryRre6doDbE+QLvRNe0/CTa0H+9qNxf16ucMl/PlwMiZcB/5VZB1A62poB
JlxI7IrMlN0xMArbLyq2CCKNtpdt8NIVR1UkDda0HINUjvd5NegFW7GWzfVU6CsLpOsmwGm7wvs8
XYS92aAdz9phZlK0oSaE6i5nSW7RLfrQw3N96AY3IEwa1+uGiu8dgy0GQ0x4tn2pjl3akOzRsn7d
IVBRAiYvIpF+6UeX0kUxYUdjsLVrwGBRW9qdSs+Z93XsoEMIujZhr7DNjSb9UWvqwU8KGtQCOb2m
k3XbuV26IpVFYQpusROvXOz+/mz99QJxuSYXoRzxggjth+euakPZy3H50dvoWksxEcWufjBidd/P
AUvtPjf+60uSd8QxaEsd4fSXSYPXqMH15rTzmyA4GK3YZkb4wyvEZWOBPgbq+fT33/DXZ/tiQmEP
wsTAY+nz4bZGDn9gMth3PmEojD9sgw5hOULbM5tp8/dv9etp6kqCtCbuXeaaOIve39vCXjItGkqe
gu4gL0qtNg4oI84nB/C374J8yjKFSTHH8P275MTV827kAGq4zJpV7XjaHvSwe/P3X+aDQ2S5U/Nt
XAOTOJHJZRT+/n1SMMaGjfvAV8ooN1Ctk52tcmoXWgJ4gsgqSwpOfObZIMrdRyixfinS+LPbEiOD
D093ahQJ/iygC2YBHx1hdV2KOR6c1he0w21HEN07OM3dTqB6uVQAz4J9tPK2yEA/s3J0btMuGRFf
9eEqn2frCA/8swmi+dvP5DgLcQZmCJvW94cmFGRSgshq/SLsiwO+o62nI1bPVNNdB3SdrSOnr75m
gIrXGbyCU1/F02L1QL13EW2dIvuZGWq4ThFb53l8pvDJXNdxV91NBXJxhZ63x2s1Hospu6Y/7rPF
xe+/gMeQFfqM4PpfnmF/WV0EBhG3yR05qChIYeNUOzIe4ZeIu9i6qp1kE7SGvs4du+OJ1eRHvLvf
3Ni5bxvbO/RVEIBeaIYtgo13Lgnb4TKef84yKI6WS8sxNOEJGTLReFZ02Q5sePXJI+HDEPePs5MN
y7++wYezc+wyPnA5wRTUkvAYzF5x7KTCnaORgI8bbvI9lMEk0Q9WCQGvrWjo+/sLxPrtWYAXDgcy
pjjn4+Xukvgiwdm3fqJFiOt95srvLKtuHNEC6vT0lzIb1CPDo+gHUZyuHwjqliZcPitCzgnbnam3
sAJs4axGiOI5AwZk1Ig39OEZLppDaPycCsPgVuncOfRnS0KMG1vzHisXEoUxSP1Sk6R95rL85gz6
nT3xRqEwoFuPXis/Oea/Lt1cm90gUEoGa0SsPxxy8DxOGtAW79coz0XgO0OSbbSZ0kH6ra1P1om/
uW0zh2Zj+IYcYjD9/gxts5QBGDcdvwqLV49aEp7aYA4FRPhP3ml5pX+7z97OpIUuxChPiGXg/+Fi
roOwr5xAciY14X0KyOmRcPeCXcVJQhwuBc6s25p7JMb7mevnN09fW1+GkZbFg4mF9/sv2YE/M4ME
xah3pq90otwop77VRfCaOd13trz2Jw+ot7XnL9+VcRCZHzbc9sd7ujdorYohdPhsw4vb3mLdMwXW
ZiqAfVrD/BMW+H0ZM0gKp4rFDUCH9dCGDSWmnyWdfnsySVvwZMF9SD3M+68e990go4Hrd3TLbqNX
DkxOyhxWWlyiukaf4bl+89Ck3heUsUcrr/6L98SGIRUC6eVHnhrlA3UM1jOa+Cd7xN8eX7Ry3JzL
4X0bSv/1vpq0Rlgaomp99sjNmlFdRGlrgkExoG51xBO0DgfR44ivgWIGYb5GDchogNAu5tn+7B75
66Ycnw27QjblBDR+MViNUy8pUEv5MANd47TAAN9u5qtpILEXkrhaV21e+JHTmasy7fVPLqsPOK0/
ritWQxxs1u1kXz7cLrpwAP9Z6I0PMyD6Dg9Qk6uxCbtTGxuSDhW7tHFq9bzASps84gUDwxm5gcDM
SCiviTquoceNV0NkUalugrQw1jKU7cvf38Z/c6NxqXdmHA2owMB/+v5EjDSXBBK5Kx+MXLPrBbB6
0YK3YC0ff3JIfvNW+G0xHzF3o1Dso/YTJ0Zb1dD7/W4O8lcBm+Y8F1HerDRb/x++1uKtWyxeXMu/
3NWqopq7yhW1T9Nyc0butXfl5AQXZP5REf8lNP5GPPvNTYx3QhZhifhmZH5/AJnTh0nZ804xdN9N
AFb4Lg9rc8vTDZiIygUlj9H0ycP3t4eS/bXALmyQq/rwq5ETLjp4OLVP8cKwzqXC2Jfk5qbRSUT8
/fcDes43+HDXZKWhAxwHOW5xx3r/Dd1UlH1IFNi3BRnzHUiwjqasSIwztIygwLHctOaGfEAHY8ga
Rm3HzrFX21k5qPe5K7m4YguN8RC0U/ZgUuGMW7lgirsB/W9TzxjU0TeaN7Wr1HJlu8MZyZS1LZZK
04KvZK0du6SOxhvkaOxGS7cApZFy9mPKIGYgAk1E8CGNjHu7N6llyYQim5QYubK3FEFH5pPHlB5Q
WIJYEq4qdjDRhYrwfG6aOG2iL21WGtMhI00gfdpNcrHV9Mo45rNSmo/ZY2ivZV707pXo+ik42y2t
JDv+tzZSHdG0qSK046XFpkgHEV65TrHUaEpSChAl6uxu0BhLHptCK/dGQzpsNYWN2ay8KH7IcYKI
leqhqB3orAyrtduXZbojvz6F27yi5OcyGdhOxmtsEyOzjnb0GHMNclKbcqAw5yLXoGWgO+SVualy
rDerIXZd85tDLwOo9KBTzMsYRt5Vko4SHwBoMt2MgTPcFbFoOhLmNZECnclnuO2nIeyxWEdqV7vK
i3eCntBqBS1+ntdtm3h+gT+j3GbBEkzRNdMDNdZK90vCIJEIWF5a61ZEAzhhGpD2uduf0Xl3/SCr
x6Ays6dMc/XbrrCxtuQMerUpybZW7Z16/IdF3e5U5BS3AbOyQUR0zFAa45uCKVLqpfku7IejBUuH
KXn7LUlt+md7HBh9oiziONaLsLRxO9CdwWdoHJ/RoL71RGz7wpuBpoyCdCdE7IuWIszvTkfZg+in
hOzs8G2usdQPlsKnQlmnjLMHPFZbmwrpG+nlzdbQi/gGhP2M0yc2Ltw8i64s3Dc+u4WYyXHwoGZL
+sAAzzGh0hVFLcEh8ES6Vknas6iA2ZzxlNi0rTOf00wd6k7gcAZ1x3+lpxR1CXt9c0yVMjezntZb
RUx9lUTBQD0i3dSjhUuGX/YmcMVtrkWKLI4b7aAP0UcMinkTEODxyQLrt0GYVc/wnPTLInLcDbZT
0kF617zaWl2sQRBVGxfB2geaLQ9k4aEDFIE6WHpsHtrJATutMN9SYBjLytilcnrK9b4GqhfsHSnu
4n56onun2I6Mf1dNHzzlthbCu01z9zD0DhWsWk23kNTuaSEIji3cqQ1+HHerJ0Ljd6jnFRyPeROx
b7iNG224qUFE3rY9pc2j1V52U+Awx6QuaNKKn23NcBL3crzHMUq1FhP6V9F2PR1YmLvSTcpEdZ4A
VtQFDZMMbfWGUp8y9jogIm40r0xOnscctIraODX7CB6m3CSSsB+/witPr2sCJsgj9Mm6qXHQMT9T
tNTBOzFm94I/lFvFBbGFBiGn9tKdxnBsv05R47T1ajIDMaabGd7AV82wdnoSUnOlUUxT+Y5mlj+A
EqTV3kozs9/kbuMMq6mkjvNS02yCcilsKmIT0yC1I/Ks3iLS1vQKNRwp6saLjKhoPtyDv1U3JtnR
+yAv0vgwJnazlRR6EY4x3R1UnXEGiIMYF8Ep+27rAetJ9N1q68x6dlHxkP3RkTGxtxlQsnUyytiC
Od/ad2JIg1cPcb9ntm1TUlKBkcNq7qovzJny16Zq6Eqf8tZ4pmGp2bBFkyevMKuvVD6NGxqOJr9j
xXLv0u39dWh5nQnfCQ1WZn1kVEsWBcrBwRRW+4gKt8Dj8QMunXicCZHl1U8RxW0/6kqkOxhO9ZNT
M6NNaIfIDmAb0l086e0jYGZq55xyHDd2IHO4eXPLxZGZmqTjRqSb0LblOmHBdYDFQ983EvKWXanX
7FL2Tfk+r6g8XHVxODwA6Vq6tWRsMMcNxyBel7qovXWO4ZGm+yhbzkFtPIbgsUBlRRlxmaanHY7D
qT3QyMRXdJbq0AvAQXxUOx0eBlP141UYBOEpdmvio8DnrsrOdS9FJHhVi3yW0GMbI4sp5xUrEZhb
VRSdkrGtnpHuzC3CmTyFWBLtbVHm824mgLwDCylyH19weMqyanBwFEXyxEVUc1Hx6yLC18cUlPGJ
zGD1vYG0ehZzY9y3Mcc7xp3vEzabfDfioGqNmC40Ts1zJZvqu1x2mAA+52ogZ5UQM2DFt6c3nZfV
aN40GlEfK8ikl/PQVt+7qWqeyIiZ0Omd+gfmECxG2LU5rLQJBccQNcLvcam9eGMrTwIAD3TQ0gtP
igaRivVunk8vlJMJ+PmVOWIYXVmjEUyXBo/laoMLPVxrkVvXsN+jpOAO1QftCpqWcV8ZkzzFsgy+
VPj9IJD05bMd2mRhl67olUnpobEaXBaRsrfMbdi59XFq9GAT0gR30VCZvCfbrL64WsJ9MVw8SxX/
utK18NTD2Yf36UpW4AXdFidh1dmhIe4XrDoPEWcTp2NwjDA8xqtg8Fx66Ufidclclf1q5jpHxira
x2lCtAY/3r6QsJLrIJiyg9F0y1neR1XPzMWUd3EeDQ8CW6OzJpNRHzOpp7du11TfLDJddxp8m2wF
ayU6TXZeGGBmiuYpq2d149pt/6BXKr2Nl5/bpDH+UiZGcFuLgTdKtWkHaRtbBYuM6CQgTty7CZkt
PdSmV30uY19TVIGR+nODW7rLxKHGmHFpWyOvWM7pLUt29YXodPsyj3S0HWdKYKItubLp1amQ+dZB
HwFXQ29pcZgC78OEoZUU2WENybEyaXZwS16Js7vq23o65MNALj7qOZNmrW649dqCM417VnTK0qQ0
1rmBX02zEkTcAUoYUmrrRsPBtkoX523bvZZwP2i11Uli1/lYv2plYjyIkG6lYWyNn/aQwC7j0qvP
3C3m19JMqmZtm7j51k0i+590O83ksweaNrSq4rDYPMlbXx9To1ktBIr7GZP/rdfp3M0ce/iJe60+
wz9bPDZmdd0NU/VVJUF9Njo3PAV2Hfud17u4wV06E9to6YYiVnAo4Hc+1qBa9HOjuS33eMxR8gDj
k4NH+vCKPXGwq+DAcxMjk4Fu2lk9A2HLfZ5bt7sO8ir0hywb9gJE1aHmsXlpNSLtV+T14hsyvAvq
S7Rfmmqgrm2OXjuCnviQq6raBENlfcdrLXeionyuEpTqmZai8mKwbN/geK2YaAK+wsIOpMbKp1s4
VuqGRQhWF5EED2YWinWmlXf4g68Gh1ui0vWYvUzTbEa6Ma9r9B+9j4ZjklcNb5vaJ32kXC6ilsu3
rZnxuh5rV8rWqhPh2+DODszy4CmcRtx08xn2LsPGGh/nQcbdcZimDEZbP1zp4dhcFqFTHMOomFYs
9VkCLuFEJNRvHqi2A8BBdZuWg/UCLPRYx7rBLY2a5dlq621hG/BCO3GhVCIeWW/rlNmq8rs3LnOm
sttFKMuHOijx0tYRC9KBINWjC4TnVi+iEQNVtbfLrN54I6Xuq7gu9+44f0P/y7+mORg1njkcJFMT
ITd6djhrZ5qwgSVp2h5STccPGmh0QOei2rWU6F1ERl9tWKGOWNJS3beSpL3ra83mVueFt33Lm/Qy
cG56TKEgd61pxaZUfPOIAj3YbZft49h5UFQ4+cilEetAlnKrfKnfKOMxuoph1JK6NA8BZS/fIz0Y
8UxrMPtMY94AkrQ248DF2FZRtxpTpMJwmuwLFhfiMRHSL6Qqd1xO3IDLhN1paNee72We9zoA8ntU
FUQlL4covwlzcY8BOoEq64kdYF15kQdt9kAYwDlPA7+SHFpV7xzWhfjoG+qjlap+zoyaTChtXXxd
J5wGcNPDmHqaouK2Vk3RSuQJ8NQqaWj8xA06YwDsHZsFvQiTbwku6GM4FvsurbNkJYVGBUyizrNO
1JN2zx2X4o4WtoSFmqSTOnD661zI4AtcJ5YZYoBO6egJbTZdfOvqzbxJc8u9aCfqXwIyfpGk6yC1
GnmCPliW62j0DIYW2XyYpnK4sikRKFijaSkXHJmDKlQJRnErKldUYi41iWQF6ajREi4jZmjDFYTr
5Gkh+fj0ABQ8clTJE2uukDT6WAOJEFj15YSYza7OGTAW902SHj3IULc0IhybxFH7YICS7bbpApsq
L9qCgthWlBnD0bFbQd3q6NVKMNm1yd5QmvfkMTNln/OtgYO8ziM5r2vy5Us5c+SuhqEznmicbA6l
6Xw3Zvtn0JT1MyvW7Jn4QslNq9W+OBnlrBDFwi1Jv/w82axYsqkxGHpjbIO6CYWb5ZDaA4Mf4qNm
4cTdDDj7nL2DOZhnjLDLkzYCCFgVk1OekG9KzJ9uEpaMATJuQjgIk+c8T4qzWbv52Y7RkUkxcAOF
/NK9ZK2pfy/aJHqpA3o61qbGC9a4AI4SIObdJOgAempY8fC7xWxyaOvDnztotnXIKpcniqeqrzwt
0c7mzMCbHCJIHsogNu9ZH7MzTfNIHMNUtS95SvF527eICO3U56+pWNLk7dwFzyCIje/pW01gKSjW
bGsVPJspUYi1CGLNW1fwx180WZENN4mjUcyTyuIug0vOjwQavNw5YUcQX3gjikavosUbDkSWGHNB
tW5k95SrEtgNniFp8G+8SmUNWEkvlRtRwMzFaTh16WZo+ZTURWKXAo5u8q2EqXjTJBZFexHPsmPf
qBeDEa3HaozDHYtXXnnWYHQdxIj8uImEN2m+Ni1LgI4JKV32Kvcuk0gnsm03OYtWQJz8StrMo26d
qT4gXjMAdwjJIaoVHa/5q9n3vGtfWxTGj4QZn/84mHLQMNrCATHi9dzqONMcY4biyn6i9C1PAlir
QWau0YI49JAcijuJf6zws5gM+OIsiNlgpird0z8xeyezlgqApJwBqzRdeSdxHYObEMxbcdHXfD9o
iughTaWnyUWLi2Egy4Px48obuuF1sNFGV70Jh+7K1ozoPp0G0y96indzw3POqUNmYF1Vrn4/gnea
9goZPjiJni+9Nwedz8iqnE+N65wfz55UoTH/KyXQZp3cxQrtn5A9ugxHcdAIhHKTMNuXmN1LjE2f
FfFE9PVnTKdz5ns9gW0WvvQd0cAam2qd0RjDepefc94X6H/HEewn4ZyyY0UnI1ElB91uEFEaZisJ
N5dYwtwosOLzb4H7KqI7Ojn2BZiTr80ZruspGix9XS9LyMwpTGgSeAO/GIlubvFv60dm0vDUYXmc
89BVl3iZ4od5jsYvI5mdP8Zg/+9B/cyDauLv+4t0+kuvpP+zbML4vQf1j3/zbw/qUj8H/QqKEsOR
BVr1Z5zPlf+w8YNxaePxWfyK/F//9KCi/f7pObV0upIcOnNI8cEVd83/ynJK6+Q7XZctDzUfvJiO
hIx6bS8i81+m4J5Z0nlcutke3sDXkYYjsnrchxgSPkE8uGsGbV8suo+bG08saYxd70y7FmmoWzQi
VvXmwRrz6dAuChLlQPLgLapSM+nVxlmUpm7wmtcpwAVZLjoUKXQGtos2xUhZv9Xe9KpFubKAM+Ot
iuMdlFe17UPnlsI992ac403qdvkFULiRVwMma4Hi3LaaaW4AdTZHRK0FS3kitA/6aVHUEqS1ZtHY
ZBvITemMztqYxv7ejD0aIxdVLlr0OYFQNy6KXduFj7bI45W5qHnOout1i8KXLFqfvqh+ht0itixK
IEv5rUAa7JEI+0UrnBbVMEc+LKmcxhE1jJtm0RbjRWVMF73RWpTHKqtZIixqJOhSxx8XhXIUqCRU
2L3Aa7Z2YtEx40XRZFHzzWQFuch0R54UlBPHCJUkNsBxdlQN8KsC+EYlzZFLu7fYtnYKFh2112q1
ryw0OeWUxq236K3dorziy9nl3niejS6/TXG9ELF2m36VMNFO2dhlV01lhePWdAfuMkWdPvXsGM8M
6sXBaiHKWRbgylUVDs1dbRGcMIUhL0Q68UzTckl6nl4P7jpVfN2U2fhEjhEZQNreg8otOKqklRBu
SlSvaPBoYiahdajxC5ydkcx/kVksJDJzkPvOcquvTpzwhEqcIXso0kJeyAylH16LcS2Ktye+kSGQ
h3rVXCIWuRtQMQYHzzN7iA09+kFrVgWlh0FAY2OpF8dam1ml1oArSFLSZU9heZnH1zrKHqwyC8T/
6CTPjsn6YqMCUAzMjIKHxOQR7loBuM48Lu+MtDSuLVuVF2J5ArDcTZ4rYJHxCjg2jyyiEMYuT+Cu
dEvsaJJDfN3T2V2s+lAo2qcXnOoIacDqRqbrEvvnpqld8a3WrexhQub63vSOddAsq0/WIXnjPYZI
/k40KGDawF0RpqlOBqtn3KMVYfLreEk8E4TnYfFON2bIqSn7YEr3sh348vUUTrdOpvMZc9jit/jH
WWGW0k7X1sTvULkZL0ivYlRv6XwtaPTOp43q8uprxPXnxzD8FgskO95Axa1NCXyXPVRGEV9PNUJB
TA2sb/RW9ZOGBnUT9LCH3j5ZgjvX3RHP4OUzsD9nArhIBLKRAIWDyD0LtUhjWpdT0MZCrZBFf98m
YlyXNnXIoGj54m8bVWa43RdH5fzFLEjMgxz+QFmU01anScNPRpE8v51pdGfybjN2N5peJvYrMTQ1
+gC88jRWC8SKxRkaJwLLA8s183EsljlGlwvn3MhQHMo0ULcGa7pN07ArMcOeXoxq4Efte1EcNYrk
IIkHI4jAMe9eOieKrwsCWyfXsKeLOjDM24As7O1YLy0XnJHECD0ZPHsmOtko8wh5KVC80ODyjs4E
iS4LI+2OKobBn21WvXXIbqykmZFcML8WsdXyDgAJGbg2DQpqOXBhrsuEI/d/7J3ZcuTYlWx/6KIM
BzNegUDMESSDyfEFxiET83AwA1/fCylVX3V1m2R614NKZVbFyiCJ4ezt7stn6tTOQrZG6FkORaUs
1/nP9yuK1qb3zFsW/oIG9Oaw8vM1WSV+my7Xtoyvg5zvwXP/GCRn9cGs3ksa2iMIDGTWLlrXM9dH
9/GaR8ypoQCR/ssc3RM4EbannIhLzb5Nrc70EO86a3mOmtbamOrknC0W/CyPSXq3CjmwGZyQVla3
jvdY72mrr5qOHuvG6eepBfRytQae4Zlwoo1l17ovbNyPxG2uELM240RvQVgd9dIO7wXx8jsxaZR2
VxFqzehY8c6qstRz3MEgYpqxVEFX3g8DHZ2dk8l4o1CiXpKlHaT2U5ZgXWWc1Kd0WWnQWgFDSDO/
GtHtS8d84DWZ+xlpRs6lUfimRNorRQtfgFEKzn1tsSV23OGGKTECFzrwJfJKSAiNNvi1ZVWPvW4Y
pI/T5bsYyG8u6G+r74DA1vRYpn19dO2MRUBHeMxc+AUnlthOsg+9dJwzMh3iyZo5tHNoPWTTXBxU
QDD7kYfwRnX6OpjKDB6J2zOOLnReVNWbVHsUQwCd5zlT7WPDhY96YakbcwjfVFFIH4ST14v5lz7X
tzpx7J+Jxg6Mdnv13WZptxFZ9qPD0Pgxk+UNuNdbL9Gl46t9iQDBovtINbQBTHxZeB7oQ76P0kXn
8OqQdF/YLrnhoyza73juwkClnOiKmDoS4oiQYmAZaoThoG73wTJo5bkS1pWUevbAZdUEqhWKexBo
RjBqwH446yrpPiuzemO0ygAsXqt/tgDLAuo4DnNBB6Ne1x89pbwb6VC6kIrhVYU97asVb3uXWQIj
aP9FNONNxvpOnWX4NIoab72eDZ7JfhMcDspyY5hPIe5n3+I2ZLIqo1eg5a1ftvqmw65wHh0GYg4J
zjcwpOFGn5d4yma5niEAHqEoWvNxBBLDRlILHcophvQptXuGZrLqP1uCyT/Zl+VHtylsr4yI7FaD
wkrCMsZt1vK1UaGTE+zUqx2m1QONfdiMYsnJSl+dIXXjXOuhHt9LKhPeSZ/pV6sjK2JywvIai+R4
zl3Ek7xL2B7HpQkOAL3NXUFa0XlAKhHHVgvF5MFHsa6aK/utE0kCvewunztrUu4sQODUcLMw5ZdY
qVCOIiUY4Jie8VoZXDFlGHmU2dXk8paR1+DUV9fKEfbRQOcPQmkWQdjK8NnFq3ljv5SkAc0SEL86
t1SuXeSYB04K2U6olQySKQ994v6VEcTN9KssNO1OQJp9Gptk3NexLV8s2SHL8izcMBYy29pjC16a
9kv8Voes4BTGFlk5qhUPsFpocl/hU/PrpkvReuYQ3Us4fKwcG4SRf9ot6f62Cce7zFLUSxOWzTbX
q2YnCUf6/ZiFPmeGy4Qqj4F1F2kRc7CzvKVNU9WbFEY5Cqxs/EWQxU9Agm4LQ6WkvMmMHY05lwkK
3q5B0vJIQetbM2+H+yXjjJcNNAJV1uDczSNqv0zbEb0yU970zr0CqWx/jjaN7NKau61LQ8C2z4kk
w94FQdEkyQZQA7c4pvpVw7jxBq3uIKkjGaz55FYdTYL+024ap2jT6svjbOn2dUo04SEwpTsckjuL
EdPPBQHXoYp+Qgzc6R2vvAHQejDQSRpMVIsc17ir3xMmP4wyPCeRvBmhaW7s0EkPFHhMpzDFvYq0
QZOCCFjr3tyMp6s42T1FnGvOZyVW7TIi2oATrFTSMty3I7SAdgQNAddViXglRFJl2nXVaGZRQOPS
dJg4/y5nk6NK5qdRkZnB3KYD3PlaY80HdjjNPd7bIE0Li5oor40GAPJx5qBEeJYeVtp+hTgwSz8o
hOW3RemuK59+fAztZQnEvLTXKDUrarpN48Ji4VUuehIstXVLXLoM0qWjjBrVcpO7Znon7dr8bKeK
RjetXD5FK7rLWNgKierhZxPNiHGmNlycYaADxGFRZxBuX0f39p5Fj3Zm4SJvEUeVAIor7kHFfifq
ttYt9OnH2EUzakgDTwEM8LFQEsuLUrD9mWyhVAzJ5IfsF3hV1jl5DiPZqY77A8D95JmZcVp0Dtqs
Bb5tbRw8eDzN1RLgJivjK6ZTkJ184h7nCCZKkIr10B+xQvlUWRZ+gylLz+NYtpzjWzCTVoK4n7qP
KqEa1ZOcZRS08i47LAsVdhwSjPlsoL4/1LTkvuSNml/auPhiAAVRX2myZ4nRrTuaMqw2SRl/yaLg
ra/I4tserPWZBcR+C5Rz2DbUSbxxfLECDeXh1gEh8DkD3XSqbe/0lGIvT2gkmVXDlRt7XrjTwPY9
Wz25aoDF5XnJB4fAydwRHy8lHATgyfEnhhA18sI0mbaFiHkVqG6D4sRoWHEOyF3n24lUHhxDZIob
WoMDEdCu38gMl59LjAjLel43FB75NoSQHl7Jj3KV881V2A9Xib/lwRg4Yjkkq/xfr0aAarUEJKs5
QKw2Aeu3Y8AsY+pV0nSsWHNWXEIRh5L0t7ugXI0GLO1W0wEd5789CJyeV0sCVRGrQUFfzQpsiYZf
8WpgsFcrQ7OaGibcDdlqc2hXwwNb9XPWkESuI8wQVCQN99FqkNBXq0S2miaW1T5hrkYK2uaSTbqa
K/hgTwx+ACJcWCVKigUj/+3G+L3K+M/W519tfVYC5D/b+hy+gTj9I/cJg+P6FX/f+QhBhJhkL9le
A8Qhm8b/3vkAdvpDW6sJiQNajs325e8bH8MldawyyGkgEU2iLiyD/r4BMsQfLuw2DNu6aUKvV/V/
awVk/MW8SASJXDMfiyAHoUf9rwjnTISyN+3QurKXVA5RCAP9VKJx4Z5wEN3tyFuRxDrDJl2R+eNC
Rt79JCX6M8bz/mjYmW76otJ/WJaYXjJbSU64YUHf5JqDYFKXllOg8oBP3iic+bob8lAkGcUoFHpS
SxkqXjkkMI5OmZu0O07waXq1iT0zMsnc2SJBlweoZxgA0176AJ2iTVmATiC2Y25x6mlakLr9A/SN
DvaQOobnnOPiue21bjdbgzxqlKR9L3C8DbhU34bbqm+Q9O2dWif1e1Nkqs/ZxkJ0bj/0JhV8v+x+
U6IITXxa5njaq3Vl0AHoKNcyVUJkbHvYxnRFNqHfuBobEcwgvSgG6p9ybnMtGdM7JY61l2Ge1vB2
vSFNRndbEqu3mejQretlucGR/JKbifs0mdN8B3pe39Wa+zJNjhUMKh07+lA8GKki90bfaNemKJpD
zzLCV9MkOdNoOx5MK04utK59uJ1kxMLxGpi4Gk6yyNxdXinDZ5vZ4WEOTX2blSL/SUNvEyypI36u
mVtJK2JT7V0t+dkTAAxQpaZXaqbB/UVJGvG+cCg2KXLnXdN6ohc2RJzJqV6KpACzwx9dyhp/azwO
OPcVM+DgVwXkn2zfrO2i9OyxZKzImYmEpydu8WgvE4ECdLj6sF6RT3JorS16JmoMG6hszyZDJl5s
Q+PIq8HelArv352Khj1jEwW34VmZiG5GJrJ74FTLHbwd1Y8Xks6xrimMMOpk8qfoFSsy29jBn8X+
SAF18jhabX42MVOeYw5PF0J5ZLnicLwHpdNsy7advjo61qiZUvXO7zOl/gV1Nu1h3xpiV9jpeOaI
luwn2r/OoGhY6U3WGNGllpNwqtGViSqXkQd1zD4Jtg0VcCBbvbLoA3TbuEvuNVR7lT5Fs64XOVg5
9GkmMYXSouFQyiTvCtVONloU0woQa7iaFLrmvarQ3NNQFIzzXQ3/moG2alZi0jmRfChbWjX4jLl9
ingvFt4ABuRXxe4ucBwYIVRuWufGVL5p3yYQFAOSp2YnQoxulFHzpgUDvo43iV5C1X1hIUXRVGOf
6pClZ+Egu+XEyD4HS+Rbjdn9K5PhclymAla/NcTWbmw4BDBGj69uZej3CnAmkhJ02Pcdvh+/zMb5
VI2K0fkOe+ajY9H+SlGjEgczNt17rIRVsEjezJZFcqmbdNyHyG83iuDNHYSf/hm3U4WfssQ/DdlX
YUiOkpNSI5ubhesUvuPyLVmU3aE+5i4sRHvElNQMcyCWIeV4Fc5BAqH3aZjkBJdYim1sUr8Ru7DC
MeeEF6rsmnvLkhsROs2PBF7ZzdX7fVPqy93IiYGaFfto9tzWbJa16ZCEBYf70arusVsrWDBFO0Hc
cubHrM3rS9EO2g+NdpR3jApyo1gM7/3YjAdnTuLwAC/HfpxSqfkuI4M+1eqFcycjdDU+RIZszjM4
ap+Hp3rFTrBic0qIP0VCpaYq3U2kj+phkQI6vGlda0OWB+zf2qFoewqZRVv4KO0ajRphtGvICW/C
pP6h2PWM45hqwkeGrPlnoda1vyj2vAd9YjzYIIkSfotskZhAYl8kZrbDP1dv6PPG4qst3SmJ++mp
zFVjK+sy8i1nsC4qqhmLXR5ELkm9TYhl5U2v1Hg/41L2lSknkmh0s8K+xLTeeAkueLBc5adIpQIs
ClQRue7+Vxoq1dWgpvPWQkLDvFJ4HKLUj2gpokCKPN9o1TCQX2+Vxq/xib9pS9SdmyK/tWxFj7Fr
lb7eNPUJE0t3v5RMASM9c/eqSNy7Nm5AZ3d9uARGZDW7wmCS5ITqbNrMGTa9HRs/o3WzM9rTV88m
zc94ZuZemI2x32AIOFMZKr2qNseXGju0b4h6uZFvd1lPVtYbERruDd2qMbs62LCSbLqUca/wwIrw
sJiJ8Z7lA3YFWyZXEZblblEr8QG4yGDPujwxPoS+Ns7a3hwsEKuqEmISo2UHb9riHAo3v9EReuD0
oHpuAzYZzg4VUeS2TRci2PAw1ln0okwmSZq+aAG1lvF9mrcA5hUZjc9qZMmjq0v7GDkx4B0uR3fP
cxOLSKeeW3hkt2Xp73tKAzyZ4xTFz5cBfer7H+msFasl1eOWSHalKzCLLVF8cB3llrE9ZlZuYO3o
ehj5mMSdfTJZEJGcLg8wgRa+6oRnZN1sV+FcO6yrUVZCmIrGGoMTN1S87QtcaVHXp57GgIjHNizO
EQwvXkXh+BEnKizyQbVOy9DaX8LO88+mrZWr2TYPrV6Yj5jan9TZIGTuhpLBR4dn1ynLzuntPpCm
PTy1Rdwf8fJ8pEvaHeKUBJDMkpUywI4cjD8m2UmJ2mPCHIewExm3lnbN+2W1kGK7NQcClA8YqLQ3
7G7jGTsHPHRWu8OLSBJlny+DeS7qJD1qibmt9FT6BL3YPhjPkzIanopLPEhKPfTsaMh/uE5U73q8
iXcYVIQ/tXQWqzL86SAS+Gxw4x37LWYuNg/7lhj/OTaM8VSbWfQ6uJQ42C2k5nrBrWRY5vKLYMGP
uABSqWWp/ZiFfIQOtrPP58MukuqXgadqUMfiPWwZG4rKwG5aV+ecVBFOrelMRabxlMsMgQRXZmAo
zbCDK+BukykL35t+nsgcJ807UwojrAs0uhq04WCPab/NrfZ9FDxXXIpc4WAN4AWYGvM+/lB6E9Vi
BplgO+lydF0yCBn0zqk72RUBdeIwxXA1cnJuZD1x4ah2/pQqVvnIoSo7ldLhVW9S1+0lY+akd1Ag
xQ4IQH3FpbYtLH3tPVWbCw5SAheTqezi1Ci2aqxFZxt7f9Boab+PmBrZ1GGUvmehNR1iI2ft6vTN
Zk5TE/VtfG8Fz1q8vTDvGe+XuxoVyM/MRhyrpSm3pjNOH70TQuZsJS7TMGst08vySNLIhv6xoSdv
+gJNXb9bJGxVjrkfReSGGz7IL4BScpuyp6j8mfbSw9yqjl+kmbKPliazfFtmReoJIysv9aShx2SG
hQW4kLGP1+wb552GQ2ShdK+wMAfA/US+ydI7zr1+l6j5dsRWsVXDmjfoGIrjwnOAPSenzdhxVOqj
FfWXQyjO6+Z88PoOWaOyuiggBdN4HD2agITpg4k3HT64OrP6CdtV+tPwJvCrfid5Gu3hq4aBXfZ1
6yFDZEhqfeujWbQbCbjTIHof2q/Qyxt3K3p7zTGoD3bNC8lDiUixpnfia6rt/I4YDQ+EQctRfzL6
cEvgkuLRmcI+BUQxOHH1lfTFgPpZlLlb/LAnyvKMY2g6SXbqJsetfozzwE8NK8+kKLPnlpyUvbTB
oa8jHQp78EsMFxss8Zm9meOI1p0uTDtixvP0s8Zq/T26fELOCOYrX1O9Kzi/t7M21AcWiVPjiYEs
OgbU5NgPjrzImn+7aq3qTefO07O52fInkk9yWWD0rIh2CYSMyovqqfxuQlVcqPpwDhY+PO5ghrmr
3Vs/FkzZnkT1+jbyugWTai/1CUYGCEX4cremkCuotGhQl+riQR3jGNdJNbOEjcd+b+Sdsz4N5g2n
Pm1TGRxhtLEtMCAn2d5qciPAyaWd1LLFS6aCPUxwFAYIQtPGtOZibRLjz1OzugIQMhgvLaahiaxK
zYK6FYq2IgYzejzH9DaSu/IT2pTfRjO8i1IgJhTMuNMjIlq0GdIoCf2uX9QLdFDNpwy+3TSUkKG1
whvucQ/Vzp3DWxgRHG0DmxneXq+ty+I4FWn6I3Ly7q3j6MnM1A7XuVyix8Jc2q2z/rBpmU53itsx
fZlaAYcjhNSLhWoaAquv1cOctvIxDAtKSujTTnc9wtoha5vy1kUusRMp5DOkfPEq8O++llX0HNIw
cTY0vFJIOKqy17UaC3bpshHqB/Vku0X9iJe9LTdhSIXuBeuW8VDG8sNeGsSdepkiorixuvgOGRda
YpfIwEWLgwq64Zy/pCoylpOO4c7RXDCJcy+0HaNQ98QCZ/xeW9b8Gk8j5qWohq0Zldu0YXm0oct2
YZvfmez0JW7gjvZtbQPRZfxcOPVx4lfM1qPTeL6XtpPFm9LNk1sT4Z5V5YKSiOdZC1pHEYFmE6hD
SU8O8bKkZ9LEyaHQXfuKu48BdrK4mFTlE3ji8hRHbHo9S9CA6SEKVYFqZpBseVRoXPkj0M/UXu6U
uUJlAG+An3TIb+V6TtIXrqtmQWoRUgU0oFFOVnPy9RM2q/syDQVmWFK/zJ/rQVaYzdnUOVzjhV49
bgt+hVmONo478onytepGp7gTEEB1oigWw5gUvAUICrSx4/exxbob46e1fCtoNeO9cFGHLCja/AcH
ZX7pyqmefiyjgvDrKR0Db3ffq61ua7BaIPDXnqs303jiR9I4BGMiGSM5t6JCp/l/hTG08Uqrvi7R
tAsVW/7I82J6/of1z/+RB/0LpZ3xQYUEZkJd4VTGdsf8SzazBg2Z5roYr5CdqMt0KVkR2sBvpDgo
hBjD6F0r9N2Qakc9M7eK0WzNWASOHV7qfqEftgv4VnfukhLLSHb//MP9JTf6t89mAfIi6g+l5a8k
oUIMNOqE2nit6wZeI2fFcJ8M/6JX8f/6Q3AUEbpmn6vaf/0BmGk3MfQO45WeOm/9n6VQKGhX29/f
y39Wkv9yJemsOIj/zij/LyPaIc+TkkTh/9xK/v6iP51o9h9rmR9QPRN3CtvH/+9Ec8Uf5kr0WOEu
LuibFZT4515S4x/h+aCclRpLfrlsE/++l9StP1Z8EqFul1oVV7X+rb0kHLK/WNMANNC6w32EWY6N
obvuLf/BmpZYCesbAS16krhrUEcr0zMRuU+1tFn1zJMwyG4ibtSZJDKzhtXZjQ2OiabaMkDuG8rZ
Qt+pcuu4LLYRBvlQUaHYqer0gGJfGDuR2rPykFGE/iIxNJs+MYoo9Weg3OgGWjtwUi4cCZeYaYX6
JXXBnEVe/+ymls3LbWyWwyKWzlh5627ANKE31LmD3/P1sSL1SDUkCo6jyE83ne2v30aNznGxyi8q
jUnx2vvrz44J812waNLOrtbFm9YtrMtoYLwphv7WEnHb2pRKslzKB1XnxS6SxzpN54eJUp5rE2nF
bXUdlYE9VVQGp84UmV5pqhHTXlrfcrPGoxONFB0u1byPYIQdtbpJTjx2d4iIDfmkKqm2Zok3R2tj
bNrdqGViM5mY7Y3O1l5yF0ku0Zv8UWgEqt3YeI9IxtyZ1exukDv0+15Lm8NQzcYmFtp9bC3thjCh
HSgz4tdEA8y9biv5VS/Hm6lypjXznNhYPdnxF0GRemfAR/TZYGUnURQkQ6xJ3oaGh7rXU8Fz4dhp
XClS1vls/dKf1TGQWlVdw7opfqWDBWQdzti2NQEisQijusNyv8wQ1UqE5CUsJZb45/kLbvkXF+ef
17Ch9OvcPA5jhUhJlPExbVr9pk/udNJrG6hxq5KTy+LPFA7hh1lZ44aXxonV1LwxsfF7FsFP3uS1
8kBxSPGYN1nBxitvr5qexX7HT8QP3eyhocjoqkxZ7yfcsU+oPZS8tNp0nQmzbmpy6oGg2HKjkEnZ
qEMY/VgcGxN27khs7WlZMWmXaYpvoq7FSaep7Tir/XfOv38X9Ub+YA8l3nN8je7NJq774OD4ZQUW
pqzfCW1fDYWVZlrzRslIxuwWpS9vqsYVbVt9d9YywzjNuebVjW5sObq3lwpS5ht7QPAPStfFRyON
xYZ4Zi4Z9gdjI7Ns3HFwp/lA9icK3dqjGlsXyrwlbnyrJA9YOSmN8BPnrjKn8KflGiR/TIKzDzET
Wkv3rPBGwKdwAz6hbkP7ZAx40LES4Ibo0/tYb+4UrGZibtyNmxs3zh55UDr1V1vb9qFIq+d5hQgh
iL4XNu0laznR7BeJdjINtk9Yf075/K1EyOyVgE209OqL0bsYgmY33NfjoFxGx4Ug3tfRJlWNNx6G
7Z1WF9NWYSsOfzUyDzMGq2eDpBsRbrtlcdngnkekt1LlaHNk84gbvJGWkgGNDc0ux4zIwfe4dMm5
K7rYkx0GUbxyZcgIganXQxQu4PGlRTCOdbLNIJ37BkehmxPq+UPtmNEBpBCZYqayAzC36aGY8mVX
dhnBfl7YO2p7rIvRDCRN9PHQzEaYbVhAjg+j0T1j+FH20OjNK0vruOQGo0RhVPEgKbQKbWCEa+n9
HI56ccbrfi0a57OSlRlY1uL+SDkVbmF6ZiQhk/B+1p3kDr37ozRqtjUSP9GSiA+rHkxgnI3avbcN
3zLp2HrT1Ll2ivKSEVwzuaTVKPeHwsg538X5PeUJpCsnnncQfMnc2OX8vvQutJOQ5zOaP7168zS/
u/NENqpIVPkoG4xTqkUO1CmLuwqDIDQAl3PpfWSGeLdqZiLUEoPDXm4OKlmOtDpQ3kA6MSk7CIh1
6d661P5VV+xvI42swQiWm6WCI7BhkLuGlW+V9On5BuTnicG5N1n214mlbMVCOtnRumI7x8RBeLiz
zpz65zifW2Hs56HsjkWpxj3vFkV+ZQqBMi82UhAX1MxqzAeNU+GsrSZnn/UsQM6T0VgPEy/sR70J
uUWykUuPTdVgvrYiaY7xUszg8vEif3Zc/YkvoNmxh1VCG1K/Vds3CTSBIQGN/Vhp0DLlHCrbzgU4
vQ9ld5hha9zFNGk8km/VbQ/ftr2Ls5AL113G+A0MShsMmlHsRRLFHw6nftcjig5iK5o74xzpjWC7
ZNSsw5YRUudQM+mO+jBQQDot+AN4tP8qM4OjORyn8dINbUsZoCZVQp0zw/OCyQUXCOHbyYNQ1b+o
BJ8+ZKMmb7yTscASTbhgXSnuwsF0f6lT3BP+z0P9Rh/Y8KJk+XItVPsAnQaZqtCtb7N0zQQTji57
AnMDNgc4DgezGg4FT1u/5fwwb+a8WeXFkJ8ii7rYee6H2Tyzmsq/lVRNMV/0GjgUq07Gh1Aa1jPv
ETeo0T22PRKnwvLHrkNgooJmxCaZpq+MqcbgYRThcaJ4ZOVRYUAo5li5T1KLPmKNrrA3UAHZVc/X
nowh7Azb19xiwfsus2+jk9kNG8Fj3tKZwNxYhgcEqwLLXczNWledvFukTj4FTr8zexrkCGoy6Im7
1JS7v5njPP4MnVi+OwZ5tlJJGXCVyI3gaspZOTYiHe6hi7DF0akX+TLUGXosuTT4YCRP9zj062Zv
K2P97kZT6fgzNTKHWnSUHKRJKlmd2EX6Ip3EMDyn0rsbdTTY6pVJl/jN6vzAPUeSpdfUevZngwmf
T+4Gut2ob6HbhUZQJmo2bcSgmLs+N5Jb6NbqDiHL9kskC1zHjoEpSY9Z+JpiQGHKNPs8j508iriz
NlZtqJt56Fv8bFxwdl4vPjA9I5Aqljai4F0AwsQ1PNHWD6Jvu02LEn6mOQ5nhI1pYzPZaX1obYMe
84Ia1resSTuWhVHfQrWf2uo1mzGABx2JKLrSU7n8hNeiX0IV9UnXrE+K99wnOy6Ljypqq60eY/Dc
8IgPC28eMuxCAFZ4IiLMqofEVu2Luxj2+2A2Oa61Go+tFpkLTAR91j/tEZ24C4X+7GK4Sjyn0CcW
Yw3SZ1lp1Z40Dn+bLX3m7EkSzjcnC+XgT1osPgZ3ICtZmvU703n3YLq46Ojd0NS3fuEAGUTq2HMt
qW3vYV0X365EVwpoS4uUIx6U8BXjSfmEo9Bqt3oZT6e+7WfmShrcN0tDw0YB6+KQRtm9uvTJqyzt
azQPRDGKgcShEmB4RFyaO5fmaFe99vh+qL4pkCEpFtbuSNwpniMieydxEtU01g7GJ+xWDVJZVUfP
pTHbyHLFyHJZKLqYfdEmKnHSKLq2nbYEI2ikg5bm2JsNs9sstZ5ve1XtzwIF0Oqb4mecaj0kod6y
QfOwevYGLMqbzOqapwhXwqdlVCEl6SrIDn6by2r9M/pLrE3ZIeKYhVc1NFnpJE2UGtBHjPS7xh5W
egyfmHmUOOfRoo+XCtnoJQ8nmg+obKIyw1SYD8L+3KDpsIUFWHzKmsL1I5UzYjFGR4dIe0tXgez3
TuJKKERalL22jk1wHN0YFSBOTLyvda1ZAarocsoUQXsG9o8z32F+1owk+QqXpCO90XXgJ+SwjVy9
PMg80jdatrzUM5K2LzTRfEQINPe6lIhjatL8DU3+nyn5X0/J5KP+2ZRcficf5f+MaxnO+jV/DsnG
H/QkruXAuG0M3WbN8Wday/kDUx4nMPih67Cr/YN3R/xhm64N3t42WbL8RuD9OSPbfxA/BqPFmfhv
o/W/491hnfK/ZmRa1/ivAezSIHD+tSe2Z1pLlnhS1jA4BWwyzz/MFAQJ2WNVg0CE+RrYTDsDbuqV
YaRJRxNni7jrZaGcZfIFJPKAfO3wbWNguVtIJ7y7akrWPHIzYtt8VbGZqpBruFzK98IMdYKLQrvD
v2sRtGJCu+CscegQSwvEn9bNLTIjziMNV/mtmeiOUoePomq4Zxgsnzvs329VlgyKvwx5uTCQ1NMH
rpligq6tzAun64gY1OSyefT0Du5zUFsy+4y5iyNMCwXx2hnyBebEOcEsLyeeABRmXtZYl86zJVxQ
ZRrNAapcOTYjpe6mkKicVN9JdyWFgMqPz3pqD07ACyshvVTmlo7ZIqu+VpjCW9Wpy7VvZ9Xv9bw9
RW47fqEElm8GTFrOtQ68bGQp+TDXafShxRqTMYVxXoHbmhdU7QMgU/H9OeN1IWx/zy60Iq7lTJJY
aTHadBEk2dXRi+kB+PWyreduM7fVwbZHUAlw4f2h7IFTGPNu1BL7npCHq3mpXnxNbY6RZiqce8sU
qBZd2j3qM4bppG3bABKrvg8X6ncAgKDomV1kb9J56U/ADpLwsEAvPw5LTnBWjWBFIBVI++yohVb6
jTLnz3pR949wzzlJ9QKYEMwz8ZoAPH3tFOSzejShLVCich4XPLtUz1pQT2fDH6dwOS+R6F/ybK6l
v8KyziP9uSeEqOGXi/kFNNvcKRld1SiQg1HmQY3pI92Uo4uUJhBvLoyzjfBc8tIf8repFbaAuYso
tCF5DSPnPU2Jla/hYEmnlNSj+9JxS7GHYpfc4jrTX7SoSB7cheIuT1ft5lFgLd72MjZOQksZEuK+
iveMwjhRZ9zeWjfI/TgLGpUppfYtmAhvShk1R10t3J8YNuxma6nI9J7QRycJSB26NxY/y4hyHlXK
axrp1n1sJExMsNGpOXTbJfsyKGRzWVoQX4jUpdi4JkKvLET5g99jRi6hje/tKW0vrZjjo02GxA1E
NeJgCksDt8gcFRsuV3jCulRXGlCFIV7yz0UVGRc5GH0VsAyvrynr1ATqesFd/jqVIjUAE0Sua/Dj
mRASSJ0Micr/VaWIus6b3GFOLSwT7qTm55ItWNlx+FS6BWc1RqRwADVxm+kDmo8x+NG9HK174aQc
WQ178XWd4QysgPs45dw9QTv1+VsYIu2KPOT0ZP8Xe+exW7myZulXadScFwwyGCSBrh5so21kt1ya
CaF09D5on74/6hxUp5RqCefWtAZVQKHuTYrcNBHrX+tbHc66dVpZJW6V1rkDhYF7eIqFXms51cQV
YvNKsr2mNJH0jgQOsaIUkdxNCuXOD2hqgkDFrcjzchu0eKFWMWbAh/F5u4pQYSY3bkzwxt/Iis38
nZxbsnQU1avCubJEbeyHrnmULKFpC/IWQN6yQ7bZKtNuqC7LZfecL/vobNlRV10+nVAprEO37LfL
ZeftTW12Ghob+9Hf+3LSqLafbd2KH5IiGOr52MeLOrrKE56PZYdvstXvkyNjJv4l26h33aIG+MgC
atEHHISCJEHEAmK0Ep5o+WcWNWHRFSIco+AQ0RrEojq4i/4QI0T4iyJBMJVh+6JSJLMImGXztp6Q
MIpFywgWVSOdfjRtf65nrmGgzXNKyhFAhJ+aZ2YbPYzP6ggyiedO6CUIJ2Q5AK3G1q25aCrwch7Z
9l2rIaFqE9mF8RDDxencXfSY3Czv+tjOV/no6vWwCDcwc/qN9azmYA3y9m6EKR23CSVrf+k+KEA1
DqRjY7fnehGHJiDwO2sRjEQ7YcKRtJTjUU6jIzVfMub0qvkLI7j20h8HeaYw2FvcRudqkaXMsKEW
71mqgmq2M+jD2klWumvNiOpqela32lL0K2+RvOpp8m8ZVDEuw8iSndJFHFN+88MtI/OYxqE4n+nN
3RotwycQWiOA6L4gpwfvbQrvXazbGwANVB8scty8CHOhCqcrCHQYp3rRPMxp2K0NB6+J5ccnpzFq
HglkvgbVCyUF6Q9DUn7XZ0FwchZhENcmyYbSnDB/9+c+e49NugiJ2Rg8RYu0aC0io7XIjfEiPKpF
goRBkK+1rY7tIk+OHbcOOO9PziJdgrtkbZqM1DAo/lIrdb8PbC1o1vJdUL7jdGZPsw/GwM1+qTYo
ruZh2y5i6aAlummzSKi8Y4yLRMfoqnWU17cEa7NNvciulAPba2eRYv2xjb7LZ33WL9uW7vPulpsw
u/JLM7uB6cIYcZF240XkFcJcaN9ys8idh3yRgjPP9jdGt8jDg/jq9A3rY2Gkd/kiIjuLnKwZZJ+1
zxozr8NFb8bks8ZVXZxNz3q0s1CLFonaQNo9Ou0wkdOLx4PSfCIpgVQHI4OK+hcb+n/WyR+ukymH
eHedXA6vFsnP/4W/F8m++S8B80csOIPfVsi++hdWHgbKFsUTrgUw6f9NkexlikQBOvwDf1kgA1X4
e4Us4RuoZc0N6MSTVGSof7RCtl8BDgD2QQC2Fat332Se9Eyw/22KNOVa94Ubw66q8/HcSFowc6mV
3o62Q29f0c8HIizoN9go0HLSZ1nnWeB51noCtzVu2P+iALHt72+krYPHdObxPq8XsSjS+KQP5bOa
ExS8/9eAYZCWRICwTFnD4+To4dQRrWeiP+UZELnEy370i0jV1533GBFFQzx7VrH0s6JVLOIWWs0h
WuQuDGjZNnnWwNSzHlYs0hh54+xngVoWAtq5SvyxB45Uy1sEP1S1rq+CX3qR2kKjv0wxZKFUFHHy
ZV4kORmE/acxrMGKTG30i6w5uh3kMELzzejeABLyWfJPdsuTHo6Xs9vQz+UTIv7l0s13Kgv6PVZu
n4dXvWFR6fOsGYaocYzoSlteWFGSUkTDCwO9asAMNoOv32cqaLeEU6MvYrJJ5dpe7u3aZe63YtiV
3U0CEiIrBvQ9+oH28ZCFOwKB3tFhlrEzy7GyN3Oeq7s8CkGNwYzO3NU0oQOg7lsd+jL+doIBsvR/
TGDsKqZqjYs3POsZUPiNXltBWh+7IE22OFPA/TE9IvtXj/55Q0DnebJYEC6qvCvgaVBvYcZ1t72b
1/twiso9pK+WXUjg6bUf51m5ltDK7+ps0EfheuiI0HpOpZ+REzaqIrsWGKNM8Dhzch2rqSSrhhvx
c9YRi1Wd1B7DtxJLRDRP40LecX2WnSrQULeGZJvBcrnGRIowMsYIdrhLcfwNI6ZyM271USe5Ha1U
NIY3nq5+QdOcur2p5zreGPRX/QLLlMkV9IpsWMVy1t+LhmXHPsDI9hh0Y3Lo7aLezv6ULLhL1T9V
wmdTMTRIQ6hRZz5N3C5bjto+E6XPxmuknOF61m2YPNYmKfn+BHgoJlkoZgZEO1f08e0wudENZvVJ
ZD/4da1BrmGOxlzbURY4xi5MuptKmAtqKbcOW8zMuSgxn0jdYzkaFOsvYT2EHscgYrqhguBOtmO4
HQosFmstRF/sg0IsCWh0OiZiat37lntEwE7PwCflPN7g5akiBT+WDiu3QKqRPg7z1qzyda1FcJZE
6bQyXG2RTaXJuAntfJOl4tzSPv4tU7irsZS3eBr22WA6lHLKYD2ZDcq+WUy0P9Zc9w7MGUZ7OQWb
wmu4A2VRm1cGs1C1advOxosc4KAkcXi08ibfxox+AZn6wwVtx7hfSWfsaoexB97+uT5Xbd0d8Svm
t5MoZLGKS+XsVFKQlPHb0xzxYKZl8os03IMwSEBkFI56TSk30OjonYiT9t7orOwqG0Z33RYoVfHo
iDvQgby1PNx07EsYn1CWTOyQdACh89CDmYifp+/SGyyUj75sMhrSebCN0t4nOrxVuIhhEIhkHRDu
XSf08jor9p/evpkVxt9ULVe7HO7JrEYbk5nawaWlhk4shVPbSqxbBQNyw+sp3bJpcA44/XNYpf7S
Qi3b7tJhnbqtxwQPKi6wT3Ym5Wc3d5JNRGk1A2NKQd1Ou/doLN15NailxzhseaewTEHxj53A+G5C
oELkSMP52oRkyugnTG7mnndjihltX85S7jvDJxEpDH/chm04ngXWTElVYeZrEKWUAMRpfZV3kC7c
Jl8kQOvJVOxpsEP3Z2MAttDxa73F0w8OweainMB8IZnMjDUx7GZcbctOeFBZhNEVCrCba273zJji
UY/riG3hRcwU7TppPUxhpkPaukjppScgvzU96koT6XZnTevln9mNeDfUyaO6h/z8nxPyTZbTYXdO
x+Ja9JRnTVlo3pNdyX61k9RfXBHKO7cei1Ndg8qemJGeZYRELvtZeweGmi0MB5SNLRyhjJduFHd3
sbTJYUSt/WS33NK2XQ8XzHGKS09ULXFER1y3S+37qNEz2nyY7kKRK48UjYjBYfqszNmsXbQOtiEz
cpJ1n7QpzkSPV2YWXgsfSl0ME4UsSOd6BKM9lxmTHS49OEglgY7mo5lV0VmOZIQ9KAseIlyu0Qog
X/uV5d9Svm308YXVp+2eOHtNTlWM33L6FdezXc33dm8jmgeJ25CSjXW4cuv2Aau7dTEjzF4gnBNE
zpSZcL/V0a2jOnFHSss6m8ukghlUs00ihx19quqqhUOgxpuoLRHNeDHVe77o41MEffDejqTbrjpi
bQxrbVySlqQUm7vyCKzrpDsCzOzPbaH1Z7NWy+J2YguTmp8nAEfFntRIE3+S7AUAd+hSdXyJUhM3
81xG+GMpmKXMXRA7mex+hMRijvMPT/dqG6QT2+Am5hUckSnsSYgPwSqMpm43mPn9MI4UDaQDpHYs
mQd+ymwD+Cw72YuS5BTusQuNalPDF/sf7NfPQsd6+mh97MPsem99fPkUFz9fWK3++m/8vUBWOKNs
hWURpgiuKsdnufu3jOwKZGTTlbRPULzxIgGKP8vxXMujK4OaM4uY53+tke1/kdp0KXExhW9KC2vU
//nfL0ou21f/9/8quvymZPTd/ud/vLLqSW9hVxA1lUuTF8t1/rjffVaTj/BNSGeGrLCdfNqQL7lH
f7sab/gh/zwEK1KH2Tr9Efg/n3sXf1uEB0OXwVTx5z1ZbCZhHm0nBGIUl/S/HG7/xlGWv+K3o/DR
HUcn4ihu8bU1vpbjT/1R/9NHJ/LK1+nGpSzKnkN088k1T1O8qedv758FtrvfmzaW8YNvW7bp4Xzj
znBfNW1QNKeZx1nNXuta7NwhwsAcunZwlVnABOeJ9QZhfujquC/+clO+uDN+vxP+mCY8H5pKJJN2
JF88O/J+u4C+I0fBUK3ZJ0M6bSsbBRn1gamua5iL9SdE0JoiZl7vn/Fy0X7rFvnrjBmwsBHkdNWS
nP79d7NbHy4Y5rK9S6vWkRztA1/geR+qmW++m0x/vcX+v2f5x2+4nKUv8C6y8fT+6PAKm9oUhjdx
uFY79wxUd24QjIzwXHP3/om9bmj768x8tigmj7LiB315Zv48//1bqrkbvrcTZBZ2mN0PlgbjykDN
Z2yhzJ3yZvMpYoS410QlV+//Ecvj+8fV9T28vpIepD8ad1JQA/MQmkDHgJKfwKZHlxW4/Q+O8tZF
5ScUgnPlNfe6aFlik+lkLpr9hG0Kh/qSCMPPw+Ie8O0/PyHJ7A21wbF5oSx/ym93aQo2Alb4AOyS
fPjGGuDAe+XX/94xXj3nDHYtVffcI8LSjMqanfTy0/uHePPm4P4TTAK5PZgKvjwP30+8obFgvAF7
50boTOsIjXFiMDbEnyMDihzYqmUCYPcbbKnmAYvY+MHPRnj5z6ePwJDkwQM8KZff7+Wf0WYGY6y+
bvaOUTTfS1dhrYzNwdq6A+85J2COx0AkYM3WBUe7NbuzsbXHLbsJsZvGftjFVdM8WtFsC7wubbJp
tHvCBdY7G7B1JOYAF52VGOc2th57/IUBTGjch9HKhZVyP6XeuHITF8irotzAK6uvaNVMQLyWCZ7o
9x0uStbgEcY7X6hNasCAJW89MQPqypWCE3eumi45RGbmnpverL4YOTs/jJ5TdGnC3T7Pwoyrahrt
NjIcBPMQwxcjEmxieDK6C7it8wMT+mwTURPEAq/+rqzcPQYxsCasu/2mded8J632QqaWfhiLSZ6G
oBM7o3OzbQkz4CDzhZbWCXlGqLTG51+JS89M8y2puhF+wtjf2q7mHwFleeHOybSlCdmaVrS/iUuq
u/n4JsSlw7KLTkHSD999zXiin23SVipgX+f2CceL559DoYLPUYW2vCEaOj+ogQIIpgXiZ9OMVG04
rdS/jFpiQQapox8J95PiHuFInfre5B9aLrAj2exODhDZHNIfi2FHbfIq0BinAptGmiXHF7CSREUh
MLRmhOWuuywxrpJQ/tQt76hh0t2PZB4f5Gz99FGmvowW2ynZGfFnDcznAISLS9JEfMOKQf6cddn4
q2igszmpTeBbWcWP4AT4QDuTfy+ncwLji5sec99pH+Plq0O2yD2nPogXVj4EW9tpxK5rh2ULRkYt
LHgu/AYW/cCwa1da1oyKA4Ju7RPn2npYd5L1nHnh0YElvV+KXGH9zGpd1wkt97mX7hMn6e/Scu7u
NNuJ9UwwiRuDecIpCxmBk/VJj5jkkfKNstv2jNauPZ/LSWYf2mTeULZksVC70hRXJIfEUvkZmE/2
fiNzkGDdNYG4pe07PE1hbN4lRUdJFIMi5xqQZbKLaPDaCdkE3wJ0MMQyywiurMHHk5hGrtutpChw
EQaBvJ4isoCQHNUadVEe8XfVF7XhCiD+c39QAKVuAsOmpqqK7BsXwtbFIB0SUPV8AlLYMm/CJLnv
olpBwm80E5tuZD+Ykkf/ppkKQaUeSrDNRmfsyinyfskk9X7hndXrlonJeYPC+y3yTbENu1oypcU/
yChF+7jh/eV6BOy/NwChf2R1y5Vs+zGjba8y94Ip5x5EmXWBJ0jem2j32wB2P7ZCdpo7zy2anUMS
87NnBf3XInCik5nX5r5nY6iw948Erwg526tcCu+7gOt9rAlWXmEzHJ4agBOXRUfj9kig7z7zNfiC
tsXXRGTAOR8siJh2n85nYdV4N7iLiqcpcoZTM0H6HpNIX40kzi/E6E6XyFHOeQqHaCdqB6zfpNVd
hQd2A8SHrurB8Pq1Y1ocoEZvjPAd49dqYJEWK8am1IQXStHJjfp21geD+YvKKZ2voqyMMLP2yQ9n
Vi11pbyEwDq0O24NZzPi62D8X7U7XYKG27RV3GK6j+S2M2V9ng2KUXZU1hElFTn7UxLE/JtOECm4
Py6pcbeYj/y14b0lyvk4gao7dxJrWmdOQE93ogrSZE6e+AeP7clZiWK2weHlHxxoLGdgj0p2naGx
a6I0RlBTpPnWHqimM7YkesuUsDkYjUkZTlR701mAmLF1Axostha5wDW+R67DSAJ2ZRUA2Yusqb+x
uda8xvr0BK7KI5YLyETzFviKq5KWtt519wyK+p+uWcxnVug551Yhit1A46a3WrpZnsAPi2/aLVp6
3v04+NX6HWzUlnGeL8z0+PwftwrloARLQrVjmFur2XGH62FOxmsMlXrbeylwUO7hZ3OFt5EixCz5
fMiYlCw8sRYkdoflsl3ZmTa/paluP8GsaTe9s5QRysY2tjG67SWm1oRMRGjdymIMviQyKh/7OM93
lIAUO2iOwTaehbkM6VCUatNfm2OXHlXZPXm+rQ+eq7wUvjrBVC9IzWVlnfLybPorKke4fEWEItQI
P75U6dhfCoM442oS5bgvDX+ywEoI+9AwQyWL6fX5Ee16TNHAGIRtaF1hxVgsVQPmqOY9wVd1J8bW
/Kzbfj7FsuWnq3IKTJ3KK9hKKCiwc9VxWOSD4DjOIMBE0/WYYGvjHu/zMOAC5af37FlclK7dHLrM
jn74gv90miWo741yzgM04V2oyH9aNZQ2nn7D27H1bfBlG+nj4MdUxBW1uvNrZWwdLANrT+tiFwL4
WUOtmvetL9qVkbjjzaCIDFLP5K9Lv7Ux1iHG2Ljan2BYYvevuMExKqVHipXjtWtKpDhpFj8hyHUH
qzXbe3pI5kdupPBGRVT56KTzsbtjb1SypRywqYqdh/j9WbP71diiLPBAA6jcNcWf/s4KqGjQOp3R
s83+Z18ExkO+GIKhxSVi4xnq798p1WPwazL5Y0dpD2emrMQVDXHGfYhac8MgeDrCBum2hjPGX4qu
9U5+2ZMkMDvnk91N8lPfLAUcTjVd8aVSZ1EdGZsJgsDGqGS0ZwdSXs6h0dxizSy2VlPkWxxP49Xz
VdegYzdl63nX1jLcL+jP9ps2OQeUIEhaRDgusIuuS27Es5GJ87lbR8W28AEe5JO28drksAYak4AM
tXrTsbOm7DrA13kQdPuk6+d7eQaBdvIN6bGu8IDQMW69ctsi2OaZGzKbxS2zcpwivTbrJD/g+Vaf
/SDodzpgdcsQno8h8Sh+/rmeL9MWWOJiXFqHg28T/J7SiFegELeREX9r0mm84qUwHSxAM9duM8+k
eh1Gu1NbTY9kVBzySzODkBmR7cwVKeZfhhU4ktzkmqE7rH7bSo+yy53zZKAaSbiDsQ2aagTs1/Lp
xtrLVKIuDRvETe6mGzyWAdZcgY+Zb1N/8Bvk7lVAqc4lPdqFWBduUd535VicdbxwWAMVbnsupKXh
vEEabToKNuikpDsWsuixDtRwZluCHDrwBOO+NU2mDrjEWDFLZn1Zz2vDDFseTQKq0HjbGGnb62sb
qFJf7LQoaBfsuJ1yCiaOth+Lb2Yop0sJ0ZtJz2B+wzxhdQxeSntlyJbBYcuDSW2sdZzHYT419Jwc
1SCnraenhtEJOXZyvX1Vr3Jf9XDc+5I3HWjT+WSqkWfesDNwhwH/x72EDAI4NYj6i04baPz8R28S
GzMgjq462EPnlbvYtOdD4gVAfsigLmdEw9horUleR1diji1AknF+hxMX5qSXFLAWI2OnnRIMl+1M
1ldaxzzAHkV9h2JLHjiNjfMw6G+6anJXOACgfSbGT6/W7hl9EZ/tDndbhrH+gtNIN5lZ8uZ0wrY5
87xm2JZZaO2CIO4Bqwb6HLdKQ59FbbpbVojRsZoBoOgIBHYVl2s4Dfl3tzC+t7NzPVrQiq2RdnHW
bTWCKeYHd47vhzKa141nhHveVjsuRL8WS1VGGKCsAIH9bBSMk3Ril6RKYJ5uvGEZEdsNZc2eNg7Y
tnEZuhXnW1QOXWYdEgdv7OJyrAjyFlEIUxiUuIozGColbSs7UtrR17ADc56OIiMb1BFwB1VT3lVS
WZCyQxO5O7ei8yhR1U0BE/ezEYJP56uef2mNqvtOBZy6w4Qsx03mVemBwMMMfMRPd1ifuj3cTgKQ
hJ7ljfSa+SYJVXNXMebY9jnJgPU4NvlGzUptkacD+K8wR2D3J2d9naL/mVl8DBMxAdDWhBabOT8n
f23v5zRzfJqgytAGf+1RTJdSVPON5b34MqrCuxQ+Dq11YwFr6usE27gF8P0mmKfyoCfg7QBFQdVT
Obmx8hzDduob0cI+5VcEuO58o46jHmAoz9O1FDo5FQ5oxo5y1y+KFjdmiCKyribP11/SLHKPZN6L
T8HkLshN5u6P5vKFVCKvwJF50X4siu48ij15GeWt/lRo29kz0BhoWwv7c+gn6XdN6xXzV8GPW3Y6
uOndKv+Rt8yMoV3JJ9hfpcUjUrlHkVryotGIX8pgg40dqJDsdVvZ0Zuq5YNduPk2DRzKc3CsRVel
Mf1Me9f7bNGNBqN8JpIYZvNChwNaC199xRpv5lMYwaZZdTiVNmpqeJMlWbInpkcskv4Ffl6+tseJ
XQV+fXteDcIj2FrNmzbO740sxvOnCUjxll+hEtMa409sikX1qbETGwd9hnBoSrfuNg4r413pK4rN
07y80HNmHZomYCm1DfMpCG0iaJXXkdVrByPfs11Sxk84nPj3BkZ3olPeo6bMAQ9E5+3YxSx1WDGd
S7ahL/goEvFqmuRpFHb5kNRp/bnqCHbuKsOZoOjS5pLu+nKxDWH1g/1i6OIkCccX6xZixte0UZiU
u2ZIjr3V/QwHbyDv44mL0feKc5uV7feiwh4EH7PdKCO9mss+I3xrG9lOp27NIC8pL9KeTNjKryt9
RXNQeJWwGFolMktaQGhOfdmEisBNw2CS5/8HA0DmuHzTcGq6wJTsQIOpKdvuJjURGWSYRY9j09p8
uFyxFZQbnkD1lN9so/oqQd1+pSvobsZ+Lc9cBTbLQMLZETPhzV4ZNtm3JYnlu4NeR1HdkHileWkd
ENJQUWeezT2Aeoc7fm94pdxFkXJJYeL8XIGOcA8RRqk9psHwmzNBggC6Va4c2whhOY/uPVsdvieE
NL4uhItNFfqf5AgkyISOvONfgZE91vpOxvKHS8MDNH49fQvnAKhcOnhYuu0pufRJhe0IeHLFGDru
6jAhwmX4XBQ7cD+5fSTv4x7MXNLFPLCNH62GgjXVFBG0dUj9aDuybtiDPPJCTq/HalbHulZE2Aat
tlVWBE+ln87rrBk88oh2ckWzOHkZByrZygJtsR9bkj5hPxS3xdySvLKMU57n+qC9KT9RvKRu3Joq
bZUo6woumf1LhIyhywTCeNPFQChwR1zTZRZdZE4KhbJKfKhkJJ2M7ksClYz6m3aX87rd9hVEnFmP
5ikIOsVYv+rWpU7L3dTb2Z3mjctAH3Ci7/fmrsm6+7DD8je6pjraS5+lHpqvcIPdfQKeaU3B9Uim
zDX2cDb6C5Zy7nGQmGHasE5Z/5bFr06Dft1kuvpm10n1hW4/UmEQSqL0W2kmiXkuaAE894Yg2aCW
0D8cttZ9ZxnjtAYU4fhXcUake10WNbAXGy61c1YX48zWLGr8q2Jqsvsipzoudyafpuo23FRIWPfK
an+OI/hJc2ap0tQ2zSjz8B2OeX50MisHJOewSULVZJyaJoc89sVihdlTpJIcef4d5u/qMQ9ZG8sA
Dw6rwoyuRu97a8XdBh/jQp7k+0oNzL4b1ZPLFmQk3Og05ok11FLXgUxkdJ74Lv1sOJelY29VTR2v
mWJnCQOx730j+BUp27lxTMM6taP/qx6l8Rjy6D1QEtFEG6el/Ba/0Rhs8BQt7nyn3Jn+2G2tGGgm
ACMcn0y7PuBV/KmCkq8DU+FLj9EAqbOXKqgaMwvihoeoLNHvKOumGqoquSdpj49k/sFg4C213HR9
wZQHg5ta7G+/S9guxE/WSS5qeYlabrb8rzh36YIJq2zzvsz81qGEBT7BcyzH4dX38lBmq4BLjQjz
5F/DeyoS+WQkvbg0Ncac9w/11vgIZgNWOyh+HPHVNYQsBLbe5lBFU3QXaaYXQhHjm4Cbd1WHY75j
MP/vTHMA4QsbHc6xiMK8PD+YD8Iy8MH/NXiAt8NXukGyY0/60STllZXweZrDA82QymXIAZP35aFS
Xv5zVRnNnjAoQLcsgEtj1F5ySC0UTfyy9U31POLJ5uiSprGPxPq3JjkWcSPpY41kIPzqrplCWUVm
GrZ7L2c4wKILIaMeHt7/Ef98EOyFXGN7tjR9dhOvDiKdChdj6eN6E/hwdKnpYxNpTfgyoZyi8osP
7s8/T4rjkaACRONYwrWtlxe1ZqXjTZVd73Pqhc6lmk74yt0Pnu4/HwKbGTr+bdSWhXjy6iB+CMab
QFK9xy3SrdsKAmRZ9aDikBffv3xvHImTAPwjlXBs/KsvTwdGH3Xuk1fuGXZCKTfac0JG91WTPL5/
nDd+JuFKID78VrywnoNhvw3BAEWmtt+45X6OaZTKngwvA8JUrOM6OL5/JOvP295+cahXtz3bRkXg
lEN1NB/Dc5KkoQf3r0AJkMW+mB8mzF07InFBs6nxNm7Mpg6+KFaRWz0T5k0YyOyslp1tDjGMTIGc
06PjJdVR22TXwiGaLwOazW+hmdpYrxBwWerobWaRcDpSAjVeDWWHqDR1Kluz84X8ThvGBye6YLhf
TUp5qJDaTR4AgWv41UAOr5ph+0XHNW0j/ckn4n8FEu4WRFX8lM8dvpoMdlaTBV+aMQ3PXMJOjJHU
QSk8fg7DElFX6drqHihBpPhMkawtc9K73iW9QTP0xZTasnRAAoixvQZNAkgixKxEWh8Xo5EY3XqU
pdwzbho2WnvWmuMkG3bV7kUq8TIkUC7JBJTRhtLy9eyGI1GYEsqqF1oGSzmKGb+5wVB88LV6416z
fEaDOFjwiVnu8t7/7V4L8r7GjzBxXRJcnL3w7QO/+kghDEWdK2J3w/79W265o16OrMHMulI60sf2
gnf85QHrUvY9jFDI1J6WBySQfFsThKKputK7wIP9GqGG3MuYhrX3j/zG48sL1lRA+kAj/rEMaAhH
G1Gnij07z+lzj53ra40Ee+9QUP7z/UO9cZLMXHkbsf3gf16/zRlVsAScumKf9w1CZS/Q1RFnCXsl
RXOgSxOSTcvMa1oNFjra+wd/4zxxWmCLNx0+1ox+X15hYJwdO8Gi2FOxFO/qobgPx5DpazI1HywK
/jySXF5SwsVhhK1/CQH8fvOwLWtDbKTZ3vK8T9NUDBvLo9ekyWz7H9+mGBAwTGGMYkFgqlfnVC0s
4JB+QEZ9VM3NCi3ETq6HwVEUs6kf//QCStPmxCwBCIsJ66tblJo1urizmtNycptq8akokfWRWVua
7NoPruGfDyAHw+yAWcBhxvT681Uzro1Ul3NmhryPbONTPXs/qAy8Dwf1gSvhzzUch2KlqDg1Pi/O
q/PCVh4DK2U2alfZ1ka+8OlEhdDQ0zxR9EeUg49WVW8f0cec4i8GuAVD9vsNQtePC0aFI9aiP6Z+
9VRO4t5emM2gADNCm9bFP//psOIQAWXVwRFf3ZFOixNJB266N7ruCFFrL2WKR9/84DB/LmwkEEBW
azYxYy7m8v//7a1Jjc8YQ9hI98QkDAjchTxUlKNv3z+ZP98iHEWQpeHNjDH5dXnDaFgjRniR7hub
TSabr3WWdL/cQp2SWjPjIplN/PiDt6T155eSo/LicB24G7wtXz1q2KK1jxEs3fsOke0ho1tvXVQp
/Ug+g7O5YK7UTj5IKaOUROSgVFJz3JruTo91eMgY7ZyRFrifJ6e+pS803YRVxeJgWRaAOXXOcaqo
B98aFK2SrfPBX//mD7PEjtDnPR9G4csfhilhlCE2QvKAJ7ZNJj85GiPSw/s/zFvvPQdfJbs8Mgh/
LDlzWfMZCctsX2gXDFPZ781U3Huu/mjVwl/78lvJT0HeD1elUkSqXv0UjpvZRVUXvIiIyDBbDqLD
qMzx7P2zeesNBLiCnbGHhs21e33NTGsMOyNlnt/Cd3X5TI1Op7dtm33rE/nPV9FssLCJ8smAMUgS
7OXh6G5XPR6IlE1d8GO5dk2sTnkTfHr/rN56eMCbKhdLLhuD17fx2JIZmksenix2vJt0EqjegfMD
/bM8a0LH+z5kFDWzgW8/+FS99c7DEStZV/tvbHpQM0yc3X26D0PrWhfG05yEZ1XyWCXzHb/+B0d7
64Zn2wOTUeI1+2PfmnGOrqpaqrdDWOy5ctzTYCXG5v2LKd66R7iIrsXnyMbm/Oq96nfW2DmoYHuv
G8xHuk6oIsJxTHeTTa1a3LrDQyK8ct2Vur+uKb+8cuAl7iJ4Odt5qhSzHuz5oobDnlHweBZ1XfLR
Flq8eeUp51meTNth/fPyzmpAXNOml/O1GSXKna6fhF4A3bbXAvrxPhGOqmhzidAVCzt+TIe+PQR+
+TViyErgSxP0hl2Pr5TSvckANRtxHu9fyDeuI2MmlqAu+MtlffjyT8xc/oZ4ZLk9FPOPahb6zKzw
NwUZI+Xp6f1jvXE5xLPtz1m0E1bdL49liYnCa0+ztA/EDxML4iZ3zKd2Ir5AXdYSoFD6gxXGGw8d
mWChWNHwxfpjid03tME1YcnpJc5n0I7G2mKQjrTY0JRsTfVD3Qz1hgFpv//n5yoEvmY8jiwQX78p
JUGguPHacs9e7aom7IZQlJ0QyMh2puEjFM7wn6/bOOAiA1hAVnmVvbq6igFAK+tyb5hhvYY0waCw
sPVpqP18nys20u+f4RvfHI7HGmqBwrBYfPUEQieUUUwfx37sQ8RE2Qwbsy7rjY1J7d85lE+61gPc
ivT26oNQEd/XOfy8vfDL4sbJaCZrXK3O406ID15fb92jNg/UkkNYxLdX92iPS6Wg4Ye9St7dd1H5
03GANsNehfdVn7yOdM0/v4w2oQvLERbo7tcPoBiRv612LvYzPSMr0x1uGzoDqqWV+P0DvfFixmRv
OraNF50Yx/J7/rZErOYBU0bAFpCSnU/hOO68ub5//xCOzb/xan3w4hiv7gnY2WkiqQ3a47EVK5BU
tAU5rXNrdSqAnDPQmQRkbOUMTbVpVRI+lEPjMr9nfNJ5FIEMosOgVMQMXyQpJSBfAmrY9H/ZO7Pt
tpEsi/5K/wByYQ7gleAsUaMl2X7Bkpw2IjDP09f3Biuz2qbdVmc/14trrXKaIMFgIO695+yT7pXV
1kccdvLeBDMHRIzk2bDU813WoJegup0ClGlErTsetgWyJ+8co0Y+hxnSeJj9DP1DbjTJtsgaKJJ9
FcLIQc11G5NBskUPRlZyoupbCSF2Z9TNdEgdVFO9JbNTT0zF3gPQpoqkCbjDyTajVwRjCO3OHr1Q
tiqGuQTtKR30e8lwTSyCCgZSMLe/v72/Wps8xYXBOrFwLlysTbdqMJO5rE2Ue6/V2L4SsXJrW9rW
yooN9MXi//Gz48zNYQ9BPxaRi+s5csoh30z5vq3k0nO6gaFwGNr8ncPrzy0/wttp5NP4o0fg+heX
scdEglD3sdvqyX1ZqhoZj/elSp6YC52YEQedY36O6vydkunSrE+HfbkuXVruKMX15YHML7MqAzNE
T6SY5o8Sz+0KLKB2j/Yc+CtjbGqcasmhbZO+Wqc5uh0AIWzkFaEkDsJbJx60g6V3QDxbOw9CtFos
uHLHCIKhkh+/gSOkUB9R5yRijtYEDsCr6sW8jgwi7RO7CbzZwXDbxjbAOazrm5j3s27T8isybOMO
9z7sGDJitzi6+P+z2Qlk08YboQnzubKc976KX+3pLi4/4UNQ4AtZvqrv9gilN06WJzif9fZ1wju0
mgZ9lxht/87K+tVe9N11Lg9GfdljaveHfO85qR7k9BuCTMrN738uvzrauJagWjVx4LjexVNDr8yy
qIA27rGhwKV08hXF+EuRSGSuzfSO6eyXF1uYaBx8cbddFhFuzWaUp/xWNOlmVKLzrrfLLaIs5I2t
euf2/WojcGn787TAsvfT4TedJsJwETbs67i+NxsBzSScXoq0/toqxojSfedOGr9aF8sYigKWqZ64
nNPMTZlyfzmnxWMqMV6YBsRCQsZMevHrwtLk3i6rNhhL33pQekgmV4TOOMIjePIiL9kS1zY9CVT6
KKbDiATj33/Tv3x7bIi0kejfYmj7cdmCBGs0oKHZfqjKr5YfPUuzf0wtRrv/j+sIj0qR8ndxsfx4
nYZACFkikdlTiZZ0c9rXfNKGddHV7zxIf3VspTnFHFVf/hAXv0Nr8BFVI4fat8i4ZYPqbMjv68I5
EqZ4mxbVhyz132lU/GoBf3fJywNrPNsA6x0922vDuIu64qtvp+hN3WNdvBfXYP1q/VKRMiTj+Egt
fFEXEckBVGsUGduMOX1uZfltUD58hZSwIdq3UaCVmgoyduSNqhb5r2YsYqkaHY7fNy82TZWXkHD2
fWciIsZogvRftvUjDI9i7eWA20BnedtRDN6z57BrghBq0DBozbiek6W1WZjf9IE4PVF4a0LxPscE
6DAdLzctRz7l9QMMXgKdwXaZjyU6SB72pvPOavrVXfAXpy4tDtbtpSUrJaEH8kbJya8E7N/OxGvr
9otTOlf0TEGsTMM7F/zVV7yYJZhdC5qtl7e9JG10qjgM7VXlQwYou7rcAu0gcyUKCU9tFpno738w
v/iIPNcXt7GPLean6tJ3Jw/2gJXuEz9aUtknl7Q6TmhTXDQvcW3Me1RBb7+/5tnBeXEIZXBOxC1E
blp3l8/1CLogk9k027vZ7Ady6NxHWxoENlmTcyWLNH0uzcwDhYCA6qwa9iR0sqyb202LsmenDYBk
3rn1xi+amPgU6fosuzZkIPPHrSManbmEecfWMYeoyyySxdCIWdsmrJudL1xrxUpBzOSkGz+qJaiz
JkEMbf9Fnfpf/ajWL/bKxReOQROEEoO2izcCpTpys1aRCp3HFqORRWqsrHS+R+6YO1d8XeLQxggE
cT0Qw5XSRDY0WGNAb2V/N1iDvp2mUP8obQ7eZjvrHzkW52QRsaQwMcBGGX3CNDv5dUIfyZbdb2w3
lhvke/a61vJ2L91KwC7vxNqLrswisR7J+x1v+dniC4G5Nr9Ir/OPqS4+6R25eb9fHr/6/EzA8KCL
ZUJ/2Tii3UZcYWvx+dNkfJQoRfajO6oXZWhy+88vhRYSrQFudB4bFwcQhk5VlS2PJb8AW1JW3mKw
Gcvk6Ms0evn9tc7f2+WqX7q/FtUrj8HL8j/X3LQbMkVx0Duht2oZGOO/mImTJbOtX+ciNa6MQg/v
2pE0HtPUonuz1fwAWFu5K3P9Pxjg//q/4RsA0vLj/zdK4KewnKvXvHltfuA3/Ouf/A04s/9AZbEA
F7zzuHQ5hP/Fb+B8A4uBSRmHLY/Ao6X+/jsqh2fo39hfABAsO7rz7Djnxu8/ATbAEGZr+m5l0XZZ
+pe0eSgJaLle7qdV2HppHI3uVWaWnhHQlDXQEBuA46uga7QSXbCAvA3UM8msIrzBVgxBqUZ0B/hx
bik3Hjmy6Fp2bBqXSm+jzWNth3sPV6sbdFbPPiOqdC5vEsnBWmyzmjiH4abVsQyOAHgFcCe7IUYh
2ra4jNzr3q6aL0k03Le2wpmGJksENrrWbYpWjFyWCpWiOU+PmjdjLZpbqcqg8o0c2vYSxTzvMGg0
+nWOKh6dQ6MjIBd1g6wrrbyuuiN2O3lEVOJ/atLZAroIM8kIaox15ZWb1xIe8OR/1Cxo4VxicufN
yPhJ7UqB6wtbBHYaq1DebVLl7qdKiGGt+cXwmUQ8gEG4W7dFNxF+V0uCFuPeJPSW/UHjN1to5S6Z
s/QQEw372UW1+tFsLGi/RqH8L5gfv6TjdOPpdUycRZJNB/4IT33nWrfKUfoe/7qxwULgByMuav4b
y6/uuziXA9LiSV+3Q9STDFIKn55FV0C0sUOXkb/h9Ptcm7O7Dv798ygzMOr1NGAgENO935jTkXbm
AhRWcMdgoGtqL9NY/cl6cO7jhNjsTV+Y2i1uIjJ+HLfeN8VoQOVt8w9yFhDUvK64g5Akgp6gO3Bm
XmuebKc3X7QibRZlmWndFnbUrf0S2lmGKO7QK2O+Sgmu69eqQ/1umDmOpwVmMxCLvrUGrF0pR0H6
6WE1f9Z43Gw9TFI7PLHzwZbm/AXaMALnxigfZwSlN51WFdeFFnVYo2dtuh07xKsGKZ29jQMf1f9f
/wu21e7lSXOWEL9A6RDqq1XV+3ZeH2MUBkN+5Hw5pMVatGEV+1uz1uBiGkT3rfqBZuG80SXpGV/O
28R/gJHvAXFQr7G7/WZHZWPuviTTj3vq+R/9TVY3/vCZjaJnXhiPCz39b7C6/wcHskWVInyxaPbY
/P7aUS3/DxxXvoFAy1okOjr78P/ssPBr2BeZGjJbWP7VBQLnd0icM5Dmuw3WpgA6F0OMREDi/HQu
t1xL1t4cRkdkOS1hXjTK7gcjmlnjGMtUJfxjr7/FFGaHsrLJhYwLz3/oi77l+Jz1O6syqh1oYF0P
vruNd/96C98jWhjL/Lj389b4cDyJmFuaNo+fi6ECwvnJSUzPPYie9NFbH47aLdQD9no2SSdZGV3x
qAxbszeqDldtxAROK3tCZOHdhX969MzuG9QEVb0pJ5GJl7nUohuCbvAq2PwwP9H1ad2arLRyxqjg
at46xVOs38J09hqN3OFW8/ZDEs5rG103aWVGOtikgRS2SOonOfXRvhi1LCZ5hrEAuUZNOq0BacES
hkruH726MxZ6e7wZa/8Du7usu40/eNYdFv3uyS/KFNdJlfUrdvAUkv0QV2/ZlOkPdmgVDJ9tIkYD
JRGkw+4F5Ivf2pQpUsIiTbYKNEgKv9wiyxO9IZSsgQyH8HkMF5+zmusjXgcwAp3VfFG6rG/9DLuU
G+P1i4pjWbjNB5ErDIX+OO1E07Wk4sr+OGq9tlZiZsdNQYDfVLY1XeeR3GoqTkDQdUbxoNn+J92K
MbYqpEhUtan8aJItKlaYQIeTBjL8HuAECVRCTs1mUP14HYn5Ue+i9LaeOoVVEZ8BqXKugdcj0ey3
uiEh2C9lsxrRds88mXXlPuheUj70hEpTU3vZndPPgtRyEnySE1S6xnqKKVcwTGnqdp6rDZxCc1uh
yP/AsG/EcUwExeiWzo7gy3xbilYmgVHT72sQVSHeEMZ+tMJyg2pDW1mzTiy3XhYHe26HwKgi9567
Xl15boI9RKT6MWLaely6fUdp6Gm0DnM9/Vi2RvOhEHALq8EQTpB0WvlYNWomAc4cry06BH9GQrpb
Yk+qDeh88ufNvg3SqcderpAdY+Ho7e1cDSMJLkkpXxOWPRPCegw4ScNMZdd/0AURk0Rc9lfO0DA3
RhIIWVymG0LA85U5KEbLmL8eZIulr9NnBJe1kizpOhPhdoAwBxmEWKCPDi8SkFjPs9Tzu43jD8ar
GcWSwOZp+orPOTxRONhrD/8cnTW7HzAGxu4nnsQzKW9olg9m78b1uhisSWIfJuQK0xPWipVwQBKs
zCoT5gIywbqE5nFaQyWJZpzoofbBwbMt8EWl7cEHgn/llw6hXCP38UBrusYQaKTyOgJxeEXAFHcP
qMQc2P2CMu3lNp1MJ17lXmh/IYllIAMYOs6HeSjzaz8lrJgs2yo5OQRDbK0CBanpqeXXJb2KxBTO
G/0OZKIFSqf1h3uRk42yE0nhHpK2fvLlML+Jfh434dDYB99F8YkvHkRsaWjFDTvh8KmXsFZXpedO
+iqL5txYM7hJFutvPkwkkNUCsIPw8aER60W8LSPM/oawAaSdBrA+/Koeil6jb2V2PRWixXY39f2h
iNzCWcMZBFUbQy4lbLBw61Wv0EyQIzDcu3WPjRwULG7XKW/SW5sfxm4wPdrJyGoLbVtz0ACeU8/u
jct2cEXplyoS6NLsmYNQ9aA6qy02eD+IBqpA7GvVQtsXFuB9tSD4BUeodG10yl7rBX/vskYJF1/A
/f3s1KfBlPJOmUPyVC6Af29B/UdTR8JbOQBdPCcBOE2SfImjlnwAdc4KgK3q3jVqSrWPYH3wbY8V
wQLmOWNAnPMGwFW49dZeYgjq2aqO6AqHT5EnCZ9giPxA87/aQ75cz5qrkX3cEWugnxMOmArZV9Lv
460Y+vrRsQrq29Bw5T0deRrtfaYexDRmxr6pm+iOoWRJzuXUJiksCdl8LiY9z1Y2UV7Orl5CGMIl
jkFWfmWsHAM+QYvFmWwQY3DkCs0E5O4EkOKtNi7hDk5PDBsW1rb/xv7uP+DwHLaVICbe1XwuEfn6
fE1MmrWNJys+1IkJ4mggVIK9YTzES9AEUWAGf7Do2Of5kSc461eTXiyQ+VlqAVHzpFXETiWujXOG
hZjMJc+iIdoChjw4xL4lkbD1XHAkfG0Y7ORVRjWB28/iQ/aG2DTS/RJb0NiXnmeQVKP1rIDqH2KK
hTvfkgZXzb6YmNdZiE5i3Y5aeR2HbP2zk15HkxcSxFEcfEEYletoYwAfU1t7Oh6ysrTjmwlnz86m
cOAfzKN5m/NDB5iz5IE4Hckgptkhs5A4IbuaP5Sna5/BQlT3tWmNV7ZT2SkWBUneiOP3XzCpNVeJ
5Yh1TezZbjmXvKVLVgmr1MG4eY4wsc9xJtOSbNIUWFBXPE7rK8tb0lEcSxKDYjSzACsyaQR0kprg
W9up1hRh1CQpPLsxeIZNteSs2OfIlekcvxLZSxRL3CyxLO05ogXr5EAtfZ6BnUNcuiXPRS3JLhzh
+Lrkq2bH/a2m28nDpLuPCdbeXXyOhrHsmhSJvJHWqTmHx8BvN2/DBF0kR6zi87SkzLQdeTMEsPB9
hecYGiS8+WfLqTJek5Qac8mrgZNMGIKQpNh4VWNc44dlOx6XlBus+nhJOXcRfpN6pI2vGBkkr/DJ
MU9j7MSQahFYEvslfXvSn1f86qAPWYTHSAhHaOc3WlFlD4MkWBVeynSPz0OReNGTu7pEiGFZXuJY
u6Z5iPyBh7XjOSfpIMkHWmCa1wq+nbOGoA83f7AVmYdOZhNvkWISDRl9fxnisXrz8Kki+581/yhs
iEYcMB2z3hBq6W8mY25JFV2iZb1zyqxfEDjbnrNnS5V25mrUZkGBH8f9dWXMDiZd9pE4qM8JthxP
6hczXnJte8sm47bjoX/Prxbcgc4aCFH0EojbxzVPAuQAebVPKu7nehwAvPBotTl/FanlPY4jAbtF
JcjatZfYXdQAbLTSt8qdV7hpfKphRzD4D0VGFok3PtemXz2QlSI+V6EX7woXzT6m/4SIOiNc8spE
le+qpoZvrkUZRmppzDwyKiG7ncpK484kmzA7eqXyyTUV5Tc/15EWpjrss9JDF4CfotdWjdW5+nok
2MVqr1zAB8Vfuoz/lHXvlXWMBOhf/e9l3XXRqeanxKx//au/6zrvj2WOBAsLVdBS2vGCf1V2vv0H
fnOi0ZkwIZUAvfg/lR1EUwa1OjJMJGE+s5d/V3YmL0jvlOYwYhwKP9/4J5WddTHnRh9FPiUNLmQG
5En85G8DKDB0hTLqg8PCZeQQa8aDLkGWeL0qt0UVe+3KKYX+1mgi/CCkD2Moy8OjVivynHn+kxQg
gOPobr5Lzg333qAV73Fe/+CVGacHWRKbW+itHxiEddwaudZ9jWtyt0YZpc+2CU76DOVhrYcgx205
rnNT9OvFshsYkV4PuzZbcKwVuPsu78Z/pi/kDtiwJJap8WKtQQT549wj5rBGoVqWB46a4x1cfqZ5
U+czOWiXz8X7/m6J/Kpk/bFgPV+PdqVlM60mHW/JLf9ewWDCTBijJCkPg1aDY4lS3OgDE44QMNHv
r3Qx21quhIEQ3L7hkWlOq/XHK82gmrFuuSmRDtR+Jts3J0lH23lWqB57M7V3k4zDh99f9GJ6cb4o
Snj6BSwmxMrL338n0Ih1kxgiTp+HzmU/RIJP6guqBuGsu3Fx7/zzq6GvpduM6c/9yS0R+d6g8ixO
D4Y+OMkpr7MZuB8RDbdd6r8z8r4kVC4fDYn/MoJmNrMMp378aJjcUpklujpUckzB2ktq+TUDFCa6
DApXcpLjbUc5fz00Sb8n/bwtN6oBA/BPPzN2DYR/NmJ6/rw0bKRGI6as48RYYVriQdtMcCCiMPzg
u8T7vnOxn9eQo6PZRDaCKwtR3sUgvKZQttrajQ+lMc/3hVc361bjF0zsZyIP05njI3LoMO9c9+dl
BM7ZXeSprktL7NIOlkTxoCIXuXmORZ9DOd/mYHXM0nPVxf/sWsCmeX28LzqbKuaRyymYrbTB6KWv
Dop6HlzEJJJVqdfTVTQN1tPvv7yL/fZ8LXSU3EoPPBcmhR/XUJy11Cic3Q5g9AZjXXBaOKbK6t+b
ol62xZbP5DBc8V02GZar+eN1MIY2tVuM6hDqTh9zmqGeWNlTDnG+t5xHqVRGBBppaozgaCCFGyot
efr9Z71YO8tnJSeDjc5ABe/ql2uH4ixRldPyHvqFymD0Ff2GWYtOoTVlxwLaHRJLa3pnPz/fwu+b
lVwWtyQfHNM2z9BLVVUfuZzuQqEOEkLsSx272RGl13RTMmbY1VaZw+XQIFud9ZUigMY99YfBzcc/
iZGpaohCfnZMwpyUsWUkFBJHfAzxer4j/P7V+3T4Yhh5cDrANnTx00ocKxxmoWl7XFPu2zR1dh30
VUqZFaYuXh+SjmmWTbEmBKfwITnpPaCylZWH4aFLCvvKb/0QO6hn3fia24it28siBo7ji373+2/y
51W7aCPAM9BrpVa8fKu6n9MIAKBzyHzQZcRmemNC7dK0m99f5+JXz4rB+MlXRhWy6Ioun41KM7kp
WqMOxVBAX1MzhL48KZwrRjDO4++vdbmdny8mcLXydHTolV/qiSYP4a+Nt+BQFTWWKy/s1wQxANHi
p0IuRhkFCBunK6MbBQzdPNpR0rTv3Fisn8sv8cfl6iF4xg+K05rs1MsGdlqXmskvI9yLbqing0hN
NtPWH63yEHXlfM8UT39zJLw/pToAalMp0R8pldTeys1056qJ+vDod910B78HRloDZqUOqrQlON1M
svmUyoWXpirzYU6t8FsP4fQZyfJ8ImcJdpFf1RC0qhGYZAaAsq91NtwmG8wHp4Og6Eq4pS1ZfdeS
fONurZdq8e/BXJuiEH1GSsPpNqvRY6bhpL/NGsc4Zq4Uyf6Yh98yT3PKY46SdV7lJDHhJjfshlap
RMJiiUUCrYFb01d5ZdqvkujyL+BMrKfBsmC3jWGfaUEDTvtb2rf2sM5agvw2jRfLU2Txy7Ydthaj
7tUbONcIKmDkfKOzjFk8h+WrUY7pXoTU2Y+6rS5dezfYOoehXIzNn57ozE0eV+KTVw2194Cwi/XG
rz9Ktknhc3kyErV7D/3i0lPpxKcZzNp6RCp0AkhrbhoKXZDlOB42lRoaInaY7n1ASzGdeM6kz1U1
gelcbi98vHZj5lK/Ly3IN8diFqk8hEbkWkdTz+QpifwMesAsYzrN592qM6arup0XG7Ixap/zImFF
Fvpo6EGKhwlLdsm9mxxPNUGt6/KDPSr7pQNQioUk0vO7JWV8yVPhdQap5MltyVFsKgFwUEfZiuO+
nqKdP4NNXjHIdx4J8LSevLyvMSqiITxmlqneUoCiW6Mu7FfaTFpKhd+k9QoY9HzvDDS6gjapxzu9
r8ZbNTGUhKhqqM8pltLDSEjeM5YaG+vssg4zIryPXkfeDuQkTG3reTQ4wBhZMW/zPmUtiaydT9Ew
ofUKKb2m1ZncmTkag6M545zTSYiIQcwHoAsM6hCGFQtsQ8Bj+SrBujNr8Vi9TmKPd3VImti+k1QM
5ANqH1yyjpasV7CCkZbC+PFQMs006pj1j7eFllbbNqbbHw1zsYHb6wSTVtT3EcP5g+7V+RXDEzsg
7EqtgQvpJ8OCxtlVugtK3gk/RK3YFPYS1+rmyWniagFZ3OI2m8UugbMaVHk4krQdW588EmhXJYwI
vZjIx0o6a61r40zT0TQDgwH+1h/JPUQZnCYBd9V89lV/q6Icqqbhb2FoWVsUYMWReR3TFg0wWZIN
/qrK+Fhp4tWBTJKUSHnwRzC5GHs59qeamdOJSNjbemy9FRPxcd1Pnh3wwLG2TqWe3BBwA8RJ8wqN
V6B3iROUbT7sEj/Tg2Q2lnQu3WX+jTpW+fKhkdObX5qvZQfFN9Yyaz255DWZ9JwOmu59BIAVwvyw
yjSYRpTaYVeanzPLPs44u1e9qW6kC+8psd0PfR9eFbmIPraoIjYSmthRphkbsL2ckTJzunGVZZ3I
9qzuDZU2R613kvU8u9cAzyavXNlZLIiTXTaRqPkKarvcQ42Nu1Ue9mG1miIrPhqFDR801CJx3Tkp
b6hIbYt5+GTOT85sW9txSDHbtb3pX7WGUd1yULLlesDVsE6Enj7VJN0/0bIcHqfC4fxQNKUXrcp+
nk6o560lh15s7aTFjJ6p+jCm7nigWZxxUU7RINf0B88ZhgcxTNPGmrtuszx/yJECvoJmGSzpXdPS
FBT80tIDI0uOAmYC/7qeOIssYPg8yV0I6LpQbEX5QHQUbMaViHyxL2NKH1QICb7hKd/6s06va0Di
HcDlzm6hZT6LdK7WBoO2GxvHfBxERELH69YlJX7LTJMEK1yR2zxOnDu9G4GziS56aeNouLK6cd2q
cDjGQ6eTkusN/mcrHptw5eRmo4KeffKQ+7U8Ep9ELq45IH2dwb6VK0BkbbwWqXafTrXYZFP9MSdd
dqtnxJx1du59a/FXkAKXG+YHM3PECzhPf97pjtJIeB1Igys6zmP5WO3LefZvRq1y7+uUSRUgyjLQ
2krsqaD9vT8aENxLo6u/lmjSN+UQT8eqtU4CRu7JD+shDWzfuKaPnHOEycUOXr1/n4YV4MPQCi2K
/1jatClq44OmNLoPbeof+VLJ+HUIEuQhDAk113r7yzjrzb0gB/owVnmz9orKXHsuS4CgMlJ+w8jZ
DUJLty4JRviDlP2UkGl9h30bdHdoxIcwrswTd1CtLUByVR8au95xWNh+fnJpHwRh5pt3UZU6e7r7
1rUfEdNcQ/V8DJ3KWGfeUOxSfS636dx4r13LR2KjqYK+YcgHX7io1QoGI8jpPjdJwB4YDUUo259z
fbRuOt0rbvU55NjvW4W7KhsoG5spwZ9OeHef7tIkF5+cxKWJU1TR1ag5XrEGvZ4eJjjMX1vK8evW
Gjr0TdrorawS1XPAPJtnuu0P9dKZdG6o2FELIZWhADCKY2rAom77FsRsnKV3peu0t14zjnuraqQf
KN/bZ+NcHwYv11YIDbyrohrDU9wh2bGjPntLcqYnG6BL1Qtcq2rrunHyzXcyFQalYCSL94VeUpzW
z6KB6s9Lb2rgKSmT99lkiBDO/avOSALQrdbA2SnRbvJw1dsAPrCz8KO7K2wKKtALpvFOpzZJZn4Z
NL9E31MC3cTg3mxyiHAnxnfFm8CUeZxHrMMegLY7GrDzbnKIwWPw1t6hK23eYti+x7hCN5qyCdRJ
1AY9DMrEeQJ3DVL3C5GhcKvArI7ym9TIhW5Vk0p+2G1OmdRq3ypXAlB1SvNGDU73BIS+f7Nr5X2K
Or/OMVD6jORGffZofDsTcOIsoCOCy8O1pyPzVj/aZG7/MrXElZHAUJGIiIp9FVfL5HJIjIBTFIIH
cxK4eiq6GmYVkjqZjhbvqh33dh7rJ3tQKbmAA88MRllTFqRdh/2PzQlipxFX494Il+THmsj0dYtf
nO1smqNH6Ong10fHJMjSH3mMGHSHWJd05YOombUPKvV12LIF3xsPhZ2lL5biWYF1pTZapiPpOtcy
7kLtqc8QOlnKdJT0kxSlmSPqq8c9ztrwmfAG61UzS+2bifTjOvQIMXbyOQ6Mgpcd7dF/MnJYuWbn
1J/D0lYcJ4GTM4F/4mCMgSp0CURPqgfXeo6Y2aLyZXtFc86iyp51J9fhjWsPooc2HoOZD5AjbpFo
uas6Jz6NbMFsNXI4WQsh5crIa2LvqLFJNbOLwB/VW5KaMg8wRblwPNqCR2UEokAzt507fG1ny99R
y9tBxdBgm6DPDpLMPZpN5gQGLBzghh24Syh8cC+0tQhZzjqJI1eTk+262SBUlBeWBThSLMPJKsum
dGe3anysXFMGZudFpzjvv2klY4ZqzvKV2/fmUdHY3TR0s46qxsLo67QHzBEiolXW3a6UCwq+JWOQ
Gp+nDgchENOFvWl8VW0zvLzXejvG14kx7hI3WliZcgwwLbrI+MbbAVnSStqju3dq2MZ61nuUJuU6
7UhIIKYmvBuNRmeSFqOKa5uvba3B3198SYarmIJX/ud60rJtjRf+qi3pHcwMPuKhuYfI9qpcmxQV
OXFOAQKZNcdMqz4N2XzbJeGRdLmnsg5PbLk0jMjEIxJl/hZX0TOJXA/CzHclp+kgj9NXX1eoCBOa
lKL13wxHb8i9WFR+muE8FamqN3phvo2+wcGKzK61J81D6oI8BtUEDrREgSDgs0bul6yH6mFmdLVX
jkZFEA1d9zJb85exVwc37hCdiFQNweRP0YuOSA+LcO1B7a6ZfU2walWhrJ0xb/oKlm0/4h1p5bVT
Pele3yEMqvyNbNSjIHZqTxZNAtOy7z5qZu1txgGhVU8Nc911tbZHVbD8zCf96FhKfITunzNQqlxv
3cihPqjKpT06xEs5IXw57gryIDc6GgUbFKY7X7e9o9VbmY0PDmbIP3WX6dlRK1MaOnCKG9JFzN4c
rCum3wv+okJwcJea9fJ6ZpXErxNN54HGBVqxQ4Rc32f8njD+patpx+1Kj1NjazSoLAkXcYa9sOCH
3rSkW6p1oxVxBXmVpqnbDJScZ0Z+Z4afvCgh/AAePqsbc9OS++BRiEBASiUMpYKyKGLZQ+Zke6HP
tMw0pqILP535aaFWUWMsLJVYzeNNxTPu2avC6aTZDlWygjzeTpWr38Sao/oNOJf5Hqwp2xI0XSvI
jaU6MdTYf41nc7iN3cm41g0CFYyoTo6S+IBPUabR5I5sQQxJ47QbF39uSb8LYVxRDK5zamW/lLx+
C3ZcOmXzQp4RR4dUc/UdsQb1gbM9L625ubaRBQU641kkdsIgF0Af3Pazm2bmWtUc/1a2LO+ceg4S
QmAP51CGJVHmYCagsVRjgVCXDk0B1MEnrxP0CJZJzfl6fWlrmwnlyCF0SfegTuh3IBGyj+f/xPcy
80F3KfsLgdEE4M28N62EGIqspQYbazDzDM0Ap84ce/6VhuHNufvoJ9xMBMPgO2Vbbc+N4jIdGaOM
GJi6hL5xmqlSXykF/VrzeYuZHEiGmElCcDOneSlUywdQMV8t+8iMKq/DI61S42PWkZPC2RcHQIhF
/FA7+XiXjJx3Z03qsLg7SDvlNGHv0/lcdkYvvHQo+6pelkXgTHG146hGbd91qajXfRIOsKlnuiI0
L9kMOoPqREcLDmnNAesY6lnG+tdn7dovohIciaZ2OpBY6XnzlV/XDTG9QKRpyaA9J7UimskPSYbB
vk6rVr9xEIRcFTEk+2Z2aF6FgHzO605TxHwAiCHjYcbRk9a4WmTbkNXaj9ry/iRR1RrDY5oilFn3
abfck5RICiSi8z3f1XhTiJ7bRpMysI1yPp0DQIilBz7T5fNJTCHJxItlqijUvHVtVkBr67y23y8v
uKRWRCZOGF/23hopM/18UWIxy4X+MdP5JygQ6oPIl78tWu6WQS7KFBgWoTA9L7RB4OU7axJgcNgY
jh2vkzYB2Naw7iWRVNeGoM+6PjeeDBKxv82GTVMpZjVZMy8aj1rxSisxt9Y8zvun1kSHfU7U6GVY
vIZSH+8mtG7lSpP8hG2rYzY5tOExLI3iNRENorBqJMhgavpURzWQhsYDxQGfMEci2hEeHSWcgBfu
n58r85q6pX5p/eX2ZnqaHLuC29Q3hfkAvDjmpMUbNxvyGLI5K18rT3HpsWv6Y9pO4QH7Hwuy87Tm
dZ5IpNLpyLUV/86vVXLF5vvW/Td757Udt7Gl4SeCF1Ih3DY6MooUxXSDRQUiA4VQQAFPPx9oe45E
nZHG5/rc2JYlqhuhqvb+9x9EP0apldF6DPJLjdqGROyYNO+xIyUM447DMMQsds0KjNUc/pm0MXTj
sEsaIlUcIPBLWWEX0E1wWbFVWSwyumzruna8GK9ih28+0PmIbc12eDAdAfjBWDTYivUtmJA8XAgp
gBRQa4wRkVr0hBM+Umeev5ifE5MUGUaRRgNHRLKmm07E24buFAYg+2PocqcSLzHuFhqCVz+WXHA4
rO9gZ868eULGZ5DMqpg6gOwfw1fB1g982r4Ar+9vgUefHNFg6Mc3/3I9BkyhegryDigVxXhKWcHJ
KPP2wurH+iqdBnWXmVPwVY5u/Jo1GvawSMsZ90dOJjdDTT4LH/vvkMTq0xhinpkTp4k6uiNKeus3
ANzbklyD+U/4+b9Eh98QHWxMbRje/N9Eh8sX6r+X+uv3/PW/fugvnoMvVjKDv5qfYTCBXQiDrb94
Dn74B+MNARedkV4Axf1fNIfwD5/JYkBlu4r5Mbf8X5qD4/+xzlktKBO+6wOPO/+E5rBO1X7A2FfT
LMoLTBcx1v3JYLo2Sc2r0oIo1MQSCyMwt77A4XH+VMHiI41A/C4Y9aeBCSa+gPmg/Xxz+tx3o2Jw
gxTKrTcftUYAbxojATzelP1mevDTkI9LWjkL6KwQS/5Eyx9ED+4qUn2cByJJJlu3N0XTwSWAtbQz
jancWD2mN26bG7f95OtP370D/47JANfk/X1FXGCvM77A5hn/NGVUM9vl7A9HOFSlBkBLl33pcyaP
WKcSo512Z0Saox8lrAAYTIKyrChGhna6Zx/7CBBkJZuGdg0bDTRQUCnJDQmWqdjPdsGfJaKlqiKn
NJZxoyUJXpR9PZskvvjza4tp6K2TByCBZIYcU5egstj3WiAbdElEfs2HdXyQbWRizeiJWtSOG2aH
y9FstXVHbqe86miB7+h59IfBIdBx8nr5ElRVZhLGMM6vac8VjXU53pcKBnOf6/oitsgVJD4HpdnU
2PVFGpsYYmWzfIKtwg9OOgsvevb7HbPt+DYcQbW3Yy/N5sStqisIkgzaopgZsXMgiJvLNP3ehmCe
2XdzM7O76ia9FsQnYNQSYjvNaUAIhp91N005wrkbMVKK8oE48d7DK3hxdIY1STVtIXZ0Z4Wy2xvq
tfhsUb4+eK1VnlqMh3eWM4z3OY3YfZsv3keejr1b4GbsahvAV3m6/TI3UFESHy1yNtXzJ8Jtmyd4
4jyZFgXm0VszMP2Jg80Z6vDCg1N/JGp9fp2UnD+ZHT8ym13/4JGicBHrxD0RrGPdKUCqh3yY6gvd
NOFFVaG53qLXcnOAWyI2Np5azE2B3nzXy7iMpnq0d0Bqxa300nCjGJOQVdh0X9yYXyYFpCYi4XEj
OgI+kQjhqhYOKss5MIb54GWqPDUBD3f25QQzLqdD6B1c2KFKQkyRJEdxoAIg+4BXB8OKi9sEU2/A
urS9gnUhwMST8VthwsarScPCTcc02TSs5jnT7XiPAdpyGbYjf5WTzgeJ7GBjaa44nAx5FaM2izyj
FddGYo4gjlyL5+YhM720ikYyP6rNmNbjN6bj8wHBmnuduDyJGDvpjVvLeVvRPlYccIr7WlB+glKK
CD5iDlirKSEZ8cbxrWfG7RfsKJfLekrnTzbS2gPIKklBXVvsweKGr2buWXewrKctVCt6FYN72yc8
R9R73Or1FS1repoZrcR+IYwkARzgSbgeQQ8krc+vcBzlU5n48VnZF0+T0SsGiV11nQSvNN6UX5lR
eSmWGZWNjE08m8APq8pD3Sc27+bGNorsYBNdtHXd8tmN/RHs0JfM4gUv5VoS6ZQHRerZsI9bV15L
BgTX4TCJazXH1l2d9fJJCa95JlmGt9Wn5ersuHl2KjGf54QmftTBOgAwcuquoJ6al4TSBONvZzao
0cJi+3ZxQcoi6JveuNWzrIetzvLlEt+m/gHoE25uw4Bzgz1TCeZrEQVX5lXkTWZ2HBrbJyws1tmB
KDPIAaVn8piqQvnrEKt9tDLSuHJz9gl3sJ32avBIX7MfgiK0Cu9pbOpp+JJ1yn3KiE0pkuPoLLWL
8fpi1Dustyd1ObdTLM6mxFHuLcFpRGi5ev5kkdwXNZ5K640lNEbi7eLteQ8FkAnMQKYPemBrUvWV
apgTEN8TnrlG8WEwe+OmMctbQ6grt5LVHpayuFlomjbCB/vtRAKGHF8BmDB2wvXnmNhLeqrs4lMP
1WoH7VftlDt/zgImku6ovhapXZ2MOvkCRSE9pQsOcbWl5EUDz3hXilEDrSbDVyvr212S9ed6aOM9
mgvrTC9FuLXA/aPSFwm2pkl25S4M4MBUxznq6JC8PDgzCtlus7Ktl40M4/YERQD5haHBw0wCDKqs
gGVfleVrIhdmV7gKgd337hwheLydaz/b2ZURnudEbF5i2jURK8OCJZfNOs9msqxVGCQQbniQtjWa
JxMI/1j5dDVycIJdMxl2BPzIsqzXHFIT63LbqMzzSWThUSXWR6eKQ1opv7+w6tApdzb3/ksvp8mL
BEYVeJmjy4kRjwzjkbwtmBjWxMA2Bo/pQepq21S4uocWCGuIilPEXrud4/6L00zqkIiEM48DPNgT
9zRuUuS2u7z22lu4itbGGop+j48zOuO0MOg7Av0cQOnZTE6hz2u95n+URfFElEjjR5725gPDQnAm
36Otg3CB3+zoOlSIDu5wMJP2rhKOf8J5yDa3M5sIiYWFtPuNZF1dumUvz5mrEk5pm/YJF9V+66Qp
q6rf0Vi1mxoLlg1osjiTXqc/LZMD1XoNGMSW7jiVW2c0GoBgb3mRpSlO5HQtdzKXDZl5fXjUiwhP
lYrnD1nhLNsxVu1ZgfQl8uySSBavGDfllBQMxhz3xu8xnWri1Yc06YgrM2Wwb40R17V1ZD0JByFd
6OSPvpeQZWfOE+qpmeikcDT2iJ4aYLnqprQMznLajVOWOYDaeKlvEyMJ74nCtQ5lxhvvOU16CkYN
F3yK3csGLyCGJ5NxC9kguLLaZT5bSaIlU/KQMNLW66pvbtJeEVHuX4QaZW7kThOQb4mTNOO3tLiU
/WKdJP5rLdI8rzsvl9h5UtDQXfRPE/IeGxXueToz1YtyKze/SeJ+SnSBtae3Zm6OpwUVTCQrozso
NOBPU6kyBuZFll+4Q9J/qZzcYwTduyOefFaN+uOJwB6TWJOiJ+eqqQHmDF0Xez8V4+cmt5poKKe1
LpDtDbk45ZZA77rZBWhgzhF64eRPfFju8/pV6YmM7e4ibPvGjTq4+ygQG5GRIoZ6McqzRlzPdpwd
l7SWn21Jb8yMcS7WZ0Pjt5ZIee5wDq0shVz0yK5shulBLYevAUNEiRIKU429WfQcOOQBzK84awA3
zEZ8K5mksgagX1z4sSnjbSLWdjPNKoY0UlwvZETeGo2UXG7mpHsFoZ4cMJwKoooiL0WQqeVnLRV+
dyn2qyTzcToTlIBs6K34ajPbuiPRrf8qcz8PtrZIuT6rWv1l9DzbO8pQ76NGBNCTj9e2pE8ivdnm
qV2e4GnVFyXxjEfX7OGiNBObcZcn+aaSjE22qeg53MOqMW7rJFT3me0k10lFpVELT14ly9u3CNtH
B6VStonbdt2UITa8DgR8M1T3KU/CtrU+sA3WXx3p4YthwGfj1Ibj4yVsRJuq4+uswZCH1DLUfZoB
amys1ghqMPZuPiSVN5+bOAHsUjVO22QNbWootp6AnKuon9fyN/SaJ3/Q5YlxjLnB6gUr5krPr8Es
s4Ne4gZaTBYCeE5wMGYRmwzLpVOS7BK2v6PB/bseYiUI0i/5EPbe270w8CiaJDGGY2LY7VmMqdNa
Dvt11CLoJzZ3Le+dNtiOPJjnfu5IdptqbrYaxO8aGmtty37sE//8JhA2ALR+iuxRjdNU4BTD0c2o
/CNvUeLa9wZ7lwxEvs4uBWEacmeHBJTKTwhiyHtBGuDQPCdxzYtZI0/rnXE+ryfZPirlutdEN+tP
ExX3/tfd108uQqvHF6KB1UIDv+afon7wcyn80XD6o5GtNIYeFHaWLDTTypGgKd46jiJeMGvkjSfR
lxwSzql1kt685JK62Wfi+RvK5xun88c7iPYK4vf6pXyI9e8a34RsLzvMCOWpKodpIi6ma3CVai+W
yRgPXafSLVvzspuxnmHqrqigcknz6qfrMsUD+jaf3PaMkBUYTrFovqLx8W8CLyGRbCAtPTa6BquD
QfzOrxnLp58ePmz5APCCptpZ7ST5/e+Y60IZUFXmqTtqEtoihGQy37UVbh0N9BXuJVkNYer4r7Aw
xyOsy2RvWPYLsS0PBOg62E9SLhliSrZKVs3l2Nnu0yhJv8wWpzg3zcp5tnF/15fYTtfjOUGTARC8
VWwR9Sz7DAD7ULGVHJOQRHTTSkl20xX1almFFxSQjC+0M5/jaDshjSDRoVl3GNtVxu2YwDAzQMwg
2yWmIGLUdZEq9+yxngv9v58a6PiKDQyElZqdZpm+JCn4Qxhe8IZ0cLwgbay1uq6X9qYmyYE9hSy8
rUuI9iOicERPaK0/uswCdraOcULBdPciV4xVRuh3ZNel4/1K7iV3Rdjlc+fAHTwbysVHlRVPCTcp
gxhi6H7QO5EUqRkp6cQlIYsOEsguEnj99O6WC6rt+yYmVb1vHfI8fW8pkxPqumwbL+v/iCno463Z
I7uJ4sxDPItTdmCf43nYE/HnaMlpTE3fmWlew1lIueKkDtG1sgkTVK4p5X1YdBtjpsinnTaPdN9s
sYHbP5jkg0ZA6iLqBeSvqAqB2HVH4xakrvw856rYd9mQHdRIdWUWE28kE4xhm9aeuh+y8tnv6B8h
tsmnYCqdbNvNK99mvXfhmjd4tiyrK5VIjdsut52TxcFxUzhjdohxeK8jNLPlaYBt8aJhn724s0Vt
aJe2vWHZFntnCLoPdKLBxdyaiEAnmn6vrPuHGnbcAxI152RqdqNh7e1q5L1RCs9mityl1EwZy0nt
rSWpTsQl07XUvrOhdvJvKqdT96YFpRFMvnkRfce8w6XDkhbd87arF06AobF6pHQASm1byivGdeQl
xi67yRDXWLQFA51R7LqDT7bewhrpoThYG23xm4O5tF+aWnNXqgUSId3hRmTucsRZsz1rZQsqhzw9
3OhwPULTiu1SzD4AUGW3j4QjBBfWBMyCEDS8SCzZnWWzX194uMUcOg7QQ23aImqCerzHHJH2fpqz
Q7AiQIip5VVVgA/5GW1ygIv4K1PHZNllwSKfCq/6MGpffmb+SLttigSFkgu5cErxrHT5S2tjLZzX
b63dlcsVYCndRQ1OgBezM6E8WZeqXvd3syimLewF+SxarfYky+ZkbpqTvVNjBjKyNq+ZNmngU+22
N2bd8WSanFLk7SyWdVITo5bYMwJXoPW16AXXcZiFAqxydaU/ny8JIwM9gq69vYYMTygkkro1j1oZ
5CUnIB5OP7c3b4hP7fD6kE5VRh5Rz/AD6YJJd86wpaGgKnE+vFCxh2XrCg8YicFtcFs6WwBHbv0K
5C0ZUfcF3P1oStNXTEDmy4XlVkd6TihGJg0WFiSgV6bUxW0rXY1gmjEFfQolmWqYXbaKGOi0HnjE
yYSGXy9cEU6eNiDOwhLEZhUILoZnDLRjQjpUEAGQbQJnANxNu7pixSS6EsR9k3NPwWN2AF9jDzet
AxEkZbt9XNDTlhsxTO0X8vyg5prD/KlGa7WJ7a48GSu4Ap2PbY2OnsnoitSsI/JNQKkBX2nJ+Jsq
G7CnXdjiHIuPf8Nv3g5JXYDd1k3qQmw0vpnmspbLvsHjKyuKpbbHcvnPVxNKzR47hPJUN1Z8a1pl
fSEbu9i2wg0uoDm0j40Fhsb4G0wNQ//6YiJk5np06bSYLg1s7obdf21KTPZ1QrHTmW14Mfnss82U
cgtTgUTBrB0eSFFgHdLTPu16j/IcA4bwYn2f227dhoky6uHNlyCSYeZT8xYdP84hOp9nCALv0hX1
pi5ZTwEatGcr4JVwF9V/VS2DuNSKk2sfAjrk3/X9IWGYyGBwyNLjcuIV/Xorb4MQhJRI5uK2wj9i
v9IStx4G0XdvZ4M1AAHDPkmvfbZ8cKfVBsIQ7rWfGGjmwykMLtqQMqSdC/sO/vsYhRVDLA+5AQ5J
PPjUy6076REinikeZAhAfJpLs75YHFVfCJsitlqfQUp5+NRjgy733dJQnE8Wuxm8sft5okyWBfic
2ZT2HVR+Nlv2scemD+QT+jjGtFgORm+Q4DgAWgbksJ8lmFIxraT87NlNZESbU+xX4cO+bTTFyUCz
U7GwCX91QEGbkkUxm2PzjCAagHoCM3aymFZhoHB2vJakJ8DlHYc9L8/bNqt97gbIETxvnKUe6Opn
uIN2tfYTUN7PdOfAYga0+YQUn8Eb5hAzBL+Rm2myvaUj66iAkvZgeqOkx3N41wwzvtUTeJld6io7
1ejnzyZZAiKuWyURTvauK5ziegmI+S29TIB6Qd912pDzIQUyYU12oNP1wLwXwyLrzml99c1fucsD
Xx2GbcHCzUKaEKbH8jOZ7pQcbb/gCVazyDKZpdcQz5/HUXDXELg4JywoWCpjwT0YSpNuaJzaR6qS
3N0ozbB3Q6RvSN2iRHbFXJlNdoJUct80MRXkPM7bUfHA54BEncIGUn/75dvCnKucI8aA8/lFTJyp
aE3dU70M+oO2jXlfpXkGvaVhQWdUlYkv2GRwH0yuXeljurqIbLmU3kJHNvnzngSUV+UujQfThgb2
DSheqYSuTWc6rVXArFtaMkjK6gCQwBVPCDZyAmAD9wneUIqbHMXsAKCyU4Jx66aAk3U2xMNfzuf/
HVX+dlQpXKaEvxpV9v3Ll1RBGBv6H+eVbz/517zSC/8IcYWyMNsB7cI6iwne3/NK5w9heo4QaB4Z
FQqHRuFvD0P7bSqJtSHmh2sAKj3CX45brvWH7azO2jSxHrsQA9B/4Lj1XggV8AmoETGm5Vzg272T
74XOTLK3NOQRv7jXlFL/QDR2vJpj/M5y9999kk2qCRIkBl4/WfaXNQmWa7l6DGwsEYiif5Z1oze4
H6jou+fw4c8m8Aevrnf91XpNfAbkZQJA0D+u3+S7/grLl3jpsC46DlOhoEKY1/2In5PXLvf/+IMA
EmyCoPg4k8/68YNGjETDpluQALCei7J4xQ7wNeff/8nHCKTHPk/8p2c0MHrrU6ElPekU7sKA4eKq
to4Knf0Ht453Fdk/kYGM0N+khN/fOmlWbpNyRSN8/wuNNgNWvE0NWOe/uSjv54eE5QAekzwnEpne
iyf9ETkNvkfymE5wpDw1386JvreM+V6OsHd+fQffwy28EZDi0RMiewPAeC+9h2LZsDYbeQRqBOTj
KDnmsPI2jZG9INuCyewikbfm+J9HmvDBLhGCq4AagfG75eV1Dd0w6OUR6KH5qLAagNttFPeE+jqb
X1/jeybA2zUCibArYKDNqv7xZVxUrmYSOyXxei1RycxJd9jHxR9//Sn/ZhUTnf2vT1mxje9ekJVh
MRoM9Y5GqAW0JH0/VphAYvX2H9267z7p3a2bkJw3DMR5QUo1bz2dvyxIp6L/x/J6swr4HkviW+Mi
G/Bm+KFL0Or6rn53UU1ciaBqZIVhsN1spTka6N0kZ/viVvMuZOy+tcLOwsxNiKPZ6Wabl05ILePW
Z/AiIKhP9B+7gKi2qGMQ9+UNRvbz2MGtyLT2yi9eUUA5p2SxxkvpI2dBYdF7GzsEY2okfwQPoWpH
m28zHnfE0ddtdTN3of1Q+HZzEnEeP48VBcpUaXGM/YV5xVyHhynnfS587SUArnj4bADdQDBbasth
IGVPFWW9w8e6/jgYuXtmhsv0pY3Z5a3B47t7Fp+Su805Mpoxj1I/SJvd7JZYLBapAcGT72PgsPxS
xVx0gaRi34SJvGaQ12wHYmtxqnfiGBMxXBDIGncG6OUxlXFrMg3LWxB1A9lpVJlc3VKxcSGfGiLw
cRsCBZtLmmT1zvM4AhBKWnv87xuEC6HlnLkVZSTZVM05ugmMDyrKnSBEaIn1nf2QpKM414mVPydB
U957E4hS2zvyqfUq+yHm2uXGn8BGZOWqhe80xkRa+jIcsPyZWevac+lnDXq5+35CjErRXd1A3Rue
Y27NeZq38tpT+atp8UxV7tkPVZC96n6KPw7e0pymdWtM+745n8t1xtBRbsLHDjEc+pBnnr4l4to9
saMPEdSQ7DAmpbOhDMioQW1Vw3NDBr1xFXPKBFELRN+kfsWuy7pCTcZNVCXpJ7Yxgda/vfZln6Bn
M+PgAi1bvStwWnogZiePFhduetXK5C5Y7LVF97PiOVwg6VXthJRGpDkj/gGletQsnVceMqaE8tIC
Vwq3XhqPj2ksjXDHwLIPkNOgINx4IAYXhLsvD4FRizumO9UrPmXNGdc472qmrivFuj26EInvG5yX
7hx0OHkkqNCzqIMeU2Bzl47NXmlAxU5LhxAYm0cwxLpAh4bmudkYSWEgLvDC+77tWHYuNFhEKxxx
yxwGdDtyVBtRTjK9J6ovGQ8qqPOXcMIGCr7eeEk0NpyeLERF1I+xpm4Ox8elW4oDWeoDWUZGZ2f7
XDpi2S2Qd9oN3muT2sDstj4voey/2gtryzUY/G3LSfSfRow0npIcGqk/l+yhAGFi0wHXnkFGyxgC
TkjFrIInIdKkeG4Tuz7D4LIGQO3tCG7/Kw1ICG8HsS1fBPJ5Us1bY+7pR1LoC1cJLpQ7bCfDQ27w
hJTD0YfIAPAsoAMXiJI/5mOHtC6VOv1Wy1Ac68IDT/NS6PKupR5lP48HQo5gXoaKF2FBxHSG4RWM
9dWZ1xiYQVrlIeySb4Pq/G3a649oFaEXjAiX5+ysqj1gohipA0ehf5MqFiXDZr0DQhgvx6ELd0nB
OseXOIZL6RcPAezfczPUe3RfmMktWg5RNRV9gccU7svOUPJSsyvqD2kJqaRWeXjtUFQypmPVFwob
0hE9NjhxPu+Wjt0NScd4sNZzV7pct13lL1lvBNcB0XQvpe6DG2ccLFIoJtAE3EfPtOKNIn48flYh
1AmznJvtSDbWTvQLy6hCs0Cco5q+9EYHVz/p2XNStwhuLK9rAZTLFyRvQBwd+4dHrPfNksE6tdEl
b2MfuexGOCq4iZuiA/1T7GRvlRa6pxbtW6W2OeYIUWWrZutNfHQHMHfM+mBgzG9NX1LCh2Rd1psk
7E3eYIhOXVZeO3Jo9unkBDyESl737VpXN3ZzXlqSl4nOE/PNynJJROLuZHEIluABtLztupDUnoYi
sL6ZE7vVuL4jwlysqyIesqtc6GQ/4qnDHkclsTGMQVzlidj3DFqisekwvHQWdsSh0dG4eM0n6ETh
9eLHNQouv4tco58ixRPGNtDsOtJevfpulEkM07auMaFQ1U2v2HuMhN1jCln0xYj9zIgn2t5BNQoS
OGZXTmybn0NLDedALdSjjboOir489p45HvKUuJIqTIzLocuuHaxHHo08769nnQ6Xcb48ZKYzQV+B
hhbMhGG7iyWOC1YMwMnYzkmjiz+UxZPfdtWWAexrk8RJhNToE+v5vhtNZE1Bg4AhqdCymQ7xXzMc
CI5F/BM897MhGjTJPofeGrhxMrIUmXzNztvV7DhmFUBYMi1Y+wuPVP65yXpuTwwIz2BP74V8zNNw
bwLyrDC31epI7onbHQC7NzZQ7LQZ+jBHwFWWbGY5TV7LK5KH1eolVax2MiaCJsh0CAq6qkMk3S64
2EonqxiEwt6HnjG11UZW9qe+squzqXUwK/EHU4IvQ1fAgFBtlUXuSgkMpskSPZ8nGzUCh0/Zsf9V
/hTftqDZxA0WeWoc3Gys0jNc9hwM4+BRj8EZtJoGBb6nHMwIqcUJudgsYee/9nOeBpsA2/RvUkC0
sbLEP2kwbMiGc9itSI0wARw1+/ocrBEK0dANw4fa8/Hiy10VYlwbJPlukGnnMjlV1sjU1+qfg8Is
YBTp8uOUOxo+oeUBNFFcQ3aQ/jye1WVebJFofHYDhZw4h0Aw41LsCmInbI/1xcYx3uCbaqzSdwMy
ml9pzmp7PrBObWfT5EyLFT6DR7slDFe38UuRimLnk8q2eyOBYXmHnGOw9RWOgYixQTjNbe3aCivL
0lmuWK7JlwRDMbUprN4AgkZBkpeGccq0MIO9n1Tsb67H9u0mVCd0S5hNTy5hRFvJBR8LJiLMambx
OweUn9MrMFuDkWyaoWDkiqv2j8VovyyJq3qzPIJMsd/YE+6fiUKKE3TUCQOl5dXsGIj/7IW6ogi7
5pwFL84Hp4KdYoW/a9TgZ8sfiuP1+4AQkJm7hh68Ny3yExvrTbbQY1dZ98oEQyzYUycfu7pS3cYz
x9yvW4yfOsNwjaCz+STsIdf4hnc3AGlMlQAlIjSjCKtjFXNAcRzXddqcG+7cnH79eT9Heq0f6GPN
Am3bcX4KKK07ChzXK4hyxp7D2LBLNNusx0NkC5n7BQufcFfg+3DtiWD68HbsYBpDfl1qT9Yevp8R
xUUpXpqlHQ+651z/9ff7OaeG74eVEyyslff+U1MudYbPCIL7Y1pV7pka++q1cbDT3kzD1KMHRZxP
6iiKGzJVcmu4Wl2FN1bBN5YWhTY0yhdKmfossGE3zDadZ59J6MHlrMS5a0Mirru8A9HvQ2TTLfOC
gYn4MYnZlR1N47pz/Sr+6Lim+0LSA7SZkH8csPn3b+BOcgDHsyZWMsvy57dTsa7NMIimpbB/Gx60
drHv3kZMwjwstDxPQCp793IkCnYqp1dxHMjMRP/YNxukoRivOO5ji7ruyGwdohosmr1APhRhhflP
g78xuyeoC8Lr6nSHquDH15PYyckjBys7hvTbB4G9+DnuEb/bBn5CLPgUgAqb1D5S5vz3QIzK1Bh7
dZMdPZfi2SMDnKB3DwE5LJZk4xUNuqSc5oEJ2Pj46/fN/vkeU6LArgjWzF5CdN+1w7hpuWNXTiTZ
9VMSM8KDI2XEcfhcKUpjpK5ivg4NEd5j03NfhHOL3FdM6BpHkURDU6c4qicdHqQtElwHSouknMRV
+Ej9zTAYytjXNl41m0ZMCPCf4N9/8erf4dWWFfKgfoFXZ19IdX6pf4Cq//yhvy1E7T8Qd7Dn/p0O
4fwvVB2af7hoBULhAp6ZwvVQiPwNVQd/kHqMOAO3CCTwb05z/4KqvVCsZlM0uiwaX/wTqPp9hjjI
luU4Ltw37B5d0o/fvZeI8SD8lr11XjP4HLCgwGRGHzsBUAD5oiZssknnqrnIC8uYKHlxOIbskiII
7kMpXvwMhwoLJmq+lkci95aZXGiX4JTzxF4dh6DCsbaw2UBH8t2d/jeI9LsjDWcFvnDArTXZOATb
xo97RtArHF+6BWto+Fy3VlobkaBMu5hH32QQNdMZ//oDOZh/3ChX4z+ToYNLPgHAFvfsx480stKR
hmqSc1DJC/SVRh6VI2fLgVTipEUE0Rrt0epM+I3EYrc6Uu7ou8fQY+PZiyS1mhPWdgAKy+hzV2ov
BkexB09/COoMDnqDQeqHdJ3vlrY1LAc3rpvzvLfiDmp2zRlhFXHnbdoOP65IaAVDFF967rXhjfoW
gxj6PkyUX4ZaNj0uEQEfFQJHJLvOj9emQ8SIZSfPAJXweCIU10Ov1J58yxnTIxQsHTKTlo2fo7dz
KIVm1wi73TJI66oLwDEiP8nmhLyHcEp2gDqIm1O3hOCeJvadBZ0BdyG/59r6DtKikc76Q+JNfA1t
Z4HeOcKWT/Y4FQtDYrtNrwkD4hthbOqcKHpS/alDEkW8bWtAe7Pz1OqJcGMicUXwsW/sPX/25KPN
8Dg9G7qe9y9BJQ2c5ovxdulqBsROaesHGVi4bjn2wJ3Lerw/IT03ujl1EnlQNHYFPxR7MMDoHUZ+
VyoMenbYznOC66WFdGSYeZ6uZB0QxaarV24qnO0syotavGCCFd+rmZ5nVNiCMAnHPGPbZt4NUbP8
1WbfcpPwfuIpeC6jrscUVYw8ugva5B330VGRyFZpaIZxFSoXATvu47w0PNbRFrZ1TtRkmZ4t6yPx
15sTtlnB85NOcx62BthKVg6kUi3jOF2meF7dGIEJyRyADEcWGKEBNB+M4Hc9LgxM/ZEz0GB4/uRv
m9Eud2g5EqJQWmvlMuv5DpbkcMXpQ29W5TEMmoVQ25ckH8TlPCfevTH61tU0yvIDHvbJiw04cgQ4
doMos2v/pU6K8UE6mFpAUOKVTScYliO+BkGU5mtNX5UxViq29gT8MXwL7g18mYYbG49AfMxHn9dm
7Hxu75RVXneNM4Ugu1AkRk3WpmodDFpnN0gXB9TANbB1qTTPLnMoEl7nfFbyif+s8lc8//RtVplA
HB55f1GT8I70zOtVROds3aFL4/GUBS5EG4MQCA+m+FICo/qNfOLOsLgQQLMoC9lM8b43MVV6xExM
31LNsxAM0qb0MbOl7R0K5t7nAvWF3MS6p98fczDLPLb1B4YX7VGly6wvnFpx6/1G8SmAZPmysVht
4Q5pIffFD1dSsBL0G8iD7e6uWBbDuDcU6SwXA7lP3YdZw2snFsNh+10q2shPmWtWxW2M6/kRjmHX
AoY6zmlBIT5ulrniXtJTci+1OVF2hmHCjWAG1R3jMkDn57KrpGeyRZoYvb3IhTZ4cA28/G7rjeui
GDqIDhs9QfFjM2/su0wZqLYYCKXeoy4DZV/nMWQUyEPWm3v/ZGEHFlA8BqtPAKZoSa6Pfpx0+XNn
dRAIN0IhMnHiYCgeOnYIK0WWQ+rEdVPVtRdQ2xhxuPPLxCAxpSCjdQPTMz/rW6y5oB101lWOz4p+
CFTcFt+EX9s2GNRMlMmuMkfbvq44fxby1xQcwFNc21ghbIjYMM1TajtgBMJa8X2DfHhkYAt8lCwJ
rmq8Vx/FqGJgXOujPyaaVJj/Ye/MdutGtmz7K+cHmGCwJ3BxH8jdb2lbkiVb8gshuSEZbIM9+fV3
UM68SMun7MpCPR4gH5ywJe6GjIi11pxjFlX/gJFP26K6TfAr121o9nFyNHM/wqMXpTAs0mEMhClm
e5O4hX2g8+OsuexSaSltdErNnUUDoCQfpJ7BqOXwjera0z+0oIBCs9A/abR6gg5CXJDNZRekyTh5
B5EZ8UveRu7XKTYjbDpN+a7LnSvQkmreZnkz3TqVG3+yzaHcFmxSG4595h1Dt/KTsJJiZ5Q67SZ3
KQA54P6/8WMYSW6dUZ0YRPhcp3WcPxiydQNfb7vdonW0AIYJ7n2DpI6hU/1uyJfiyqbDse1Rnt2y
rNefpN8n7wcrvxldfZL7RrXWTs1qAgZSlfsB9Mn7uHXyh7Gw2njXdCWmATYwmENqAbziZzs8qLAZ
1Qi9NXfp3qSDWd2z6dSPpV3UyUYubUm6ml59TBzoI4Kthz6PY/dlCMdsutTOZEIFGYpNHLntt7QB
bZCjzz4Yi4x3IwrLix23rrVJoP3MWAE4DmxWJgYN2aLae7ma1ymXWR3dZDJ2sS1uZVTVe52c0E3D
e3xEYEX3CU+bcyypv4btXLj9RXVW9N6vE2evtUu2s2GbhJrUFo+QUse5aNAyzizY84F07vk4asIn
aTcbAfE1Tdghhw1VP0v0c61zP6TD8kXXc3mGZ7qcm7Lx89+MZN+0FTifuAjxmbquNb5J7f3j+URV
hUm0APKnqatpp5RrW3c02YQsjZYwxpTqDMyuOfz6XPRmSPp61TWCFGu2MFy4dj9e1YqWxE1G2z8p
JEVPOBZZGOrO4Izx6+u8GZO+XgergcNx2cBu/pYqDR/X6Vs/jk4WfXLWVL1hzV5VqfYUsWD884ut
I18+ToEy5C0uXPAMazGHwJOXMzypVvXgqz5AS3t/++tL/XyQpUeCsJWzuA4c6u0gXQEArLVJd04m
YJpLuarSbBK66QR21bl10XH/4+tBAgYtLzD6Y+V+M9QWXsVjmxf2aZmS6MP3LQi4KTuGXa5TlTad
+Xh/fc03pTffHW9upQLjd+fLe3tYn4vY6vyms05oPjlduSgxU44l1KpIo1c6hYW+xQy1YuDPOj3t
6R/fpAwCbT5nHTyxAYP9x5u0Ki2lTzmq9r5Pm8M4ImybxFj9JuX850eBq7gCRwfJKNAD3jyAeWSM
ZQQ1/gRuqznMKWJF1/tt0Pa/uwoFpWfbq+7ip36N05mGsjXey6vywkmZICFA/R/cJjbBFxAQqHZW
HMKPn1immA6D6bBPRoScFjoQN8UwAyLYIukQl66ehuU3Jd3P6xdrOmsYb8tak8vffHww3qJ5zB3r
pFWR8yiQnjKeHTiK9Dn9whLFrxE47cIt8uu78+eVhRRlJDOCd0uc8tu36tPuh8ZoG7jveboj4rbO
nYNgZpForH99qX/zFrk5kDZxBke98naxdHHWcqnCQB+6KhILUZ2Xlglpbq0N8LWCm9a75tcX/Xfv
j5QFD2GbTYvPfLNCD6jWzYRsyFPuIGMpC1QTue4lewqd3z7pr120v3UTedR9uhPQaizXd72fn7R1
7KqznjCtbZGUSlHYwG1cPb8DttoQRIR2h+Ymx+Rp5FzH7G9uL4PCwbmjCWlRXFQMLPEYfBEIOTl1
LiXzfy9z6vw3H8vPCy+2EtNd9VIomMRbqVmZ2mOKbZE7vKCFTYgHIuSVcNQGUJ641aTPsf7X38Tb
MM7XT8flqVpbkejc3vYB45x+ScQed9I8jbPu5JnUDx2ezi/EULBlwpBa73eZiovqc/WEEHcRGzP1
pzvVGirfq7hfVnommvYOf0nyjzcHhgMoJ9GpmXx3r33Mv8l2dGiegJ546ovF49Ct2/KTiBnWt7lZ
pih79d+1cX66NxEVrk8DrRxuUczhPy4zCmImh/55OYETsp5bPDwymFXJbTqt/fRff/z/7mL0jUwa
3T5LzdtdADWHr8fKn09TzGhdlrj/8SJR5dh6TZX064v9tEzzzjxyN4QOHYfl7M1TV2SaqNtIn09O
ZFNYxikYfpiSCVXiry9kvDG/IYVluVwPD+gZ2dLfnoxyM0knp3ZHThBN0t7o1HB9qHltlz1EMBnb
cy0HOiFWjI0hGRMGf3ntmg295HUbrNR0l6QZfQJtpFhi3oi1ZnEZYeuaQyuLrpe50/O1+zEqcG37
kenVTVditS7+6ULsEGRE7C25CgD1fzoKpSU0CBdC4MlYGGGPDI3OeHnSfazP//jUxaW4ByxGAbT0
fhpQYQI1umHC4NAgJ8Y0IHn/qoLTqAG9O4N0/W3/cN29/rYw0vNnPTR49BkCIEB++y2VS2EK1djW
yVGT9ZVM4OFETrn/4bUh4rgtXR215IArp8n4zUpnvL1FrFWkiVjT5Mrr0GuNdv+7HM/K0TggtQGk
DfOiWLCpE3oK2geXrGmE4xR5L9gZM2szVMybL36MGqM0mzg9GN2MmAMY7Xyn9wVdxCVb+zWqcdfC
oieHNnj1CTSF00r87iK9cbtZK/lNY2offCRJTKozz6xubdkiM1hvr5wYX3i7XSPq0wAktA3wV0w3
9jjRGmsj5sfnjMYREg41xO7Gi5lCXxP5njUbyI3F7Ui34dI4nQYeNnVuqlloy75yS+bLQweJQncB
JFzRltbLsHXt3gdm2tRXXQYwDrVbvWDBnNVCAb2kJ5x9IsT2Y/eY8kSi4HP0KrU7et/6AJTEXOSq
qs6FpHnU1yIXX0bgnzTFNVyAEGLrtRkKDiC5GeaJP7sAK6ujU9GiRDXkR8nBGTKqolIt/O2i3D8P
n7AM6bz4+XquUTXPWlLmNmikklBB6JDxKm2dm8nPjrGnTXf1tBTJDUKlvLrKYjV0ty36n2KDooin
uxJFnd1VC4qWTdN3Qu2YCE93mY7UOHacKrtDh9B+IZ6VdwH4wV6+mk7ZW9eNEmsrasz5mjG48YO8
dfvZxqi9vK8RNjOqNaR1NaxoAzoaECh2KdzAaefUuDA39EHoXHVLQiPcK2ZA2ugX+Y1kSEWIwkYi
etUke+39VKVcWmULu5avoxxQQZKbLamS42B3dyLVYPBm3C7JDfUqPj0xuwAHUBBax2FoCHLYYNzR
wqUuMco5Bku4vcTcQSUsToSf7pi6VxY07vGYYG2DnD8JFDVVk9PT8uq+XfZTTg0bMJ6ly4gAYGru
RWk3OW5DmxusTJBXX7S0YW94PQfQs+fuw7ZHqyFxmMKdsKBj5I1ohHiKbls1ffO7JbrBlIuy9bUF
Z+c9L8ZMJnFvScN+TqMkieA7tuiyvz9Wzqra01dvzehCwHouAWU2NOdncS8mkTAFZVdUZJihrQgb
x+YuUt7qQUpym8/VaNeeOeHM/Qvi5HHYTWgjb76PZgjaeo5scz1IxBZnO3IKEZoKuXZiG9rzQS0p
fzDQ0oF/3f5cp6fJmNC7cq9sl3lEkOnpJGGAZnp7RmrEY1rUGpOGfLb4YEnYBbYvfSNOb9tS8UKE
Tu9kV+dGe1cuQk2f+sk1NVAgrp1ld17lT/21PeXi3pGytMIe+Nb81dOYZGzRixvW7SxqusDJzNnY
5Pkb3YL9mDEAiNmEdgX3isU0B2Wo1ZnuRw7mWceUmvQjhrg5wEe4KlGEbiNkCbch/TYt3fo5NxES
0EFbPFoSCN5Oha5PtNrokHceDbKlH+T4fcf/z5z0d3NS6iaOWv/1nPTydXj+8vzDlPT7j/w5JRXC
+mMN1QM9SE/l1X/zl6FHrCfCv8aixh/6iuZzHcOy2bUFE9M/x6ImCEOKGwgAHmpzyHP/yMGD6uDH
zRpJiLtehqqQ4ynjozfTxaSzpqFsavIHotbFhWjZx9kUGo3kJYe8k6C73kx1dcL4QZ5wJdSw1ZeY
JHTHy/e90aorwBu98cg0K4P6mjfJWU0Dea1GrSbi9BrG/OZgDY9dho6ti2fMoTVFUegP3sBAqpNw
rqDHo9AdZ3HXAwR4KodoeLewn0z4GUtUt9lCDG2gCEfYpYWVHVxYPjxgGRpft567vcPWVAVEDhH4
BEoE3CuiMMYT8+w6u2TyxvjgW2LpScWRyNN7chmCfM6yLwSlKiJL7KEIRmYt7yLsqExxQWzpG6hU
JLEwacrcYzU3FiBf0U/1vkVTp2NfpsW9mkZnkPq2mo/McGy5Ae48kZrKC+RsFS2I6kmELMxbw6ur
W9+S8d0is+GdykdWKDfvNpxSif6J4Pjt5di4h8LPSxUiqwd5xROMtdLrs3KD2Jxe5zVpOQ8oIsjf
qDcj1oJOHSJhp/2+iIzYdPeezRR65zaU+aStyqIpCUWB1HsxaZaXIkRmoR2tVlQI0OtY4R6XlEgl
+bwpiOd8+tjWuUWrfcAqGzSmI2p052kE0DdTg+UzhAA27geAkppiV3s1ySI9U3eEGOjvZPQuErO2
GyI8+GNot/Rv+DB7lNFXTJhI3YmVjvD6AJZGRPg/kjzaKKsd1hsH6yghBTYG74lc5QCwPN7UU9f1
fa1fYObIzmzQYLfDuGBUGI2xFY9xlBjG8jSl+Vw2X7pRdQXEbUZLeXT7+hT/Z8H73YKHhJBy7r9e
8K7TsvzaVt2Pa973n/pLGQJZ1TPplKD/WN1af4Ou+u6rHVF3vFfxh+2wOv21BPp/gCRFSGTRBKdX
5VJl/KUMMUG1+gCEaWMBleE3/yNlCAjSN2ugL+j6GS5NW16gbog3pbmJDqrorFI/l7pWJaoHqeBo
G5AQEQg8MdXbzCJyPpjNoW52UJ0FFL26M79OUw78oVjSksH63F7jErb8KgDMsnycltyyIPlTTm64
V19iz4gfiglsAYmR9scBAsU13LjuhlAYLdqllbRhjCIvJ1mKvwwHZ/LrvSaT7NB0sjy7Ejs3/p3b
vOnMF20EInZm/D6B+XOM7mqQUOYezCzq3at2UQvgEuL5CDu3CrP/Il/VKkY7IQYAewwcaLfMsKGW
rJ03ZqObuHfM/gkF/chwvQdHep2ZKUZ81RRuvcv4bt+zJhZOaBq4PLZ1HqUPIpmRcjPwX8ImlcyT
wOcCiWgq9d6xeuPYul2yNyb5JacRsU3ddMWpqlSS6mQYe2mk9zMe7xtHItk48E/Ma9BeUQE9Eqd6
V5odzzuq0m0ntOeJqKzA02UxAgVxORlDuNsqep1I1LFtb5jMKHu70Fe7E3puXw8+A3jR9a449r6v
aHMufvRhKTz3fb3GYDXdbHhHfGemRlZ6bedrdh9HUbeJ5OOAiXqrmQbxFogq+QzqgVVsKk8OKdyE
PLgof/piTNdSLkIMM8/jueu72CMhu062buosd6qMrVTfRzHj6EyA0+sa2uNGNx5mAsHKDd1y0pSs
SMmdN0fRwSI/6rFeTLAiS6st937u5lbQxaObHixyqvIPKRtB+RCTSkgcRk9RMWnbEVRf2+4ZBs96
e4SVUBaYpHI7Fc8ElzQx3xwpKrad+9uiZUuGfHFZUI5vJz3COoUT5siw7s5LIgfUOhk0WVaNMkxt
MHEWGxdcA7/DxAKWKcgXzUyD1jagKS7RAHLNq4kZcu8ztvnCNo5x31zbsyeDZVzImKvW/CYVQnja
g9uITm5W7kpK8QdNS24nFMNBw2V28TJ1Aea0J7JxiRFw02gXDfN7xoftUYEf2oIjk1eq0IgTt61s
10XKOPkaB9yM+n3bsu0EBaFyJ4ve+W70KkBx+bwcdcWjaTi58eDPxqeyI0NMidgNZNJpOAHksCPK
q+tOEJ/lkTL0paF8OjWpFZ8Vo1hiuwp9CzBuj14gbK2631mko2UoKjZpoZVhrDRfQ54ukzBOkq/2
oh4xoUE+ZNyKW1gHYmE1cPMwaENk6uf4qrRJ42LmVO/BsLzvUiLaBaHWAXNVQt0bKW549fIs7ZnT
V8Ruf0TRRobt6ovxSO1BV56MB1UPePaoCMD5QzRWCrOA/V6Z+V3mpVeLiCjEex0Q7XKfOt2+0lvi
6uPxjjgUkANEM3j6vI1B6DWxk4TeYD20Su29ebqWsCzBIvXTrqnzbjtEC2FMkfXBwQ0SjKSXkIGX
f80tuCZGOTrYGJP+faqV154SIvQ7OA8Qr1gEU+/aqvEYyWJidO75IiBF3LrVoYRui6kpUYMMI/dW
3YqS78PZU+iRy5T4/cFr8s+LO6OLMnT/5LBcnvoGicAUmfKS+J2EYWCSduam4jZO1O0g2y0xihtv
qcrLRHDHc76uZlkfuZxcZKud69qw7lJDOaeq7pKQL4wabqp9vCHJo6611G/G9C3pCiL13JaeTKry
AF7TzIkm8k/IdM1ty7J+25njGpTh+MdMuneR09yi+9F3LBNEQEltdMM2c7qPrCv9xhjcaAhqs5MX
afRkWnRZt9f5onZ6pXpG+HZyZ06Tf91MOnIurSPWqXiCN2SEaBBwuRS7EmJxMMnaDciwuCN8gdUF
3T6GdLmDW2jy8kg7TKwUxlXC7qCiEGsaEQeyu8/xfe2MYonej9l4XWuqCSfRyQd0fA825K4g14bn
dvEfnRh4JuBa7uO+BiCcg+80xh18kmPlyL1vSHD6EJAvhojVfvSazyXw/y2ZHu1B74z7OnIzbuCM
0W2R5MPZVqN+SYR51/v1Vd4mH5zMAJkESU2vrDlgpd1iU/xk+SNaE8sOs3UtrTXvxmvNfZvK6W7i
q8PWMsQgKZ3F+5RFsXjMbc/ZNKbLo6aRE0juOgkSw3ZQ2Yl2YLezB2WciX/2AlKYU3RCPtFO2Zx7
e5w3yzGpukNXy9OQRtketEcaxr5Wo83QCFvJ8nCJfAwS+DM4rFu99dnS+L4g8GjeZSag7jYpVvqM
26hr8JbEvY0DEUDSTl7qybHC0eivplSxJ4z5g7CGQwmg1B8WNlbpY41suvcDgx/05cXnYSoPvjc/
kt2abwfeD0qpKgst203PwwxnC5vEzgIyZ4QxoSaXCRYQ4LCIQKKettPZTu14N2vmHLR9bD6ROVff
0S7PykBDjVJvvYyVaSjM8ibWBjwoVcMJv2NfqwFlH+aKAkUIUe/Kvu6vDEBOyNoMujW9DufR1B4S
bVy3Z+hwleMHmmdfRsgFH1Cnle/0uB6mjTXnFk6ReZH9XSk17+i32XKi4HuwJr1+0ZpBiw9RgRhs
Z7uj2QZmLsYmsKwK1Bb7rLEdOv9zoQ03InFxBVljd9fa5c1YahodM+22mJP+HXCCjy0xCrt+cqoT
TOGPXmvl95RiJ0ND7cekZiCYI1efWF6tw4g/6Fkuotki/GyOJolVW1kNyd6BHRN4Xp2FRWbxZtvh
aY2o25a6p13HyDM/YOolW3ZovW9OD/u3p6gL7MTMnyvPnd+7I9lZWe89mZldhwDB3Q8UKulGixw9
xNQq76Fh6QjImBb5LokUponVebLWh4gvTAawXCHxIPjhueblxbRstoX8UjfZy6xr7p3vl8NHs6Wm
Rnp0wQZsY/Viy3ZlLXAIpY2V0AVsrICk7/yMvaeCTtSTgNSW8bUw8kOXRVkIVQ+SS+9Xd6jBFIw8
L+lvASd7h8V11Edt8Q9VN0/3BFxbO+Gnfhr6QFqvwIZ/UZn3mdU5x5/u+JTrUf+QSnF2StPf1z4e
R/JT0y2WTzYIuombzgDqlNgG/WZSkAykZSbyQ8NWV1K0S5B37XxV4MM9jJWYQKKqz2SzirCf8hRg
aD2I9yyQLQrZ3syJBu7GhAywMkZIRmHP5tVq5ZNCq3GOndneEfCWflhdjDO2ttxbjVyz+b5ITPFC
B9l5sdISMPDSxT5xPHgZmRNuafRnOwMLMeJOXIh4wU9uv2iQmXBxmca7iEKF/sRYNqD0gc9tCk4e
mGjTIU5CYg8ZxJwbRGG7rBji977GQVRcc9AKC7htjb8csVV9YW7v7BV4HrJ+a2y5oJlQ41XEf022
H7BJ7vnWTra0ugDQMXliVSVBs/Wfhs7C+bnUhH4SNLCxc4ydTaTWXMKKcIDXXMaalBZP5AcTZVWQ
NBLXmz5uo8a8yESa6CKdZp/XjndOkwLddMeAPSP+cV6SXT6o5q5JBmuvi5c+TzgwIQDbyiJ6oM1e
BDkRkJFmmbi363rT2g0uPhmhVpnLravyw1Jy3xVYkgOUBCKstLKGbzEQADUplhNITCjGh6BV+GSW
LPk0+t0VeeT+Tvf4iAERPmAWqrZgY5BCpsV5dHCrSuGhGp44GiLmhZwauzV7Yl4dq8q681HT7YHG
fs7L/gEZIUR6h/SagjrF6GxwRwi/Ifd2m9qaCaaq7eZaa6YBfpZmfEBlQE56XhQPU9fSMQaYBfNN
s5jGN8AlK8RwCQqSwJAVo4RiecDsjgQUYWqYVlH6JWvERkzugqeXu3zKnYAgYEj/kxc9uCK/wmZr
XRoL53+vym8cfmFZJe1WyKUKEy0z+EoHtN1tslvyvnhoLJlucoz5O+gO/tYiG5dDt2cHsyZz0pNZ
XGbYFDuCSNTF8aIXvW3ijZ9N+MHGbLpVM9pvv3VEOOcupx6BaU+v5aWc5v6CNzEsKjWGS9usTWJ9
vuAYPWnCI3bYqczQHQYUR747XiFz+VJRb4CVfjK85Tmunb0r2v6KMnfmw8iQEi7HyMuGLTLcfZ58
0zxFdJjT6qTfyPqgsuZGpSbk7oTlMVFeiFpL39U15S3qYXNPSMPeqGxBe16e4b+ygUodi7/3AFDK
DMx0eZ7c/nPUx+SKZdw/lXnbd9duFT1Uw9JB1CrjTxqZ4lgHQEmmyxLSv7pafO+RTtmm8f1qn7E5
BnDqSSuAhBZopS6uLKu+lSOnM62Vetj1CxzpDJ4o3mZS9EB73gBRHjz6R9PCliAj3i47gUJrVSe7
2fPaY8Md/Glukq9mhmGPePs5SEyjJY3IAnUAuq54yitZVNs0FcWFLYsk4akycw54FaZ4AinK2xEd
+WHQJrUyCLK9TLW4CWsDmmdYYYB/wtyHLplpD0VOrR7G3suZ7CTDkVN1BtcjKfeWX1o7AsjjMzgI
Z9eU/f3cLPTLKv+d7/Xypkw18c1O2/68JKlzgv3eHAy6lmRDRfPOHq3m3ioxvHqN8UwNL6/JxKLA
j/V3uEAHEGxVfGUyogh7LDvXzMiAgi/TtDdJn94QLVftBqIldh1j3E2TxhwASkSuZEFuYoTSECAQ
KKRtF2/obWjM83USIHr8FLU0twatu3cOvoiDm88vIPj9oDBcXAo5nxiH2uuyz8tDI+cj+XLotMfh
gt6YY0WboLzP/E/4RtON8lyE7kWCC6G2S45BzbIZM3596+Mw59mJnYnjHlX/zjLApHaTgTWYoU1C
dMCRc+PRLUqsKXkx7Fiu7C2r+cxXb5fbHKaHxMRIMeXd9VKz9pTCdFzMST4Nme+vTFA9u2arZhca
qRYuc+ufy7b0gjqTEF4j1w76rAg1Zny0vQ0F1qHVMdPl6aHNLBE2TS0DpNP6uctUd2or85tayElA
dxqstYWxpBfB6r6dQJneyIavscogbfoZGSd5PoYaMtrAIVBuk2FgOY+WvEkN1NxZVVzHjvuh8vx2
z/lahVPN7U9Q7K4U+j4e6XfknU0tYyfzihbnV6FUR+ndfV2qGul0dz0zsAwaQl4XmL90GaizDJPw
XbCCwdglvD3AheAKQ8wUrMq2Hh2SKscAk9U2h5b5NPKkhv2KG9f7jjXSFg3BCMPL4MoXeM1Hz1I3
E1aTI/nnxoYS8swS/aGOhnJn9dOWUos7mbFm2A1kqfI06Be658aeTHHaKAubLkMubCriDjrC0ZP9
dhmcLIQqXvoUOkv5UVkabZNxHL2dwVCNtfPOmOOZd0QmWeaMVF7eiEWTcrDT9GBZIFXSEdiIKB1P
CQRvgsbKl7Kr/FsZa3yRnr1Xo0o2SKyXByRkN+7iM3uohUEzX991rU1iYdNIJ+SgrAGsdWeygFx5
X0TJV0+oS7sY58xznk1hMAZ87gSppp33rRnmmjI3hXMgyHJtC3+jZBkKWcsNrt5vdddkYa5lnxKl
JVu1zjpXxERmVBVNFY9eySL9eFOW9AISsXBsAVUhK3nTJCzQYds3zoSvwSKkvScOVeNMT/ZbTHzk
OFCUD2pu+Efs5Dh84LrrtdqW7VQ2m6RzETI555qECeAqoSMnpiZTlvc7ujhIDvPeZrQiXMUOPase
asvS7C1ACH6AJ4wMzlwx8WVV60gRF41Ncz1RGP8nTuTdvYbDvd0VHvL2XaNlYxOaaAqqs0ONMLN8
GD0AFcsXCiown5Ed1fQcwL/qVz2ev5c2m9ysg3fit3Qsvutr/rf79fuv1eW5+Nr+n/UXf+ZwwTqX
dP/3x/9tv/9//LXaPHfPP/wPuJq0m2/7r81897Xtc36UX/Tnv/zv/uW/vr7+lt904tdm968a8ZjK
QWF87v5VffsXkN2+eEl/6Ml///k/W/Ku8wcoOKRhbHU8Jqz//9+s6bp/MHDE5YOY668J5Z8tedP7
A70qcj665Mi9XIdZ4V9TSe+P1f+OnAm1Gbpj/uqvj+JPhyOf4veP5t84Hn/CGLD6IxxCw8P4E8HX
+s7/LuKZRZnRXZ70QzZx5om/oZx7R3P9SP7AytU/kHx1anWSMKL+UWRaIM32N/JA/62IaX0J6Iho
sfGeDUTIP76ECn1p7XGwOFTNrF8i63GmpcGoCtAvIFmDJ75TBPDWcRmgObqu61juXcMqt6PxZA1G
uCSbstbia32tPCqPbZaJG+YyZm6IwG0sjiwPGiVHoNefVx5xWiUBdj88RZ8kpOL1j7NlBaCDHtql
Ihq3DVpyLW2fXnFHbyjOnCt0rbhAFhhXPR2A1iQqB2jhbJYfwJAGDffEYcJ0VJDGhVr9jAHeJTl9
ubW6lvYYO19KHQwrA+pwR2h4m11ZWn+LbrXfcj6Dte53t47/JExt28bu89LyCgopAoSOoeWwkyuf
JNVk21f5ZmBxgT50N2nRvVRjA/agoNivoe4Y+j7N+xuMK2cpypcFKlYnWewZ8e0Bp7MBd10ecPz4
XExUTpn0yHPQx8+lRRoPXoirsh1tYDN1WDstFwNQnZlEVmDd/8+Y77+zuBirWu5Xq8t12rbrf3Wd
/iBu+P5zfw36MHPrCFwRGdgrE3Sd5v1JK/XFH0iHgJSuK81fywl//Gv50P/A443MwTewhziu7f2T
5YPp4Y8DPZSVtg9+wFvXDh8t+Drw+5u4l1mTsrO6zY6FJATNjUGaw6tm4yU8FVRWl+iHTtkAwHAf
c8oVcJ2tYFhj8ioaVQ8LgT9Uu/Ga/MKZDWS3L2ZkWlmEmJsRAZlss4Z0tM6axSBLJu2Xc5S6c8/G
WxtbE0vzte+ydvAqOUHNiTVll9c0NbJc0P2plCyFJjFJSJUMz+8wurrEEwEv9sYRedWKYH8NbXPR
Cp8qe0LP5JRQuHmZBCEQGls/mz4hvazJcIphjB1n7FecJhOLgv2Qz3XcN+8FKCa0CJRwggIUz8qX
ITZjZzf6LqWzPkRxui36eCJWHGCf/ZToPiylFXfdJeeqM5EyBiMF83ijDJdQaDdGSHFZfC3xdlU2
i/hujHUHxWxWKCtI4wL2jdHSFN8QeGzaR2Gt/zKG6e4+Tk1WE6HM/D+ISXCwA2dOOBZFosWgK0Zv
MT3gaI6IU1DwTqS7uL/L+KUgzvbd4M7VtgJnzvjJnVUd0Iz2Hpd+6jSOXOO0RcBH1JazbDr+b9Uy
wlmWari41KRtmOmxechRjFLkQ2gcI7B1TX7LNpfvi6bQySdCyuL5u7oZPBkOeAfODSWHslSNtiMz
uGGIoIdrklahNvvR7eDM0wMn5exRT5CIuHmZhCZG4rBLM/urVk7yDk0ySEN/UpvS1/xdAs7+2LGx
PkmbviyUeigxblMeU7/sTlYEPkaI/C4BbnQ7TBgLcQ7FLnm1iuS/0aG6KI+TP99DgR8aksf99sVe
0e0FcQybiRbcMYsdGJBjV5xxILCUYxMOMZjnlNsw45Umkn08Vf5nh3isnI5TI28GzMnP8cDZngqD
Tc6fPU6fnRTaicADfmrWS/22aRmCjQS7fTCN/F5qtfHkEHQSh+SEfE4NR3xw0IFsLCAqO+oF6xjT
N2MCNpHfYI5fo6j1nhdGE1u/rvSZUMG4e2Z+sJULAj2RjFaQ1eN5sBL7XQ7/a2cOCzwnB4DMoUHa
d8TO7FyTGiaeJqP3LsItCTEzRgKWZQbA3iKruMd/ft/CK3hnjnZ1yMzCPJM2OF3wATM0j2v7Fu6S
uIAtlI+qTOQT32i+n6bePLOb5Ie+LOtLtlj55xqaWRRGTeye0sZcbpTdDXRNsKvg9xVDENWeS8nS
Id3TNGZyGqmW197cmLf+ojtQdXgkDvnURMwGvTQ9lXS23vV0PK+Gxkw/IkqFYG7Oo35dZ0NK2nqm
7nt4UO/T1KlPeM7LrUYy5xPjEvmhGZzu3NkVQdhMwuRJX9zF2IkiKW5wgEXHGlLjvlv0GJWz7+0a
Ndjf7AHuHGe3+eMkQeAz6TiWWV2Q1hFdY+Qma6RPdIKX1/l4GR8Nvz7Ptj4zMzGpfK3+S1+OiC6z
Mj/oeAeC0qYdI0RLLE5aujsj0SeCTB31QohPf9bVmO5yC76XU1rjrazoayWZN3Nq6s1bTE7zYw8K
8jM8huGWDyR6N6Gr/ciIT4SDNRYbnpNuUxWTJJXNkvvakg6cz77KHuoUuSpfO0+LRtay72b1FxKp
uv3iFbQnp0g3t5MzWeRFNN0NYaDQigZUuYw+h4TABNv4thgJM1od+gS3Mp0SOpr3BEAM1/BSb2oG
ERejMuJHsn/z/WL7akd2DYJOsPX6tZNm+rVPaPhFYzR/O09Dz0bRzvAwqpWRmE/v/h97Z7LcNrZ1
6VepqDkc56DHoCYEe5GielmaIGTZRt8c9MDT/x+czry284azbkRNKuKOMy1KJAjss/Za38pUV1HK
xReVsF0IxowNUu4HQ8upGFPzsSrRLMhWQrXsjOLcKbRgx+BWwzoFkgUWTl2Z8t6e2J77AvC03yh7
eockMCJGaW5N1XqTJPsGBuQnrAhs7ZP0yLOE6JYq9dcETe6QNRZZGTOOH2SdNHeh0zrXONlRymm9
weY9peqxKTqPXZIz0yheaW9V2eEBkXK4y+KSdQHfHudUDMP0mTKXZPKxXIOOLKzhqIV5vwsa2V/3
bW0c9Uxf0stKPQ0gEW9GC4FhotttZ8RjdMuTrXqxva785LaF83XCOs0mtcVPRzT/M/JmstQKINQD
iByA1F1NY2OtoZ63bBL4PX1Pa5ACZJoMK9Fk/VsFZy+DEwGlg5IrDcdrZKqnoCvaTUlx98G18jjw
LTtJvxYmbu7G69WzGxa2vTHLMP9khKG7K9QYnDsZuFe9W8BqG+f6EHkuO68U4N+k83xDrm+z69YU
3iVx8+acyqnddG7D5qnUwA22uHYTM2UZljlIVX3RPbvQawFcsjjCG0C966oxhu62Chv3NGve9EUY
XdYtkE0e12B6w6tsaLWHKLLsF5BY3HpStrccqrWEutehreDqUWu+aYVb0kFRGNcxBg1uS0B7Uzeb
5CoJLHfntCjwXBNDDI7P06CayKj0gfu5bylhu62IjTfyvOVZCwvr3mXThWl5NE5D65ncBif9hiiA
8CkBOy8fIDlmQ+7mtgNRWMRL1a1+huuYHEIdQlQdFeVNGerGo+O2/WZ0NHZEqrR2mp2wpeAIsCFZ
oRN+j5u1VhoVYBPR3DoURb63UZ21lEJW87obeu9eWjiOCtXoW4E7+wEicWQiRlXmTRoomhX0fvRu
s5DCTEIwpT8I4+Ri9uRjz02BTYr9i2mPR6/V3Q3uefUF+qXeQv5jzxS0ytmz2a78BlunXwRTc1PN
WXWTTpXaw/LS9yNdnD4tCpo/DLM37wJZO8/MAvrDaHgJNECLwiw317qXnK7nbZBWHy2VORst8W4N
nRYi/j7RMndAOoYaOCCWJm0CLLGqtYNd6JTME4GsAx7aan6PqzoHsk6H4FHvxrVV8nib0Ki5NE30
kiS1bgJm062MeVh3VJYk2FZqJ1kbamb+wOrUXRthp1DV6qdC0GMLYcSs/IBd9I7nXbHt4bkhAaK7
aLF09jqtHhdHOiNPBSd+YUCzWSclbMvUFOy7KgmwqKTUrzqylunBykLpc2WDOSgrTEi1ie+SlHnJ
+No38BfQcu7suo5Ww2wMB1tM0BloxeB7QuyKi8Nz2JvMEeuNVN+lgtsKzjqG6ZFJtaAHSgz3vcjC
R5GW2aOpMwOauJFMnz22ulRp613Nqc20ElrBQTgVJrUQrBJGqpInGPuo4ADADCkYOERyTFr8W+zq
ZdwxYnrlHmEpbL4YsKAbjtQp2UB8SFTvnYKeMjk87/XRyrCGAP8xzmxgpmtPseXx0hi+WKjGY1QM
8yZk8P84s0JLTPshtKFgdnp8TVJS8leaxzx15CsF5Toiapb5KsArtXJysrpzrx8mzSlW/RAZa9VR
S1IZ81sdUUXraLduxbbAo/RknYH5YU/G6rdsi2EnDA1YK6DTkSPCVZzJfJMl4SMfi7GloNz0kcG6
tZEx3GhZTNVObJwby3yRDY6HsW9pF03TbJ2mLouGPOONyQcWjTnaI+bLakX+oThiiTFY7rvbKCym
IxvNSzSZ+pNRA+Dw3bHMfWEX9Vai4PizNsIGSjtjPZcTAp+ZE+GGPzjHifEyafrIVgPHUw5N2Qss
54JJO+X8XZAe4fJ70xpng508eICsZO8rOMhHtmPiHOEQXvfhYPqzW/OYa6L4EFcOIImmnX1ygpY/
mR3u57INrwuoQFsvTaaLJfjjEjfbxHObc06o6pZNAxauH06t/0ZZ+puqAw8ARxemAEhgLufDnw+G
UYA2GXdufEjyhmOdNtIZXc+4puG2pPa9KQr1XjFLFTyyqYD5/Ytzvv0pFwf9TLeFri9Jc6zTC3Ht
x1MpNlHWrHMVH+RIS/ic1DThxFkE9tZL737/Ur9EMjkAc55B2yO0JKy/oxZibJY2yCleqtIpB+U7
MkG4mcLyy+9f5+9KHS9EtBD3vA7izf61STEtpwmbmxMeuoqlFJFo82B33xq74/ZG1SnB096LsNxM
Zv5WLTxQ7ioULWlYtzlcs7QvNr//lf7+ES82XphxDotP3JC/nP070bpRyymDLFYxn8VSNmokC5nL
zDyShyKM6neQ0HzOkob4b6/9/1p2PsfvddmUX9ufheZvCum/VOj/j8Rp9KN/solDyiUi+Yt4tPyj
P8Uj7wPQWg/Emb18R/+lHFkfqDgFEMhV/Jd0ZIoPNkYlvkywlPk+SZSmP6Ukm3wM6WqH/0G4BJPN
/0RK4kH/85eWECvPLr5EWEVApIDv/flLW0ubJgIVwiizBBYIeM12365M8Fdsh2yzfxFh7oAUs8q7
uJqK68XOvVIuaC6/8LpkI51Y3CdtOk+bWh/TS8SARWWJBjPJc+rd6MXGEfq4xAMbV2ptuSTl+V54
JhtKUHB0O1jRVZ8N5UmE+NhXpZ6dYAinN05puLtceNEucAJnZ6ZMsX6YazSZcivbzXFUH/Ct2+eu
WfaAtMBovtGRRKVqjyJKZyyHV1IWE89MAFa+EXUkULRlrU0n+F2pTJjFsTaMh058StO5fMOz5p7n
1AiYDUe35fFPxnPAp75Ng9G+DMHokg61vUz4S4PnYYE279Na194HHuxfnSr2LkZSuAcqM+ov4agH
yo/ySt7EUdVB7DfqO7Mxh2OSsptYTTwVct9I9C+JKLFPWRDFsMIamHwAtV2HogivmmrW3jlhQwsF
xk2gcVbFYYrVxx7hhYrWBV4Wuf1jVLXtvee1qOyZNtefFircR1ZWKdKBhSECPSPp8Fl6AAncAmQE
wd+VLmJOCpaXOthKZP2mSLx2iB7DM3d5Vp5dkX3K4rbde3PcbiUnsPdZdNkpFvVFm0PrmNZtdayD
eb6qgqz3C8tpts7oNvq6xhSD7j91es3nGaYfsWSh6PMudfy0XGuQ0YzsapJOQCVIbvOHjh4bYBl0
Jxlb2j6xRLSDXJ09wHuJntM25tmMKmjgLxnLcpNzuJS41Ej7Y+g0UjBgXHv4qc3u3Jne3NB5KAx6
SiS8xmheEDUhDnJ/aIqIwcVgmIORN3yNca8ybowLEqHIiJVWSVTcxNDtViZelVNYl/Pamidg6bWb
nyt6Qk66ZkjOkPmAaRIVgyUqE3D4RO2IbnMiCs1PahzMCtXHwpSSYdOhwyTfz9VMAhVHAiYBt5DX
sL282zCYIn9wtQ0l5bjOpn5t19Z1nHn9O62g6UHUeBuHBEf5um+6CSNZNF7NM1Zkkptt8eiVSfBR
y+1QO2IbV8nGKxz5GZNq060iMXR3PW11waafUvnSItXiOChUdyu7Qr2y9tF9rxrkW4oTET/F1E53
Dawwd0+/7NCsapdpNNanhi5tAx0iaGn3W3WBNAi8CWJwECM/4UYRlBsT7Ax9p0ZqYmHkviaOcM6p
NU4CVS/1HmYstBhLSUIsvZRZn605SpZbNyryN6K53iOi8ydNDNXarmqD/g17+mJVNfmLRsqy2ARu
UHxMQvbfflYnrH1RGOqX1sF/tCJUUR3coGzXuC6ZtVu081Okjxiq2voW7dNDQon5PrMiVtDaa3Pj
khsHR48GO/ddg5+xitcm9uzNPLRUM5fSOVqigcpoRKyOamzXu7LruKPh03N8zavErqe7807vNWtX
xiId12ySAhMUdC1e9DSipcPkZtrropp8r8hjdmcocodwMtQ1Tk3y6V5ptHe1G7MCC5w8eaYuQk1Y
CrBhczMLukMQ0vROPnCoXhGIwYCZgCD2cPNDGhnE1FzMptbeS8vBid7IpOfsO2ncXGYQ/CUnOzow
TLPfam6kXqH4D19UFg0vk1nIs8HhLd+0Q8MeyrCmOvC9wFDM0l6QrqldzHHPDQHAPY2KGymq+zBt
qjVj3IALuY6hQKZqbRfO0SScSNdEgdpMfztjccwOM+W2WUpT7UaRP3BQ73ZNzdQfM9NgrKthvrED
nAoc9b29UWKcP88w/9ilSVutS6ND5i2jHqKncJPLKGje6K7MTNlFS4pgqOLnWQsx30wcCFLx0Z1S
Tum4CNlKtHR9T01yCUbkSd1L7ItMYC7OMqvv7DwTd4RFwxtuiyNHgXQ+MMY/YaIo7hT8j7tONoG+
EnESPA3QraiHJ5GyKtBjjxFMgCeXchBuUgNfKxdE+I2gv+WGPTPCTJjTNRmnJrgFnP4YwPDnEv7g
ts3Tzh/zKb7udK/DKesozsFNnl8nnuDXtVNtK5sMh1ADSYGvOguklawbVp+SX5/siM7+sgiwGM1t
cG+6tX1I4nR4wGjgkrrvsW4YszZd6IDp8l2rqRJYwhRce2VV3ROHcA4hf/g7rnGaEaba2o2sdbdj
oOZXDuZsn2elzftQZhNehgm/H6GijWqDDmqixf2oi+V8pbezc4hitJh8SG5U1pGeVbpxCUpSRdxk
U3oZ52Cx1OvneizDkiZXc2mH6MqbENLmbnk/H+pylCcvmVHFTc3ZJRSkXtK073Fb6QO5L2+OPgct
QNJ4xDq0qtUInNgS7XSc0FNv9bQedt7keYdeds1THZR0Bkur3/N9sicSS2WNe9LB5N4MtGyS6Z/E
mmRZhNXK8NTtYIicBUtieD7uALmJrJgqVJWZF2xQwXl2vPHQ8GCMV5U+XFOi+S7K2HuXjaGXK6ux
1McYv+mrGIL00JRatYMAo7Fh7rnVcPlFPKTNzLB8g+TzNu6T9Aab/vBaOc6wTltpv+hl7F70qeCb
Fy03TdBwerybh4EKnrrW9fK+mLyPcFhhYfaRG1UwD1UnfVG4eoT0O3gvsRak9+BQGnVj1yw094YD
RXY123ZqAXyVSpx0G7MhzmZZCAUsN4pp/6TBRp5KfZ7uaxWuR8+gTdiIbGdbeSy5I8CdgZ+Ew+0s
dQI6bZ01Oc2qWvTRqgwrftNtvuI+yFVhbeqB2BWecXvxyJylHDm678qQyqXuyCWr10QW+gJt4k0F
8wtj7/hMpqh4T/pRf/IIrD1IFVZHoLYPqnCmTW6o/OCopvKdjooMpxzv7Gx+4Qb41Yyjt6S1X5xu
6D4BP2SCMGtChI3VvTieluxtx81ulMw2g5lrJz4c4BBUG7IPaNVXY7Z6xJpKpQjsWMVhVXYxPQ1o
AbeGNaSTj888UquqxjH/4Npdvclnfb6NENAgesJxz7U/Duf/PT39g7UHQqFLwP83IduyaN+Kn+w8
3//N98MTa/cP4G5sTI4LyxGm0F/nJ05JHwSkMgFfXQoUK45c/4rYCiH4TwCp8Lyjh/x1ijLNDwbI
RNYROkcfG+Dlf3KKwrnzyykK7jtWmsVNAz4T19GiV/ywkK+wPuoBw9zFwULMkKLlOEyBMFm+pex0
2jugogu8jCFVuAvu+BzqNGNkuLU+NwHhLnbPuU67sYjUeIhmhY2RpYX9Ptc60cYidjHK5NV0KjEu
Z8/xbKpT2czic2KEo7eSXTp2KwEad1qGoN7YxZpdPhL/c/RDo7y+P5IzqIdzjb61iSC+MDZhtSXa
aafnCpHFl13QrjCTnkQ3VfGqJvmOw6+Y9TX2u9eeSZ67dISpsh9Zpk0J5UtgufDXTVCqt56L3LFh
b49r07Sj+JzBDDqwInD2Wt3Vh77ME9xxcTHe9krb6Umnr0vdex6K0dhFWtbiyQ/L5bciePM8WtwO
yE8QCgK8HHmSReqSfpES9yzVCGvsOAkrMshXFo/YAqEFibhukPwC7H4rPnneZTF3HL302DrS+9Tc
NNWQ2FeDdKx33hHK3eknCuqH2a7mA5jkRjOvnDoc001Sy1VlDjYkhNqtomyjj/pwpiU5i81ssQNz
Li+2ZLfynjYgM4paY5+wH4K+RUKu6jvnitU9UNjZl0yvOuv7KO0SHvFeWMOlPcicHFvPxsSjCw+O
CUdK9xsYyHGqdaWjifaGLu+aBuY6yQNt/MxUXyVfPQIoX6dAsC+61ovGyuU9zSNyyw1/ITjBDnI+
VgM0XTaGXn8a0FOPNkko3qg6DSIs911yiLFlG5s6S28ZrOuNiJkegygdLs1EEmtpKeGyxJe+nqo0
hMcu5dFN0nIThgI+RBynu7SMLjKuxrvW7syYsEWmr2OPbYqfqTY8ui5juW8avNu+nrjBnh07htbM
mKxDPop6y/21eSv1KnvXWyUN5NHGxkaultW8G7ikJyiUJ/7ZePLYGKSXTCPMUINJ7ezNonuNErNv
/bk0rRuNd9DiEFaFr2Ftiiva6fItGXJtB6CDDDIvd8YYUe3kLMfbomzlEkNgqjRl4ODgdBf0hi7S
qyX+h4sXcwdTrl0c+kFwDKMBjIGozcyT7SbzkSkMG24iWFl1PJlqg2izIM/WZeG1HSFKrDvTPoEt
hRI/psErM4G3hQTfc6o0zE2q0uLYSad6BJ51bRWOdbtc2SAlGrFGESCvrOR5TjhQ8tBufdeoLJaR
mO55ByrxtZSTuJRWGn4MqxjssDIhVfcU8zQZftkptsNdkvTpDmxpsCJRR4MfPXS7yq69+9DUcKTQ
k3ByU+dp1sWlMBLS4OS8TuncW+i0ilN30gzPlqLhfpWk40Dqz9BfcmtiS97BtEfZzIRxB9KlY7Xe
GF81GjFzv+Xd2KZz0h7oFXwHDegRl8cUsda6Cftc2tvmfWUMY0SgrC/fTXcKH8gNhQLrUW19IggT
7wpS3vyMSjvgaACsTTvDCq5GdhgE+biUvk/fpQprAyt93BpF6O5HC5vhUBVEITrqT7etFUou9K6N
r6QXdQ9s6DAl8/48NKO65bImO6ZPJ496ct9KA2+v0QtOxZehnKNba1CqPTNzP492Ed14mRvT8VsW
n9G2vHUmGH1WFdghezOVpmDXLg+Bndy1ee0CkyE1mHJ130uNllR2aJPO8tUI/KHFhi3QKabRIpjt
OIpyOrCRK9bTxmuZhbRQRh0chkECdIEbbL3QoeStDSoF70qEM5/j5PBMHgf13kjKs55VKB29M75r
Y0E8VDfaryEZD9Yuat6UWdQAUdONjzo56MsskaP60Z1vpsIqtzIDxaDj6b+ivU/csymbU58FXKq2
JUiYTVMq8QZaq16bY1feUSNE1+jECgjwf6etTNZJXzH6i33RF86LwYlAW89cWpuZW44fwV2xV24Y
Deui5M7vDsgejtvbZ13Noc830mBHJvXHUOHHcAcrOpZeXTG84fVvcXnyznrR9CWe6vbeIhyb+EoP
onUjpoxTjiT6FIyg/qVkOzXX09T5QMe+5DnhZZYNHqdYvTyTJk58zVD1ie6C4TZztA1rd++set2K
V6Suo+Bg0Oh9joRUa4le8po1vf6QNFl1diqXVP4gG5wFduTdmd6IVOjidSjHIGaXHZiD30exuNR9
lT7nbL2fQ7eob0iCBE9VGsRX3QhKPcLr9SihAm0iUSa7CWf4JphahU2jAENv8tey0maJ2B6KbO6J
XDvdo2kKrEOx2QDCYaXu25ZZcjSOxI3CP2ZsHPSNYzFoKKB5OkxXFtphSneV1CmhMA3ex3b4aI5E
OqyevDn5avaeRKbno4yl/a7z8zW/DIr4Bp7xgFFeeM/TbBFyNmce9G6BsLdqwibeYguxTw4+yYfA
6etwpUG8TInJI1Ss3WE8daqst5ivALr/d7Xwf2VNBfr52+H4+sun+q1Jf56O//hH36djz/pAFR72
02UtJhh0+XnffanfBmeLmdl24cksJJm/hmODPQI4U9dm/QDed8H/fl8xmOI/GYZhG/wyDGMOYdaE
AcZTiyvV/GUYzoxOQ4KI+pORz14foalzuuUqMkyVTMWJlhBzwrEFJDrC6LDoGOkiaViLuNEsMkeW
uygeBb/+uV5kECwK9mn8po20i0yif1NMdKMm4D7H3UdzEVTqb9pKv8gsXuvG1/oivaTfVBgQlfqm
gkLsk+43rttFroH8p7aid3P0IFHctIus431TeOjFSZ+gmQzHhbbfrcZFDBJqoClGRBqAR7f07rLI
ze9qvcUciJDUUFNDABFxyVbWfIdmVd8t1Q9b7BeoOEE7brTBaI9pxVQ40j/j97YcN2ZksgGOMSw+
dMAB3hwnV1SnlgGepRkUoOIpfgODOnpWedpNPjeUam2Evb71Iofpz1LRnTXayaYXJqwxTRTjqQ4H
nvKqeWRPDV6PARQEgclE6Qujmh+Ktkt9IcdP6TgSLTX6lJuA1scnFRfsbYrKal5pKGIEUHyGj1ma
5Nfu0EdbrY3mY52zJ11FzPzrrHedhTxIAjkJtPhG95pkr2XhhYBbsoXmkwKtsYgLwQjfi6FknMB2
fyo0SS+bzHHtt5Sg3HNn7LYpIrHfIuNdXJK5+4mV7tlRYjhxQ5z2rGWNN3zE5ZGMeXtP/Vw2chvU
iCroFSCDOgJ1k3NLOkMtFFslHW1NY0JxS9+vcd9OZvsCgCn7OrG+f9D7Ll7bHIAueWNp10bsUCKB
Esd7hVTLStXjluvmH4067rfSrYp1wb0aB24KLldYGtycekRhb5oL9h/IoWML6s3oY7VKuHDwgmFe
fYe5wl5B1RLNQpsNym9Gosobk+nitmh6wYLMUy389Xxe5aIk3QetmUSy+dbrvXv1rToAdlR1bdYy
9LtCEO/SZ7pvmnDcjpJ6+U3P8HuqZniWWVi5ex6h2ZekCJMbUWHliNNwvqS4kirKVwPtnXiqm6+C
sJHeSg02HAzWkd1VEdsOh/soOsacK1d02CTrBb74kWSoeK7HZDzZXio2kdl059ip2IuUlepvay2c
X1TGYQUzRzVeVVYcPnhYyC4uTmmOTeGu7x02KaJpUck5G6aW0WJE6mciXFIWDksTBaMyoiBobTet
k6LaFRobOdfmIZ0kwYHMSn2wJh7OKwAsuE6YADjlYkPKn7iNVMw1mF8LkGsbZH9rE2uVODuRxIuC
DxY9CdF/g21FXfIwDy91ZOprW9nGa8Z+BbwsIevnJogobB3dbrpHQjNCn+pTjT5sGe2ZL/NjN6N8
rXKNLlm/15TVbwuMxHTmGBBhNFh0+bWG8+nJkQU2O8cug8o3lQq4k8R4w+a8/JxJIZYZNR/Pxuzk
POVTK06pP+q1p7BvaJVMpOUFSAbhCB5cJkiyCaXU2xGFDVKIW423eibkc90ERecTE6wrtc3sknXt
WbLVhQ5HZW6OKWHLZBLmnh8Ok82qchQ0pd4H5Bcn+zF08qq9a5ctKFAdGgGK41zpkJj81oVjU63J
9KTDfZ2MoftuhpwXC5hZmRisxxy+pnI2bkXQfKt1XZt8npA5ZIqnXNY1Dy6Un/+KZP8kki086d+J
ZNdfhv+1f8srDEX1l598Bn/8y+/DgPPNOsA90RQ/2gwc/YO1BNewjLDnp5KQx/2fMhnjA+oVWQ0q
UpgiFnHrz0lA/0BHIf87eDuuJZwI/8lk8KtpB7MKP4gT4AL3dBlJfhbJyLuOBBsAIVK9RqBg5gSn
2+HTD2/Kv3FAMdH8ZEL69iKk9IjI8Hf+rZehLXutIsU37/G/qtXoNDPVTr3j4/1uN79/Kcaqv72U
ydviWKZwSNMtc9APol+Zc0dKQmPej31M9VMWIyTopKnlcg7MwMTvc1kDtp4tcwUVp/yHl//b27nk
Gs1lVyElH5r1i90K6pBrDbaOB7QYHvTceXYxqv7+L1x+xI+kc3d5CQvRlSYInqv2LznFutamTgRS
7S05PIyW8YQoU/od4i3ymuIq/Uvz/TefHKUJf385nC3UlEBzX9onFpX1hzeU4m9csEgBe8IW6kjO
QtL27Wn5MbW4GWewvMxvreBmqFoawg0oBivF3gjLR1pDX2Vy4pynhzzkWNymB+KANI73Ze+RMf/W
RM79llZyXUk6onIWpTVD5YEAvvFJT4Yd9+MWq/XStli3Qn+aqMZcEjFdvmaHYVxHquN4HqXGuhPT
+DQhIJ7QXYZwZTBlcbhTXv5g4z99jienZG1ekxEIS+titUV6Z1towr0JpIQKtZCwRiFX3K4D/ACd
YtFlqW3fzfOBB8qZRH+/NfL8q+lkd2VsvqM33rZ4JVAc3fxYifE1JF/ASyT2hjMaWDygjOu0mtUu
VRaO/EKurSYZviBCqYOTRJdqgvkYe4h+pp53GyYy+3oE34Mt3Q6Oemg8OZoMjkkUU6TbOAs/qgcs
rnkPIxjz9SSThGyUCh9aG5Be5zJGen1Irxr76HEI+j1hnGCT0MR1Rpz0u4hofUBnzpVFiCrdoAi0
0/JoCj2CQgkUtrh0vAflUM8ScTzxdRfod0VbI5jKSqJrFmNd249m4WjPUdrXl6KEM7hxgeo/lDJF
QK3jbi8Miwm6rmG806UTXQW5qs9lxqZKL1S6ZWnGJZIrtpZlOfnJUEjcEJ2+7eNMPJllSudzj3Cr
RbHevXSxgKHni0meKAgMH+IIXaWIqUgPMGqvI2Uv2aZ4KQfT6uAUBFF9W81oAHndnAIIjy84nNsH
E0DPniy8PMvRsPd5wbXAtizedm0x7orceIlQvlDfY0AqiWOMe7OJvVuBS2dHQ3N9nkOtvOmyaa1j
+jgTa6oUTo1MbOuBMs7StpgzidMw3Y9WvKs9s7vCjZ2uKPCyb2JsOEFgUOkQtA5RVhkSpEgjtrPW
89iHRzMPFuLxcFtN6SOSMueGPtF2JvSfK6yuKR12PSpTxz6QZkW50w32pJgAsv0EXeVgVY26mkqx
kM9Dq7zkE88Nrmh2MDQxhuLWCNT01mAoX+oZOe2FiXbVhrZOW7YHnCBjbIKJAYcca7yzVkLxamFq
AAvwSByBWqI/Jqgiqj00N3hx07bwAzf0dmEQDFcjKiBLwg4Ng5jejlE64LvPpk43BYemoONkYKXo
QXY2HGc9kqdl27kNEtt7KkEUcW6Ii7XtRG/YvJ49iWstbFtxF2NV2eu98Qog86S5WXifloJNvMM7
Devl2JolKYIgrVezCc0uGPoUugflh/acnLVGAW3BrbQGtP+ZPkJoktRwTSs3CPtDwGZ+IzVxC+Nm
27Id3ycaUZsS681uTvmxYWCrx1pqDpvrZtDWlarLbUdE4a3p6RUso8reNONWVaHxYFmV5xcyJVlX
OH1z02mVwX5WuIc4HwyYSBFHjWXejiLgFivLrObrIEtbEk9BNT2W0s1O3JBmLLoeHmXdeqlLrD66
52qrAZHJp3QO75eITmhbu4gHAL499PtVGNLhkOWyuG5y95D1+mOak7PSA4mnCEu6WbsIgixg1kGq
uecwSL8EeLqwFzQbp9PNt06YFWRqo79UHNe9lZXx3eOWYF/iiWMGpUbZwc71es+qNl2Xwzx8LDkp
o4XXS5MYMYbJz2y+QHByxmUZomXPclACnWo2b2l2sDGXs3qTWZ40q9LKDMxXUbux8fzzPbHHz6Cr
MRyoAqWrKfyURMKTFVkYSTwSKxzWsoWLO5qwqbl7ZC4VPd3smKfMiAeFs2DuOTK62h5Xrg3Hw3l3
pIHDo/f43FVgJUA+XOcha0a5owcgxw1pTiCLJoo3UhMkiu1FexKW5VU5dtbewqZ0sWNJb70Whq+u
tckp5N1lU8Tb30fjo+TOtSZN7HLynrIHg4ZO3xKSQJbWpvq9qeyNTbHGc0tm9nXs7ejaru35uSmM
NfW+wFuTqq6vO1m1cL4Srjx8UntMlPUKbq625uH5tUgbnU1BnW5JIzaHLES57RODe4Yic2NfAQBh
S7jWs6b7Y67475D/D0O+YeKd/GEqWoAb3/EYC6fj//zvx/Yt+nG2//4P/lqDYyK2mJ25xGBHwNn/
l9C3gPfxC3sWkh/leCaz1Z/zvf5BgLyQ3wzG3wd7w0H9Q/9bdsLM90ts/Rd+xe94Ft/W2z/MiaD6
Gezh/gvM8ng6fo0dlKrEHDS505nQtsZiwR2qadqCOPee8pySMsQmeir6MKyuyHxQCDZN8W5c2i6+
NUTVigI/vSpp64Dyt8ljSZHRNFk3uGcbvLJlNsbAvFYGJKmewGtuMwfeac40gpLvAO175mPE7Sav
9l2OR4uRrEd5EVmgXbzc7PNjWSeUmPk6S0/3Ky6hidFhYIE99gf0d4ltLXCAQh1RSlV/X/W8yfda
UTrIhsAOTYCyQz1f8V6aBnEGuP2Cl4VRUS1571wPAUWb84ShLyeW3A1ZfE1xCr1sjj4bGFft4KHI
9ehhbktjzx9VYkLttE8DCYYHNzGp/q3yKLklYHTdjrU6kOUKgUAF3ZsnQVdCVQxgVaVY72ySRL5X
9vDT6KuZHb04JridLGQMmrUJJgyD6NWV/gcOHzfyeB1R6qwdRgY+NpepFk739E538PNFmFK6GtBw
qzs7nRV2t+v/YO5L6mflklRPYZAujhy8wudqJKXNp0CaU8/7w7fL/L93hH+4I+goRf947D9+qZsv
04/3he//7M8zvwHuBqwEhk4MKH/I/N8XAI7Fuf9/2DuT7baRNG3fSp1/jzyYh8W/IThLommapiVv
cJR2CfMUGCKAq+8Hcme1LWc6u05vqxaurCxLIIFAxDe83/MS4nhMDOg/4ClsAwkMUyS+uSR43utm
8sfuAAiHXwchBnSJbej/ngcHtYI3eV3ApgXzwkBFia8sB+SPeZ3ZCoLewRH7YNQY7ayERe0zrkV+
h6e9c0ebnpcudjpYEHqaDIcxrfr3SaONJawUg8lZIUbgo8z4MYgYDRaUYJgOZqNi3DAiO33PnKoO
SqzCWzigdzgjIDzFIHasNSL96KrMynkkEHguUG7H/KrryIn9oc/r+X0ngiv6bShrFSWCVe0WUbeY
TKN/JqN6GORCpOBoR5ABgxBBWa8/Bhhb4zuupealqmR+7AQKh7r0eT2XkS7p0nmEeatOpaoBdmmG
cYlmE7QMXMaXzhSgH5vaYhZtLJnWjUd8LFaMPQO9GIG/zpKdara7DKwUN+rVS1J4ye88/xQPpY6f
lsZIbZQhRX/H3h7UYVYOhxmuWwjmnh/sHIkM36RYyWZYBmXwaczmNg6rwtcfvRJ8h9uMQeiYAbsp
Ctw9WmBUOtrA1Q0YHSvQt9O2S/sAI3ckudRpAwEaM03phMuOkofIfLJis4m1p2GwGMbtsUFfuYNl
3Au/C/SddIziNuUF8L0xHoxHUS5pda6YHCaOTNQ7vym0lzmRQaisNjrmiUq+aoRPp4ai5u7183XL
p2JlC9DK/HkwwcJVqwpJRei56HK3uhiq3TBMI/TUBmpOzU1G1NxvKoTdAD361CSQRU4OeqjPc3mP
Y1OS4J9u5POesrOwtomDXf3OmpcEJMPQBOR7nR9nuz6MwiZuhqRO8JTG5mMDYsTdGs3kAz/NbSpM
fclagL57zIauW3N1uLNd56TowB3nA9KP4iY0q/iQNGJ6bJuku/fBzl6zeWSCkcFbd01qah2RSMd3
UcugQzY1WCEFk3NHESsNfUa/0Vr25PMjfOEwm2lAOLPZVTv4CIAlnBZ9DAh7dyFpo5qs5LTz7S7Y
FYVpvUgXpDesh7KsceLGJHgdm4iHt0Gm98kpL2p+VzAUzdatQb6aiHaYysTeW9RetunRfF+iMpge
0lnmoUVQuZ57PXoo3TLFlSCW/s7oA2MrisS6FdQDdqWP1xbSUCiFzKmmpb/LDb370Nf2o9MXwDkd
/RMH0pSF5NyLyARqLW7l+JmXcTT3Ycf83Tb1Z2jxHmI4BhSZ+Ix8hlQZaRRQH4v63Llz+b7TLCgv
0wQmIrWN4xBXaOAAA29KsG4LE7jfmIE9HxmnzwsUPpIzuHCsj0itKBuVE5PDkXB5UZl4Wdl4UIeV
iWct1mlRvq36UW3MuofjqkcZPnGy0yDhWt0DMmIE6b6V39GpcM5ITqA9JyMUAN3rdAZYy4Jj2tcC
kgacv4a1VLr3ODJ+8hAZRvxlElkGK60+iIlHPzcL24ZYSgJzrWEpTxk2bqHOzzzPbQCRQ8sEPO24
LtsPbQAmlWEkAxZVMuJToOXV/BFAgU63ok1OI2UDLHab+gZ3YdqZrafD6QF3gLsBQQocmWk2mtVY
9KAfcTEHT1w5Bq+yAztnKKS+Hl13upMRLj6JmrtPAd/fwiQMz5pDU9Zet3bnWBwHJtupiLmLvZgk
N1+Vi+fZSm8H2EOJV+PJVzUiFAXBjgshiG5ngRDHFGV2NzIYNoWjSInMMhNwteU2XSiCUe0SPa5C
OZXPuN61G5FOJkNUrXeqp0G7MhbM5j+YybwNpCL88aqiR9Xsz+KMex+CY1RAZIxs5iiV2ZU6d4ie
XneWNu+jl0CV+bGoeUNNdGCMWi1vUeOyaSkmA25Clv7a1RjCYl4DlCpCEU4YUbvVTsVsz7SECABx
qjAvqM25ENIitWYonk9SjPn8IHWJjCORWlCdOO2nE/jaelrX9dxvmKKaH4RvON/8qf8TLv19uLSU
2f9VVv4pgVq6JA//VOmX+k24tPzYv9KoRftgu44VLAayZC3/k0bpS4aFlJg+NupgRjX/lUa9pkzE
NoFPeftNvEQoRTsSjYWB5sE08Lv+N7Ip501hXw8CLu9QBndQZQQ0F34Ml1qkprOMq+xegJicnm2k
jvjN2l5vb3SAL2x2lqQSOO1TVPGldqjNpHFESCOn2mPVqe+Q309fBYwF2sZ644SKbuN8pyrX+ydl
Dm9N19cVc7uvqMuhvlzlhZzId+hB+wPe4APM/O5rAYuJN3vCkcUhCJmzJHinp1rvvR/rYcQiqHF7
0UwfrAqbmdCVY68/4dVXpAD7bA0WmUhqvSqPIPhkqHyPGt2ImHBGTTQ7uUrumSpoG/9DQq6ymLIw
7MqeZcBNpZ4PgaPsrh0D7saGBMkq9E9p6/XzsKua0TfLsNNL/IxSPFCZ2tLbL4nWia3XNtPZMYuK
0a1JZvyoO2nz56YCG/Hwn3zlfyVXgorJev3rF/CS1F//+Y9DVzxXX394Bb/94B8Zi/EbA/Umyg03
cM1v7cg/MhbjN/J1YDQQ834ciqaOQYIO0vN/upt/9Cn5dYiOlsGAf7OUwTTOm2SF6gorzYarR29N
x1X8zdsHw1WU4LlRiCK8zKak/gDSuE83sR+Um9R0HmU5jg/okKixDc1jETvaQZdQieoBCkU5J/m6
6eySpKSszsWg3zAQxFKiKfBCqm2JG/0CtBOGV4Q2pI1tNpEJ+J13ajhOVqYy8CyV4jmwygcAkg+W
JncghaJ1LxzmeSWWl0zE+YRp6cugD+mp5D6GrddgdlvV7UrXQO4qx0RLoc93daCfXaOzVoGQzxRU
Ff5xYjPZYN1En750ANnW4DOnjVf7J89SO6xXwVDG1UuQQ9ExxkukHAZvUvyBzPwBHfDZzqY7HcQ9
RD9tpZL0eWr6el1DhnF6DtrR+ELx8LGdum1dREUocDP4RHS7x+DJXUn8ejZ1t8i7sB9h2vExH4tn
D6/brR7Liy7yh+UO9OXgr6lWvmRNpYUdkvCtVUC4skraHEPsJeBJxmtsyYtfKTekdRkfRBF8IYAL
dkZi7+MYiT9F9MNc4AeuyY4bo+sguNOjmQwmFBp1dZPpIhv7MbHyY6yKZ9FmBCDOCcC7cFeu3W1s
vpC00xfcJc52wbOarB4jiYYhbXtJEgZaX7gTrBhBIB+tuVFmAiYHm3BQWKaebNJ8QetrIwZdDQDl
WFvuZVI+Dwb0en3ZDHtJX2q5VgMJdQNf5yw7/dybqFgSKk5+vCC69bvGY4B2zJMXiw124xjpQ56r
O5OHs0eOBnY75RsyjnxDbEahvncLen2Yf2GARpqZ+tk6ISK+F0C56mm+CbuNVomjrqXurNVUybBi
gG0d1elzNcpgg2cQmqH5bsQeFosBgQtP6z2mSv/db613AT0wdnxjOzFOPzuD2LdqvM5QtVKU6yxU
ax+XPCMSJiy3etoHAwRJt54SylM8T/i7FqU2VoKa+37VmiVstk6/VbHxJbAkUSUuSpiDFUfDG6+t
GK62Kl5KHXYXenDmP0p1tSIjoYMGa6swa2TIrpaEWFaTgS333ajcE9zbx7qtsi2DQCSVtrftl59b
BvUSxeyvtNxHGIXTHgj7jLUGmaepNZ9RswUhDdNpLbRofG+5LLtCxVE4tTj6TEyt7lvceWBnOeOh
Q8h2UKNGYyGZCvjzTckoZjPBgcLdsUzwvTC1wvrSG93naRTuveHnzdIwrdPWXos8AZIbkAOuQWLK
58irabgg8SncXWa31S2volupNBe7LrK6FAY91P0kOjH5+plZ5DHMVbFRiTsxqpyum34S8LdVgm+0
6wLrS5VgIKPuKQJ47anQknMF/3ODjvhWazQ6oWo7iKecZ1VNWB9VJuOuOPJtIESiD6N20MyBuy3T
EsenqY7ORs+8TVyx/OfM/FKjc1h1bUnsO+qhq0xja3k1z42B4tWAjhNDUwOXTtP239m6N+yUyaKb
cu/R01zmYVt5iEbxoklxZ7v5N1LJXyKWf1YuUNRCBmLz6lPhXtSt30sJwMPYAz6b9d4escewhran
i6hOqdM+zJHhrr474v5EuvCT6ITBtIADzSJYo771VicR2HKo3InwC9+eek1/DpSclTBxwYb+6yst
GpnvKu22v2hxkJxwMYr9lOh+/F7S85SVkaXh5p4/B0vTd9mOM6YOQsyIuvrAP+nbX1/zJ53Lck0q
dwyIUMLjv3+8ZmxVQeKjPttPUPk3Tjdea8WLrVk4E2kQn5bvWxSMpHTsbr++tMVg38/fN6AS7yFA
Mjwi6x+eI0NIcs4mv9p3iCnWGUW28xRRzmG7uIMhn+/1QH2RHX4puWTMLQPwtRaMOKEKhTSIwiiu
5rshJm+bLWcfBKUWIs3cgNbHuoXtG59wXO9AULV19lC5Yls640WV8U13EsbglX3C2kKDQVcHOxgo
zVPMOGFo+2wPv/6mf7KEGIDXTUJ+A6DvYpb8/YI1izQoa/ja+8TEK6jWz3ownykPtn9zR5dRyZ/u
qM2sImE7lChqaT9eKJCGr/g/WatBYR9wXThPRkpmUbAJV26QrTs/f+hjo3xfjNPZ6/XyfYIpRGjP
8Us7si8voQqZfE7JRd3FGtNGgRyuWuCewEjs4JEwSNikJaVZRhFaZarH2DGnXRmbzUalE3MSusBi
PFc3JTj24ZLZxz71SyyXe0yFq/QlSqEPVnnBU1R+vaMx8xLV882Ph+3cdxzejbVPJmefJBVeZ/jA
0Z5VdzkEv9Ac5jMMXWuFca7BXKL2WThUHTyDGOvXD+xPdhgLmRLyKyhMpvO2qD17GgwZzar2s4Qv
Szih2NmcBggIUu/9r6/1JiN8fesdDEx4WmjoHHP5/78TRglzSrHLnKq9k48XxCLHkhrl31ziT3YW
zzUYBVn+DBhi/fEaaF3gWeo6KWQwNtR+8SKh/APGy/ySzta066FJ5aa9DzTzJKMAH9CqOGoq+gTC
83c8k5BVlSN2S0Vm7VGMcsgG7E7NVD5Q+3qZXckYS5TmeyB7M6JkS64Gfe7ui9TdjH7z0e/5127n
xwdoq7T6HeIWw7DQIgVtszWFiTdS0Jo7HKr7lW6mL07FEmzT/GFUOQKxeFrKpQSohiT6RThWVQll
U72/1JUJy8+av5Vg/vKEsf/kjeVZBKgZ2YfRTZo/3rBFfK7qqaz2RkGiMNLLC1PU9VDlc75zwh1I
CbfWxeSfSselENsJ5geN8l2fsZajHBIu45lbGc1y1bv0BAHXPsqssdY+zMFlcO6E262LS4mDNaSZ
rR3BTtRQ6Fp72XRjDvTL3OkrYOAflEV0CGIH3ZemYALpt4lADHePpNmB3NuhNbnEjjusMsH6tBs2
vs4dkY9pTJ6VURHsTGe+BY0Yv6XJf3mT/uQl4cxY/mNgCW8uPKzvF66MW1xp5FjtpV+tCXHUypN8
HJtqadTEf/NE0D3y696cjotIlW2NuQb/p3eyta3JYjwRZx5q5EguOtyDouwYcVIFBs+HQkMOGIIE
CZ19v8oyIsC4eHBzAkBch9xVXaH4S8ux3QQUmtF0dj1YOR8zDyRho/+uCOB7JAHRvqpqa2013Zcy
my+qmO5KbzmMWWaxlT8DySVKpaaezfA9BxRPqjZDwlUcAzIfk1fn9Jpezray1qnDXwwgJ7haz080
ctw20dBjntInB+XTFV+SoKjCek/SszpWg7ymPYmkn+M0MLekes4s8fxlpnKymWS0xquZG+dWS4+M
UrYrA7/XtMqn9fIPWsm/icZlQTYDMw626DbLa9QpB5tyeXXjJYFwco33CRuXoiVaohD+oHDSW3sN
f1tozmObYRhYYVZ7HzjqiwByLAducFakDylqdHrThOJ2YT9myXiRyBzoIDigt8ojarPjXLYthWle
YIwRjiTFuzLiZEnjkYXJ2+HK/qEwnM8JQwHH3HBOI5O5NEymcEmMQNyCFEEldcck0omS9qNJyfhv
zmP3T15vYh2ap/qCAMSJ+8elW0xMyJq2U+47b/rC0Mal0zn3RtIsDPay9RJ/vaba9dIE6QMivdd3
vkr67STxBGLW6UvVlhbwjwowUx6sfRDZHlxTvD8RalebQA3TvjA6jQQNxDwSgnSDPCn+0mpF8NAI
5HJzzLnYg/S5r3gPwtlj9Ftjj8n66TZahFu6sBpEAekQqphZmMInso5JDDkPE6vmgcSE2V7GQOzI
DsrA0gWsUx/S9nkYh+FiO0O6qwtXbVKBrLWV812ZyCs21QDBDW1mTGP64nawd7E/unhkB/s8dU8j
hwhJ5nC1kHAs0Xzv/XG+/qfE/fclbpd97a8rbEuJ+4nm+A/VNYuw8V8Fbo8SGsBCHxH1v4pof1TX
gt88ZELokOCDOiitCfb/0Ak56IQoOzMsiHSNuUA26z/qa/r/xZH+pzdreaE8MKVomknR3mZLxui2
o67HdFh9rBLCvIqdd5aQzWku2NS+uzXnb3v/P3AjP9doArr///9+OoC4FmMohGgUFXHMePMWowsA
mucb1cGzJNC1cTJOiBCD28QduAf6H2x+fb2foiiHfgIQEgBnKKGst1Eh7V7Ta3yd65VGzsS83qBe
xNreQNiDEIodE660pXzjinOkef31xd/qLHxnSZRc9F88PRy+3nzZVtM7BAdoQ2c25K9lUVLbL4zR
v5+MGevhaA5ukan/3Vf+k1vscLfYw62lYPu2YNp38Bqk72GHUBrqnCO6/Mo+n4IJToU6x/r0b18Q
8dvSv+GKFGjJt37cmTNdU4wuiQDpZFTfeYs7w4RAYVP6lvbZ4mh7+vVtXQQ5P4YVnvM6/8CIDDf3
p9B46gx9jiM17oeaU5BhrqgzaUe3OjRnaVdlOIHJOvlFZR88UHuXdnSqW9U0nsRgPp8rZrw779JP
JgUWMToD1tmLGAANrnqcTP9vVoHj/cnnJf7h3Weagqjr7QBuBdM4zsp+2DsedJarVuLAftfFBROv
cb1YPbSxIY80nacCnFLvGFfewemiYe23p3rmuseU1ssB9rLzHFsdxdDELVhL8NHqu3L2jZPCmTU5
jrpZlBssO4xTiWFuicGxMxuQpjsCJE2kOLhN5uxvG0cZJ014mtgMcLjvGm1SF6Pn7IhS5LOrWYy1
87tPE3sCgDircePnrZndCctRZ5ddwl2nPq6G+0wftU/4sgfRpRU0lQ8iyloLcnU3aTFemnhIG/9k
lSoI5tQCMwVXPRjt99S35H1FTQ6FjpNREKX4b1K9ZyMQTNIzAjh26qzhbHAO8lb4IYC05mnITExw
hG4d3BGkFMLqsXnyS2s869BgiXFaTIZDTAuWGT7hPPtCV5daFIzIlmPUPFlMN140rEmuTk85O51T
59khu0O7PQXqiUomXTLQRMBbwEary2ALvinSEmZTCDzR/FdpdMPNNBfrAWjCczFwH/155L4J27gO
AQ9t9tvgJtvZeXaZr7qkMVXV1pKOtcXrpvcJxLSEMt0Yqcu3tZowssQkKapmRjpzRaMvq1HmkN9g
6zmNTbfr5FjMoSamPKFKG6XlIW+1tuxXLjrxYdODPP+UUCW++Q376RoAiKc2JZxkdwX6y36uO795
SuKGlx8SzX0wieDWIMtGoF+lS+icE1fajDXcCWaMmV5clJ+oeBqJCsHklvJ2N09KoSgK4xr9E3Mx
gocU4Lx+GCAoNSuJX/MllXbAcChCsv3r/bdVD35t8O1NknvemuQ/6cK2CvTT69/pI/iX5aRn7Btz
stf4ru8Trx/XMg6C7dB2LGAoPogB+lw2+67LoujOYMSgCcdODrhYKj+4WDrsDHRg9JAGnHkBfJx6
5kIaZ+WXuak+QFjS4SZEUCPGbQEtZjEeX3g2+EPrB2n03qhQimhVcuy6PtV2k06hct3G2hRdmqZy
ilVSI/NfVcnQR/fmHExPTLnJr+OktSOEwG5OzxJ+ufzUcfuZgaiqcdch6gBtDpEeV/MR1oOeoxFx
Rof73F0bK0qW0gvI3SqYtgF+E20CaIopKyxa/cw6Of4y3zDKPVMsinGNmu4ILiVh0jBR5ZradLKd
3A075msfO91s1wxouFR6lfEOWkZ/kVS641WPmu9zb+fwpBKrQ3UTB6m6Gz1t3Ns+jhVk/ICaVno9
n3wxxF/bjm0TOZF3rNLEPTV6FSyVY3u6Z4q35IEr1G7UmmMIMc3cfw0oUsh1pw1xumZxBxgL9apa
B/bYIQDyvOhmVV1fobizP2LQqUHIaJ8rw8vgrsBN2LcwADGm8ywWndBHltSUO93XxOB/rNiX1YVj
jrVsRtQO9q4WcUovuQZo9+bJQe10W9zbs8Uoii6cM47qgqoqui0OVKfGNpqnCdfHYjXm8lnVzAVn
jsuGWZs5vkJ69ikDkDqHyLusQ6R36S71LOvgN4GeYCESVWuO0Zr5sXIDo75ad3yNeGtYpe9A/J9B
dsxdY3wuhabNhzmxB/9glQILg9BomA+xhLGkkKZlYUA3Ou5GVJRlgya6l1oTn3F5SA60MK9ekrS3
ohfPU6mW3T81bsxjDOsMB54TIxvs805jpEcIkubnQYuYtQEcip9PIL0PJrgD9AOjPDhQHsjJZGuE
vJfenR3Vwt8GCKneqcFUVOps81YmfrOuVcf09khesYYw2UL/LGxnZGAtqk4Md9m/F4bF3284scRH
h0pH9Hvgy1Ss2raJ6u3s1yiMoAgP+At0uXYP2GDg1pX4bc5osB4nz4dTa1d4RCSWvs74SrAYsKAH
WRh1T9SqiUWa3vHvLYlFRm6MPNY2CMSG9N5ms7CLWICP6CZgPpl/0tTEsVAyXLjWCrf7qhdZcO/Q
01uwhzOLBrGTunSx7i9GwstSQoCGti6pjRMyEfbS1jXZ0zNglbeRzvHO7UngOsmjwcs3YB8sB7wH
AORQ40qxBIqRtkLJWikrDnAbp3iKUi9nvxej2E/JyD44OnHX7eB/+PdMglHE9muunHGYAJHG1+Dc
WFzedSRjK97EOV7T3t1Z0Ww/zwjLhvB1C/SYChIbrLeWpS/1Ijn3svJpHDfSvpfDgIi2cOaR1rDW
fa0s2lMIBwUrwqS590wpR5271GGfLlF9ifXUAh1avHo9IoaJFGX37WMZFaWqXZtkRBKRpnF8eWBB
79pCiD3Td+rcj8S+JbCjjTEXODmgPoSOA2WqtBlqd2PTCnUR1E/SRDX5znRGPnVaNnxXOc5csiLf
9y522xRYk6BDsZl2K5J4UftJXx89L4yV7R6HvINyhVfe9CHSaufJTQw21klAcZaNUMhRQaJ1HBlG
fJWoUCb2zcK9t2fL79gXPeNDUWv6sRkS7aUXbbBLBhmoFZ+ZKCfVvOBmKtCm1DxR6lCo7I2rJVqO
pxjhXr4Vns3UQ6zS5Y4yIjFTVoF3EQ6NjzsVM4N99SFanmgGH+x5HkpWXNHxGDWjJWvozVkXOlOc
DdbthY+K4GZoExQY7hOh5QfXSrXhw+gq+F9hKpM48S8MVQV0CxfOCJ4ZftxO6XbKce82PmY+0XK8
U7LHDMUg3MAtC2qCbkfY1BVluu4lXn7SncxdiYRRMkib6MfcFsnJKvsxTLWE/jQ8hbUCrHgssrlh
0DJpL7XPzpKPifaotCA9aj39zbFLOHomv9wzGIg7n8L3vRjk61yVu650PHF0L7izpy4KqZG8j322
dAvpxZbRA9qXlEmp/av2UI9ATOK+MC6VzRbDLCeA9wztw8rIiUh6t8xftNSGlDbWEXDxugTe2dKE
4w2UIbvCSwWbXSumd4Gy5YF1TWAwtPq7oG/0d2hBx/UIXcPtpnLPXFa7ITaOPih3gIfLIbpGXCk3
yrbpYPb2Aw5t1XueNudypYojJ1/J4CQGrZ5Gpdov3Q1NlYchtyGrcKve6VMTf2zo3zJmZ1qnesSv
MbRimjtQyXZFUDCLOJ6t0rgQ+VUbeMv6C+AJh7LdqxS3BGIMKbbypB35ey2b/wlOkgdiD7zCWybg
ZbIuB72oCbS1kVllTuBuNeGbxQ6SLDOanFfshn1W3w2tiZmPhb/gQ5cXLNIyYbdJXcGKnMfFCTsC
UtKdp1xmFM4Ju/8mFbffZlE0L0g4HAoL6Gx/GibHWCYLOPGafQPvgqAfkiT2M0vg++t07afsBwEP
nQFqGaT9Nonbj+lhECX9kNU9NpFwaAGW01m8tp3QipWtjMW+eUldXrfDX1/3p9Sf6y4zE7TWGaYg
U/zxuqTkBZQ21exVVrjPvVaKfdmpQm2ll7B/1WU1XVw3WfwxYW2k3/hZf1lp/7lJS2uYaQ0YqS4f
4m3DG+w11RPDrfcSLzpzhTmNeYWmU9/hI8RuD96GP/VGkJYskTdNeTb31xvwn4rd31bs8OL4bq38
LErlsE3+ET6LukjfYG4RMH5Xt3N+I81y6XJ/M5leKhv/XbfzAdby2tjQb6Ej0Lhl9f133c5yf6Mv
SAWGfodlmub3ttXWb/xVg4VhBd/kcf+OMBWmxZtXODDgB8L1ctDsGWjjlt7yd31IbyExQofO9thQ
LbFBsNhzzh015rU5CqhE/djo9Yr+VeIeIuzs7QMBYeAzJo0SOjQlFu1bJhHKfFM7ddwCjKoNuTi7
V6W+0kkavpYpgRr0MPuAg5JxYpDXPvT2wJKeTIbfC4TbzAcZbCAyK3in84LKM5wx4iJcOZ6qJfds
9JkXbszw+10x8e/fG8zwPX+rU6AAqMK6il2Xjo/pNzuz8BKxIbBcfsRibC/MITmdzZZwn3EWLiwR
0HOqdL66xMohCUiZTxSZSRSflxzUNJ898S42K3oztSNq/+gibvra+bpxLaqlvGAkNHCwo6T+0Nhg
XadCsQ3kw7IPNsGSOJtmLPa6YRnXRRv87Jn05etaG/bWmFgfZ0mEV1kkup2lE1q6ZWecYpM+AdjX
OLpl7qJyA6rdwMAkhAf7CWX1aybQY60qGyO4FMbhE6P5r1Gm4K+97oUlmebzFC8hyxDzARxD8mll
wdV0K4aMGCXUOQbLhU7lBopvbedc08+t5onclu8evMaLg9Stk2un5V2VeMQLORGWP0bGSshUPWRR
Oh6sOoDMvYTtHJbL/UR1tUTCqqTmwbrm33x7oAVjiWKNkwDR1bA84deIkUfadY9osSACS6yYjLXK
4XasMVLM0/dUuPgK9ZTxW7B840+/Q5ESOsXAfZGZRgSWKG2JbyZQqIBPPXLKtkfssW+WQfZPwu1s
a1uUMxMso5xfkghY80ofK0rFhbz0c+dsJ1xj7bCIKMowg5O990Z8o3BcbOnKGqV5rQhQnl5zwdop
Wei5QiC4JQTgN82RyZ8cBHy2ZFlEsMnUOWEUG2JJP7IaTNHxZAOr96zNa4pIcX+wHwrP44DGLoPF
p5nEvhGNHFhTsum/enaA14LeN8YpkS0vIQx7HnBNARoUehATuOdZQ3xdZdjDhXnAIMWGUhvrzeC1
vK/hv9t7D5zVQctGgu5JWnzudB6IVUvGXKl2xFW0IhlnxUTG0H1VRFEx41Uaz25c1gmVLCplS1Dv
Wz01QweTTN/o+GV9q6dkLACscWogiR7HAJEjSbLAse/2uoRfY+gp7xiKX172BcT5FLmk1dIauCXS
jKezinkVQLMjDUngzW1NSrS3b3lWXzekVE3hLwWypbD47cR/fSWYayLxSpd4+zUGanU2DvTi7dPs
kYa0DhO3a3dwjauNRcpNW0qLqIqyhDGwlgZmITxeTjSLaAtBk+yKxJEj8I+Sr6On9iHtFA+0fS1g
wTtigaEFQaqaj9yf1/Lca+o3oWw1V9RprYOX1MG9rIvgfm5dHmGfTvyGujFw/ilwQ/XDwesS65y1
I04xmoD/zNjJHKz1ovH2riP07bdUtFUaiXeiCWSEOevHQuYnt3M3DckGnQBvGKVRPhBpjLqUZi2T
y9QpmOMZw9Xp1JIXwvS95AHbs1/lGpVzo+D32EBODjgy+OusZ8vQIf9ce6cZuIPkZZeGhY5tUJK3
T7ketXTUuxhlcmJeX3srLlMEEZYuFDk+dAFjDcTTbJHWzBdWec6K0gI8HNaFSUE00ue5Oca1RyJk
VWWRHJlwTneZPqe7AaExw+KSp1Skkf3cpSZbsxFNrCmmwVjgkzvzWEVXOM86LgrUYCuDGA/txzVD
N8KYsyipCkPWY70YHa2BumKVSsZEXdy3W+OU4rp8LWnRCFgkCDI3Y7DEip5R1BO88CUmNmEifI1z
6MRp4rC6MZSl3cnaE6ljZHeIKMR+MBaK5Ouat03QrqHe851DEydQi6fpYsmcjsGNOQ+qSkjRucQo
jbaHgs4IBH6mHfsbeaC/ZohuWY/B1Plh0/rBDfNlHuS3LS3rDAJ6cj6WkhNROjtkfofvQwsCSGwa
BkzPtsvbVRQ5yA3UAZFuEXe+vnHl6Ns3WfUKkVLriGT7urPWdUK2LhO/vRmpVVU3iWA6/+SApkzD
wl52KWOU6c5Oeuc5AFW+yYa2fG8kSKdxoP2KD1FwEE2zHAatvhzOmK1jmkpifJKzw0YG94432Gcu
00Akjj84efyUTHu2H0TcayMeCCFWcQ3VJ3TrObgrKd2hn/YiqlJ4WwTF+zkDaainjJCGmIHGN45S
wcwKSdvRrnTemnyphzPxAvopYYuh9ilNkJMQgN2vdVXe6tgQxyBSgy5XE/Ra4hBLXAl9Md1eDqLO
rYor1MbmjjPGP4Ml1CPe3dHCapoZu9Yw+hOdofqug/EdjvCNP6ZeS4V2qqLPbW9uNLNu7zt830LR
e6Hu4diNrKk0Sk3u+346dMnQ3HlZAMLkjFtSHWLS9QkHpm3TdO1WY6L33NjjKiu9S2Qy4PBpovqj
cU5gihUdgBWU7Kqw7OmEMTBIxdlcN3QU16ZrzlXo0bqJV25rZ6iCzHJvYK2RQBFu/BB5urXNK3MM
Vl46b/VByaOTJXkewjKcxhWjwcm0nVwwAvuAZSnCuBugO5peEtz1lj2/81XvHbss4JhLFVRSpSEo
KqXx0TZGDHihGb9L59w/embE6jXIeN3EhxPvZw25faNor+TecCfUCJWRlNdadZqjngu7zj5OXvnR
zry2uP8v9s6jSW4r3bb/5c2hgDlwgzeBSVeO5VgkJ4iigz8ADjx+/VsoSv1E3m7pat4d0U2FWiUm
M5HAd/a399pV14v7rszwQg397GEyVD5HeWv63rM1+Jx5hCv7mWrXjYss7mw3jzzSk4dVK6CKTt0U
rctQs/lr4YsLAcF0tPrixlNZsd7wfjlfi8GTh22E3kozph6n+fzs+7T1ljntdG4yf2IzEtp54X6m
O3V9yOwV/biCv2iVLp7+wVb3PZ2KjD/Sie2lXr5QXvCkUWUF6rvvb7w82+7rbbXDxh3rQ7Nq4pj4
k3tNgBduRNc/df4I+Es5TEZxX3fNzbAlO4mhZj6ZszZOmRsuY62MC0tN7WT7TX8u/VFcNxZlxrxp
koxsR1rRIaK8dJ0Xaz7BgYI7Fqi5unwHVhcMl3eBvGHc8RCgDEdM8pCyNztX2MTv08YKLYlV0SQl
dfT2J4S1thMFtD47wpIPrM9X7WMPzy4CG+NDobfvx7w2o0FK/aEk7H3drNXwTBWCdr3WRFlYM7j8
3Mzs+nmYKqwqCY7LC3J8R6/q0Hwo9gJUhE5q/7i+UcBNhYThzpZ2qzudHvLkdel+FofRtXetpayB
vbvuK+Y5dKRdySMgg+6pVH/QMD82FH3N+Ju2YTzqSZmFNjvCkJt/Gm0Q145Jmg3nSdpf2ywVsTkY
uyyuV/vdyjiv0PpfE6VTQJg0/fKBiThmulZMgrkuo7XUy3gAPveUdNxRuPMrkj6NwQolN90TYo11
rDN4XL0JhcieK2O+zkbNpSjCGgt/5EbCUbuLBlt/mOayMqj+rRTFaW5HfvYhTwzApUZR7/0RWz+l
X7n5w/co2KOwTG3pUJhkS4dxQvKtARt8HJxM48akcufkleP8XoPU4/HYS0yHLLSRRQo3jiqyLibI
19zkPd+LnK6E963jVefNYdPjs747UBW3ERje9wuFC9wbkOjznC548VgrNEK75DDpqNoq8W75X3zf
Sq9Z2d2Sae5fNArRrmrl4Y6TaKRMA4/1aBJ4n3tHEejwE3jGHQLjS++0o36uS4LoF60zNnM8cdfy
D5aP735mN6oxOaUc3JK7ZPBnplmQfJg088b7mHQVN/WkKCDGcPtedTZANnB66E1FQRgnNCuh6UHa
0w4H7YHKEesjrQM8dc2xWEn+5J6VHghu2/VVh1zaHQB3oc7qds3yc1ImMr89MoNmKmPaknPPIOJM
gmdTjny8XvTdGrGas/GEnluFdTczlvv7zvRPJ/5/Y0T5VR3i6GxzsDc5QJsux+hfvBng8NDchrw4
JY2PdF43ACBeNrGN/Qex4iU4iNpnGmlYAJL5n0sevn/9At68lj8MMuev//f/AAfHEALgk1/2UlF8
kD8f3ucMj+lmDunJXvAHsArs0VxH30jMW4PsZ8qwmbTH3MqzlLRSskkSnn1ym0pkbU8fjVtweUyV
f/2q/s3bgksGJxBjO9THX80j0hoTsu8iPUmN0Y8u+wVwbd4wk+5grRCAA5PPWG8MR9qUtn/n7PjV
u8KbwW/v7P9lBKcH9ef3RK5uSQn9xnuyVhyFaNBaIWz19JsWfCB4zCnXsmbPeirdRDsb+yZI4mok
zM7ywbwTzkoCPNDLIc1Ow36CbjuCu9/f1vmzhKf8N2/Xv/kQsXsYyKhofWyaf32/Jj/NNQtA3Ukm
E9QQtrUjhlSHUFFAPJCCQ4KzNIksffdai3J96Aa0ii7jLJ83i3qoASb99Qe4V9H+ZI4h98wMJKzd
02UZPIZ/fgs1u9O2kbkBJAhElODNhTAgSb3vkXh6cAj78Xc2zf4rhhXr3E6cL+SMTeJo0D2eh33f
7mcw3tm/fmH/IzqyvzAs8z6lzejN/0MRdVncAwXtslPrpEyo0M2aaiSrMCsXG3Ju9fKReh9PnNdm
3+fgoe7LyyTMCSPG5PekmrA46DqshgAeKXOxMXCM1XIOUcCeGN/z3WtRJTTNB2rXenAa8M3W6gS1
pGTjNd6sCINffxxK4fPh8Nh2FUCuLXyrZLdCgGXBQMkc94o/l2trI3xRBrbbcgL667fD/FUW5+1w
oe84BrqBcLCt//w5ZYbW5Su7+KOV2dwDzWbDguCN+1FHLrz6N68GbqRJe5Tmvqde6oyXBSlre1x8
h3crtWjTDO2NmEVRCf6SN4v/XdxqTeM3ecgyd5V5VkRar8eZNf2poaqxDsmUTmmcTp06betuDbNN
wPJw2FfWFR4Hgq9vf9j/KtF/r0Tvt/W/8I6+KdHRa9kMrz/7R539B39PZ/soynx39u+MxUPLNFg2
/K5DAz6jbo0lA0klD0/lzk74wz8KOgHvKPACtjs6RkSusD/8o/ZvZDoRjPkxnj3caf+JDi3cn5cd
O/N477fnQUoxN5fzznb4sw6NAbLtncU1rzdsHel2zPt0HQDpmnpQr/2Nhusrbmv21cHk2QVhRnz5
H1HPHDCzuXHqp1a7Tnjt8dpp9SFljw1UdOtvmpT8lbLGi9fNbkShunPVjFJ77CSNZIjGkExzb68H
q51HQisLS1VqeBGSAagabdcE9b5wdqju4ghH/shEkpWBPyXWseiAvPO6aYixU0zU2Y2De+MCp4b8
ZJfcz1t3B2At2u+xAV1vxqnrgQERhi9Dt3IuhgCtOeIiZ839dUSojcai7UMiN0WoLLneJCqlrnog
cDnp4BDgq3RVr8WMVuR0kVuOdtNx70nNoyZt+eKvUxH37U71qURcLepOlauIuVsPr8oc0ELdGinC
pnjWqtnjGzX9SrxTgjOB55/WfswfXDwP2MSNDRHVBBXVrHsnUzudyGvfqdXXAQmXGyvVHMgM3MBA
6K0VZwA40HdppJqh1gcTJaIXTmM3mcHsx1z64Ov1HA90fvv1eGoFsYqkMumGg10cUgamR2aicx8u
AGJm63t7mKDKDPsfoi0JH1O9ROZmTENlaw578/Fz3UNtXhawydLIr1q8A6FFLVuzuQctB39kU6sd
0SmuBXD03KCznZOf+JdhhWHrlSYk5C3R3q8WAgNHSpuuJJqjrHFZDqZIffC59Xo2mWKeaCKmC8Tw
psh1Z2phF8Om6Vrj3LDoIpK4NwLbYwU/OnS0oSXFvlF8apdWXHWad0ZUqEPTtrpo7NUcWBxqWBa6
0Dg5tlT0EpRF99T0zntv2a4Lc3aDdHLEQZMcazGoZke3rV83u/hUdIM4Fk2iUL5nGcNO1S6d6X8T
qLbRMPl2xDWxk0oDZ+aS8FR6T5E0zNmUpByHHzLb6YDcYWyh6Cs9IPZ7xo5pfFrFZgBO7a8Wrfy8
rWIhe+y1cZHDIrEloum2SSjAFdcCbSJd5KatOGXE5Gk6WWEmVvy90lAftH6AqO0uSYTrYwr7Zu2O
kGlF3EBlODjg0A6JVTwrUv03uDbrg+V9Tv1evyyp24V262hPlTBI4gD2EpFb5flDPZVeKHv4TgVJ
7CNd7OqJOhQvwiBfPmw45aO+325AflUHCu1mPF6Zc9g4+EQ26LxYLnSCD6am0/6ttlinpyLmaZeF
o12aUTZYEHvdwjkbHGPDPPWmExub82BP5hVHE1I1iPLPI1TVw+glVmQib4RO6s+RPZPs0G2iGL1d
6M90xuvBoBkO39xuOwxZC8dxpLSQPi75WGrW+o5Yjn4xkEPsgNmGTNeslVnstN4MVasmD1bJErZT
Xx54qeO1C5mcf1AjIZJXx6Z0bhF/PucQYaln4TQ4dbAhRx7rkbvxfrZsMk5uVpEOt/TvS5J5FJA1
9mXvyAkKZ3jUvfzMTOxcvI2WeKHsBweTbcyGp4kzeueDba6cSGC2hLjtf6H07SFnpcV2ANiFJJtX
5MZxzbVvNUTMQwU2E23sOp/553tXHjGY7PqElAc31VSIC6aN1t21kLmWFxgif+0amtFSDxUZFvTJ
3W16FdlOnD3jELLyX2MzbyiZlx2XVOqom9V0D3A/X/1u97zkcJkmyl0eEzNLQ+AY8bhqAbiR4riI
7tvUI9G5GxXJtiogJlc0HNI6WB6KypzicmXRsQ5lG4Hf9U74ye6ayvzkOP11kYri3NvLe2/uXeZH
ZwjJCDnnUc/lk+9PL1Wi5gjT9zfKs6kKS+Coz2n1ZBrjlSsGddt65iVvQLXbTVOx1yHiqqt3VYbx
L7EyL0y67rtSow64gTyyvY3NUQjaahJKUOJuHqprNlHqKBblBbZFhV0Fyr63sk/+iq0PpMepqaRx
tTnQfidz7Q6DV6HxePyOctueEIvzdz3tXoXBQ2jRkgWEF8Dk0kirg4IEEOi1/bhvwzDAdvnV2vXn
VHVAwyYLKAHCNhYrHi9Z3Tkfq3L5MCfjeHJX92szmqzX0io7jOZAPEsu2oG1EeJKPfl3Q4Vfeid2
dELsL3y+aTtcPwN+47BOHppig0gAHH3pcozZsOXPRqa9jH5bBB3dlxYNiNwLx/HsTZviXpODL0kS
58T9N79kKODHVOMuN3vs9UZFyw0NghSgEvc+pMhNB1rzqOAWrXFM3eJlhpUKvd17Wof+qsfrHaC3
fre01r1Uskp2qWkjIOkYB7txvdgQtX7xWtZpjeBJvnFXPSgkl2j2Vnp9PuMPlMOzoCoSMjyCW+fL
08JOT7R0vFEUNb/HkQMKgzI2py+qoOPqq707zIT+zBIvY9PBlwyrod1bp85s8gmCWgul8NkaOT9C
Y19XRSg2tvuGuzeB162dc3qazMR+sESN/POxmRa5yYuypt71w6LZbTgAHCsMW1UAjW1T6r/wI7h7
+bD+3XiNeINC8J/H67ss/5k79uMHfh+rPf03G70BcAM01DdW0b/GauwdHohmDvYgrRAl/jxWG79h
uDDRKAzX4Zc90P/7WG15v+0la5zoLFx07p5u+gfcMeNXd4dLShcaLLQMQA9sQX4RiJJZS6dM2vYZ
Zxa8IbPYyocMIPyFjrcppOISLKBVbAcmqO1gzEty8QDxfeTBvDzbEt+FcIr+hSbT/iXF2/UPk1W8
OpPThc0LNC2HjPrPM78PAjIxZl+ci0k0r3Ym6EfTM3kt7QXZocur9ei3OtNE28Bx/dOn+G/EO+Qx
/u1/Fs+8nbrBuZlTEa0yb/abP584qDfGeTLm3TlJkw91l7Dem8fcvyl9SIGR09ruNc0mkpjr6rhX
i/DzZwP7xadlk9tXd+zZVLTbal3SKu3j0hmr41CpsYzxhTr3LlPUGi4o4edkrodro7XaA7OyIBlD
VLtYau7TmNzru8xciSO4WJjhpSG+QoIl6QBdh2IpD5sqoPrBYaYuHPMjBH/aA9hoB6gK5KRwYcc4
lMYH+I+SRYWQ7KwHyysPKW7oLMQ4x+4sF/qLBvefCI77NBK1hVK1dTyDXaeVt0qgz2nZLuiqxppO
K2pHWFJxFhQI85DfXMjb1EUyfLSZzMLaXNYPstjt8hrdMdf2XDD0qXV48eYEVG6uw54MqC1YJjo8
PeRuq1wPcwYAZ/GB3WjCnPuApqPuYd+i3OOaz42IUCusuUZ3kEtdXUUe28h4HulsO0xk6+jY4qtE
3s1LAX12nYPZkEXmkzE2WSwHdx7PvudXKRBHOTws+ciYZ1gzIIvcMfQDW+HEC2Qy4HIJCO4bwHzT
zbqij0RnMElz8tYl4jhh+k3wsRaaODEHmlpQCZTx2bY/kM/34sx25LtSquWAQcpEMrfRhYQaeGqn
+gLvqijUQQ2QRFd24sfN9EhEZCYkEz2nwnCaIr6p/pkkZ/2wkcwhdNKMZKcLYE6ePbivhFfa01br
W+xX7XBac9UwUaLwYi0vKP3CZ8iUFk6cXo/weQ2qX73l4nsGOYliF+nnjIdQ5drZNzHr053R0CcS
5NKtvyEkESXB9W1xHMplvdeIdHkARtC2AsdVThHx3XskY0F4ZKTIBF81oWFnfjQUeNg26FzZTGGC
4ygNiyWh6sajq++rLNC9qP5TxdHUm/krboPaIC+RUVgatLD99Ju+81X+Sj9L1Z58icR01/egJ7Zx
s870DxfThz3e5V+vVL6+bvhuxzDxx0Xxrei04YtMxqICATN0WQhPhEj1MCqpxQ1dNDfEleQKO9Ad
jHicUJwfV6tZ1xM8WgzcWiL3lbtUdRqpkQDTJ/w1MBCpMQE7jCdHsiadS/0ESjnjUTDIa5XNeRt1
zMavfYO6uUuaXOqL3pyxtZQPEOP3myHr76DccnlXbCOguLHpfAr9fH43tf/Z1gwatUo2Y2bF2Se7
9Cj6lyF3Csr08olXz8FnO3UNpOa8mVs2dTbm+InOxcC3JzZ50CYsL+7Z82rBqC/jZ71gkrwpIFDo
t2CCWHe0APZf8Uxw/GNtD0t1v5WjAvA+CVaaMVwC7qOlNkyk+8ztfdVbWt6E5Wxt1EgviZlUW8ST
wFhf7XFkl3bxplznl5L4FCIGxehMyEFjbPP0QcJTy3sQ2bZ8Hdeh5tJRW3/VqM257XqDV8wKqNEO
88hKZO/ia48dvY53WKyIRzlNbpKJM4qFLWSKzN40fLGoAKjulF1RBo19r7EjD4PDmaaKwcSoNWT1
dU3GsOCWuM1cuzRCnrGFeNOt6GgyRMe3kzGSvXI/sW6bQUoTeffDKt2oSmo8Z9UDVqeeQo1x548N
bc63mbP6dQRWpAkSTxfnlP1nXM5987k3hmcA3s55Ypls7yDk+X50KquKNGBC09HDWUF9jAdKAqUV
5UfYRXIwQBrfZNaUsD7VaELNmOchNYyLwyg42l9s4nNowpaRHQBVxIXZ0M8HB2G5FoT0rqhUza5H
d1N9wGxZnZfOa20KkZRxZWnVcPbZwFKs2Ccwc3nObPyR/TUSfoc/nESBaxJ+7OmmwfdIScI6uHI9
ytlauftNTqEi7uNpaKe2OCwJN/y+tvqX/+qy/7vB0f7rTP+d+obV5SdFVrz9yB/IWsP5DdHeZ+Hj
u6xa9vXhH4qsKVBrLcznrPi4Cv+c6Hd+wwni83Ou7iK6mkx8fyiyTJV8LeHYMs2wFdD9fzI6Mm7+
PB8hs+7GfoYz3eQ5zYT783RW9iP1E6OfvytKbix+iIqJVKDS0rnzk1aIe+F0qgc1oUvEncRnPA44
izlhmUzNvNwihxkciEri1f2Ql4P1kMHdqpYXG+WiBC+HpQtrpyxPfF/1+d1QdfrXWm9nHslwOnMv
VEbmUUg0Gg1ujYaTlTcdG18ABc+64lIX0vhukdOiZor13mdtd+DDwUovbim6oGlSFh4DZWs2g8kx
3ZotsvxKv8O4xnOMk9g4BjzEa/AxVatsvlpCe3Z17TMwLTIYrNED0O7urZNN+TmHlovnTeRnl1Th
p3m/vTLOIYAq6WQPyvVKus2bZX1H4VviR6051yq2Wv7ETHHbwJ2cctWIXGB21YEkp+AjDSFQO59z
MLvPPdpOcWub2ABxOLt3udKJ66wUeODdcnCiDGT8yHr6iz8FvY7P8NG1B3KRfBLrh2SF0afR3TYS
y0nSR6T2xA/Q4MgBrbz8c+4k2RWoHmwSDFv20RGLfk6lNcHEKWlO0nEyGAcXjwJDYW61L6vi6ZtS
2t6HnkvZitZLTOCaTZ08J/zNozFldkcO8YJLothybj7uklHMWHA7UlSCuetHhseO7jLFlRWaDAVL
5FfZEuX6aPFYYwVXAyb87ipEwiyFItXnAnRSajmRvZPWmezc+w6aDgo3e35whUNzXzoI7GuDmKLX
nXGv2f4cy6kmkyZcJCGlbOfr3Pqs/vjS3LJr2JDi16bOOMqvjEmHDpTjtUjhTt7octTd9kKV0+y1
oJbxmaMOYOlAxODQ1L4TZZdBG5W5IQLdwlQmg8xDoMMO1pOtA/eEnYQ5wKNBpTWEJaKao791P/Yp
n9VmTO4jAbccD6+2+O37Sk0upYBNr8M28OHYKX23YiNj7yh2M+1pQ0bhJS7YptnXGiJly1LOLV0Q
MGutXU80yPQ78rC57TUvv57kkF05iZxfzTpz2qAk0RyvJOrW85KuhLUQ26RCu3X07LSihTX4wkRl
BIOxDkY4U0k3nHRVuweZ5vk7+tJQh7Nuglvf0MjLNzvxsESR4M+HSBV7Q1ubsOu93ijo7iJTE1S7
ZXyaUTvV++lFagoMGDDr9J0jMUKGCq+Qe7Ns9Xxb9bZ+VNjHWHbApuWKExrtBy6gByCs+a2GgDYd
piSpMswiuoOdovLmDybV2ccBiTK9CL0nmgto655jwxdt8yXfKc1plpB90Grf0sPTMyt3WT0c0nFt
PizJ3vfm4Z562jbPRHpLWiWP/E2MzjC3h+HEnWh9pOJxac6mjUQWMqKazrHSM3NH7GCitppWfYeu
+WyPpPqs3O63x6k0p/Y0l5kB9z9Zl8hrNZ7Xfa8DoizMe8EuXAaJ8Is6LlLuZvZI4qtcu+K4LZZ3
KTRvLSNv1pblejHoSXJZXG8RvxP9u17Sx5WRJiSd+ayaQ9pukIk2Yd3DINVpkByzKoLpZ16Bs/dj
yyswVmj5bn0W2WI80R+dY76vTD7nUqTFZ9W5xSv1ENqzparpIyf7SXFoFILvmlgmKgk2C7cwoKoz
6ybM8Pif+tihl1pd8Q8IbE7abgpFz2hXvIkexo2LwPkHsnuFCdOiz68VpyZ2IFlootenHLFUSj6e
MfakdQqVOaEZPB0CTPT43xvZjl7gUej9ZKyp9R5z/gvODAe62psD25e6eXK82b13bI6GwKvWaDAz
Oi99zoY41bFp0jmYpOFOP36QSS9uq9qEwVErGC03s2qaG2xSTnH0usb60A3wCpcF4+Tg5NgC6Iaq
2HRP+kA+dSqW8aZua0gyq9E/kOYrVNjw/ErvjYWQKgq6qNZtPdWWO7hYUQWViMkFk+Ps3QqvNA7/
naf+V/MUASQUmv8sxL37JmW/VtOrzH/ec//4wT8o5IJ6Y5JMoJBgxXr81b+mqjetDks3PUhvmttu
e/ljz20yVUG6QceD978XLv1rqrKgK1HMBj/JM8CM7BLaPxDkTGefmn5Sndy90ck1dFMgDjq/KnIg
OfutbnW2a+6Ob2O24RK3qxkKWLJAPcbtb1hhXeeqPsyD0/kBFlJ1BraAjrF1lASEWaXDM+76obJB
QNssOYkDjhyQv7TTkNzNDrUf9QqnF8T3YgQbtAGDh23f49tbRbQ5FQtQzQJGELM1wQNsZuQLY8yH
21EzzOY9OQWesnsJCTqlTrh8254TU8M/LUhWxcrXaS7h2dU9kuuhz0QH6MhabtlrTt4aT8q39pMG
VDxI7JZSFLbCCTBEecrdLf9Ge1L6Zd4oUVn4mQ/22hRj5O8lK9lb34rhcuwNMExRFD/ulSzNXs6C
w626mvbClrzJhptppsTF2OtcEj2h2aUZKHlh0mPt46bFFNq8KeGy18FoJIGCqq7JecNOoBNkL47x
FG8zDZ24Uukh0S/SodNTQmJiC0jtjOnzzou9imbe/PrdsNfTgLOs7/W9sqZAubzL3npspr3Shppu
ntV7zU05Z+4BFqc+hCwubqRrpHq8us4MqY0q3yKUWMIR+IbrsREfejsdHg26K70jUigdOyYhHGK8
I9U7Uo3W+6UqzQNQG+9IpKGgo2dLkhtMe5T3Wjpk+oYuEtue+geK6r0idt6CxnvkmCejjEVtPLjT
u3oPJfez6I4MPu/ESGXlPhtYu0dw/GjsgWbCFcvd1Bd26JN41npvCO23EHRGHNrag9E4HBM4BYW8
t/VB3NB/+QKsxYnwZpYR7THrQe4x63UkcO1oMPZmMth6YwxhWRbFQ7IHtMc9qp3soW0O+/SAoW/U
gsVaNupNlLwFvf098134iX0Y9xw41q4vRuJrUPb3qHg2kBrnIuckuyfJ+z1TThjFig3PnqMSgyTr
Z/u+4WoL2RJf0WmbBbXXORHcmA8bQcRg23PrGdp7YO9Z9nlPtacj+XZjhJBR7Zl3jljpud1z8HbV
tjfk8/2LSzojKgiAx4rHAnmKPUM/dVw3b8H6Zc/Yt4g+APuzPCreIvioy5zlOes/rHtCf0pzQVrf
EfVKdt9LaEA8IKDOuyRpbIKMfzG/Jf7nH/n/VQPN82hCjZgfbR6rUAJsfPXGe0NwLcS6XeRXjtLd
e1IXSfayiI30/GgUlXWQ/s7/qchK8ftP+S1V5SZCf0shTgVXZwoV60lao40G7iN1urI4z3vlSFA1
GyylhdCOkEeFnXp6nPJczBSrvQmC6Zs6WFr6VHwsy0FtMtqmUrobFhgovmvr+Fs09UjEEZdZmn6s
DWic4OYNxuBSa2py8HhK9HhZN4NDnZEv+4J3Xt00YvfJAA46YChTuNSe+Dg2ch6+uKVvlA6wFpqt
pqAah+aCTgdHCkGXUyW/OEl5LkAfaAzoOoidJ1mOANT1jkNvaA7KZPMBDP7H9uK/jrS/WZnhqTX+
cmX22Iz/IRv9+4/+8az2frP5V7mk63WDpzhSxh/RaOs3tAeb/B7UyR//zx/JaPs3jGhYxAgtO8Jk
ufb/n9SUiQhPt13wcb9Xqf6DJzW9iL88qVnR6baOkkI1K+0F+i/6x0gxnlRF3pyWyUXG9SmJp1NB
5jBDaLk5OBIsLbJl4d37uYWL2sxlfst3t4mmKvO8CNMZ4bUkt16cPlvfUcgmH6feST5BNQTuggm5
JTyx2adW7a5in/foKt9h87QecqqZFw670aAtdB9nlutb12gJdLzxnQUKKmzrMm5d1cWdn6MLqnWF
Wc1lzwl7mwr5va9H0luuv4pDqfXiLkN6fVdmiQi1Zpm0WO8068LphUUAH4EsIs3KzIw9YY89oFmd
G5M+9DYcTA5BY21ZPAc96wwDVpfxUnXTR52B2I+gmgzf+F0MtkdCstNKRkk1idd2dIK5TrX+CL6y
LnBUWKLel3HOw/yU6zgCY9Iw9fecD/wEjAcunLRJWhpbnnzdHBuebEke56XdiGWECa/sRbRo73LW
ywe/1DGowKy7m8dEPrWsw+6GXk3r1dItqR0Jcg3oJRn3bR79lZFw4uy4/W1Z690vJa+rA4VL5MZI
kno/3eOdEMXi3m/51n4yUs97l1TYiwPWZboRJdgXEVuquTm4Xk2b5Oael7Zu70qj89/ZfZZn14Xw
7VPP+3eYWAZcc/ftjluW7bkS3zwsb8yf3JbNI6Eu714j3QZzPYM5t3r2qTbwWkHMJUfJrvNMdse6
aBWhVFaIzV2pOjy8G0+O2HELg+MXT01iFqOANGza/WnT6oE/s2EdLJl3n+et7j4qROEXJk2O6f6G
A27Xgenp1Wovhm1AwSC3Xf9+QWzAkSD8R4i76f1ClD8FY6uYMG3K0xlKe/y8HLdIDrEkfPVIiAFt
MvzrtrXc9DCuOmfzpZD5KXG7YTtDfQMNnyejdm2SgpnDmW0XSUkiKoSSGN+Gc2bzTAvSuR0fWIfZ
5XVmLcTmPM2wAoOei2fJnHqT/QiIoDGRFvF+REectxxJSrU7xkLt94jJW95kfcuegInZN6B7IoWO
ddIp5VtShcTAHlvB/eodUvUWZ4FtpQ2X4S3nUr1lXsy2J+1i8x8VyD0W4yap9rjOisKPMrlx63q6
yvcYTUaeJtmDNdVbxqb4Ebgxf8Rv0lp3ZeTusRzbYuuXbyR39D20k+zxHX0P8gyWXp27LZ3f54OZ
R5qfNTcsdTvMm8NDsYeB8DCabBAK0/BYTGbzeya7FIPMHiKSe5yoUZhAGI6tumVtTOAo36NHzh5C
gjjdk0eSvIbTqufklKbRHKN1WJYrDbjduRlpiFl9+dBs3vVQ9An7d6PHydoslzkvxthd8ioWAyIW
+6kj6of2FUNl3GGHCrtkOy4ezqs1R2Lg9ODekmp+JE2fYg6c962k/d5Qe7/niMC6rWNzB8DpwbAs
M5gUYH+2xqC1BDbFqQL45eHlP5BcCZk+5ZUu2/5bsbq3+mYmHztVzphvuupROqC6i6npQ8rR2blW
/fTOGBPr0O1e/TnHICic7TbvvPVYCabvLOurw2qURFU1fsqg3QB2nGpaEmrbxyZxKX6p3LutVTfD
XCbs0jK6V+AxHLsEPbtwNP1GqWS+c/rKQ5hoPrN06Y6IgV6cJ2tywJbNNJ/YfdgYZnfaGvyA1TRp
lwKYxNVaEckc3fTTvveKUgMdt3TJIZr+2ATV0KiXuejmk16nwzPtFQMXxqwdU7V8H5VTHVfCjvGg
iDBNhpl8skpbqwOcfeLMArGGxOmZ+nl0WClh5RX2lYT3cIB/xtTXpuSbW4BFFy/B1r9omns/tpmP
f4pHU1EDqRtsUXNVOJt7u/adhHTPJrOIvS4fHpDSk/d+B7HOsusEY+yY3YLi6D7LpmyQype8/NAS
42PzNakgyU3vUBPHPjbbBKVjTvQXX6VaPEzAQZpZbrcS6Q3n2Qw6B+7dvcX/cYPTW7vDA/XeJaKg
h4ZPfjbtWSQyqhlLMC5DaVzspUiv/bL2fBo/iMFUQz66YWnCwAbHlm+RmLFI2JDCwsk0rFsrYdhH
nFrQPJFdjy76JQZat7xoKmV/3Kbo/dqovR9avX/hipNdlI9ze6VbajdENvdUF+m3VlHKyBt4p8eK
y0BQSbuYfbjsFVQmVlFAWEJD93OLbxadYN/GWhF7IOtNwH1IcHgqIkQX6fLEDou1s6NdxHpusnF6
yPzS+7pQyBe3HJivu8T8pPnj9zyX6Qc0iyVgg6iHvbCfpbA1QqU9PZtWCcjQIEq3rV3ynCpxXKzi
U+KMXzyzs49bIwZQFPTnolB/WKfVj4YKL6Xrqteurkp2j/qZJl58KYbZfksTd4IgoUHTItB3mqBf
NaGJ8TfenMR4BxJWxQjJ5b00nFuZsg+nsGSM68EEe2mytcABmam5jXuj3m53iz6u/P7rWGRPlCox
SjFfYNSjh9SaiEYCQoignJkdKxpurqXd7cNM54UDjPrg/7F3HsuRI1mXfpfZowxwONSYzSZ0MIIi
qFJsYKwU0MqhHHj6+cDMms5kdWf+Neu2XnRXW5EgIgB3v/ee8x3NLreNyzB5EVn2aAiXNLCxMT/G
wsNmkvjeFwCI9/1gfQ1R3PoqwR1qeB9KjOibxgGGpzPTuwqmcD7XZi/pGDQfmPrUOyqFq7HMQtbO
ut4SSki7NRrsQ6qn4mgP9ZGU1UUaaz0l45Sdc575VYlSZGcRKb8XaYfWxUz3asjrq6rTD3KO2501
x+Uqh78Jr3T+jKNarju7rx7oyINSa2c+67CwJ5Tq5bCFEtnhKW+Lne4h2SnD/xRG4j127vCD2Tj2
LZMlrIm+c2msjufK+VSIwmLM1BMbFif1qS5JGAPw9cUrRgJ/LdgzjCM2PX8S2Jl2PPg1ybStrOU2
AcuHK8KN95xYvHuIctGGOXS6o+mrb0XphXcqrK4UX3qVK9gH5k08tXKNJ4lHlDwy5hEa9a2VWjd2
nT4Bc3XvwyU7HmGiQyNGlNV9H8MOTQHbewOmaRc0r2RLPxtN625I8H3uYD0sh83GKm+Z30drOQYn
9AlfmVoggyxgoBrmbTi2t3NOaRp3jAcQ3aZ18ZGUN3SYrX4c2/6utrrbziivOa2hr3bnifceO/c0
9TDtBjwAEwSblePnMWIa+vEEb3nSOSNI8s9u0ZQ459RKTIg0CNQt5jsBM/O/Sa3/I63kUr1Rbv3n
Fu23wu/vVqTvP/i97MOKhCwYJx8ZVAuufgG4/zX4XqxI9FhtWirSE5R+/2rR4jdCExmg2gsQR3o/
zL3FH9JfOrSujSFuqST/UYd2kX/+2KEFr031aJo0Z2kVU2surrsfiFiBif43DBvjhDBmuDCiB96K
Zv5Y5HO29eq+3YCGEfd27iIKqVDgWSy6R9/yOdVk1fg4UbcxDWI8YjWdjy/IHJwVnp1yDRgjXXtu
GW9xl95HRB7JrBuYFC2KPAmxo8/uRqAjqLgjgA8Z8Q4WeC1iZpYIkKLExiozxiuNzMVDVzboq2pB
MCrpHDdyHNpH5tWcsT0Soade5Z9Ng4Gwbz8x0/hq112z8sL+MgUTh8zKdfbN6MhyZad9cZ+gYrrC
A9OcJg+r+Eo3RbYf7JlWVl7q8zS63rGINPMsRIFXkl7lrmt7Vo+sml3IpqZ5o1xDaOgBU7gZNLUR
A+GGwLTJLKfDjI17i/iRY5bTOGdT+QcGbfe1aXmoGwPrusisUxnqglAVVHiRz4Qni7Np1TR+uOvg
Y6x5YKqtX1owZKMMxion/Ciz1ZovqzjNEIp3nmN4iAJSdx1W1HS99OqdFhH9aV3alkNDmMomy+eH
xmHnH6f4mbJVPJG+6R619IYPpVWJVYxYbWOiIQtvajUJc5tXcaJotxuxZZ6GMrTnh1LZGSG1yVj5
xidoZRb9L1SYxkzTsk05lpdVO69xiAACMWTXALVkRHnf2KV/E0TAOZC2NzSuFFItclJo8B+ILdF7
ryg5jDFu9m51gY7R8DqTXSQxirhb+XNrD0D/EufsZYrMa4uj2NbIZqpYHEAssGkvsxtjYn5vYFnV
RF3vmSkuWvHqu3Q8+6Yk5xe16MrrbypzLyy7RXO+6M/VNy160FbJIk1XHFTT8YJustiXTeV70a3t
zUCldyhLzX7eS87Py5mRks99Gs2+NR+MYUKDAdAizYsA7xGtf7EzHd+nqIC2Wzmmvh4TDLPNDtNA
2a+t3LTeAZXRl1E3JPRMaQmrA1MfYM3MiFAMWNAl10bf4s3F72o8x5mTZAxFPc5/4EL1NaH0JvrO
oKFOiRpGqY0I78s8NmpIug6GhxQixnPolFlxY6STsNYFw9TbeRhdiN7wU8J1z6y/xBdVlkw+rPhQ
ldizEtJZojUulQktX4zpBu63fpcleYCjt3Htj00sxSaPiui2AaN66zaJz9G3Jr8lhne95w9gJmy2
zrZA37rVZY7ab0Ja4BLp8MxYm+LMa6yloJkgZa2swFJHkabhMfahxfi1ZzA9bjsP+UKnnQ1YoA5v
OlQbvnL8TEvoVjfB9YkFHry246zklXdoyKK9h1gttgbnNkiH6DHMSY+pKSodjsDR/M1z/99O6O86
oTaW2V9tiI/MLL+07ZcvP8rA7G8/9X039K0/IEOCj/i+qX3fCQPzD9YkG3sAs0ySGpc55l8tUPcP
7O8mo0Nh0j5d9ru/JGC2/IMNchGHBb7jLxvlP9kKMfv/vBXCtiAewyK7y7KRkzFP/Xkr9CYF83Z0
yqMx0PKp9wMtkXTYhsY4ilVX0Hhgg/LEeO4WikrRNuRRLWQVAIbeoSlkQrBS2BZb+rjWTdtAY+HE
nm3dhdASRW7rrEeF+CBy9XvWq6ZhquXYL8HCdxEL6aUPHPpcC/3FC73PfVnDg7FBlKFfjjbYaJu1
tXBjYKL0wOhMk36nDVZmDnS7c2jTrPPSZ8CXogaRdePDi2yLY8/CCKfL3fUtQnuzI+l0SJPo1lpo
NuWU4O9C0AnWq5UMmhghVO9jq2/2AnXxVfsKxokgdv6JOgZcjn5F5xRIJ64rRPBPGXSis05n874f
ldiUuXcZeiu4NlNcoH4RRR8h8gJvoaw7zF4/bLKE4iNMTbUHT0eqWgITXUH4qerKOyr07DvXYCec
KYNuSy+4isps41Q6uzOo79nRBSlV0+hvcSFUqz6DKqTwa2zHRpprxjjyHKS6PfbtbBxCY6Z3mMXG
FfF29TYTDYIf9B+blunJNQQ7hruNbyB8G8f+0YJjvhX4W85RWDh77FbFTjS2w29t50s9iPbaSwxq
rF48ugtFaaL9vG1H3Amhl7WXOaNAGcFf7VxCVjZGDYtJLlSmnvM8CMOPZpG0e6umDO0HPMwc/sLn
wU+qHQug+xmlVTYR/ifS64hZJCKoBQilNWwov8AFl9BjP1Cuqh1sduahJiNs4pGgQiyEKYhSwZ++
KsevEV3O3bwYR+ldAdLgvUG6SJ4X5ru0foqZmD2hqZpeDJwCiFZmx7w2qmw4+cbiEUOQCIArAOpU
R/SS8XH5m3ihZIUmvCx7IWcB6X2KX2Fa5Kc2B7+vsouuGuPKR2F3KwoFFbtJKO9rMCNqndCC9Q69
0SfTTmGmHlaQocB4zQvRi77GLi0XyNeslb2LF/KXeIWANQsPbOp9mk5zACSM6YNZrnOB3dUeOZDC
tY48EgYQZmsxF3cItQ/QQ7JV3JfNtXLFS5U3Xnhu4MjFp9rK37mJ8u7hhe4xEVjGsU16GYp9jjEW
zdkQjGXwaZawBbdROM1slrq9a3vhF5+CEgr9WZZkC/td/+TU2r5TeFVoFGDrfJRhSzqa6mEm5WVw
NVaewG0QttCWaoRqUAeNIoXkPQ0RXnAOM08iH2WmNw6z9A4UvOtV5Ee0jt8a6DBTYXLqcPnci6Ge
d6GbMkvYVlFofphjTJRrE7/fTQOBzHvHOUM0oF+dybqUHCXDz2lIYDN0jGDFCseOKA2CUanaeXKd
DKJm0Y+rgOiVbK2HBaFtdkH6p2eEk3HwywHRv1Plo7Gq/L7PNsNraMlSGsvrMSqW8AjydDJ8XDwp
Jmp5jI6dOazKBuQQthT5me57l+3poqMYI8SU1vBgJJweOuYOwbZ0Mi45E1aAGnIhdtjIVKHVtjkg
EXMEd8nah267yxDGrUTQovIqIuywxMsFZXVL3ICo3PXE4cXuTpDqHHNTVVAvI097YETj0r3Vg6t3
zoL4NM18gFrm8BmvXeCLj2RziRPn9latskpB8JqLYCSm2navy0A2xywJeO+1E26cLJcdSay2t4fb
G+9Lb/D3Vayyu1Lk5zlC5bxSllOddezEpxDLLHL3TsYMqnxvUYIlGN77skeUho/pygfUxrQ2Xd5V
jplW5CZbBdLM2JnQux68HH2JKxjvr4m9MQDQlCUR7n117w+ee4MqZviA+F7QkbKD0wSMaJU3ytpk
Wkb7TtE3W81zj829aOfpUzM1f7JHqRumje5uhPqzTrA5+CthNuZDNFvhjsAf/wnsRHuRyLvYHMr8
mJPwdFt1PpR7YzKvBgj3n2ZK1rsptDatRzo9S2d4AIZmvs88K9kQueF/GKxGV6SmiPqQOo0+ebM3
X0tH+CtYdNmmHqeU9pZNd7OpsDFEekezQxI5b6IN6ewYxXQ62HKb0tS6Q+aHziYL9m1e1k+zV3XH
yR16KDsl7IehcNDeWkyC5hYt5Uihcgs+liBDpYV/ggFZoyay8YYAk1iR26mBvkhnJSxGcxFm+Tv0
fLia5zjbyjRAmcAN7GpwpxxERxmzNM7yvQ16kb3QCeqXwRfdNbWO9YWBQrVzOoSDmRVaB7dt7HeG
5noiqKJNDUV0R6RPvVVll99k5tg897yH1/S51R3kzOBMEEO5pp+WnmlNAomy4+EmqxzweSJ3D/k8
fGx8mZwnGcfvQuYVN2FowW5OW5eTQDGj2fEhOVSFbd60GsXnOuHNv3NST++Rf6kX3ysRSLkZkIi5
uyg83gUEDt89FvQhURHH88midv1zxMe1qnVhYhOvzGNsRu9IrXTpsNGWzmniLq4Oe8soGIe2aZGH
UIbmVqqovnaSxMSk0VLVsPsToWDY9UbSJSYNyeqeDNHDAEUKzPhMggoNDIaJ7aBdSklAK2t66lOy
sDuIwy18gXXczFwr4reZoz/bPi+1GrpNRXDyi9A0tzSsXFxgZspKoLC5YAEfGCZ5DzYsP+IUSCBK
ovixdac6ufxXk/g/0SQuDDNUAf+54fX8hdCYsvvpdP/tZ/6SOFh/cKpGN2hz/FiMvv+SI3r2HxJ5
A/IH+a1r9YMc8TW2UQi+9v9XFzBo6eL/87+k+AO/CJnt0sG8iubH+0cn/J/P9yJYXrYAxwiwL3SJ
5ht7MNqgfgbZ5xx8vwUFGsf+CiOm/Rur7VIl/CR5dC1y0OHoUpEgpXgbuxr2WPFs9utDn5a45gYz
QP2LOvtjiWTvrnAx2eX4USHlzXiPf/g+7r5d5cewyOX7+tvFcfiS6MzH5vFh/1zCkHIHmJ0IlUMk
g4omkWqJJNMIMApOG/cpcseXKChq7BJlYm/YL5Iv2qALsHWVa29yhsWEb9Db7gY/B0NrNETQsNC2
fgoaOs1BInSTYhwSRfM1BUV4X7j5uPn/uAlPcgNLdC0P0ps6zFSytotuDg7AJwXZJZhCCwOyc+KN
01NjY5EOrQzIuEH4CTyNVzAy8XTw+BfrSBIs0goBfR6HA746qHyYg+fdQG10xFCS7XwQxo9F0pNz
i7qa8WLB/OzX90Bd/Lfvwfcwwvu+j6jnrZuoBc/Yg/sMDrSnxo1CRklCn5qY0qVff30lyt+/X4nc
BIeusE8a6ZsPy2GWDWuJKw2AhRCSAcfuXL+5Up3dXEwHncWvr7c8QW8f7wALuYR3yEP2llwlLOLa
CuJ9Dwj81IUVhdNHj5v111f5N58fZTiWLHACiJ/eYg0DxXLBQdQ/KAFH0udTq+0gOWSt//jrC71i
K9/cjyNomHm8eAyx3i4KKWS9YOQZPIjZgjzqtfSWAp6ZaUnzmwpcBIQfoKiF757dTwPZDnXOTiuR
0txTaxA37DjNRU0uw2h3YA5D9Bhn4sGy50O0sAdgmiAQ4dl8goqOeRcVkOTImhLMtpIRFwGfJJB0
iuTQCrd9N7pzcvj1Tdqvqa0/3SVibyJlUOZi/odd/qbLv3hf+3hW+jCmTCsLUIJHuhbtEb9Ctquy
Vqxcu/qqc2Ush196upOXHkg8BMRi1d0uqxX4lywZSZEoSVl2S2S9GNBuHIZgH72xKN7RIGTmOooH
Kyga9mwYs2vlYnoQZhbsYrzDkJti/RRHJX2CKJn2GdlwdOs+spxlB7dznNuoF0RsJxXpLm4QH4o6
FFub0/IBlw3RVk5SbMnBsPatXfmPBO+kx9SAwldaDR1jZo2fYtpHNGay6Cjrebit4dw2q2H25BlZ
bL4fQtfZUsrLtSuxdrlICiB0WlF1yFSVPXd4w3Lyq1eYioxbzoDT52kCgsv0rduCFbP3TijRp6Vu
LNYzY8ON4c3y4gDZeWRQUrwDJ5Z9ra24gkxjBvSIAsW8dzVWVNpVGev3HkSDjVcIBSQ5yI/plOrz
3ATurUvu1abzkzJY2UUy3vbMO/4EgQIfvmm3GKrQwYfZFyMz/GuDXu1GRgldZ09dFYXLX+1aDQ2O
4KgHo7ypwhqCvkZNSo6XMlYG1CI07Ofl82QmmtImJloSxxxkAquwPzgxwnWpY0xyxIGcMQ5NT0ae
4Uq28ObfWGToQQxfuq4m+8s6LUZ7jyfYP3Jitl9U6LZ3KZ9TeezMnvOe10IblbsSSdKWmTJE68a2
XyrizndZLCD/1xrIzeLWeiqhsK2rTI98NTicCf+NDuPU7+LYvoiw6MFN18ORCf+0mgwiW1YqFp85
ARYb5Vr1ZVL5dRI68RqcA+VqlOOjCzMM0ETHrpVJ8JnA/GRGUgKb1tFDmUbXCIs+xiiqDnHXmfeh
NU/bVLnvQCZhLCvLDQKodG2kbvDcQarf2UpZZ0/34xXVa7CqhlmvC6JFVn0Kv55uGmkgwHZZojCM
WUWJY4YIJZRHUbDPWl2uJxpXHwxg5fwxOkSLnZEtifKmwhDXQI1iM/I2bEPAsCLfLVFFJ0BtI1fs
VdsaJwelzbkzOP4r7Uwv6diaWMpbj/7/RPW/MkVa384ov1mmWouB1mTJY4yE/WDZiXnwKl4X1+C0
n4FhE+DCtkTVxbCqYjhYXRwu6a/lJzXI6H0KAeuz67XTe3tQ41Xh+wOpaAEIQihoZ2UaWNwpzdco
HIZjb/F+GVNG7ko+YWuCmuW1FvkogTc3G6txYZqbBGZqY9ZPcjDLHX3i+GhmUb2VeSURiwAGCWzC
vSy3Kc+JBrVammi6nYp/TMsehBVdpOYKJkq2cat+2hsuLammNbNdmA7T1wHFUHVjTqhdwoWbMg84
4BVZldhRSX9PInYOa4aEIcy+3prDKLbcsbryXOZtI/K0jYjNiWka+pg5GOWt4EW9mRKzIX8uxB2K
maMavkBBGdFCmjOuwlR9ij1EZ/j7vedXfkJJr/fRMDlf5BVJf1k2cjoZOPJhqjJXANRgOaB9R93Z
WxBltOlm9zlysPdpamebzJxHcvg4FxpOjZQrIx92lE22qwGbP1ddi3AOE97n2YhNaFkw6lPFTTY1
xy83r4BKBJK/a7LrGzuewyuvXcI+RxsFKWBMwt8wn9GbGrhzgI23C5dw4/Q2IPpuxtFLD+B29mp4
DajM+BkR5MAeXHfhUBHsOZLvY+6Hgey8kHYhjRnGYfh4s9TZMnp1bi0WhvVcorGqOzEfTFJ81oHX
h1ecVRzsk26AUCNXV4PL82rZ8fSVM/DwnEC13tqVaK5SHFDE5zpS7C0srvuwNJxThxL/fuICEJPB
UyH38UiGcfB4foSSvUTTugS2Ymblf+EEulcmWkC1BLuavgMSC7WeNzTVvk3FPK44L9onR5t7BpNM
37CZ3Az2khobkx9L4K27HvIUXMGSMFuV9IFDQ6zHrktWTkbcHw0a5CQlPuQsjoa9ek2s5eP3sk9K
+k18psdOqi2WTMaeuoQg0xVkHiob7dQ5oJNcs7JORMsiDJPxjR6FLubj6/b+34HU7wZSDqL4H05C
f4ste05UhAz95eeK9fWH/qpYEdhLl98jOD8vcyfK0n+p8l3PQxCPMn45Wf8YWBYQc7aI+U0TkBOn
xx8MdJBnwRv4y3nS/5Zl9g9k+d5y/Z+P21zepmR1mdw6jHWX4/gP8gx/IDOhwkFDzTqVgP+GClDA
ktcxl1MDlNBmzBp+nEqfUI9+yfdgrUONBM/lBAa9v7ErOKqsAPbO8UIr3CqPzlG8JIaoJTukKoF2
Ai30j03YPYbswksrpnkx7TpTyUbxAT+R6VA+C6hMd3Uxss8MaOU/O2FJ5lHMwV9O2nkpzWYBLovW
ebFrTn2rpXp47tzK+JJpTz+x4RX6C4O8wEvJZpfjTVx5WwUBE8RRejKZWPt7d0DbPtoS+OoqMnp5
03fCslilK+PRkA7WPXpow5a8Z3z7HFxXbZGAc/WErW8spRE9ZrH/Mc9y+rwtFSwfC6CQg6XH6JzW
Vr8GkYqKBFckFl1/HJ2d1eCZhnz3pyzm8sSGgTnJn+XGISbsvUpb5idWKDnmsSTmoT0+wx2ZliEC
vW8JQBbFQVHfhcFsegBm0KtiNzY+sGyzhePZemJKHTPyAjYN9w6O5XPdoqlGFEPQ6HZWyPNxH4Uw
/8NgiVbjNNmJ2wZ/Bdkq2D4eFX3Bl76WS3pZDjZHRhLd1xLko8clA1qw2JG9u2QBBRmtGiLmKG0j
4ivwAdQOv76zc6oRtYRTtWiS+7XXtRAi7bokScuneiRnKw4gXBuqIWtoLPvqZCkAhOvX/5ljsMJy
WNMeWDU9lR9ZVAU/49hT5p3rJZRIBDORc05XkOKGQzhZv3rHu0EunqyYhjMhww5R61UGwwetUfDM
gZJRoyLwlGEQwwgIkw63UfRDsh+9CqGF7gLM6Et0T437ot3LDjkkeartfApKZCyrqSAIU0QWlPEU
VcYSGseHwjAEsn2XkbB7heucP2CkQR1tcUjy6b5G2kMvxH0ShUMGN5WBLyQq8N9y43s4Vm7CYYmA
arvQBI1aD3C+oyrtPqPGp4uOahjlAipOMAicZvN9nqaY6CujHNqBrv0SjiT9hcCk3eXmfXoLIGwE
Ipy1GhfG29zQ/HkNqdKctsm3aukA4cQkTN4gUGcVosO/8yGfEqjLFV2vB9I+GOR+UU3xbH6L3UxH
AvNGlREPgbKMKZgcxTDvOajKF5NzOCE0S0CmaxKV2cCEGFaNo9WBQYojL68RWpm9oB4ISlDtFmkt
EWSNWIL2IjvntiZOfmfSHtx3sksn4/n1r/RzqvxDPgGRXDPK5491apenzKC7fxMoiK4wTls67627
sJqyBQ77gNScJlSVL18poqnlM0kns73pICGfApfUtElV/HMwLSj5b3lvRkXxnVVLPBuFJLrmMWeF
8lLI67IwrWmXkHrxdZ4dnsjUNZZnyhLwgSLH8It91Q8jhAGr0D2WiEzDds+6cdMFHE9QXI/3tJv1
3ZBOZAnypJHSXPWYDvK4hOIVyKA+dz4VSe3AYHMEefWrVqDD6QtsCGtAlvBRTC88vSZj82VCTlnc
z/dpPKFUyUHBfuhk34Y7vAz6YeAp3qejX+yQCIu1OUQOZ/eu/ZQaOLAY8fJaEKGrH3zXKNaeQLK8
EmpU3AwfwNmlT8DdFVllr+YKYMe6A+Zlb5ygbEk0S6JhPmhK/cNoBd6npk5piVll5dtbCQmRxaHF
WhNFqTzikuHznZakd+V5rCA94xguWIy3o+XIrWQgTTXZ2eNKNIweaPHL+mjrxIZ348fxWrFjoJGu
y/t8AMSAgh6cE7CbWDwFrxRqjtNfpFfYVyGp3YcU9PLn3PHmZz/qtbczWQLPjXKTL3ajx8fecaYj
KQ/FdqKluEZ89UT0gnqmtm83qJc7PAMBiXWTxWxekHp4tihm+f90uTN9XEFlZM5fIJTgzbHHvD1h
hwWbNaTeJEnSDO0PU5a2pw5AHxJqus4Uqiq7LhzhbBzSEzg36o6DXxLO3tmJGsR8qvjiOEGMLtyn
ZEWq3SBq77R/QxPqnjQsaNu0KhHgAeVprXPOHLu5UP1iITMDuqUMHWdCnzZtk9XXI4o4OGR9eFcO
itVk8pBbG3V/b5XlezsaLc7QQTtH+6FP7HNNcrp4Cmu7egYbqB4YDt/FztCQ6cIsdIxaiyrV8h5K
j3SxvKcKvm1QnuMtz6lqCEl+H4lRn8hXfpxRarzrkaftK+3g7XDGsgp4P5BCHQYFYhBP30HXAYmY
tbhrW2TNblHHhFqbsUmy35yvp7DpzEsbV9VWC/ATeaqsVZvaCuw7iLJ6C+6whKEbxuPHkFFSvrZk
7yC+LvqegX2T52DoLJmTRAqT3tdm90isqP8hEShN2QrhEfcplI2CcvI4uKA210Q2fiSRuz6NQHJv
OmF+HJXfXNd0pztGc7p21x4wwzPy6HQz0JR8mAJDniadWpfMcruvQALVxymIquaFyWI+XKDWhETA
QKQ+RnlWrutGvRfTHF7i2Ao3mYtUnqOgPg8drvgcJRpzVnXVt7Zxq1SHqkMAbSGuqfiSd6M+N4td
BIixuBAMNXxAqhFuIgged0EdOLf0BiJvlZVghVfYNesbxunZNfmCotxg9TYugAidjSd7YriLHKmB
dPVV3RblRzrQyNKr+insa4LKTfXcsSVuiVVyFo3KBwtAdzqm7dmYHPl+HCMbmWk2KWRArYUsCbhS
G1HC2TQfrntPocWg5ZN5olvFJnYhEP61lucx7iR36FPfxRLAW1QzrGPzMwg85VExMfMVo18dRG69
C1MJlT130fALinRaSNTeOs83Vj3wHAg0MjFDPXaKIJwXWxMMaJctfIea2SR9TdT2xY+ke+cHqnuo
lOzZ6NH2cz8x3vhZwyfuBrRDmbOq++jJNRuksBh5yHPSJEjR1IAcWRQPSVoNJfPeNN8JwEMbLXI4
LbW54AE73JKrqY3ju2JRjeDPnh5NpYbT1NoL+5MfHJDsX7MCDeS+tUm76YrgYnfmsK/LPuYfhaxP
eFia+9hBXbPGujBu8V8zKo7HyrrqAQpeksSlkAvdI1N74sMyOrhmm4cg8Iv+Oe5jGiawQ5k5+Rwo
9BA9DfhcYHlpRM5Na1+5daEP2oxIzwxiH1mQy/cAOHJE/VCYwQxrqndJgstigLVu0WXrWjvEKJHP
QhBoHKB89oocV4L0n+uAGx9qrR5w7niA+ZswpcFiYYwgJHjTLBJNP4QTpZVFMgtU+hWAC+gXUwS0
UKLLIJx46k9ayWo3CqGxkrGeYvMDgL/2WG8+p03vfqXVOW6TzHXmQxx0+afa85pDoIJwmy9HK8wv
ClPIRO8IfH21pkPs4nBtQOgjelj7vd9fj7UlNiFha2v0vgi+iEw6kZUy3MwkG9tP7G/ZdVfmzMDX
MCqKu7RLbFJHHUwXhY7c+zwgOXLtGIFaDV3KsaAc5Z+ZJcxoF7glWtDB5CzI9DgjsVg/REOuz2UG
7gPPRKAxbfjhpeUYcA3wtmblnezoPRzvsiJ/kOYtoKIPERyS+zkcU+ATUbxrsn46O63j3DRl3JBJ
1DQGQC6nv7KrvDtpq5n2fpnoO8vp2sd4LK6asTnV/qw3TSCa26Kt2k9QTumVdI26QoYa7lXkP3NQ
G3e0ZDaDp+SFllUOV2jIMpgduojyqzaeR2uXBPMMBleqOl0zK6jSVSHc+b63zfpPnRV5xOMj8gG4
KKJnGxUSOiv0SFmvjOLTtMiUjADBkkF7H+1SjYXlT7+raUhPJcIm9U3mBA/FNo6hdvdoZ7z7Cj1U
/aqMKl9VUnZpvnRjUF9rRMOrxOdZOBLgBeZxTqcMkm4ae/fBa8BjQtRjoEb4HmV4Vy0pkA5TfMLp
iTUY381LRqS0lR95d5Gomzt2v2P3LU/yh0r+7tvs4sdR59u5V2Dai+bTshm1WlK+HRKSTIBYLuJc
6yklj6NNJeoksXicJ5KrA2X9dqL3diQFLcwGrCGYHZtIWJxl9PpDJY4DZ8LD31aHEonbGUsxFFMW
5heAo+iURNV/glQj5U00+L19VMxTQ0itlhEX16mTkmb6GrxEr1Oq20IN1g250UTIKsJrnoeYiNch
w1q5knMZcmwr3PazSehkQEEvu/lBuEu8N6IadUh6Eoq7OnVeKmcYuwfcyU67mzsL+/i6dNH9fJyp
JzAQ+ZqCLQodcoPtaIkbZcV4LDybJNl8aj/zyJRf/XkoH+wg4kTfNS3/PsPMGru7BNcVURsZy9pp
UmDR7LvMIFTaXQB4tN37EWneE/+iAm9aE8aqYsvVOOV8MqSXWvg1p/bXX/rb4SODR8eVdGrwoZCl
+DYCKuOEzLTBrA4OXV8qzSSlNuiR1EffWmqf9P+OvlT/5ul6O8R/vRD8I44B+HPE26fLV1RwTc6F
8pgZDM2JotgykuH74d1bEn2X9PiIQDIXYnT1uzH+36/OQNdHjOxLMyD4fnn2f3jUamMilnfSFYlk
NWrTcaSbTfYV58dcHSoN4Wfldh5FgDEWlG2//owtRBo/tZwC5AOIrf1AWEtK29t7H1PHwFKiqgMa
aH77MEbo/wBbkg+etpTNiB+4+UFO1amLlrgsU5U9hV8ZeTm6A219G9H+t7352/amL/lu/rMe590L
pAVcqT9zV1kWlx/73uDE1/UHi6RD0/6bAY3J7/cGpwV3dWks8owLFru/4GBLCJaQUP75IQlYg9/1
lxrHgWBClQPIX6CfwR/3T9Q4P6+nTAB4vHF4kBSAul/wmv38kAMobSAk9e6lGEitX7O/9heVt5Aa
sMC3H3/4YH77Pr9eDPYsFFkzkC63+2bxjhy9sLw6eYkNSv+S+NTHCRvRc5Z0y8u0LHmR6cmXYEjV
b4bvP7/M3y8NT8X0/cW09/ZlTozM0l1lyQs6fS4dwJrYDtOISI7jHxpYX7OqQAil5daGUMJ+8zr/
vE8ul/eEpEXtQ4Tni3t7eWEnUckQyr7khUFzzjc4o6zNrmfrSarlcnpp9/z60xY/LyHfL8qjItEC
k+vwViRS1kDMozoQF0eULBtIVo+icOlqovYKnusOFYVMoHOzdvdsJXHXd59deqP73ICbt26Yr+1r
unb60OJmD7fzzKLr+oIlL3QG0zoNdThZm2RecAjEL7IB67ykj/Xr+1hUEf9STXy7jdfGO+MB1PDy
DRPHJzeT9kUsLnQseVb6HEBJvvTk/JZVLk9YAXXGeO7XV2V48PerBrweHigewX///GLQSPRS7Sjr
kloDmYyvsaJeGX81U91coJbqe0fW1o3joWpaTTFd6F9f/+8vpsdBx/Y9JOI8N2/flSEISijG2rq4
hqvvk+WFmYJe30UDufO/vtSbveb1E7YtNlsaFlwQW9zP9xpOXleaZm9dJLKte8bk9KCHxKK1Hdp2
+xkEsXwZTHd5O026zLU38rKQXa3BNMfGb77uf3fjNiYjGxcsZqS3T62QRhU0ZsiAnVlhs5YeTJyz
6ApzIFOAcMtf3/u/e0kWwSPvJf/xOFj+fO9WTTS8YQ8CwS7a2XKK6RO/dm57z6wILl4adwM9UiL4
eMpfk+mJI9KLJxzMywrYQHUy3EHfR/R38XqaAr4JA/ut1f1f9s5sK24l69avcl5Ae0ih/jY7kkzA
gAEb32hgY6tvQ208/flC7Kpj8++yR53r/6bKVTZkSgpFs9ac36RXkyQjXdNqyXjL3KDCbBHiYSwO
v78I6x+mF1/w/BBruZj4V+HRT1uVrIijIVhC6y7C1NMeFLvx4zpu5r5snruuNLaQbZn3Fm5gGUxE
j6ZY4rdyCdtjs5RsH9LcQZujJkX2qBWZ8jXozPn+99/zn74m6i72U+wbHRppv95rYxbD6EWOdecq
nxuy3maroUBumZH10CJ8/MPI1ivoL28xhDpGNWsuljWcYe8/sexjkZn5Iu8mKntn2iPuCzxr/R82
pe3BtOfbzvakB1QkYmcPYg7ewoR752NKHEXDSW/pX22ikW7B06UXpsFLkNq0fxw9JtZbJFk1vA36
9vBKjj7FdGJxroiwdS6FzwUpYDRvLID/uC1+22H/PCWyWHPooCVJAjTCxvf9SBXkoc9WNL6DYIy+
qVlUt8t8I/uA0Wbpj9WYwEDK/DHrd8KlfY/5gDjZQ5jQftgU/G5zu1CB3IqMsDLkHv6B8GLIzEjs
BotSZbzYG7wqFJdMW1ECMZPJeGwMwDE7069r0klihABbuqaUcUxh8mZkmgTNEqCh0BmdACdoqrtB
46IDWWZXaEHqmzGjFrwL6g7SZiMK47NFcDJ5IUvxzcTrtyvYBySAFJRq+H5j8rq4UMFIUEyqXdqz
fp/ouZZkidhZc0tqD7aVeaVaOxpw7fqkJVBi843maaiKbNrZke9/DMM2QayRwZCnnEYxZFO6MdBo
ePcU8VChBF9bo+iI/YMpkx8V4n1Bl21wcMUSS855ndPJlYgHttvNGJ1MlH0QmkY6mT4l++7OmGAR
4IrtKxf9v8AbWBL60dz6cVl0W+wPSbQLMkKAY6BcT03OGPGpkoA1rpcQ9mCCTYatQbj3Mdry7WrX
fZGhwzahChRx2Y6eiMeGVUCmCz/G0bpIyHpDCxzIiKbmTH3OvyJoJx9Yma3EAi2u3kDjqFGhjqMq
bK+Qr8Eij9/A5E06B5eo15KbMQ/7bwjiPPodKHEoRBLhENplDBfHIVgmJFes5Ww1mab6TJRhehJj
AH6afcBX6Og1xz9ag34oooNQdv0Fs4P7GVcNpl+vSV4ZKPP3eIgy3TaOq5058HhQ0fWgHuPGJfbT
H7cMrFXNFVXzTD499odNUPevTmt62xmWR/MABT7NccIHdFNOVVWE5YM/wtoOGQDFUvu70i8DbUqH
Dh0QdwbrIRL8t4XOym22MPQNC0vdYizw7QAoh81nI6HwzdfNs6rb0Wkog4NBLtBFoYBn1tSHUItA
xjubMdJYZnvDeWnhQ8ORpwe8ULKKisfZkDyxJaKvW6L/GbajH+qWme6epQujEni7xWLq4C6HiGb5
xFxhv0uxQikeKuVVY2uaXbCbwonhVcV07vHCMGWnTnw3+DQvt2rxnJeIjskmTk32q31B7wz1n/sy
Ryp8oowoXyUVH9hB0MINh3nIJwR+X3YJ4JuWNzQA7Wvz6wED8eU4cdRntnXR0+CRoZ0vZX3Oq1w8
tKZuVZNiTV2lxzGGc8SnmFk4IUE2ltXz/8TgnCQ+MDY+b51EFDj0FgOXm9MJVupNX9j8C4oQ2Q0W
QKYYztXBVdyW4VXo1/P938jzVWyl50j2cMFVhL7uvDYXozqQr22ob+Xak5YAH8ic0d+W1gbtM0RD
aMrZdgpAZOlyS8gKf8wLjwIITToarDFFnYE6zM16Nl50K34E47lfRQNDynHDLjIBJBFxetLPWl+s
d4+L4N5bSE4BPfH+ZiiNRvma1gyGTP8J3TjFGVrYyAvy0X1BGB3uwTrL16ZgtW3DuH3OcqCF2zmV
y/26UVB5Wy2nOSu8l9VOg92eR9vyZTBLZa+0AWiNpSiiL3FumjdY52g31xH+oq7I6yuGEc+Okjub
97pl4ZHUetZMeDMz2YTXIP+QRuTNczQUrOZLjiZkH5EF/OIBfIYaVXtLfdnKjm8+8jOj1sORqd0a
HSWmdYMz6K1Krmivvx1+bN20XjIw8rvCXRwYIUbeErQAVxb7IfhacMmu85L4SLIvWHb4gigqqWoF
RjVlcJms6CvISD68Wl8hC30w3fO509sgVh6o/tNd4EzytQglz6iJAjZ3/M8wtliAYVAxt9X6qAKm
EOXggqCAacC+9HjSN2Ae/Usupz7bNOQJDB1IASWfkG9LF6870la0bno9PF2ATTdmnLEy5c7Ab85G
tqsOne/hupliIzmWScQZ0PJAwpPYA2hyT8GLL0MmEkU4J9elOIv8+XlM/YcsR7m871szvcAyzBhZ
K1JJOXFP4Y5w/eskkBc24N2UVIdtgZHxihQN+7INecMaT398OSEXWFUFRW81z5mFyJqOWXdku98e
iYPjqcJuI5+AhZz7MLEFDas0egICPN/OS+y9dEHP+2qClt6LVBmAUFze+K6TfJN1JMJFtOR5SpkC
XIs9+v5NSOLEbSxvQwKYpsug1g8oax2mJlFH7bHsKH+mvZrB1XMclYC5ejZFItA8T4Hr9ONiUum0
deCvoMMPQDLjGOIA5UMqRNkZy7rGcTLPh4iU01ALKhp27y2dw9v1ClmJ2CNLjxmoq9FHrgdeNRnN
s6K6/DAiSH9ImbrNzcSR9gG1svVQgxyw973epSko28XbjnFdNhdlMqKawkChEqwqDrch+F6gqM4G
gTJ5GDjJ6LuGWHAOEfRa5E4hjeel97iKPI2cl2boeV8rrZ+iQTnfm2oh9dm3lX0YZIEiwcVK99qm
OS+XcHSxMZEdyWUJQx4fch7N90kaefZ+ImWD4DQXNY8bDoV7P3cTKV/0TJDGGJ3pvvytWEkR3lTa
dEuH1rnMAQnWexgIU3EqR4+fxh8g2o9oVCd27BE68K3SiwuARD33zYKA8Dq2mOTZisT6SO70nFdQ
WtdnpW/A21ykD+5jJpgX9MTaxT4rzjp2o3hmWZt70rhnP12+4jSK7tbx6YghugADOVxALnPya38I
GCKBOSD4cPPxlMQLbsS3AVFOZfCjIVGX3lE3dkcjIxSi0K5kVKvWwzoqvDnXpW7QevQ3MfZYbWXd
ZK6uNuRSB4LRRLIqGDWrmknlxtZvBUWIDsK02qT6gt7KqkSPFdvOmfi7hY1Qt2O+t24sh0tgyFkP
yObraWcVMW+WH7WsMCjR7EPdMGiGrGa2t1PrA5YMMjwSxaA2DQsBFiKO7rjOgOCQKKcCZ+Rm99Gq
eMEfDITBn3QxiAWIzPDYXkgiGXsmhTruxujQGvRW9xUuLeJHhp7XzG4XPjdulvm+XByOBA1HNXgr
Cxs/N+a6h2UkWWiCtWTsMqeDkt+xFyLag3yv+dgPY5V8sDQV4bLS0RCdqSOL3aDX+qe0ZrSbVqS6
h94d2ITERh4+rW7tCic81+uHE5h14X8cgrn8gAX3W2JExjYPM3kk7AxMRcfMPuVx9iO2oTb4aEw2
tseRejvWNi/wjKYOAy0r0pJOattT8gzZoSzeU54t3Oe04YHW7qTmC2PI7INZEZyGwxjmXDLO5SXe
2+zadqRlbVk1y0tO9vNRq1WgqTVNdR3VeFvCuWC/4ImZyZBNpg6uE+QUzbPszVOrJ/9TFsUUItEd
s6canJoTDIm6l0YtqMJQZRtg0CKs+RhngsfTlQ3/2YYWN8l21XxLBXDaBDbkRwwKzEvtyB6n1Fu6
NgnmexLJ2eHNrQF7B4nSelDO6TCcJzvkVQ2TllaG2fH1UKVQbBI1+wOEPHzTeV1MItzSzwrua/69
Zo/J6oL8YI/oh9A+rNlPURAxw60Hw9iMq+ZU4PRgyuuZ02pvRrVEPY12GWrBqzSM6Zk1oXWzavMs
o5evQi3BzrO1ZojhBFXdE6yfIKEZrWXMbKW8VDyMfPJ2nTfDLGdyRDZr75e24p0o9H6zicLgquzI
jUOUT/lqIrj4GWjURGIB816HIO2mL7D6p5EBqrJ2D16sZ2alalYgznbJUbhJ+t0ZPVOe3Wbgjes1
msLNoQwTOah3GC2sQK2KK/MqcC59H/nlJQe2uT9Kzjcb4AXdBeL54VA4QgScVRASmrmyHoIA2SBq
RGYl6jzcEp88GWpNkeAksfarPLp8D7CvvN0q1mvcmfdBxSxGb1tmF4SzR995Q5WsNA8YZghZ9pZe
HPjk5AEoxPw4J566SpwlfUTikO/IVQyZnTntqAPKysGHFF2a4OOdxrjt1kwfttPk+9idPR8FQrZv
Q2O7rxmx6t8LdpU/6mKWbLcnesHsq8TZaqR5ZbEpuyh0bBBCZa/D+aLThNqW3Po9INv25CLgukl9
MofizEs/lU0ff/TY48/boQROkeuMImDMy01oN9FjQjjEt7pd+E3uGmeUYrqKb9Uac0SDbSLXuTc7
iArh6D2v1Zn/7fD8qcPjrQWU33R4Uvmtxj/xS7AeknNddvm7wRN4f61lYouWNERnLMf/bvCE4i8G
NPl5iG+0C1XX/v/V5fH/MulrAibkbwT6cn7hv7o8AAZDetwcj9YuIJ/1XyjY3xfetNcQ8jNdc36b
RQTKr4U3GhNJTm6s97bZ7EqsyK7FbKGWhVmv7zj6/HeVPv2BvqB07ei6m2e9q6rmXHUjmtI922Ao
dtaICUjp6rVXBO0xXtj5//7z3tf51s9zPO4X7RUsBO8qi2HmKYnG0Dn7deK9ZPposW5WpYua+fcf
9b6TxEfxqGkJuFi8ESG8uzSiWlH055ZzzvUZPPVpVUGlYGoiTo1ZVXEm93Oopjgj/1Q//YerZCTR
QgwCkzbaWgb+qcw7tTnmKqNzzlJQliYqW5fhicwGUhNzoPv9dVrv20dcKCMQHiUad8o574uMc13I
Eiq3c55qmnkcAdmRbKbMZDM89j6rRUUZLjkB0eK4s3QckpkDa44tZLZS1hDVn2r1//PyPfp3nkch
F18HqoBfRzGEPM65ceScg8nhcldhskk77eL/87PQc9J4ZQgzcN4NqDgDl56AqAeqOVFPcAz56vfl
fD/obfXvb7QeMD8Xc1EYULfXcAXfZGi97/Sk7MZZfgbnPEbJjzehs6Bg//sP+ad7xyQEeYEPY5Z6
N2opbDt+LwrnTApvfc6CkcNMQBrB1mLv/adup6XvzvtLspH0CmQu3ML3DaUgglGlIOufM5GyuV4b
KFi62H2v6uygzTkReQsvqW44LUlvX8YjoQ+/v+Z/GMGos5n2TP2q6k3GrwMmEghVIi93zjNwz5NN
dqKxafXWqDEkI5SDT7nPc8FefVEDncz15UVVn14wg/ypA/1PT4AYLuTr+knTA//1y+RFCLAsb3h5
8ffcr/vU1dzBSSbc//7C/+mjUBgRsYWe1P4fffa5CThi+619Tl1ub7i6WghBZaoPtNz/9x/269rC
9I1dn95h6LCy0Hl6P3ybpIfx1TbGKaJGoGDXdPSZbApdahX5Yy4O/jCWNQD4p+GlPxIgAUm0Hvlp
POD33fQmV3ARyFo6mRGVBNwebPRlJ+d7ePb0SmXEc11PA0lA7SyN8Q6UdA/OvlGxnUc5DDpfb5bX
GeSt1LMoqilkd0Crg/1JWeb3Nwn32a/fmYUfDqCOiUHSgdFtzWj7ae6ugjlz5tJ2TrIwy4Op8KrW
qWccYkvmw6Y2y4WeIoeFrkaLnzWLt7f4ZXc4xykLoNDn5InQlbk3Ir/rVYHmeJ0hBHmbt1OtoIeR
7NgZUoVxLY55AK7Ypa+HnsLDtmFm/FinK2k+kvYOKbDA0CKy9rnXXSvkwkSzZNzADbL95RYoELVE
ZCvhU6+ATm2TMGqtoyVdfrX0E9y4ZZh4+bbo0sjexGjoybCsWj5DF6jW9Jm2hYewcUYHqzOFJLxP
Sc0IaRyOUNTse5Lf2HJ7p7U3J/u4pA7fWVVyyrH6v9JFap/9phLNiUCn5d4K2LUYojdw7KB3Sr9Y
S8gj85Xt5flmoj70REI1Y6/PvZccehJ9XDTcL4sVUiBfRVTeSOG2pEz6rVGROGIFa+87j7QxnAvt
1k9j2LlChqCTJ6JZYSnrAoOBhP5MTYOeX0SZwp6d+b6gXfi0OCK9WBvka+t4PaFi6OX+hHge7hH2
qycxUlpuQl0OINUe09Xcyde8jIVGPaA2VDJC/B4sHaCpZuFfAYEj8Saq+C2lPnZDp6HONuhy77rK
VazU8LLICMd9lXSZlnrBYVp8Xx9UE8+hM1Etyj8lemOy9ujX4ruJFeY+p5s2YzMwKBuuBdI2bRk1
SLfdF9/LuZuYq5ueggA2xy2uet87rUdJg/qWvJDOSItYzFoAAuQiL/ddz7ro1QnvX23GCyHJKrBu
EoPG125xS0oyFPSpXGAJYb15I8pZlc1YHjnyPUn0+UgYe7AxkKxwNlo6O74HPTsfloJ1Gc6Fy/m+
AVF3rfwC27OV0sIl68Z98eimIdmpOiLsQO91H2NbiaNS+AB2IvacL9U4Vg+BSpdrooOKXQvXwNpQ
E7CCA3CQ7pQW9YgzQbcSZDETflSpetiZMvKozql02oBDRYdL/uZyE6DWO5dOUqNVzsNwm7qSQj9t
D0TrannIQeigXE8aYuxNjdhiTJILAdX7jpJRgIQ+GkoKBl3/I3AUfD/hDzeh55JXgYECNOWQMzNt
la7qTmaDsrpH8PEZHkUnD4AFvW8zzvCdhBF0Rauziw9ayAFEcGjQ7OMvvxjrob4Bu2sRF6Vk8iXW
HTjgbUTJeQl642qJzhZZ7e1FICfvuaHCBnenUV+8eKpPtlNitZgnR31BipzvXVcoVLMjjzFA6kOc
3lR9yfA29Tt6yzhIzM6/0JtRFKkzPc+dlhjsW/aAGzBt5QG4WK8nJroAQBHuB0p+l8hZmsusI9Rg
cYflewT9ZJ8YqQEcvC4/p/lIDOxS9RtiNIhIamWKy6J7gSvO+0GhexeROLwdxs46lE3NLwoM6s80
LFGORnAc8g6Q3c7z6T9hcWhD3yYVA3FPXOsn30xX7HSDIz65xd1V6QhqI4r4IKcIox3+iISieCPh
/mMVVfVi7EVZD48NVtVmO1byMLj5QqXY/Fb4sv4cFqkA0GnNB2lE9m4o+B4hebN3rEqKwBKm9yvP
aSeCUUyeqI8K4Yr6Q3WL5Ksh8KJnUBsEqvcva9vAEBmvhNStnX3d9CI7e7MuIwl7pobObNu/xp3J
hFQrPKaLqRiyZk8nq/MHNCfBMLvA5NJkpqBatyY9ZFpxakvrv36OLBpma8XLX9Ct9jJkPQ4GN6KH
IRzcw12hf5s1N/LiTYeHUkJnMtTMtjPnKClpa+28kcLN2Di8+kPitkdnJrnquDafmoZhu619gnJo
xFXFs6jbmP1cAuXSAjBQa3aPJHPBzZKg+bE0o6Nbi6R4FNhg91XmTN/RpLTx1s0N9xMp1eFll4Ty
CHCEnKhqjtNhgwU2+SrH/iWjrLp3HXL+tiTitPJzoYzB+EiCVm0fA5EENyPVsq1XACpPpqk9Zgi8
D0ugYYZhXPobUrWmx9HtyntaFD9EoT7P0Gw+AFqhcEWIeAGAAaiogznrNe6T+FWl6fQxHnyeHG98
tm+py5LTGZOjthmTVBPjC+mfiFyR9W6eCsDxEp34QjKajKcjSdLm2Wnr5bqV5NF7pNkQGl7mg7Xx
eAqgSqgnPGFfnQk5s/rieu465wMu1+JDi6vrvkyDdtvVlvzmjEaxr3tlf61Dbzz3XqOoyEUi9TYy
sAn7SVBPTIOasA62BdMFkZaE7wTOCbnC16gxpo9TH+fo6AbzmuAt90s+eQSWdthcWCt1sjg17Pgm
pGh2DejEPhnhRNp8MsbyRaRTc0a1DkAUc8MZvJwRbZxelh3QiCU9GGxmyWO2hIg2qRP58yFBC/jg
5Q2utwqAfZMm0ZW5DOquT8h1D8d4eh6Kvh32ppROeprTeXa3IBYNUsKiKchvvJkC90WYDPLIKde4
ynxVP5ppJ0JyCjCDboThmzl10WC6mVjhf1hjK6+Hphkv8P4uZ4TSZbFrwiSiam9xvEiY3C5yJ7JS
WsoNzdZ49Me7WIwTuNAsghIBarl7zufeBuZbuFdzKphGcTaFEBObsZp2ouyGCEpjLa57f1HuBgUV
6UxB4TtMiNb0vRbeEB1Co1X0AqjvOk4LZqPwcL4OfnovS6t9HKxFPgXYePfjrIDwZjNdETByxJtQ
9ib+LfPh80x+isdMJa8IdFiHehPOGuFmaUHGLgXqUXFOAe7ud7jXovQD+rD50ewmA0pkDxontVv7
EBh2h/umqdxDK33A1rVIQ3kxMHZ/UKicPzWB3X+bXEjXk0dS9cGk0UssVmHRdcnqwiduKaBuT5ZY
C4ggQc109Pvmh5vM8a3MkBVsVCp7AjbnpKa7TMgBbM122ThI0GDKVt0Hg1SYvTC9qN+FsWZJq2We
URTVPpEquCqCcz6Q82M4/vg5oV+NrCZW2Qfqwr65iXDIf6jCoug3wOQMhMM2Tw3bhOUAppqKeXia
QYhEzpte939roX+ohcJc16ep/1wLPb5ML2n6M8rj7x/5l9LddaiEcjZjfUXB6Xr2vwuhTAka86EV
6xQ7+CcUnP4uhArxFysvsmMopLiIRBD+uxBqBX+FVEEDeBAmBYUg/O/k7r8eHTUOEtMKRVUOYFS0
kL7+egpHvFWojHjnj1I2DSo0VcoFTBzfU+++aKA6KLqStOi+EeIlHpIkN+5FiPWsctiRbYs0gEEh
Z9zXwJ6mHUAeXMRGs3dnVDvSNPk9noGPe4N0KL3NurnJSQZDBVATh3UYKFLsGysLr4RBliTIB8BD
Wb5c1GLJ78mxVkfeEVRDljF8r5QBnC5xYCIZOnSSJAc8XonsJ2j1zfLig/JJd1iPYQZBxWHn3OWd
OviFSddhMZqvZExnL308LbfA3CF4IH54XsjmQDAY5/7WXlT/fexiayMaVC2xMK27OPHutNIH0Vch
xeMAyjbf/TRebt+qQD9bxlYB70/FIf0IqJ37PFV8AETU6LrjTyfhUjlOZkTS+6g6O7x0bQKL6afr
kyymmhwlQdv7m1SU4W3tN+KqmgSX1nhB7UJ/wDyqEnLqfN+tL0M1jNcK9NiNoFP4aqW58alqXXmf
wCnb40vKrge3R/gVEOL8VBRks8VJ19Dct+sPQdA9olYiBlRvDuNJgOAXF34S4sH02q+/v+jwnYgd
dqrp6wFM5ZaSMZibXy+64dgGPLypPjp1GT1b+unHdW19tgTbM5ax7pKeancJo7zfO3AQxKY06FRJ
O1PX8zCbXxtSJWHIuNP8Ia6c/DTVtvsxWvhTawvxndQr6xwbYvqQ4Ge4siEv37pB9MTxUFyEaVo8
5RVQLI9m5zGtpoqYkM5gxbK93UKq4F6ZEOw22px7NpX9WnnD1YQpjrZ05B6XgBMuG2Z7l84YEWcX
iJfJuorp8LlowuzkOPX0LU1AJEByn741RD1TZmC72fXUIyJU0DTPh0OfTvM9L2V+44+oAAuUcMfc
Zn1Ls27jRZ3HySJT7jlwAGamGOeGXZrKdlP7WXhhqk5sRcpZ0a/QaswVT4nzYZpdl6S7XS1BIeDH
Vc33oGhL0jRRDGASdtHV6LMTIDwpj3g/0nMBcu460tIQon3Ga1qaXJywB+osbaKyI6XsLNwqJxb3
BqrTDxJP35Ut0phczUAdJ1e/m2TgYJmZ5CeH8J6vYZzHV45DZI8Zz/Ofehu/zlmaNyRIxKBspE0/
Atrnr2OHBLwoYqdi3CcQu+/6cKguDEsWT8uMJY0jAJu3UI+drlbfJhFwcutlsxCGtiSvGfv4m4YE
gRNEgfYTCS3NDu2SedEGDSncTr5rCT1/LFt+Sz6itdAo8Oqi4Nlf1Trc0OxjBds+nvcIBcX9bHY5
oXcULCAUGcs14tZ0y3S1HEbsmnpCrfNT5za9tXd7Q+xTc4BDmc3jfNOR23S3DtsmazlCp95y3bWu
dWU1dUR3NTA/B0YpP4Xolz5huGhvUpnS6oSNgLPEBp/xtTLzi5YQVcRrczgkG3sYvAtnUbm/z4Mk
+BCY7LP/UEwVvxaz9e3HaRX4uvMgYFD5+tX+ab6aWksSX9NF96JrPIyYuG02S9caHzMVcgVWJsyt
10rjIVvSkT0NwmosvB2kyYvARAu4sXkHh40o2ugUIO58yUevW/A3TzCiGhJAnjuHrvXGpHcPaG4w
Dr+fe/7pAhy9vFL/Z10W7rvxU1Hy76wk9u/ZhfZ75GHzDey6+NCCiOqooDDPRC3CKBd7K7WLxDX2
VD6aF5rz7tmavOgH756tJV71iz371pVHTvQpEQ0b3bYIogdkjAgkkiomtfT3331dj//fYrHefOBf
vsW5AQ0xzYR3N78EfqWcyb2vB9dFms8h+QejmdSUDpHkE7nN6pqskflD4Y/VRY8ION2IqgIX0KTj
qS6DdDuForss3Km7rP3WeOhBzl8AGuzTbQdM6YMKZHrlC65/KsOCkpOc5I+RZYJHlDpfZTQNl6ZS
AVWQFoHJ4Ex5deFjJt9i/lWbWXRMQ8MQfRKIXo9GYAQnmbLnJ6rFOxTSjg8NG+1nQF/QgaYxImc5
6faq8isSKWEAfLdiDlEbUToA9WUjrL2ym/Bg1/lXq0TvmdhVu7E5Rl0Wzhg9Vz6vOnsCBDT61YtC
I37toFCMexodfD1UaSc1d+K+EHIZdmVmj9BXWk4RoDwOmZlEz4y88btDQjUziL41mR+dhrQiM8DU
VjRqQeK+STsTjlWZP5iNULjfST/97JfZNxBiSErjZMaaTkRp1wn022TDXSXzJNHgF/NNZinWkt8P
BDaJPOlfRgIxOuwZMH+763bw3baBuboc0E0Aiyis3t8uJi/YZp2bi2luL6gFJCAUIi4gQWl+YCvW
vHiiV3fKYk7ax6UkPKH1SanMilObFnKigmqmyJ+MLC03cVwd+jbXryu236/LZBaPTP/9VzE54/ch
9R1jR8WuJO4kCdDXVWzHrseqJ2YLlzDjwKHpsSnsIioORH8T+w2RazgGsTHvFtUQ3e2UjzNYC5tv
KZdia1A9DlvPuAMItkw7OZjDa+uyrDC+kl2H6P44Wwrqlj47+kWqt5z6uZKP2X+Sc350DSpwu5m+
BTrk5ZPVNNUOJK+94fskJbgYXggURgzWTJC8SYfX/waRHW3kOOYnYgHNowqLhagLSGcXqoXwdg0c
1SGkbciTJ9aB9EkaGbgE1Uw2LM20zD7JwAlhLOWtFx8Rq5hwWDn7AYFLEPsb9Kzvid/WGxzUZicT
6/uFIUtv1yktZrOTod/3ZCeYXG7OlFfUkhslp44/R/3Aa7AkQkW6TeU4u0JZ1UMc9/IyMh1WHWVl
9tfEjtJlG1tek5+Nvtfbn3C5Q9ZVG3ty2MyvJU0A0D4EHOwWZnZza1TKuordKT8tDARCMSbaO4az
JHgXLNv+bKHWp4FNtNwdQsZo2Fg4/0ilG8YjORm4X6RU6gduguAyGJSBRrPESkJWGixOs1PT3hnH
EHmTlxJxQkbvZuqw/2ywRdhEuccd3CsKWxu3icwdULnih+9P99Tp6OVw/q0hE+ckRxQTOXG+Xya3
ovQniv1FyJ2BKXG3vkj/e7L9w8mWnpsOAfjPJ9tP32X/f/6RVfn2k38fcH2fMASPzqOt2+g2mp5/
H3ADQawaaaEO8WUWjmrB4fLvA65j/uXhQYPY7pPLgAVZ/PuAa/t/UXlG2QConiY1tqP/SunzfsWk
3O1xzOCAzaLJvu+9SCReHFhtGQVt1BvDuQ4qBMs00eTZXkreKUdTCfPBtu6hYjADxoR/pHO6IxBx
OlJBpMAZRYN/6Pqw+8jxzQAPXCAOJ+DqImGx2dgrGQe0VXtg5wgvZ9boHEzTfncYsiHS1BgHug5p
cYW7cXLX240hmF9Xg3jaCPtOkA/AEJe4Iz4kiB9JFg7xKrhdtA297HM4TU/sbiH8kOm0PCpCB9nK
FiDnRsPc9ZoJxBtsnTDkAwqaNTMI2S74IGVE7b1LdtQVP0I6fWf6kIZq4y6NmkxSl8qmY0cz71pN
S7WZJZQipXlFSD2WB2jb9gG0HK9fKDlYhEpfOUA9SSfAS+kJw0DyfHesYBMt5cc4cd0D9fkG1A1/
7ZsQlFChPhJY7m7iALpS4CyHYATAY7RmvYthSjGTpE7/MaePchuxENxFiBdmxIQa3VQvA1dcBIba
ESEVbgJ/JAkN8ebGg+e14zsTLCNBVTl1WOrKpw8/zf405HlzxHyI5weKlDUkH2JYIohmF9Mpdv4I
I91xJ2dTFbFyQFijXWbH5xHtyV6QjnJ/JHOrf3Qknb9Nkyprb4yioxq82NCnZOXyPNzhSgXi2APD
SjUVa9B8LNjMT1FFSFE4dY9LvjjbkCX5Szdly8lKQP6UC+G0dE32sdW7uyKL43vJGkkYlV8X10FW
tjfFiusKizLxN01Ze6DnpXeb20a0MxJ/fI66SNwtbZ3t3dibr1hGv9M5oVNFh9PbR22KMhIy12lG
PUrv2t7a9IivCAbAtWSBBxsqaCmW3X8mpq4Cjunnl8kKJZtWQNm8wspI0ZNfzKklE5322R0oNves
A0k+5p6T7Sg8D1CJZOtt+7Hklk1N2V0PGo82O8ON0QhaRZP5HUHSF3+aarktSXq9RG5Dz0Jz1pbC
t+Su7JbgGTDs8EC3gkzrMSr2XkscAPFXGtlmrvi2yCMBlOLyNH0B2VmbO2uhb76XBh0sXJUw4MhG
E3sXJdIek8lo3o2aFpdrblyjW17b2VqiuxGs3ORaz0jins1uAHFO1b7zzbI5hl6KJ8uBO95djBpR
BxjL+wRi/SGOmu8mJoBlk2mkXafhdm6BevpDUjhY00ABbrPEE8eYOeee3wD91ZYJCYvpOfDC6XIm
v4g6u+cktDNjOYlrWk3g9YJo7mJQ1s1zueL3Ok3i60x5yDSbb9SUvk7z+paV3KcZfgMwP1hZyWW+
Av6EIv/tOEQW0a6komZn+tVZvk8lteHNbNbutXTtaO/bdXKJr8Xat00/bTzfMHYWZaNPTlcu7qZX
58r0jSPbieQiDxDxRp4wDm6EiD00l+lQORkGt7nIP9P5WNg4t9M5SH28e3250aADJM1EIdNozNw7
rKf5vvFyiKNTUm6DEZ581pawtHObKFjYQBejIxHKWWV8PY3uxB3IlMLjbLqXLhzV69nsjaeJ0PSh
OA8A2XdlIRssgXGNHN6wy0PWnL1l/kyMm7erkclfzipSe5d/dS5cs762CrvFVO4YM/HEdSswwA74
6S9zXH3MVF17Z4ed/UBeCdsSD/1x4lrJtF0atRC+F9X+Nizy/FkhcIan6k9nUMuksHQj7N4go+kz
sL8Gb9AdtECQpsR4QwN++YFXauRvff+QuLFTbPy0GcDu0p6KvJYGbAIELfEqa1cLc7iMSra6NSCb
q7QYvrCwkIbWF+OxUu3EWxrVxv9l78x63Da2LfxXjLxL4Dw85ABXU092e8yxkxdBbikUJU7iIIr6
9fcrkmqL6nYfO2UcEBeXyFPULpLFql17WHut4yhPyhLBiNDPHwAN6sGUgDB7bYQIPu899aNnW861
PgiVO/ofk3EaOZurwB6E+PmERwk9FSoH7DSy4woNrcH+Wksj5UapSIvO3e36xiJYmgqahzsrhw2e
E9uZZYmivS4oCd8dItunHS/4MBe673bm2VdA8jNnBLTo74IOsxhwhQOjZYLtLSmJT8jR7GjqUkM6
P7ztbqIc9HepGo8H8UGrxiZb9M068QB9o1U/3gZg7EhQuBMTdeFblGHms7LY3R3CcDdVjodsCUXk
YexRzKAJOID5VKd2cyyM9U16RE0SGr4bz0zpifSKabEtv4ahQcUMZMq0KDhu1JTKdZp510UJKWk4
p/yJJAoaGvq9HmoRKPy9+b40/HCWDrJ7r9p8AEsyeF+uN+8OzOvt/IB6ZaoE954dHmcHa+tyNFIa
hDV/n1kz8whxmrFFHRXOtCKnEedQ/WFs6borC+b1w67wPeuW9kHa6qpM8eKpxslJNOsfdAAfii4q
uEYZV8rUoptZma7nLi0voa+4gy9lph2qiQ8X6nECoEJws24jZK0PWzUIkF8l71ZdJ6b/0bRTazM5
7o+4MhmqgDQt09SGFAn8rSgXQ4KqqHCHVrF6MEf48bu3WqwN1pNkkx4/60lx+BzGyuHWzjfqXbGL
sqtdNUDDcQ+8Fdm1ivYmBAFKTH8QMQfQgF0TGaKxHmIxne3AWlQbZ0MHQbG53StuoY/Ab4QfnGPh
34ZKmJGbgqKeBpxZpTnecqcVgyuy9Oa7rHJ2M2S31Zme5psIZA7mdUtnG9qHFRgXpN+8fyNenkzs
DZoLaQJOAr5d3bgWSY/9RDmaBbolhVqOON2OdG+gyXSXJkW4nuZko9SMZvkCmQNOLmVmIkxKy1YF
6A3MQAHRMTiqW0pl6NaS5NiTxhDkgwElDRRndhaO31wptiMoV9y3qjmw8jHF5Z0/25r0lcaOC6nA
Wi+syZaw6s+M6r06OWyUzXtnne4+0CJaZjTRV/44hvrsKvPn9KmAnL4+qusD3Ivbw14ZKVVqgxFB
pPZzAHR7Ms9c9XW4cUIT9MGh+nLUfWNmZeaVns+L3chHVJfe74h67I4OvXEW6/trz0dYZDTwM2+q
HwaozleiVQUPaBeMQ2pJN4ZvKJ/JVW7GXqLM12Ov0B16YCojgjh4mytjP83zLxjvI6jAzLqDqPsr
EqBbNjaNJCO+KBR7AcAd+kkgL5+WebGpRmlhauM8hx1ubFjr8G20yyDvBNdTTHNz/SYxy2TmlmH+
uixs88YC2gBAhOrT+yxIiy0p0yi4MoRqqMtHu3WKDBrGIDKq5WHurP9y8bn/QMDcvpuT7oegodrb
rzMAQ9Zk7gHdexMqpj7WKvtLHurZ5wqNhZHlmQbCkKCgNAAfNylECWjRIz7/p54YED7A7AgvHZU5
zhLNfRMgB7PSBnMRDPvqAnvq3/rlQKVRyLC+kAPIgCikQEVmgx3CthOSywjZIpwAMAigAuyMAC2s
MhrFsDRMaaEnbXZADYZS157OqX15j6JC+SEDpjPaRCWkj+YWSVJUzxcV6cTdSItjA6hVDJlUoibw
5mn7fBzGFLv1eb6bDgAmzbS9Yi81aruvgd0e753dMfmYlACzx9jzzd9xrmaf3EgJvniqEngAvTbu
LbCQ+S3Eu8qtksxhM2K93ik7z3qvH/NyDH4qvtFoD50Ojuh4qraRTKvIVvH9FQtk0xxmaTtfbzHN
YTQrrcS82gSD6Oag4IsnblB+AhKjwwWQTvNkt3nre6AqNoI6c0PLwx1GYj9hA7JZbARwsz2WT4el
f0xyCXljQcVZ1aycJGd2o1hQdW5r0k4fHyUIFdofBKXnumb3tGuiTzLwyKjE5RJZeXhAE0EJuicz
qM9KQRT6//H/D+kqWvR/vBj/w3wBj9t5aRtVc/FvTqVtxRiy6ZDFJLQHRC9i+BOJm6ryk+hGFvrn
wHy/Bf7mkLBfI+QnjU0/jEgXnFp8lCEmz1ZFgYHoH6T2zwT+3S4CmmwUky4CaAqpGMIbp18UtudF
qfomafz7Ilx6WUCa8+vZbDxTtxVljvP86+UNBMD5rAySHvQgTA7cwNkACUI7qnAX/v7ed2k/Xr58
qxoz3rkXdVL6BmjUpVb/lCioQkQpMAGAwtkZgCoHdAnDvWKRkXe07c78K9scPOdhHc+dHMaSRMsG
R1hbTTrvb+G22XnhkvSpY3sElMZace2reeqJNruoWPlAOf3wdZEaGfTVipUcb4LM3czTT84GHSIY
J+P5p2qXz2hdMG8zXIZ3GyJQH2jsfBehRxxR3Hf0FKUZbW8NOAPLve7C5ByEu/X2I1S03h4MAGeP
DfIwdjjXKXRpyCoV2m0KDPmPCvayu2C+KxBkhY22nCHnG+jhnZ0jo2seLKygujXLv5CbsiAwR2J1
RPtCOoaV09DfGgM7Od5tcnc9+FhC5m9EU33vUQZIhCRQfphf2UCys6v/W1ajTX8K7ZlpbQ3eF6u0
+rDKQJBlp8Y58eu72I/yT/E/+6OXB3q1+iE7BBkQe7OTh6wfqn7il8YIFrmfF8vV77/pKLySRaRv
EOMhLmohQYxcX/PzwHWH9AZrLucRFoarSXyeTdL3puHlN2zm8+W/eekNmgm6Wf7+GzUcID5yk2AP
NdMgEQtz3XOTQNA3BG5LF5JB15O4zpf8S2vh5Rf8dZNAa5n0SjCG4AHobCLVW19Y7fOVoHIwWRZs
R8C6TpPErP/3V8JDXES52JFQFXT6aDmtfmwhXIxwthvcoanQbyAooeuLGvH5HLAbFJgULdF6VV/N
Df/7c7BY4mBMgEOm/kN+7mdAni0o+2S3A1Gn5ogKRH2x589nwTGHgBjoMVZxNsTVLL0+zYKi8OXk
JgGlapa7Bljg4u3pzzZA0GhKOzv9MwYAfHAopV5fc4bUxk2V+lN7XcwCTeUOXeaacDjF1cx3j9YA
h6Po9pOaBcNA5JyWcypgzSxcrAXOTNCmiuGy7epb9ej9yZRwlku9vg4AlxMfeC1nrLguDAF8BIQJ
NA+Cqa2v3hkChMYU2a2gC816BSqGdhLE6d8xhzgHoIBFV3AzCw3quUdLAZbq5pkaXtBHh+Vn/ESw
05RZTd6yeckLP1FVBJc4vbQCpc2i69PbE0xLbgRDHcJ6oZpkX599e5slgqy5o4o6fb/e3gGYIvn2
umCQB2IG01NjBi42gG0SQ5CV0OGwq6/eTQJiMkIHXs4YAskw+MYY+2fXgKMPyZaAeiJ/Ul+92wgq
4EdZt4gTESELxaaPrfnWF0cCQBGsIe3p5Hj6thU0jnLpvYCZAzoNm4fgh+G68AhsdwisULQlNEGS
YO/pl0GAH+QJeulnswZgkMgNikiojYMuLILDLBgO2giPZ2YPZ8GRdgxclDjgYqLu/bjjO46BRZwE
dwRRdfN773YEob7DApayi4Y2pNPKImg2np0FVyemVoQoSPt773aEIBtpgrh/7h8Z8G/hHUCl9Pws
ICnN8UFGHRqb3u0FOJek7aJDPGiQJBR0NOK68A9dh3OD3AnZlUe72S+7iGKNKmsRDGtImUHUTlqL
cDkLhgBoIlCvNXfqkZcMOZcj6xzolKGEMgLUrM1HvjgWXJV4UnXIMbaHZ++2Ar0t0qkTomb4i4Sg
QusCMK3nxwLkjUNkWHRkuZpd16NVQBQrfSDohIrkD9no3fe2raGtqOSYT8nT3jnIsHsZsnuA45BK
gaBbbNf4hYNsk0WnvqpDqtK3c0CjziGbJyA+cMDUIRzzfHxA7pjmVRenqP29h94Ap7SkT8QWADqP
WwhTa30x4LkJEIkz8uc2525jKHvnGRIrCWI/Oc/QJiKmVwE4wrPHgcieGnQ/aKdZaJywPplDiiDS
niG5IyqHug3Y49m14A45M22N7Erze/92BA5Ls0D/uX9MDglyPSE/+LxZFLKGlkngbIu2dq7+HY3C
bMnuCH1oOUCcwdQ03/rCNeBwoNQAwa8gNBBX79xEANqa9BGp4AZSbW995CexAn1REDs4IpRo7EaT
vu2TXaBjS3otkEPBB3QBJz1+6/MzwiaRRs0BeFhrPPvnLIsCqeyOwB3SICWAifjxW3dmgR0hmC4E
8KC++uc00hfXGKt/bh1xGnGL4dQ+ZYou7YLJLFFnpxTZzELvzghSfaLNWtpfUBFrFJ2N9cUWO18L
ZPGHEJWSv2zdqv6dEZAjyKIvyK3CdC4ySd+s3/ks0BrKL0CvjW8YlZ5lUmg9lT0jdPLsDgKPKLA3
F9/6fBZcm6xiDXZt10rvfEeBP5BdC7oOYxXxMpFZMwsXdsERJykFJ7BZPbUL8GzIW0dmgYoK9QT0
EOuruxYau4ATTQG6NkE98hR0OMOlfWcTxBFgI2jGnvUUUIygeVzQVH+rzffLIugQsclmFkQEQV4F
77g1CRcxdY1PtEku0lLfu1UACkU2p0BmBVg2DOyCuObcFAI+gE4I/nJSivXVu2QC/H3SjiLcBuRl
kN+F/Ly+LvNqzlBEFKbgj6+v5gTqkyl4RhzmpwuvBAV8ZeazdQ4ucqwUXhHDAriHTHF9/cQs/MBU
PeLfx/AWLmvku7/KngPIf+8PToDop7+3aG8B6RZA3s4fCkKO5t7fgPH/6mBga8DR2Y8nAFJ9n/af
ty/49Nade53e6vQ/r/1Vukgf1lX9Q9U+5v0iBD3/P8Hi6yJcdAC4NRTy25P8/lvnOc9c5P8wcLa9
GFcIh0iPm/rHOOoOXEPH5QfeLqJskZ0eUXzGBoEoO/J4Efh/x2nkd566Qf1Ljx0HcbpYxudP3YDl
5EeOotVD7j8UeWfwGosmO/hkFcCdmq7OR25wXtIjt5DyV/Hfr2hzKsKv3Wl3gXyf7vosS85jAPjS
6p4x6/6y8z1xcEXhTfb5r1Zx6nUfucV+yY78fbba77fq/NBk3CwX684CbGFasg98g05vFPvdHdlg
f6SHjpb+4sKKGEhlyX+/m7jsLosGoCL7wHdPbVODeZAemAGKh211evPa7DUtGLJDv44LSCkvp7mp
0suO/WbhRx3rASrhVxwvbxZwmS+i5fl0tCVl+UfOssUDBO2rPO+s6bZoKz2+/7D2vUW3oagpiMoP
zVmQxXlnZbdwE/mxs8znvyTxO5Pe4N5/xehxkV4OLeqj0kPHUX6xuFscluzI96uvKdL23dluCnny
Q+8X3XOLfJ+ojckPXL66XoRJtva7xzrji6rTrxj/dpVmq46lAu0iyhi/YvA3q4P/0DnGWijNrxj8
zzjdnh6zjg+alLv00LBRr1+NF2nMSdldLg1S+NfcYLLYXu79prguO/zbtd+d8Sb7LD3sNsAj6UY1
WpPSlR46XXmXPZt1flB24HerKILpdL+4CBPacqXs8B/W8XL16iZ7crY1FTDZ4T/GxXcWYptE/jU3
eLoQ2x452eE/MfurLFt1XIo28yk/9qEbVcJdLnqdZcf9I1+sT6MIm9KmKGWH/fcqDTnZOiM3yT/p
kX0im4vl3SbWZIf+vODcQYS9uzXbkp704P+JDFUyfvr8kqSy7NjfJ3J5ceTnMk2PPXFP808nHoDn
/lk3uSb+4iFYLdJ//S8AAAD//w==</cx:binary>
              </cx:geoCache>
            </cx:geography>
          </cx:layoutPr>
        </cx:series>
      </cx:plotAreaRegion>
    </cx:plotArea>
    <cx:legend pos="r" align="min" overlay="0">
      <cx:spPr>
        <a:solidFill>
          <a:schemeClr val="accent2">
            <a:lumMod val="75000"/>
          </a:schemeClr>
        </a:solidFill>
      </cx:spPr>
    </cx:legend>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microsoft.com/office/2014/relationships/chartEx" Target="../charts/chartEx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microsoft.com/office/2014/relationships/chartEx" Target="../charts/chartEx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4.xml"/></Relationships>
</file>

<file path=xl/drawings/_rels/drawing7.xml.rels><?xml version="1.0" encoding="UTF-8" standalone="yes"?>
<Relationships xmlns="http://schemas.openxmlformats.org/package/2006/relationships"><Relationship Id="rId3" Type="http://schemas.openxmlformats.org/officeDocument/2006/relationships/chart" Target="../charts/chart6.xml"/><Relationship Id="rId7" Type="http://schemas.openxmlformats.org/officeDocument/2006/relationships/image" Target="../media/image1.jpeg"/><Relationship Id="rId2" Type="http://schemas.openxmlformats.org/officeDocument/2006/relationships/chart" Target="../charts/chart5.xml"/><Relationship Id="rId1" Type="http://schemas.microsoft.com/office/2014/relationships/chartEx" Target="../charts/chartEx3.xml"/><Relationship Id="rId6" Type="http://schemas.microsoft.com/office/2014/relationships/chartEx" Target="../charts/chartEx4.xml"/><Relationship Id="rId5" Type="http://schemas.openxmlformats.org/officeDocument/2006/relationships/chart" Target="../charts/chart8.xml"/><Relationship Id="rId4"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95250</xdr:colOff>
      <xdr:row>1</xdr:row>
      <xdr:rowOff>85724</xdr:rowOff>
    </xdr:from>
    <xdr:to>
      <xdr:col>15</xdr:col>
      <xdr:colOff>133350</xdr:colOff>
      <xdr:row>36</xdr:row>
      <xdr:rowOff>66674</xdr:rowOff>
    </xdr:to>
    <mc:AlternateContent xmlns:mc="http://schemas.openxmlformats.org/markup-compatibility/2006">
      <mc:Choice xmlns:cx2="http://schemas.microsoft.com/office/drawing/2015/10/21/chartex" Requires="cx2">
        <xdr:graphicFrame macro="">
          <xdr:nvGraphicFramePr>
            <xdr:cNvPr id="2" name="Chart 1">
              <a:extLst>
                <a:ext uri="{FF2B5EF4-FFF2-40B4-BE49-F238E27FC236}">
                  <a16:creationId xmlns:a16="http://schemas.microsoft.com/office/drawing/2014/main" id="{7E74F791-482E-4208-B64E-11E87B42B68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333875" y="247649"/>
              <a:ext cx="5524500" cy="564832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933450</xdr:colOff>
      <xdr:row>9</xdr:row>
      <xdr:rowOff>95250</xdr:rowOff>
    </xdr:from>
    <xdr:to>
      <xdr:col>9</xdr:col>
      <xdr:colOff>523875</xdr:colOff>
      <xdr:row>26</xdr:row>
      <xdr:rowOff>85725</xdr:rowOff>
    </xdr:to>
    <xdr:graphicFrame macro="">
      <xdr:nvGraphicFramePr>
        <xdr:cNvPr id="2" name="Chart 1">
          <a:extLst>
            <a:ext uri="{FF2B5EF4-FFF2-40B4-BE49-F238E27FC236}">
              <a16:creationId xmlns:a16="http://schemas.microsoft.com/office/drawing/2014/main" id="{615ACE3B-11D0-4232-8CA9-22DAA91340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76200</xdr:colOff>
      <xdr:row>2</xdr:row>
      <xdr:rowOff>9525</xdr:rowOff>
    </xdr:from>
    <xdr:to>
      <xdr:col>5</xdr:col>
      <xdr:colOff>76200</xdr:colOff>
      <xdr:row>16</xdr:row>
      <xdr:rowOff>66675</xdr:rowOff>
    </xdr:to>
    <mc:AlternateContent xmlns:mc="http://schemas.openxmlformats.org/markup-compatibility/2006" xmlns:a14="http://schemas.microsoft.com/office/drawing/2010/main">
      <mc:Choice Requires="a14">
        <xdr:graphicFrame macro="">
          <xdr:nvGraphicFramePr>
            <xdr:cNvPr id="2" name="Year">
              <a:extLst>
                <a:ext uri="{FF2B5EF4-FFF2-40B4-BE49-F238E27FC236}">
                  <a16:creationId xmlns:a16="http://schemas.microsoft.com/office/drawing/2014/main" id="{3881C25D-6DEB-42E9-BC48-E7206E51EDA4}"/>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876425" y="276225"/>
              <a:ext cx="1828800" cy="23812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238125</xdr:colOff>
      <xdr:row>4</xdr:row>
      <xdr:rowOff>28575</xdr:rowOff>
    </xdr:from>
    <xdr:to>
      <xdr:col>12</xdr:col>
      <xdr:colOff>542925</xdr:colOff>
      <xdr:row>20</xdr:row>
      <xdr:rowOff>104775</xdr:rowOff>
    </xdr:to>
    <xdr:graphicFrame macro="">
      <xdr:nvGraphicFramePr>
        <xdr:cNvPr id="3" name="Chart 2">
          <a:extLst>
            <a:ext uri="{FF2B5EF4-FFF2-40B4-BE49-F238E27FC236}">
              <a16:creationId xmlns:a16="http://schemas.microsoft.com/office/drawing/2014/main" id="{8EF5D94D-7424-475F-9A1E-1A1D1146CB2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238125</xdr:colOff>
      <xdr:row>2</xdr:row>
      <xdr:rowOff>114300</xdr:rowOff>
    </xdr:from>
    <xdr:to>
      <xdr:col>10</xdr:col>
      <xdr:colOff>428625</xdr:colOff>
      <xdr:row>23</xdr:row>
      <xdr:rowOff>114301</xdr:rowOff>
    </xdr:to>
    <xdr:graphicFrame macro="">
      <xdr:nvGraphicFramePr>
        <xdr:cNvPr id="2" name="Chart 1">
          <a:extLst>
            <a:ext uri="{FF2B5EF4-FFF2-40B4-BE49-F238E27FC236}">
              <a16:creationId xmlns:a16="http://schemas.microsoft.com/office/drawing/2014/main" id="{83985ECD-52DB-49E9-B1C2-9A466185A5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6</xdr:col>
      <xdr:colOff>223836</xdr:colOff>
      <xdr:row>7</xdr:row>
      <xdr:rowOff>28575</xdr:rowOff>
    </xdr:from>
    <xdr:to>
      <xdr:col>14</xdr:col>
      <xdr:colOff>285749</xdr:colOff>
      <xdr:row>24</xdr:row>
      <xdr:rowOff>19050</xdr:rowOff>
    </xdr:to>
    <mc:AlternateContent xmlns:mc="http://schemas.openxmlformats.org/markup-compatibility/2006">
      <mc:Choice xmlns:cx4="http://schemas.microsoft.com/office/drawing/2016/5/10/chartex" Requires="cx4">
        <xdr:graphicFrame macro="">
          <xdr:nvGraphicFramePr>
            <xdr:cNvPr id="4" name="Chart 3">
              <a:extLst>
                <a:ext uri="{FF2B5EF4-FFF2-40B4-BE49-F238E27FC236}">
                  <a16:creationId xmlns:a16="http://schemas.microsoft.com/office/drawing/2014/main" id="{E7E0586F-96A3-46B4-ABF0-F8E37C3FE01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481511" y="1162050"/>
              <a:ext cx="4938713"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2</xdr:col>
      <xdr:colOff>561975</xdr:colOff>
      <xdr:row>3</xdr:row>
      <xdr:rowOff>85725</xdr:rowOff>
    </xdr:from>
    <xdr:to>
      <xdr:col>10</xdr:col>
      <xdr:colOff>257175</xdr:colOff>
      <xdr:row>20</xdr:row>
      <xdr:rowOff>76200</xdr:rowOff>
    </xdr:to>
    <xdr:graphicFrame macro="">
      <xdr:nvGraphicFramePr>
        <xdr:cNvPr id="2" name="Chart 1">
          <a:extLst>
            <a:ext uri="{FF2B5EF4-FFF2-40B4-BE49-F238E27FC236}">
              <a16:creationId xmlns:a16="http://schemas.microsoft.com/office/drawing/2014/main" id="{47ACA806-1F1B-46F4-AF08-9FC7391F26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5</xdr:row>
      <xdr:rowOff>114301</xdr:rowOff>
    </xdr:from>
    <xdr:to>
      <xdr:col>5</xdr:col>
      <xdr:colOff>380997</xdr:colOff>
      <xdr:row>30</xdr:row>
      <xdr:rowOff>133350</xdr:rowOff>
    </xdr:to>
    <mc:AlternateContent xmlns:mc="http://schemas.openxmlformats.org/markup-compatibility/2006">
      <mc:Choice xmlns:cx2="http://schemas.microsoft.com/office/drawing/2015/10/21/chartex" Requires="cx2">
        <xdr:graphicFrame macro="">
          <xdr:nvGraphicFramePr>
            <xdr:cNvPr id="3" name="Chart 2">
              <a:extLst>
                <a:ext uri="{FF2B5EF4-FFF2-40B4-BE49-F238E27FC236}">
                  <a16:creationId xmlns:a16="http://schemas.microsoft.com/office/drawing/2014/main" id="{4D444617-2A27-4CEF-B796-6228F3DD4B1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0" y="923926"/>
              <a:ext cx="3428997" cy="406717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5</xdr:col>
      <xdr:colOff>409575</xdr:colOff>
      <xdr:row>17</xdr:row>
      <xdr:rowOff>114299</xdr:rowOff>
    </xdr:from>
    <xdr:to>
      <xdr:col>10</xdr:col>
      <xdr:colOff>476250</xdr:colOff>
      <xdr:row>30</xdr:row>
      <xdr:rowOff>38099</xdr:rowOff>
    </xdr:to>
    <xdr:graphicFrame macro="">
      <xdr:nvGraphicFramePr>
        <xdr:cNvPr id="5" name="Chart 4">
          <a:extLst>
            <a:ext uri="{FF2B5EF4-FFF2-40B4-BE49-F238E27FC236}">
              <a16:creationId xmlns:a16="http://schemas.microsoft.com/office/drawing/2014/main" id="{F05A7B10-2B43-4821-BC78-378C02DFC7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495301</xdr:colOff>
      <xdr:row>3</xdr:row>
      <xdr:rowOff>95251</xdr:rowOff>
    </xdr:from>
    <xdr:to>
      <xdr:col>16</xdr:col>
      <xdr:colOff>38100</xdr:colOff>
      <xdr:row>13</xdr:row>
      <xdr:rowOff>85725</xdr:rowOff>
    </xdr:to>
    <xdr:graphicFrame macro="">
      <xdr:nvGraphicFramePr>
        <xdr:cNvPr id="8" name="Chart 7">
          <a:extLst>
            <a:ext uri="{FF2B5EF4-FFF2-40B4-BE49-F238E27FC236}">
              <a16:creationId xmlns:a16="http://schemas.microsoft.com/office/drawing/2014/main" id="{84C6A1EA-6C36-4ECF-A9D2-3CD60E25FB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466724</xdr:colOff>
      <xdr:row>17</xdr:row>
      <xdr:rowOff>114300</xdr:rowOff>
    </xdr:from>
    <xdr:to>
      <xdr:col>16</xdr:col>
      <xdr:colOff>95249</xdr:colOff>
      <xdr:row>30</xdr:row>
      <xdr:rowOff>28575</xdr:rowOff>
    </xdr:to>
    <xdr:graphicFrame macro="">
      <xdr:nvGraphicFramePr>
        <xdr:cNvPr id="13" name="Chart 12">
          <a:extLst>
            <a:ext uri="{FF2B5EF4-FFF2-40B4-BE49-F238E27FC236}">
              <a16:creationId xmlns:a16="http://schemas.microsoft.com/office/drawing/2014/main" id="{8F76B1E0-0554-4F22-ACFB-2B267AD95C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400050</xdr:colOff>
      <xdr:row>2</xdr:row>
      <xdr:rowOff>133349</xdr:rowOff>
    </xdr:from>
    <xdr:to>
      <xdr:col>11</xdr:col>
      <xdr:colOff>504826</xdr:colOff>
      <xdr:row>17</xdr:row>
      <xdr:rowOff>104773</xdr:rowOff>
    </xdr:to>
    <xdr:graphicFrame macro="">
      <xdr:nvGraphicFramePr>
        <xdr:cNvPr id="15" name="Chart 14">
          <a:extLst>
            <a:ext uri="{FF2B5EF4-FFF2-40B4-BE49-F238E27FC236}">
              <a16:creationId xmlns:a16="http://schemas.microsoft.com/office/drawing/2014/main" id="{AAD7DD1D-9C2E-47D7-B2AB-3A7136D696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504826</xdr:colOff>
      <xdr:row>12</xdr:row>
      <xdr:rowOff>28575</xdr:rowOff>
    </xdr:from>
    <xdr:to>
      <xdr:col>16</xdr:col>
      <xdr:colOff>66676</xdr:colOff>
      <xdr:row>17</xdr:row>
      <xdr:rowOff>104774</xdr:rowOff>
    </xdr:to>
    <mc:AlternateContent xmlns:mc="http://schemas.openxmlformats.org/markup-compatibility/2006">
      <mc:Choice xmlns:cx4="http://schemas.microsoft.com/office/drawing/2016/5/10/chartex" Requires="cx4">
        <xdr:graphicFrame macro="">
          <xdr:nvGraphicFramePr>
            <xdr:cNvPr id="17" name="Chart 16">
              <a:extLst>
                <a:ext uri="{FF2B5EF4-FFF2-40B4-BE49-F238E27FC236}">
                  <a16:creationId xmlns:a16="http://schemas.microsoft.com/office/drawing/2014/main" id="{E22B71DC-F2F8-4C43-8019-460C6C6373C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7210426" y="1971675"/>
              <a:ext cx="2609850" cy="885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11</xdr:col>
      <xdr:colOff>523875</xdr:colOff>
      <xdr:row>0</xdr:row>
      <xdr:rowOff>28575</xdr:rowOff>
    </xdr:from>
    <xdr:to>
      <xdr:col>16</xdr:col>
      <xdr:colOff>0</xdr:colOff>
      <xdr:row>3</xdr:row>
      <xdr:rowOff>76200</xdr:rowOff>
    </xdr:to>
    <mc:AlternateContent xmlns:mc="http://schemas.openxmlformats.org/markup-compatibility/2006" xmlns:a14="http://schemas.microsoft.com/office/drawing/2010/main">
      <mc:Choice Requires="a14">
        <xdr:graphicFrame macro="">
          <xdr:nvGraphicFramePr>
            <xdr:cNvPr id="27" name="Year 1">
              <a:extLst>
                <a:ext uri="{FF2B5EF4-FFF2-40B4-BE49-F238E27FC236}">
                  <a16:creationId xmlns:a16="http://schemas.microsoft.com/office/drawing/2014/main" id="{9E74B464-23A1-4919-8F3F-3DF335242E09}"/>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7229475" y="28575"/>
              <a:ext cx="2524125" cy="533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142875</xdr:colOff>
      <xdr:row>0</xdr:row>
      <xdr:rowOff>28575</xdr:rowOff>
    </xdr:from>
    <xdr:to>
      <xdr:col>11</xdr:col>
      <xdr:colOff>504825</xdr:colOff>
      <xdr:row>2</xdr:row>
      <xdr:rowOff>133350</xdr:rowOff>
    </xdr:to>
    <xdr:sp macro="" textlink="">
      <xdr:nvSpPr>
        <xdr:cNvPr id="31" name="Rectangle: Rounded Corners 30">
          <a:extLst>
            <a:ext uri="{FF2B5EF4-FFF2-40B4-BE49-F238E27FC236}">
              <a16:creationId xmlns:a16="http://schemas.microsoft.com/office/drawing/2014/main" id="{03F9E84B-BCD7-44EE-AEB3-F2DCACA25AE2}"/>
            </a:ext>
          </a:extLst>
        </xdr:cNvPr>
        <xdr:cNvSpPr/>
      </xdr:nvSpPr>
      <xdr:spPr>
        <a:xfrm>
          <a:off x="142875" y="28575"/>
          <a:ext cx="7067550" cy="428625"/>
        </a:xfrm>
        <a:prstGeom prst="roundRect">
          <a:avLst/>
        </a:prstGeom>
        <a:solidFill>
          <a:schemeClr val="accent2">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clientData/>
  </xdr:twoCellAnchor>
  <xdr:twoCellAnchor>
    <xdr:from>
      <xdr:col>0</xdr:col>
      <xdr:colOff>361950</xdr:colOff>
      <xdr:row>30</xdr:row>
      <xdr:rowOff>28575</xdr:rowOff>
    </xdr:from>
    <xdr:to>
      <xdr:col>16</xdr:col>
      <xdr:colOff>314325</xdr:colOff>
      <xdr:row>42</xdr:row>
      <xdr:rowOff>85725</xdr:rowOff>
    </xdr:to>
    <xdr:sp macro="" textlink="">
      <xdr:nvSpPr>
        <xdr:cNvPr id="33" name="Rectangle: Rounded Corners 32">
          <a:extLst>
            <a:ext uri="{FF2B5EF4-FFF2-40B4-BE49-F238E27FC236}">
              <a16:creationId xmlns:a16="http://schemas.microsoft.com/office/drawing/2014/main" id="{59691C9F-AD28-47E9-8DE2-7DBBFF384106}"/>
            </a:ext>
          </a:extLst>
        </xdr:cNvPr>
        <xdr:cNvSpPr/>
      </xdr:nvSpPr>
      <xdr:spPr>
        <a:xfrm>
          <a:off x="361950" y="4886325"/>
          <a:ext cx="9705975" cy="2000250"/>
        </a:xfrm>
        <a:prstGeom prst="roundRect">
          <a:avLst/>
        </a:prstGeom>
        <a:solidFill>
          <a:schemeClr val="accent2">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algn="l"/>
          <a:r>
            <a:rPr lang="en-US"/>
            <a:t>The</a:t>
          </a:r>
          <a:r>
            <a:rPr lang="en-US" baseline="0"/>
            <a:t> least profit was made from fasteners, supplies, labels, envelopes and art and i recommend that a win price game should be attached to the products to attract more customers and increase higher purchase.</a:t>
          </a:r>
        </a:p>
        <a:p>
          <a:endParaRPr lang="en-US" baseline="0"/>
        </a:p>
        <a:p>
          <a:r>
            <a:rPr lang="en-US" baseline="0"/>
            <a:t>I also recommend that the phones which had the highest sales and profit should be increased in quauntity for more sales and profit.</a:t>
          </a:r>
          <a:endParaRPr lang="en-US"/>
        </a:p>
      </xdr:txBody>
    </xdr:sp>
    <xdr:clientData/>
  </xdr:twoCellAnchor>
  <xdr:oneCellAnchor>
    <xdr:from>
      <xdr:col>1</xdr:col>
      <xdr:colOff>47625</xdr:colOff>
      <xdr:row>0</xdr:row>
      <xdr:rowOff>95250</xdr:rowOff>
    </xdr:from>
    <xdr:ext cx="8626556" cy="298800"/>
    <xdr:sp macro="" textlink="">
      <xdr:nvSpPr>
        <xdr:cNvPr id="4" name="Rectangle 3">
          <a:extLst>
            <a:ext uri="{FF2B5EF4-FFF2-40B4-BE49-F238E27FC236}">
              <a16:creationId xmlns:a16="http://schemas.microsoft.com/office/drawing/2014/main" id="{22A3390D-7FF1-4545-9BAF-B5E483104BE1}"/>
            </a:ext>
          </a:extLst>
        </xdr:cNvPr>
        <xdr:cNvSpPr/>
      </xdr:nvSpPr>
      <xdr:spPr>
        <a:xfrm>
          <a:off x="657225" y="95250"/>
          <a:ext cx="8626556" cy="298800"/>
        </a:xfrm>
        <a:prstGeom prst="rect">
          <a:avLst/>
        </a:prstGeom>
        <a:noFill/>
      </xdr:spPr>
      <xdr:txBody>
        <a:bodyPr wrap="square" lIns="91440" tIns="45720" rIns="91440" bIns="45720">
          <a:spAutoFit/>
          <a:scene3d>
            <a:camera prst="orthographicFront"/>
            <a:lightRig rig="harsh" dir="t"/>
          </a:scene3d>
          <a:sp3d extrusionH="57150" prstMaterial="matte">
            <a:bevelT w="63500" h="12700" prst="angle"/>
            <a:contourClr>
              <a:schemeClr val="bg1">
                <a:lumMod val="65000"/>
              </a:schemeClr>
            </a:contourClr>
          </a:sp3d>
        </a:bodyPr>
        <a:lstStyle/>
        <a:p>
          <a:pPr algn="ctr"/>
          <a:r>
            <a:rPr lang="en-US" sz="1400" b="1" cap="none" spc="0">
              <a:ln/>
              <a:solidFill>
                <a:schemeClr val="accent3"/>
              </a:solidFill>
              <a:effectLst/>
            </a:rPr>
            <a:t>SUPREME</a:t>
          </a:r>
          <a:r>
            <a:rPr lang="en-US" sz="1400" b="1" cap="none" spc="0" baseline="0">
              <a:ln/>
              <a:solidFill>
                <a:schemeClr val="accent3"/>
              </a:solidFill>
              <a:effectLst/>
            </a:rPr>
            <a:t> SUPERMARKET DASHBOARD</a:t>
          </a:r>
          <a:endParaRPr lang="en-US" sz="1400" b="1" cap="none" spc="0">
            <a:ln/>
            <a:solidFill>
              <a:schemeClr val="accent3"/>
            </a:solidFill>
            <a:effectLst/>
          </a:endParaRPr>
        </a:p>
      </xdr:txBody>
    </xdr:sp>
    <xdr:clientData/>
  </xdr:oneCellAnchor>
  <xdr:twoCellAnchor editAs="oneCell">
    <xdr:from>
      <xdr:col>4</xdr:col>
      <xdr:colOff>270429</xdr:colOff>
      <xdr:row>0</xdr:row>
      <xdr:rowOff>85724</xdr:rowOff>
    </xdr:from>
    <xdr:to>
      <xdr:col>5</xdr:col>
      <xdr:colOff>85724</xdr:colOff>
      <xdr:row>2</xdr:row>
      <xdr:rowOff>123824</xdr:rowOff>
    </xdr:to>
    <xdr:pic>
      <xdr:nvPicPr>
        <xdr:cNvPr id="34" name="Picture 33" descr="Supermarket Logo Stock Illustrations – 34,617 Supermarket ...">
          <a:extLst>
            <a:ext uri="{FF2B5EF4-FFF2-40B4-BE49-F238E27FC236}">
              <a16:creationId xmlns:a16="http://schemas.microsoft.com/office/drawing/2014/main" id="{79FC0CF7-0BAC-4FC9-A34D-59DFB14EFD3C}"/>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flipV="1">
          <a:off x="2708829" y="85724"/>
          <a:ext cx="424895" cy="3619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133350</xdr:colOff>
      <xdr:row>2</xdr:row>
      <xdr:rowOff>142875</xdr:rowOff>
    </xdr:from>
    <xdr:to>
      <xdr:col>1</xdr:col>
      <xdr:colOff>581025</xdr:colOff>
      <xdr:row>5</xdr:row>
      <xdr:rowOff>85725</xdr:rowOff>
    </xdr:to>
    <xdr:sp macro="" textlink="">
      <xdr:nvSpPr>
        <xdr:cNvPr id="14" name="Rectangle: Rounded Corners 13">
          <a:extLst>
            <a:ext uri="{FF2B5EF4-FFF2-40B4-BE49-F238E27FC236}">
              <a16:creationId xmlns:a16="http://schemas.microsoft.com/office/drawing/2014/main" id="{C24528F4-DAE0-4CF1-AC8F-F56CB05E64E5}"/>
            </a:ext>
          </a:extLst>
        </xdr:cNvPr>
        <xdr:cNvSpPr/>
      </xdr:nvSpPr>
      <xdr:spPr>
        <a:xfrm>
          <a:off x="133350" y="466725"/>
          <a:ext cx="1057275" cy="428625"/>
        </a:xfrm>
        <a:prstGeom prst="roundRect">
          <a:avLst/>
        </a:prstGeom>
        <a:solidFill>
          <a:schemeClr val="accent2">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r>
            <a:rPr lang="en-US"/>
            <a:t> $15,222</a:t>
          </a:r>
        </a:p>
      </xdr:txBody>
    </xdr:sp>
    <xdr:clientData/>
  </xdr:twoCellAnchor>
  <xdr:twoCellAnchor>
    <xdr:from>
      <xdr:col>1</xdr:col>
      <xdr:colOff>600074</xdr:colOff>
      <xdr:row>2</xdr:row>
      <xdr:rowOff>142875</xdr:rowOff>
    </xdr:from>
    <xdr:to>
      <xdr:col>3</xdr:col>
      <xdr:colOff>476249</xdr:colOff>
      <xdr:row>5</xdr:row>
      <xdr:rowOff>85725</xdr:rowOff>
    </xdr:to>
    <xdr:sp macro="" textlink="Kpis!A2">
      <xdr:nvSpPr>
        <xdr:cNvPr id="18" name="Rectangle: Rounded Corners 17">
          <a:extLst>
            <a:ext uri="{FF2B5EF4-FFF2-40B4-BE49-F238E27FC236}">
              <a16:creationId xmlns:a16="http://schemas.microsoft.com/office/drawing/2014/main" id="{BEB2C4FF-9929-40D1-BE70-0A02B8E39908}"/>
            </a:ext>
          </a:extLst>
        </xdr:cNvPr>
        <xdr:cNvSpPr/>
      </xdr:nvSpPr>
      <xdr:spPr>
        <a:xfrm>
          <a:off x="1209674" y="466725"/>
          <a:ext cx="1095375" cy="428625"/>
        </a:xfrm>
        <a:prstGeom prst="roundRect">
          <a:avLst/>
        </a:prstGeom>
        <a:solidFill>
          <a:schemeClr val="accent2">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r>
            <a:rPr lang="en-US"/>
            <a:t>$200,924</a:t>
          </a:r>
        </a:p>
      </xdr:txBody>
    </xdr:sp>
    <xdr:clientData/>
  </xdr:twoCellAnchor>
  <xdr:twoCellAnchor>
    <xdr:from>
      <xdr:col>3</xdr:col>
      <xdr:colOff>476251</xdr:colOff>
      <xdr:row>2</xdr:row>
      <xdr:rowOff>133350</xdr:rowOff>
    </xdr:from>
    <xdr:to>
      <xdr:col>5</xdr:col>
      <xdr:colOff>400051</xdr:colOff>
      <xdr:row>5</xdr:row>
      <xdr:rowOff>76200</xdr:rowOff>
    </xdr:to>
    <xdr:sp macro="" textlink="'kpi customer'!A2">
      <xdr:nvSpPr>
        <xdr:cNvPr id="20" name="Rectangle: Rounded Corners 19">
          <a:extLst>
            <a:ext uri="{FF2B5EF4-FFF2-40B4-BE49-F238E27FC236}">
              <a16:creationId xmlns:a16="http://schemas.microsoft.com/office/drawing/2014/main" id="{EA486281-87EC-4EA5-A643-0758EE7F170F}"/>
            </a:ext>
          </a:extLst>
        </xdr:cNvPr>
        <xdr:cNvSpPr/>
      </xdr:nvSpPr>
      <xdr:spPr>
        <a:xfrm>
          <a:off x="2305051" y="457200"/>
          <a:ext cx="1143000" cy="428625"/>
        </a:xfrm>
        <a:prstGeom prst="roundRect">
          <a:avLst/>
        </a:prstGeom>
        <a:solidFill>
          <a:schemeClr val="accent2">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r>
            <a:rPr lang="en-US"/>
            <a:t>668</a:t>
          </a:r>
        </a:p>
      </xdr:txBody>
    </xdr:sp>
    <xdr:clientData/>
  </xdr:twoCellAnchor>
  <xdr:twoCellAnchor>
    <xdr:from>
      <xdr:col>0</xdr:col>
      <xdr:colOff>161925</xdr:colOff>
      <xdr:row>4</xdr:row>
      <xdr:rowOff>133350</xdr:rowOff>
    </xdr:from>
    <xdr:to>
      <xdr:col>1</xdr:col>
      <xdr:colOff>285750</xdr:colOff>
      <xdr:row>6</xdr:row>
      <xdr:rowOff>28575</xdr:rowOff>
    </xdr:to>
    <xdr:sp macro="" textlink="">
      <xdr:nvSpPr>
        <xdr:cNvPr id="22" name="Rectangle: Rounded Corners 21">
          <a:extLst>
            <a:ext uri="{FF2B5EF4-FFF2-40B4-BE49-F238E27FC236}">
              <a16:creationId xmlns:a16="http://schemas.microsoft.com/office/drawing/2014/main" id="{4EC5982B-15A0-4138-BF48-7DC7FBF0AA24}"/>
            </a:ext>
          </a:extLst>
        </xdr:cNvPr>
        <xdr:cNvSpPr/>
      </xdr:nvSpPr>
      <xdr:spPr>
        <a:xfrm>
          <a:off x="161925" y="781050"/>
          <a:ext cx="733425" cy="219075"/>
        </a:xfrm>
        <a:prstGeom prst="roundRect">
          <a:avLst/>
        </a:prstGeom>
        <a:solidFill>
          <a:schemeClr val="accent3">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algn="l"/>
          <a:r>
            <a:rPr lang="en-US" sz="800" u="none"/>
            <a:t>Total</a:t>
          </a:r>
          <a:r>
            <a:rPr lang="en-US" sz="800" baseline="0"/>
            <a:t> sales</a:t>
          </a:r>
          <a:endParaRPr lang="en-US" sz="800"/>
        </a:p>
      </xdr:txBody>
    </xdr:sp>
    <xdr:clientData/>
  </xdr:twoCellAnchor>
  <xdr:twoCellAnchor>
    <xdr:from>
      <xdr:col>3</xdr:col>
      <xdr:colOff>609599</xdr:colOff>
      <xdr:row>4</xdr:row>
      <xdr:rowOff>133350</xdr:rowOff>
    </xdr:from>
    <xdr:to>
      <xdr:col>5</xdr:col>
      <xdr:colOff>66674</xdr:colOff>
      <xdr:row>6</xdr:row>
      <xdr:rowOff>19050</xdr:rowOff>
    </xdr:to>
    <xdr:sp macro="" textlink="">
      <xdr:nvSpPr>
        <xdr:cNvPr id="25" name="Rectangle: Rounded Corners 24">
          <a:extLst>
            <a:ext uri="{FF2B5EF4-FFF2-40B4-BE49-F238E27FC236}">
              <a16:creationId xmlns:a16="http://schemas.microsoft.com/office/drawing/2014/main" id="{B7CE1F86-6D09-45E2-85ED-229DF1905608}"/>
            </a:ext>
          </a:extLst>
        </xdr:cNvPr>
        <xdr:cNvSpPr/>
      </xdr:nvSpPr>
      <xdr:spPr>
        <a:xfrm>
          <a:off x="2438399" y="781050"/>
          <a:ext cx="676275" cy="209550"/>
        </a:xfrm>
        <a:prstGeom prst="roundRect">
          <a:avLst/>
        </a:prstGeom>
        <a:solidFill>
          <a:schemeClr val="accent3">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r>
            <a:rPr lang="en-US" sz="800"/>
            <a:t>Total</a:t>
          </a:r>
          <a:r>
            <a:rPr lang="en-US" sz="800" baseline="0"/>
            <a:t> customers</a:t>
          </a:r>
          <a:endParaRPr lang="en-US" sz="800"/>
        </a:p>
      </xdr:txBody>
    </xdr:sp>
    <xdr:clientData/>
  </xdr:twoCellAnchor>
  <xdr:twoCellAnchor>
    <xdr:from>
      <xdr:col>2</xdr:col>
      <xdr:colOff>95249</xdr:colOff>
      <xdr:row>4</xdr:row>
      <xdr:rowOff>114300</xdr:rowOff>
    </xdr:from>
    <xdr:to>
      <xdr:col>3</xdr:col>
      <xdr:colOff>190500</xdr:colOff>
      <xdr:row>6</xdr:row>
      <xdr:rowOff>9524</xdr:rowOff>
    </xdr:to>
    <xdr:sp macro="" textlink="">
      <xdr:nvSpPr>
        <xdr:cNvPr id="29" name="Rectangle: Rounded Corners 28">
          <a:extLst>
            <a:ext uri="{FF2B5EF4-FFF2-40B4-BE49-F238E27FC236}">
              <a16:creationId xmlns:a16="http://schemas.microsoft.com/office/drawing/2014/main" id="{A191C5B7-EB18-44C6-A259-8BB96C4AD467}"/>
            </a:ext>
          </a:extLst>
        </xdr:cNvPr>
        <xdr:cNvSpPr/>
      </xdr:nvSpPr>
      <xdr:spPr>
        <a:xfrm>
          <a:off x="1314449" y="762000"/>
          <a:ext cx="704851" cy="219074"/>
        </a:xfrm>
        <a:prstGeom prst="roundRect">
          <a:avLst/>
        </a:prstGeom>
        <a:solidFill>
          <a:schemeClr val="accent3">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r>
            <a:rPr lang="en-US" sz="800"/>
            <a:t>Total</a:t>
          </a:r>
          <a:r>
            <a:rPr lang="en-US" sz="800" baseline="0"/>
            <a:t> profit</a:t>
          </a:r>
          <a:endParaRPr lang="en-US" sz="800"/>
        </a:p>
      </xdr:txBody>
    </xdr:sp>
    <xdr:clientData/>
  </xdr:twoCellAnchor>
</xdr:wsD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27.809831828701" createdVersion="6" refreshedVersion="6" minRefreshableVersion="3" recordCount="668" xr:uid="{B3C40997-516E-4DD0-8E5D-DEA4903197AC}">
  <cacheSource type="worksheet">
    <worksheetSource name="Table2"/>
  </cacheSource>
  <cacheFields count="2">
    <cacheField name="Year" numFmtId="0">
      <sharedItems count="4">
        <s v="2014"/>
        <s v="2015"/>
        <s v="2016"/>
        <s v="2017"/>
      </sharedItems>
    </cacheField>
    <cacheField name="Customer name"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30.45181111111" createdVersion="6" refreshedVersion="6" minRefreshableVersion="3" recordCount="759" xr:uid="{851F7F0B-98BF-46C9-BC93-1063BC0394C3}">
  <cacheSource type="worksheet">
    <worksheetSource name="Table1"/>
  </cacheSource>
  <cacheFields count="11">
    <cacheField name="Order Date" numFmtId="164">
      <sharedItems containsSemiMixedTypes="0" containsNonDate="0" containsDate="1" containsString="0" minDate="2014-01-02T00:00:00" maxDate="2017-12-29T00:00:00"/>
    </cacheField>
    <cacheField name="Month" numFmtId="164">
      <sharedItems count="12">
        <s v="Jan"/>
        <s v="Feb"/>
        <s v="Mar"/>
        <s v="Apr"/>
        <s v="May"/>
        <s v="Jun"/>
        <s v="Jul"/>
        <s v="Aug"/>
        <s v="Sep"/>
        <s v="Oct"/>
        <s v="Nov"/>
        <s v="Dec"/>
      </sharedItems>
    </cacheField>
    <cacheField name="Year" numFmtId="164">
      <sharedItems count="4">
        <s v="2014"/>
        <s v="2015"/>
        <s v="2016"/>
        <s v="2017"/>
      </sharedItems>
    </cacheField>
    <cacheField name="Customer Name" numFmtId="0">
      <sharedItems count="498">
        <s v="Darren Powers"/>
        <s v="Phillina Ober"/>
        <s v="Mick Brown"/>
        <s v="Lycoris Saunders"/>
        <s v="Vivek Sundaresam"/>
        <s v="Melanie Seite"/>
        <s v="Anthony Jacobs"/>
        <s v="Seth Vernon"/>
        <s v="Chris Selesnick"/>
        <s v="Brendan Sweed"/>
        <s v="Erica Hackney"/>
        <s v="Delfina Latchford"/>
        <s v="David Wiener"/>
        <s v="Toby Swindell"/>
        <s v="Hunter Lopez"/>
        <s v="Tom Boeckenhauer"/>
        <s v="Ionia McGrath"/>
        <s v="Shirley Daniels"/>
        <s v="Ed Jacobs"/>
        <s v="Jasper Cacioppo"/>
        <s v="Mike Vittorini"/>
        <s v="Liz Carlisle"/>
        <s v="Bradley Drucker"/>
        <s v="Cynthia Delaney"/>
        <s v="Deborah Brumfield"/>
        <s v="Neil Ducich"/>
        <s v="Cyma Kinney"/>
        <s v="Nathan Mautz"/>
        <s v="Sanjit Chand"/>
        <s v="Shui Tom"/>
        <s v="Barry Französisch"/>
        <s v="Michael Nguyen"/>
        <s v="Troy Blackwell"/>
        <s v="Linda Cazamias"/>
        <s v="Tamara Manning"/>
        <s v="Michael Grace"/>
        <s v="Joy Smith"/>
        <s v="Dave Brooks"/>
        <s v="Clay Ludtke"/>
        <s v="Aimee Bixby"/>
        <s v="Aaron Bergman"/>
        <s v="Scott Williamson"/>
        <s v="Chloris Kastensmidt"/>
        <s v="Alan Shonely"/>
        <s v="Kristina Nunn"/>
        <s v="Bradley Nguyen"/>
        <s v="Sean Miller"/>
        <s v="Matt Connell"/>
        <s v="Cassandra Brandow"/>
        <s v="Craig Carroll"/>
        <s v="Patrick O'Donnell"/>
        <s v="Carlos Daly"/>
        <s v="Annie Zypern"/>
        <s v="Jonathan Doherty"/>
        <s v="Christina VanderZanden"/>
        <s v="Mike Gockenbach"/>
        <s v="Kunst Miller"/>
        <s v="Alex Avila"/>
        <s v="Rob Dowd"/>
        <s v="Paul Knutson"/>
        <s v="Tracy Hopkins"/>
        <s v="Guy Phonely"/>
        <s v="Pauline Johnson"/>
        <s v="Jim Mitchum"/>
        <s v="Jay Kimmel"/>
        <s v="Kean Nguyen"/>
        <s v="Paul Stevenson"/>
        <s v="John Lee"/>
        <s v="Nicole Fjeld"/>
        <s v="Theresa Swint"/>
        <s v="Dianna Arnett"/>
        <s v="Aleksandra Gannaway"/>
        <s v="Muhammed Yedwab"/>
        <s v="Lauren Leatherbury"/>
        <s v="Andrew Roberts"/>
        <s v="Joni Sundaresam"/>
        <s v="Paul MacIntyre"/>
        <s v="Peter Fuller"/>
        <s v="Harold Pawlan"/>
        <s v="Carol Triggs"/>
        <s v="Kean Thornton"/>
        <s v="Patrick Gardner"/>
        <s v="Arianne Irving"/>
        <s v="Paul Gonzalez"/>
        <s v="Alejandro Grove"/>
        <s v="Anthony Johnson"/>
        <s v="Pete Armstrong"/>
        <s v="Bruce Stewart"/>
        <s v="John Huston"/>
        <s v="Randy Ferguson"/>
        <s v="Mitch Willingham"/>
        <s v="Evan Henry"/>
        <s v="Resi Pölking"/>
        <s v="Janet Lee"/>
        <s v="Maya Herman"/>
        <s v="Patrick Jones"/>
        <s v="Ellis Ballard"/>
        <s v="Jim Karlsson"/>
        <s v="Christine Kargatis"/>
        <s v="Steven Cartwright"/>
        <s v="Mark Packer"/>
        <s v="Bryan Mills"/>
        <s v="Bart Pistole"/>
        <s v="Carlos Soltero"/>
        <s v="Brosina Hoffman"/>
        <s v="Heather Kirkland"/>
        <s v="Sharelle Roach"/>
        <s v="Kelly Lampkin"/>
        <s v="Duane Benoit"/>
        <s v="Mick Crebagga"/>
        <s v="Sam Craven"/>
        <s v="Naresj Patel"/>
        <s v="Joel Eaton"/>
        <s v="Brian Stugart"/>
        <s v="Liz Pelletier"/>
        <s v="Noel Staavos"/>
        <s v="Liz MacKendrick"/>
        <s v="Cynthia Arntzen"/>
        <s v="Dan Lawera"/>
        <s v="Helen Abelman"/>
        <s v="Dorris liebe"/>
        <s v="Eric Hoffmann"/>
        <s v="Katrina Edelman"/>
        <s v="Michael Chen"/>
        <s v="Emily Phan"/>
        <s v="Michelle Huthwaite"/>
        <s v="Alyssa Crouse"/>
        <s v="Grace Kelly"/>
        <s v="Arthur Wiediger"/>
        <s v="Victoria Wilson"/>
        <s v="Adrian Hane"/>
        <s v="Christine Abelman"/>
        <s v="Katherine Murray"/>
        <s v="Michelle Ellison"/>
        <s v="Erin Mull"/>
        <s v="Arthur Gainer"/>
        <s v="Ken Lonsdale"/>
        <s v="Carl Ludwig"/>
        <s v="Giulietta Weimer"/>
        <s v="Tom Stivers"/>
        <s v="Barbara Fisher"/>
        <s v="Nick Zandusky"/>
        <s v="Valerie Dominguez"/>
        <s v="Chad Sievert"/>
        <s v="Roland Fjeld"/>
        <s v="Lena Radford"/>
        <s v="Andy Gerbode"/>
        <s v="Charles Sheldon"/>
        <s v="Keith Herrera"/>
        <s v="Troy Staebel"/>
        <s v="Ken Black"/>
        <s v="Craig Reiter"/>
        <s v="Deanra Eno"/>
        <s v="Rick Hansen"/>
        <s v="Robert Barroso"/>
        <s v="Zuschuss Donatelli"/>
        <s v="Hilary Holden"/>
        <s v="Annie Thurman"/>
        <s v="Shirley Jackson"/>
        <s v="Larry Tron"/>
        <s v="Justin MacKendrick"/>
        <s v="Allen Goldenen"/>
        <s v="Sean Braxton"/>
        <s v="Maribeth Schnelling"/>
        <s v="Liz Willingham"/>
        <s v="Erin Ashbrook"/>
        <s v="Jennifer Braxton"/>
        <s v="Monica Federle"/>
        <s v="Anthony Garverick"/>
        <s v="Philip Fox"/>
        <s v="Jack Garza"/>
        <s v="Julia Dunbar"/>
        <s v="Michelle Tran"/>
        <s v="Thomas Seio"/>
        <s v="George Zrebassa"/>
        <s v="Arthur Prichep"/>
        <s v="Russell Applegate"/>
        <s v="Erin Smith"/>
        <s v="David Flashing"/>
        <s v="Brian Derr"/>
        <s v="Xylona Preis"/>
        <s v="Tanja Norvell"/>
        <s v="Jill Fjeld"/>
        <s v="Zuschuss Carroll"/>
        <s v="Jim Epp"/>
        <s v="Lynn Smith"/>
        <s v="Alan Schoenberger"/>
        <s v="Jeremy Farry"/>
        <s v="Maureen Gastineau"/>
        <s v="Aaron Hawkins"/>
        <s v="Angele Hood"/>
        <s v="Todd Sumrall"/>
        <s v="Sue Ann Reed"/>
        <s v="Roger Demir"/>
        <s v="Maxwell Schwartz"/>
        <s v="George Ashbrook"/>
        <s v="Tamara Chand"/>
        <s v="Emily Burns"/>
        <s v="Ruben Dartt"/>
        <s v="Pete Kriz"/>
        <s v="Roy Französisch"/>
        <s v="Maris LaWare"/>
        <s v="Jamie Frazer"/>
        <s v="Rick Huthwaite"/>
        <s v="Pierre Wener"/>
        <s v="Robert Marley"/>
        <s v="Katharine Harms"/>
        <s v="Ruben Ausman"/>
        <s v="Nathan Gelder"/>
        <s v="Bart Folk"/>
        <s v="Corey-Lock"/>
        <s v="Jeremy Lonsdale"/>
        <s v="Cathy Prescott"/>
        <s v="Luke Foster"/>
        <s v="Patrick O'Brill"/>
        <s v="Thomas Boland"/>
        <s v="Nora Preis"/>
        <s v="Katherine Ducich"/>
        <s v="Mike Kennedy"/>
        <s v="Gary McGarr"/>
        <s v="Khloe Miller"/>
        <s v="Sarah Foster"/>
        <s v="Sung Pak"/>
        <s v="Debra Catini"/>
        <s v="Ken Brennan"/>
        <s v="Pamela Coakley"/>
        <s v="Steven Roelle"/>
        <s v="Yana Sorensen"/>
        <s v="Philip Brown"/>
        <s v="Carl Weiss"/>
        <s v="Elizabeth Moffitt"/>
        <s v="Joseph Holt"/>
        <s v="Jeremy Pistek"/>
        <s v="Karl Braun"/>
        <s v="Allen Armold"/>
        <s v="Damala Kotsonis"/>
        <s v="Lisa Hazard"/>
        <s v="Michael Stewart"/>
        <s v="Nona Balk"/>
        <s v="Roy Phan"/>
        <s v="Ann Blume"/>
        <s v="Penelope Sewall"/>
        <s v="Lindsay Castell"/>
        <s v="Dave Kipp"/>
        <s v="John Lucas"/>
        <s v="Eugene Moren"/>
        <s v="Edward Becker"/>
        <s v="Marc Crier"/>
        <s v="Karen Seio"/>
        <s v="Christopher Martinez"/>
        <s v="Harold Ryan"/>
        <s v="Jesus Ocampo"/>
        <s v="Bart Watters"/>
        <s v="Julia West"/>
        <s v="Dean Braden"/>
        <s v="Dennis Pardue"/>
        <s v="Benjamin Venier"/>
        <s v="Mark Van Huff"/>
        <s v="Alan Barnes"/>
        <s v="Sara Luxemburg"/>
        <s v="Scott Cohen"/>
        <s v="Michael Oakman"/>
        <s v="Greg Guthrie"/>
        <s v="Robert Dilbeck"/>
        <s v="Theone Pippenger"/>
        <s v="Juliana Krohn"/>
        <s v="Jill Stevenson"/>
        <s v="Jim Kriz"/>
        <s v="Noah Childs"/>
        <s v="Anna Gayman"/>
        <s v="Claudia Bergmann"/>
        <s v="Max Engle"/>
        <s v="Cindy Stewart"/>
        <s v="Anna Häberlin"/>
        <s v="Sheri Gordon"/>
        <s v="Sarah Brown"/>
        <s v="Justin Hirsh"/>
        <s v="Neil Knudson"/>
        <s v="Edward Nazzal"/>
        <s v="Stephanie Phelps"/>
        <s v="Eleni McCrary"/>
        <s v="Brian Dahlen"/>
        <s v="Jennifer Jackson"/>
        <s v="Alan Dominguez"/>
        <s v="Logan Haushalter"/>
        <s v="Stewart Carmichael"/>
        <s v="Rick Duston"/>
        <s v="Cathy Hwang"/>
        <s v="Laura Armstrong"/>
        <s v="Richard Bierner"/>
        <s v="Bruce Degenhardt"/>
        <s v="Irene Maddox"/>
        <s v="Kalyca Meade"/>
        <s v="Clytie Kelty"/>
        <s v="Natalie DeCherney"/>
        <s v="Toby Gnade"/>
        <s v="Jessica Myrick"/>
        <s v="Thais Sissman"/>
        <s v="Ralph Kennedy"/>
        <s v="Ross Baird"/>
        <s v="Pauline Chand"/>
        <s v="Thomas Thornton"/>
        <s v="David Smith"/>
        <s v="Odella Nelson"/>
        <s v="Tim Taslimi"/>
        <s v="John Murray"/>
        <s v="Shaun Chance"/>
        <s v="Dave Poirier"/>
        <s v="Tamara Dahlen"/>
        <s v="Chad Cunningham"/>
        <s v="Doug Bickford"/>
        <s v="Julie Creighton"/>
        <s v="Christine Sundaresam"/>
        <s v="Neoma Murray"/>
        <s v="Charles Crestani"/>
        <s v="Christina Anderson"/>
        <s v="Tracy Blumstein"/>
        <s v="Trudy Glocke"/>
        <s v="Stuart Van"/>
        <s v="Ed Braxton"/>
        <s v="Denny Joy"/>
        <s v="Joel Jenkins"/>
        <s v="Charlotte Melton"/>
        <s v="Liz Thompson"/>
        <s v="Maribeth Yedwab"/>
        <s v="Jas O'Carroll"/>
        <s v="Corinna Mitchell"/>
        <s v="George Bell"/>
        <s v="Karen Bern"/>
        <s v="Andrew Gjertsen"/>
        <s v="Lena Cacioppo"/>
        <s v="Philisse Overcash"/>
        <s v="Greg Hansen"/>
        <s v="Victoria Brennan"/>
        <s v="Denny Ordway"/>
        <s v="Dan Reichenbach"/>
        <s v="Sylvia Foulston"/>
        <s v="William Brown"/>
        <s v="Logan Currie"/>
        <s v="Dean Katz"/>
        <s v="Ritsa Hightower"/>
        <s v="Darren Koutras"/>
        <s v="Tonja Turnell"/>
        <s v="Keith Dawkins"/>
        <s v="John Stevenson"/>
        <s v="Joni Blumstein"/>
        <s v="Justin Deggeller"/>
        <s v="Steve Nguyen"/>
        <s v="Brendan Murry"/>
        <s v="Dianna Wilson"/>
        <s v="Jack O'Briant"/>
        <s v="Dean percer"/>
        <s v="Chuck Clark"/>
        <s v="Christy Brittain"/>
        <s v="Henry Goldwyn"/>
        <s v="Todd Boyes"/>
        <s v="Sample Company A"/>
        <s v="Adrian Barton"/>
        <s v="Alan Hwang"/>
        <s v="Matthew Clasen"/>
        <s v="Paul Van Hugh"/>
        <s v="Michael Granlund"/>
        <s v="Julia Barnett"/>
        <s v="Caroline Jumper"/>
        <s v="Tamara Willingham"/>
        <s v="Henia Zydlo"/>
        <s v="Paul Lucas"/>
        <s v="Rose O'Brian"/>
        <s v="Bobby Trafton"/>
        <s v="Kean Takahito"/>
        <s v="Toby Braunhardt"/>
        <s v="Aaron Smayling"/>
        <s v="Maria Etezadi"/>
        <s v="Gary Mitchum"/>
        <s v="Valerie Mitchum"/>
        <s v="Yoseph Carroll"/>
        <s v="Justin Ritter"/>
        <s v="Ben Ferrer"/>
        <s v="Clay Rozendal"/>
        <s v="Sibella Parks"/>
        <s v="Cathy Armstrong"/>
        <s v="Dennis Bolton"/>
        <s v="Bryan Davis"/>
        <s v="Brad Eason"/>
        <s v="Sonia Sunley"/>
        <s v="Eric Barreto"/>
        <s v="Laurel Elliston"/>
        <s v="Rick Bensley"/>
        <s v="Lisa DeCherney"/>
        <s v="Rob Lucas"/>
        <s v="Beth Paige"/>
        <s v="Christine Phan"/>
        <s v="Karen Daniels"/>
        <s v="Roy Collins"/>
        <s v="Olvera Toch"/>
        <s v="Mary Zewe"/>
        <s v="Bill Donatelli"/>
        <s v="Lena Hernandez"/>
        <s v="John Grady"/>
        <s v="Jay Fein"/>
        <s v="Anna Andreadi"/>
        <s v="Steve Chapman"/>
        <s v="Scot Coram"/>
        <s v="Kristen Hastings"/>
        <s v="Dionis Lloyd"/>
        <s v="Alex Grayson"/>
        <s v="Max Ludwig"/>
        <s v="Maureen Fritzler"/>
        <s v="Dorothy Wardle"/>
        <s v="Helen Andreada"/>
        <s v="Jill Matthias"/>
        <s v="Helen Wasserman"/>
        <s v="Stephanie Ulpright"/>
        <s v="Adam Bellavance"/>
        <s v="Parhena Norris"/>
        <s v="Kelly Collister"/>
        <s v="Ben Peterman"/>
        <s v="Henry MacAllister"/>
        <s v="Eugene Hildebrand"/>
        <s v="Greg Maxwell"/>
        <s v="Natalie Fritzler"/>
        <s v="Harry Marie"/>
        <s v="Linda Southworth"/>
        <s v="Tim Brockman"/>
        <s v="Patrick Bzostek"/>
        <s v="Christopher Schild"/>
        <s v="Max Jones"/>
        <s v="Claire Gute"/>
        <s v="Maurice Satty"/>
        <s v="Frank Merwin"/>
        <s v="Luke Schmidt"/>
        <s v="Heather Jas"/>
        <s v="Nick Crebassa"/>
        <s v="Gary Zandusky"/>
        <s v="Becky Martin"/>
        <s v="Gene Hale"/>
        <s v="Janet Molinari"/>
        <s v="Craig Carreira"/>
        <s v="Charles McCrossin"/>
        <s v="Alan Haines"/>
        <s v="Frank Preis"/>
        <s v="Guy Armstrong"/>
        <s v="Ricardo Sperren"/>
        <s v="Robert Waldorf"/>
        <s v="Darrin Sayre"/>
        <s v="Julie Kriz"/>
        <s v="Cynthia Voltz"/>
        <s v="Nicole Hansen"/>
        <s v="Liz Preis"/>
        <s v="Roland Murray"/>
        <s v="Mick Hernandez"/>
        <s v="Karen Ferguson"/>
        <s v="Catherine Glotzbach"/>
        <s v="Bill Eplett"/>
        <s v="Brian Moss"/>
        <s v="Tony Molinari"/>
        <s v="Katherine Hughes"/>
        <s v="Bryan Spruell"/>
        <s v="Luke Weiss"/>
        <s v="Sally Knutson"/>
        <s v="Filia McAdams"/>
        <s v="Nat Carroll"/>
        <s v="Kimberly Carter"/>
        <s v="Lindsay Williams"/>
        <s v="Gary Hansen"/>
        <s v="Dianna Vittorini"/>
        <s v="Clay Cheatham"/>
        <s v="Allen Rosenblatt"/>
        <s v="Dan Campbell"/>
        <s v="Victor Preis"/>
        <s v="Chuck Sachs"/>
        <s v="Cari Schnelling"/>
        <s v="Mark Hamilton"/>
        <s v="Raymond Buch"/>
        <s v="Matt Hagelstein"/>
        <s v="Fred McMath"/>
        <s v="Nat Gilpin"/>
        <s v="Speros Goranitis"/>
        <s v="Brenda Bowman"/>
        <s v="Barry Blumstein"/>
        <s v="Sanjit Jacobs"/>
        <s v="Ken Heidel"/>
        <s v="Amy Cox"/>
        <s v="Evan Bailliet"/>
        <s v="Scot Wooten"/>
        <s v="Frank Gastineau"/>
        <s v="Saphhira Shifley"/>
        <s v="Patricia Hirasaki"/>
        <s v="Tom Ashbrook"/>
        <s v="Grant Thornton"/>
        <s v="Roger Barcio"/>
        <s v="Dana Kaydos"/>
        <s v="Jonathan Howell"/>
        <s v="Janet Martin"/>
        <s v="Ted Trevino"/>
        <s v="Mike Pelletier"/>
        <s v="Michael Moore"/>
        <s v="Sandra Glassco"/>
      </sharedItems>
    </cacheField>
    <cacheField name="State" numFmtId="0">
      <sharedItems count="45">
        <s v="Texas"/>
        <s v="Illinois"/>
        <s v="Pennsylvania"/>
        <s v="California"/>
        <s v="Virginia"/>
        <s v="Delaware"/>
        <s v="Louisiana"/>
        <s v="Georgia"/>
        <s v="Oregon"/>
        <s v="Arizona"/>
        <s v="Arkansas"/>
        <s v="Florida"/>
        <s v="Nevada"/>
        <s v="New York"/>
        <s v="Michigan"/>
        <s v="Wisconsin"/>
        <s v="Washington"/>
        <s v="New Jersey"/>
        <s v="Indiana"/>
        <s v="Ohio"/>
        <s v="South Carolina"/>
        <s v="North Carolina"/>
        <s v="Minnesota"/>
        <s v="Iowa"/>
        <s v="Alabama"/>
        <s v="Maryland"/>
        <s v="Mississippi"/>
        <s v="Kentucky"/>
        <s v="Massachusetts"/>
        <s v="Utah"/>
        <s v="New Hampshire"/>
        <s v="Colorado"/>
        <s v="South Dakota"/>
        <s v="Connecticut"/>
        <s v="Missouri"/>
        <s v="Montana"/>
        <s v="New Mexico"/>
        <s v="Tennessee"/>
        <s v="Kansas"/>
        <s v="Oklahoma"/>
        <s v="Nebraska"/>
        <s v="Vermont"/>
        <s v="North Dakota"/>
        <s v="Idaho"/>
        <s v="Rhode Island"/>
      </sharedItems>
    </cacheField>
    <cacheField name="Category" numFmtId="0">
      <sharedItems count="3">
        <s v="Office Supplies"/>
        <s v="Furniture"/>
        <s v="Technology"/>
      </sharedItems>
    </cacheField>
    <cacheField name="Sub-Category" numFmtId="0">
      <sharedItems count="17">
        <s v="Paper"/>
        <s v="Labels"/>
        <s v="Art"/>
        <s v="Furnishings"/>
        <s v="Envelopes"/>
        <s v="Bookcases"/>
        <s v="Accessories"/>
        <s v="Appliances"/>
        <s v="Binders"/>
        <s v="Phones"/>
        <s v="Storage"/>
        <s v="Fasteners"/>
        <s v="Chairs"/>
        <s v="Machines"/>
        <s v="Tables"/>
        <s v="Copiers"/>
        <s v="Supplies"/>
      </sharedItems>
    </cacheField>
    <cacheField name="Product Name" numFmtId="0">
      <sharedItems/>
    </cacheField>
    <cacheField name="Sales" numFmtId="0">
      <sharedItems containsSemiMixedTypes="0" containsString="0" containsNumber="1" minValue="1.08" maxValue="11199.97"/>
    </cacheField>
    <cacheField name="Quantity" numFmtId="0">
      <sharedItems containsSemiMixedTypes="0" containsString="0" containsNumber="1" containsInteger="1" minValue="1" maxValue="14"/>
    </cacheField>
    <cacheField name="Profit" numFmtId="0">
      <sharedItems containsSemiMixedTypes="0" containsString="0" containsNumber="1" minValue="-3839.99" maxValue="3919.99"/>
    </cacheField>
  </cacheFields>
  <extLst>
    <ext xmlns:x14="http://schemas.microsoft.com/office/spreadsheetml/2009/9/main" uri="{725AE2AE-9491-48be-B2B4-4EB974FC3084}">
      <x14:pivotCacheDefinition pivotCacheId="206515879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8">
  <r>
    <x v="0"/>
    <s v="Phillina Ober"/>
  </r>
  <r>
    <x v="0"/>
    <s v="Mick Brown"/>
  </r>
  <r>
    <x v="0"/>
    <s v="Lycoris Saunders"/>
  </r>
  <r>
    <x v="0"/>
    <s v="Vivek Sundaresam"/>
  </r>
  <r>
    <x v="0"/>
    <s v="Melanie Seite"/>
  </r>
  <r>
    <x v="0"/>
    <s v="Anthony Jacobs"/>
  </r>
  <r>
    <x v="0"/>
    <s v="Seth Vernon"/>
  </r>
  <r>
    <x v="0"/>
    <s v="Chris Selesnick"/>
  </r>
  <r>
    <x v="0"/>
    <s v="Brendan Sweed"/>
  </r>
  <r>
    <x v="0"/>
    <s v="Erica Hackney"/>
  </r>
  <r>
    <x v="0"/>
    <s v="Delfina Latchford"/>
  </r>
  <r>
    <x v="0"/>
    <s v="David Wiener"/>
  </r>
  <r>
    <x v="0"/>
    <s v="Toby Swindell"/>
  </r>
  <r>
    <x v="0"/>
    <s v="Hunter Lopez"/>
  </r>
  <r>
    <x v="0"/>
    <s v="Tom Boeckenhauer"/>
  </r>
  <r>
    <x v="0"/>
    <s v="Ionia McGrath"/>
  </r>
  <r>
    <x v="0"/>
    <s v="Shirley Daniels"/>
  </r>
  <r>
    <x v="0"/>
    <s v="Ed Jacobs"/>
  </r>
  <r>
    <x v="0"/>
    <s v="Jasper Cacioppo"/>
  </r>
  <r>
    <x v="0"/>
    <s v="Mike Vittorini"/>
  </r>
  <r>
    <x v="0"/>
    <s v="Liz Carlisle"/>
  </r>
  <r>
    <x v="0"/>
    <s v="Bradley Drucker"/>
  </r>
  <r>
    <x v="0"/>
    <s v="Cynthia Delaney"/>
  </r>
  <r>
    <x v="0"/>
    <s v="Deborah Brumfield"/>
  </r>
  <r>
    <x v="0"/>
    <s v="Neil Ducich"/>
  </r>
  <r>
    <x v="0"/>
    <s v="Cyma Kinney"/>
  </r>
  <r>
    <x v="0"/>
    <s v="Nathan Mautz"/>
  </r>
  <r>
    <x v="0"/>
    <s v="Sanjit Chand"/>
  </r>
  <r>
    <x v="0"/>
    <s v="Shui Tom"/>
  </r>
  <r>
    <x v="0"/>
    <s v="Barry Französisch"/>
  </r>
  <r>
    <x v="0"/>
    <s v="Michael Nguyen"/>
  </r>
  <r>
    <x v="0"/>
    <s v="Troy Blackwell"/>
  </r>
  <r>
    <x v="0"/>
    <s v="Linda Cazamias"/>
  </r>
  <r>
    <x v="0"/>
    <s v="Tamara Manning"/>
  </r>
  <r>
    <x v="0"/>
    <s v="Michael Grace"/>
  </r>
  <r>
    <x v="0"/>
    <s v="Joy Smith"/>
  </r>
  <r>
    <x v="0"/>
    <s v="Dave Brooks"/>
  </r>
  <r>
    <x v="0"/>
    <s v="Clay Ludtke"/>
  </r>
  <r>
    <x v="0"/>
    <s v="Aimee Bixby"/>
  </r>
  <r>
    <x v="0"/>
    <s v="Aaron Bergman"/>
  </r>
  <r>
    <x v="0"/>
    <s v="Scott Williamson"/>
  </r>
  <r>
    <x v="0"/>
    <s v="Chloris Kastensmidt"/>
  </r>
  <r>
    <x v="0"/>
    <s v="Alan Shonely"/>
  </r>
  <r>
    <x v="0"/>
    <s v="Kristina Nunn"/>
  </r>
  <r>
    <x v="0"/>
    <s v="Bradley Nguyen"/>
  </r>
  <r>
    <x v="0"/>
    <s v="Sean Miller"/>
  </r>
  <r>
    <x v="0"/>
    <s v="Matt Connell"/>
  </r>
  <r>
    <x v="0"/>
    <s v="Cassandra Brandow"/>
  </r>
  <r>
    <x v="0"/>
    <s v="Craig Carroll"/>
  </r>
  <r>
    <x v="0"/>
    <s v="Patrick O'Donnell"/>
  </r>
  <r>
    <x v="0"/>
    <s v="Carlos Daly"/>
  </r>
  <r>
    <x v="0"/>
    <s v="Annie Zypern"/>
  </r>
  <r>
    <x v="0"/>
    <s v="Jonathan Doherty"/>
  </r>
  <r>
    <x v="0"/>
    <s v="Christina VanderZanden"/>
  </r>
  <r>
    <x v="0"/>
    <s v="Mike Gockenbach"/>
  </r>
  <r>
    <x v="0"/>
    <s v="Kunst Miller"/>
  </r>
  <r>
    <x v="0"/>
    <s v="Alex Avila"/>
  </r>
  <r>
    <x v="0"/>
    <s v="Rob Dowd"/>
  </r>
  <r>
    <x v="0"/>
    <s v="Paul Knutson"/>
  </r>
  <r>
    <x v="0"/>
    <s v="Tracy Hopkins"/>
  </r>
  <r>
    <x v="0"/>
    <s v="Guy Phonely"/>
  </r>
  <r>
    <x v="0"/>
    <s v="Pauline Johnson"/>
  </r>
  <r>
    <x v="0"/>
    <s v="Jim Mitchum"/>
  </r>
  <r>
    <x v="0"/>
    <s v="Jay Kimmel"/>
  </r>
  <r>
    <x v="0"/>
    <s v="Kean Nguyen"/>
  </r>
  <r>
    <x v="0"/>
    <s v="Paul Stevenson"/>
  </r>
  <r>
    <x v="0"/>
    <s v="John Lee"/>
  </r>
  <r>
    <x v="0"/>
    <s v="Nicole Fjeld"/>
  </r>
  <r>
    <x v="0"/>
    <s v="Theresa Swint"/>
  </r>
  <r>
    <x v="0"/>
    <s v="Dianna Arnett"/>
  </r>
  <r>
    <x v="0"/>
    <s v="Aleksandra Gannaway"/>
  </r>
  <r>
    <x v="0"/>
    <s v="Muhammed Yedwab"/>
  </r>
  <r>
    <x v="0"/>
    <s v="Lauren Leatherbury"/>
  </r>
  <r>
    <x v="0"/>
    <s v="Andrew Roberts"/>
  </r>
  <r>
    <x v="0"/>
    <s v="Joni Sundaresam"/>
  </r>
  <r>
    <x v="0"/>
    <s v="Paul MacIntyre"/>
  </r>
  <r>
    <x v="0"/>
    <s v="Peter Fuller"/>
  </r>
  <r>
    <x v="0"/>
    <s v="Harold Pawlan"/>
  </r>
  <r>
    <x v="0"/>
    <s v="Carol Triggs"/>
  </r>
  <r>
    <x v="0"/>
    <s v="Kean Thornton"/>
  </r>
  <r>
    <x v="0"/>
    <s v="Patrick Gardner"/>
  </r>
  <r>
    <x v="0"/>
    <s v="Arianne Irving"/>
  </r>
  <r>
    <x v="0"/>
    <s v="Paul Gonzalez"/>
  </r>
  <r>
    <x v="0"/>
    <s v="Alejandro Grove"/>
  </r>
  <r>
    <x v="0"/>
    <s v="Anthony Johnson"/>
  </r>
  <r>
    <x v="0"/>
    <s v="Pete Armstrong"/>
  </r>
  <r>
    <x v="0"/>
    <s v="Bruce Stewart"/>
  </r>
  <r>
    <x v="0"/>
    <s v="John Huston"/>
  </r>
  <r>
    <x v="0"/>
    <s v="Randy Ferguson"/>
  </r>
  <r>
    <x v="0"/>
    <s v="Mitch Willingham"/>
  </r>
  <r>
    <x v="0"/>
    <s v="Evan Henry"/>
  </r>
  <r>
    <x v="0"/>
    <s v="Resi Pölking"/>
  </r>
  <r>
    <x v="1"/>
    <s v="Janet Lee"/>
  </r>
  <r>
    <x v="1"/>
    <s v="Maya Herman"/>
  </r>
  <r>
    <x v="1"/>
    <s v="Patrick Jones"/>
  </r>
  <r>
    <x v="1"/>
    <s v="Ellis Ballard"/>
  </r>
  <r>
    <x v="1"/>
    <s v="Jim Karlsson"/>
  </r>
  <r>
    <x v="1"/>
    <s v="Christine Kargatis"/>
  </r>
  <r>
    <x v="1"/>
    <s v="Steven Cartwright"/>
  </r>
  <r>
    <x v="1"/>
    <s v="Mark Packer"/>
  </r>
  <r>
    <x v="1"/>
    <s v="Bryan Mills"/>
  </r>
  <r>
    <x v="1"/>
    <s v="Bart Pistole"/>
  </r>
  <r>
    <x v="1"/>
    <s v="Carlos Soltero"/>
  </r>
  <r>
    <x v="1"/>
    <s v="Brosina Hoffman"/>
  </r>
  <r>
    <x v="1"/>
    <s v="Heather Kirkland"/>
  </r>
  <r>
    <x v="1"/>
    <s v="Sharelle Roach"/>
  </r>
  <r>
    <x v="1"/>
    <s v="Kelly Lampkin"/>
  </r>
  <r>
    <x v="1"/>
    <s v="Duane Benoit"/>
  </r>
  <r>
    <x v="1"/>
    <s v="Mick Crebagga"/>
  </r>
  <r>
    <x v="1"/>
    <s v="Sam Craven"/>
  </r>
  <r>
    <x v="1"/>
    <s v="Naresj Patel"/>
  </r>
  <r>
    <x v="1"/>
    <s v="Joel Eaton"/>
  </r>
  <r>
    <x v="1"/>
    <s v="Brian Stugart"/>
  </r>
  <r>
    <x v="1"/>
    <s v="Liz Pelletier"/>
  </r>
  <r>
    <x v="1"/>
    <s v="Noel Staavos"/>
  </r>
  <r>
    <x v="1"/>
    <s v="Liz MacKendrick"/>
  </r>
  <r>
    <x v="1"/>
    <s v="Cynthia Arntzen"/>
  </r>
  <r>
    <x v="1"/>
    <s v="Dan Lawera"/>
  </r>
  <r>
    <x v="1"/>
    <s v="Helen Abelman"/>
  </r>
  <r>
    <x v="1"/>
    <s v="Dorris liebe"/>
  </r>
  <r>
    <x v="1"/>
    <s v="Eric Hoffmann"/>
  </r>
  <r>
    <x v="1"/>
    <s v="Katrina Edelman"/>
  </r>
  <r>
    <x v="1"/>
    <s v="Michael Chen"/>
  </r>
  <r>
    <x v="1"/>
    <s v="Emily Phan"/>
  </r>
  <r>
    <x v="1"/>
    <s v="John Lee"/>
  </r>
  <r>
    <x v="1"/>
    <s v="Michelle Huthwaite"/>
  </r>
  <r>
    <x v="1"/>
    <s v="Alyssa Crouse"/>
  </r>
  <r>
    <x v="1"/>
    <s v="Grace Kelly"/>
  </r>
  <r>
    <x v="1"/>
    <s v="Arthur Wiediger"/>
  </r>
  <r>
    <x v="1"/>
    <s v="Victoria Wilson"/>
  </r>
  <r>
    <x v="1"/>
    <s v="Adrian Hane"/>
  </r>
  <r>
    <x v="1"/>
    <s v="Christine Abelman"/>
  </r>
  <r>
    <x v="1"/>
    <s v="Katherine Murray"/>
  </r>
  <r>
    <x v="1"/>
    <s v="Michelle Ellison"/>
  </r>
  <r>
    <x v="1"/>
    <s v="Erin Mull"/>
  </r>
  <r>
    <x v="1"/>
    <s v="Arthur Gainer"/>
  </r>
  <r>
    <x v="1"/>
    <s v="Ken Lonsdale"/>
  </r>
  <r>
    <x v="1"/>
    <s v="Carl Ludwig"/>
  </r>
  <r>
    <x v="1"/>
    <s v="Giulietta Weimer"/>
  </r>
  <r>
    <x v="1"/>
    <s v="Chloris Kastensmidt"/>
  </r>
  <r>
    <x v="1"/>
    <s v="Tom Stivers"/>
  </r>
  <r>
    <x v="1"/>
    <s v="Barbara Fisher"/>
  </r>
  <r>
    <x v="1"/>
    <s v="Nick Zandusky"/>
  </r>
  <r>
    <x v="1"/>
    <s v="Bruce Stewart"/>
  </r>
  <r>
    <x v="1"/>
    <s v="Valerie Dominguez"/>
  </r>
  <r>
    <x v="1"/>
    <s v="Chad Sievert"/>
  </r>
  <r>
    <x v="1"/>
    <s v="Roland Fjeld"/>
  </r>
  <r>
    <x v="1"/>
    <s v="Lena Radford"/>
  </r>
  <r>
    <x v="1"/>
    <s v="Andy Gerbode"/>
  </r>
  <r>
    <x v="1"/>
    <s v="Charles Sheldon"/>
  </r>
  <r>
    <x v="1"/>
    <s v="Keith Herrera"/>
  </r>
  <r>
    <x v="1"/>
    <s v="Troy Staebel"/>
  </r>
  <r>
    <x v="1"/>
    <s v="Ken Black"/>
  </r>
  <r>
    <x v="1"/>
    <s v="Craig Reiter"/>
  </r>
  <r>
    <x v="1"/>
    <s v="Deanra Eno"/>
  </r>
  <r>
    <x v="1"/>
    <s v="Rick Hansen"/>
  </r>
  <r>
    <x v="1"/>
    <s v="Robert Barroso"/>
  </r>
  <r>
    <x v="1"/>
    <s v="Zuschuss Donatelli"/>
  </r>
  <r>
    <x v="1"/>
    <s v="Hilary Holden"/>
  </r>
  <r>
    <x v="1"/>
    <s v="Annie Thurman"/>
  </r>
  <r>
    <x v="1"/>
    <s v="Shirley Jackson"/>
  </r>
  <r>
    <x v="1"/>
    <s v="Larry Tron"/>
  </r>
  <r>
    <x v="1"/>
    <s v="Justin MacKendrick"/>
  </r>
  <r>
    <x v="1"/>
    <s v="Allen Goldenen"/>
  </r>
  <r>
    <x v="2"/>
    <s v="Sean Braxton"/>
  </r>
  <r>
    <x v="2"/>
    <s v="Maribeth Schnelling"/>
  </r>
  <r>
    <x v="2"/>
    <s v="Liz Willingham"/>
  </r>
  <r>
    <x v="2"/>
    <s v="Shirley Daniels"/>
  </r>
  <r>
    <x v="2"/>
    <s v="Erin Ashbrook"/>
  </r>
  <r>
    <x v="2"/>
    <s v="Jennifer Braxton"/>
  </r>
  <r>
    <x v="2"/>
    <s v="Monica Federle"/>
  </r>
  <r>
    <x v="2"/>
    <s v="Randy Ferguson"/>
  </r>
  <r>
    <x v="2"/>
    <s v="Anthony Garverick"/>
  </r>
  <r>
    <x v="2"/>
    <s v="Philip Fox"/>
  </r>
  <r>
    <x v="2"/>
    <s v="Jack Garza"/>
  </r>
  <r>
    <x v="2"/>
    <s v="Julia Dunbar"/>
  </r>
  <r>
    <x v="2"/>
    <s v="Michelle Tran"/>
  </r>
  <r>
    <x v="2"/>
    <s v="Thomas Seio"/>
  </r>
  <r>
    <x v="2"/>
    <s v="George Zrebassa"/>
  </r>
  <r>
    <x v="2"/>
    <s v="Arthur Prichep"/>
  </r>
  <r>
    <x v="2"/>
    <s v="Russell Applegate"/>
  </r>
  <r>
    <x v="2"/>
    <s v="Erin Smith"/>
  </r>
  <r>
    <x v="2"/>
    <s v="David Flashing"/>
  </r>
  <r>
    <x v="2"/>
    <s v="Brian Derr"/>
  </r>
  <r>
    <x v="2"/>
    <s v="Xylona Preis"/>
  </r>
  <r>
    <x v="2"/>
    <s v="Tanja Norvell"/>
  </r>
  <r>
    <x v="2"/>
    <s v="Jill Fjeld"/>
  </r>
  <r>
    <x v="2"/>
    <s v="Zuschuss Carroll"/>
  </r>
  <r>
    <x v="2"/>
    <s v="Jim Epp"/>
  </r>
  <r>
    <x v="2"/>
    <s v="Dan Lawera"/>
  </r>
  <r>
    <x v="2"/>
    <s v="Lynn Smith"/>
  </r>
  <r>
    <x v="2"/>
    <s v="Alan Schoenberger"/>
  </r>
  <r>
    <x v="2"/>
    <s v="Jeremy Farry"/>
  </r>
  <r>
    <x v="2"/>
    <s v="Maureen Gastineau"/>
  </r>
  <r>
    <x v="2"/>
    <s v="Aaron Hawkins"/>
  </r>
  <r>
    <x v="2"/>
    <s v="Angele Hood"/>
  </r>
  <r>
    <x v="2"/>
    <s v="Todd Sumrall"/>
  </r>
  <r>
    <x v="2"/>
    <s v="Sue Ann Reed"/>
  </r>
  <r>
    <x v="2"/>
    <s v="Roger Demir"/>
  </r>
  <r>
    <x v="2"/>
    <s v="Maxwell Schwartz"/>
  </r>
  <r>
    <x v="2"/>
    <s v="Nathan Mautz"/>
  </r>
  <r>
    <x v="2"/>
    <s v="Deanra Eno"/>
  </r>
  <r>
    <x v="2"/>
    <s v="George Ashbrook"/>
  </r>
  <r>
    <x v="2"/>
    <s v="Tamara Chand"/>
  </r>
  <r>
    <x v="2"/>
    <s v="Emily Burns"/>
  </r>
  <r>
    <x v="2"/>
    <s v="Ruben Dartt"/>
  </r>
  <r>
    <x v="2"/>
    <s v="Pete Kriz"/>
  </r>
  <r>
    <x v="2"/>
    <s v="Roy Französisch"/>
  </r>
  <r>
    <x v="2"/>
    <s v="Maris LaWare"/>
  </r>
  <r>
    <x v="2"/>
    <s v="Jamie Frazer"/>
  </r>
  <r>
    <x v="2"/>
    <s v="Rick Huthwaite"/>
  </r>
  <r>
    <x v="2"/>
    <s v="Mark Packer"/>
  </r>
  <r>
    <x v="2"/>
    <s v="Pierre Wener"/>
  </r>
  <r>
    <x v="2"/>
    <s v="Robert Marley"/>
  </r>
  <r>
    <x v="2"/>
    <s v="Katharine Harms"/>
  </r>
  <r>
    <x v="2"/>
    <s v="Ruben Ausman"/>
  </r>
  <r>
    <x v="2"/>
    <s v="Sanjit Chand"/>
  </r>
  <r>
    <x v="2"/>
    <s v="Nathan Gelder"/>
  </r>
  <r>
    <x v="2"/>
    <s v="Joel Eaton"/>
  </r>
  <r>
    <x v="2"/>
    <s v="Bart Folk"/>
  </r>
  <r>
    <x v="2"/>
    <s v="Corey-Lock"/>
  </r>
  <r>
    <x v="2"/>
    <s v="Jeremy Lonsdale"/>
  </r>
  <r>
    <x v="2"/>
    <s v="Resi Pölking"/>
  </r>
  <r>
    <x v="2"/>
    <s v="Cathy Prescott"/>
  </r>
  <r>
    <x v="2"/>
    <s v="Brendan Sweed"/>
  </r>
  <r>
    <x v="2"/>
    <s v="Luke Foster"/>
  </r>
  <r>
    <x v="2"/>
    <s v="Patrick O'Brill"/>
  </r>
  <r>
    <x v="2"/>
    <s v="Thomas Boland"/>
  </r>
  <r>
    <x v="2"/>
    <s v="Cyma Kinney"/>
  </r>
  <r>
    <x v="2"/>
    <s v="Nora Preis"/>
  </r>
  <r>
    <x v="2"/>
    <s v="Katherine Ducich"/>
  </r>
  <r>
    <x v="2"/>
    <s v="Mick Crebagga"/>
  </r>
  <r>
    <x v="2"/>
    <s v="Kean Nguyen"/>
  </r>
  <r>
    <x v="2"/>
    <s v="Mike Kennedy"/>
  </r>
  <r>
    <x v="3"/>
    <s v="Gary McGarr"/>
  </r>
  <r>
    <x v="3"/>
    <s v="Khloe Miller"/>
  </r>
  <r>
    <x v="3"/>
    <s v="Sarah Foster"/>
  </r>
  <r>
    <x v="3"/>
    <s v="Luke Foster"/>
  </r>
  <r>
    <x v="3"/>
    <s v="Sung Pak"/>
  </r>
  <r>
    <x v="3"/>
    <s v="Debra Catini"/>
  </r>
  <r>
    <x v="3"/>
    <s v="Ken Brennan"/>
  </r>
  <r>
    <x v="3"/>
    <s v="Pamela Coakley"/>
  </r>
  <r>
    <x v="3"/>
    <s v="Victoria Wilson"/>
  </r>
  <r>
    <x v="3"/>
    <s v="Steven Roelle"/>
  </r>
  <r>
    <x v="3"/>
    <s v="Yana Sorensen"/>
  </r>
  <r>
    <x v="3"/>
    <s v="Philip Brown"/>
  </r>
  <r>
    <x v="3"/>
    <s v="Joni Sundaresam"/>
  </r>
  <r>
    <x v="3"/>
    <s v="Carl Weiss"/>
  </r>
  <r>
    <x v="3"/>
    <s v="Elizabeth Moffitt"/>
  </r>
  <r>
    <x v="3"/>
    <s v="Seth Vernon"/>
  </r>
  <r>
    <x v="3"/>
    <s v="Joseph Holt"/>
  </r>
  <r>
    <x v="3"/>
    <s v="Jeremy Pistek"/>
  </r>
  <r>
    <x v="3"/>
    <s v="Karl Braun"/>
  </r>
  <r>
    <x v="3"/>
    <s v="Allen Armold"/>
  </r>
  <r>
    <x v="3"/>
    <s v="Damala Kotsonis"/>
  </r>
  <r>
    <x v="3"/>
    <s v="Lisa Hazard"/>
  </r>
  <r>
    <x v="3"/>
    <s v="Michael Stewart"/>
  </r>
  <r>
    <x v="3"/>
    <s v="Nona Balk"/>
  </r>
  <r>
    <x v="3"/>
    <s v="Roy Phan"/>
  </r>
  <r>
    <x v="3"/>
    <s v="Ann Blume"/>
  </r>
  <r>
    <x v="3"/>
    <s v="Liz MacKendrick"/>
  </r>
  <r>
    <x v="3"/>
    <s v="Penelope Sewall"/>
  </r>
  <r>
    <x v="3"/>
    <s v="Lindsay Castell"/>
  </r>
  <r>
    <x v="3"/>
    <s v="Valerie Dominguez"/>
  </r>
  <r>
    <x v="3"/>
    <s v="Shui Tom"/>
  </r>
  <r>
    <x v="3"/>
    <s v="Dave Kipp"/>
  </r>
  <r>
    <x v="3"/>
    <s v="John Lucas"/>
  </r>
  <r>
    <x v="3"/>
    <s v="Eugene Moren"/>
  </r>
  <r>
    <x v="3"/>
    <s v="Noel Staavos"/>
  </r>
  <r>
    <x v="3"/>
    <s v="Toby Swindell"/>
  </r>
  <r>
    <x v="3"/>
    <s v="Edward Becker"/>
  </r>
  <r>
    <x v="3"/>
    <s v="Marc Crier"/>
  </r>
  <r>
    <x v="3"/>
    <s v="Karen Seio"/>
  </r>
  <r>
    <x v="3"/>
    <s v="Christopher Martinez"/>
  </r>
  <r>
    <x v="3"/>
    <s v="Harold Ryan"/>
  </r>
  <r>
    <x v="3"/>
    <s v="Jesus Ocampo"/>
  </r>
  <r>
    <x v="3"/>
    <s v="Bart Watters"/>
  </r>
  <r>
    <x v="3"/>
    <s v="Julia West"/>
  </r>
  <r>
    <x v="3"/>
    <s v="Dean Braden"/>
  </r>
  <r>
    <x v="3"/>
    <s v="Dennis Pardue"/>
  </r>
  <r>
    <x v="3"/>
    <s v="Benjamin Venier"/>
  </r>
  <r>
    <x v="3"/>
    <s v="Mark Van Huff"/>
  </r>
  <r>
    <x v="3"/>
    <s v="Alan Barnes"/>
  </r>
  <r>
    <x v="3"/>
    <s v="Sara Luxemburg"/>
  </r>
  <r>
    <x v="3"/>
    <s v="Scott Cohen"/>
  </r>
  <r>
    <x v="0"/>
    <s v="Michael Oakman"/>
  </r>
  <r>
    <x v="1"/>
    <s v="Greg Guthrie"/>
  </r>
  <r>
    <x v="1"/>
    <s v="Peter Fuller"/>
  </r>
  <r>
    <x v="2"/>
    <s v="Jay Kimmel"/>
  </r>
  <r>
    <x v="3"/>
    <s v="Robert Dilbeck"/>
  </r>
  <r>
    <x v="0"/>
    <s v="Zuschuss Carroll"/>
  </r>
  <r>
    <x v="1"/>
    <s v="Theone Pippenger"/>
  </r>
  <r>
    <x v="0"/>
    <s v="George Ashbrook"/>
  </r>
  <r>
    <x v="1"/>
    <s v="Patrick Gardner"/>
  </r>
  <r>
    <x v="2"/>
    <s v="Juliana Krohn"/>
  </r>
  <r>
    <x v="1"/>
    <s v="Jill Stevenson"/>
  </r>
  <r>
    <x v="3"/>
    <s v="Russell Applegate"/>
  </r>
  <r>
    <x v="1"/>
    <s v="Jim Kriz"/>
  </r>
  <r>
    <x v="2"/>
    <s v="Paul Stevenson"/>
  </r>
  <r>
    <x v="0"/>
    <s v="Jennifer Braxton"/>
  </r>
  <r>
    <x v="3"/>
    <s v="Noah Childs"/>
  </r>
  <r>
    <x v="0"/>
    <s v="Alan Schoenberger"/>
  </r>
  <r>
    <x v="1"/>
    <s v="Anna Gayman"/>
  </r>
  <r>
    <x v="2"/>
    <s v="Claudia Bergmann"/>
  </r>
  <r>
    <x v="0"/>
    <s v="Max Engle"/>
  </r>
  <r>
    <x v="0"/>
    <s v="Dennis Pardue"/>
  </r>
  <r>
    <x v="0"/>
    <s v="Cindy Stewart"/>
  </r>
  <r>
    <x v="2"/>
    <s v="Anna Häberlin"/>
  </r>
  <r>
    <x v="1"/>
    <s v="Tracy Hopkins"/>
  </r>
  <r>
    <x v="2"/>
    <s v="Sheri Gordon"/>
  </r>
  <r>
    <x v="0"/>
    <s v="Joel Eaton"/>
  </r>
  <r>
    <x v="1"/>
    <s v="Sarah Brown"/>
  </r>
  <r>
    <x v="2"/>
    <s v="Justin Hirsh"/>
  </r>
  <r>
    <x v="0"/>
    <s v="Neil Knudson"/>
  </r>
  <r>
    <x v="1"/>
    <s v="John Lucas"/>
  </r>
  <r>
    <x v="2"/>
    <s v="Edward Nazzal"/>
  </r>
  <r>
    <x v="2"/>
    <s v="Stephanie Phelps"/>
  </r>
  <r>
    <x v="0"/>
    <s v="Katrina Edelman"/>
  </r>
  <r>
    <x v="1"/>
    <s v="Edward Becker"/>
  </r>
  <r>
    <x v="0"/>
    <s v="Eleni McCrary"/>
  </r>
  <r>
    <x v="0"/>
    <s v="Brian Dahlen"/>
  </r>
  <r>
    <x v="1"/>
    <s v="Jennifer Jackson"/>
  </r>
  <r>
    <x v="2"/>
    <s v="Alan Dominguez"/>
  </r>
  <r>
    <x v="2"/>
    <s v="Philip Brown"/>
  </r>
  <r>
    <x v="3"/>
    <s v="Logan Haushalter"/>
  </r>
  <r>
    <x v="0"/>
    <s v="Stewart Carmichael"/>
  </r>
  <r>
    <x v="2"/>
    <s v="Rick Duston"/>
  </r>
  <r>
    <x v="3"/>
    <s v="Cathy Hwang"/>
  </r>
  <r>
    <x v="0"/>
    <s v="Laura Armstrong"/>
  </r>
  <r>
    <x v="1"/>
    <s v="Richard Bierner"/>
  </r>
  <r>
    <x v="2"/>
    <s v="Bruce Degenhardt"/>
  </r>
  <r>
    <x v="0"/>
    <s v="Irene Maddox"/>
  </r>
  <r>
    <x v="1"/>
    <s v="Kalyca Meade"/>
  </r>
  <r>
    <x v="0"/>
    <s v="Eric Hoffmann"/>
  </r>
  <r>
    <x v="2"/>
    <s v="Clytie Kelty"/>
  </r>
  <r>
    <x v="1"/>
    <s v="Natalie DeCherney"/>
  </r>
  <r>
    <x v="2"/>
    <s v="Toby Gnade"/>
  </r>
  <r>
    <x v="2"/>
    <s v="Jessica Myrick"/>
  </r>
  <r>
    <x v="3"/>
    <s v="Roland Fjeld"/>
  </r>
  <r>
    <x v="0"/>
    <s v="Thais Sissman"/>
  </r>
  <r>
    <x v="2"/>
    <s v="Ralph Kennedy"/>
  </r>
  <r>
    <x v="0"/>
    <s v="Ross Baird"/>
  </r>
  <r>
    <x v="2"/>
    <s v="Patrick Gardner"/>
  </r>
  <r>
    <x v="0"/>
    <s v="Rick Hansen"/>
  </r>
  <r>
    <x v="2"/>
    <s v="Pauline Chand"/>
  </r>
  <r>
    <x v="3"/>
    <s v="Corey-Lock"/>
  </r>
  <r>
    <x v="0"/>
    <s v="Anna Häberlin"/>
  </r>
  <r>
    <x v="1"/>
    <s v="Michael Stewart"/>
  </r>
  <r>
    <x v="2"/>
    <s v="Thomas Thornton"/>
  </r>
  <r>
    <x v="3"/>
    <s v="David Smith"/>
  </r>
  <r>
    <x v="0"/>
    <s v="Odella Nelson"/>
  </r>
  <r>
    <x v="2"/>
    <s v="Tim Taslimi"/>
  </r>
  <r>
    <x v="3"/>
    <s v="John Murray"/>
  </r>
  <r>
    <x v="0"/>
    <s v="Shaun Chance"/>
  </r>
  <r>
    <x v="3"/>
    <s v="Nick Zandusky"/>
  </r>
  <r>
    <x v="0"/>
    <s v="Dave Poirier"/>
  </r>
  <r>
    <x v="0"/>
    <s v="Tamara Dahlen"/>
  </r>
  <r>
    <x v="1"/>
    <s v="Chad Cunningham"/>
  </r>
  <r>
    <x v="2"/>
    <s v="Doug Bickford"/>
  </r>
  <r>
    <x v="3"/>
    <s v="Julie Creighton"/>
  </r>
  <r>
    <x v="0"/>
    <s v="Christine Sundaresam"/>
  </r>
  <r>
    <x v="1"/>
    <s v="Neoma Murray"/>
  </r>
  <r>
    <x v="3"/>
    <s v="Charles Crestani"/>
  </r>
  <r>
    <x v="2"/>
    <s v="Paul Gonzalez"/>
  </r>
  <r>
    <x v="1"/>
    <s v="Christina Anderson"/>
  </r>
  <r>
    <x v="0"/>
    <s v="Tracy Blumstein"/>
  </r>
  <r>
    <x v="1"/>
    <s v="Trudy Glocke"/>
  </r>
  <r>
    <x v="3"/>
    <s v="Stuart Van"/>
  </r>
  <r>
    <x v="0"/>
    <s v="Emily Burns"/>
  </r>
  <r>
    <x v="2"/>
    <s v="Ed Braxton"/>
  </r>
  <r>
    <x v="1"/>
    <s v="Denny Joy"/>
  </r>
  <r>
    <x v="2"/>
    <s v="Joel Jenkins"/>
  </r>
  <r>
    <x v="3"/>
    <s v="Charlotte Melton"/>
  </r>
  <r>
    <x v="1"/>
    <s v="Tracy Blumstein"/>
  </r>
  <r>
    <x v="1"/>
    <s v="Liz Thompson"/>
  </r>
  <r>
    <x v="2"/>
    <s v="Maribeth Yedwab"/>
  </r>
  <r>
    <x v="2"/>
    <s v="Nona Balk"/>
  </r>
  <r>
    <x v="0"/>
    <s v="Cathy Hwang"/>
  </r>
  <r>
    <x v="1"/>
    <s v="Jas O'Carroll"/>
  </r>
  <r>
    <x v="0"/>
    <s v="Corinna Mitchell"/>
  </r>
  <r>
    <x v="1"/>
    <s v="George Bell"/>
  </r>
  <r>
    <x v="0"/>
    <s v="Karen Bern"/>
  </r>
  <r>
    <x v="1"/>
    <s v="Charlotte Melton"/>
  </r>
  <r>
    <x v="2"/>
    <s v="Andrew Gjertsen"/>
  </r>
  <r>
    <x v="3"/>
    <s v="Lena Cacioppo"/>
  </r>
  <r>
    <x v="0"/>
    <s v="Patrick Jones"/>
  </r>
  <r>
    <x v="1"/>
    <s v="Philisse Overcash"/>
  </r>
  <r>
    <x v="3"/>
    <s v="Greg Hansen"/>
  </r>
  <r>
    <x v="2"/>
    <s v="Harold Pawlan"/>
  </r>
  <r>
    <x v="3"/>
    <s v="Victoria Brennan"/>
  </r>
  <r>
    <x v="0"/>
    <s v="Denny Ordway"/>
  </r>
  <r>
    <x v="1"/>
    <s v="Dan Reichenbach"/>
  </r>
  <r>
    <x v="3"/>
    <s v="Sylvia Foulston"/>
  </r>
  <r>
    <x v="0"/>
    <s v="William Brown"/>
  </r>
  <r>
    <x v="2"/>
    <s v="Logan Currie"/>
  </r>
  <r>
    <x v="0"/>
    <s v="Dean Katz"/>
  </r>
  <r>
    <x v="2"/>
    <s v="Ritsa Hightower"/>
  </r>
  <r>
    <x v="0"/>
    <s v="Darren Koutras"/>
  </r>
  <r>
    <x v="1"/>
    <s v="Tonja Turnell"/>
  </r>
  <r>
    <x v="2"/>
    <s v="Keith Dawkins"/>
  </r>
  <r>
    <x v="0"/>
    <s v="Liz Thompson"/>
  </r>
  <r>
    <x v="2"/>
    <s v="Liz MacKendrick"/>
  </r>
  <r>
    <x v="0"/>
    <s v="John Stevenson"/>
  </r>
  <r>
    <x v="1"/>
    <s v="Bradley Drucker"/>
  </r>
  <r>
    <x v="2"/>
    <s v="Joni Blumstein"/>
  </r>
  <r>
    <x v="3"/>
    <s v="Justin Deggeller"/>
  </r>
  <r>
    <x v="1"/>
    <s v="Steve Nguyen"/>
  </r>
  <r>
    <x v="0"/>
    <s v="Brendan Murry"/>
  </r>
  <r>
    <x v="2"/>
    <s v="Anthony Johnson"/>
  </r>
  <r>
    <x v="1"/>
    <s v="Dianna Wilson"/>
  </r>
  <r>
    <x v="2"/>
    <s v="Jack O'Briant"/>
  </r>
  <r>
    <x v="3"/>
    <s v="Ken Black"/>
  </r>
  <r>
    <x v="3"/>
    <s v="Anna Gayman"/>
  </r>
  <r>
    <x v="0"/>
    <s v="Dean percer"/>
  </r>
  <r>
    <x v="1"/>
    <s v="Chuck Clark"/>
  </r>
  <r>
    <x v="2"/>
    <s v="Christy Brittain"/>
  </r>
  <r>
    <x v="3"/>
    <s v="Henry Goldwyn"/>
  </r>
  <r>
    <x v="0"/>
    <s v="Todd Boyes"/>
  </r>
  <r>
    <x v="1"/>
    <s v="Sample Company A"/>
  </r>
  <r>
    <x v="0"/>
    <s v="Adrian Barton"/>
  </r>
  <r>
    <x v="2"/>
    <s v="Liz Carlisle"/>
  </r>
  <r>
    <x v="3"/>
    <s v="Karen Bern"/>
  </r>
  <r>
    <x v="0"/>
    <s v="Christina Anderson"/>
  </r>
  <r>
    <x v="1"/>
    <s v="Cathy Hwang"/>
  </r>
  <r>
    <x v="2"/>
    <s v="John Stevenson"/>
  </r>
  <r>
    <x v="0"/>
    <s v="Erin Ashbrook"/>
  </r>
  <r>
    <x v="2"/>
    <s v="Alan Hwang"/>
  </r>
  <r>
    <x v="0"/>
    <s v="Matthew Clasen"/>
  </r>
  <r>
    <x v="1"/>
    <s v="Paul Van Hugh"/>
  </r>
  <r>
    <x v="0"/>
    <s v="Alyssa Crouse"/>
  </r>
  <r>
    <x v="3"/>
    <s v="Dan Lawera"/>
  </r>
  <r>
    <x v="0"/>
    <s v="Brosina Hoffman"/>
  </r>
  <r>
    <x v="2"/>
    <s v="Michael Granlund"/>
  </r>
  <r>
    <x v="3"/>
    <s v="Julia Barnett"/>
  </r>
  <r>
    <x v="0"/>
    <s v="Ed Braxton"/>
  </r>
  <r>
    <x v="1"/>
    <s v="Caroline Jumper"/>
  </r>
  <r>
    <x v="2"/>
    <s v="Tamara Willingham"/>
  </r>
  <r>
    <x v="1"/>
    <s v="Henia Zydlo"/>
  </r>
  <r>
    <x v="2"/>
    <s v="Paul Lucas"/>
  </r>
  <r>
    <x v="3"/>
    <s v="Rose O'Brian"/>
  </r>
  <r>
    <x v="0"/>
    <s v="Bobby Trafton"/>
  </r>
  <r>
    <x v="1"/>
    <s v="Kean Takahito"/>
  </r>
  <r>
    <x v="2"/>
    <s v="Robert Barroso"/>
  </r>
  <r>
    <x v="3"/>
    <s v="Dan Reichenbach"/>
  </r>
  <r>
    <x v="0"/>
    <s v="Toby Braunhardt"/>
  </r>
  <r>
    <x v="1"/>
    <s v="David Smith"/>
  </r>
  <r>
    <x v="2"/>
    <s v="Aaron Smayling"/>
  </r>
  <r>
    <x v="0"/>
    <s v="Maria Etezadi"/>
  </r>
  <r>
    <x v="2"/>
    <s v="Denny Joy"/>
  </r>
  <r>
    <x v="0"/>
    <s v="Carlos Soltero"/>
  </r>
  <r>
    <x v="2"/>
    <s v="Maria Etezadi"/>
  </r>
  <r>
    <x v="0"/>
    <s v="Gary Mitchum"/>
  </r>
  <r>
    <x v="1"/>
    <s v="Valerie Mitchum"/>
  </r>
  <r>
    <x v="2"/>
    <s v="Yoseph Carroll"/>
  </r>
  <r>
    <x v="3"/>
    <s v="Jeremy Lonsdale"/>
  </r>
  <r>
    <x v="0"/>
    <s v="Justin Ritter"/>
  </r>
  <r>
    <x v="3"/>
    <s v="Ben Ferrer"/>
  </r>
  <r>
    <x v="0"/>
    <s v="Clay Rozendal"/>
  </r>
  <r>
    <x v="2"/>
    <s v="Gary Mitchum"/>
  </r>
  <r>
    <x v="3"/>
    <s v="Sibella Parks"/>
  </r>
  <r>
    <x v="0"/>
    <s v="Cathy Armstrong"/>
  </r>
  <r>
    <x v="2"/>
    <s v="Dennis Bolton"/>
  </r>
  <r>
    <x v="1"/>
    <s v="Bryan Davis"/>
  </r>
  <r>
    <x v="3"/>
    <s v="Brad Eason"/>
  </r>
  <r>
    <x v="0"/>
    <s v="Caroline Jumper"/>
  </r>
  <r>
    <x v="1"/>
    <s v="Sonia Sunley"/>
  </r>
  <r>
    <x v="0"/>
    <s v="Logan Haushalter"/>
  </r>
  <r>
    <x v="0"/>
    <s v="Steve Nguyen"/>
  </r>
  <r>
    <x v="1"/>
    <s v="Roy Phan"/>
  </r>
  <r>
    <x v="2"/>
    <s v="Eric Barreto"/>
  </r>
  <r>
    <x v="0"/>
    <s v="Laurel Elliston"/>
  </r>
  <r>
    <x v="1"/>
    <s v="Rick Bensley"/>
  </r>
  <r>
    <x v="3"/>
    <s v="Lisa DeCherney"/>
  </r>
  <r>
    <x v="1"/>
    <s v="Julia Barnett"/>
  </r>
  <r>
    <x v="2"/>
    <s v="Laura Armstrong"/>
  </r>
  <r>
    <x v="0"/>
    <s v="Rob Lucas"/>
  </r>
  <r>
    <x v="1"/>
    <s v="Beth Paige"/>
  </r>
  <r>
    <x v="3"/>
    <s v="Christine Phan"/>
  </r>
  <r>
    <x v="1"/>
    <s v="Karen Daniels"/>
  </r>
  <r>
    <x v="2"/>
    <s v="Roy Collins"/>
  </r>
  <r>
    <x v="0"/>
    <s v="Olvera Toch"/>
  </r>
  <r>
    <x v="1"/>
    <s v="Mary Zewe"/>
  </r>
  <r>
    <x v="2"/>
    <s v="Sample Company A"/>
  </r>
  <r>
    <x v="0"/>
    <s v="Paul Van Hugh"/>
  </r>
  <r>
    <x v="1"/>
    <s v="Lynn Smith"/>
  </r>
  <r>
    <x v="0"/>
    <s v="Bill Donatelli"/>
  </r>
  <r>
    <x v="3"/>
    <s v="Bobby Trafton"/>
  </r>
  <r>
    <x v="0"/>
    <s v="Lena Hernandez"/>
  </r>
  <r>
    <x v="2"/>
    <s v="Irene Maddox"/>
  </r>
  <r>
    <x v="1"/>
    <s v="Theresa Swint"/>
  </r>
  <r>
    <x v="0"/>
    <s v="John Grady"/>
  </r>
  <r>
    <x v="1"/>
    <s v="Katharine Harms"/>
  </r>
  <r>
    <x v="3"/>
    <s v="Philip Fox"/>
  </r>
  <r>
    <x v="0"/>
    <s v="Jay Fein"/>
  </r>
  <r>
    <x v="2"/>
    <s v="Anna Andreadi"/>
  </r>
  <r>
    <x v="0"/>
    <s v="Steve Chapman"/>
  </r>
  <r>
    <x v="3"/>
    <s v="Scot Coram"/>
  </r>
  <r>
    <x v="0"/>
    <s v="Allen Armold"/>
  </r>
  <r>
    <x v="1"/>
    <s v="Kristen Hastings"/>
  </r>
  <r>
    <x v="0"/>
    <s v="Rick Huthwaite"/>
  </r>
  <r>
    <x v="1"/>
    <s v="Joy Smith"/>
  </r>
  <r>
    <x v="2"/>
    <s v="Pauline Johnson"/>
  </r>
  <r>
    <x v="3"/>
    <s v="Dionis Lloyd"/>
  </r>
  <r>
    <x v="3"/>
    <s v="Ken Lonsdale"/>
  </r>
  <r>
    <x v="3"/>
    <s v="Alex Grayson"/>
  </r>
  <r>
    <x v="0"/>
    <s v="Max Ludwig"/>
  </r>
  <r>
    <x v="2"/>
    <s v="Maureen Fritzler"/>
  </r>
  <r>
    <x v="0"/>
    <s v="Dorothy Wardle"/>
  </r>
  <r>
    <x v="1"/>
    <s v="Helen Andreada"/>
  </r>
  <r>
    <x v="2"/>
    <s v="Lena Cacioppo"/>
  </r>
  <r>
    <x v="0"/>
    <s v="Erin Mull"/>
  </r>
  <r>
    <x v="0"/>
    <s v="Jill Matthias"/>
  </r>
  <r>
    <x v="1"/>
    <s v="Max Engle"/>
  </r>
  <r>
    <x v="3"/>
    <s v="Helen Wasserman"/>
  </r>
  <r>
    <x v="2"/>
    <s v="Dianna Wilson"/>
  </r>
  <r>
    <x v="0"/>
    <s v="Stephanie Ulpright"/>
  </r>
  <r>
    <x v="2"/>
    <s v="Rick Bensley"/>
  </r>
  <r>
    <x v="3"/>
    <s v="Patrick O'Brill"/>
  </r>
  <r>
    <x v="0"/>
    <s v="Adam Bellavance"/>
  </r>
  <r>
    <x v="2"/>
    <s v="Paul Knutson"/>
  </r>
  <r>
    <x v="2"/>
    <s v="Parhena Norris"/>
  </r>
  <r>
    <x v="3"/>
    <s v="Kelly Collister"/>
  </r>
  <r>
    <x v="0"/>
    <s v="Ben Peterman"/>
  </r>
  <r>
    <x v="1"/>
    <s v="Dean Braden"/>
  </r>
  <r>
    <x v="2"/>
    <s v="Henry MacAllister"/>
  </r>
  <r>
    <x v="3"/>
    <s v="Eugene Hildebrand"/>
  </r>
  <r>
    <x v="1"/>
    <s v="Greg Maxwell"/>
  </r>
  <r>
    <x v="2"/>
    <s v="Kelly Lampkin"/>
  </r>
  <r>
    <x v="3"/>
    <s v="Pete Kriz"/>
  </r>
  <r>
    <x v="0"/>
    <s v="Natalie Fritzler"/>
  </r>
  <r>
    <x v="0"/>
    <s v="Harry Marie"/>
  </r>
  <r>
    <x v="2"/>
    <s v="Linda Southworth"/>
  </r>
  <r>
    <x v="0"/>
    <s v="Tim Taslimi"/>
  </r>
  <r>
    <x v="3"/>
    <s v="Tim Brockman"/>
  </r>
  <r>
    <x v="0"/>
    <s v="Bart Watters"/>
  </r>
  <r>
    <x v="1"/>
    <s v="Christine Phan"/>
  </r>
  <r>
    <x v="2"/>
    <s v="Patrick Bzostek"/>
  </r>
  <r>
    <x v="3"/>
    <s v="Neil Knudson"/>
  </r>
  <r>
    <x v="1"/>
    <s v="Christopher Schild"/>
  </r>
  <r>
    <x v="2"/>
    <s v="Max Jones"/>
  </r>
  <r>
    <x v="3"/>
    <s v="Claire Gute"/>
  </r>
  <r>
    <x v="2"/>
    <s v="Pamela Coakley"/>
  </r>
  <r>
    <x v="3"/>
    <s v="Bryan Davis"/>
  </r>
  <r>
    <x v="0"/>
    <s v="Maurice Satty"/>
  </r>
  <r>
    <x v="2"/>
    <s v="Frank Merwin"/>
  </r>
  <r>
    <x v="1"/>
    <s v="Stewart Carmichael"/>
  </r>
  <r>
    <x v="2"/>
    <s v="Arthur Wiediger"/>
  </r>
  <r>
    <x v="0"/>
    <s v="Justin Hirsh"/>
  </r>
  <r>
    <x v="1"/>
    <s v="Todd Boyes"/>
  </r>
  <r>
    <x v="2"/>
    <s v="Luke Schmidt"/>
  </r>
  <r>
    <x v="3"/>
    <s v="Heather Jas"/>
  </r>
  <r>
    <x v="0"/>
    <s v="Nick Crebassa"/>
  </r>
  <r>
    <x v="2"/>
    <s v="Gary Zandusky"/>
  </r>
  <r>
    <x v="0"/>
    <s v="Becky Martin"/>
  </r>
  <r>
    <x v="1"/>
    <s v="Gene Hale"/>
  </r>
  <r>
    <x v="2"/>
    <s v="Janet Molinari"/>
  </r>
  <r>
    <x v="3"/>
    <s v="Michael Chen"/>
  </r>
  <r>
    <x v="3"/>
    <s v="Craig Carreira"/>
  </r>
  <r>
    <x v="0"/>
    <s v="Charles McCrossin"/>
  </r>
  <r>
    <x v="1"/>
    <s v="Alan Haines"/>
  </r>
  <r>
    <x v="0"/>
    <s v="Erin Smith"/>
  </r>
  <r>
    <x v="1"/>
    <s v="Ross Baird"/>
  </r>
  <r>
    <x v="2"/>
    <s v="Grace Kelly"/>
  </r>
  <r>
    <x v="0"/>
    <s v="Frank Preis"/>
  </r>
  <r>
    <x v="1"/>
    <s v="Troy Blackwell"/>
  </r>
  <r>
    <x v="0"/>
    <s v="Kelly Lampkin"/>
  </r>
  <r>
    <x v="1"/>
    <s v="Guy Armstrong"/>
  </r>
  <r>
    <x v="3"/>
    <s v="Aaron Smayling"/>
  </r>
  <r>
    <x v="2"/>
    <s v="Dennis Pardue"/>
  </r>
  <r>
    <x v="3"/>
    <s v="Ricardo Sperren"/>
  </r>
  <r>
    <x v="1"/>
    <s v="Robert Waldorf"/>
  </r>
  <r>
    <x v="0"/>
    <s v="Darrin Sayre"/>
  </r>
  <r>
    <x v="1"/>
    <s v="Alan Dominguez"/>
  </r>
  <r>
    <x v="3"/>
    <s v="Theone Pippenger"/>
  </r>
  <r>
    <x v="1"/>
    <s v="Benjamin Venier"/>
  </r>
  <r>
    <x v="2"/>
    <s v="Mark Van Huff"/>
  </r>
  <r>
    <x v="0"/>
    <s v="Luke Foster"/>
  </r>
  <r>
    <x v="1"/>
    <s v="Julie Kriz"/>
  </r>
  <r>
    <x v="3"/>
    <s v="Cynthia Voltz"/>
  </r>
  <r>
    <x v="0"/>
    <s v="Nicole Hansen"/>
  </r>
  <r>
    <x v="3"/>
    <s v="Michelle Huthwaite"/>
  </r>
  <r>
    <x v="1"/>
    <s v="Liz Preis"/>
  </r>
  <r>
    <x v="0"/>
    <s v="Pete Kriz"/>
  </r>
  <r>
    <x v="2"/>
    <s v="Roland Murray"/>
  </r>
  <r>
    <x v="1"/>
    <s v="Mick Hernandez"/>
  </r>
  <r>
    <x v="3"/>
    <s v="Karen Ferguson"/>
  </r>
  <r>
    <x v="3"/>
    <s v="Catherine Glotzbach"/>
  </r>
  <r>
    <x v="2"/>
    <s v="Bill Eplett"/>
  </r>
  <r>
    <x v="0"/>
    <s v="Brian Moss"/>
  </r>
  <r>
    <x v="2"/>
    <s v="Gary McGarr"/>
  </r>
  <r>
    <x v="1"/>
    <s v="Cyma Kinney"/>
  </r>
  <r>
    <x v="0"/>
    <s v="Roger Demir"/>
  </r>
  <r>
    <x v="3"/>
    <s v="Tony Molinari"/>
  </r>
  <r>
    <x v="0"/>
    <s v="David Smith"/>
  </r>
  <r>
    <x v="2"/>
    <s v="Katherine Hughes"/>
  </r>
  <r>
    <x v="1"/>
    <s v="Bryan Spruell"/>
  </r>
  <r>
    <x v="3"/>
    <s v="Luke Weiss"/>
  </r>
  <r>
    <x v="3"/>
    <s v="Sally Knutson"/>
  </r>
  <r>
    <x v="0"/>
    <s v="Damala Kotsonis"/>
  </r>
  <r>
    <x v="1"/>
    <s v="Cynthia Voltz"/>
  </r>
  <r>
    <x v="1"/>
    <s v="Filia McAdams"/>
  </r>
  <r>
    <x v="1"/>
    <s v="Max Ludwig"/>
  </r>
  <r>
    <x v="2"/>
    <s v="John Murray"/>
  </r>
  <r>
    <x v="3"/>
    <s v="Nat Carroll"/>
  </r>
  <r>
    <x v="0"/>
    <s v="Mick Hernandez"/>
  </r>
  <r>
    <x v="1"/>
    <s v="Kimberly Carter"/>
  </r>
  <r>
    <x v="0"/>
    <s v="Heather Kirkland"/>
  </r>
  <r>
    <x v="1"/>
    <s v="Lindsay Williams"/>
  </r>
  <r>
    <x v="0"/>
    <s v="Gary Hansen"/>
  </r>
  <r>
    <x v="0"/>
    <s v="Dorris liebe"/>
  </r>
  <r>
    <x v="3"/>
    <s v="Dianna Vittorini"/>
  </r>
  <r>
    <x v="0"/>
    <s v="Clay Cheatham"/>
  </r>
  <r>
    <x v="0"/>
    <s v="Allen Rosenblatt"/>
  </r>
  <r>
    <x v="1"/>
    <s v="Dan Campbell"/>
  </r>
  <r>
    <x v="1"/>
    <s v="Victor Preis"/>
  </r>
  <r>
    <x v="0"/>
    <s v="Chuck Sachs"/>
  </r>
  <r>
    <x v="3"/>
    <s v="Linda Southworth"/>
  </r>
  <r>
    <x v="1"/>
    <s v="Cari Schnelling"/>
  </r>
  <r>
    <x v="2"/>
    <s v="Mark Hamilton"/>
  </r>
  <r>
    <x v="3"/>
    <s v="Raymond Buch"/>
  </r>
  <r>
    <x v="0"/>
    <s v="George Zrebassa"/>
  </r>
  <r>
    <x v="1"/>
    <s v="Matt Hagelstein"/>
  </r>
  <r>
    <x v="1"/>
    <s v="Fred McMath"/>
  </r>
  <r>
    <x v="2"/>
    <s v="Nat Gilpin"/>
  </r>
  <r>
    <x v="0"/>
    <s v="Patrick O'Brill"/>
  </r>
  <r>
    <x v="3"/>
    <s v="Alan Haines"/>
  </r>
  <r>
    <x v="0"/>
    <s v="Guy Armstrong"/>
  </r>
  <r>
    <x v="1"/>
    <s v="Allen Rosenblatt"/>
  </r>
  <r>
    <x v="2"/>
    <s v="Bradley Nguyen"/>
  </r>
  <r>
    <x v="0"/>
    <s v="Emily Phan"/>
  </r>
  <r>
    <x v="2"/>
    <s v="Linda Cazamias"/>
  </r>
  <r>
    <x v="0"/>
    <s v="Jessica Myrick"/>
  </r>
  <r>
    <x v="1"/>
    <s v="Speros Goranitis"/>
  </r>
  <r>
    <x v="3"/>
    <s v="Brenda Bowman"/>
  </r>
  <r>
    <x v="0"/>
    <s v="Barry Blumstein"/>
  </r>
  <r>
    <x v="1"/>
    <s v="Seth Vernon"/>
  </r>
  <r>
    <x v="2"/>
    <s v="Rick Hansen"/>
  </r>
  <r>
    <x v="3"/>
    <s v="Sanjit Jacobs"/>
  </r>
  <r>
    <x v="0"/>
    <s v="Ken Heidel"/>
  </r>
  <r>
    <x v="1"/>
    <s v="Amy Cox"/>
  </r>
  <r>
    <x v="2"/>
    <s v="Nick Zandusky"/>
  </r>
  <r>
    <x v="1"/>
    <s v="Evan Bailliet"/>
  </r>
  <r>
    <x v="3"/>
    <s v="Scot Wooten"/>
  </r>
  <r>
    <x v="3"/>
    <s v="Frank Gastineau"/>
  </r>
  <r>
    <x v="0"/>
    <s v="Saphhira Shifley"/>
  </r>
  <r>
    <x v="1"/>
    <s v="Patricia Hirasaki"/>
  </r>
  <r>
    <x v="0"/>
    <s v="Tom Ashbrook"/>
  </r>
  <r>
    <x v="1"/>
    <s v="Patrick O'Brill"/>
  </r>
  <r>
    <x v="2"/>
    <s v="George Bell"/>
  </r>
  <r>
    <x v="3"/>
    <s v="Grant Thornton"/>
  </r>
  <r>
    <x v="0"/>
    <s v="Troy Staebel"/>
  </r>
  <r>
    <x v="0"/>
    <s v="Roger Barcio"/>
  </r>
  <r>
    <x v="1"/>
    <s v="Dana Kaydos"/>
  </r>
  <r>
    <x v="1"/>
    <s v="Jonathan Howell"/>
  </r>
  <r>
    <x v="2"/>
    <s v="Janet Martin"/>
  </r>
  <r>
    <x v="3"/>
    <s v="Lynn Smith"/>
  </r>
  <r>
    <x v="1"/>
    <s v="Ted Trevino"/>
  </r>
  <r>
    <x v="1"/>
    <s v="Joseph Holt"/>
  </r>
  <r>
    <x v="2"/>
    <s v="Victoria Wilson"/>
  </r>
  <r>
    <x v="1"/>
    <s v="Ken Brennan"/>
  </r>
  <r>
    <x v="2"/>
    <s v="Ben Peterman"/>
  </r>
  <r>
    <x v="3"/>
    <s v="Mike Vittorini"/>
  </r>
  <r>
    <x v="0"/>
    <s v="Mike Pelletier"/>
  </r>
  <r>
    <x v="1"/>
    <s v="Paul Lucas"/>
  </r>
  <r>
    <x v="1"/>
    <s v="Michael Moore"/>
  </r>
  <r>
    <x v="2"/>
    <s v="Sandra Glassco"/>
  </r>
  <r>
    <x v="0"/>
    <s v="Gary Zandusky"/>
  </r>
  <r>
    <x v="2"/>
    <s v="Kristen Hasting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59">
  <r>
    <d v="2014-01-02T00:00:00"/>
    <x v="0"/>
    <x v="0"/>
    <x v="0"/>
    <x v="0"/>
    <x v="0"/>
    <x v="0"/>
    <s v="Message Book, Wirebound, Four 5 1/2&quot; X 4&quot; Forms/Pg., 200 Dupl. Sets/Book"/>
    <n v="16.45"/>
    <n v="2"/>
    <n v="5.55"/>
  </r>
  <r>
    <d v="2014-01-03T00:00:00"/>
    <x v="0"/>
    <x v="0"/>
    <x v="1"/>
    <x v="1"/>
    <x v="0"/>
    <x v="1"/>
    <s v="Avery 508"/>
    <n v="11.78"/>
    <n v="3"/>
    <n v="4.2699999999999996"/>
  </r>
  <r>
    <d v="2014-01-04T00:00:00"/>
    <x v="0"/>
    <x v="0"/>
    <x v="2"/>
    <x v="2"/>
    <x v="0"/>
    <x v="2"/>
    <s v="Avery Hi-Liter EverBold Pen Style Fluorescent Highlighters, 4/Pack"/>
    <n v="19.54"/>
    <n v="3"/>
    <n v="4.88"/>
  </r>
  <r>
    <d v="2014-01-07T00:00:00"/>
    <x v="0"/>
    <x v="0"/>
    <x v="3"/>
    <x v="3"/>
    <x v="0"/>
    <x v="0"/>
    <s v="Xerox 225"/>
    <n v="19.440000000000001"/>
    <n v="3"/>
    <n v="9.33"/>
  </r>
  <r>
    <d v="2014-01-08T00:00:00"/>
    <x v="0"/>
    <x v="0"/>
    <x v="4"/>
    <x v="0"/>
    <x v="1"/>
    <x v="3"/>
    <s v="Howard Miller 14-1/2&quot; Diameter Chrome Round Wall Clock"/>
    <n v="76.73"/>
    <n v="3"/>
    <n v="-53.71"/>
  </r>
  <r>
    <d v="2014-01-09T00:00:00"/>
    <x v="0"/>
    <x v="0"/>
    <x v="5"/>
    <x v="0"/>
    <x v="0"/>
    <x v="2"/>
    <s v="Newell 312"/>
    <n v="9.34"/>
    <n v="2"/>
    <n v="1.17"/>
  </r>
  <r>
    <d v="2014-01-11T00:00:00"/>
    <x v="0"/>
    <x v="0"/>
    <x v="6"/>
    <x v="4"/>
    <x v="0"/>
    <x v="1"/>
    <s v="Avery 482"/>
    <n v="2.89"/>
    <n v="1"/>
    <n v="1.36"/>
  </r>
  <r>
    <d v="2014-01-12T00:00:00"/>
    <x v="0"/>
    <x v="0"/>
    <x v="7"/>
    <x v="5"/>
    <x v="1"/>
    <x v="3"/>
    <s v="DAX Value U-Channel Document Frames, Easel Back"/>
    <n v="9.94"/>
    <n v="2"/>
    <n v="3.08"/>
  </r>
  <r>
    <d v="2014-02-02T00:00:00"/>
    <x v="1"/>
    <x v="0"/>
    <x v="8"/>
    <x v="6"/>
    <x v="0"/>
    <x v="4"/>
    <s v="Staple envelope"/>
    <n v="11.36"/>
    <n v="2"/>
    <n v="5.34"/>
  </r>
  <r>
    <d v="2014-02-04T00:00:00"/>
    <x v="1"/>
    <x v="0"/>
    <x v="9"/>
    <x v="2"/>
    <x v="1"/>
    <x v="5"/>
    <s v="Sauder Cornerstone Collection Library"/>
    <n v="61.96"/>
    <n v="4"/>
    <n v="-53.29"/>
  </r>
  <r>
    <d v="2014-02-05T00:00:00"/>
    <x v="1"/>
    <x v="0"/>
    <x v="10"/>
    <x v="7"/>
    <x v="2"/>
    <x v="6"/>
    <s v="Logitech 910-002974 M325 Wireless Mouse for Web Scrolling"/>
    <n v="149.94999999999999"/>
    <n v="5"/>
    <n v="65.98"/>
  </r>
  <r>
    <d v="2014-02-06T00:00:00"/>
    <x v="1"/>
    <x v="0"/>
    <x v="11"/>
    <x v="2"/>
    <x v="1"/>
    <x v="3"/>
    <s v="DAX Black Cherry Wood-Tone Poster Frame"/>
    <n v="127.1"/>
    <n v="6"/>
    <n v="28.6"/>
  </r>
  <r>
    <d v="2014-02-07T00:00:00"/>
    <x v="1"/>
    <x v="0"/>
    <x v="12"/>
    <x v="8"/>
    <x v="0"/>
    <x v="7"/>
    <s v="Fellowes Mighty 8 Compact Surge Protector"/>
    <n v="64.86"/>
    <n v="4"/>
    <n v="6.49"/>
  </r>
  <r>
    <d v="2014-02-08T00:00:00"/>
    <x v="1"/>
    <x v="0"/>
    <x v="13"/>
    <x v="9"/>
    <x v="0"/>
    <x v="8"/>
    <s v="GBC Standard Recycled Report Covers, Clear Plastic Sheets"/>
    <n v="32.340000000000003"/>
    <n v="10"/>
    <n v="-23.72"/>
  </r>
  <r>
    <d v="2014-02-09T00:00:00"/>
    <x v="1"/>
    <x v="0"/>
    <x v="14"/>
    <x v="10"/>
    <x v="2"/>
    <x v="9"/>
    <s v="Apple iPhone 5C"/>
    <n v="699.93"/>
    <n v="7"/>
    <n v="181.98"/>
  </r>
  <r>
    <d v="2014-02-10T00:00:00"/>
    <x v="1"/>
    <x v="0"/>
    <x v="15"/>
    <x v="11"/>
    <x v="1"/>
    <x v="3"/>
    <s v="Ultra Door Pull Handle"/>
    <n v="25.25"/>
    <n v="3"/>
    <n v="4.0999999999999996"/>
  </r>
  <r>
    <d v="2014-02-11T00:00:00"/>
    <x v="1"/>
    <x v="0"/>
    <x v="16"/>
    <x v="12"/>
    <x v="0"/>
    <x v="0"/>
    <s v="Xerox 195"/>
    <n v="40.08"/>
    <n v="6"/>
    <n v="19.239999999999998"/>
  </r>
  <r>
    <d v="2014-03-01T00:00:00"/>
    <x v="2"/>
    <x v="0"/>
    <x v="17"/>
    <x v="4"/>
    <x v="1"/>
    <x v="3"/>
    <s v="GE General Use Halogen Bulbs, 100 Watts, 1 Bulb per Pack"/>
    <n v="62.82"/>
    <n v="3"/>
    <n v="30.78"/>
  </r>
  <r>
    <d v="2014-03-02T00:00:00"/>
    <x v="2"/>
    <x v="0"/>
    <x v="18"/>
    <x v="3"/>
    <x v="0"/>
    <x v="10"/>
    <s v="Recycled Steel Personal File for Hanging File Folders"/>
    <n v="57.23"/>
    <n v="1"/>
    <n v="14.31"/>
  </r>
  <r>
    <d v="2014-03-05T00:00:00"/>
    <x v="2"/>
    <x v="0"/>
    <x v="19"/>
    <x v="13"/>
    <x v="0"/>
    <x v="8"/>
    <s v="Pressboard Covers with Storage Hooks, 9 1/2&quot; x 11&quot;, Light Blue"/>
    <n v="3.93"/>
    <n v="1"/>
    <n v="1.33"/>
  </r>
  <r>
    <d v="2014-03-06T00:00:00"/>
    <x v="2"/>
    <x v="0"/>
    <x v="20"/>
    <x v="14"/>
    <x v="0"/>
    <x v="0"/>
    <s v="Xerox 1972"/>
    <n v="10.56"/>
    <n v="2"/>
    <n v="4.75"/>
  </r>
  <r>
    <d v="2014-03-08T00:00:00"/>
    <x v="2"/>
    <x v="0"/>
    <x v="21"/>
    <x v="3"/>
    <x v="1"/>
    <x v="5"/>
    <s v="Sauder Facets Collection Library, Sky Alder Finish"/>
    <n v="290.67"/>
    <n v="2"/>
    <n v="3.42"/>
  </r>
  <r>
    <d v="2014-03-09T00:00:00"/>
    <x v="2"/>
    <x v="0"/>
    <x v="22"/>
    <x v="15"/>
    <x v="2"/>
    <x v="6"/>
    <s v="Enermax Aurora Lite Keyboard"/>
    <n v="468.9"/>
    <n v="6"/>
    <n v="206.32"/>
  </r>
  <r>
    <d v="2014-03-11T00:00:00"/>
    <x v="2"/>
    <x v="0"/>
    <x v="23"/>
    <x v="3"/>
    <x v="0"/>
    <x v="11"/>
    <s v="Staples"/>
    <n v="12.35"/>
    <n v="5"/>
    <n v="5.8"/>
  </r>
  <r>
    <d v="2014-03-12T00:00:00"/>
    <x v="2"/>
    <x v="0"/>
    <x v="15"/>
    <x v="16"/>
    <x v="0"/>
    <x v="8"/>
    <s v="Ibico Laser Imprintable Binding System Covers"/>
    <n v="83.84"/>
    <n v="2"/>
    <n v="27.25"/>
  </r>
  <r>
    <d v="2014-04-01T00:00:00"/>
    <x v="3"/>
    <x v="0"/>
    <x v="24"/>
    <x v="3"/>
    <x v="0"/>
    <x v="8"/>
    <s v="GBC Recycled Grain Textured Covers"/>
    <n v="82.9"/>
    <n v="3"/>
    <n v="29.01"/>
  </r>
  <r>
    <d v="2014-04-02T00:00:00"/>
    <x v="3"/>
    <x v="0"/>
    <x v="25"/>
    <x v="4"/>
    <x v="0"/>
    <x v="1"/>
    <s v="Avery 480"/>
    <n v="15"/>
    <n v="4"/>
    <n v="7.2"/>
  </r>
  <r>
    <d v="2014-04-03T00:00:00"/>
    <x v="3"/>
    <x v="0"/>
    <x v="26"/>
    <x v="17"/>
    <x v="2"/>
    <x v="6"/>
    <s v="Maxell DVD-RAM Discs"/>
    <n v="115.36"/>
    <n v="7"/>
    <n v="49.6"/>
  </r>
  <r>
    <d v="2014-04-04T00:00:00"/>
    <x v="3"/>
    <x v="0"/>
    <x v="27"/>
    <x v="12"/>
    <x v="1"/>
    <x v="3"/>
    <s v="Master Caster Door Stop, Large Brown"/>
    <n v="14.56"/>
    <n v="2"/>
    <n v="5.53"/>
  </r>
  <r>
    <d v="2014-04-05T00:00:00"/>
    <x v="3"/>
    <x v="0"/>
    <x v="28"/>
    <x v="3"/>
    <x v="1"/>
    <x v="12"/>
    <s v="Global Geo Office Task Chair, Gray"/>
    <n v="129.57"/>
    <n v="2"/>
    <n v="-24.29"/>
  </r>
  <r>
    <d v="2014-04-06T00:00:00"/>
    <x v="3"/>
    <x v="0"/>
    <x v="29"/>
    <x v="0"/>
    <x v="0"/>
    <x v="0"/>
    <s v="Memo Book, 100 Message Capacity, 5 3/8 x 11"/>
    <n v="16.18"/>
    <n v="3"/>
    <n v="6.07"/>
  </r>
  <r>
    <d v="2014-04-07T00:00:00"/>
    <x v="3"/>
    <x v="0"/>
    <x v="30"/>
    <x v="16"/>
    <x v="0"/>
    <x v="8"/>
    <s v="Pressboard Data Binders by Wilson Jones"/>
    <n v="21.36"/>
    <n v="5"/>
    <n v="7.21"/>
  </r>
  <r>
    <d v="2014-04-08T00:00:00"/>
    <x v="3"/>
    <x v="0"/>
    <x v="31"/>
    <x v="0"/>
    <x v="0"/>
    <x v="8"/>
    <s v="Wilson Jones Easy Flow II Sheet Lifters"/>
    <n v="1.08"/>
    <n v="3"/>
    <n v="-1.73"/>
  </r>
  <r>
    <d v="2014-04-10T00:00:00"/>
    <x v="3"/>
    <x v="0"/>
    <x v="11"/>
    <x v="1"/>
    <x v="0"/>
    <x v="2"/>
    <s v="Staples in misc. colors"/>
    <n v="54.21"/>
    <n v="14"/>
    <n v="8.81"/>
  </r>
  <r>
    <d v="2014-04-11T00:00:00"/>
    <x v="3"/>
    <x v="0"/>
    <x v="32"/>
    <x v="0"/>
    <x v="1"/>
    <x v="3"/>
    <s v="DAX Copper Panel Document Frame, 5 x 7 Size"/>
    <n v="25.16"/>
    <n v="5"/>
    <n v="-11.32"/>
  </r>
  <r>
    <d v="2014-04-12T00:00:00"/>
    <x v="3"/>
    <x v="0"/>
    <x v="33"/>
    <x v="18"/>
    <x v="2"/>
    <x v="6"/>
    <s v="Enermax Briskie RF Wireless Keyboard and Mouse Combo"/>
    <n v="62.31"/>
    <n v="3"/>
    <n v="22.43"/>
  </r>
  <r>
    <d v="2014-05-01T00:00:00"/>
    <x v="4"/>
    <x v="0"/>
    <x v="34"/>
    <x v="1"/>
    <x v="0"/>
    <x v="8"/>
    <s v="GBC Standard Plastic Binding Systems Combs"/>
    <n v="8.85"/>
    <n v="5"/>
    <n v="-13.72"/>
  </r>
  <r>
    <d v="2014-05-03T00:00:00"/>
    <x v="4"/>
    <x v="0"/>
    <x v="35"/>
    <x v="0"/>
    <x v="0"/>
    <x v="1"/>
    <s v="Staple-on labels"/>
    <n v="6.94"/>
    <n v="3"/>
    <n v="2.34"/>
  </r>
  <r>
    <d v="2014-05-04T00:00:00"/>
    <x v="4"/>
    <x v="0"/>
    <x v="36"/>
    <x v="19"/>
    <x v="0"/>
    <x v="2"/>
    <s v="Zebra Zazzle Fluorescent Highlighters"/>
    <n v="19.46"/>
    <n v="4"/>
    <n v="3.4"/>
  </r>
  <r>
    <d v="2014-05-05T00:00:00"/>
    <x v="4"/>
    <x v="0"/>
    <x v="37"/>
    <x v="16"/>
    <x v="1"/>
    <x v="12"/>
    <s v="Global Deluxe High-Back Manager's Chair"/>
    <n v="457.57"/>
    <n v="2"/>
    <n v="51.48"/>
  </r>
  <r>
    <d v="2014-05-07T00:00:00"/>
    <x v="4"/>
    <x v="0"/>
    <x v="38"/>
    <x v="20"/>
    <x v="0"/>
    <x v="10"/>
    <s v="Sensible Storage WireTech Storage Systems"/>
    <n v="354.9"/>
    <n v="5"/>
    <n v="17.75"/>
  </r>
  <r>
    <d v="2014-05-08T00:00:00"/>
    <x v="4"/>
    <x v="0"/>
    <x v="39"/>
    <x v="13"/>
    <x v="0"/>
    <x v="2"/>
    <s v="Newell 345"/>
    <n v="59.52"/>
    <n v="3"/>
    <n v="15.48"/>
  </r>
  <r>
    <d v="2014-05-10T00:00:00"/>
    <x v="4"/>
    <x v="0"/>
    <x v="40"/>
    <x v="16"/>
    <x v="1"/>
    <x v="12"/>
    <s v="Global Push Button Manager's Chair, Indigo"/>
    <n v="48.71"/>
    <n v="1"/>
    <n v="5.48"/>
  </r>
  <r>
    <d v="2014-05-11T00:00:00"/>
    <x v="4"/>
    <x v="0"/>
    <x v="41"/>
    <x v="14"/>
    <x v="0"/>
    <x v="0"/>
    <s v="Geographics Note Cards, Blank, White, 8 1/2&quot; x 11&quot;"/>
    <n v="22.38"/>
    <n v="2"/>
    <n v="10.74"/>
  </r>
  <r>
    <d v="2014-05-12T00:00:00"/>
    <x v="4"/>
    <x v="0"/>
    <x v="42"/>
    <x v="19"/>
    <x v="1"/>
    <x v="3"/>
    <s v="Eldon Wave Desk Accessories"/>
    <n v="8.32"/>
    <n v="5"/>
    <n v="2.29"/>
  </r>
  <r>
    <d v="2014-06-01T00:00:00"/>
    <x v="5"/>
    <x v="0"/>
    <x v="43"/>
    <x v="11"/>
    <x v="0"/>
    <x v="10"/>
    <s v="Hot File 7-Pocket, Floor Stand"/>
    <n v="142.78"/>
    <n v="1"/>
    <n v="17.850000000000001"/>
  </r>
  <r>
    <d v="2014-06-02T00:00:00"/>
    <x v="5"/>
    <x v="0"/>
    <x v="44"/>
    <x v="21"/>
    <x v="2"/>
    <x v="9"/>
    <s v="Polycom VoiceStation 500 Conference phone"/>
    <n v="471.92"/>
    <n v="2"/>
    <n v="29.5"/>
  </r>
  <r>
    <d v="2014-06-04T00:00:00"/>
    <x v="5"/>
    <x v="0"/>
    <x v="45"/>
    <x v="22"/>
    <x v="0"/>
    <x v="7"/>
    <s v="Bionaire Personal Warm Mist Humidifier/Vaporizer"/>
    <n v="93.78"/>
    <n v="2"/>
    <n v="36.57"/>
  </r>
  <r>
    <d v="2014-06-05T00:00:00"/>
    <x v="5"/>
    <x v="0"/>
    <x v="46"/>
    <x v="11"/>
    <x v="2"/>
    <x v="13"/>
    <s v="Hewlett-Packard Deskjet 6540 Color Inkjet Printer"/>
    <n v="821.3"/>
    <n v="4"/>
    <n v="-16.43"/>
  </r>
  <r>
    <d v="2014-06-06T00:00:00"/>
    <x v="5"/>
    <x v="0"/>
    <x v="47"/>
    <x v="11"/>
    <x v="2"/>
    <x v="9"/>
    <s v="Cisco 8x8 Inc. 6753i IP Business Phone System"/>
    <n v="323.98"/>
    <n v="3"/>
    <n v="28.35"/>
  </r>
  <r>
    <d v="2014-06-07T00:00:00"/>
    <x v="5"/>
    <x v="0"/>
    <x v="48"/>
    <x v="19"/>
    <x v="0"/>
    <x v="2"/>
    <s v="Binney &amp; Smith Crayola Metallic Colored Pencils, 8-Color Set"/>
    <n v="7.41"/>
    <n v="2"/>
    <n v="1.2"/>
  </r>
  <r>
    <d v="2014-06-08T00:00:00"/>
    <x v="5"/>
    <x v="0"/>
    <x v="49"/>
    <x v="21"/>
    <x v="0"/>
    <x v="8"/>
    <s v="C-Line Peel &amp; Stick Add-On Filing Pockets, 8-3/4 x 5-1/8, 10/Pack"/>
    <n v="7.64"/>
    <n v="4"/>
    <n v="-5.86"/>
  </r>
  <r>
    <d v="2014-06-10T00:00:00"/>
    <x v="5"/>
    <x v="0"/>
    <x v="50"/>
    <x v="3"/>
    <x v="0"/>
    <x v="10"/>
    <s v="Economy Rollaway Files"/>
    <n v="330.4"/>
    <n v="2"/>
    <n v="85.9"/>
  </r>
  <r>
    <d v="2014-06-11T00:00:00"/>
    <x v="5"/>
    <x v="0"/>
    <x v="51"/>
    <x v="13"/>
    <x v="0"/>
    <x v="0"/>
    <s v="Xerox 190"/>
    <n v="24.9"/>
    <n v="5"/>
    <n v="11.7"/>
  </r>
  <r>
    <d v="2014-06-12T00:00:00"/>
    <x v="5"/>
    <x v="0"/>
    <x v="52"/>
    <x v="13"/>
    <x v="1"/>
    <x v="12"/>
    <s v="Iceberg Nesting Folding Chair, 19w x 6d x 43h"/>
    <n v="366.79"/>
    <n v="7"/>
    <n v="65.209999999999994"/>
  </r>
  <r>
    <d v="2014-07-01T00:00:00"/>
    <x v="6"/>
    <x v="0"/>
    <x v="53"/>
    <x v="3"/>
    <x v="2"/>
    <x v="6"/>
    <s v="SanDisk Ultra 32 GB MicroSDHC Class 10 Memory Card"/>
    <n v="66.3"/>
    <n v="3"/>
    <n v="8.6199999999999992"/>
  </r>
  <r>
    <d v="2014-07-02T00:00:00"/>
    <x v="6"/>
    <x v="0"/>
    <x v="54"/>
    <x v="23"/>
    <x v="0"/>
    <x v="4"/>
    <s v="Poly String Tie Envelopes"/>
    <n v="6.12"/>
    <n v="3"/>
    <n v="2.88"/>
  </r>
  <r>
    <d v="2014-07-03T00:00:00"/>
    <x v="6"/>
    <x v="0"/>
    <x v="55"/>
    <x v="0"/>
    <x v="1"/>
    <x v="14"/>
    <s v="Bush Advantage Collection Racetrack Conference Table"/>
    <n v="890.84"/>
    <n v="3"/>
    <n v="-152.72"/>
  </r>
  <r>
    <d v="2014-07-04T00:00:00"/>
    <x v="6"/>
    <x v="0"/>
    <x v="56"/>
    <x v="13"/>
    <x v="0"/>
    <x v="2"/>
    <s v="Peel-Off China Markers"/>
    <n v="49.65"/>
    <n v="5"/>
    <n v="20.85"/>
  </r>
  <r>
    <d v="2014-07-05T00:00:00"/>
    <x v="6"/>
    <x v="0"/>
    <x v="57"/>
    <x v="3"/>
    <x v="0"/>
    <x v="8"/>
    <s v="GBC DocuBind 200 Manual Binding Machine"/>
    <n v="673.57"/>
    <n v="2"/>
    <n v="252.59"/>
  </r>
  <r>
    <d v="2014-07-06T00:00:00"/>
    <x v="6"/>
    <x v="0"/>
    <x v="56"/>
    <x v="3"/>
    <x v="0"/>
    <x v="1"/>
    <s v="Avery 490"/>
    <n v="29.6"/>
    <n v="2"/>
    <n v="14.8"/>
  </r>
  <r>
    <d v="2014-07-07T00:00:00"/>
    <x v="6"/>
    <x v="0"/>
    <x v="58"/>
    <x v="7"/>
    <x v="0"/>
    <x v="0"/>
    <s v="Xerox 1990"/>
    <n v="15.84"/>
    <n v="3"/>
    <n v="7.13"/>
  </r>
  <r>
    <d v="2014-07-09T00:00:00"/>
    <x v="6"/>
    <x v="0"/>
    <x v="59"/>
    <x v="3"/>
    <x v="0"/>
    <x v="1"/>
    <s v="Avery 518"/>
    <n v="18.899999999999999"/>
    <n v="6"/>
    <n v="9.07"/>
  </r>
  <r>
    <d v="2014-07-11T00:00:00"/>
    <x v="6"/>
    <x v="0"/>
    <x v="60"/>
    <x v="13"/>
    <x v="0"/>
    <x v="0"/>
    <s v="Eaton Premium Continuous-Feed Paper, 25% Cotton, Letter Size, White, 1000 Shts/Box"/>
    <n v="55.48"/>
    <n v="1"/>
    <n v="26.63"/>
  </r>
  <r>
    <d v="2014-07-12T00:00:00"/>
    <x v="6"/>
    <x v="0"/>
    <x v="61"/>
    <x v="2"/>
    <x v="0"/>
    <x v="8"/>
    <s v="Large Capacity Hanging Post Binders"/>
    <n v="44.91"/>
    <n v="6"/>
    <n v="-35.93"/>
  </r>
  <r>
    <d v="2014-08-02T00:00:00"/>
    <x v="7"/>
    <x v="0"/>
    <x v="62"/>
    <x v="24"/>
    <x v="1"/>
    <x v="3"/>
    <s v="Stacking Tray, Side-Loading, Legal, Smoke"/>
    <n v="8.9600000000000009"/>
    <n v="2"/>
    <n v="2.78"/>
  </r>
  <r>
    <d v="2014-08-04T00:00:00"/>
    <x v="7"/>
    <x v="0"/>
    <x v="63"/>
    <x v="9"/>
    <x v="0"/>
    <x v="11"/>
    <s v="Binder Clips by OIC"/>
    <n v="2.37"/>
    <n v="2"/>
    <n v="0.83"/>
  </r>
  <r>
    <d v="2014-08-05T00:00:00"/>
    <x v="7"/>
    <x v="0"/>
    <x v="64"/>
    <x v="11"/>
    <x v="0"/>
    <x v="11"/>
    <s v="Acco Banker's Clasps, 5 3/4&quot;-Long"/>
    <n v="6.91"/>
    <n v="3"/>
    <n v="2.33"/>
  </r>
  <r>
    <d v="2014-08-06T00:00:00"/>
    <x v="7"/>
    <x v="0"/>
    <x v="65"/>
    <x v="3"/>
    <x v="2"/>
    <x v="9"/>
    <s v="Pyle PMP37LED"/>
    <n v="1075.0899999999999"/>
    <n v="14"/>
    <n v="94.07"/>
  </r>
  <r>
    <d v="2014-08-07T00:00:00"/>
    <x v="7"/>
    <x v="0"/>
    <x v="53"/>
    <x v="2"/>
    <x v="0"/>
    <x v="2"/>
    <s v="Newell 314"/>
    <n v="17.86"/>
    <n v="4"/>
    <n v="1.1200000000000001"/>
  </r>
  <r>
    <d v="2014-08-08T00:00:00"/>
    <x v="7"/>
    <x v="0"/>
    <x v="66"/>
    <x v="3"/>
    <x v="0"/>
    <x v="7"/>
    <s v="Belkin F9G930V10-GRY 9 Outlet Surge"/>
    <n v="106.96"/>
    <n v="2"/>
    <n v="31.02"/>
  </r>
  <r>
    <d v="2014-08-10T00:00:00"/>
    <x v="7"/>
    <x v="0"/>
    <x v="67"/>
    <x v="3"/>
    <x v="2"/>
    <x v="13"/>
    <s v="Ativa MDM8000 8-Sheet Micro-Cut Shredder"/>
    <n v="287.97000000000003"/>
    <n v="4"/>
    <n v="97.19"/>
  </r>
  <r>
    <d v="2014-08-11T00:00:00"/>
    <x v="7"/>
    <x v="0"/>
    <x v="68"/>
    <x v="3"/>
    <x v="1"/>
    <x v="3"/>
    <s v="Executive Impressions 13&quot; Chairman Wall Clock"/>
    <n v="76.14"/>
    <n v="3"/>
    <n v="26.65"/>
  </r>
  <r>
    <d v="2014-08-12T00:00:00"/>
    <x v="7"/>
    <x v="0"/>
    <x v="7"/>
    <x v="0"/>
    <x v="1"/>
    <x v="14"/>
    <s v="Bush Advantage Collection Round Conference Table"/>
    <n v="744.1"/>
    <n v="5"/>
    <n v="-95.67"/>
  </r>
  <r>
    <d v="2014-09-01T00:00:00"/>
    <x v="8"/>
    <x v="0"/>
    <x v="69"/>
    <x v="2"/>
    <x v="0"/>
    <x v="8"/>
    <s v="Wilson Jones Suede Grain Vinyl Binders"/>
    <n v="2.5"/>
    <n v="3"/>
    <n v="-1.75"/>
  </r>
  <r>
    <d v="2014-09-05T00:00:00"/>
    <x v="8"/>
    <x v="0"/>
    <x v="70"/>
    <x v="0"/>
    <x v="0"/>
    <x v="0"/>
    <s v="Xerox 1985"/>
    <n v="10.37"/>
    <n v="2"/>
    <n v="3.63"/>
  </r>
  <r>
    <d v="2014-09-06T00:00:00"/>
    <x v="8"/>
    <x v="0"/>
    <x v="71"/>
    <x v="3"/>
    <x v="1"/>
    <x v="12"/>
    <s v="Bevis Steel Folding Chairs"/>
    <n v="230.28"/>
    <n v="3"/>
    <n v="23.03"/>
  </r>
  <r>
    <d v="2014-09-08T00:00:00"/>
    <x v="8"/>
    <x v="0"/>
    <x v="72"/>
    <x v="25"/>
    <x v="0"/>
    <x v="8"/>
    <s v="Acco Data Flex Cable Posts For Top &amp; Bottom Load Binders, 6&quot; Capacity"/>
    <n v="20.86"/>
    <n v="2"/>
    <n v="9.39"/>
  </r>
  <r>
    <d v="2014-09-09T00:00:00"/>
    <x v="8"/>
    <x v="0"/>
    <x v="73"/>
    <x v="13"/>
    <x v="1"/>
    <x v="3"/>
    <s v="Dax Clear Box Frame"/>
    <n v="17.46"/>
    <n v="2"/>
    <n v="5.94"/>
  </r>
  <r>
    <d v="2014-09-12T00:00:00"/>
    <x v="8"/>
    <x v="0"/>
    <x v="34"/>
    <x v="26"/>
    <x v="2"/>
    <x v="6"/>
    <s v="Maxell 4.7GB DVD-RW 3/Pack"/>
    <n v="47.79"/>
    <n v="3"/>
    <n v="16.25"/>
  </r>
  <r>
    <d v="2014-10-01T00:00:00"/>
    <x v="9"/>
    <x v="0"/>
    <x v="74"/>
    <x v="19"/>
    <x v="0"/>
    <x v="7"/>
    <s v="Belkin 6 Outlet Metallic Surge Strip"/>
    <n v="26.14"/>
    <n v="3"/>
    <n v="1.96"/>
  </r>
  <r>
    <d v="2014-10-03T00:00:00"/>
    <x v="9"/>
    <x v="0"/>
    <x v="75"/>
    <x v="15"/>
    <x v="0"/>
    <x v="1"/>
    <s v="Avery 481"/>
    <n v="21.56"/>
    <n v="7"/>
    <n v="10.35"/>
  </r>
  <r>
    <d v="2014-10-05T00:00:00"/>
    <x v="9"/>
    <x v="0"/>
    <x v="76"/>
    <x v="14"/>
    <x v="0"/>
    <x v="8"/>
    <s v="Fellowes Binding Cases"/>
    <n v="46.8"/>
    <n v="4"/>
    <n v="21.06"/>
  </r>
  <r>
    <d v="2014-10-06T00:00:00"/>
    <x v="9"/>
    <x v="0"/>
    <x v="77"/>
    <x v="27"/>
    <x v="0"/>
    <x v="0"/>
    <s v="Adams &quot;While You Were Out&quot; Message Pads"/>
    <n v="9.42"/>
    <n v="3"/>
    <n v="4.24"/>
  </r>
  <r>
    <d v="2014-10-10T00:00:00"/>
    <x v="9"/>
    <x v="0"/>
    <x v="78"/>
    <x v="3"/>
    <x v="0"/>
    <x v="8"/>
    <s v="Wilson Jones Legal Size Ring Binders"/>
    <n v="140.74"/>
    <n v="8"/>
    <n v="52.78"/>
  </r>
  <r>
    <d v="2014-10-11T00:00:00"/>
    <x v="9"/>
    <x v="0"/>
    <x v="79"/>
    <x v="28"/>
    <x v="0"/>
    <x v="8"/>
    <s v="Acco PRESSTEX Data Binder with Storage Hooks, Dark Blue, 14 7/8&quot; X 11&quot;"/>
    <n v="16.14"/>
    <n v="3"/>
    <n v="7.91"/>
  </r>
  <r>
    <d v="2014-11-01T00:00:00"/>
    <x v="10"/>
    <x v="0"/>
    <x v="80"/>
    <x v="2"/>
    <x v="2"/>
    <x v="15"/>
    <s v="Hewlett Packard LaserJet 3310 Copier"/>
    <n v="1799.97"/>
    <n v="5"/>
    <n v="240"/>
  </r>
  <r>
    <d v="2014-11-03T00:00:00"/>
    <x v="10"/>
    <x v="0"/>
    <x v="81"/>
    <x v="3"/>
    <x v="2"/>
    <x v="6"/>
    <s v="Kingston Digital DataTraveler 32GB USB 2.0"/>
    <n v="67.8"/>
    <n v="4"/>
    <n v="4.07"/>
  </r>
  <r>
    <d v="2014-11-04T00:00:00"/>
    <x v="10"/>
    <x v="0"/>
    <x v="82"/>
    <x v="16"/>
    <x v="0"/>
    <x v="4"/>
    <s v="Strathmore #10 Envelopes, Ultimate White"/>
    <n v="158.13"/>
    <n v="3"/>
    <n v="77.48"/>
  </r>
  <r>
    <d v="2014-11-05T00:00:00"/>
    <x v="10"/>
    <x v="0"/>
    <x v="83"/>
    <x v="0"/>
    <x v="2"/>
    <x v="6"/>
    <s v="SanDisk Cruzer 64 GB USB Flash Drive"/>
    <n v="58.11"/>
    <n v="2"/>
    <n v="7.26"/>
  </r>
  <r>
    <d v="2014-11-09T00:00:00"/>
    <x v="10"/>
    <x v="0"/>
    <x v="84"/>
    <x v="29"/>
    <x v="0"/>
    <x v="10"/>
    <s v="Fellowes Super Stor/Drawer"/>
    <n v="55.5"/>
    <n v="2"/>
    <n v="9.99"/>
  </r>
  <r>
    <d v="2014-11-10T00:00:00"/>
    <x v="10"/>
    <x v="0"/>
    <x v="85"/>
    <x v="11"/>
    <x v="1"/>
    <x v="3"/>
    <s v="Electrix Halogen Magnifier Lamp"/>
    <n v="310.88"/>
    <n v="2"/>
    <n v="23.32"/>
  </r>
  <r>
    <d v="2014-11-11T00:00:00"/>
    <x v="10"/>
    <x v="0"/>
    <x v="86"/>
    <x v="15"/>
    <x v="0"/>
    <x v="8"/>
    <s v="Surelock Post Binders"/>
    <n v="91.68"/>
    <n v="3"/>
    <n v="45.84"/>
  </r>
  <r>
    <d v="2014-12-02T00:00:00"/>
    <x v="11"/>
    <x v="0"/>
    <x v="87"/>
    <x v="19"/>
    <x v="2"/>
    <x v="9"/>
    <s v="Apple iPhone 5"/>
    <n v="779.8"/>
    <n v="2"/>
    <n v="-168.96"/>
  </r>
  <r>
    <d v="2014-12-04T00:00:00"/>
    <x v="11"/>
    <x v="0"/>
    <x v="88"/>
    <x v="14"/>
    <x v="0"/>
    <x v="8"/>
    <s v="Avery Heavy-Duty EZD View Binder with Locking Rings"/>
    <n v="57.42"/>
    <n v="9"/>
    <n v="26.41"/>
  </r>
  <r>
    <d v="2014-12-07T00:00:00"/>
    <x v="11"/>
    <x v="0"/>
    <x v="89"/>
    <x v="30"/>
    <x v="0"/>
    <x v="7"/>
    <s v="Acco 6 Outlet Guardian Basic Surge Suppressor"/>
    <n v="33.28"/>
    <n v="4"/>
    <n v="9.32"/>
  </r>
  <r>
    <d v="2014-12-08T00:00:00"/>
    <x v="11"/>
    <x v="0"/>
    <x v="90"/>
    <x v="4"/>
    <x v="0"/>
    <x v="8"/>
    <s v="Fellowes PB300 Plastic Comb Binding Machine"/>
    <n v="2715.93"/>
    <n v="7"/>
    <n v="1276.49"/>
  </r>
  <r>
    <d v="2014-12-09T00:00:00"/>
    <x v="11"/>
    <x v="0"/>
    <x v="91"/>
    <x v="24"/>
    <x v="2"/>
    <x v="9"/>
    <s v="Nortel Networks T7316 E Nt8 B27"/>
    <n v="135.97999999999999"/>
    <n v="2"/>
    <n v="34"/>
  </r>
  <r>
    <d v="2014-12-11T00:00:00"/>
    <x v="11"/>
    <x v="0"/>
    <x v="74"/>
    <x v="2"/>
    <x v="0"/>
    <x v="8"/>
    <s v="Angle-D Ring Binders"/>
    <n v="3.28"/>
    <n v="2"/>
    <n v="-2.63"/>
  </r>
  <r>
    <d v="2014-12-12T00:00:00"/>
    <x v="11"/>
    <x v="0"/>
    <x v="92"/>
    <x v="25"/>
    <x v="0"/>
    <x v="0"/>
    <s v="Xerox 1944"/>
    <n v="116.28"/>
    <n v="3"/>
    <n v="56.98"/>
  </r>
  <r>
    <d v="2015-01-03T00:00:00"/>
    <x v="0"/>
    <x v="1"/>
    <x v="93"/>
    <x v="1"/>
    <x v="0"/>
    <x v="7"/>
    <s v="Harmony Air Purifier"/>
    <n v="75.599999999999994"/>
    <n v="2"/>
    <n v="-166.32"/>
  </r>
  <r>
    <d v="2015-01-05T00:00:00"/>
    <x v="0"/>
    <x v="1"/>
    <x v="94"/>
    <x v="3"/>
    <x v="1"/>
    <x v="14"/>
    <s v="KI Conference Tables"/>
    <n v="567.12"/>
    <n v="10"/>
    <n v="-28.36"/>
  </r>
  <r>
    <d v="2015-01-06T00:00:00"/>
    <x v="0"/>
    <x v="1"/>
    <x v="95"/>
    <x v="16"/>
    <x v="2"/>
    <x v="9"/>
    <s v="I Need's 3d Hello Kitty Hybrid Silicone Case Cover for HTC One X 4g with 3d Hello Kitty Stylus Pen Green/pink"/>
    <n v="57.41"/>
    <n v="6"/>
    <n v="5.74"/>
  </r>
  <r>
    <d v="2015-01-08T00:00:00"/>
    <x v="0"/>
    <x v="1"/>
    <x v="96"/>
    <x v="4"/>
    <x v="0"/>
    <x v="0"/>
    <s v="Ampad Poly Cover Wirebound Steno Book, 6&quot; x 9&quot; Assorted Colors, Gregg Ruled"/>
    <n v="13.62"/>
    <n v="3"/>
    <n v="6.13"/>
  </r>
  <r>
    <d v="2015-01-09T00:00:00"/>
    <x v="0"/>
    <x v="1"/>
    <x v="97"/>
    <x v="26"/>
    <x v="2"/>
    <x v="9"/>
    <s v="Samsung Galaxy Note 3"/>
    <n v="659.97"/>
    <n v="3"/>
    <n v="197.99"/>
  </r>
  <r>
    <d v="2015-01-10T00:00:00"/>
    <x v="0"/>
    <x v="1"/>
    <x v="98"/>
    <x v="29"/>
    <x v="0"/>
    <x v="8"/>
    <s v="GBC Standard Therm-A-Bind Covers"/>
    <n v="59.81"/>
    <n v="3"/>
    <n v="19.440000000000001"/>
  </r>
  <r>
    <d v="2015-01-12T00:00:00"/>
    <x v="0"/>
    <x v="1"/>
    <x v="99"/>
    <x v="16"/>
    <x v="1"/>
    <x v="14"/>
    <s v="KI Adjustable-Height Table"/>
    <n v="515.88"/>
    <n v="6"/>
    <n v="113.49"/>
  </r>
  <r>
    <d v="2015-02-01T00:00:00"/>
    <x v="1"/>
    <x v="1"/>
    <x v="100"/>
    <x v="19"/>
    <x v="0"/>
    <x v="0"/>
    <s v="Easy-staple paper"/>
    <n v="16.22"/>
    <n v="2"/>
    <n v="5.88"/>
  </r>
  <r>
    <d v="2015-02-03T00:00:00"/>
    <x v="1"/>
    <x v="1"/>
    <x v="101"/>
    <x v="13"/>
    <x v="0"/>
    <x v="2"/>
    <s v="Sanford Liquid Accent Highlighters"/>
    <n v="13.36"/>
    <n v="2"/>
    <n v="4.9400000000000004"/>
  </r>
  <r>
    <d v="2015-02-04T00:00:00"/>
    <x v="1"/>
    <x v="1"/>
    <x v="102"/>
    <x v="1"/>
    <x v="0"/>
    <x v="8"/>
    <s v="Wilson Jones Century Plastic Molded Ring Binders"/>
    <n v="12.46"/>
    <n v="3"/>
    <n v="-20.56"/>
  </r>
  <r>
    <d v="2015-02-05T00:00:00"/>
    <x v="1"/>
    <x v="1"/>
    <x v="103"/>
    <x v="16"/>
    <x v="1"/>
    <x v="12"/>
    <s v="Hon Deluxe Fabric Upholstered Stacking Chairs, Squared Back"/>
    <n v="585.54999999999995"/>
    <n v="3"/>
    <n v="73.19"/>
  </r>
  <r>
    <d v="2015-02-07T00:00:00"/>
    <x v="1"/>
    <x v="1"/>
    <x v="104"/>
    <x v="3"/>
    <x v="1"/>
    <x v="3"/>
    <s v="Eldon Expressions Wood and Plastic Desk Accessories, Cherry Wood"/>
    <n v="48.86"/>
    <n v="7"/>
    <n v="14.17"/>
  </r>
  <r>
    <d v="2015-02-08T00:00:00"/>
    <x v="1"/>
    <x v="1"/>
    <x v="105"/>
    <x v="14"/>
    <x v="0"/>
    <x v="1"/>
    <s v="Dot Matrix Printer Tape Reel Labels, White, 5000/Box"/>
    <n v="491.55"/>
    <n v="5"/>
    <n v="240.86"/>
  </r>
  <r>
    <d v="2015-02-10T00:00:00"/>
    <x v="1"/>
    <x v="1"/>
    <x v="106"/>
    <x v="14"/>
    <x v="1"/>
    <x v="5"/>
    <s v="Hon Metal Bookcases, Gray"/>
    <n v="212.94"/>
    <n v="3"/>
    <n v="57.49"/>
  </r>
  <r>
    <d v="2015-02-11T00:00:00"/>
    <x v="1"/>
    <x v="1"/>
    <x v="107"/>
    <x v="0"/>
    <x v="1"/>
    <x v="14"/>
    <s v="Lesro Sheffield Collection Coffee Table, End Table, Center Table, Corner Table"/>
    <n v="99.92"/>
    <n v="2"/>
    <n v="-18.559999999999999"/>
  </r>
  <r>
    <d v="2015-03-02T00:00:00"/>
    <x v="2"/>
    <x v="1"/>
    <x v="108"/>
    <x v="5"/>
    <x v="2"/>
    <x v="13"/>
    <s v="Texas Instruments TI-34 Scientific Calculator"/>
    <n v="65.97"/>
    <n v="3"/>
    <n v="31.01"/>
  </r>
  <r>
    <d v="2015-03-07T00:00:00"/>
    <x v="2"/>
    <x v="1"/>
    <x v="109"/>
    <x v="3"/>
    <x v="2"/>
    <x v="9"/>
    <s v="Plantronics Cordless Phone Headset with In-line Volume - M214C"/>
    <n v="139.80000000000001"/>
    <n v="5"/>
    <n v="12.23"/>
  </r>
  <r>
    <d v="2015-03-09T00:00:00"/>
    <x v="2"/>
    <x v="1"/>
    <x v="110"/>
    <x v="0"/>
    <x v="2"/>
    <x v="9"/>
    <s v="HTC One Mini"/>
    <n v="201.58"/>
    <n v="2"/>
    <n v="20.16"/>
  </r>
  <r>
    <d v="2015-03-11T00:00:00"/>
    <x v="2"/>
    <x v="1"/>
    <x v="111"/>
    <x v="4"/>
    <x v="1"/>
    <x v="3"/>
    <s v="Luxo Professional Magnifying Clamp-On Fluorescent Lamps"/>
    <n v="104.01"/>
    <n v="1"/>
    <n v="14.56"/>
  </r>
  <r>
    <d v="2015-03-12T00:00:00"/>
    <x v="2"/>
    <x v="1"/>
    <x v="112"/>
    <x v="31"/>
    <x v="2"/>
    <x v="6"/>
    <s v="KeyTronic 6101 Series - Keyboard - Black"/>
    <n v="196.75"/>
    <n v="6"/>
    <n v="56.57"/>
  </r>
  <r>
    <d v="2015-04-05T00:00:00"/>
    <x v="3"/>
    <x v="1"/>
    <x v="113"/>
    <x v="2"/>
    <x v="2"/>
    <x v="6"/>
    <s v="Sony 64GB Class 10 Micro SDHC R40 Memory Card"/>
    <n v="86.38"/>
    <n v="3"/>
    <n v="1.08"/>
  </r>
  <r>
    <d v="2015-04-07T00:00:00"/>
    <x v="3"/>
    <x v="1"/>
    <x v="114"/>
    <x v="9"/>
    <x v="1"/>
    <x v="3"/>
    <s v="Acrylic Self-Standing Desk Frames"/>
    <n v="4.2699999999999996"/>
    <n v="2"/>
    <n v="0.96"/>
  </r>
  <r>
    <d v="2015-04-09T00:00:00"/>
    <x v="3"/>
    <x v="1"/>
    <x v="115"/>
    <x v="3"/>
    <x v="1"/>
    <x v="14"/>
    <s v="Hon 4060 Series Tables"/>
    <n v="447.84"/>
    <n v="5"/>
    <n v="11.2"/>
  </r>
  <r>
    <d v="2015-04-10T00:00:00"/>
    <x v="3"/>
    <x v="1"/>
    <x v="116"/>
    <x v="26"/>
    <x v="0"/>
    <x v="10"/>
    <s v="SAFCO Commercial Wire Shelving, 72h"/>
    <n v="306.2"/>
    <n v="5"/>
    <n v="0"/>
  </r>
  <r>
    <d v="2015-04-12T00:00:00"/>
    <x v="3"/>
    <x v="1"/>
    <x v="117"/>
    <x v="2"/>
    <x v="0"/>
    <x v="0"/>
    <s v="Xerox 1995"/>
    <n v="41.47"/>
    <n v="8"/>
    <n v="14.52"/>
  </r>
  <r>
    <d v="2015-05-01T00:00:00"/>
    <x v="4"/>
    <x v="1"/>
    <x v="118"/>
    <x v="19"/>
    <x v="0"/>
    <x v="2"/>
    <s v="Dixon My First Ticonderoga Pencil, #2"/>
    <n v="32.76"/>
    <n v="7"/>
    <n v="3.69"/>
  </r>
  <r>
    <d v="2015-05-04T00:00:00"/>
    <x v="4"/>
    <x v="1"/>
    <x v="119"/>
    <x v="13"/>
    <x v="0"/>
    <x v="8"/>
    <s v="GBC Recycled Regency Composition Covers"/>
    <n v="334.77"/>
    <n v="7"/>
    <n v="108.8"/>
  </r>
  <r>
    <d v="2015-05-06T00:00:00"/>
    <x v="4"/>
    <x v="1"/>
    <x v="120"/>
    <x v="16"/>
    <x v="0"/>
    <x v="8"/>
    <s v="Cardinal Holdit Business Card Pockets"/>
    <n v="19.920000000000002"/>
    <n v="5"/>
    <n v="6.97"/>
  </r>
  <r>
    <d v="2015-05-08T00:00:00"/>
    <x v="4"/>
    <x v="1"/>
    <x v="121"/>
    <x v="17"/>
    <x v="2"/>
    <x v="9"/>
    <s v="Logitech B530 USB Headset - headset - Full size, Binaural"/>
    <n v="73.98"/>
    <n v="2"/>
    <n v="19.97"/>
  </r>
  <r>
    <d v="2015-05-09T00:00:00"/>
    <x v="4"/>
    <x v="1"/>
    <x v="122"/>
    <x v="31"/>
    <x v="0"/>
    <x v="0"/>
    <s v="Xerox 194"/>
    <n v="177.54"/>
    <n v="4"/>
    <n v="62.14"/>
  </r>
  <r>
    <d v="2015-05-10T00:00:00"/>
    <x v="4"/>
    <x v="1"/>
    <x v="123"/>
    <x v="26"/>
    <x v="2"/>
    <x v="6"/>
    <s v="NETGEAR AC1750 Dual Band Gigabit Smart WiFi Router"/>
    <n v="479.97"/>
    <n v="3"/>
    <n v="163.19"/>
  </r>
  <r>
    <d v="2015-05-11T00:00:00"/>
    <x v="4"/>
    <x v="1"/>
    <x v="124"/>
    <x v="13"/>
    <x v="2"/>
    <x v="15"/>
    <s v="Canon Imageclass D680 Copier / Fax"/>
    <n v="559.99"/>
    <n v="1"/>
    <n v="175"/>
  </r>
  <r>
    <d v="2015-06-03T00:00:00"/>
    <x v="5"/>
    <x v="1"/>
    <x v="67"/>
    <x v="2"/>
    <x v="1"/>
    <x v="12"/>
    <s v="Global High-Back Leather Tilter, Burgundy"/>
    <n v="172.19"/>
    <n v="2"/>
    <n v="-46.74"/>
  </r>
  <r>
    <d v="2015-06-07T00:00:00"/>
    <x v="5"/>
    <x v="1"/>
    <x v="125"/>
    <x v="13"/>
    <x v="1"/>
    <x v="12"/>
    <s v="Situations Contoured Folding Chairs, 4/Set"/>
    <n v="63.88"/>
    <n v="1"/>
    <n v="10.65"/>
  </r>
  <r>
    <d v="2015-06-08T00:00:00"/>
    <x v="5"/>
    <x v="1"/>
    <x v="126"/>
    <x v="3"/>
    <x v="0"/>
    <x v="8"/>
    <s v="Tuff Stuff Recycled Round Ring Binders"/>
    <n v="7.71"/>
    <n v="2"/>
    <n v="2.8"/>
  </r>
  <r>
    <d v="2015-07-02T00:00:00"/>
    <x v="6"/>
    <x v="1"/>
    <x v="127"/>
    <x v="3"/>
    <x v="1"/>
    <x v="14"/>
    <s v="Bevis Round Conference Table Top &amp; Single Column Base"/>
    <n v="351.22"/>
    <n v="3"/>
    <n v="4.3899999999999997"/>
  </r>
  <r>
    <d v="2015-07-03T00:00:00"/>
    <x v="6"/>
    <x v="1"/>
    <x v="128"/>
    <x v="1"/>
    <x v="0"/>
    <x v="8"/>
    <s v="Acco D-Ring Binder w/DublLock"/>
    <n v="29.93"/>
    <n v="7"/>
    <n v="-46.39"/>
  </r>
  <r>
    <d v="2015-07-04T00:00:00"/>
    <x v="6"/>
    <x v="1"/>
    <x v="129"/>
    <x v="32"/>
    <x v="2"/>
    <x v="6"/>
    <s v="Maxell 4.7GB DVD-R 5/Pack"/>
    <n v="2.97"/>
    <n v="3"/>
    <n v="1.31"/>
  </r>
  <r>
    <d v="2015-07-05T00:00:00"/>
    <x v="6"/>
    <x v="1"/>
    <x v="130"/>
    <x v="9"/>
    <x v="1"/>
    <x v="12"/>
    <s v="Office Star - Ergonomically Designed Knee Chair"/>
    <n v="259.14"/>
    <n v="4"/>
    <n v="-25.91"/>
  </r>
  <r>
    <d v="2015-07-06T00:00:00"/>
    <x v="6"/>
    <x v="1"/>
    <x v="131"/>
    <x v="33"/>
    <x v="2"/>
    <x v="9"/>
    <s v="Polycom VVX 310 VoIP phone"/>
    <n v="359.98"/>
    <n v="2"/>
    <n v="93.59"/>
  </r>
  <r>
    <d v="2015-07-11T00:00:00"/>
    <x v="6"/>
    <x v="1"/>
    <x v="132"/>
    <x v="0"/>
    <x v="0"/>
    <x v="10"/>
    <s v="Letter Size Cart"/>
    <n v="342.86"/>
    <n v="3"/>
    <n v="38.57"/>
  </r>
  <r>
    <d v="2015-07-12T00:00:00"/>
    <x v="6"/>
    <x v="1"/>
    <x v="133"/>
    <x v="3"/>
    <x v="0"/>
    <x v="2"/>
    <s v="Newell 334"/>
    <n v="99.2"/>
    <n v="5"/>
    <n v="25.79"/>
  </r>
  <r>
    <d v="2015-08-02T00:00:00"/>
    <x v="7"/>
    <x v="1"/>
    <x v="134"/>
    <x v="13"/>
    <x v="0"/>
    <x v="2"/>
    <s v="Premium Writing Pencils, Soft, #2 by Central Association for the Blind"/>
    <n v="5.96"/>
    <n v="2"/>
    <n v="1.67"/>
  </r>
  <r>
    <d v="2015-08-05T00:00:00"/>
    <x v="7"/>
    <x v="1"/>
    <x v="135"/>
    <x v="9"/>
    <x v="0"/>
    <x v="8"/>
    <s v="Wilson Jones Custom Binder Spines &amp; Labels"/>
    <n v="8.16"/>
    <n v="5"/>
    <n v="-5.71"/>
  </r>
  <r>
    <d v="2015-08-08T00:00:00"/>
    <x v="7"/>
    <x v="1"/>
    <x v="136"/>
    <x v="3"/>
    <x v="0"/>
    <x v="10"/>
    <s v="Fellowes Personal Hanging Folder Files, Navy"/>
    <n v="53.72"/>
    <n v="4"/>
    <n v="15.04"/>
  </r>
  <r>
    <d v="2015-08-09T00:00:00"/>
    <x v="7"/>
    <x v="1"/>
    <x v="137"/>
    <x v="1"/>
    <x v="0"/>
    <x v="10"/>
    <s v="Belkin 19&quot; Vented Equipment Shelf, Black"/>
    <n v="123.55"/>
    <n v="3"/>
    <n v="-29.34"/>
  </r>
  <r>
    <d v="2015-08-11T00:00:00"/>
    <x v="7"/>
    <x v="1"/>
    <x v="138"/>
    <x v="3"/>
    <x v="2"/>
    <x v="6"/>
    <s v="WD My Passport Ultra 2TB Portable External Hard Drive"/>
    <n v="238"/>
    <n v="2"/>
    <n v="38.08"/>
  </r>
  <r>
    <d v="2015-08-12T00:00:00"/>
    <x v="7"/>
    <x v="1"/>
    <x v="42"/>
    <x v="11"/>
    <x v="0"/>
    <x v="11"/>
    <s v="OIC Colored Binder Clips, Assorted Sizes"/>
    <n v="14.32"/>
    <n v="5"/>
    <n v="5.19"/>
  </r>
  <r>
    <d v="2015-09-02T00:00:00"/>
    <x v="8"/>
    <x v="1"/>
    <x v="139"/>
    <x v="16"/>
    <x v="1"/>
    <x v="5"/>
    <s v="Rush Hierlooms Collection 1&quot; Thick Stackable Bookcases"/>
    <n v="1367.84"/>
    <n v="8"/>
    <n v="259.89"/>
  </r>
  <r>
    <d v="2015-09-03T00:00:00"/>
    <x v="8"/>
    <x v="1"/>
    <x v="140"/>
    <x v="21"/>
    <x v="0"/>
    <x v="1"/>
    <s v="Self-Adhesive Address Labels for Typewriters by Universal"/>
    <n v="17.54"/>
    <n v="3"/>
    <n v="5.92"/>
  </r>
  <r>
    <d v="2015-09-04T00:00:00"/>
    <x v="8"/>
    <x v="1"/>
    <x v="141"/>
    <x v="34"/>
    <x v="0"/>
    <x v="8"/>
    <s v="Wilson Jones 14 Line Acrylic Coated Pressboard Data Binders"/>
    <n v="26.7"/>
    <n v="5"/>
    <n v="12.55"/>
  </r>
  <r>
    <d v="2015-09-05T00:00:00"/>
    <x v="8"/>
    <x v="1"/>
    <x v="87"/>
    <x v="31"/>
    <x v="1"/>
    <x v="14"/>
    <s v="BoxOffice By Design Rectangular and Half-Moon Meeting Room Tables"/>
    <n v="218.75"/>
    <n v="2"/>
    <n v="-161.88"/>
  </r>
  <r>
    <d v="2015-09-06T00:00:00"/>
    <x v="8"/>
    <x v="1"/>
    <x v="142"/>
    <x v="29"/>
    <x v="0"/>
    <x v="7"/>
    <s v="Hoover WindTunnel Plus Canister Vacuum"/>
    <n v="1089.75"/>
    <n v="3"/>
    <n v="305.13"/>
  </r>
  <r>
    <d v="2015-09-07T00:00:00"/>
    <x v="8"/>
    <x v="1"/>
    <x v="143"/>
    <x v="3"/>
    <x v="0"/>
    <x v="0"/>
    <s v="Adams Phone Message Book, Professional, 400 Message Capacity, 5 3/6 x 11"/>
    <n v="20.94"/>
    <n v="3"/>
    <n v="9.84"/>
  </r>
  <r>
    <d v="2015-09-08T00:00:00"/>
    <x v="8"/>
    <x v="1"/>
    <x v="144"/>
    <x v="20"/>
    <x v="2"/>
    <x v="6"/>
    <s v="Maxell 74 Minute CD-R Spindle, 50/Pack"/>
    <n v="62.91"/>
    <n v="3"/>
    <n v="22.65"/>
  </r>
  <r>
    <d v="2015-09-11T00:00:00"/>
    <x v="8"/>
    <x v="1"/>
    <x v="145"/>
    <x v="3"/>
    <x v="0"/>
    <x v="7"/>
    <s v="Fellowes Superior 10 Outlet Split Surge Protector"/>
    <n v="76.12"/>
    <n v="2"/>
    <n v="22.07"/>
  </r>
  <r>
    <d v="2015-10-02T00:00:00"/>
    <x v="9"/>
    <x v="1"/>
    <x v="146"/>
    <x v="11"/>
    <x v="2"/>
    <x v="9"/>
    <s v="AT&amp;T 1070 Corded Phone"/>
    <n v="178.38"/>
    <n v="2"/>
    <n v="22.3"/>
  </r>
  <r>
    <d v="2015-10-03T00:00:00"/>
    <x v="9"/>
    <x v="1"/>
    <x v="147"/>
    <x v="17"/>
    <x v="0"/>
    <x v="8"/>
    <s v="Performers Binder/Pad Holder, Black"/>
    <n v="196.21"/>
    <n v="7"/>
    <n v="98.11"/>
  </r>
  <r>
    <d v="2015-10-05T00:00:00"/>
    <x v="9"/>
    <x v="1"/>
    <x v="148"/>
    <x v="0"/>
    <x v="0"/>
    <x v="8"/>
    <s v="GBC Durable Plastic Covers"/>
    <n v="30.96"/>
    <n v="8"/>
    <n v="-52.63"/>
  </r>
  <r>
    <d v="2015-10-07T00:00:00"/>
    <x v="9"/>
    <x v="1"/>
    <x v="149"/>
    <x v="2"/>
    <x v="1"/>
    <x v="14"/>
    <s v="Chromcraft Rectangular Conference Tables"/>
    <n v="853.09"/>
    <n v="6"/>
    <n v="-227.49"/>
  </r>
  <r>
    <d v="2015-10-09T00:00:00"/>
    <x v="9"/>
    <x v="1"/>
    <x v="150"/>
    <x v="0"/>
    <x v="0"/>
    <x v="0"/>
    <s v="Xerox 203"/>
    <n v="15.55"/>
    <n v="3"/>
    <n v="5.44"/>
  </r>
  <r>
    <d v="2015-10-12T00:00:00"/>
    <x v="9"/>
    <x v="1"/>
    <x v="97"/>
    <x v="19"/>
    <x v="0"/>
    <x v="2"/>
    <s v="Turquoise Lead Holder with Pocket Clip"/>
    <n v="10.72"/>
    <n v="2"/>
    <n v="1.74"/>
  </r>
  <r>
    <d v="2015-11-05T00:00:00"/>
    <x v="10"/>
    <x v="1"/>
    <x v="151"/>
    <x v="1"/>
    <x v="1"/>
    <x v="12"/>
    <s v="Global Leather and Oak Executive Chair, Black"/>
    <n v="421.37"/>
    <n v="2"/>
    <n v="-6.02"/>
  </r>
  <r>
    <d v="2015-11-06T00:00:00"/>
    <x v="10"/>
    <x v="1"/>
    <x v="152"/>
    <x v="19"/>
    <x v="0"/>
    <x v="2"/>
    <s v="Faber Castell Col-Erase Pencils"/>
    <n v="3.91"/>
    <n v="1"/>
    <n v="1.03"/>
  </r>
  <r>
    <d v="2015-11-07T00:00:00"/>
    <x v="10"/>
    <x v="1"/>
    <x v="153"/>
    <x v="13"/>
    <x v="0"/>
    <x v="0"/>
    <s v="Xerox 1994"/>
    <n v="25.92"/>
    <n v="4"/>
    <n v="12.44"/>
  </r>
  <r>
    <d v="2015-11-09T00:00:00"/>
    <x v="10"/>
    <x v="1"/>
    <x v="154"/>
    <x v="35"/>
    <x v="0"/>
    <x v="8"/>
    <s v="SlimView Poly Binder, 3/8&quot;"/>
    <n v="8.2899999999999991"/>
    <n v="2"/>
    <n v="2.69"/>
  </r>
  <r>
    <d v="2015-11-11T00:00:00"/>
    <x v="10"/>
    <x v="1"/>
    <x v="155"/>
    <x v="3"/>
    <x v="0"/>
    <x v="2"/>
    <s v="Newell 341"/>
    <n v="8.56"/>
    <n v="2"/>
    <n v="2.48"/>
  </r>
  <r>
    <d v="2015-12-01T00:00:00"/>
    <x v="11"/>
    <x v="1"/>
    <x v="156"/>
    <x v="3"/>
    <x v="0"/>
    <x v="0"/>
    <s v="Xerox 1940"/>
    <n v="109.92"/>
    <n v="2"/>
    <n v="53.86"/>
  </r>
  <r>
    <d v="2015-12-03T00:00:00"/>
    <x v="11"/>
    <x v="1"/>
    <x v="157"/>
    <x v="33"/>
    <x v="0"/>
    <x v="8"/>
    <s v="Wilson Jones Standard D-Ring Binders"/>
    <n v="25.3"/>
    <n v="5"/>
    <n v="11.89"/>
  </r>
  <r>
    <d v="2015-12-04T00:00:00"/>
    <x v="11"/>
    <x v="1"/>
    <x v="158"/>
    <x v="36"/>
    <x v="2"/>
    <x v="6"/>
    <s v="KeyTronic KT400U2 - Keyboard - Black"/>
    <n v="92.52"/>
    <n v="9"/>
    <n v="18.5"/>
  </r>
  <r>
    <d v="2015-12-05T00:00:00"/>
    <x v="11"/>
    <x v="1"/>
    <x v="159"/>
    <x v="3"/>
    <x v="0"/>
    <x v="2"/>
    <s v="BOSTON Model 1800 Electric Pencil Sharpeners, Putty/Woodgrain"/>
    <n v="53.94"/>
    <n v="3"/>
    <n v="15.64"/>
  </r>
  <r>
    <d v="2015-12-09T00:00:00"/>
    <x v="11"/>
    <x v="1"/>
    <x v="160"/>
    <x v="13"/>
    <x v="0"/>
    <x v="7"/>
    <s v="Holmes Cool Mist Humidifier for the Whole House with 8-Gallon Output per Day, Extended Life Filter"/>
    <n v="19.899999999999999"/>
    <n v="1"/>
    <n v="8.9600000000000009"/>
  </r>
  <r>
    <d v="2015-12-12T00:00:00"/>
    <x v="11"/>
    <x v="1"/>
    <x v="161"/>
    <x v="13"/>
    <x v="0"/>
    <x v="1"/>
    <s v="Avery 514"/>
    <n v="14.4"/>
    <n v="5"/>
    <n v="7.06"/>
  </r>
  <r>
    <d v="2016-01-02T00:00:00"/>
    <x v="0"/>
    <x v="2"/>
    <x v="162"/>
    <x v="2"/>
    <x v="0"/>
    <x v="10"/>
    <s v="Carina 42&quot;Hx23 3/4&quot;W Media Storage Unit"/>
    <n v="64.78"/>
    <n v="1"/>
    <n v="-14.58"/>
  </r>
  <r>
    <d v="2016-01-07T00:00:00"/>
    <x v="0"/>
    <x v="2"/>
    <x v="163"/>
    <x v="14"/>
    <x v="0"/>
    <x v="1"/>
    <s v="Alphabetical Labels for Top Tab Filing"/>
    <n v="103.6"/>
    <n v="7"/>
    <n v="51.8"/>
  </r>
  <r>
    <d v="2016-01-09T00:00:00"/>
    <x v="0"/>
    <x v="2"/>
    <x v="164"/>
    <x v="3"/>
    <x v="1"/>
    <x v="3"/>
    <s v="Deflect-o DuraMat Lighweight, Studded, Beveled Mat for Low Pile Carpeting"/>
    <n v="127.95"/>
    <n v="3"/>
    <n v="21.75"/>
  </r>
  <r>
    <d v="2016-01-11T00:00:00"/>
    <x v="0"/>
    <x v="2"/>
    <x v="17"/>
    <x v="13"/>
    <x v="2"/>
    <x v="13"/>
    <s v="Epson WorkForce WF-2530 All-in-One Printer, Copier Scanner"/>
    <n v="69.989999999999995"/>
    <n v="1"/>
    <n v="30.1"/>
  </r>
  <r>
    <d v="2016-01-12T00:00:00"/>
    <x v="0"/>
    <x v="2"/>
    <x v="165"/>
    <x v="21"/>
    <x v="0"/>
    <x v="8"/>
    <s v="GBC Instant Index System for Binding Systems"/>
    <n v="18.649999999999999"/>
    <n v="7"/>
    <n v="-12.43"/>
  </r>
  <r>
    <d v="2016-02-01T00:00:00"/>
    <x v="1"/>
    <x v="2"/>
    <x v="166"/>
    <x v="1"/>
    <x v="0"/>
    <x v="7"/>
    <s v="Kensington 7 Outlet MasterPiece HOMEOFFICE Power Control Center"/>
    <n v="52.45"/>
    <n v="2"/>
    <n v="-131.12"/>
  </r>
  <r>
    <d v="2016-02-02T00:00:00"/>
    <x v="1"/>
    <x v="2"/>
    <x v="167"/>
    <x v="2"/>
    <x v="1"/>
    <x v="3"/>
    <s v="Seth Thomas 16&quot; Steel Case Clock"/>
    <n v="103.94"/>
    <n v="4"/>
    <n v="16.89"/>
  </r>
  <r>
    <d v="2016-02-04T00:00:00"/>
    <x v="1"/>
    <x v="2"/>
    <x v="89"/>
    <x v="13"/>
    <x v="0"/>
    <x v="8"/>
    <s v="Avery Trapezoid Extra Heavy Duty 4&quot; Binders"/>
    <n v="33.549999999999997"/>
    <n v="1"/>
    <n v="12.58"/>
  </r>
  <r>
    <d v="2016-02-05T00:00:00"/>
    <x v="1"/>
    <x v="2"/>
    <x v="168"/>
    <x v="2"/>
    <x v="0"/>
    <x v="8"/>
    <s v="Acco Pressboard Covers with Storage Hooks, 14 7/8&quot; x 11&quot;, Light Blue"/>
    <n v="5.89"/>
    <n v="4"/>
    <n v="-4.12"/>
  </r>
  <r>
    <d v="2016-02-07T00:00:00"/>
    <x v="1"/>
    <x v="2"/>
    <x v="162"/>
    <x v="0"/>
    <x v="2"/>
    <x v="13"/>
    <s v="Lexmark MX611dhe Monochrome Laser Printer"/>
    <n v="3059.98"/>
    <n v="3"/>
    <n v="-510"/>
  </r>
  <r>
    <d v="2016-02-08T00:00:00"/>
    <x v="1"/>
    <x v="2"/>
    <x v="169"/>
    <x v="1"/>
    <x v="1"/>
    <x v="14"/>
    <s v="Bevis 44 x 96 Conference Tables"/>
    <n v="617.70000000000005"/>
    <n v="6"/>
    <n v="-407.68"/>
  </r>
  <r>
    <d v="2016-02-09T00:00:00"/>
    <x v="1"/>
    <x v="2"/>
    <x v="170"/>
    <x v="16"/>
    <x v="2"/>
    <x v="9"/>
    <s v="Nortel Meridian M3904 Professional Digital phone"/>
    <n v="246.38"/>
    <n v="2"/>
    <n v="27.72"/>
  </r>
  <r>
    <d v="2016-02-10T00:00:00"/>
    <x v="1"/>
    <x v="2"/>
    <x v="171"/>
    <x v="3"/>
    <x v="0"/>
    <x v="10"/>
    <s v="Gould Plastics 9-Pocket Panel Bin, 18-3/8w x 5-1/4d x 20-1/2h, Black"/>
    <n v="211.96"/>
    <n v="4"/>
    <n v="8.48"/>
  </r>
  <r>
    <d v="2016-03-02T00:00:00"/>
    <x v="2"/>
    <x v="2"/>
    <x v="172"/>
    <x v="0"/>
    <x v="0"/>
    <x v="0"/>
    <s v="Xerox 1954"/>
    <n v="33.79"/>
    <n v="8"/>
    <n v="10.56"/>
  </r>
  <r>
    <d v="2016-03-03T00:00:00"/>
    <x v="2"/>
    <x v="2"/>
    <x v="173"/>
    <x v="17"/>
    <x v="1"/>
    <x v="3"/>
    <s v="Deflect-o SuperTray Unbreakable Stackable Tray, Letter, Black"/>
    <n v="87.54"/>
    <n v="3"/>
    <n v="37.64"/>
  </r>
  <r>
    <d v="2016-03-04T00:00:00"/>
    <x v="2"/>
    <x v="2"/>
    <x v="174"/>
    <x v="28"/>
    <x v="0"/>
    <x v="10"/>
    <s v="Decoflex Hanging Personal Folder File, Blue"/>
    <n v="46.26"/>
    <n v="3"/>
    <n v="12.49"/>
  </r>
  <r>
    <d v="2016-03-05T00:00:00"/>
    <x v="2"/>
    <x v="2"/>
    <x v="175"/>
    <x v="3"/>
    <x v="1"/>
    <x v="3"/>
    <s v="Luxo Professional Combination Clamp-On Lamps"/>
    <n v="204.6"/>
    <n v="2"/>
    <n v="53.2"/>
  </r>
  <r>
    <d v="2016-03-06T00:00:00"/>
    <x v="2"/>
    <x v="2"/>
    <x v="176"/>
    <x v="13"/>
    <x v="0"/>
    <x v="0"/>
    <s v="Tops Green Bar Computer Printout Paper"/>
    <n v="48.94"/>
    <n v="1"/>
    <n v="24.47"/>
  </r>
  <r>
    <d v="2016-03-08T00:00:00"/>
    <x v="2"/>
    <x v="2"/>
    <x v="177"/>
    <x v="9"/>
    <x v="0"/>
    <x v="0"/>
    <s v="Adams Telephone Message Book W/Dividers/Space For Phone Numbers, 5 1/4&quot;X8 1/2&quot;, 300/Messages"/>
    <n v="9.41"/>
    <n v="2"/>
    <n v="3.41"/>
  </r>
  <r>
    <d v="2016-03-09T00:00:00"/>
    <x v="2"/>
    <x v="2"/>
    <x v="178"/>
    <x v="3"/>
    <x v="0"/>
    <x v="1"/>
    <s v="Avery 512"/>
    <n v="14.45"/>
    <n v="5"/>
    <n v="6.79"/>
  </r>
  <r>
    <d v="2016-03-11T00:00:00"/>
    <x v="2"/>
    <x v="2"/>
    <x v="179"/>
    <x v="19"/>
    <x v="0"/>
    <x v="7"/>
    <s v="Belkin F5C206VTEL 6 Outlet Surge"/>
    <n v="91.92"/>
    <n v="5"/>
    <n v="11.49"/>
  </r>
  <r>
    <d v="2016-04-02T00:00:00"/>
    <x v="3"/>
    <x v="2"/>
    <x v="180"/>
    <x v="3"/>
    <x v="2"/>
    <x v="6"/>
    <s v="Imation USB 2.0 Swivel Flash Drive USB flash drive - 4 GB - Pink"/>
    <n v="9.09"/>
    <n v="3"/>
    <n v="1.91"/>
  </r>
  <r>
    <d v="2016-04-03T00:00:00"/>
    <x v="3"/>
    <x v="2"/>
    <x v="170"/>
    <x v="21"/>
    <x v="2"/>
    <x v="6"/>
    <s v="Maxell 74 Minute CDR, 10/Pack"/>
    <n v="23.47"/>
    <n v="3"/>
    <n v="4.99"/>
  </r>
  <r>
    <d v="2016-04-04T00:00:00"/>
    <x v="3"/>
    <x v="2"/>
    <x v="181"/>
    <x v="3"/>
    <x v="1"/>
    <x v="12"/>
    <s v="Global Deluxe Stacking Chair, Gray"/>
    <n v="122.35"/>
    <n v="3"/>
    <n v="13.76"/>
  </r>
  <r>
    <d v="2016-04-06T00:00:00"/>
    <x v="3"/>
    <x v="2"/>
    <x v="182"/>
    <x v="2"/>
    <x v="0"/>
    <x v="10"/>
    <s v="Fellowes High-Stak Drawer Files"/>
    <n v="281.89999999999998"/>
    <n v="2"/>
    <n v="10.57"/>
  </r>
  <r>
    <d v="2016-04-07T00:00:00"/>
    <x v="3"/>
    <x v="2"/>
    <x v="183"/>
    <x v="16"/>
    <x v="0"/>
    <x v="2"/>
    <s v="Newell 32"/>
    <n v="11.52"/>
    <n v="4"/>
    <n v="3.23"/>
  </r>
  <r>
    <d v="2016-04-08T00:00:00"/>
    <x v="3"/>
    <x v="2"/>
    <x v="184"/>
    <x v="30"/>
    <x v="0"/>
    <x v="8"/>
    <s v="Avery Metallic Poly Binders"/>
    <n v="22.92"/>
    <n v="4"/>
    <n v="11"/>
  </r>
  <r>
    <d v="2016-04-12T00:00:00"/>
    <x v="3"/>
    <x v="2"/>
    <x v="118"/>
    <x v="11"/>
    <x v="1"/>
    <x v="3"/>
    <s v="Executive Impressions 13&quot; Clairmont Wall Clock"/>
    <n v="15.38"/>
    <n v="1"/>
    <n v="4.04"/>
  </r>
  <r>
    <d v="2016-05-01T00:00:00"/>
    <x v="4"/>
    <x v="2"/>
    <x v="185"/>
    <x v="3"/>
    <x v="0"/>
    <x v="8"/>
    <s v="Avery Non-Stick Heavy Duty View Round Locking Ring Binders"/>
    <n v="14.35"/>
    <n v="3"/>
    <n v="5.0199999999999996"/>
  </r>
  <r>
    <d v="2016-05-04T00:00:00"/>
    <x v="4"/>
    <x v="2"/>
    <x v="186"/>
    <x v="24"/>
    <x v="0"/>
    <x v="10"/>
    <s v="Gould Plastics 18-Pocket Panel Bin, 34w x 5-1/4d x 20-1/2h"/>
    <n v="275.97000000000003"/>
    <n v="3"/>
    <n v="11.04"/>
  </r>
  <r>
    <d v="2016-05-08T00:00:00"/>
    <x v="4"/>
    <x v="2"/>
    <x v="187"/>
    <x v="3"/>
    <x v="0"/>
    <x v="0"/>
    <s v="Spiral Phone Message Books with Labels by Adams"/>
    <n v="13.44"/>
    <n v="3"/>
    <n v="6.59"/>
  </r>
  <r>
    <d v="2016-05-11T00:00:00"/>
    <x v="4"/>
    <x v="2"/>
    <x v="188"/>
    <x v="19"/>
    <x v="1"/>
    <x v="3"/>
    <s v="Seth Thomas 14&quot; Putty-Colored Wall Clock"/>
    <n v="93.89"/>
    <n v="4"/>
    <n v="12.91"/>
  </r>
  <r>
    <d v="2016-06-02T00:00:00"/>
    <x v="5"/>
    <x v="2"/>
    <x v="189"/>
    <x v="3"/>
    <x v="0"/>
    <x v="8"/>
    <s v="GBC VeloBind Cover Sets"/>
    <n v="49.41"/>
    <n v="4"/>
    <n v="18.53"/>
  </r>
  <r>
    <d v="2016-06-03T00:00:00"/>
    <x v="5"/>
    <x v="2"/>
    <x v="190"/>
    <x v="16"/>
    <x v="1"/>
    <x v="3"/>
    <s v="Tenex Chairmats For Use With Carpeted Floors"/>
    <n v="63.92"/>
    <n v="4"/>
    <n v="3.2"/>
  </r>
  <r>
    <d v="2016-06-04T00:00:00"/>
    <x v="5"/>
    <x v="2"/>
    <x v="191"/>
    <x v="3"/>
    <x v="0"/>
    <x v="8"/>
    <s v="Avery Non-Stick Binders"/>
    <n v="7.18"/>
    <n v="2"/>
    <n v="2.25"/>
  </r>
  <r>
    <d v="2016-06-05T00:00:00"/>
    <x v="5"/>
    <x v="2"/>
    <x v="192"/>
    <x v="1"/>
    <x v="2"/>
    <x v="9"/>
    <s v="Apple iPhone 5S"/>
    <n v="2735.95"/>
    <n v="6"/>
    <n v="341.99"/>
  </r>
  <r>
    <d v="2016-06-06T00:00:00"/>
    <x v="5"/>
    <x v="2"/>
    <x v="176"/>
    <x v="31"/>
    <x v="0"/>
    <x v="2"/>
    <s v="Model L Table or Wall-Mount Pencil Sharpener"/>
    <n v="43.18"/>
    <n v="3"/>
    <n v="4.32"/>
  </r>
  <r>
    <d v="2016-07-01T00:00:00"/>
    <x v="6"/>
    <x v="2"/>
    <x v="193"/>
    <x v="13"/>
    <x v="0"/>
    <x v="1"/>
    <s v="Avery 499"/>
    <n v="34.86"/>
    <n v="7"/>
    <n v="16.04"/>
  </r>
  <r>
    <d v="2016-07-02T00:00:00"/>
    <x v="6"/>
    <x v="2"/>
    <x v="194"/>
    <x v="2"/>
    <x v="0"/>
    <x v="16"/>
    <s v="Compact Automatic Electric Letter Opener"/>
    <n v="286.33999999999997"/>
    <n v="3"/>
    <n v="-64.430000000000007"/>
  </r>
  <r>
    <d v="2016-07-03T00:00:00"/>
    <x v="6"/>
    <x v="2"/>
    <x v="27"/>
    <x v="13"/>
    <x v="1"/>
    <x v="12"/>
    <s v="DMI Arturo Collection Mission-style Design Wood Chair"/>
    <n v="135.88"/>
    <n v="1"/>
    <n v="24.16"/>
  </r>
  <r>
    <d v="2016-07-04T00:00:00"/>
    <x v="6"/>
    <x v="2"/>
    <x v="152"/>
    <x v="3"/>
    <x v="1"/>
    <x v="3"/>
    <s v="OIC Stacking Trays"/>
    <n v="20.04"/>
    <n v="6"/>
    <n v="8.82"/>
  </r>
  <r>
    <d v="2016-07-05T00:00:00"/>
    <x v="6"/>
    <x v="2"/>
    <x v="195"/>
    <x v="7"/>
    <x v="0"/>
    <x v="0"/>
    <s v="Array Parchment Paper, Assorted Colors"/>
    <n v="43.68"/>
    <n v="6"/>
    <n v="20.97"/>
  </r>
  <r>
    <d v="2016-07-07T00:00:00"/>
    <x v="6"/>
    <x v="2"/>
    <x v="196"/>
    <x v="0"/>
    <x v="0"/>
    <x v="8"/>
    <s v="Satellite Sectional Post Binders"/>
    <n v="26.05"/>
    <n v="3"/>
    <n v="-44.28"/>
  </r>
  <r>
    <d v="2016-07-08T00:00:00"/>
    <x v="6"/>
    <x v="2"/>
    <x v="197"/>
    <x v="3"/>
    <x v="2"/>
    <x v="9"/>
    <s v="Toshiba IPT2010-SD IP Telephone"/>
    <n v="333.58"/>
    <n v="3"/>
    <n v="25.02"/>
  </r>
  <r>
    <d v="2016-07-10T00:00:00"/>
    <x v="6"/>
    <x v="2"/>
    <x v="198"/>
    <x v="3"/>
    <x v="2"/>
    <x v="9"/>
    <s v="Jabra SPEAK 410"/>
    <n v="601.54"/>
    <n v="8"/>
    <n v="60.15"/>
  </r>
  <r>
    <d v="2016-07-11T00:00:00"/>
    <x v="6"/>
    <x v="2"/>
    <x v="199"/>
    <x v="15"/>
    <x v="0"/>
    <x v="10"/>
    <s v="Stur-D-Stor Shelving, Vertical 5-Shelf: 72&quot;H x 36&quot;W x 18 1/2&quot;D"/>
    <n v="665.88"/>
    <n v="6"/>
    <n v="13.32"/>
  </r>
  <r>
    <d v="2016-08-01T00:00:00"/>
    <x v="7"/>
    <x v="2"/>
    <x v="200"/>
    <x v="0"/>
    <x v="0"/>
    <x v="10"/>
    <s v="Personal Filing Tote with Lid, Black/Gray"/>
    <n v="49.63"/>
    <n v="4"/>
    <n v="4.96"/>
  </r>
  <r>
    <d v="2016-08-02T00:00:00"/>
    <x v="7"/>
    <x v="2"/>
    <x v="201"/>
    <x v="33"/>
    <x v="2"/>
    <x v="9"/>
    <s v="Polycom SoundPoint Pro SE-225 Corded phone"/>
    <n v="832.93"/>
    <n v="7"/>
    <n v="233.22"/>
  </r>
  <r>
    <d v="2016-08-03T00:00:00"/>
    <x v="7"/>
    <x v="2"/>
    <x v="202"/>
    <x v="37"/>
    <x v="0"/>
    <x v="2"/>
    <s v="Newell 310"/>
    <n v="4.22"/>
    <n v="3"/>
    <n v="0.48"/>
  </r>
  <r>
    <d v="2016-08-04T00:00:00"/>
    <x v="7"/>
    <x v="2"/>
    <x v="203"/>
    <x v="38"/>
    <x v="2"/>
    <x v="9"/>
    <s v="Jawbone MINI JAMBOX Wireless Bluetooth Speaker"/>
    <n v="273.95999999999998"/>
    <n v="2"/>
    <n v="10.96"/>
  </r>
  <r>
    <d v="2016-08-07T00:00:00"/>
    <x v="7"/>
    <x v="2"/>
    <x v="100"/>
    <x v="22"/>
    <x v="1"/>
    <x v="12"/>
    <s v="Global Super Steno Chair"/>
    <n v="479.9"/>
    <n v="5"/>
    <n v="81.58"/>
  </r>
  <r>
    <d v="2016-08-09T00:00:00"/>
    <x v="7"/>
    <x v="2"/>
    <x v="204"/>
    <x v="31"/>
    <x v="1"/>
    <x v="14"/>
    <s v="Bevis Rectangular Conference Tables"/>
    <n v="145.97999999999999"/>
    <n v="2"/>
    <n v="-99.27"/>
  </r>
  <r>
    <d v="2016-08-10T00:00:00"/>
    <x v="7"/>
    <x v="2"/>
    <x v="205"/>
    <x v="6"/>
    <x v="2"/>
    <x v="9"/>
    <s v="AT&amp;T TR1909W"/>
    <n v="503.96"/>
    <n v="4"/>
    <n v="131.03"/>
  </r>
  <r>
    <d v="2016-08-11T00:00:00"/>
    <x v="7"/>
    <x v="2"/>
    <x v="206"/>
    <x v="13"/>
    <x v="0"/>
    <x v="4"/>
    <s v="Peel &amp; Seel Recycled Catalog Envelopes, Brown"/>
    <n v="34.74"/>
    <n v="3"/>
    <n v="17.37"/>
  </r>
  <r>
    <d v="2016-08-12T00:00:00"/>
    <x v="7"/>
    <x v="2"/>
    <x v="207"/>
    <x v="7"/>
    <x v="0"/>
    <x v="4"/>
    <s v="Fashion Color Clasp Envelopes"/>
    <n v="16.23"/>
    <n v="3"/>
    <n v="7.95"/>
  </r>
  <r>
    <d v="2016-09-01T00:00:00"/>
    <x v="8"/>
    <x v="2"/>
    <x v="28"/>
    <x v="3"/>
    <x v="1"/>
    <x v="12"/>
    <s v="Novimex Swivel Fabric Task Chair"/>
    <n v="603.91999999999996"/>
    <n v="5"/>
    <n v="-67.94"/>
  </r>
  <r>
    <d v="2016-09-05T00:00:00"/>
    <x v="8"/>
    <x v="2"/>
    <x v="208"/>
    <x v="19"/>
    <x v="0"/>
    <x v="2"/>
    <s v="Crayola Colored Pencils"/>
    <n v="2.62"/>
    <n v="1"/>
    <n v="0.43"/>
  </r>
  <r>
    <d v="2016-09-08T00:00:00"/>
    <x v="8"/>
    <x v="2"/>
    <x v="112"/>
    <x v="0"/>
    <x v="1"/>
    <x v="3"/>
    <s v="Eldon Expressions Desk Accessory, Wood Pencil Holder, Oak"/>
    <n v="19.3"/>
    <n v="5"/>
    <n v="-14.48"/>
  </r>
  <r>
    <d v="2016-10-01T00:00:00"/>
    <x v="9"/>
    <x v="2"/>
    <x v="209"/>
    <x v="24"/>
    <x v="0"/>
    <x v="2"/>
    <s v="Newell 331"/>
    <n v="14.67"/>
    <n v="3"/>
    <n v="3.96"/>
  </r>
  <r>
    <d v="2016-10-03T00:00:00"/>
    <x v="9"/>
    <x v="2"/>
    <x v="210"/>
    <x v="2"/>
    <x v="0"/>
    <x v="1"/>
    <s v="Avery 488"/>
    <n v="5.04"/>
    <n v="2"/>
    <n v="1.76"/>
  </r>
  <r>
    <d v="2016-10-04T00:00:00"/>
    <x v="9"/>
    <x v="2"/>
    <x v="211"/>
    <x v="13"/>
    <x v="0"/>
    <x v="4"/>
    <s v="Park Ridge Embossed Executive Business Envelopes"/>
    <n v="62.28"/>
    <n v="4"/>
    <n v="29.27"/>
  </r>
  <r>
    <d v="2016-10-05T00:00:00"/>
    <x v="9"/>
    <x v="2"/>
    <x v="92"/>
    <x v="15"/>
    <x v="1"/>
    <x v="12"/>
    <s v="Office Star - Professional Matrix Back Chair with 2-to-1 Synchro Tilt and Mesh Fabric Seat"/>
    <n v="2807.84"/>
    <n v="8"/>
    <n v="673.88"/>
  </r>
  <r>
    <d v="2016-10-06T00:00:00"/>
    <x v="9"/>
    <x v="2"/>
    <x v="208"/>
    <x v="39"/>
    <x v="2"/>
    <x v="9"/>
    <s v="Jabra Supreme Plus Driver Edition Headset"/>
    <n v="479.96"/>
    <n v="4"/>
    <n v="134.38999999999999"/>
  </r>
  <r>
    <d v="2016-10-07T00:00:00"/>
    <x v="9"/>
    <x v="2"/>
    <x v="212"/>
    <x v="13"/>
    <x v="2"/>
    <x v="9"/>
    <s v="Plantronics Voyager Pro HD - Bluetooth Headset"/>
    <n v="129.97999999999999"/>
    <n v="2"/>
    <n v="62.39"/>
  </r>
  <r>
    <d v="2016-10-09T00:00:00"/>
    <x v="9"/>
    <x v="2"/>
    <x v="9"/>
    <x v="9"/>
    <x v="0"/>
    <x v="2"/>
    <s v="Hunt BOSTON Model 1606 High-Volume Electric Pencil Sharpener, Beige"/>
    <n v="1113.02"/>
    <n v="8"/>
    <n v="111.3"/>
  </r>
  <r>
    <d v="2016-10-11T00:00:00"/>
    <x v="9"/>
    <x v="2"/>
    <x v="213"/>
    <x v="0"/>
    <x v="1"/>
    <x v="3"/>
    <s v="12-1/2 Diameter Round Wall Clock"/>
    <n v="23.98"/>
    <n v="3"/>
    <n v="-14.39"/>
  </r>
  <r>
    <d v="2016-11-06T00:00:00"/>
    <x v="10"/>
    <x v="2"/>
    <x v="214"/>
    <x v="4"/>
    <x v="0"/>
    <x v="0"/>
    <s v="Xerox 1909"/>
    <n v="105.52"/>
    <n v="4"/>
    <n v="48.54"/>
  </r>
  <r>
    <d v="2016-11-09T00:00:00"/>
    <x v="10"/>
    <x v="2"/>
    <x v="215"/>
    <x v="0"/>
    <x v="0"/>
    <x v="10"/>
    <s v="Companion Letter/Legal File, Black"/>
    <n v="60.42"/>
    <n v="2"/>
    <n v="6.04"/>
  </r>
  <r>
    <d v="2016-11-11T00:00:00"/>
    <x v="10"/>
    <x v="2"/>
    <x v="26"/>
    <x v="3"/>
    <x v="0"/>
    <x v="0"/>
    <s v="Xerox 1987"/>
    <n v="34.68"/>
    <n v="6"/>
    <n v="16.989999999999998"/>
  </r>
  <r>
    <d v="2016-11-12T00:00:00"/>
    <x v="10"/>
    <x v="2"/>
    <x v="216"/>
    <x v="3"/>
    <x v="1"/>
    <x v="14"/>
    <s v="Hon Non-Folding Utility Tables"/>
    <n v="764.69"/>
    <n v="6"/>
    <n v="95.59"/>
  </r>
  <r>
    <d v="2016-12-02T00:00:00"/>
    <x v="11"/>
    <x v="2"/>
    <x v="217"/>
    <x v="3"/>
    <x v="0"/>
    <x v="0"/>
    <s v="White GlueTop Scratch Pads"/>
    <n v="90.24"/>
    <n v="6"/>
    <n v="41.51"/>
  </r>
  <r>
    <d v="2016-12-07T00:00:00"/>
    <x v="11"/>
    <x v="2"/>
    <x v="109"/>
    <x v="0"/>
    <x v="2"/>
    <x v="9"/>
    <s v="ARKON Windshield Dashboard Air Vent Car Mount Holder"/>
    <n v="40.68"/>
    <n v="3"/>
    <n v="-9.15"/>
  </r>
  <r>
    <d v="2016-12-08T00:00:00"/>
    <x v="11"/>
    <x v="2"/>
    <x v="65"/>
    <x v="11"/>
    <x v="0"/>
    <x v="8"/>
    <s v="Avery Binder Labels"/>
    <n v="1.17"/>
    <n v="1"/>
    <n v="-0.86"/>
  </r>
  <r>
    <d v="2016-12-09T00:00:00"/>
    <x v="11"/>
    <x v="2"/>
    <x v="200"/>
    <x v="7"/>
    <x v="0"/>
    <x v="2"/>
    <s v="Stanley Contemporary Battery Pencil Sharpeners"/>
    <n v="40.049999999999997"/>
    <n v="3"/>
    <n v="11.21"/>
  </r>
  <r>
    <d v="2016-12-11T00:00:00"/>
    <x v="11"/>
    <x v="2"/>
    <x v="218"/>
    <x v="11"/>
    <x v="0"/>
    <x v="8"/>
    <s v="Insertable Tab Post Binder Dividers"/>
    <n v="4.8099999999999996"/>
    <n v="2"/>
    <n v="-3.69"/>
  </r>
  <r>
    <d v="2017-01-01T00:00:00"/>
    <x v="0"/>
    <x v="3"/>
    <x v="219"/>
    <x v="3"/>
    <x v="1"/>
    <x v="12"/>
    <s v="SAFCO Arco Folding Chair"/>
    <n v="1325.76"/>
    <n v="6"/>
    <n v="149.15"/>
  </r>
  <r>
    <d v="2017-01-09T00:00:00"/>
    <x v="0"/>
    <x v="3"/>
    <x v="220"/>
    <x v="3"/>
    <x v="0"/>
    <x v="2"/>
    <s v="Newell 332"/>
    <n v="11.76"/>
    <n v="4"/>
    <n v="3.18"/>
  </r>
  <r>
    <d v="2017-01-10T00:00:00"/>
    <x v="0"/>
    <x v="3"/>
    <x v="221"/>
    <x v="18"/>
    <x v="0"/>
    <x v="7"/>
    <s v="Belkin F9H710-06 7 Outlet SurgeMaster Surge Protector"/>
    <n v="207.24"/>
    <n v="11"/>
    <n v="58.03"/>
  </r>
  <r>
    <d v="2017-01-12T00:00:00"/>
    <x v="0"/>
    <x v="3"/>
    <x v="213"/>
    <x v="11"/>
    <x v="0"/>
    <x v="0"/>
    <s v="Xerox 1974"/>
    <n v="9.57"/>
    <n v="2"/>
    <n v="3.47"/>
  </r>
  <r>
    <d v="2017-02-01T00:00:00"/>
    <x v="1"/>
    <x v="3"/>
    <x v="222"/>
    <x v="2"/>
    <x v="0"/>
    <x v="2"/>
    <s v="Boston School Pro Electric Pencil Sharpener, 1670"/>
    <n v="99.14"/>
    <n v="4"/>
    <n v="8.67"/>
  </r>
  <r>
    <d v="2017-02-03T00:00:00"/>
    <x v="1"/>
    <x v="3"/>
    <x v="223"/>
    <x v="22"/>
    <x v="0"/>
    <x v="10"/>
    <s v="Recycled Eldon Regeneration Jumbo File"/>
    <n v="24.56"/>
    <n v="2"/>
    <n v="6.88"/>
  </r>
  <r>
    <d v="2017-02-05T00:00:00"/>
    <x v="1"/>
    <x v="3"/>
    <x v="224"/>
    <x v="14"/>
    <x v="0"/>
    <x v="2"/>
    <s v="Newell 350"/>
    <n v="9.84"/>
    <n v="3"/>
    <n v="2.85"/>
  </r>
  <r>
    <d v="2017-02-12T00:00:00"/>
    <x v="1"/>
    <x v="3"/>
    <x v="225"/>
    <x v="13"/>
    <x v="1"/>
    <x v="5"/>
    <s v="Atlantic Metals Mobile 4-Shelf Bookcases, Custom Colors"/>
    <n v="1573.49"/>
    <n v="7"/>
    <n v="196.69"/>
  </r>
  <r>
    <d v="2017-03-01T00:00:00"/>
    <x v="2"/>
    <x v="3"/>
    <x v="129"/>
    <x v="19"/>
    <x v="0"/>
    <x v="1"/>
    <s v="Avery 505"/>
    <n v="23.68"/>
    <n v="2"/>
    <n v="8.8800000000000008"/>
  </r>
  <r>
    <d v="2017-03-03T00:00:00"/>
    <x v="2"/>
    <x v="3"/>
    <x v="226"/>
    <x v="16"/>
    <x v="1"/>
    <x v="12"/>
    <s v="Global Deluxe Steno Chair"/>
    <n v="61.58"/>
    <n v="1"/>
    <n v="-6.93"/>
  </r>
  <r>
    <d v="2017-03-04T00:00:00"/>
    <x v="2"/>
    <x v="3"/>
    <x v="227"/>
    <x v="5"/>
    <x v="0"/>
    <x v="10"/>
    <s v="Dual Level, Single-Width Filing Carts"/>
    <n v="465.18"/>
    <n v="3"/>
    <n v="120.95"/>
  </r>
  <r>
    <d v="2017-03-06T00:00:00"/>
    <x v="2"/>
    <x v="3"/>
    <x v="228"/>
    <x v="3"/>
    <x v="0"/>
    <x v="8"/>
    <s v="Binding Machine Supplies"/>
    <n v="70.010000000000005"/>
    <n v="3"/>
    <n v="24.5"/>
  </r>
  <r>
    <d v="2017-03-07T00:00:00"/>
    <x v="2"/>
    <x v="3"/>
    <x v="75"/>
    <x v="1"/>
    <x v="1"/>
    <x v="3"/>
    <s v="Eldon ClusterMat Chair Mat with Cordless Antistatic Protection"/>
    <n v="254.74"/>
    <n v="7"/>
    <n v="-312.06"/>
  </r>
  <r>
    <d v="2017-03-08T00:00:00"/>
    <x v="2"/>
    <x v="3"/>
    <x v="229"/>
    <x v="35"/>
    <x v="0"/>
    <x v="0"/>
    <s v="Wirebound Service Call Books, 5 1/2&quot; x 4&quot;"/>
    <n v="29.04"/>
    <n v="3"/>
    <n v="13.94"/>
  </r>
  <r>
    <d v="2017-03-09T00:00:00"/>
    <x v="2"/>
    <x v="3"/>
    <x v="230"/>
    <x v="3"/>
    <x v="0"/>
    <x v="0"/>
    <s v="Xerox 1991"/>
    <n v="182.72"/>
    <n v="8"/>
    <n v="84.05"/>
  </r>
  <r>
    <d v="2017-03-10T00:00:00"/>
    <x v="2"/>
    <x v="3"/>
    <x v="7"/>
    <x v="19"/>
    <x v="1"/>
    <x v="12"/>
    <s v="High-Back Leather Manager's Chair"/>
    <n v="181.99"/>
    <n v="2"/>
    <n v="-54.6"/>
  </r>
  <r>
    <d v="2017-04-06T00:00:00"/>
    <x v="3"/>
    <x v="3"/>
    <x v="231"/>
    <x v="21"/>
    <x v="1"/>
    <x v="14"/>
    <s v="Chromcraft Bull-Nose Wood Oval Conference Tables &amp; Bases"/>
    <n v="4297.6400000000003"/>
    <n v="13"/>
    <n v="-1862.31"/>
  </r>
  <r>
    <d v="2017-04-11T00:00:00"/>
    <x v="3"/>
    <x v="3"/>
    <x v="232"/>
    <x v="0"/>
    <x v="0"/>
    <x v="0"/>
    <s v="Rediform Voice Mail Log Books"/>
    <n v="14.3"/>
    <n v="6"/>
    <n v="5.01"/>
  </r>
  <r>
    <d v="2017-05-03T00:00:00"/>
    <x v="4"/>
    <x v="3"/>
    <x v="233"/>
    <x v="22"/>
    <x v="0"/>
    <x v="0"/>
    <s v="Xerox 1999"/>
    <n v="12.96"/>
    <n v="2"/>
    <n v="6.22"/>
  </r>
  <r>
    <d v="2017-05-07T00:00:00"/>
    <x v="4"/>
    <x v="3"/>
    <x v="234"/>
    <x v="40"/>
    <x v="1"/>
    <x v="3"/>
    <s v="Coloredge Poster Frame"/>
    <n v="28.4"/>
    <n v="2"/>
    <n v="11.08"/>
  </r>
  <r>
    <d v="2017-05-11T00:00:00"/>
    <x v="4"/>
    <x v="3"/>
    <x v="235"/>
    <x v="4"/>
    <x v="0"/>
    <x v="4"/>
    <s v="Cameo Buff Policy Envelopes"/>
    <n v="311.14999999999998"/>
    <n v="5"/>
    <n v="146.24"/>
  </r>
  <r>
    <d v="2017-06-01T00:00:00"/>
    <x v="5"/>
    <x v="3"/>
    <x v="236"/>
    <x v="19"/>
    <x v="2"/>
    <x v="9"/>
    <s v="JBL Micro Wireless Portable Bluetooth Speaker"/>
    <n v="107.98"/>
    <n v="3"/>
    <n v="-27"/>
  </r>
  <r>
    <d v="2017-06-02T00:00:00"/>
    <x v="5"/>
    <x v="3"/>
    <x v="237"/>
    <x v="0"/>
    <x v="2"/>
    <x v="6"/>
    <s v="Memorex Micro Travel Drive 8 GB"/>
    <n v="20.8"/>
    <n v="2"/>
    <n v="6.5"/>
  </r>
  <r>
    <d v="2017-06-03T00:00:00"/>
    <x v="5"/>
    <x v="3"/>
    <x v="238"/>
    <x v="2"/>
    <x v="0"/>
    <x v="10"/>
    <s v="Eldon ProFile File 'N Store Portable File Tub Letter/Legal Size Black"/>
    <n v="77.239999999999995"/>
    <n v="5"/>
    <n v="7.72"/>
  </r>
  <r>
    <d v="2017-06-05T00:00:00"/>
    <x v="5"/>
    <x v="3"/>
    <x v="239"/>
    <x v="15"/>
    <x v="2"/>
    <x v="9"/>
    <s v="Innergie mMini Combo Duo USB Travel Charging Kit"/>
    <n v="134.97"/>
    <n v="3"/>
    <n v="64.790000000000006"/>
  </r>
  <r>
    <d v="2017-06-06T00:00:00"/>
    <x v="5"/>
    <x v="3"/>
    <x v="222"/>
    <x v="30"/>
    <x v="0"/>
    <x v="0"/>
    <s v="Xerox 1920"/>
    <n v="35.880000000000003"/>
    <n v="6"/>
    <n v="16.149999999999999"/>
  </r>
  <r>
    <d v="2017-06-10T00:00:00"/>
    <x v="5"/>
    <x v="3"/>
    <x v="240"/>
    <x v="3"/>
    <x v="0"/>
    <x v="1"/>
    <s v="Smead Alpha-Z Color-Coded Second Alphabetical Labels and Starter Set"/>
    <n v="9.24"/>
    <n v="3"/>
    <n v="4.4400000000000004"/>
  </r>
  <r>
    <d v="2017-06-11T00:00:00"/>
    <x v="5"/>
    <x v="3"/>
    <x v="116"/>
    <x v="10"/>
    <x v="2"/>
    <x v="6"/>
    <s v="Anker Ultrathin Bluetooth Wireless Keyboard Aluminum Cover with Stand"/>
    <n v="29.99"/>
    <n v="1"/>
    <n v="3"/>
  </r>
  <r>
    <d v="2017-07-07T00:00:00"/>
    <x v="6"/>
    <x v="3"/>
    <x v="241"/>
    <x v="14"/>
    <x v="0"/>
    <x v="2"/>
    <s v="Newell 34"/>
    <n v="79.36"/>
    <n v="4"/>
    <n v="20.63"/>
  </r>
  <r>
    <d v="2017-07-08T00:00:00"/>
    <x v="6"/>
    <x v="3"/>
    <x v="242"/>
    <x v="13"/>
    <x v="0"/>
    <x v="7"/>
    <s v="Hoover Portapower Portable Vacuum"/>
    <n v="26.88"/>
    <n v="6"/>
    <n v="6.72"/>
  </r>
  <r>
    <d v="2017-07-12T00:00:00"/>
    <x v="6"/>
    <x v="3"/>
    <x v="142"/>
    <x v="37"/>
    <x v="1"/>
    <x v="12"/>
    <s v="Global Low Back Tilter Chair"/>
    <n v="161.57"/>
    <n v="2"/>
    <n v="-28.27"/>
  </r>
  <r>
    <d v="2017-08-01T00:00:00"/>
    <x v="7"/>
    <x v="3"/>
    <x v="29"/>
    <x v="7"/>
    <x v="0"/>
    <x v="8"/>
    <s v="XtraLife ClearVue Slant-D Ring Binder, White, 3&quot;"/>
    <n v="58.72"/>
    <n v="4"/>
    <n v="27.01"/>
  </r>
  <r>
    <d v="2017-08-06T00:00:00"/>
    <x v="7"/>
    <x v="3"/>
    <x v="243"/>
    <x v="16"/>
    <x v="1"/>
    <x v="14"/>
    <s v="Hon Racetrack Conference Tables"/>
    <n v="787.53"/>
    <n v="3"/>
    <n v="165.38"/>
  </r>
  <r>
    <d v="2017-08-10T00:00:00"/>
    <x v="7"/>
    <x v="3"/>
    <x v="244"/>
    <x v="3"/>
    <x v="1"/>
    <x v="3"/>
    <s v="Deflect-o Glass Clear Studded Chair Mats"/>
    <n v="435.26"/>
    <n v="7"/>
    <n v="95.76"/>
  </r>
  <r>
    <d v="2017-09-04T00:00:00"/>
    <x v="8"/>
    <x v="3"/>
    <x v="245"/>
    <x v="5"/>
    <x v="2"/>
    <x v="6"/>
    <s v="Microsoft Sculpt Comfort Mouse"/>
    <n v="119.85"/>
    <n v="3"/>
    <n v="52.73"/>
  </r>
  <r>
    <d v="2017-09-10T00:00:00"/>
    <x v="8"/>
    <x v="3"/>
    <x v="115"/>
    <x v="0"/>
    <x v="2"/>
    <x v="6"/>
    <s v="Maxell 4.7GB DVD-R"/>
    <n v="113.52"/>
    <n v="5"/>
    <n v="29.8"/>
  </r>
  <r>
    <d v="2017-09-11T00:00:00"/>
    <x v="8"/>
    <x v="3"/>
    <x v="13"/>
    <x v="0"/>
    <x v="0"/>
    <x v="8"/>
    <s v="Acco Suede Grain Vinyl Round Ring Binder"/>
    <n v="1.1100000000000001"/>
    <n v="2"/>
    <n v="-1.89"/>
  </r>
  <r>
    <d v="2017-09-12T00:00:00"/>
    <x v="8"/>
    <x v="3"/>
    <x v="246"/>
    <x v="11"/>
    <x v="0"/>
    <x v="4"/>
    <s v="Convenience Packs of Business Envelopes"/>
    <n v="8.69"/>
    <n v="3"/>
    <n v="2.93"/>
  </r>
  <r>
    <d v="2017-10-03T00:00:00"/>
    <x v="9"/>
    <x v="3"/>
    <x v="247"/>
    <x v="16"/>
    <x v="1"/>
    <x v="5"/>
    <s v="Safco Value Mate Series Steel Bookcases, Baked Enamel Finish on Steel, Gray"/>
    <n v="141.96"/>
    <n v="2"/>
    <n v="39.75"/>
  </r>
  <r>
    <d v="2017-10-09T00:00:00"/>
    <x v="9"/>
    <x v="3"/>
    <x v="248"/>
    <x v="29"/>
    <x v="2"/>
    <x v="9"/>
    <s v="SmartStand Mobile Device Holder, Assorted Colors"/>
    <n v="16.78"/>
    <n v="3"/>
    <n v="1.68"/>
  </r>
  <r>
    <d v="2017-10-10T00:00:00"/>
    <x v="9"/>
    <x v="3"/>
    <x v="249"/>
    <x v="7"/>
    <x v="0"/>
    <x v="2"/>
    <s v="Rogers Handheld Barrel Pencil Sharpener"/>
    <n v="2.74"/>
    <n v="1"/>
    <n v="0.74"/>
  </r>
  <r>
    <d v="2017-10-12T00:00:00"/>
    <x v="9"/>
    <x v="3"/>
    <x v="250"/>
    <x v="13"/>
    <x v="2"/>
    <x v="6"/>
    <s v="KeyTronic KT800P2 - Keyboard - Black"/>
    <n v="15.02"/>
    <n v="1"/>
    <n v="2.7"/>
  </r>
  <r>
    <d v="2017-11-02T00:00:00"/>
    <x v="10"/>
    <x v="3"/>
    <x v="251"/>
    <x v="16"/>
    <x v="2"/>
    <x v="9"/>
    <s v="Wireless Extenders zBoost YX545 SOHO Signal Booster"/>
    <n v="453.58"/>
    <n v="3"/>
    <n v="39.69"/>
  </r>
  <r>
    <d v="2017-11-03T00:00:00"/>
    <x v="10"/>
    <x v="3"/>
    <x v="252"/>
    <x v="15"/>
    <x v="0"/>
    <x v="0"/>
    <s v="Xerox 205"/>
    <n v="51.84"/>
    <n v="8"/>
    <n v="24.88"/>
  </r>
  <r>
    <d v="2017-11-04T00:00:00"/>
    <x v="10"/>
    <x v="3"/>
    <x v="253"/>
    <x v="21"/>
    <x v="0"/>
    <x v="7"/>
    <s v="Honeywell Enviracaire Portable HEPA Air Cleaner for 17' x 22' Room"/>
    <n v="962.08"/>
    <n v="4"/>
    <n v="156.34"/>
  </r>
  <r>
    <d v="2017-11-06T00:00:00"/>
    <x v="10"/>
    <x v="3"/>
    <x v="254"/>
    <x v="0"/>
    <x v="2"/>
    <x v="6"/>
    <s v="Verbatim 25 GB 6x Blu-ray Single Layer Recordable Disc, 25/Pack"/>
    <n v="18.39"/>
    <n v="1"/>
    <n v="5.29"/>
  </r>
  <r>
    <d v="2017-11-11T00:00:00"/>
    <x v="10"/>
    <x v="3"/>
    <x v="255"/>
    <x v="1"/>
    <x v="1"/>
    <x v="5"/>
    <s v="Sauder Inglewood Library Bookcases"/>
    <n v="359.06"/>
    <n v="3"/>
    <n v="-35.909999999999997"/>
  </r>
  <r>
    <d v="2017-11-12T00:00:00"/>
    <x v="10"/>
    <x v="3"/>
    <x v="256"/>
    <x v="11"/>
    <x v="0"/>
    <x v="0"/>
    <s v="Xerox 1988"/>
    <n v="74.349999999999994"/>
    <n v="3"/>
    <n v="23.24"/>
  </r>
  <r>
    <d v="2017-12-06T00:00:00"/>
    <x v="11"/>
    <x v="3"/>
    <x v="257"/>
    <x v="16"/>
    <x v="0"/>
    <x v="10"/>
    <s v="Rogers Profile Extra Capacity Storage Tub"/>
    <n v="83.7"/>
    <n v="5"/>
    <n v="3.35"/>
  </r>
  <r>
    <d v="2017-12-07T00:00:00"/>
    <x v="11"/>
    <x v="3"/>
    <x v="258"/>
    <x v="3"/>
    <x v="2"/>
    <x v="6"/>
    <s v="Imation Bio 8GB USB Flash Drive Imation Corp"/>
    <n v="166.24"/>
    <n v="1"/>
    <n v="24.94"/>
  </r>
  <r>
    <d v="2017-12-09T00:00:00"/>
    <x v="11"/>
    <x v="3"/>
    <x v="259"/>
    <x v="11"/>
    <x v="1"/>
    <x v="12"/>
    <s v="Hon 4070 Series Pagoda Armless Upholstered Stacking Chairs"/>
    <n v="1166.92"/>
    <n v="5"/>
    <n v="131.28"/>
  </r>
  <r>
    <d v="2017-12-10T00:00:00"/>
    <x v="11"/>
    <x v="3"/>
    <x v="260"/>
    <x v="11"/>
    <x v="2"/>
    <x v="9"/>
    <s v="PureGear Roll-On Screen Protector"/>
    <n v="79.959999999999994"/>
    <n v="5"/>
    <n v="27.99"/>
  </r>
  <r>
    <d v="2014-01-13T00:00:00"/>
    <x v="0"/>
    <x v="0"/>
    <x v="261"/>
    <x v="0"/>
    <x v="0"/>
    <x v="7"/>
    <s v="APC 7 Outlet Network SurgeArrest Surge Protector"/>
    <n v="32.19"/>
    <n v="2"/>
    <n v="-80.48"/>
  </r>
  <r>
    <d v="2015-01-13T00:00:00"/>
    <x v="0"/>
    <x v="1"/>
    <x v="262"/>
    <x v="37"/>
    <x v="0"/>
    <x v="8"/>
    <s v="GBC DocuBind 300 Electric Binding Machine"/>
    <n v="157.79"/>
    <n v="1"/>
    <n v="-115.72"/>
  </r>
  <r>
    <d v="2015-03-13T00:00:00"/>
    <x v="2"/>
    <x v="1"/>
    <x v="77"/>
    <x v="0"/>
    <x v="0"/>
    <x v="7"/>
    <s v="Hoover Upright Vacuum With Dirt Cup"/>
    <n v="463.25"/>
    <n v="8"/>
    <n v="-1181.28"/>
  </r>
  <r>
    <d v="2016-03-13T00:00:00"/>
    <x v="2"/>
    <x v="2"/>
    <x v="64"/>
    <x v="3"/>
    <x v="1"/>
    <x v="14"/>
    <s v="Laminate Occasional Tables"/>
    <n v="369.91"/>
    <n v="3"/>
    <n v="-13.87"/>
  </r>
  <r>
    <d v="2017-03-13T00:00:00"/>
    <x v="2"/>
    <x v="3"/>
    <x v="263"/>
    <x v="16"/>
    <x v="0"/>
    <x v="10"/>
    <s v="Rogers Jumbo File, Granite"/>
    <n v="40.74"/>
    <n v="3"/>
    <n v="0.41"/>
  </r>
  <r>
    <d v="2014-04-13T00:00:00"/>
    <x v="3"/>
    <x v="0"/>
    <x v="183"/>
    <x v="3"/>
    <x v="2"/>
    <x v="6"/>
    <s v="Plantronics Audio 478 Stereo USB Headset"/>
    <n v="199.96"/>
    <n v="4"/>
    <n v="69.989999999999995"/>
  </r>
  <r>
    <d v="2015-04-13T00:00:00"/>
    <x v="3"/>
    <x v="1"/>
    <x v="264"/>
    <x v="8"/>
    <x v="0"/>
    <x v="7"/>
    <s v="Acco Smartsocket Color-Coded Six-Outlet AC Adapter Model Surge Protectors"/>
    <n v="35.21"/>
    <n v="1"/>
    <n v="2.64"/>
  </r>
  <r>
    <d v="2014-05-13T00:00:00"/>
    <x v="4"/>
    <x v="0"/>
    <x v="195"/>
    <x v="3"/>
    <x v="0"/>
    <x v="2"/>
    <s v="Prang Drawing Pencil Set"/>
    <n v="5.56"/>
    <n v="2"/>
    <n v="2.2200000000000002"/>
  </r>
  <r>
    <d v="2015-06-13T00:00:00"/>
    <x v="5"/>
    <x v="1"/>
    <x v="81"/>
    <x v="0"/>
    <x v="0"/>
    <x v="7"/>
    <s v="Fellowes Premier Superior Surge Suppressor, 10-Outlet, With Phone and Remote"/>
    <n v="19.57"/>
    <n v="2"/>
    <n v="-52.83"/>
  </r>
  <r>
    <d v="2016-06-13T00:00:00"/>
    <x v="5"/>
    <x v="2"/>
    <x v="265"/>
    <x v="27"/>
    <x v="1"/>
    <x v="12"/>
    <s v="Global Deluxe Office Fabric Chairs"/>
    <n v="191.96"/>
    <n v="2"/>
    <n v="51.83"/>
  </r>
  <r>
    <d v="2014-07-13T00:00:00"/>
    <x v="6"/>
    <x v="0"/>
    <x v="24"/>
    <x v="13"/>
    <x v="0"/>
    <x v="2"/>
    <s v="BOSTON Ranger #55 Pencil Sharpener, Black"/>
    <n v="25.99"/>
    <n v="1"/>
    <n v="7.54"/>
  </r>
  <r>
    <d v="2015-07-13T00:00:00"/>
    <x v="6"/>
    <x v="1"/>
    <x v="266"/>
    <x v="3"/>
    <x v="0"/>
    <x v="8"/>
    <s v="Fellowes Black Plastic Comb Bindings"/>
    <n v="13.94"/>
    <n v="3"/>
    <n v="4.53"/>
  </r>
  <r>
    <d v="2017-07-13T00:00:00"/>
    <x v="6"/>
    <x v="3"/>
    <x v="176"/>
    <x v="0"/>
    <x v="0"/>
    <x v="7"/>
    <s v="Holmes Odor Grabber"/>
    <n v="8.65"/>
    <n v="3"/>
    <n v="-20.329999999999998"/>
  </r>
  <r>
    <d v="2015-08-13T00:00:00"/>
    <x v="7"/>
    <x v="1"/>
    <x v="267"/>
    <x v="2"/>
    <x v="0"/>
    <x v="0"/>
    <s v="Xerox 1949"/>
    <n v="7.97"/>
    <n v="2"/>
    <n v="2.89"/>
  </r>
  <r>
    <d v="2016-08-13T00:00:00"/>
    <x v="7"/>
    <x v="2"/>
    <x v="66"/>
    <x v="1"/>
    <x v="1"/>
    <x v="12"/>
    <s v="Global Value Mid-Back Manager's Chair, Gray"/>
    <n v="213.12"/>
    <n v="5"/>
    <n v="-15.22"/>
  </r>
  <r>
    <d v="2014-09-13T00:00:00"/>
    <x v="8"/>
    <x v="0"/>
    <x v="166"/>
    <x v="3"/>
    <x v="2"/>
    <x v="9"/>
    <s v="OtterBox Defender Series Case - iPhone 5c"/>
    <n v="88.75"/>
    <n v="3"/>
    <n v="11.09"/>
  </r>
  <r>
    <d v="2017-09-13T00:00:00"/>
    <x v="8"/>
    <x v="3"/>
    <x v="268"/>
    <x v="0"/>
    <x v="0"/>
    <x v="1"/>
    <s v="Avery 501"/>
    <n v="8.86"/>
    <n v="3"/>
    <n v="2.99"/>
  </r>
  <r>
    <d v="2014-10-13T00:00:00"/>
    <x v="9"/>
    <x v="0"/>
    <x v="186"/>
    <x v="13"/>
    <x v="1"/>
    <x v="3"/>
    <s v="Electrix 20W Halogen Replacement Bulb for Zoom-In Desk Lamp"/>
    <n v="26.8"/>
    <n v="2"/>
    <n v="12.86"/>
  </r>
  <r>
    <d v="2015-11-13T00:00:00"/>
    <x v="10"/>
    <x v="1"/>
    <x v="269"/>
    <x v="0"/>
    <x v="1"/>
    <x v="14"/>
    <s v="Chromcraft Round Conference Tables"/>
    <n v="244.01"/>
    <n v="2"/>
    <n v="-31.37"/>
  </r>
  <r>
    <d v="2016-11-13T00:00:00"/>
    <x v="10"/>
    <x v="2"/>
    <x v="270"/>
    <x v="19"/>
    <x v="1"/>
    <x v="3"/>
    <s v="Eldon Regeneration Recycled Desk Accessories, Smoke"/>
    <n v="8.35"/>
    <n v="6"/>
    <n v="1.25"/>
  </r>
  <r>
    <d v="2014-12-13T00:00:00"/>
    <x v="11"/>
    <x v="0"/>
    <x v="271"/>
    <x v="27"/>
    <x v="0"/>
    <x v="8"/>
    <s v="Acco Flexible ACCOHIDE Square Ring Data Binder, Dark Blue, 11 1/2&quot; X 14&quot; 7/8&quot;"/>
    <n v="48.81"/>
    <n v="3"/>
    <n v="23.92"/>
  </r>
  <r>
    <d v="2014-01-14T00:00:00"/>
    <x v="0"/>
    <x v="0"/>
    <x v="255"/>
    <x v="1"/>
    <x v="0"/>
    <x v="7"/>
    <s v="Tripp Lite Isotel 8 Ultra 8 Outlet Metal Surge"/>
    <n v="70.97"/>
    <n v="5"/>
    <n v="-191.62"/>
  </r>
  <r>
    <d v="2016-01-14T00:00:00"/>
    <x v="0"/>
    <x v="2"/>
    <x v="66"/>
    <x v="9"/>
    <x v="1"/>
    <x v="12"/>
    <s v="Global Chrome Stack Chair"/>
    <n v="191.97"/>
    <n v="7"/>
    <n v="16.8"/>
  </r>
  <r>
    <d v="2014-02-14T00:00:00"/>
    <x v="1"/>
    <x v="0"/>
    <x v="272"/>
    <x v="3"/>
    <x v="0"/>
    <x v="0"/>
    <s v="Xerox 1962"/>
    <n v="12.84"/>
    <n v="3"/>
    <n v="5.78"/>
  </r>
  <r>
    <d v="2016-03-14T00:00:00"/>
    <x v="2"/>
    <x v="2"/>
    <x v="273"/>
    <x v="7"/>
    <x v="0"/>
    <x v="4"/>
    <s v="Wausau Papers Astrobrights Colored Envelopes"/>
    <n v="17.940000000000001"/>
    <n v="3"/>
    <n v="8.7899999999999991"/>
  </r>
  <r>
    <d v="2015-04-14T00:00:00"/>
    <x v="3"/>
    <x v="1"/>
    <x v="60"/>
    <x v="11"/>
    <x v="2"/>
    <x v="6"/>
    <s v="Razer Kraken PRO Over Ear PC and Music Headset"/>
    <n v="255.97"/>
    <n v="4"/>
    <n v="32"/>
  </r>
  <r>
    <d v="2014-05-14T00:00:00"/>
    <x v="4"/>
    <x v="0"/>
    <x v="6"/>
    <x v="3"/>
    <x v="0"/>
    <x v="0"/>
    <s v="Wirebound Message Book, 4 per Page"/>
    <n v="10.86"/>
    <n v="2"/>
    <n v="5.32"/>
  </r>
  <r>
    <d v="2016-05-14T00:00:00"/>
    <x v="4"/>
    <x v="2"/>
    <x v="274"/>
    <x v="21"/>
    <x v="1"/>
    <x v="3"/>
    <s v="Dana Fluorescent Magnifying Lamp, White, 36&quot;"/>
    <n v="163.13999999999999"/>
    <n v="4"/>
    <n v="20.39"/>
  </r>
  <r>
    <d v="2014-06-14T00:00:00"/>
    <x v="5"/>
    <x v="0"/>
    <x v="112"/>
    <x v="1"/>
    <x v="0"/>
    <x v="7"/>
    <s v="Fellowes Basic Home/Office Series Surge Protectors"/>
    <n v="20.77"/>
    <n v="8"/>
    <n v="-52.96"/>
  </r>
  <r>
    <d v="2015-06-14T00:00:00"/>
    <x v="5"/>
    <x v="1"/>
    <x v="275"/>
    <x v="3"/>
    <x v="0"/>
    <x v="1"/>
    <s v="Avery 476"/>
    <n v="8.26"/>
    <n v="2"/>
    <n v="3.8"/>
  </r>
  <r>
    <d v="2016-06-14T00:00:00"/>
    <x v="5"/>
    <x v="2"/>
    <x v="276"/>
    <x v="31"/>
    <x v="0"/>
    <x v="7"/>
    <s v="Kensington 4 Outlet MasterPiece Compact Power Control Center"/>
    <n v="845.73"/>
    <n v="13"/>
    <n v="84.57"/>
  </r>
  <r>
    <d v="2014-07-14T00:00:00"/>
    <x v="6"/>
    <x v="0"/>
    <x v="277"/>
    <x v="16"/>
    <x v="0"/>
    <x v="2"/>
    <s v="Newell 311"/>
    <n v="6.63"/>
    <n v="3"/>
    <n v="1.79"/>
  </r>
  <r>
    <d v="2015-07-14T00:00:00"/>
    <x v="6"/>
    <x v="1"/>
    <x v="244"/>
    <x v="16"/>
    <x v="0"/>
    <x v="0"/>
    <s v="Xerox 1894"/>
    <n v="32.4"/>
    <n v="5"/>
    <n v="15.55"/>
  </r>
  <r>
    <d v="2016-07-14T00:00:00"/>
    <x v="6"/>
    <x v="2"/>
    <x v="278"/>
    <x v="13"/>
    <x v="2"/>
    <x v="9"/>
    <s v="RCA H5401RE1 DECT 6.0 4-Line Cordless Handset With Caller ID/Call Waiting"/>
    <n v="239.97"/>
    <n v="3"/>
    <n v="2.4"/>
  </r>
  <r>
    <d v="2016-08-14T00:00:00"/>
    <x v="7"/>
    <x v="2"/>
    <x v="279"/>
    <x v="3"/>
    <x v="0"/>
    <x v="0"/>
    <s v="Southworth 25% Cotton Antique Laid Paper &amp; Envelopes"/>
    <n v="58.38"/>
    <n v="7"/>
    <n v="26.27"/>
  </r>
  <r>
    <d v="2014-09-14T00:00:00"/>
    <x v="8"/>
    <x v="0"/>
    <x v="122"/>
    <x v="0"/>
    <x v="0"/>
    <x v="8"/>
    <s v="Avery Poly Binder Pockets"/>
    <n v="5.73"/>
    <n v="8"/>
    <n v="-9.16"/>
  </r>
  <r>
    <d v="2015-09-14T00:00:00"/>
    <x v="8"/>
    <x v="1"/>
    <x v="246"/>
    <x v="13"/>
    <x v="1"/>
    <x v="12"/>
    <s v="Hon Every-Day Series Multi-Task Chairs"/>
    <n v="1522.64"/>
    <n v="9"/>
    <n v="169.18"/>
  </r>
  <r>
    <d v="2014-10-14T00:00:00"/>
    <x v="9"/>
    <x v="0"/>
    <x v="280"/>
    <x v="3"/>
    <x v="0"/>
    <x v="8"/>
    <s v="3-ring staple pack"/>
    <n v="7.52"/>
    <n v="5"/>
    <n v="2.63"/>
  </r>
  <r>
    <d v="2016-10-14T00:00:00"/>
    <x v="9"/>
    <x v="2"/>
    <x v="168"/>
    <x v="4"/>
    <x v="0"/>
    <x v="8"/>
    <s v="Vinyl Sectional Post Binders"/>
    <n v="113.1"/>
    <n v="3"/>
    <n v="56.55"/>
  </r>
  <r>
    <d v="2014-11-14T00:00:00"/>
    <x v="10"/>
    <x v="0"/>
    <x v="281"/>
    <x v="6"/>
    <x v="2"/>
    <x v="6"/>
    <s v="Kingston Digital DataTraveler 16GB USB 2.0"/>
    <n v="53.7"/>
    <n v="6"/>
    <n v="10.199999999999999"/>
  </r>
  <r>
    <d v="2015-11-14T00:00:00"/>
    <x v="10"/>
    <x v="1"/>
    <x v="282"/>
    <x v="3"/>
    <x v="0"/>
    <x v="8"/>
    <s v="Aluminum Screw Posts"/>
    <n v="36.619999999999997"/>
    <n v="3"/>
    <n v="13.73"/>
  </r>
  <r>
    <d v="2016-11-14T00:00:00"/>
    <x v="10"/>
    <x v="2"/>
    <x v="283"/>
    <x v="2"/>
    <x v="1"/>
    <x v="3"/>
    <s v="Eldon Expressions Punched Metal &amp; Wood Desk Accessories, Pewter &amp; Cherry"/>
    <n v="51.07"/>
    <n v="6"/>
    <n v="5.1100000000000003"/>
  </r>
  <r>
    <d v="2016-12-14T00:00:00"/>
    <x v="11"/>
    <x v="2"/>
    <x v="228"/>
    <x v="2"/>
    <x v="0"/>
    <x v="4"/>
    <s v="Peel &amp; Seel Envelopes"/>
    <n v="6.21"/>
    <n v="2"/>
    <n v="2.17"/>
  </r>
  <r>
    <d v="2017-12-14T00:00:00"/>
    <x v="11"/>
    <x v="3"/>
    <x v="284"/>
    <x v="3"/>
    <x v="1"/>
    <x v="3"/>
    <s v="Eldon 200 Class Desk Accessories"/>
    <n v="12.56"/>
    <n v="2"/>
    <n v="4.0199999999999996"/>
  </r>
  <r>
    <d v="2014-01-15T00:00:00"/>
    <x v="0"/>
    <x v="0"/>
    <x v="285"/>
    <x v="3"/>
    <x v="1"/>
    <x v="3"/>
    <s v="Howard Miller 13&quot; Diameter Pewter Finish Round Wall Clock"/>
    <n v="257.64"/>
    <n v="6"/>
    <n v="100.48"/>
  </r>
  <r>
    <d v="2016-01-15T00:00:00"/>
    <x v="0"/>
    <x v="2"/>
    <x v="286"/>
    <x v="16"/>
    <x v="2"/>
    <x v="9"/>
    <s v="Pyle PRT45 Retro Home Telephone"/>
    <n v="201.57"/>
    <n v="4"/>
    <n v="22.68"/>
  </r>
  <r>
    <d v="2017-01-15T00:00:00"/>
    <x v="0"/>
    <x v="3"/>
    <x v="287"/>
    <x v="2"/>
    <x v="0"/>
    <x v="0"/>
    <s v="Xerox 211"/>
    <n v="31.1"/>
    <n v="6"/>
    <n v="10.89"/>
  </r>
  <r>
    <d v="2014-02-15T00:00:00"/>
    <x v="1"/>
    <x v="0"/>
    <x v="288"/>
    <x v="14"/>
    <x v="2"/>
    <x v="6"/>
    <s v="Sony 32GB Class 10 Micro SDHC R40 Memory Card"/>
    <n v="41.9"/>
    <n v="2"/>
    <n v="8.8000000000000007"/>
  </r>
  <r>
    <d v="2015-02-15T00:00:00"/>
    <x v="1"/>
    <x v="1"/>
    <x v="289"/>
    <x v="0"/>
    <x v="0"/>
    <x v="7"/>
    <s v="Belkin 8 Outlet Surge Protector"/>
    <n v="32.78"/>
    <n v="4"/>
    <n v="-85.24"/>
  </r>
  <r>
    <d v="2016-02-15T00:00:00"/>
    <x v="1"/>
    <x v="2"/>
    <x v="290"/>
    <x v="27"/>
    <x v="1"/>
    <x v="12"/>
    <s v="Novimex High-Tech Fabric Mesh Task Chair"/>
    <n v="70.98"/>
    <n v="1"/>
    <n v="4.97"/>
  </r>
  <r>
    <d v="2014-03-15T00:00:00"/>
    <x v="2"/>
    <x v="0"/>
    <x v="291"/>
    <x v="15"/>
    <x v="2"/>
    <x v="9"/>
    <s v="Mitel MiVoice 5330e IP Phone"/>
    <n v="1099.96"/>
    <n v="4"/>
    <n v="285.99"/>
  </r>
  <r>
    <d v="2015-03-15T00:00:00"/>
    <x v="2"/>
    <x v="1"/>
    <x v="292"/>
    <x v="13"/>
    <x v="1"/>
    <x v="3"/>
    <s v="G.E. Halogen Desk Lamp Bulbs"/>
    <n v="13.96"/>
    <n v="2"/>
    <n v="6.7"/>
  </r>
  <r>
    <d v="2016-03-15T00:00:00"/>
    <x v="2"/>
    <x v="2"/>
    <x v="270"/>
    <x v="28"/>
    <x v="0"/>
    <x v="0"/>
    <s v="Tops Wirebound Message Log Books"/>
    <n v="6.58"/>
    <n v="2"/>
    <n v="3.03"/>
  </r>
  <r>
    <d v="2014-04-15T00:00:00"/>
    <x v="3"/>
    <x v="0"/>
    <x v="121"/>
    <x v="9"/>
    <x v="0"/>
    <x v="8"/>
    <s v="Accohide Poly Flexible Ring Binders"/>
    <n v="3.37"/>
    <n v="3"/>
    <n v="-2.2400000000000002"/>
  </r>
  <r>
    <d v="2016-04-15T00:00:00"/>
    <x v="3"/>
    <x v="2"/>
    <x v="293"/>
    <x v="2"/>
    <x v="1"/>
    <x v="3"/>
    <s v="Howard Miller 13-3/4&quot; Diameter Brushed Chrome Round Wall Clock"/>
    <n v="289.8"/>
    <n v="7"/>
    <n v="36.229999999999997"/>
  </r>
  <r>
    <d v="2015-05-15T00:00:00"/>
    <x v="4"/>
    <x v="1"/>
    <x v="294"/>
    <x v="13"/>
    <x v="0"/>
    <x v="8"/>
    <s v="GBC Plastic Binding Combs"/>
    <n v="11.81"/>
    <n v="2"/>
    <n v="4.28"/>
  </r>
  <r>
    <d v="2016-05-15T00:00:00"/>
    <x v="4"/>
    <x v="2"/>
    <x v="295"/>
    <x v="9"/>
    <x v="0"/>
    <x v="10"/>
    <s v="SAFCO Boltless Steel Shelving"/>
    <n v="272.74"/>
    <n v="3"/>
    <n v="-64.77"/>
  </r>
  <r>
    <d v="2014-06-15T00:00:00"/>
    <x v="5"/>
    <x v="0"/>
    <x v="280"/>
    <x v="3"/>
    <x v="1"/>
    <x v="12"/>
    <s v="Hon 2090 Pillow Soft Series Mid Back Swivel/Tilt Chairs"/>
    <n v="1348.7"/>
    <n v="6"/>
    <n v="-219.16"/>
  </r>
  <r>
    <d v="2016-06-15T00:00:00"/>
    <x v="5"/>
    <x v="2"/>
    <x v="296"/>
    <x v="3"/>
    <x v="1"/>
    <x v="5"/>
    <s v="Sauder Camden County Collection Libraries, Planked Cherry Finish"/>
    <n v="195.47"/>
    <n v="2"/>
    <n v="-13.8"/>
  </r>
  <r>
    <d v="2017-06-15T00:00:00"/>
    <x v="5"/>
    <x v="3"/>
    <x v="144"/>
    <x v="3"/>
    <x v="2"/>
    <x v="6"/>
    <s v="Logitech G35 7.1-Channel Surround Sound Headset"/>
    <n v="519.96"/>
    <n v="4"/>
    <n v="176.79"/>
  </r>
  <r>
    <d v="2014-07-15T00:00:00"/>
    <x v="6"/>
    <x v="0"/>
    <x v="297"/>
    <x v="9"/>
    <x v="0"/>
    <x v="8"/>
    <s v="Wilson Jones DublLock D-Ring Binders"/>
    <n v="2.0299999999999998"/>
    <n v="1"/>
    <n v="-1.35"/>
  </r>
  <r>
    <d v="2016-07-15T00:00:00"/>
    <x v="6"/>
    <x v="2"/>
    <x v="298"/>
    <x v="18"/>
    <x v="0"/>
    <x v="10"/>
    <s v="Multi-Use Personal File Cart and Caster Set, Three Stacking Bins"/>
    <n v="34.76"/>
    <n v="1"/>
    <n v="9.73"/>
  </r>
  <r>
    <d v="2014-08-15T00:00:00"/>
    <x v="7"/>
    <x v="0"/>
    <x v="299"/>
    <x v="2"/>
    <x v="0"/>
    <x v="8"/>
    <s v="GBC Premium Transparent Covers with Diagonal Lined Pattern"/>
    <n v="25.18"/>
    <n v="4"/>
    <n v="-18.46"/>
  </r>
  <r>
    <d v="2015-08-15T00:00:00"/>
    <x v="7"/>
    <x v="1"/>
    <x v="117"/>
    <x v="9"/>
    <x v="1"/>
    <x v="14"/>
    <s v="Bevis Boat-Shaped Conference Table"/>
    <n v="393.17"/>
    <n v="3"/>
    <n v="-204.45"/>
  </r>
  <r>
    <d v="2016-08-15T00:00:00"/>
    <x v="7"/>
    <x v="2"/>
    <x v="81"/>
    <x v="27"/>
    <x v="2"/>
    <x v="9"/>
    <s v="Mediabridge Sport Armband iPhone 5s"/>
    <n v="29.97"/>
    <n v="3"/>
    <n v="0.3"/>
  </r>
  <r>
    <d v="2014-09-15T00:00:00"/>
    <x v="8"/>
    <x v="0"/>
    <x v="153"/>
    <x v="13"/>
    <x v="2"/>
    <x v="6"/>
    <s v="Plantronics CS510 - Over-the-Head monaural Wireless Headset System"/>
    <n v="2309.65"/>
    <n v="7"/>
    <n v="762.18"/>
  </r>
  <r>
    <d v="2016-09-15T00:00:00"/>
    <x v="8"/>
    <x v="2"/>
    <x v="300"/>
    <x v="3"/>
    <x v="0"/>
    <x v="2"/>
    <s v="Prang Dustless Chalk Sticks"/>
    <n v="6.72"/>
    <n v="4"/>
    <n v="3.36"/>
  </r>
  <r>
    <d v="2017-09-15T00:00:00"/>
    <x v="8"/>
    <x v="3"/>
    <x v="210"/>
    <x v="16"/>
    <x v="0"/>
    <x v="8"/>
    <s v="Ibico Presentation Index for Binding Systems"/>
    <n v="6.37"/>
    <n v="2"/>
    <n v="2.15"/>
  </r>
  <r>
    <d v="2014-10-15T00:00:00"/>
    <x v="9"/>
    <x v="0"/>
    <x v="273"/>
    <x v="0"/>
    <x v="0"/>
    <x v="10"/>
    <s v="Perma STOR-ALL Hanging File Box, 13 1/8&quot;W x 12 1/4&quot;D x 10 1/2&quot;H"/>
    <n v="33.49"/>
    <n v="7"/>
    <n v="-1.26"/>
  </r>
  <r>
    <d v="2015-10-15T00:00:00"/>
    <x v="9"/>
    <x v="1"/>
    <x v="237"/>
    <x v="0"/>
    <x v="0"/>
    <x v="0"/>
    <s v="Xerox 188"/>
    <n v="27.22"/>
    <n v="3"/>
    <n v="9.8699999999999992"/>
  </r>
  <r>
    <d v="2016-10-15T00:00:00"/>
    <x v="9"/>
    <x v="2"/>
    <x v="301"/>
    <x v="3"/>
    <x v="0"/>
    <x v="8"/>
    <s v="ACCOHIDE 3-Ring Binder, Blue, 1&quot;"/>
    <n v="6.61"/>
    <n v="2"/>
    <n v="2.23"/>
  </r>
  <r>
    <d v="2017-10-15T00:00:00"/>
    <x v="9"/>
    <x v="3"/>
    <x v="302"/>
    <x v="14"/>
    <x v="0"/>
    <x v="2"/>
    <s v="Sanford Uni-Blazer View Highlighters, Chisel Tip, Yellow"/>
    <n v="2.2000000000000002"/>
    <n v="1"/>
    <n v="0.97"/>
  </r>
  <r>
    <d v="2014-11-15T00:00:00"/>
    <x v="10"/>
    <x v="0"/>
    <x v="303"/>
    <x v="3"/>
    <x v="0"/>
    <x v="2"/>
    <s v="50 Colored Long Pencils"/>
    <n v="50.8"/>
    <n v="5"/>
    <n v="13.21"/>
  </r>
  <r>
    <d v="2016-11-15T00:00:00"/>
    <x v="10"/>
    <x v="2"/>
    <x v="304"/>
    <x v="3"/>
    <x v="0"/>
    <x v="10"/>
    <s v="Fellowes Super Stor/Drawer Files"/>
    <n v="323.10000000000002"/>
    <n v="2"/>
    <n v="61.39"/>
  </r>
  <r>
    <d v="2017-11-15T00:00:00"/>
    <x v="10"/>
    <x v="3"/>
    <x v="305"/>
    <x v="9"/>
    <x v="0"/>
    <x v="2"/>
    <s v="Newell 346"/>
    <n v="2.2999999999999998"/>
    <n v="1"/>
    <n v="0.26"/>
  </r>
  <r>
    <d v="2014-12-15T00:00:00"/>
    <x v="11"/>
    <x v="0"/>
    <x v="306"/>
    <x v="28"/>
    <x v="0"/>
    <x v="8"/>
    <s v="Wilson Jones Snap Scratch Pad Binder Tool for Ring Binders"/>
    <n v="52.2"/>
    <n v="9"/>
    <n v="23.49"/>
  </r>
  <r>
    <d v="2017-12-15T00:00:00"/>
    <x v="11"/>
    <x v="3"/>
    <x v="141"/>
    <x v="3"/>
    <x v="1"/>
    <x v="12"/>
    <s v="Hon GuestStacker Chair"/>
    <n v="544.01"/>
    <n v="3"/>
    <n v="40.799999999999997"/>
  </r>
  <r>
    <d v="2014-01-16T00:00:00"/>
    <x v="0"/>
    <x v="0"/>
    <x v="307"/>
    <x v="13"/>
    <x v="0"/>
    <x v="8"/>
    <s v="Avery 3 1/2&quot; Diskette Storage Pages, 10/Pack"/>
    <n v="50.11"/>
    <n v="6"/>
    <n v="16.29"/>
  </r>
  <r>
    <d v="2014-02-16T00:00:00"/>
    <x v="1"/>
    <x v="0"/>
    <x v="308"/>
    <x v="1"/>
    <x v="0"/>
    <x v="16"/>
    <s v="Acme Tagit Stainless Steel Antibacterial Scissors"/>
    <n v="31.68"/>
    <n v="4"/>
    <n v="2.77"/>
  </r>
  <r>
    <d v="2015-02-16T00:00:00"/>
    <x v="1"/>
    <x v="1"/>
    <x v="309"/>
    <x v="14"/>
    <x v="2"/>
    <x v="9"/>
    <s v="Samsung Rugby III"/>
    <n v="131.97999999999999"/>
    <n v="2"/>
    <n v="35.630000000000003"/>
  </r>
  <r>
    <d v="2016-02-16T00:00:00"/>
    <x v="1"/>
    <x v="2"/>
    <x v="310"/>
    <x v="3"/>
    <x v="0"/>
    <x v="8"/>
    <s v="Storex Dura Pro Binders"/>
    <n v="4.75"/>
    <n v="1"/>
    <n v="1.6"/>
  </r>
  <r>
    <d v="2017-02-16T00:00:00"/>
    <x v="1"/>
    <x v="3"/>
    <x v="311"/>
    <x v="21"/>
    <x v="0"/>
    <x v="4"/>
    <s v="Jet-Pak Recycled Peel 'N' Seal Padded Mailers"/>
    <n v="200.98"/>
    <n v="7"/>
    <n v="62.81"/>
  </r>
  <r>
    <d v="2014-03-16T00:00:00"/>
    <x v="2"/>
    <x v="0"/>
    <x v="312"/>
    <x v="7"/>
    <x v="0"/>
    <x v="0"/>
    <s v="Xerox 1908"/>
    <n v="279.89999999999998"/>
    <n v="5"/>
    <n v="137.15"/>
  </r>
  <r>
    <d v="2015-03-16T00:00:00"/>
    <x v="2"/>
    <x v="1"/>
    <x v="135"/>
    <x v="3"/>
    <x v="1"/>
    <x v="5"/>
    <s v="Sauder Camden County Barrister Bookcase, Planked Cherry Finish"/>
    <n v="411.33"/>
    <n v="4"/>
    <n v="-4.84"/>
  </r>
  <r>
    <d v="2015-05-16T00:00:00"/>
    <x v="4"/>
    <x v="1"/>
    <x v="313"/>
    <x v="3"/>
    <x v="0"/>
    <x v="0"/>
    <s v="Xerox 1928"/>
    <n v="26.4"/>
    <n v="5"/>
    <n v="11.88"/>
  </r>
  <r>
    <d v="2017-05-16T00:00:00"/>
    <x v="4"/>
    <x v="3"/>
    <x v="314"/>
    <x v="3"/>
    <x v="0"/>
    <x v="16"/>
    <s v="Martin-Yale Premier Letter Opener"/>
    <n v="51.52"/>
    <n v="4"/>
    <n v="1.55"/>
  </r>
  <r>
    <d v="2015-06-16T00:00:00"/>
    <x v="5"/>
    <x v="1"/>
    <x v="99"/>
    <x v="3"/>
    <x v="0"/>
    <x v="2"/>
    <s v="Boston 19500 Mighty Mite Electric Pencil Sharpener"/>
    <n v="181.35"/>
    <n v="9"/>
    <n v="48.96"/>
  </r>
  <r>
    <d v="2016-06-16T00:00:00"/>
    <x v="5"/>
    <x v="2"/>
    <x v="83"/>
    <x v="13"/>
    <x v="2"/>
    <x v="15"/>
    <s v="Hewlett Packard 310 Color Digital Copier"/>
    <n v="479.98"/>
    <n v="2"/>
    <n v="60"/>
  </r>
  <r>
    <d v="2015-07-16T00:00:00"/>
    <x v="6"/>
    <x v="1"/>
    <x v="315"/>
    <x v="29"/>
    <x v="1"/>
    <x v="14"/>
    <s v="Lesro Round Back Collection Coffee Table, End Table"/>
    <n v="912.75"/>
    <n v="5"/>
    <n v="118.66"/>
  </r>
  <r>
    <d v="2014-08-16T00:00:00"/>
    <x v="7"/>
    <x v="0"/>
    <x v="316"/>
    <x v="2"/>
    <x v="1"/>
    <x v="5"/>
    <s v="Riverside Palais Royal Lawyers Bookcase, Royale Cherry Finish"/>
    <n v="3083.43"/>
    <n v="7"/>
    <n v="-1665.05"/>
  </r>
  <r>
    <d v="2015-08-16T00:00:00"/>
    <x v="7"/>
    <x v="1"/>
    <x v="317"/>
    <x v="3"/>
    <x v="0"/>
    <x v="0"/>
    <s v="Personal Creations Ink Jet Cards and Labels"/>
    <n v="160.72"/>
    <n v="14"/>
    <n v="78.75"/>
  </r>
  <r>
    <d v="2014-09-16T00:00:00"/>
    <x v="8"/>
    <x v="0"/>
    <x v="84"/>
    <x v="28"/>
    <x v="0"/>
    <x v="8"/>
    <s v="GBC Standard Plastic Binding Systems' Combs"/>
    <n v="37.68"/>
    <n v="6"/>
    <n v="16.96"/>
  </r>
  <r>
    <d v="2017-09-16T00:00:00"/>
    <x v="8"/>
    <x v="3"/>
    <x v="318"/>
    <x v="0"/>
    <x v="2"/>
    <x v="9"/>
    <s v="ShoreTel ShorePhone IP 230 VoIP phone"/>
    <n v="946.34"/>
    <n v="7"/>
    <n v="118.29"/>
  </r>
  <r>
    <d v="2014-10-16T00:00:00"/>
    <x v="9"/>
    <x v="0"/>
    <x v="303"/>
    <x v="2"/>
    <x v="0"/>
    <x v="2"/>
    <s v="Newell 320"/>
    <n v="6.85"/>
    <n v="2"/>
    <n v="0.6"/>
  </r>
  <r>
    <d v="2014-11-16T00:00:00"/>
    <x v="10"/>
    <x v="0"/>
    <x v="197"/>
    <x v="29"/>
    <x v="1"/>
    <x v="14"/>
    <s v="Bretford CR4500 Series Slim Rectangular Table"/>
    <n v="1044.6300000000001"/>
    <n v="3"/>
    <n v="240.26"/>
  </r>
  <r>
    <d v="2015-11-16T00:00:00"/>
    <x v="10"/>
    <x v="1"/>
    <x v="99"/>
    <x v="0"/>
    <x v="0"/>
    <x v="8"/>
    <s v="Round Ring Binders"/>
    <n v="2.08"/>
    <n v="5"/>
    <n v="-3.43"/>
  </r>
  <r>
    <d v="2014-12-16T00:00:00"/>
    <x v="11"/>
    <x v="0"/>
    <x v="306"/>
    <x v="31"/>
    <x v="0"/>
    <x v="10"/>
    <s v="Trav-L-File Heavy-Duty Shuttle II, Black"/>
    <n v="139.41999999999999"/>
    <n v="4"/>
    <n v="17.43"/>
  </r>
  <r>
    <d v="2016-12-16T00:00:00"/>
    <x v="11"/>
    <x v="2"/>
    <x v="319"/>
    <x v="3"/>
    <x v="0"/>
    <x v="8"/>
    <s v="GBC Personal VeloBind Strips"/>
    <n v="57.5"/>
    <n v="6"/>
    <n v="20.13"/>
  </r>
  <r>
    <d v="2015-01-17T00:00:00"/>
    <x v="0"/>
    <x v="1"/>
    <x v="320"/>
    <x v="7"/>
    <x v="1"/>
    <x v="12"/>
    <s v="Office Star - Mesh Screen back chair with Vinyl seat"/>
    <n v="392.94"/>
    <n v="3"/>
    <n v="43.22"/>
  </r>
  <r>
    <d v="2016-01-17T00:00:00"/>
    <x v="0"/>
    <x v="2"/>
    <x v="321"/>
    <x v="4"/>
    <x v="0"/>
    <x v="2"/>
    <s v="Newell 324"/>
    <n v="46.2"/>
    <n v="4"/>
    <n v="12.94"/>
  </r>
  <r>
    <d v="2014-02-17T00:00:00"/>
    <x v="1"/>
    <x v="0"/>
    <x v="86"/>
    <x v="1"/>
    <x v="2"/>
    <x v="6"/>
    <s v="Logitech Gaming G510s - Keyboard"/>
    <n v="339.96"/>
    <n v="5"/>
    <n v="67.989999999999995"/>
  </r>
  <r>
    <d v="2017-02-17T00:00:00"/>
    <x v="1"/>
    <x v="3"/>
    <x v="322"/>
    <x v="3"/>
    <x v="0"/>
    <x v="10"/>
    <s v="Eldon Base for stackable storage shelf, platinum"/>
    <n v="77.88"/>
    <n v="2"/>
    <n v="3.89"/>
  </r>
  <r>
    <d v="2014-03-17T00:00:00"/>
    <x v="2"/>
    <x v="0"/>
    <x v="44"/>
    <x v="0"/>
    <x v="2"/>
    <x v="6"/>
    <s v="Verbatim Slim CD and DVD Storage Cases, 50/Pack"/>
    <n v="27.7"/>
    <n v="3"/>
    <n v="3.46"/>
  </r>
  <r>
    <d v="2015-03-17T00:00:00"/>
    <x v="2"/>
    <x v="1"/>
    <x v="316"/>
    <x v="30"/>
    <x v="0"/>
    <x v="0"/>
    <s v="Southworth 100% Cotton The Best Paper"/>
    <n v="34.44"/>
    <n v="3"/>
    <n v="17.22"/>
  </r>
  <r>
    <d v="2015-04-17T00:00:00"/>
    <x v="3"/>
    <x v="1"/>
    <x v="323"/>
    <x v="1"/>
    <x v="0"/>
    <x v="8"/>
    <s v="GBC Instant Report Kit"/>
    <n v="5.18"/>
    <n v="4"/>
    <n v="-7.76"/>
  </r>
  <r>
    <d v="2016-04-17T00:00:00"/>
    <x v="3"/>
    <x v="2"/>
    <x v="324"/>
    <x v="3"/>
    <x v="0"/>
    <x v="1"/>
    <s v="Avery 507"/>
    <n v="5.76"/>
    <n v="2"/>
    <n v="2.65"/>
  </r>
  <r>
    <d v="2014-05-17T00:00:00"/>
    <x v="4"/>
    <x v="0"/>
    <x v="58"/>
    <x v="27"/>
    <x v="0"/>
    <x v="4"/>
    <s v="Laser &amp; Ink Jet Business Envelopes"/>
    <n v="10.67"/>
    <n v="1"/>
    <n v="4.91"/>
  </r>
  <r>
    <d v="2016-05-17T00:00:00"/>
    <x v="4"/>
    <x v="2"/>
    <x v="238"/>
    <x v="3"/>
    <x v="0"/>
    <x v="0"/>
    <s v="Xerox 1898"/>
    <n v="33.4"/>
    <n v="5"/>
    <n v="16.03"/>
  </r>
  <r>
    <d v="2014-06-17T00:00:00"/>
    <x v="5"/>
    <x v="0"/>
    <x v="287"/>
    <x v="14"/>
    <x v="2"/>
    <x v="9"/>
    <s v="Panasonic KX T7736-B Digital phone"/>
    <n v="299.89999999999998"/>
    <n v="2"/>
    <n v="74.98"/>
  </r>
  <r>
    <d v="2015-07-17T00:00:00"/>
    <x v="6"/>
    <x v="1"/>
    <x v="325"/>
    <x v="3"/>
    <x v="1"/>
    <x v="14"/>
    <s v="Bevis Round Bullnose 29&quot; High Table Top"/>
    <n v="1038.8399999999999"/>
    <n v="5"/>
    <n v="51.94"/>
  </r>
  <r>
    <d v="2014-08-17T00:00:00"/>
    <x v="7"/>
    <x v="0"/>
    <x v="326"/>
    <x v="3"/>
    <x v="2"/>
    <x v="9"/>
    <s v="Cisco IP Phone 7961G-GE VoIP phone"/>
    <n v="1212.8499999999999"/>
    <n v="7"/>
    <n v="106.12"/>
  </r>
  <r>
    <d v="2015-08-17T00:00:00"/>
    <x v="7"/>
    <x v="1"/>
    <x v="327"/>
    <x v="21"/>
    <x v="1"/>
    <x v="12"/>
    <s v="Harbour Creations Steel Folding Chair"/>
    <n v="207"/>
    <n v="3"/>
    <n v="25.88"/>
  </r>
  <r>
    <d v="2014-09-17T00:00:00"/>
    <x v="8"/>
    <x v="0"/>
    <x v="328"/>
    <x v="3"/>
    <x v="1"/>
    <x v="12"/>
    <s v="Safco Contoured Stacking Chairs"/>
    <n v="190.72"/>
    <n v="1"/>
    <n v="11.92"/>
  </r>
  <r>
    <d v="2015-09-17T00:00:00"/>
    <x v="8"/>
    <x v="1"/>
    <x v="119"/>
    <x v="28"/>
    <x v="0"/>
    <x v="2"/>
    <s v="American Pencil"/>
    <n v="11.65"/>
    <n v="5"/>
    <n v="3.38"/>
  </r>
  <r>
    <d v="2015-10-17T00:00:00"/>
    <x v="9"/>
    <x v="1"/>
    <x v="322"/>
    <x v="2"/>
    <x v="0"/>
    <x v="0"/>
    <s v="While You Were Out Pads, 50 per Pad, 4 x 5 1/4, Green Cycle"/>
    <n v="11.35"/>
    <n v="3"/>
    <n v="4.12"/>
  </r>
  <r>
    <d v="2016-10-17T00:00:00"/>
    <x v="9"/>
    <x v="2"/>
    <x v="329"/>
    <x v="14"/>
    <x v="0"/>
    <x v="10"/>
    <s v="Advantus 10-Drawer Portable Organizer, Chrome Metal Frame, Smoke Drawers"/>
    <n v="418.32"/>
    <n v="7"/>
    <n v="117.13"/>
  </r>
  <r>
    <d v="2017-10-17T00:00:00"/>
    <x v="9"/>
    <x v="3"/>
    <x v="330"/>
    <x v="31"/>
    <x v="2"/>
    <x v="6"/>
    <s v="Logitech K350 2.4Ghz Wireless Keyboard"/>
    <n v="238.9"/>
    <n v="6"/>
    <n v="-26.88"/>
  </r>
  <r>
    <d v="2014-11-17T00:00:00"/>
    <x v="10"/>
    <x v="0"/>
    <x v="95"/>
    <x v="13"/>
    <x v="2"/>
    <x v="6"/>
    <s v="Imation Clip USB flash drive - 8 GB"/>
    <n v="37.6"/>
    <n v="2"/>
    <n v="2.2599999999999998"/>
  </r>
  <r>
    <d v="2015-11-17T00:00:00"/>
    <x v="10"/>
    <x v="1"/>
    <x v="331"/>
    <x v="13"/>
    <x v="0"/>
    <x v="7"/>
    <s v="Eureka The Boss Plus 12-Amp Hard Box Upright Vacuum, Red"/>
    <n v="523.25"/>
    <n v="5"/>
    <n v="141.28"/>
  </r>
  <r>
    <d v="2017-11-17T00:00:00"/>
    <x v="10"/>
    <x v="3"/>
    <x v="332"/>
    <x v="1"/>
    <x v="0"/>
    <x v="16"/>
    <s v="Acme Box Cutter Scissors"/>
    <n v="40.92"/>
    <n v="5"/>
    <n v="3.07"/>
  </r>
  <r>
    <d v="2014-12-17T00:00:00"/>
    <x v="11"/>
    <x v="0"/>
    <x v="112"/>
    <x v="19"/>
    <x v="1"/>
    <x v="12"/>
    <s v="Padded Folding Chairs, Black, 4/Carton"/>
    <n v="396.8"/>
    <n v="7"/>
    <n v="-11.34"/>
  </r>
  <r>
    <d v="2016-12-17T00:00:00"/>
    <x v="11"/>
    <x v="2"/>
    <x v="78"/>
    <x v="0"/>
    <x v="0"/>
    <x v="7"/>
    <s v="Holmes Replacement Filter for HEPA Air Cleaner, Very Large Room, HEPA Filter"/>
    <n v="68.81"/>
    <n v="5"/>
    <n v="-123.86"/>
  </r>
  <r>
    <d v="2017-12-17T00:00:00"/>
    <x v="11"/>
    <x v="3"/>
    <x v="333"/>
    <x v="0"/>
    <x v="0"/>
    <x v="0"/>
    <s v="Xerox 1915"/>
    <n v="335.52"/>
    <n v="4"/>
    <n v="117.43"/>
  </r>
  <r>
    <d v="2014-01-18T00:00:00"/>
    <x v="0"/>
    <x v="0"/>
    <x v="56"/>
    <x v="3"/>
    <x v="2"/>
    <x v="6"/>
    <s v="Verbatim 25 GB 6x Blu-ray Single Layer Recordable Disc, 3/Pack"/>
    <n v="13.98"/>
    <n v="2"/>
    <n v="6.15"/>
  </r>
  <r>
    <d v="2014-02-18T00:00:00"/>
    <x v="1"/>
    <x v="0"/>
    <x v="334"/>
    <x v="11"/>
    <x v="1"/>
    <x v="14"/>
    <s v="Hon Practical Foundations 30 x 60 Training Table, Light Gray/Charcoal"/>
    <n v="375.46"/>
    <n v="3"/>
    <n v="-157.01"/>
  </r>
  <r>
    <d v="2015-02-18T00:00:00"/>
    <x v="1"/>
    <x v="1"/>
    <x v="335"/>
    <x v="1"/>
    <x v="1"/>
    <x v="3"/>
    <s v="Eldon 100 Class Desk Accessories"/>
    <n v="12.13"/>
    <n v="9"/>
    <n v="-8.49"/>
  </r>
  <r>
    <d v="2017-02-18T00:00:00"/>
    <x v="1"/>
    <x v="3"/>
    <x v="336"/>
    <x v="14"/>
    <x v="1"/>
    <x v="12"/>
    <s v="Global Manager's Adjustable Task Chair, Storm"/>
    <n v="301.95999999999998"/>
    <n v="2"/>
    <n v="87.57"/>
  </r>
  <r>
    <d v="2014-03-18T00:00:00"/>
    <x v="2"/>
    <x v="0"/>
    <x v="337"/>
    <x v="2"/>
    <x v="0"/>
    <x v="8"/>
    <s v="Fellowes PB200 Plastic Comb Binding Machine"/>
    <n v="152.99"/>
    <n v="3"/>
    <n v="-122.39"/>
  </r>
  <r>
    <d v="2016-03-18T00:00:00"/>
    <x v="2"/>
    <x v="2"/>
    <x v="338"/>
    <x v="16"/>
    <x v="0"/>
    <x v="8"/>
    <s v="Wilson Jones Heavy-Duty Casebound Ring Binders with Metal Hinges"/>
    <n v="55.42"/>
    <n v="2"/>
    <n v="19.399999999999999"/>
  </r>
  <r>
    <d v="2014-04-18T00:00:00"/>
    <x v="3"/>
    <x v="0"/>
    <x v="339"/>
    <x v="2"/>
    <x v="2"/>
    <x v="13"/>
    <s v="Lexmark MarkNet N8150 Wireless Print Server"/>
    <n v="482.34"/>
    <n v="4"/>
    <n v="-337.64"/>
  </r>
  <r>
    <d v="2016-04-18T00:00:00"/>
    <x v="3"/>
    <x v="2"/>
    <x v="340"/>
    <x v="11"/>
    <x v="0"/>
    <x v="8"/>
    <s v="SpineVue Locking Slant-D Ring Binders by Cardinal"/>
    <n v="8.23"/>
    <n v="3"/>
    <n v="-6.03"/>
  </r>
  <r>
    <d v="2014-05-18T00:00:00"/>
    <x v="4"/>
    <x v="0"/>
    <x v="341"/>
    <x v="27"/>
    <x v="0"/>
    <x v="7"/>
    <s v="Eureka The Boss Cordless Rechargeable Stick Vac"/>
    <n v="152.94"/>
    <n v="3"/>
    <n v="41.29"/>
  </r>
  <r>
    <d v="2015-05-18T00:00:00"/>
    <x v="4"/>
    <x v="1"/>
    <x v="342"/>
    <x v="0"/>
    <x v="0"/>
    <x v="0"/>
    <s v="Xerox 1945"/>
    <n v="360.71"/>
    <n v="11"/>
    <n v="130.76"/>
  </r>
  <r>
    <d v="2016-05-18T00:00:00"/>
    <x v="4"/>
    <x v="2"/>
    <x v="343"/>
    <x v="14"/>
    <x v="0"/>
    <x v="2"/>
    <s v="Avery Hi-Liter Comfort Grip Fluorescent Highlighter, Yellow Ink"/>
    <n v="3.9"/>
    <n v="2"/>
    <n v="1.52"/>
  </r>
  <r>
    <d v="2014-06-18T00:00:00"/>
    <x v="5"/>
    <x v="0"/>
    <x v="323"/>
    <x v="3"/>
    <x v="1"/>
    <x v="12"/>
    <s v="Lifetime Advantage Folding Chairs, 4/Carton"/>
    <n v="348.93"/>
    <n v="2"/>
    <n v="34.89"/>
  </r>
  <r>
    <d v="2016-06-18T00:00:00"/>
    <x v="5"/>
    <x v="2"/>
    <x v="116"/>
    <x v="19"/>
    <x v="0"/>
    <x v="10"/>
    <s v="Fellowes Officeware Wire Shelving"/>
    <n v="646.78"/>
    <n v="9"/>
    <n v="-145.52000000000001"/>
  </r>
  <r>
    <d v="2014-07-18T00:00:00"/>
    <x v="6"/>
    <x v="0"/>
    <x v="344"/>
    <x v="16"/>
    <x v="1"/>
    <x v="14"/>
    <s v="Bevis 36 x 72 Conference Tables"/>
    <n v="1618.37"/>
    <n v="13"/>
    <n v="356.04"/>
  </r>
  <r>
    <d v="2015-07-18T00:00:00"/>
    <x v="6"/>
    <x v="1"/>
    <x v="22"/>
    <x v="4"/>
    <x v="0"/>
    <x v="7"/>
    <s v="Belkin Premiere Surge Master II 8-outlet surge protector"/>
    <n v="194.32"/>
    <n v="4"/>
    <n v="56.35"/>
  </r>
  <r>
    <d v="2016-08-18T00:00:00"/>
    <x v="7"/>
    <x v="2"/>
    <x v="345"/>
    <x v="19"/>
    <x v="0"/>
    <x v="11"/>
    <s v="OIC Bulk Pack Metal Binder Clips"/>
    <n v="5.58"/>
    <n v="2"/>
    <n v="1.81"/>
  </r>
  <r>
    <d v="2017-08-18T00:00:00"/>
    <x v="7"/>
    <x v="3"/>
    <x v="346"/>
    <x v="2"/>
    <x v="1"/>
    <x v="3"/>
    <s v="Tenex Antistatic Computer Chair Mats"/>
    <n v="547.14"/>
    <n v="4"/>
    <n v="-68.39"/>
  </r>
  <r>
    <d v="2015-09-18T00:00:00"/>
    <x v="8"/>
    <x v="1"/>
    <x v="347"/>
    <x v="0"/>
    <x v="0"/>
    <x v="4"/>
    <s v="#10-4 1/8&quot; x 9 1/2&quot; Premium Diagonal Seam Envelopes"/>
    <n v="113.33"/>
    <n v="9"/>
    <n v="35.42"/>
  </r>
  <r>
    <d v="2016-09-18T00:00:00"/>
    <x v="8"/>
    <x v="2"/>
    <x v="200"/>
    <x v="13"/>
    <x v="0"/>
    <x v="16"/>
    <s v="Acme Serrated Blade Letter Opener"/>
    <n v="6.36"/>
    <n v="2"/>
    <n v="0.06"/>
  </r>
  <r>
    <d v="2014-10-18T00:00:00"/>
    <x v="9"/>
    <x v="0"/>
    <x v="38"/>
    <x v="3"/>
    <x v="0"/>
    <x v="0"/>
    <s v="Xerox 1929"/>
    <n v="68.52"/>
    <n v="3"/>
    <n v="31.52"/>
  </r>
  <r>
    <d v="2015-10-18T00:00:00"/>
    <x v="9"/>
    <x v="1"/>
    <x v="325"/>
    <x v="35"/>
    <x v="0"/>
    <x v="8"/>
    <s v="Ibico Hi-Tech Manual Binding System"/>
    <n v="487.98"/>
    <n v="2"/>
    <n v="152.5"/>
  </r>
  <r>
    <d v="2014-11-18T00:00:00"/>
    <x v="10"/>
    <x v="0"/>
    <x v="348"/>
    <x v="25"/>
    <x v="1"/>
    <x v="5"/>
    <s v="Bush Westfield Collection Bookcases, Medium Cherry Finish"/>
    <n v="173.94"/>
    <n v="3"/>
    <n v="38.270000000000003"/>
  </r>
  <r>
    <d v="2016-11-18T00:00:00"/>
    <x v="10"/>
    <x v="2"/>
    <x v="85"/>
    <x v="11"/>
    <x v="2"/>
    <x v="6"/>
    <s v="Logitech MX Performance Wireless Mouse"/>
    <n v="191.47"/>
    <n v="6"/>
    <n v="40.69"/>
  </r>
  <r>
    <d v="2015-12-18T00:00:00"/>
    <x v="11"/>
    <x v="1"/>
    <x v="349"/>
    <x v="3"/>
    <x v="0"/>
    <x v="2"/>
    <s v="Panasonic KP-350BK Electric Pencil Sharpener with Auto Stop"/>
    <n v="34.58"/>
    <n v="1"/>
    <n v="10.029999999999999"/>
  </r>
  <r>
    <d v="2016-12-18T00:00:00"/>
    <x v="11"/>
    <x v="2"/>
    <x v="350"/>
    <x v="15"/>
    <x v="1"/>
    <x v="5"/>
    <s v="Atlantic Metals Mobile 3-Shelf Bookcases, Custom Colors"/>
    <n v="1565.88"/>
    <n v="6"/>
    <n v="407.13"/>
  </r>
  <r>
    <d v="2014-01-19T00:00:00"/>
    <x v="0"/>
    <x v="0"/>
    <x v="288"/>
    <x v="3"/>
    <x v="2"/>
    <x v="6"/>
    <s v="Logitech G500s Laser Gaming Mouse with Adjustable Weight Tuning"/>
    <n v="349.95"/>
    <n v="5"/>
    <n v="118.98"/>
  </r>
  <r>
    <d v="2017-01-19T00:00:00"/>
    <x v="0"/>
    <x v="3"/>
    <x v="150"/>
    <x v="16"/>
    <x v="1"/>
    <x v="3"/>
    <s v="24-Hour Round Wall Clock"/>
    <n v="79.92"/>
    <n v="4"/>
    <n v="34.369999999999997"/>
  </r>
  <r>
    <d v="2017-02-19T00:00:00"/>
    <x v="1"/>
    <x v="3"/>
    <x v="269"/>
    <x v="21"/>
    <x v="0"/>
    <x v="0"/>
    <s v="Xerox 1882"/>
    <n v="89.57"/>
    <n v="2"/>
    <n v="32.47"/>
  </r>
  <r>
    <d v="2014-03-19T00:00:00"/>
    <x v="2"/>
    <x v="0"/>
    <x v="351"/>
    <x v="17"/>
    <x v="0"/>
    <x v="4"/>
    <s v="Quality Park Security Envelopes"/>
    <n v="52.34"/>
    <n v="2"/>
    <n v="24.6"/>
  </r>
  <r>
    <d v="2015-03-19T00:00:00"/>
    <x v="2"/>
    <x v="1"/>
    <x v="352"/>
    <x v="30"/>
    <x v="1"/>
    <x v="3"/>
    <s v="Tenex Contemporary Contur Chairmats for Low and Medium Pile Carpet, Computer, 39&quot; x 49&quot;"/>
    <n v="322.58999999999997"/>
    <n v="3"/>
    <n v="64.52"/>
  </r>
  <r>
    <d v="2016-03-19T00:00:00"/>
    <x v="2"/>
    <x v="2"/>
    <x v="353"/>
    <x v="3"/>
    <x v="1"/>
    <x v="3"/>
    <s v="DAX Cubicle Frames, 8-1/2 x 11"/>
    <n v="59.99"/>
    <n v="7"/>
    <n v="21.6"/>
  </r>
  <r>
    <d v="2017-03-19T00:00:00"/>
    <x v="2"/>
    <x v="3"/>
    <x v="354"/>
    <x v="26"/>
    <x v="0"/>
    <x v="8"/>
    <s v="XtraLife ClearVue Slant-D Ring Binders by Cardinal"/>
    <n v="31.36"/>
    <n v="4"/>
    <n v="15.68"/>
  </r>
  <r>
    <d v="2014-04-19T00:00:00"/>
    <x v="3"/>
    <x v="0"/>
    <x v="355"/>
    <x v="17"/>
    <x v="0"/>
    <x v="2"/>
    <s v="Dixon Ticonderoga Maple Cedar Pencil, #2"/>
    <n v="9.2100000000000009"/>
    <n v="3"/>
    <n v="2.2999999999999998"/>
  </r>
  <r>
    <d v="2015-04-19T00:00:00"/>
    <x v="3"/>
    <x v="1"/>
    <x v="356"/>
    <x v="3"/>
    <x v="2"/>
    <x v="9"/>
    <s v="AT&amp;T 1080 Phone"/>
    <n v="109.59"/>
    <n v="1"/>
    <n v="8.2200000000000006"/>
  </r>
  <r>
    <d v="2016-04-19T00:00:00"/>
    <x v="3"/>
    <x v="2"/>
    <x v="26"/>
    <x v="4"/>
    <x v="0"/>
    <x v="10"/>
    <s v="X-Rack File for Hanging Folders"/>
    <n v="56.45"/>
    <n v="5"/>
    <n v="14.68"/>
  </r>
  <r>
    <d v="2014-05-19T00:00:00"/>
    <x v="4"/>
    <x v="0"/>
    <x v="357"/>
    <x v="13"/>
    <x v="0"/>
    <x v="10"/>
    <s v="Belkin 19&quot; Center-Weighted Shelf, Gray"/>
    <n v="117.96"/>
    <n v="2"/>
    <n v="5.9"/>
  </r>
  <r>
    <d v="2016-05-19T00:00:00"/>
    <x v="4"/>
    <x v="2"/>
    <x v="21"/>
    <x v="27"/>
    <x v="1"/>
    <x v="12"/>
    <s v="Hon Multipurpose Stacking Arm Chairs"/>
    <n v="866.4"/>
    <n v="4"/>
    <n v="225.26"/>
  </r>
  <r>
    <d v="2015-06-19T00:00:00"/>
    <x v="5"/>
    <x v="1"/>
    <x v="316"/>
    <x v="9"/>
    <x v="1"/>
    <x v="3"/>
    <s v="Nu-Dell Float Frame 11 x 14 1/2"/>
    <n v="14.37"/>
    <n v="2"/>
    <n v="3.95"/>
  </r>
  <r>
    <d v="2017-06-19T00:00:00"/>
    <x v="5"/>
    <x v="3"/>
    <x v="328"/>
    <x v="37"/>
    <x v="1"/>
    <x v="3"/>
    <s v="Deflect-o EconoMat Studded, No Bevel Mat for Low Pile Carpeting"/>
    <n v="132.22"/>
    <n v="4"/>
    <n v="-18.18"/>
  </r>
  <r>
    <d v="2014-07-19T00:00:00"/>
    <x v="6"/>
    <x v="0"/>
    <x v="315"/>
    <x v="4"/>
    <x v="2"/>
    <x v="6"/>
    <s v="Micro Innovations USB RF Wireless Keyboard with Mouse"/>
    <n v="100"/>
    <n v="4"/>
    <n v="21"/>
  </r>
  <r>
    <d v="2015-07-19T00:00:00"/>
    <x v="6"/>
    <x v="1"/>
    <x v="287"/>
    <x v="21"/>
    <x v="2"/>
    <x v="9"/>
    <s v="Samsung Galaxy S4 Mini"/>
    <n v="1127.98"/>
    <n v="3"/>
    <n v="126.9"/>
  </r>
  <r>
    <d v="2016-07-19T00:00:00"/>
    <x v="6"/>
    <x v="2"/>
    <x v="344"/>
    <x v="7"/>
    <x v="0"/>
    <x v="10"/>
    <s v="Tennsco Double-Tier Lockers"/>
    <n v="1350.12"/>
    <n v="6"/>
    <n v="175.52"/>
  </r>
  <r>
    <d v="2014-08-19T00:00:00"/>
    <x v="7"/>
    <x v="0"/>
    <x v="81"/>
    <x v="13"/>
    <x v="0"/>
    <x v="8"/>
    <s v="GBC DocuBind P100 Manual Binding Machine"/>
    <n v="398.35"/>
    <n v="3"/>
    <n v="124.49"/>
  </r>
  <r>
    <d v="2014-09-19T00:00:00"/>
    <x v="8"/>
    <x v="0"/>
    <x v="165"/>
    <x v="1"/>
    <x v="0"/>
    <x v="7"/>
    <s v="Honeywell Enviracaire Portable Air Cleaner for up to 8 x 10 Room"/>
    <n v="92.06"/>
    <n v="6"/>
    <n v="-225.56"/>
  </r>
  <r>
    <d v="2016-09-19T00:00:00"/>
    <x v="8"/>
    <x v="2"/>
    <x v="358"/>
    <x v="37"/>
    <x v="0"/>
    <x v="0"/>
    <s v="Speediset Carbonless Redi-Letter 7&quot; x 8 1/2&quot;"/>
    <n v="16.5"/>
    <n v="2"/>
    <n v="5.57"/>
  </r>
  <r>
    <d v="2014-10-19T00:00:00"/>
    <x v="9"/>
    <x v="0"/>
    <x v="359"/>
    <x v="3"/>
    <x v="2"/>
    <x v="6"/>
    <s v="SanDisk Ultra 16 GB MicroSDHC Class 10 Memory Card"/>
    <n v="12.99"/>
    <n v="1"/>
    <n v="0.78"/>
  </r>
  <r>
    <d v="2015-10-19T00:00:00"/>
    <x v="9"/>
    <x v="1"/>
    <x v="360"/>
    <x v="15"/>
    <x v="0"/>
    <x v="7"/>
    <s v="Belkin 5 Outlet SurgeMaster Power Centers"/>
    <n v="490.32"/>
    <n v="9"/>
    <n v="137.29"/>
  </r>
  <r>
    <d v="2014-11-19T00:00:00"/>
    <x v="10"/>
    <x v="0"/>
    <x v="126"/>
    <x v="2"/>
    <x v="0"/>
    <x v="4"/>
    <s v="Recycled Interoffice Envelopes with String and Button Closure, 10 x 13"/>
    <n v="57.58"/>
    <n v="3"/>
    <n v="21.59"/>
  </r>
  <r>
    <d v="2017-11-19T00:00:00"/>
    <x v="10"/>
    <x v="3"/>
    <x v="118"/>
    <x v="13"/>
    <x v="0"/>
    <x v="7"/>
    <s v="Conquest 14 Commercial Heavy-Duty Upright Vacuum, Collection System, Accessory Kit"/>
    <n v="170.88"/>
    <n v="3"/>
    <n v="49.56"/>
  </r>
  <r>
    <d v="2014-12-19T00:00:00"/>
    <x v="11"/>
    <x v="0"/>
    <x v="104"/>
    <x v="5"/>
    <x v="0"/>
    <x v="8"/>
    <s v="GBC ProClick Punch Binding System"/>
    <n v="447.86"/>
    <n v="7"/>
    <n v="219.45"/>
  </r>
  <r>
    <d v="2016-12-19T00:00:00"/>
    <x v="11"/>
    <x v="2"/>
    <x v="361"/>
    <x v="3"/>
    <x v="0"/>
    <x v="2"/>
    <s v="Berol Giant Pencil Sharpener"/>
    <n v="16.989999999999998"/>
    <n v="1"/>
    <n v="4.93"/>
  </r>
  <r>
    <d v="2017-12-19T00:00:00"/>
    <x v="11"/>
    <x v="3"/>
    <x v="362"/>
    <x v="2"/>
    <x v="2"/>
    <x v="9"/>
    <s v="Wilson SignalBoost 841262 DB PRO Amplifier Kit"/>
    <n v="431.94"/>
    <n v="2"/>
    <n v="-71.989999999999995"/>
  </r>
  <r>
    <d v="2014-01-20T00:00:00"/>
    <x v="0"/>
    <x v="0"/>
    <x v="319"/>
    <x v="0"/>
    <x v="2"/>
    <x v="9"/>
    <s v="Belkin Grip Candy Sheer Case / Cover for iPhone 5 and 5S"/>
    <n v="21.07"/>
    <n v="3"/>
    <n v="1.58"/>
  </r>
  <r>
    <d v="2014-02-20T00:00:00"/>
    <x v="1"/>
    <x v="0"/>
    <x v="183"/>
    <x v="11"/>
    <x v="2"/>
    <x v="9"/>
    <s v="Cisco Unified IP Phone 7945G VoIP phone"/>
    <n v="1363.96"/>
    <n v="5"/>
    <n v="85.25"/>
  </r>
  <r>
    <d v="2015-02-20T00:00:00"/>
    <x v="1"/>
    <x v="1"/>
    <x v="363"/>
    <x v="13"/>
    <x v="1"/>
    <x v="5"/>
    <s v="O'Sullivan Living Dimensions 5-Shelf Bookcases"/>
    <n v="176.78"/>
    <n v="1"/>
    <n v="-22.1"/>
  </r>
  <r>
    <d v="2016-02-20T00:00:00"/>
    <x v="1"/>
    <x v="2"/>
    <x v="364"/>
    <x v="9"/>
    <x v="0"/>
    <x v="7"/>
    <s v="Belkin 7 Outlet SurgeMaster Surge Protector with Phone Protection"/>
    <n v="157.91999999999999"/>
    <n v="5"/>
    <n v="17.77"/>
  </r>
  <r>
    <d v="2015-03-20T00:00:00"/>
    <x v="2"/>
    <x v="1"/>
    <x v="365"/>
    <x v="19"/>
    <x v="1"/>
    <x v="3"/>
    <s v="Advantus Panel Wall Acrylic Frame"/>
    <n v="21.88"/>
    <n v="5"/>
    <n v="6.29"/>
  </r>
  <r>
    <d v="2016-03-20T00:00:00"/>
    <x v="2"/>
    <x v="2"/>
    <x v="366"/>
    <x v="2"/>
    <x v="2"/>
    <x v="6"/>
    <s v="V7 USB Numeric Keypad"/>
    <n v="83.98"/>
    <n v="3"/>
    <n v="-13.65"/>
  </r>
  <r>
    <d v="2017-03-20T00:00:00"/>
    <x v="2"/>
    <x v="3"/>
    <x v="367"/>
    <x v="37"/>
    <x v="1"/>
    <x v="14"/>
    <s v="Balt Solid Wood Rectangular Table"/>
    <n v="189.88"/>
    <n v="3"/>
    <n v="-94.94"/>
  </r>
  <r>
    <d v="2014-04-20T00:00:00"/>
    <x v="3"/>
    <x v="0"/>
    <x v="368"/>
    <x v="31"/>
    <x v="1"/>
    <x v="5"/>
    <s v="Atlantic Metals Mobile 2-Shelf Bookcases, Custom Colors"/>
    <n v="72.290000000000006"/>
    <n v="1"/>
    <n v="-98.8"/>
  </r>
  <r>
    <d v="2014-05-20T00:00:00"/>
    <x v="4"/>
    <x v="0"/>
    <x v="183"/>
    <x v="8"/>
    <x v="2"/>
    <x v="9"/>
    <s v="i.Sound Portable Power - 8000 mAh"/>
    <n v="84.78"/>
    <n v="2"/>
    <n v="-20.14"/>
  </r>
  <r>
    <d v="2015-05-20T00:00:00"/>
    <x v="4"/>
    <x v="1"/>
    <x v="369"/>
    <x v="1"/>
    <x v="0"/>
    <x v="8"/>
    <s v="Avery Durable Slant Ring Binders"/>
    <n v="3.17"/>
    <n v="2"/>
    <n v="-4.75"/>
  </r>
  <r>
    <d v="2016-05-20T00:00:00"/>
    <x v="4"/>
    <x v="2"/>
    <x v="154"/>
    <x v="12"/>
    <x v="2"/>
    <x v="6"/>
    <s v="Logitech ClearChat Comfort/USB Headset H390"/>
    <n v="58.58"/>
    <n v="2"/>
    <n v="19.329999999999998"/>
  </r>
  <r>
    <d v="2017-05-20T00:00:00"/>
    <x v="4"/>
    <x v="3"/>
    <x v="335"/>
    <x v="8"/>
    <x v="2"/>
    <x v="9"/>
    <s v="BlackBerry Q10"/>
    <n v="403.17"/>
    <n v="4"/>
    <n v="25.2"/>
  </r>
  <r>
    <d v="2014-06-20T00:00:00"/>
    <x v="5"/>
    <x v="0"/>
    <x v="370"/>
    <x v="39"/>
    <x v="2"/>
    <x v="6"/>
    <s v="Logitech P710e Mobile Speakerphone"/>
    <n v="1287.45"/>
    <n v="5"/>
    <n v="244.62"/>
  </r>
  <r>
    <d v="2015-06-20T00:00:00"/>
    <x v="5"/>
    <x v="1"/>
    <x v="302"/>
    <x v="7"/>
    <x v="1"/>
    <x v="3"/>
    <s v="DAX Two-Tone Silver Metal Document Frame"/>
    <n v="20.239999999999998"/>
    <n v="1"/>
    <n v="8.6999999999999993"/>
  </r>
  <r>
    <d v="2016-06-20T00:00:00"/>
    <x v="5"/>
    <x v="2"/>
    <x v="371"/>
    <x v="4"/>
    <x v="0"/>
    <x v="10"/>
    <s v="Hanging Personal Folder File"/>
    <n v="31.4"/>
    <n v="2"/>
    <n v="7.85"/>
  </r>
  <r>
    <d v="2014-07-20T00:00:00"/>
    <x v="6"/>
    <x v="0"/>
    <x v="372"/>
    <x v="1"/>
    <x v="0"/>
    <x v="0"/>
    <s v="Computer Printout Paper with Letter-Trim Perforations"/>
    <n v="45.53"/>
    <n v="3"/>
    <n v="15.93"/>
  </r>
  <r>
    <d v="2015-07-20T00:00:00"/>
    <x v="6"/>
    <x v="1"/>
    <x v="103"/>
    <x v="2"/>
    <x v="2"/>
    <x v="9"/>
    <s v="LG Exalt"/>
    <n v="280.77999999999997"/>
    <n v="3"/>
    <n v="-60.84"/>
  </r>
  <r>
    <d v="2016-07-20T00:00:00"/>
    <x v="6"/>
    <x v="2"/>
    <x v="320"/>
    <x v="15"/>
    <x v="1"/>
    <x v="12"/>
    <s v="Global Executive Mid-Back Manager's Chair"/>
    <n v="1454.9"/>
    <n v="5"/>
    <n v="378.27"/>
  </r>
  <r>
    <d v="2014-08-20T00:00:00"/>
    <x v="7"/>
    <x v="0"/>
    <x v="103"/>
    <x v="2"/>
    <x v="0"/>
    <x v="8"/>
    <s v="GBC Velobind Prepunched Cover Sets, Regency Series"/>
    <n v="99.85"/>
    <n v="9"/>
    <n v="-83.21"/>
  </r>
  <r>
    <d v="2016-08-20T00:00:00"/>
    <x v="7"/>
    <x v="2"/>
    <x v="372"/>
    <x v="4"/>
    <x v="2"/>
    <x v="9"/>
    <s v="Anker Astro 15000mAh USB Portable Charger"/>
    <n v="149.97"/>
    <n v="3"/>
    <n v="6"/>
  </r>
  <r>
    <d v="2014-09-20T00:00:00"/>
    <x v="8"/>
    <x v="0"/>
    <x v="373"/>
    <x v="0"/>
    <x v="0"/>
    <x v="10"/>
    <s v="Eldon Portable Mobile Manager"/>
    <n v="158.37"/>
    <n v="7"/>
    <n v="13.86"/>
  </r>
  <r>
    <d v="2015-09-20T00:00:00"/>
    <x v="8"/>
    <x v="1"/>
    <x v="374"/>
    <x v="41"/>
    <x v="2"/>
    <x v="9"/>
    <s v="Nortel Meridian M5316 Digital phone"/>
    <n v="1294.75"/>
    <n v="5"/>
    <n v="336.64"/>
  </r>
  <r>
    <d v="2016-09-20T00:00:00"/>
    <x v="8"/>
    <x v="2"/>
    <x v="375"/>
    <x v="3"/>
    <x v="2"/>
    <x v="15"/>
    <s v="Hewlett Packard 610 Color Digital Copier / Printer"/>
    <n v="1199.98"/>
    <n v="3"/>
    <n v="374.99"/>
  </r>
  <r>
    <d v="2017-09-20T00:00:00"/>
    <x v="8"/>
    <x v="3"/>
    <x v="211"/>
    <x v="13"/>
    <x v="1"/>
    <x v="5"/>
    <s v="Sauder Barrister Bookcases"/>
    <n v="388.7"/>
    <n v="6"/>
    <n v="-4.8600000000000003"/>
  </r>
  <r>
    <d v="2014-11-20T00:00:00"/>
    <x v="10"/>
    <x v="0"/>
    <x v="376"/>
    <x v="19"/>
    <x v="0"/>
    <x v="8"/>
    <s v="Wilson Jones Hanging Recycled Pressboard Data Binders"/>
    <n v="8.9"/>
    <n v="2"/>
    <n v="-6.53"/>
  </r>
  <r>
    <d v="2014-01-21T00:00:00"/>
    <x v="0"/>
    <x v="0"/>
    <x v="299"/>
    <x v="21"/>
    <x v="0"/>
    <x v="8"/>
    <s v="GBC ProClick 150 Presentation Binding System"/>
    <n v="189.59"/>
    <n v="2"/>
    <n v="-145.35"/>
  </r>
  <r>
    <d v="2017-01-21T00:00:00"/>
    <x v="0"/>
    <x v="3"/>
    <x v="377"/>
    <x v="21"/>
    <x v="2"/>
    <x v="9"/>
    <s v="Motorola L804"/>
    <n v="36.79"/>
    <n v="1"/>
    <n v="4.1399999999999997"/>
  </r>
  <r>
    <d v="2014-02-21T00:00:00"/>
    <x v="1"/>
    <x v="0"/>
    <x v="378"/>
    <x v="1"/>
    <x v="0"/>
    <x v="10"/>
    <s v="Safco Industrial Wire Shelving"/>
    <n v="230.38"/>
    <n v="3"/>
    <n v="-48.95"/>
  </r>
  <r>
    <d v="2016-02-21T00:00:00"/>
    <x v="1"/>
    <x v="2"/>
    <x v="373"/>
    <x v="19"/>
    <x v="1"/>
    <x v="14"/>
    <s v="Bush Andora Conference Table, Maple/Graphite Gray Finish"/>
    <n v="205.18"/>
    <n v="2"/>
    <n v="-58.13"/>
  </r>
  <r>
    <d v="2017-02-21T00:00:00"/>
    <x v="1"/>
    <x v="3"/>
    <x v="379"/>
    <x v="1"/>
    <x v="0"/>
    <x v="10"/>
    <s v="Fellowes Bankers Box Stor/Drawer Steel Plus"/>
    <n v="102.34"/>
    <n v="4"/>
    <n v="-12.79"/>
  </r>
  <r>
    <d v="2014-03-21T00:00:00"/>
    <x v="2"/>
    <x v="0"/>
    <x v="380"/>
    <x v="0"/>
    <x v="2"/>
    <x v="6"/>
    <s v="Plantronics S12 Corded Telephone Headset System"/>
    <n v="258.7"/>
    <n v="3"/>
    <n v="64.67"/>
  </r>
  <r>
    <d v="2015-03-21T00:00:00"/>
    <x v="2"/>
    <x v="1"/>
    <x v="244"/>
    <x v="2"/>
    <x v="2"/>
    <x v="9"/>
    <s v="AT&amp;T 841000 Phone"/>
    <n v="82.8"/>
    <n v="2"/>
    <n v="-20.7"/>
  </r>
  <r>
    <d v="2016-03-21T00:00:00"/>
    <x v="2"/>
    <x v="2"/>
    <x v="381"/>
    <x v="13"/>
    <x v="1"/>
    <x v="12"/>
    <s v="Office Star - Mid Back Dual function Ergonomic High Back Chair with 2-Way Adjustable Arms"/>
    <n v="434.65"/>
    <n v="3"/>
    <n v="62.78"/>
  </r>
  <r>
    <d v="2015-04-21T00:00:00"/>
    <x v="3"/>
    <x v="1"/>
    <x v="382"/>
    <x v="0"/>
    <x v="0"/>
    <x v="2"/>
    <s v="Panasonic KP-380BK Classic Electric Pencil Sharpener"/>
    <n v="86.35"/>
    <n v="3"/>
    <n v="5.4"/>
  </r>
  <r>
    <d v="2016-04-21T00:00:00"/>
    <x v="3"/>
    <x v="2"/>
    <x v="353"/>
    <x v="1"/>
    <x v="0"/>
    <x v="8"/>
    <s v="Heavy-Duty E-Z-D Binders"/>
    <n v="2.1800000000000002"/>
    <n v="1"/>
    <n v="-3.6"/>
  </r>
  <r>
    <d v="2017-04-21T00:00:00"/>
    <x v="3"/>
    <x v="3"/>
    <x v="383"/>
    <x v="19"/>
    <x v="0"/>
    <x v="11"/>
    <s v="Advantus T-Pin Paper Clips"/>
    <n v="7.22"/>
    <n v="2"/>
    <n v="1.71"/>
  </r>
  <r>
    <d v="2014-05-21T00:00:00"/>
    <x v="4"/>
    <x v="0"/>
    <x v="363"/>
    <x v="13"/>
    <x v="0"/>
    <x v="8"/>
    <s v="GBC Twin Loop Wire Binding Elements, 9/16&quot; Spine, Black"/>
    <n v="85.23"/>
    <n v="7"/>
    <n v="30.9"/>
  </r>
  <r>
    <d v="2015-05-21T00:00:00"/>
    <x v="4"/>
    <x v="1"/>
    <x v="384"/>
    <x v="16"/>
    <x v="2"/>
    <x v="6"/>
    <s v="Sony Micro Vault Click 8 GB USB 2.0 Flash Drive"/>
    <n v="93.98"/>
    <n v="2"/>
    <n v="13.16"/>
  </r>
  <r>
    <d v="2016-05-21T00:00:00"/>
    <x v="4"/>
    <x v="2"/>
    <x v="193"/>
    <x v="16"/>
    <x v="0"/>
    <x v="0"/>
    <s v="Xerox 1965"/>
    <n v="11.96"/>
    <n v="2"/>
    <n v="5.86"/>
  </r>
  <r>
    <d v="2014-06-21T00:00:00"/>
    <x v="5"/>
    <x v="0"/>
    <x v="284"/>
    <x v="19"/>
    <x v="1"/>
    <x v="3"/>
    <s v="GE 48&quot; Fluorescent Tube, Cool White Energy Saver, 34 Watts, 30/Box"/>
    <n v="79.38"/>
    <n v="1"/>
    <n v="29.77"/>
  </r>
  <r>
    <d v="2014-07-21T00:00:00"/>
    <x v="6"/>
    <x v="0"/>
    <x v="347"/>
    <x v="26"/>
    <x v="0"/>
    <x v="8"/>
    <s v="GBC DocuBind P50 Personal Binding Machine"/>
    <n v="511.84"/>
    <n v="8"/>
    <n v="240.56"/>
  </r>
  <r>
    <d v="2015-08-21T00:00:00"/>
    <x v="7"/>
    <x v="1"/>
    <x v="239"/>
    <x v="11"/>
    <x v="0"/>
    <x v="8"/>
    <s v="Pressboard Hanging Data Binders for Unburst Sheets"/>
    <n v="2.95"/>
    <n v="2"/>
    <n v="-2.16"/>
  </r>
  <r>
    <d v="2016-08-21T00:00:00"/>
    <x v="7"/>
    <x v="2"/>
    <x v="385"/>
    <x v="3"/>
    <x v="0"/>
    <x v="10"/>
    <s v="Home/Office Personal File Carts"/>
    <n v="104.28"/>
    <n v="3"/>
    <n v="26.07"/>
  </r>
  <r>
    <d v="2014-09-21T00:00:00"/>
    <x v="8"/>
    <x v="0"/>
    <x v="386"/>
    <x v="4"/>
    <x v="1"/>
    <x v="12"/>
    <s v="Hon 4070 Series Pagoda Round Back Stacking Chairs"/>
    <n v="641.96"/>
    <n v="2"/>
    <n v="179.75"/>
  </r>
  <r>
    <d v="2015-09-21T00:00:00"/>
    <x v="8"/>
    <x v="1"/>
    <x v="387"/>
    <x v="3"/>
    <x v="1"/>
    <x v="3"/>
    <s v="Luxo Professional Fluorescent Magnifier Lamp with Clamp-Mount Base"/>
    <n v="1049.2"/>
    <n v="5"/>
    <n v="272.79000000000002"/>
  </r>
  <r>
    <d v="2017-09-21T00:00:00"/>
    <x v="8"/>
    <x v="3"/>
    <x v="284"/>
    <x v="3"/>
    <x v="2"/>
    <x v="9"/>
    <s v="Motorola HK250 Universal Bluetooth Headset"/>
    <n v="55.18"/>
    <n v="3"/>
    <n v="-12.41"/>
  </r>
  <r>
    <d v="2017-10-21T00:00:00"/>
    <x v="9"/>
    <x v="3"/>
    <x v="388"/>
    <x v="3"/>
    <x v="1"/>
    <x v="3"/>
    <s v="Eldon Image Series Desk Accessories, Ebony"/>
    <n v="37.049999999999997"/>
    <n v="3"/>
    <n v="16.3"/>
  </r>
  <r>
    <d v="2015-11-21T00:00:00"/>
    <x v="10"/>
    <x v="1"/>
    <x v="362"/>
    <x v="7"/>
    <x v="1"/>
    <x v="3"/>
    <s v="Eldon Expressions Mahogany Wood Desk Collection"/>
    <n v="24.96"/>
    <n v="4"/>
    <n v="6.24"/>
  </r>
  <r>
    <d v="2016-11-21T00:00:00"/>
    <x v="10"/>
    <x v="2"/>
    <x v="288"/>
    <x v="14"/>
    <x v="1"/>
    <x v="12"/>
    <s v="HON 5400 Series Task Chairs for Big and Tall"/>
    <n v="3504.9"/>
    <n v="5"/>
    <n v="700.98"/>
  </r>
  <r>
    <d v="2014-12-21T00:00:00"/>
    <x v="11"/>
    <x v="0"/>
    <x v="389"/>
    <x v="24"/>
    <x v="2"/>
    <x v="9"/>
    <s v="Panasonic KX-TG9471B"/>
    <n v="979.95"/>
    <n v="5"/>
    <n v="274.39"/>
  </r>
  <r>
    <d v="2015-12-21T00:00:00"/>
    <x v="11"/>
    <x v="1"/>
    <x v="390"/>
    <x v="1"/>
    <x v="1"/>
    <x v="3"/>
    <s v="Executive Impressions 16-1/2&quot; Circular Wall Clock"/>
    <n v="32.06"/>
    <n v="3"/>
    <n v="-12.83"/>
  </r>
  <r>
    <d v="2017-01-22T00:00:00"/>
    <x v="0"/>
    <x v="3"/>
    <x v="391"/>
    <x v="3"/>
    <x v="1"/>
    <x v="14"/>
    <s v="Hon 61000 Series Interactive Training Tables"/>
    <n v="71.09"/>
    <n v="2"/>
    <n v="-1.78"/>
  </r>
  <r>
    <d v="2015-02-22T00:00:00"/>
    <x v="1"/>
    <x v="1"/>
    <x v="392"/>
    <x v="4"/>
    <x v="0"/>
    <x v="0"/>
    <s v="Snap-A-Way Black Print Carbonless Ruled Speed Letter, Triplicate"/>
    <n v="75.88"/>
    <n v="2"/>
    <n v="35.659999999999997"/>
  </r>
  <r>
    <d v="2016-02-22T00:00:00"/>
    <x v="1"/>
    <x v="2"/>
    <x v="393"/>
    <x v="1"/>
    <x v="2"/>
    <x v="9"/>
    <s v="Cisco Small Business SPA 502G VoIP phone"/>
    <n v="328.22"/>
    <n v="4"/>
    <n v="28.72"/>
  </r>
  <r>
    <d v="2014-03-22T00:00:00"/>
    <x v="2"/>
    <x v="0"/>
    <x v="394"/>
    <x v="3"/>
    <x v="0"/>
    <x v="1"/>
    <s v="Avery 473"/>
    <n v="20.7"/>
    <n v="2"/>
    <n v="9.94"/>
  </r>
  <r>
    <d v="2015-03-22T00:00:00"/>
    <x v="2"/>
    <x v="1"/>
    <x v="395"/>
    <x v="0"/>
    <x v="0"/>
    <x v="8"/>
    <s v="Computer Printout Index Tabs"/>
    <n v="1.34"/>
    <n v="4"/>
    <n v="-2.15"/>
  </r>
  <r>
    <d v="2016-03-22T00:00:00"/>
    <x v="2"/>
    <x v="2"/>
    <x v="356"/>
    <x v="14"/>
    <x v="2"/>
    <x v="9"/>
    <s v="Ooma Telo VoIP Home Phone System"/>
    <n v="377.97"/>
    <n v="3"/>
    <n v="94.49"/>
  </r>
  <r>
    <d v="2014-05-22T00:00:00"/>
    <x v="4"/>
    <x v="0"/>
    <x v="360"/>
    <x v="3"/>
    <x v="0"/>
    <x v="2"/>
    <s v="Newell 326"/>
    <n v="7.04"/>
    <n v="4"/>
    <n v="2.04"/>
  </r>
  <r>
    <d v="2015-05-22T00:00:00"/>
    <x v="4"/>
    <x v="1"/>
    <x v="185"/>
    <x v="0"/>
    <x v="0"/>
    <x v="0"/>
    <s v="Xerox 19"/>
    <n v="173.49"/>
    <n v="7"/>
    <n v="54.22"/>
  </r>
  <r>
    <d v="2014-06-22T00:00:00"/>
    <x v="5"/>
    <x v="0"/>
    <x v="396"/>
    <x v="3"/>
    <x v="0"/>
    <x v="0"/>
    <s v="Wirebound Message Books, Four 2 3/4&quot; x 5&quot; Forms per Page, 600 Sets per Book"/>
    <n v="46.35"/>
    <n v="5"/>
    <n v="21.78"/>
  </r>
  <r>
    <d v="2017-06-22T00:00:00"/>
    <x v="5"/>
    <x v="3"/>
    <x v="368"/>
    <x v="1"/>
    <x v="0"/>
    <x v="0"/>
    <s v="Xerox 1937"/>
    <n v="76.86"/>
    <n v="2"/>
    <n v="26.9"/>
  </r>
  <r>
    <d v="2014-07-22T00:00:00"/>
    <x v="6"/>
    <x v="0"/>
    <x v="397"/>
    <x v="5"/>
    <x v="2"/>
    <x v="6"/>
    <s v="Imation 8gb Micro Traveldrive Usb 2.0 Flash Drive"/>
    <n v="45"/>
    <n v="3"/>
    <n v="4.95"/>
  </r>
  <r>
    <d v="2016-07-22T00:00:00"/>
    <x v="6"/>
    <x v="2"/>
    <x v="291"/>
    <x v="13"/>
    <x v="0"/>
    <x v="1"/>
    <s v="Avery 4027 File Folder Labels for Dot Matrix Printers, 5000 Labels per Box, White"/>
    <n v="122.12"/>
    <n v="4"/>
    <n v="56.18"/>
  </r>
  <r>
    <d v="2014-08-22T00:00:00"/>
    <x v="7"/>
    <x v="0"/>
    <x v="396"/>
    <x v="3"/>
    <x v="2"/>
    <x v="9"/>
    <s v="Macally Suction Cup Mount"/>
    <n v="38.24"/>
    <n v="4"/>
    <n v="-9.56"/>
  </r>
  <r>
    <d v="2015-08-22T00:00:00"/>
    <x v="7"/>
    <x v="1"/>
    <x v="69"/>
    <x v="2"/>
    <x v="1"/>
    <x v="12"/>
    <s v="Global Leather Highback Executive Chair with Pneumatic Height Adjustment, Black"/>
    <n v="422.06"/>
    <n v="3"/>
    <n v="-18.09"/>
  </r>
  <r>
    <d v="2014-10-22T00:00:00"/>
    <x v="9"/>
    <x v="0"/>
    <x v="398"/>
    <x v="13"/>
    <x v="0"/>
    <x v="2"/>
    <s v="Prang Colored Pencils"/>
    <n v="14.7"/>
    <n v="5"/>
    <n v="6.62"/>
  </r>
  <r>
    <d v="2015-10-22T00:00:00"/>
    <x v="9"/>
    <x v="1"/>
    <x v="206"/>
    <x v="1"/>
    <x v="0"/>
    <x v="0"/>
    <s v="Wirebound Message Books, Four 2 3/4 x 5 White Forms per Page"/>
    <n v="37.46"/>
    <n v="7"/>
    <n v="12.18"/>
  </r>
  <r>
    <d v="2017-10-22T00:00:00"/>
    <x v="9"/>
    <x v="3"/>
    <x v="169"/>
    <x v="7"/>
    <x v="0"/>
    <x v="2"/>
    <s v="Bulldog Vacuum Base Pencil Sharpener"/>
    <n v="35.97"/>
    <n v="3"/>
    <n v="9.7100000000000009"/>
  </r>
  <r>
    <d v="2014-11-22T00:00:00"/>
    <x v="10"/>
    <x v="0"/>
    <x v="399"/>
    <x v="20"/>
    <x v="0"/>
    <x v="8"/>
    <s v="Wilson Jones Hanging View Binder, White, 1&quot;"/>
    <n v="14.2"/>
    <n v="2"/>
    <n v="6.53"/>
  </r>
  <r>
    <d v="2015-11-22T00:00:00"/>
    <x v="10"/>
    <x v="1"/>
    <x v="327"/>
    <x v="3"/>
    <x v="1"/>
    <x v="12"/>
    <s v="Hon Deluxe Fabric Upholstered Stacking Chairs"/>
    <n v="195.18"/>
    <n v="1"/>
    <n v="19.52"/>
  </r>
  <r>
    <d v="2016-11-22T00:00:00"/>
    <x v="10"/>
    <x v="2"/>
    <x v="400"/>
    <x v="3"/>
    <x v="1"/>
    <x v="3"/>
    <s v="Master Caster Door Stop, Brown"/>
    <n v="25.4"/>
    <n v="5"/>
    <n v="8.64"/>
  </r>
  <r>
    <d v="2014-12-22T00:00:00"/>
    <x v="11"/>
    <x v="0"/>
    <x v="401"/>
    <x v="11"/>
    <x v="0"/>
    <x v="16"/>
    <s v="Acme Softgrip Scissors"/>
    <n v="45.58"/>
    <n v="7"/>
    <n v="5.13"/>
  </r>
  <r>
    <d v="2017-12-22T00:00:00"/>
    <x v="11"/>
    <x v="3"/>
    <x v="402"/>
    <x v="0"/>
    <x v="2"/>
    <x v="9"/>
    <s v="Cisco SPA 502G IP Phone"/>
    <n v="863.64"/>
    <n v="9"/>
    <n v="107.96"/>
  </r>
  <r>
    <d v="2014-01-23T00:00:00"/>
    <x v="0"/>
    <x v="0"/>
    <x v="234"/>
    <x v="9"/>
    <x v="0"/>
    <x v="10"/>
    <s v="Sterilite Officeware Hinged File Box"/>
    <n v="16.77"/>
    <n v="2"/>
    <n v="1.47"/>
  </r>
  <r>
    <d v="2015-01-23T00:00:00"/>
    <x v="0"/>
    <x v="1"/>
    <x v="403"/>
    <x v="3"/>
    <x v="2"/>
    <x v="9"/>
    <s v="Cisco SPA525G2 IP Phone - Wireless"/>
    <n v="95.76"/>
    <n v="6"/>
    <n v="7.18"/>
  </r>
  <r>
    <d v="2016-01-23T00:00:00"/>
    <x v="0"/>
    <x v="2"/>
    <x v="177"/>
    <x v="9"/>
    <x v="2"/>
    <x v="9"/>
    <s v="LG Electronics Tone+ HBS-730 Bluetooth Headset"/>
    <n v="380.86"/>
    <n v="8"/>
    <n v="38.090000000000003"/>
  </r>
  <r>
    <d v="2014-02-23T00:00:00"/>
    <x v="1"/>
    <x v="0"/>
    <x v="203"/>
    <x v="29"/>
    <x v="0"/>
    <x v="16"/>
    <s v="Fiskars Home &amp; Office Scissors"/>
    <n v="44.4"/>
    <n v="5"/>
    <n v="12.43"/>
  </r>
  <r>
    <d v="2015-02-23T00:00:00"/>
    <x v="1"/>
    <x v="1"/>
    <x v="36"/>
    <x v="26"/>
    <x v="1"/>
    <x v="3"/>
    <s v="Advantus Employee of the Month Certificate Frame, 11 x 13-1/2"/>
    <n v="185.58"/>
    <n v="6"/>
    <n v="76.09"/>
  </r>
  <r>
    <d v="2016-02-23T00:00:00"/>
    <x v="1"/>
    <x v="2"/>
    <x v="62"/>
    <x v="13"/>
    <x v="2"/>
    <x v="9"/>
    <s v="invisibleSHIELD by ZAGG Smudge-Free Screen Protector"/>
    <n v="89.95"/>
    <n v="5"/>
    <n v="43.18"/>
  </r>
  <r>
    <d v="2017-02-23T00:00:00"/>
    <x v="1"/>
    <x v="3"/>
    <x v="404"/>
    <x v="3"/>
    <x v="0"/>
    <x v="1"/>
    <s v="Self-Adhesive Removable Labels"/>
    <n v="6.3"/>
    <n v="2"/>
    <n v="3.02"/>
  </r>
  <r>
    <d v="2014-03-23T00:00:00"/>
    <x v="2"/>
    <x v="0"/>
    <x v="28"/>
    <x v="3"/>
    <x v="0"/>
    <x v="8"/>
    <s v="Clear Mylar Reinforcing Strips"/>
    <n v="119.62"/>
    <n v="8"/>
    <n v="40.369999999999997"/>
  </r>
  <r>
    <d v="2017-03-23T00:00:00"/>
    <x v="2"/>
    <x v="3"/>
    <x v="136"/>
    <x v="14"/>
    <x v="0"/>
    <x v="7"/>
    <s v="Honeywell Quietcare HEPA Air Cleaner"/>
    <n v="283.14"/>
    <n v="4"/>
    <n v="72.36"/>
  </r>
  <r>
    <d v="2014-04-23T00:00:00"/>
    <x v="3"/>
    <x v="0"/>
    <x v="30"/>
    <x v="3"/>
    <x v="1"/>
    <x v="14"/>
    <s v="Barricks Non-Folding Utility Table with Steel Legs, Laminate Tops"/>
    <n v="136.46"/>
    <n v="2"/>
    <n v="15.35"/>
  </r>
  <r>
    <d v="2017-04-23T00:00:00"/>
    <x v="3"/>
    <x v="3"/>
    <x v="405"/>
    <x v="39"/>
    <x v="0"/>
    <x v="4"/>
    <s v="Tyvek  Top-Opening Peel &amp; Seel Envelopes, Plain White"/>
    <n v="81.540000000000006"/>
    <n v="3"/>
    <n v="38.32"/>
  </r>
  <r>
    <d v="2014-05-23T00:00:00"/>
    <x v="4"/>
    <x v="0"/>
    <x v="406"/>
    <x v="4"/>
    <x v="0"/>
    <x v="16"/>
    <s v="Acme 10&quot; Easy Grip Assistive Scissors"/>
    <n v="35.06"/>
    <n v="2"/>
    <n v="10.52"/>
  </r>
  <r>
    <d v="2016-05-23T00:00:00"/>
    <x v="4"/>
    <x v="2"/>
    <x v="407"/>
    <x v="24"/>
    <x v="0"/>
    <x v="2"/>
    <s v="Boston Model 1800 Electric Pencil Sharpener, Gray"/>
    <n v="197.05"/>
    <n v="7"/>
    <n v="59.12"/>
  </r>
  <r>
    <d v="2014-06-23T00:00:00"/>
    <x v="5"/>
    <x v="0"/>
    <x v="408"/>
    <x v="16"/>
    <x v="2"/>
    <x v="6"/>
    <s v="Logitech Illuminated - Keyboard"/>
    <n v="179.97"/>
    <n v="3"/>
    <n v="86.39"/>
  </r>
  <r>
    <d v="2015-06-23T00:00:00"/>
    <x v="5"/>
    <x v="1"/>
    <x v="409"/>
    <x v="21"/>
    <x v="0"/>
    <x v="0"/>
    <s v="Xerox 199"/>
    <n v="30.82"/>
    <n v="9"/>
    <n v="9.6300000000000008"/>
  </r>
  <r>
    <d v="2016-06-23T00:00:00"/>
    <x v="5"/>
    <x v="2"/>
    <x v="330"/>
    <x v="23"/>
    <x v="0"/>
    <x v="0"/>
    <s v="Xerox 224"/>
    <n v="6.48"/>
    <n v="1"/>
    <n v="3.11"/>
  </r>
  <r>
    <d v="2014-07-23T00:00:00"/>
    <x v="6"/>
    <x v="0"/>
    <x v="134"/>
    <x v="21"/>
    <x v="0"/>
    <x v="8"/>
    <s v="Acco Translucent Poly Ring Binders"/>
    <n v="11.23"/>
    <n v="8"/>
    <n v="-8.24"/>
  </r>
  <r>
    <d v="2014-08-23T00:00:00"/>
    <x v="7"/>
    <x v="0"/>
    <x v="410"/>
    <x v="3"/>
    <x v="0"/>
    <x v="0"/>
    <s v="Array Memo Cubes"/>
    <n v="15.54"/>
    <n v="3"/>
    <n v="7.61"/>
  </r>
  <r>
    <d v="2015-08-23T00:00:00"/>
    <x v="7"/>
    <x v="1"/>
    <x v="271"/>
    <x v="31"/>
    <x v="0"/>
    <x v="8"/>
    <s v="Premium Transparent Presentation Covers by GBC"/>
    <n v="18.88"/>
    <n v="3"/>
    <n v="-13.85"/>
  </r>
  <r>
    <d v="2017-08-23T00:00:00"/>
    <x v="7"/>
    <x v="3"/>
    <x v="411"/>
    <x v="13"/>
    <x v="0"/>
    <x v="7"/>
    <s v="Belkin 7 Outlet SurgeMaster II"/>
    <n v="355.32"/>
    <n v="9"/>
    <n v="99.49"/>
  </r>
  <r>
    <d v="2016-09-23T00:00:00"/>
    <x v="8"/>
    <x v="2"/>
    <x v="349"/>
    <x v="14"/>
    <x v="2"/>
    <x v="9"/>
    <s v="SKILCRAFT Telephone Shoulder Rest, 2&quot; x 6.5&quot; x 2.5&quot;, Black"/>
    <n v="14.78"/>
    <n v="2"/>
    <n v="3.99"/>
  </r>
  <r>
    <d v="2014-11-23T00:00:00"/>
    <x v="10"/>
    <x v="0"/>
    <x v="412"/>
    <x v="21"/>
    <x v="0"/>
    <x v="1"/>
    <s v="Avery 49"/>
    <n v="9.2200000000000006"/>
    <n v="4"/>
    <n v="3.34"/>
  </r>
  <r>
    <d v="2015-11-23T00:00:00"/>
    <x v="10"/>
    <x v="1"/>
    <x v="143"/>
    <x v="31"/>
    <x v="0"/>
    <x v="0"/>
    <s v="Wirebound Four 2-3/4 x 5 Forms per Page, 400 Sets per Book"/>
    <n v="15.48"/>
    <n v="3"/>
    <n v="5.61"/>
  </r>
  <r>
    <d v="2016-11-23T00:00:00"/>
    <x v="10"/>
    <x v="2"/>
    <x v="387"/>
    <x v="1"/>
    <x v="0"/>
    <x v="0"/>
    <s v="Avery Personal Creations Heavyweight Cards"/>
    <n v="64.62"/>
    <n v="7"/>
    <n v="22.62"/>
  </r>
  <r>
    <d v="2017-11-23T00:00:00"/>
    <x v="10"/>
    <x v="3"/>
    <x v="214"/>
    <x v="2"/>
    <x v="2"/>
    <x v="9"/>
    <s v="Aastra 57i VoIP phone"/>
    <n v="290.89999999999998"/>
    <n v="3"/>
    <n v="-67.88"/>
  </r>
  <r>
    <d v="2014-12-23T00:00:00"/>
    <x v="11"/>
    <x v="0"/>
    <x v="413"/>
    <x v="13"/>
    <x v="2"/>
    <x v="6"/>
    <s v="Sabrent 4-Port USB 2.0 Hub"/>
    <n v="6.79"/>
    <n v="1"/>
    <n v="2.31"/>
  </r>
  <r>
    <d v="2015-12-23T00:00:00"/>
    <x v="11"/>
    <x v="1"/>
    <x v="392"/>
    <x v="13"/>
    <x v="0"/>
    <x v="2"/>
    <s v="Panasonic KP-150 Electric Pencil Sharpener"/>
    <n v="75.48"/>
    <n v="2"/>
    <n v="19.62"/>
  </r>
  <r>
    <d v="2016-12-23T00:00:00"/>
    <x v="11"/>
    <x v="2"/>
    <x v="59"/>
    <x v="2"/>
    <x v="0"/>
    <x v="8"/>
    <s v="GBC Ibimaster 500 Manual ProClick Binding System"/>
    <n v="1141.47"/>
    <n v="5"/>
    <n v="-760.98"/>
  </r>
  <r>
    <d v="2017-12-23T00:00:00"/>
    <x v="11"/>
    <x v="3"/>
    <x v="269"/>
    <x v="0"/>
    <x v="0"/>
    <x v="10"/>
    <s v="Super Decoflex Portable Personal File"/>
    <n v="35.950000000000003"/>
    <n v="3"/>
    <n v="3.6"/>
  </r>
  <r>
    <d v="2016-01-24T00:00:00"/>
    <x v="0"/>
    <x v="2"/>
    <x v="414"/>
    <x v="13"/>
    <x v="0"/>
    <x v="10"/>
    <s v="Acco Perma 2700 Stacking Storage Drawers"/>
    <n v="59.48"/>
    <n v="2"/>
    <n v="8.92"/>
  </r>
  <r>
    <d v="2017-01-24T00:00:00"/>
    <x v="0"/>
    <x v="3"/>
    <x v="415"/>
    <x v="3"/>
    <x v="0"/>
    <x v="0"/>
    <s v="Wirebound Message Books, Two 4 1/4&quot; x 5&quot; Forms per Page"/>
    <n v="7.61"/>
    <n v="1"/>
    <n v="3.58"/>
  </r>
  <r>
    <d v="2014-03-24T00:00:00"/>
    <x v="2"/>
    <x v="0"/>
    <x v="416"/>
    <x v="31"/>
    <x v="1"/>
    <x v="3"/>
    <s v="C-Line Cubicle Keepers Polyproplyene Holder With Velcro Backings"/>
    <n v="15.14"/>
    <n v="4"/>
    <n v="3.59"/>
  </r>
  <r>
    <d v="2015-03-24T00:00:00"/>
    <x v="2"/>
    <x v="1"/>
    <x v="254"/>
    <x v="2"/>
    <x v="0"/>
    <x v="0"/>
    <s v="Xerox 1968"/>
    <n v="5.34"/>
    <n v="1"/>
    <n v="1.87"/>
  </r>
  <r>
    <d v="2016-03-24T00:00:00"/>
    <x v="2"/>
    <x v="2"/>
    <x v="417"/>
    <x v="13"/>
    <x v="0"/>
    <x v="8"/>
    <s v="Avery Binding System Hidden Tab Executive Style Index Sets"/>
    <n v="4.62"/>
    <n v="1"/>
    <n v="1.73"/>
  </r>
  <r>
    <d v="2017-03-24T00:00:00"/>
    <x v="2"/>
    <x v="3"/>
    <x v="418"/>
    <x v="1"/>
    <x v="1"/>
    <x v="12"/>
    <s v="Global Troy Executive Leather Low-Back Tilter"/>
    <n v="701.37"/>
    <n v="2"/>
    <n v="-50.1"/>
  </r>
  <r>
    <d v="2015-04-24T00:00:00"/>
    <x v="3"/>
    <x v="1"/>
    <x v="419"/>
    <x v="3"/>
    <x v="0"/>
    <x v="0"/>
    <s v="Strathmore Photo Frame Cards"/>
    <n v="65.790000000000006"/>
    <n v="9"/>
    <n v="30.26"/>
  </r>
  <r>
    <d v="2016-04-24T00:00:00"/>
    <x v="3"/>
    <x v="2"/>
    <x v="107"/>
    <x v="19"/>
    <x v="1"/>
    <x v="3"/>
    <s v="Rubbermaid ClusterMat Chairmats, Mat Size- 66&quot; x 60&quot;, Lip 20&quot; x 11&quot; -90 Degree Angle"/>
    <n v="532.70000000000005"/>
    <n v="6"/>
    <n v="-26.64"/>
  </r>
  <r>
    <d v="2017-04-24T00:00:00"/>
    <x v="3"/>
    <x v="3"/>
    <x v="199"/>
    <x v="19"/>
    <x v="1"/>
    <x v="12"/>
    <s v="Office Star - Contemporary Task Swivel Chair"/>
    <n v="155.37"/>
    <n v="2"/>
    <n v="-13.32"/>
  </r>
  <r>
    <d v="2014-05-24T00:00:00"/>
    <x v="4"/>
    <x v="0"/>
    <x v="420"/>
    <x v="1"/>
    <x v="1"/>
    <x v="12"/>
    <s v="Hon 4700 Series Mobuis Mid-Back Task Chairs with Adjustable Arms"/>
    <n v="747.56"/>
    <n v="3"/>
    <n v="-96.11"/>
  </r>
  <r>
    <d v="2014-06-24T00:00:00"/>
    <x v="5"/>
    <x v="0"/>
    <x v="421"/>
    <x v="0"/>
    <x v="1"/>
    <x v="5"/>
    <s v="O'Sullivan Plantations 2-Door Library in Landvery Oak"/>
    <n v="956.66"/>
    <n v="7"/>
    <n v="-225.1"/>
  </r>
  <r>
    <d v="2016-06-24T00:00:00"/>
    <x v="5"/>
    <x v="2"/>
    <x v="422"/>
    <x v="2"/>
    <x v="0"/>
    <x v="1"/>
    <s v="Avery 483"/>
    <n v="15.94"/>
    <n v="4"/>
    <n v="5.18"/>
  </r>
  <r>
    <d v="2014-08-24T00:00:00"/>
    <x v="7"/>
    <x v="0"/>
    <x v="304"/>
    <x v="13"/>
    <x v="0"/>
    <x v="7"/>
    <s v="Kensington 6 Outlet Guardian Standard Surge Protector"/>
    <n v="61.44"/>
    <n v="3"/>
    <n v="16.59"/>
  </r>
  <r>
    <d v="2017-08-24T00:00:00"/>
    <x v="7"/>
    <x v="3"/>
    <x v="423"/>
    <x v="3"/>
    <x v="0"/>
    <x v="8"/>
    <s v="GBC Recycled VeloBinder Covers"/>
    <n v="27.26"/>
    <n v="2"/>
    <n v="8.86"/>
  </r>
  <r>
    <d v="2014-09-24T00:00:00"/>
    <x v="8"/>
    <x v="0"/>
    <x v="252"/>
    <x v="0"/>
    <x v="1"/>
    <x v="3"/>
    <s v="Contemporary Wood/Metal Frame"/>
    <n v="51.71"/>
    <n v="8"/>
    <n v="-32.32"/>
  </r>
  <r>
    <d v="2015-09-24T00:00:00"/>
    <x v="8"/>
    <x v="1"/>
    <x v="391"/>
    <x v="16"/>
    <x v="2"/>
    <x v="6"/>
    <s v="WD My Passport Ultra 500GB Portable External Hard Drive"/>
    <n v="177"/>
    <n v="3"/>
    <n v="30.09"/>
  </r>
  <r>
    <d v="2016-09-24T00:00:00"/>
    <x v="8"/>
    <x v="2"/>
    <x v="424"/>
    <x v="29"/>
    <x v="0"/>
    <x v="0"/>
    <s v="Xerox 1982"/>
    <n v="45.68"/>
    <n v="2"/>
    <n v="21.01"/>
  </r>
  <r>
    <d v="2017-10-24T00:00:00"/>
    <x v="9"/>
    <x v="3"/>
    <x v="277"/>
    <x v="3"/>
    <x v="0"/>
    <x v="8"/>
    <s v="Avery Durable Plastic 1&quot; Binders"/>
    <n v="18.16"/>
    <n v="5"/>
    <n v="6.58"/>
  </r>
  <r>
    <d v="2014-11-24T00:00:00"/>
    <x v="10"/>
    <x v="0"/>
    <x v="396"/>
    <x v="2"/>
    <x v="1"/>
    <x v="12"/>
    <s v="Hon Olson Stacker Stools"/>
    <n v="492.84"/>
    <n v="5"/>
    <n v="-14.08"/>
  </r>
  <r>
    <d v="2015-11-24T00:00:00"/>
    <x v="10"/>
    <x v="1"/>
    <x v="132"/>
    <x v="4"/>
    <x v="2"/>
    <x v="9"/>
    <s v="LF Elite 3D Dazzle Designer Hard Case Cover, Lf Stylus Pen and Wiper For Apple Iphone 5c Mini Lite"/>
    <n v="21.8"/>
    <n v="2"/>
    <n v="6.1"/>
  </r>
  <r>
    <d v="2014-12-24T00:00:00"/>
    <x v="11"/>
    <x v="0"/>
    <x v="38"/>
    <x v="23"/>
    <x v="0"/>
    <x v="2"/>
    <s v="Hunt PowerHouse Electric Pencil Sharpener, Blue"/>
    <n v="75.959999999999994"/>
    <n v="2"/>
    <n v="22.79"/>
  </r>
  <r>
    <d v="2015-12-24T00:00:00"/>
    <x v="11"/>
    <x v="1"/>
    <x v="425"/>
    <x v="3"/>
    <x v="0"/>
    <x v="8"/>
    <s v="Cardinal Holdit Data Disk Pockets"/>
    <n v="29.12"/>
    <n v="5"/>
    <n v="9.83"/>
  </r>
  <r>
    <d v="2016-12-24T00:00:00"/>
    <x v="11"/>
    <x v="2"/>
    <x v="426"/>
    <x v="16"/>
    <x v="0"/>
    <x v="8"/>
    <s v="Wilson Jones International Size A4 Ring Binders"/>
    <n v="27.68"/>
    <n v="2"/>
    <n v="9.69"/>
  </r>
  <r>
    <d v="2017-12-24T00:00:00"/>
    <x v="11"/>
    <x v="3"/>
    <x v="427"/>
    <x v="27"/>
    <x v="1"/>
    <x v="5"/>
    <s v="Bush Somerset Collection Bookcase"/>
    <n v="261.95999999999998"/>
    <n v="2"/>
    <n v="41.91"/>
  </r>
  <r>
    <d v="2016-01-25T00:00:00"/>
    <x v="0"/>
    <x v="2"/>
    <x v="225"/>
    <x v="3"/>
    <x v="0"/>
    <x v="10"/>
    <s v="File Shuttle I and Handi-File"/>
    <n v="155.82"/>
    <n v="7"/>
    <n v="42.07"/>
  </r>
  <r>
    <d v="2017-02-25T00:00:00"/>
    <x v="1"/>
    <x v="3"/>
    <x v="382"/>
    <x v="13"/>
    <x v="2"/>
    <x v="6"/>
    <s v="Micropad Numeric Keypads"/>
    <n v="59.97"/>
    <n v="3"/>
    <n v="14.99"/>
  </r>
  <r>
    <d v="2014-03-25T00:00:00"/>
    <x v="2"/>
    <x v="0"/>
    <x v="428"/>
    <x v="9"/>
    <x v="0"/>
    <x v="8"/>
    <s v="Avery Durable Slant Ring Binders With Label Holder"/>
    <n v="6.27"/>
    <n v="5"/>
    <n v="-4.5999999999999996"/>
  </r>
  <r>
    <d v="2016-03-25T00:00:00"/>
    <x v="2"/>
    <x v="2"/>
    <x v="429"/>
    <x v="16"/>
    <x v="0"/>
    <x v="2"/>
    <s v="Boston 16801 Nautilus Battery Pencil Sharpener"/>
    <n v="44.02"/>
    <n v="2"/>
    <n v="11.45"/>
  </r>
  <r>
    <d v="2014-04-25T00:00:00"/>
    <x v="3"/>
    <x v="0"/>
    <x v="234"/>
    <x v="7"/>
    <x v="2"/>
    <x v="6"/>
    <s v="Logitech diNovo Edge Keyboard"/>
    <n v="499.98"/>
    <n v="2"/>
    <n v="115"/>
  </r>
  <r>
    <d v="2015-04-25T00:00:00"/>
    <x v="3"/>
    <x v="1"/>
    <x v="285"/>
    <x v="3"/>
    <x v="2"/>
    <x v="6"/>
    <s v="Imation 16GB Mini TravelDrive USB 2.0 Flash Drive"/>
    <n v="99.39"/>
    <n v="3"/>
    <n v="40.75"/>
  </r>
  <r>
    <d v="2016-04-25T00:00:00"/>
    <x v="3"/>
    <x v="2"/>
    <x v="128"/>
    <x v="39"/>
    <x v="0"/>
    <x v="10"/>
    <s v="Tennsco Snap-Together Open Shelving Units, Starter Sets and Add-On Units"/>
    <n v="1117.92"/>
    <n v="4"/>
    <n v="55.9"/>
  </r>
  <r>
    <d v="2014-05-25T00:00:00"/>
    <x v="4"/>
    <x v="0"/>
    <x v="276"/>
    <x v="8"/>
    <x v="1"/>
    <x v="12"/>
    <s v="Novimex Fabric Task Chair"/>
    <n v="195.14"/>
    <n v="4"/>
    <n v="-12.2"/>
  </r>
  <r>
    <d v="2015-05-25T00:00:00"/>
    <x v="4"/>
    <x v="1"/>
    <x v="355"/>
    <x v="13"/>
    <x v="1"/>
    <x v="3"/>
    <s v="Luxo Economy Swing Arm Lamp"/>
    <n v="39.880000000000003"/>
    <n v="2"/>
    <n v="11.17"/>
  </r>
  <r>
    <d v="2016-05-25T00:00:00"/>
    <x v="4"/>
    <x v="2"/>
    <x v="430"/>
    <x v="2"/>
    <x v="0"/>
    <x v="11"/>
    <s v="Advantus Map Pennant Flags and Round Head Tacks"/>
    <n v="15.8"/>
    <n v="5"/>
    <n v="2.37"/>
  </r>
  <r>
    <d v="2017-05-25T00:00:00"/>
    <x v="4"/>
    <x v="3"/>
    <x v="431"/>
    <x v="11"/>
    <x v="0"/>
    <x v="0"/>
    <s v="Telephone Message Books with Fax/Mobile Section, 5 1/2&quot; x 3 3/16&quot;"/>
    <n v="5.08"/>
    <n v="1"/>
    <n v="1.65"/>
  </r>
  <r>
    <d v="2014-06-25T00:00:00"/>
    <x v="5"/>
    <x v="0"/>
    <x v="432"/>
    <x v="0"/>
    <x v="2"/>
    <x v="6"/>
    <s v="Memorex Micro Travel Drive 32 GB"/>
    <n v="58.42"/>
    <n v="2"/>
    <n v="16.79"/>
  </r>
  <r>
    <d v="2015-06-25T00:00:00"/>
    <x v="5"/>
    <x v="1"/>
    <x v="254"/>
    <x v="21"/>
    <x v="2"/>
    <x v="9"/>
    <s v="AT&amp;T 17929 Lendline Telephone"/>
    <n v="36.19"/>
    <n v="1"/>
    <n v="2.71"/>
  </r>
  <r>
    <d v="2016-06-25T00:00:00"/>
    <x v="5"/>
    <x v="2"/>
    <x v="433"/>
    <x v="22"/>
    <x v="0"/>
    <x v="0"/>
    <s v="Universal Premium White Copier/Laser Paper (20Lb. and 87 Bright)"/>
    <n v="23.92"/>
    <n v="4"/>
    <n v="11.72"/>
  </r>
  <r>
    <d v="2014-07-25T00:00:00"/>
    <x v="6"/>
    <x v="0"/>
    <x v="434"/>
    <x v="13"/>
    <x v="1"/>
    <x v="3"/>
    <s v="Eldon Delta Triangular Chair Mat, 52&quot; x 58&quot;, Clear"/>
    <n v="113.79"/>
    <n v="3"/>
    <n v="20.48"/>
  </r>
  <r>
    <d v="2015-07-25T00:00:00"/>
    <x v="6"/>
    <x v="1"/>
    <x v="435"/>
    <x v="0"/>
    <x v="2"/>
    <x v="9"/>
    <s v="GE 30524EE4"/>
    <n v="1097.54"/>
    <n v="7"/>
    <n v="123.47"/>
  </r>
  <r>
    <d v="2016-07-25T00:00:00"/>
    <x v="6"/>
    <x v="2"/>
    <x v="436"/>
    <x v="13"/>
    <x v="0"/>
    <x v="11"/>
    <s v="Advantus Push Pins"/>
    <n v="15.26"/>
    <n v="7"/>
    <n v="6.26"/>
  </r>
  <r>
    <d v="2017-07-25T00:00:00"/>
    <x v="6"/>
    <x v="3"/>
    <x v="123"/>
    <x v="26"/>
    <x v="1"/>
    <x v="3"/>
    <s v="Executive Impressions 14&quot;"/>
    <n v="133.38"/>
    <n v="6"/>
    <n v="58.69"/>
  </r>
  <r>
    <d v="2017-08-25T00:00:00"/>
    <x v="7"/>
    <x v="3"/>
    <x v="437"/>
    <x v="1"/>
    <x v="0"/>
    <x v="8"/>
    <s v="Cardinal Hold-It CD Pocket"/>
    <n v="4.79"/>
    <n v="3"/>
    <n v="-7.9"/>
  </r>
  <r>
    <d v="2014-09-25T00:00:00"/>
    <x v="8"/>
    <x v="0"/>
    <x v="438"/>
    <x v="3"/>
    <x v="1"/>
    <x v="14"/>
    <s v="Bretford Just In Time Height-Adjustable Multi-Task Work Tables"/>
    <n v="2003.52"/>
    <n v="6"/>
    <n v="-325.57"/>
  </r>
  <r>
    <d v="2015-09-25T00:00:00"/>
    <x v="8"/>
    <x v="1"/>
    <x v="439"/>
    <x v="11"/>
    <x v="0"/>
    <x v="8"/>
    <s v="GBC VeloBinder Electric Binding Machine"/>
    <n v="254.06"/>
    <n v="7"/>
    <n v="-169.37"/>
  </r>
  <r>
    <d v="2014-10-25T00:00:00"/>
    <x v="9"/>
    <x v="0"/>
    <x v="177"/>
    <x v="9"/>
    <x v="1"/>
    <x v="14"/>
    <s v="SAFCO PlanMaster Boards, 60w x 37-1/2d, White Melamine"/>
    <n v="455.97"/>
    <n v="6"/>
    <n v="-218.87"/>
  </r>
  <r>
    <d v="2016-11-25T00:00:00"/>
    <x v="10"/>
    <x v="2"/>
    <x v="338"/>
    <x v="4"/>
    <x v="1"/>
    <x v="3"/>
    <s v="Electrix Architect's Clamp-On Swing Arm Lamp, Black"/>
    <n v="572.76"/>
    <n v="6"/>
    <n v="166.1"/>
  </r>
  <r>
    <d v="2015-12-25T00:00:00"/>
    <x v="11"/>
    <x v="1"/>
    <x v="299"/>
    <x v="21"/>
    <x v="0"/>
    <x v="8"/>
    <s v="GBC Linen Binding Covers"/>
    <n v="27.88"/>
    <n v="3"/>
    <n v="-20.45"/>
  </r>
  <r>
    <d v="2016-12-25T00:00:00"/>
    <x v="11"/>
    <x v="2"/>
    <x v="127"/>
    <x v="3"/>
    <x v="2"/>
    <x v="9"/>
    <s v="Samsung Galaxy Note 2"/>
    <n v="2575.94"/>
    <n v="7"/>
    <n v="257.58999999999997"/>
  </r>
  <r>
    <d v="2014-01-26T00:00:00"/>
    <x v="0"/>
    <x v="0"/>
    <x v="440"/>
    <x v="16"/>
    <x v="0"/>
    <x v="0"/>
    <s v="Strathmore Photo Mount Cards"/>
    <n v="33.9"/>
    <n v="5"/>
    <n v="15.59"/>
  </r>
  <r>
    <d v="2015-01-26T00:00:00"/>
    <x v="0"/>
    <x v="1"/>
    <x v="32"/>
    <x v="15"/>
    <x v="1"/>
    <x v="12"/>
    <s v="Global Leather &amp; Oak Executive Chair, Burgundy"/>
    <n v="754.45"/>
    <n v="5"/>
    <n v="60.36"/>
  </r>
  <r>
    <d v="2014-03-26T00:00:00"/>
    <x v="2"/>
    <x v="0"/>
    <x v="107"/>
    <x v="12"/>
    <x v="0"/>
    <x v="2"/>
    <s v="Crayola Anti Dust Chalk, 12/Pack"/>
    <n v="3.64"/>
    <n v="2"/>
    <n v="1.64"/>
  </r>
  <r>
    <d v="2015-03-26T00:00:00"/>
    <x v="2"/>
    <x v="1"/>
    <x v="441"/>
    <x v="19"/>
    <x v="1"/>
    <x v="3"/>
    <s v="Linden 10&quot; Round Wall Clock, Black"/>
    <n v="48.9"/>
    <n v="4"/>
    <n v="8.56"/>
  </r>
  <r>
    <d v="2017-03-26T00:00:00"/>
    <x v="2"/>
    <x v="3"/>
    <x v="371"/>
    <x v="21"/>
    <x v="2"/>
    <x v="13"/>
    <s v="Cisco CP-7937G Unified IP Conference Station Phone"/>
    <n v="695.7"/>
    <n v="2"/>
    <n v="-27.83"/>
  </r>
  <r>
    <d v="2014-04-26T00:00:00"/>
    <x v="3"/>
    <x v="0"/>
    <x v="11"/>
    <x v="3"/>
    <x v="0"/>
    <x v="0"/>
    <s v="Xerox 1905"/>
    <n v="38.880000000000003"/>
    <n v="6"/>
    <n v="18.66"/>
  </r>
  <r>
    <d v="2016-04-26T00:00:00"/>
    <x v="3"/>
    <x v="2"/>
    <x v="255"/>
    <x v="24"/>
    <x v="0"/>
    <x v="8"/>
    <s v="Wilson Jones Turn Tabs Binder Tool for Ring Binders"/>
    <n v="33.74"/>
    <n v="7"/>
    <n v="15.52"/>
  </r>
  <r>
    <d v="2017-05-26T00:00:00"/>
    <x v="4"/>
    <x v="3"/>
    <x v="442"/>
    <x v="16"/>
    <x v="1"/>
    <x v="14"/>
    <s v="Balt Solid Wood Round Tables"/>
    <n v="892.98"/>
    <n v="2"/>
    <n v="80.37"/>
  </r>
  <r>
    <d v="2015-06-26T00:00:00"/>
    <x v="5"/>
    <x v="1"/>
    <x v="443"/>
    <x v="2"/>
    <x v="0"/>
    <x v="7"/>
    <s v="Belkin F9M820V08 8 Outlet Surge"/>
    <n v="34.380000000000003"/>
    <n v="1"/>
    <n v="3.87"/>
  </r>
  <r>
    <d v="2016-06-26T00:00:00"/>
    <x v="5"/>
    <x v="2"/>
    <x v="118"/>
    <x v="0"/>
    <x v="0"/>
    <x v="1"/>
    <s v="Avery 510"/>
    <n v="6"/>
    <n v="2"/>
    <n v="2.1"/>
  </r>
  <r>
    <d v="2014-07-26T00:00:00"/>
    <x v="6"/>
    <x v="0"/>
    <x v="444"/>
    <x v="16"/>
    <x v="0"/>
    <x v="10"/>
    <s v="Carina Double Wide Media Storage Towers in Natural &amp; Black"/>
    <n v="242.94"/>
    <n v="3"/>
    <n v="9.7200000000000006"/>
  </r>
  <r>
    <d v="2015-07-26T00:00:00"/>
    <x v="6"/>
    <x v="1"/>
    <x v="283"/>
    <x v="35"/>
    <x v="2"/>
    <x v="15"/>
    <s v="Canon Image Class D660 Copier"/>
    <n v="2999.95"/>
    <n v="5"/>
    <n v="1379.98"/>
  </r>
  <r>
    <d v="2017-07-26T00:00:00"/>
    <x v="6"/>
    <x v="3"/>
    <x v="264"/>
    <x v="7"/>
    <x v="0"/>
    <x v="11"/>
    <s v="Revere Boxed Rubber Bands by Revere"/>
    <n v="5.67"/>
    <n v="3"/>
    <n v="0.11"/>
  </r>
  <r>
    <d v="2015-09-26T00:00:00"/>
    <x v="8"/>
    <x v="1"/>
    <x v="256"/>
    <x v="23"/>
    <x v="0"/>
    <x v="8"/>
    <s v="Cardinal EasyOpen D-Ring Binders"/>
    <n v="18.28"/>
    <n v="2"/>
    <n v="9.14"/>
  </r>
  <r>
    <d v="2016-09-26T00:00:00"/>
    <x v="8"/>
    <x v="2"/>
    <x v="257"/>
    <x v="4"/>
    <x v="1"/>
    <x v="5"/>
    <s v="Bush Andora Bookcase, Maple/Graphite Gray Finish"/>
    <n v="359.97"/>
    <n v="3"/>
    <n v="79.19"/>
  </r>
  <r>
    <d v="2017-09-26T00:00:00"/>
    <x v="8"/>
    <x v="3"/>
    <x v="129"/>
    <x v="3"/>
    <x v="0"/>
    <x v="8"/>
    <s v="Acco Pressboard Covers with Storage Hooks, 14 7/8&quot; x 11&quot;, Dark Blue"/>
    <n v="21.34"/>
    <n v="7"/>
    <n v="7.73"/>
  </r>
  <r>
    <d v="2014-10-26T00:00:00"/>
    <x v="9"/>
    <x v="0"/>
    <x v="213"/>
    <x v="13"/>
    <x v="0"/>
    <x v="0"/>
    <s v="Xerox 1912"/>
    <n v="37.94"/>
    <n v="2"/>
    <n v="18.21"/>
  </r>
  <r>
    <d v="2015-10-26T00:00:00"/>
    <x v="9"/>
    <x v="1"/>
    <x v="445"/>
    <x v="1"/>
    <x v="1"/>
    <x v="14"/>
    <s v="Chromcraft 48&quot; x 96&quot; Racetrack Double Pedestal Table"/>
    <n v="480.96"/>
    <n v="3"/>
    <n v="-269.33999999999997"/>
  </r>
  <r>
    <d v="2017-10-26T00:00:00"/>
    <x v="9"/>
    <x v="3"/>
    <x v="446"/>
    <x v="3"/>
    <x v="2"/>
    <x v="9"/>
    <s v="iHome FM Clock Radio with Lightning Dock"/>
    <n v="167.98"/>
    <n v="3"/>
    <n v="10.5"/>
  </r>
  <r>
    <d v="2014-11-26T00:00:00"/>
    <x v="10"/>
    <x v="0"/>
    <x v="447"/>
    <x v="7"/>
    <x v="0"/>
    <x v="7"/>
    <s v="Kensington 7 Outlet MasterPiece Power Center"/>
    <n v="1245.8599999999999"/>
    <n v="7"/>
    <n v="361.3"/>
  </r>
  <r>
    <d v="2017-11-26T00:00:00"/>
    <x v="10"/>
    <x v="3"/>
    <x v="243"/>
    <x v="0"/>
    <x v="2"/>
    <x v="6"/>
    <s v="Microsoft Natural Keyboard Elite"/>
    <n v="47.9"/>
    <n v="1"/>
    <n v="-2.99"/>
  </r>
  <r>
    <d v="2016-12-26T00:00:00"/>
    <x v="11"/>
    <x v="2"/>
    <x v="293"/>
    <x v="3"/>
    <x v="0"/>
    <x v="0"/>
    <s v="Ampad Phone Message Book, Recycled, 400 Message Capacity, 5 ¾ x 11"/>
    <n v="37.44"/>
    <n v="6"/>
    <n v="16.850000000000001"/>
  </r>
  <r>
    <d v="2017-12-26T00:00:00"/>
    <x v="11"/>
    <x v="3"/>
    <x v="125"/>
    <x v="1"/>
    <x v="0"/>
    <x v="8"/>
    <s v="Avery Hidden Tab Dividers for Binding Systems"/>
    <n v="1.79"/>
    <n v="3"/>
    <n v="-3.04"/>
  </r>
  <r>
    <d v="2014-01-27T00:00:00"/>
    <x v="0"/>
    <x v="0"/>
    <x v="285"/>
    <x v="0"/>
    <x v="0"/>
    <x v="16"/>
    <s v="Staple remover"/>
    <n v="6.98"/>
    <n v="4"/>
    <n v="-1.4"/>
  </r>
  <r>
    <d v="2015-01-27T00:00:00"/>
    <x v="0"/>
    <x v="1"/>
    <x v="448"/>
    <x v="27"/>
    <x v="0"/>
    <x v="7"/>
    <s v="Acco 6 Outlet Guardian Premium Surge Suppressor"/>
    <n v="72.8"/>
    <n v="5"/>
    <n v="19.66"/>
  </r>
  <r>
    <d v="2014-02-27T00:00:00"/>
    <x v="1"/>
    <x v="0"/>
    <x v="199"/>
    <x v="15"/>
    <x v="0"/>
    <x v="1"/>
    <s v="Avery 515"/>
    <n v="25.06"/>
    <n v="2"/>
    <n v="11.78"/>
  </r>
  <r>
    <d v="2016-02-27T00:00:00"/>
    <x v="1"/>
    <x v="2"/>
    <x v="449"/>
    <x v="13"/>
    <x v="0"/>
    <x v="0"/>
    <s v="Xerox 1883"/>
    <n v="26.38"/>
    <n v="1"/>
    <n v="12.13"/>
  </r>
  <r>
    <d v="2015-03-27T00:00:00"/>
    <x v="2"/>
    <x v="1"/>
    <x v="450"/>
    <x v="2"/>
    <x v="0"/>
    <x v="2"/>
    <s v="Newell 337"/>
    <n v="5.25"/>
    <n v="2"/>
    <n v="0.59"/>
  </r>
  <r>
    <d v="2016-03-27T00:00:00"/>
    <x v="2"/>
    <x v="2"/>
    <x v="426"/>
    <x v="14"/>
    <x v="0"/>
    <x v="8"/>
    <s v="GBC DocuBind TL200 Manual Binding Machine"/>
    <n v="895.92"/>
    <n v="4"/>
    <n v="421.08"/>
  </r>
  <r>
    <d v="2017-03-27T00:00:00"/>
    <x v="2"/>
    <x v="3"/>
    <x v="451"/>
    <x v="3"/>
    <x v="0"/>
    <x v="0"/>
    <s v="Multicolor Computer Printout Paper"/>
    <n v="314.55"/>
    <n v="3"/>
    <n v="150.97999999999999"/>
  </r>
  <r>
    <d v="2017-04-27T00:00:00"/>
    <x v="3"/>
    <x v="3"/>
    <x v="452"/>
    <x v="13"/>
    <x v="0"/>
    <x v="1"/>
    <s v="Avery 506"/>
    <n v="28.91"/>
    <n v="7"/>
    <n v="13.3"/>
  </r>
  <r>
    <d v="2014-05-27T00:00:00"/>
    <x v="4"/>
    <x v="0"/>
    <x v="32"/>
    <x v="18"/>
    <x v="1"/>
    <x v="3"/>
    <s v="GE General Purpose, Extra Long Life, Showcase &amp; Floodlight Incandescent Bulbs"/>
    <n v="2.91"/>
    <n v="1"/>
    <n v="1.37"/>
  </r>
  <r>
    <d v="2016-05-27T00:00:00"/>
    <x v="4"/>
    <x v="2"/>
    <x v="453"/>
    <x v="3"/>
    <x v="1"/>
    <x v="3"/>
    <s v="DAX Natural Wood-Tone Poster Frame"/>
    <n v="211.84"/>
    <n v="8"/>
    <n v="76.260000000000005"/>
  </r>
  <r>
    <d v="2014-06-27T00:00:00"/>
    <x v="5"/>
    <x v="0"/>
    <x v="454"/>
    <x v="13"/>
    <x v="0"/>
    <x v="0"/>
    <s v="Xerox 1888"/>
    <n v="221.92"/>
    <n v="4"/>
    <n v="106.52"/>
  </r>
  <r>
    <d v="2016-06-27T00:00:00"/>
    <x v="5"/>
    <x v="2"/>
    <x v="219"/>
    <x v="13"/>
    <x v="1"/>
    <x v="5"/>
    <s v="Sauder Forest Hills Library with Doors, Woodland Oak Finish"/>
    <n v="257.57"/>
    <n v="2"/>
    <n v="-28.98"/>
  </r>
  <r>
    <d v="2014-07-27T00:00:00"/>
    <x v="6"/>
    <x v="0"/>
    <x v="84"/>
    <x v="2"/>
    <x v="1"/>
    <x v="3"/>
    <s v="Eldon Expressions Punched Metal &amp; Wood Desk Accessories, Black &amp; Cherry"/>
    <n v="15.01"/>
    <n v="2"/>
    <n v="1.5"/>
  </r>
  <r>
    <d v="2015-07-27T00:00:00"/>
    <x v="6"/>
    <x v="1"/>
    <x v="26"/>
    <x v="11"/>
    <x v="0"/>
    <x v="8"/>
    <s v="Canvas Sectional Post Binders"/>
    <n v="68.739999999999995"/>
    <n v="9"/>
    <n v="-48.12"/>
  </r>
  <r>
    <d v="2014-08-27T00:00:00"/>
    <x v="7"/>
    <x v="0"/>
    <x v="193"/>
    <x v="18"/>
    <x v="0"/>
    <x v="10"/>
    <s v="Adjustable Personal File Tote"/>
    <n v="81.400000000000006"/>
    <n v="5"/>
    <n v="21.16"/>
  </r>
  <r>
    <d v="2017-08-27T00:00:00"/>
    <x v="7"/>
    <x v="3"/>
    <x v="455"/>
    <x v="39"/>
    <x v="0"/>
    <x v="4"/>
    <s v="Multimedia Mailers"/>
    <n v="325.86"/>
    <n v="2"/>
    <n v="149.9"/>
  </r>
  <r>
    <d v="2014-09-27T00:00:00"/>
    <x v="8"/>
    <x v="0"/>
    <x v="302"/>
    <x v="0"/>
    <x v="1"/>
    <x v="5"/>
    <s v="Bush Mission Pointe Library"/>
    <n v="205.33"/>
    <n v="2"/>
    <n v="-36.24"/>
  </r>
  <r>
    <d v="2016-09-27T00:00:00"/>
    <x v="8"/>
    <x v="2"/>
    <x v="456"/>
    <x v="2"/>
    <x v="1"/>
    <x v="3"/>
    <s v="Staple-based wall hangings"/>
    <n v="25.47"/>
    <n v="4"/>
    <n v="7.64"/>
  </r>
  <r>
    <d v="2015-11-27T00:00:00"/>
    <x v="10"/>
    <x v="1"/>
    <x v="457"/>
    <x v="13"/>
    <x v="0"/>
    <x v="1"/>
    <s v="Color-Coded Legal Exhibit Labels"/>
    <n v="9.82"/>
    <n v="2"/>
    <n v="4.8099999999999996"/>
  </r>
  <r>
    <d v="2017-11-27T00:00:00"/>
    <x v="10"/>
    <x v="3"/>
    <x v="458"/>
    <x v="3"/>
    <x v="2"/>
    <x v="6"/>
    <s v="SanDisk Ultra 64 GB MicroSDHC Class 10 Memory Card"/>
    <n v="199.95"/>
    <n v="5"/>
    <n v="21.99"/>
  </r>
  <r>
    <d v="2015-12-27T00:00:00"/>
    <x v="11"/>
    <x v="1"/>
    <x v="158"/>
    <x v="0"/>
    <x v="0"/>
    <x v="7"/>
    <s v="Acco 7-Outlet Masterpiece Power Center, Wihtout Fax/Phone Line Protection"/>
    <n v="97.26"/>
    <n v="4"/>
    <n v="-243.16"/>
  </r>
  <r>
    <d v="2017-12-27T00:00:00"/>
    <x v="11"/>
    <x v="3"/>
    <x v="459"/>
    <x v="13"/>
    <x v="0"/>
    <x v="7"/>
    <s v="Tripp Lite Isotel 6 Outlet Surge Protector with Fax/Modem Protection"/>
    <n v="121.94"/>
    <n v="2"/>
    <n v="35.36"/>
  </r>
  <r>
    <d v="2014-01-28T00:00:00"/>
    <x v="0"/>
    <x v="0"/>
    <x v="235"/>
    <x v="2"/>
    <x v="0"/>
    <x v="7"/>
    <s v="Acco Smartsocket Table Surge Protector, 6 Color-Coded Adapter Outlets"/>
    <n v="99.28"/>
    <n v="2"/>
    <n v="12.41"/>
  </r>
  <r>
    <d v="2015-01-28T00:00:00"/>
    <x v="0"/>
    <x v="1"/>
    <x v="446"/>
    <x v="0"/>
    <x v="0"/>
    <x v="1"/>
    <s v="Avery Address/Shipping Labels for Typewriters, 4&quot; x 2&quot;"/>
    <n v="33.119999999999997"/>
    <n v="4"/>
    <n v="11.59"/>
  </r>
  <r>
    <d v="2015-02-28T00:00:00"/>
    <x v="1"/>
    <x v="1"/>
    <x v="460"/>
    <x v="19"/>
    <x v="1"/>
    <x v="14"/>
    <s v="SAFCO PlanMaster Heigh-Adjustable Drafting Table Base, 43w x 30d x 30-37h, Black"/>
    <n v="1048.3499999999999"/>
    <n v="5"/>
    <n v="-69.89"/>
  </r>
  <r>
    <d v="2014-03-28T00:00:00"/>
    <x v="2"/>
    <x v="0"/>
    <x v="408"/>
    <x v="17"/>
    <x v="1"/>
    <x v="3"/>
    <s v="Eldon Advantage Chair Mats for Low to Medium Pile Carpets"/>
    <n v="129.93"/>
    <n v="3"/>
    <n v="12.99"/>
  </r>
  <r>
    <d v="2015-03-28T00:00:00"/>
    <x v="2"/>
    <x v="1"/>
    <x v="406"/>
    <x v="1"/>
    <x v="0"/>
    <x v="2"/>
    <s v="Blackstonian Pencils"/>
    <n v="6.41"/>
    <n v="3"/>
    <n v="0.64"/>
  </r>
  <r>
    <d v="2016-03-28T00:00:00"/>
    <x v="2"/>
    <x v="2"/>
    <x v="305"/>
    <x v="19"/>
    <x v="0"/>
    <x v="10"/>
    <s v="SAFCO Commercial Wire Shelving, Black"/>
    <n v="221.02"/>
    <n v="2"/>
    <n v="-55.26"/>
  </r>
  <r>
    <d v="2017-03-28T00:00:00"/>
    <x v="2"/>
    <x v="3"/>
    <x v="461"/>
    <x v="42"/>
    <x v="0"/>
    <x v="2"/>
    <s v="Boston 1645 Deluxe Heavier-Duty Electric Pencil Sharpener"/>
    <n v="131.94"/>
    <n v="3"/>
    <n v="35.619999999999997"/>
  </r>
  <r>
    <d v="2014-04-28T00:00:00"/>
    <x v="3"/>
    <x v="0"/>
    <x v="450"/>
    <x v="7"/>
    <x v="0"/>
    <x v="8"/>
    <s v="Recycled Easel Ring Binders"/>
    <n v="29.84"/>
    <n v="2"/>
    <n v="13.43"/>
  </r>
  <r>
    <d v="2015-04-28T00:00:00"/>
    <x v="3"/>
    <x v="1"/>
    <x v="462"/>
    <x v="27"/>
    <x v="0"/>
    <x v="7"/>
    <s v="Belkin 8-Outlet Premiere SurgeMaster II Surge Protectors"/>
    <n v="208.44"/>
    <n v="3"/>
    <n v="62.53"/>
  </r>
  <r>
    <d v="2014-05-28T00:00:00"/>
    <x v="4"/>
    <x v="0"/>
    <x v="105"/>
    <x v="37"/>
    <x v="1"/>
    <x v="3"/>
    <s v="Eldon 200 Class Desk Accessories, Burgundy"/>
    <n v="35.17"/>
    <n v="7"/>
    <n v="9.67"/>
  </r>
  <r>
    <d v="2015-05-28T00:00:00"/>
    <x v="4"/>
    <x v="1"/>
    <x v="463"/>
    <x v="21"/>
    <x v="1"/>
    <x v="3"/>
    <s v="Telescoping Adjustable Floor Lamp"/>
    <n v="31.98"/>
    <n v="2"/>
    <n v="2"/>
  </r>
  <r>
    <d v="2014-06-28T00:00:00"/>
    <x v="5"/>
    <x v="0"/>
    <x v="464"/>
    <x v="3"/>
    <x v="1"/>
    <x v="3"/>
    <s v="Eldon 300 Class Desk Accessories, Black"/>
    <n v="4.95"/>
    <n v="1"/>
    <n v="2.1800000000000002"/>
  </r>
  <r>
    <d v="2014-07-28T00:00:00"/>
    <x v="6"/>
    <x v="0"/>
    <x v="120"/>
    <x v="0"/>
    <x v="0"/>
    <x v="7"/>
    <s v="Eureka Disposable Bags for Sanitaire Vibra Groomer I Upright Vac"/>
    <n v="1.62"/>
    <n v="2"/>
    <n v="-4.47"/>
  </r>
  <r>
    <d v="2017-07-28T00:00:00"/>
    <x v="6"/>
    <x v="3"/>
    <x v="465"/>
    <x v="3"/>
    <x v="0"/>
    <x v="0"/>
    <s v="White Dual Perf Computer Printout Paper, 2700 Sheets, 1 Part, Heavyweight, 20 lbs., 14 7/8 x 11"/>
    <n v="122.97"/>
    <n v="3"/>
    <n v="60.26"/>
  </r>
  <r>
    <d v="2016-08-28T00:00:00"/>
    <x v="7"/>
    <x v="2"/>
    <x v="372"/>
    <x v="7"/>
    <x v="0"/>
    <x v="8"/>
    <s v="Ibico Plastic Spiral Binding Combs"/>
    <n v="91.2"/>
    <n v="3"/>
    <n v="41.95"/>
  </r>
  <r>
    <d v="2014-09-28T00:00:00"/>
    <x v="8"/>
    <x v="0"/>
    <x v="466"/>
    <x v="3"/>
    <x v="2"/>
    <x v="9"/>
    <s v="Anker 36W 4-Port USB Wall Charger Travel Power Adapter for iPhone 5s 5c 5"/>
    <n v="47.98"/>
    <n v="3"/>
    <n v="4.8"/>
  </r>
  <r>
    <d v="2014-10-28T00:00:00"/>
    <x v="9"/>
    <x v="0"/>
    <x v="467"/>
    <x v="13"/>
    <x v="0"/>
    <x v="0"/>
    <s v="Xerox 1943"/>
    <n v="97.82"/>
    <n v="2"/>
    <n v="45.98"/>
  </r>
  <r>
    <d v="2015-10-28T00:00:00"/>
    <x v="9"/>
    <x v="1"/>
    <x v="468"/>
    <x v="11"/>
    <x v="0"/>
    <x v="4"/>
    <s v="#10 White Business Envelopes,4 1/8 x 9 1/2"/>
    <n v="37.61"/>
    <n v="3"/>
    <n v="12.69"/>
  </r>
  <r>
    <d v="2014-11-28T00:00:00"/>
    <x v="10"/>
    <x v="0"/>
    <x v="339"/>
    <x v="3"/>
    <x v="0"/>
    <x v="10"/>
    <s v="Tennsco 16-Compartment Lockers with Coat Rack"/>
    <n v="1295.78"/>
    <n v="2"/>
    <n v="310.99"/>
  </r>
  <r>
    <d v="2015-11-28T00:00:00"/>
    <x v="10"/>
    <x v="1"/>
    <x v="469"/>
    <x v="12"/>
    <x v="0"/>
    <x v="8"/>
    <s v="Tuf-Vin Binders"/>
    <n v="75.790000000000006"/>
    <n v="3"/>
    <n v="25.58"/>
  </r>
  <r>
    <d v="2014-12-28T00:00:00"/>
    <x v="11"/>
    <x v="0"/>
    <x v="470"/>
    <x v="7"/>
    <x v="1"/>
    <x v="3"/>
    <s v="Westinghouse Floor Lamp with Metal Mesh Shade, Black"/>
    <n v="23.99"/>
    <n v="1"/>
    <n v="5.52"/>
  </r>
  <r>
    <d v="2017-12-28T00:00:00"/>
    <x v="11"/>
    <x v="3"/>
    <x v="422"/>
    <x v="0"/>
    <x v="1"/>
    <x v="3"/>
    <s v="Deflect-o RollaMat Studded, Beveled Mat for Medium Pile Carpeting"/>
    <n v="332.03"/>
    <n v="9"/>
    <n v="-348.63"/>
  </r>
  <r>
    <d v="2014-03-29T00:00:00"/>
    <x v="2"/>
    <x v="0"/>
    <x v="312"/>
    <x v="13"/>
    <x v="0"/>
    <x v="8"/>
    <s v="Wilson Jones Active Use Binders"/>
    <n v="17.47"/>
    <n v="3"/>
    <n v="6.33"/>
  </r>
  <r>
    <d v="2015-03-29T00:00:00"/>
    <x v="2"/>
    <x v="1"/>
    <x v="471"/>
    <x v="19"/>
    <x v="0"/>
    <x v="0"/>
    <s v="Wirebound Message Books, Four 2 3/4 x 5 Forms per Page, 200 Sets per Book"/>
    <n v="3.82"/>
    <n v="1"/>
    <n v="1.19"/>
  </r>
  <r>
    <d v="2016-03-29T00:00:00"/>
    <x v="2"/>
    <x v="2"/>
    <x v="472"/>
    <x v="2"/>
    <x v="2"/>
    <x v="9"/>
    <s v="Cisco SPA508G"/>
    <n v="39.590000000000003"/>
    <n v="1"/>
    <n v="-7.26"/>
  </r>
  <r>
    <d v="2017-03-29T00:00:00"/>
    <x v="2"/>
    <x v="3"/>
    <x v="473"/>
    <x v="32"/>
    <x v="0"/>
    <x v="1"/>
    <s v="Avery 498"/>
    <n v="20.23"/>
    <n v="7"/>
    <n v="9.51"/>
  </r>
  <r>
    <d v="2014-04-29T00:00:00"/>
    <x v="3"/>
    <x v="0"/>
    <x v="174"/>
    <x v="3"/>
    <x v="2"/>
    <x v="6"/>
    <s v="Logitech Z-906 Speaker sys - home theater - 5.1-CH"/>
    <n v="1649.95"/>
    <n v="5"/>
    <n v="659.98"/>
  </r>
  <r>
    <d v="2015-04-29T00:00:00"/>
    <x v="3"/>
    <x v="1"/>
    <x v="474"/>
    <x v="3"/>
    <x v="0"/>
    <x v="8"/>
    <s v="Zipper Ring Binder Pockets"/>
    <n v="9.98"/>
    <n v="4"/>
    <n v="3.62"/>
  </r>
  <r>
    <d v="2017-04-29T00:00:00"/>
    <x v="3"/>
    <x v="3"/>
    <x v="322"/>
    <x v="1"/>
    <x v="1"/>
    <x v="5"/>
    <s v="O'Sullivan Elevations Bookcase, Cherry Finish"/>
    <n v="183.37"/>
    <n v="2"/>
    <n v="-36.67"/>
  </r>
  <r>
    <d v="2015-05-29T00:00:00"/>
    <x v="4"/>
    <x v="1"/>
    <x v="475"/>
    <x v="21"/>
    <x v="2"/>
    <x v="6"/>
    <s v="Logitech G700s Rechargeable Gaming Mouse"/>
    <n v="79.989999999999995"/>
    <n v="1"/>
    <n v="22"/>
  </r>
  <r>
    <d v="2016-05-29T00:00:00"/>
    <x v="4"/>
    <x v="2"/>
    <x v="476"/>
    <x v="13"/>
    <x v="1"/>
    <x v="3"/>
    <s v="DAX Metal Frame, Desktop, Stepped-Edge"/>
    <n v="40.479999999999997"/>
    <n v="2"/>
    <n v="15.79"/>
  </r>
  <r>
    <d v="2014-06-29T00:00:00"/>
    <x v="5"/>
    <x v="0"/>
    <x v="214"/>
    <x v="11"/>
    <x v="2"/>
    <x v="9"/>
    <s v="Samsung Galaxy Mega 6.3"/>
    <n v="4367.8999999999996"/>
    <n v="13"/>
    <n v="327.58999999999997"/>
  </r>
  <r>
    <d v="2017-06-29T00:00:00"/>
    <x v="5"/>
    <x v="3"/>
    <x v="439"/>
    <x v="13"/>
    <x v="0"/>
    <x v="8"/>
    <s v="DXL Angle-View Binders with Locking Rings by Samsill"/>
    <n v="24.67"/>
    <n v="4"/>
    <n v="7.71"/>
  </r>
  <r>
    <d v="2014-08-29T00:00:00"/>
    <x v="7"/>
    <x v="0"/>
    <x v="441"/>
    <x v="21"/>
    <x v="0"/>
    <x v="0"/>
    <s v="Xerox 1910"/>
    <n v="192.16"/>
    <n v="5"/>
    <n v="67.260000000000005"/>
  </r>
  <r>
    <d v="2015-08-29T00:00:00"/>
    <x v="7"/>
    <x v="1"/>
    <x v="467"/>
    <x v="28"/>
    <x v="1"/>
    <x v="14"/>
    <s v="Office Impressions End Table, 20-1/2&quot;H x 24&quot;W x 20&quot;D"/>
    <n v="1488.42"/>
    <n v="7"/>
    <n v="-297.68"/>
  </r>
  <r>
    <d v="2016-08-29T00:00:00"/>
    <x v="7"/>
    <x v="2"/>
    <x v="45"/>
    <x v="13"/>
    <x v="1"/>
    <x v="3"/>
    <s v="Seth Thomas 12&quot; Clock w/ Goldtone Case"/>
    <n v="114.9"/>
    <n v="5"/>
    <n v="39.07"/>
  </r>
  <r>
    <d v="2014-09-29T00:00:00"/>
    <x v="8"/>
    <x v="0"/>
    <x v="124"/>
    <x v="1"/>
    <x v="0"/>
    <x v="8"/>
    <s v="Premier Elliptical Ring Binder, Black"/>
    <n v="42.62"/>
    <n v="7"/>
    <n v="-68.19"/>
  </r>
  <r>
    <d v="2016-09-29T00:00:00"/>
    <x v="8"/>
    <x v="2"/>
    <x v="33"/>
    <x v="1"/>
    <x v="2"/>
    <x v="9"/>
    <s v="Panasonic Kx-TS550"/>
    <n v="147.16999999999999"/>
    <n v="4"/>
    <n v="16.559999999999999"/>
  </r>
  <r>
    <d v="2014-10-29T00:00:00"/>
    <x v="9"/>
    <x v="0"/>
    <x v="296"/>
    <x v="3"/>
    <x v="1"/>
    <x v="3"/>
    <s v="Eldon Image Series Desk Accessories, Burgundy"/>
    <n v="8.36"/>
    <n v="2"/>
    <n v="3.01"/>
  </r>
  <r>
    <d v="2015-10-29T00:00:00"/>
    <x v="9"/>
    <x v="1"/>
    <x v="477"/>
    <x v="21"/>
    <x v="0"/>
    <x v="2"/>
    <s v="Fluorescent Highlighters by Dixon"/>
    <n v="15.92"/>
    <n v="5"/>
    <n v="2.79"/>
  </r>
  <r>
    <d v="2017-10-29T00:00:00"/>
    <x v="9"/>
    <x v="3"/>
    <x v="478"/>
    <x v="0"/>
    <x v="0"/>
    <x v="0"/>
    <s v="Xerox 1897"/>
    <n v="31.87"/>
    <n v="8"/>
    <n v="11.55"/>
  </r>
  <r>
    <d v="2014-11-29T00:00:00"/>
    <x v="10"/>
    <x v="0"/>
    <x v="479"/>
    <x v="3"/>
    <x v="0"/>
    <x v="0"/>
    <s v="Ampad Gold Fibre Wirebound Steno Books, 6&quot; x 9&quot;, Gregg Ruled"/>
    <n v="8.82"/>
    <n v="2"/>
    <n v="4.0599999999999996"/>
  </r>
  <r>
    <d v="2015-11-29T00:00:00"/>
    <x v="10"/>
    <x v="1"/>
    <x v="7"/>
    <x v="13"/>
    <x v="1"/>
    <x v="12"/>
    <s v="Hon Valutask Swivel Chairs"/>
    <n v="272.64999999999998"/>
    <n v="3"/>
    <n v="18.18"/>
  </r>
  <r>
    <d v="2016-11-29T00:00:00"/>
    <x v="10"/>
    <x v="2"/>
    <x v="153"/>
    <x v="22"/>
    <x v="0"/>
    <x v="8"/>
    <s v="Avery Durable Binders"/>
    <n v="20.16"/>
    <n v="7"/>
    <n v="9.8800000000000008"/>
  </r>
  <r>
    <d v="2017-11-29T00:00:00"/>
    <x v="10"/>
    <x v="3"/>
    <x v="480"/>
    <x v="11"/>
    <x v="1"/>
    <x v="12"/>
    <s v="Office Star - Contemporary Task Swivel chair with Loop Arms, Charcoal"/>
    <n v="419.14"/>
    <n v="4"/>
    <n v="-57.63"/>
  </r>
  <r>
    <d v="2014-12-29T00:00:00"/>
    <x v="11"/>
    <x v="0"/>
    <x v="481"/>
    <x v="0"/>
    <x v="0"/>
    <x v="2"/>
    <s v="Design Ebony Sketching Pencil"/>
    <n v="6.67"/>
    <n v="6"/>
    <n v="0.5"/>
  </r>
  <r>
    <d v="2015-12-29T00:00:00"/>
    <x v="11"/>
    <x v="1"/>
    <x v="482"/>
    <x v="22"/>
    <x v="0"/>
    <x v="8"/>
    <s v="GBC DocuBind TL300 Electric Binding System"/>
    <n v="1793.98"/>
    <n v="2"/>
    <n v="843.17"/>
  </r>
  <r>
    <d v="2016-12-29T00:00:00"/>
    <x v="11"/>
    <x v="2"/>
    <x v="141"/>
    <x v="43"/>
    <x v="1"/>
    <x v="3"/>
    <s v="36X48 HARDFLOOR CHAIRMAT"/>
    <n v="41.96"/>
    <n v="2"/>
    <n v="2.94"/>
  </r>
  <r>
    <d v="2014-01-30T00:00:00"/>
    <x v="0"/>
    <x v="0"/>
    <x v="8"/>
    <x v="3"/>
    <x v="2"/>
    <x v="9"/>
    <s v="Digium D40 VoIP phone"/>
    <n v="103.19"/>
    <n v="1"/>
    <n v="11.61"/>
  </r>
  <r>
    <d v="2015-01-30T00:00:00"/>
    <x v="0"/>
    <x v="1"/>
    <x v="483"/>
    <x v="21"/>
    <x v="0"/>
    <x v="0"/>
    <s v="Avoid Verbal Orders Carbonless Minifold Book"/>
    <n v="10.82"/>
    <n v="4"/>
    <n v="3.52"/>
  </r>
  <r>
    <d v="2017-01-30T00:00:00"/>
    <x v="0"/>
    <x v="3"/>
    <x v="484"/>
    <x v="1"/>
    <x v="1"/>
    <x v="12"/>
    <s v="Hon Comfortask Task/Swivel Chairs"/>
    <n v="239.36"/>
    <n v="3"/>
    <n v="-47.87"/>
  </r>
  <r>
    <d v="2014-03-30T00:00:00"/>
    <x v="2"/>
    <x v="0"/>
    <x v="347"/>
    <x v="1"/>
    <x v="1"/>
    <x v="12"/>
    <s v="Global Stack Chair without Arms, Black"/>
    <n v="254.6"/>
    <n v="14"/>
    <n v="-18.190000000000001"/>
  </r>
  <r>
    <d v="2017-03-30T00:00:00"/>
    <x v="2"/>
    <x v="3"/>
    <x v="485"/>
    <x v="3"/>
    <x v="0"/>
    <x v="2"/>
    <s v="Panasonic KP-310 Heavy-Duty Electric Pencil Sharpener"/>
    <n v="87.92"/>
    <n v="4"/>
    <n v="26.38"/>
  </r>
  <r>
    <d v="2014-04-30T00:00:00"/>
    <x v="3"/>
    <x v="0"/>
    <x v="486"/>
    <x v="44"/>
    <x v="0"/>
    <x v="10"/>
    <s v="2300 Heavy-Duty Transfer File Systems by Perma"/>
    <n v="49.96"/>
    <n v="2"/>
    <n v="9.49"/>
  </r>
  <r>
    <d v="2015-04-30T00:00:00"/>
    <x v="3"/>
    <x v="1"/>
    <x v="487"/>
    <x v="11"/>
    <x v="1"/>
    <x v="12"/>
    <s v="Global Commerce Series High-Back Swivel/Tilt Chairs"/>
    <n v="683.95"/>
    <n v="3"/>
    <n v="42.75"/>
  </r>
  <r>
    <d v="2014-05-30T00:00:00"/>
    <x v="4"/>
    <x v="0"/>
    <x v="488"/>
    <x v="13"/>
    <x v="2"/>
    <x v="15"/>
    <s v="Canon imageCLASS 2200 Advanced Copier"/>
    <n v="11199.97"/>
    <n v="4"/>
    <n v="3919.99"/>
  </r>
  <r>
    <d v="2015-05-30T00:00:00"/>
    <x v="4"/>
    <x v="1"/>
    <x v="214"/>
    <x v="0"/>
    <x v="1"/>
    <x v="14"/>
    <s v="Hon 2111 Invitation Series Straight Table"/>
    <n v="517.41"/>
    <n v="5"/>
    <n v="-81.31"/>
  </r>
  <r>
    <d v="2014-06-30T00:00:00"/>
    <x v="5"/>
    <x v="0"/>
    <x v="83"/>
    <x v="22"/>
    <x v="2"/>
    <x v="6"/>
    <s v="Logitech LS21 Speaker System - PC Multimedia - 2.1-CH - Wired"/>
    <n v="19.989999999999998"/>
    <n v="1"/>
    <n v="6.8"/>
  </r>
  <r>
    <d v="2016-06-30T00:00:00"/>
    <x v="5"/>
    <x v="2"/>
    <x v="327"/>
    <x v="13"/>
    <x v="0"/>
    <x v="0"/>
    <s v="Things To Do Today Pad"/>
    <n v="46.96"/>
    <n v="8"/>
    <n v="22.54"/>
  </r>
  <r>
    <d v="2017-06-30T00:00:00"/>
    <x v="5"/>
    <x v="3"/>
    <x v="489"/>
    <x v="21"/>
    <x v="2"/>
    <x v="13"/>
    <s v="Cubify CubeX 3D Printer Triple Head Print"/>
    <n v="7999.98"/>
    <n v="4"/>
    <n v="-3839.99"/>
  </r>
  <r>
    <d v="2014-07-30T00:00:00"/>
    <x v="6"/>
    <x v="0"/>
    <x v="149"/>
    <x v="9"/>
    <x v="0"/>
    <x v="8"/>
    <s v="Avery Durable Slant Ring Binders, No Labels"/>
    <n v="2.39"/>
    <n v="2"/>
    <n v="-1.83"/>
  </r>
  <r>
    <d v="2014-08-30T00:00:00"/>
    <x v="7"/>
    <x v="0"/>
    <x v="490"/>
    <x v="8"/>
    <x v="0"/>
    <x v="8"/>
    <s v="Flexible Leather- Look Classic Collection Ring Binder"/>
    <n v="5.68"/>
    <n v="1"/>
    <n v="-3.79"/>
  </r>
  <r>
    <d v="2016-08-30T00:00:00"/>
    <x v="7"/>
    <x v="2"/>
    <x v="414"/>
    <x v="13"/>
    <x v="1"/>
    <x v="3"/>
    <s v="9-3/4 Diameter Round Wall Clock"/>
    <n v="96.53"/>
    <n v="7"/>
    <n v="40.54"/>
  </r>
  <r>
    <d v="2014-09-30T00:00:00"/>
    <x v="8"/>
    <x v="0"/>
    <x v="308"/>
    <x v="0"/>
    <x v="0"/>
    <x v="1"/>
    <s v="Permanent Self-Adhesive File Folder Labels for Typewriters by Universal"/>
    <n v="10.44"/>
    <n v="5"/>
    <n v="3.39"/>
  </r>
  <r>
    <d v="2015-10-30T00:00:00"/>
    <x v="9"/>
    <x v="1"/>
    <x v="491"/>
    <x v="11"/>
    <x v="1"/>
    <x v="3"/>
    <s v="Howard Miller 13-1/2&quot; Diameter Rosebrook Wall Clock"/>
    <n v="220.06"/>
    <n v="4"/>
    <n v="55.02"/>
  </r>
  <r>
    <d v="2014-11-30T00:00:00"/>
    <x v="10"/>
    <x v="0"/>
    <x v="312"/>
    <x v="4"/>
    <x v="0"/>
    <x v="7"/>
    <s v="Bionaire 99.97% HEPA Air Cleaner"/>
    <n v="35.04"/>
    <n v="2"/>
    <n v="12.26"/>
  </r>
  <r>
    <d v="2015-11-30T00:00:00"/>
    <x v="10"/>
    <x v="1"/>
    <x v="492"/>
    <x v="1"/>
    <x v="1"/>
    <x v="14"/>
    <s v="BPI Conference Tables"/>
    <n v="219.08"/>
    <n v="3"/>
    <n v="-131.44999999999999"/>
  </r>
  <r>
    <d v="2016-11-30T00:00:00"/>
    <x v="10"/>
    <x v="2"/>
    <x v="493"/>
    <x v="21"/>
    <x v="2"/>
    <x v="6"/>
    <s v="Memorex Mini Travel Drive 8 GB USB 2.0 Flash Drive"/>
    <n v="74.11"/>
    <n v="8"/>
    <n v="17.600000000000001"/>
  </r>
  <r>
    <d v="2017-11-30T00:00:00"/>
    <x v="10"/>
    <x v="3"/>
    <x v="185"/>
    <x v="34"/>
    <x v="1"/>
    <x v="3"/>
    <s v="Executive Impressions Supervisor Wall Clock"/>
    <n v="126.3"/>
    <n v="3"/>
    <n v="40.42"/>
  </r>
  <r>
    <d v="2014-12-30T00:00:00"/>
    <x v="11"/>
    <x v="0"/>
    <x v="454"/>
    <x v="15"/>
    <x v="1"/>
    <x v="3"/>
    <s v="Howard Miller 13&quot; Diameter Goldtone Round Wall Clock"/>
    <n v="46.94"/>
    <n v="1"/>
    <n v="19.25"/>
  </r>
  <r>
    <d v="2015-12-30T00:00:00"/>
    <x v="11"/>
    <x v="1"/>
    <x v="494"/>
    <x v="37"/>
    <x v="1"/>
    <x v="12"/>
    <s v="Hon Deluxe Fabric Upholstered Stacking Chairs, Rounded Back"/>
    <n v="390.37"/>
    <n v="2"/>
    <n v="48.8"/>
  </r>
  <r>
    <d v="2014-01-31T00:00:00"/>
    <x v="0"/>
    <x v="0"/>
    <x v="78"/>
    <x v="13"/>
    <x v="0"/>
    <x v="8"/>
    <s v="Lock-Up Easel 'Spel-Binder'"/>
    <n v="68.47"/>
    <n v="3"/>
    <n v="23.11"/>
  </r>
  <r>
    <d v="2015-01-31T00:00:00"/>
    <x v="0"/>
    <x v="1"/>
    <x v="231"/>
    <x v="14"/>
    <x v="0"/>
    <x v="10"/>
    <s v="Tennsco Lockers, Gray"/>
    <n v="83.92"/>
    <n v="4"/>
    <n v="5.87"/>
  </r>
  <r>
    <d v="2016-01-31T00:00:00"/>
    <x v="0"/>
    <x v="2"/>
    <x v="129"/>
    <x v="3"/>
    <x v="0"/>
    <x v="10"/>
    <s v="Fellowes Mobile File Cart, Black"/>
    <n v="559.62"/>
    <n v="9"/>
    <n v="151.1"/>
  </r>
  <r>
    <d v="2014-03-31T00:00:00"/>
    <x v="2"/>
    <x v="0"/>
    <x v="440"/>
    <x v="3"/>
    <x v="2"/>
    <x v="9"/>
    <s v="Cisco SPA301"/>
    <n v="374.38"/>
    <n v="3"/>
    <n v="46.8"/>
  </r>
  <r>
    <d v="2015-03-31T00:00:00"/>
    <x v="2"/>
    <x v="1"/>
    <x v="224"/>
    <x v="0"/>
    <x v="0"/>
    <x v="8"/>
    <s v="Economy Binders"/>
    <n v="1.25"/>
    <n v="3"/>
    <n v="-1.93"/>
  </r>
  <r>
    <d v="2016-03-31T00:00:00"/>
    <x v="2"/>
    <x v="2"/>
    <x v="416"/>
    <x v="3"/>
    <x v="0"/>
    <x v="8"/>
    <s v="Avery Hole Reinforcements"/>
    <n v="19.940000000000001"/>
    <n v="4"/>
    <n v="7.23"/>
  </r>
  <r>
    <d v="2017-03-31T00:00:00"/>
    <x v="2"/>
    <x v="3"/>
    <x v="20"/>
    <x v="13"/>
    <x v="0"/>
    <x v="8"/>
    <s v="Angle-D Binders with Locking Rings, Label Holders"/>
    <n v="23.36"/>
    <n v="4"/>
    <n v="7.88"/>
  </r>
  <r>
    <d v="2014-05-31T00:00:00"/>
    <x v="4"/>
    <x v="0"/>
    <x v="495"/>
    <x v="3"/>
    <x v="1"/>
    <x v="3"/>
    <s v="Eldon 400 Class Desk Accessories, Black Carbon"/>
    <n v="26.25"/>
    <n v="3"/>
    <n v="11.03"/>
  </r>
  <r>
    <d v="2015-05-31T00:00:00"/>
    <x v="4"/>
    <x v="1"/>
    <x v="366"/>
    <x v="16"/>
    <x v="1"/>
    <x v="3"/>
    <s v="Master Giant Foot Doorstop, Safety Yellow"/>
    <n v="22.77"/>
    <n v="3"/>
    <n v="9.7899999999999991"/>
  </r>
  <r>
    <d v="2016-05-31T00:00:00"/>
    <x v="4"/>
    <x v="2"/>
    <x v="338"/>
    <x v="0"/>
    <x v="0"/>
    <x v="7"/>
    <s v="Eureka Sanitaire  Commercial Upright"/>
    <n v="66.28"/>
    <n v="2"/>
    <n v="-178.97"/>
  </r>
  <r>
    <d v="2015-07-31T00:00:00"/>
    <x v="6"/>
    <x v="1"/>
    <x v="496"/>
    <x v="3"/>
    <x v="0"/>
    <x v="8"/>
    <s v="Deluxe Heavy-Duty Vinyl Round Ring Binder"/>
    <n v="36.67"/>
    <n v="2"/>
    <n v="11.46"/>
  </r>
  <r>
    <d v="2016-07-31T00:00:00"/>
    <x v="6"/>
    <x v="2"/>
    <x v="497"/>
    <x v="34"/>
    <x v="0"/>
    <x v="7"/>
    <s v="Sanyo 2.5 Cubic Foot Mid-Size Office Refrigerators"/>
    <n v="839.43"/>
    <n v="3"/>
    <n v="218.25"/>
  </r>
  <r>
    <d v="2014-08-31T00:00:00"/>
    <x v="7"/>
    <x v="0"/>
    <x v="433"/>
    <x v="3"/>
    <x v="0"/>
    <x v="2"/>
    <s v="Binney &amp; Smith Crayola Metallic Crayons, 16-Color Pack"/>
    <n v="13.48"/>
    <n v="4"/>
    <n v="5.93"/>
  </r>
  <r>
    <d v="2016-10-31T00:00:00"/>
    <x v="9"/>
    <x v="2"/>
    <x v="200"/>
    <x v="13"/>
    <x v="0"/>
    <x v="7"/>
    <s v="Staple holder"/>
    <n v="35.909999999999997"/>
    <n v="3"/>
    <n v="9.6999999999999993"/>
  </r>
  <r>
    <d v="2014-12-31T00:00:00"/>
    <x v="11"/>
    <x v="0"/>
    <x v="214"/>
    <x v="23"/>
    <x v="0"/>
    <x v="0"/>
    <s v="Recycled Desk Saver Line &quot;While You Were Out&quot; Book, 5 1/2&quot; X 4&quot;"/>
    <n v="44.75"/>
    <n v="5"/>
    <n v="20.59"/>
  </r>
  <r>
    <d v="2015-12-31T00:00:00"/>
    <x v="11"/>
    <x v="1"/>
    <x v="335"/>
    <x v="19"/>
    <x v="2"/>
    <x v="9"/>
    <s v="AT&amp;T 1080 Corded phone"/>
    <n v="164.39"/>
    <n v="2"/>
    <n v="-35.619999999999997"/>
  </r>
  <r>
    <d v="2016-12-31T00:00:00"/>
    <x v="11"/>
    <x v="2"/>
    <x v="403"/>
    <x v="3"/>
    <x v="0"/>
    <x v="10"/>
    <s v="Adjustable Depth Letter/Legal Cart"/>
    <n v="725.84"/>
    <n v="4"/>
    <n v="210.4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EE17C57-664B-485E-A5A1-8E2ADE2FA9A0}" name="PivotTable6"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B20" firstHeaderRow="1" firstDataRow="1" firstDataCol="1"/>
  <pivotFields count="11">
    <pivotField numFmtId="164" showAll="0"/>
    <pivotField showAll="0"/>
    <pivotField showAll="0">
      <items count="5">
        <item h="1" x="0"/>
        <item x="1"/>
        <item h="1" x="2"/>
        <item h="1" x="3"/>
        <item t="default"/>
      </items>
    </pivotField>
    <pivotField showAll="0"/>
    <pivotField showAll="0"/>
    <pivotField showAll="0"/>
    <pivotField axis="axisRow" showAll="0" sortType="descending">
      <items count="18">
        <item x="6"/>
        <item x="7"/>
        <item x="2"/>
        <item x="8"/>
        <item x="5"/>
        <item x="12"/>
        <item x="15"/>
        <item x="4"/>
        <item x="11"/>
        <item x="3"/>
        <item x="1"/>
        <item x="13"/>
        <item x="0"/>
        <item x="9"/>
        <item x="10"/>
        <item x="16"/>
        <item x="14"/>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s>
  <rowFields count="1">
    <field x="6"/>
  </rowFields>
  <rowItems count="17">
    <i>
      <x v="16"/>
    </i>
    <i>
      <x v="5"/>
    </i>
    <i>
      <x v="13"/>
    </i>
    <i>
      <x v="3"/>
    </i>
    <i>
      <x v="6"/>
    </i>
    <i>
      <x v="1"/>
    </i>
    <i>
      <x v="9"/>
    </i>
    <i>
      <x v="4"/>
    </i>
    <i>
      <x/>
    </i>
    <i>
      <x v="12"/>
    </i>
    <i>
      <x v="14"/>
    </i>
    <i>
      <x v="2"/>
    </i>
    <i>
      <x v="10"/>
    </i>
    <i>
      <x v="7"/>
    </i>
    <i>
      <x v="11"/>
    </i>
    <i>
      <x v="8"/>
    </i>
    <i t="grand">
      <x/>
    </i>
  </rowItems>
  <colItems count="1">
    <i/>
  </colItems>
  <dataFields count="1">
    <dataField name="Sum of Sales"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61AD0BF-E3B4-4422-A0BB-A4FA62A10EAE}" name="PivotTable10"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3:E6" firstHeaderRow="1" firstDataRow="2" firstDataCol="1"/>
  <pivotFields count="11">
    <pivotField numFmtId="164" showAll="0"/>
    <pivotField showAll="0"/>
    <pivotField axis="axisRow" showAll="0">
      <items count="5">
        <item h="1" x="0"/>
        <item x="1"/>
        <item h="1" x="2"/>
        <item h="1" x="3"/>
        <item t="default"/>
      </items>
    </pivotField>
    <pivotField showAll="0"/>
    <pivotField showAll="0"/>
    <pivotField axis="axisCol" showAll="0">
      <items count="4">
        <item x="1"/>
        <item x="0"/>
        <item x="2"/>
        <item t="default"/>
      </items>
    </pivotField>
    <pivotField showAll="0"/>
    <pivotField showAll="0"/>
    <pivotField showAll="0"/>
    <pivotField showAll="0"/>
    <pivotField dataField="1" showAll="0"/>
  </pivotFields>
  <rowFields count="1">
    <field x="2"/>
  </rowFields>
  <rowItems count="2">
    <i>
      <x v="1"/>
    </i>
    <i t="grand">
      <x/>
    </i>
  </rowItems>
  <colFields count="1">
    <field x="5"/>
  </colFields>
  <colItems count="4">
    <i>
      <x/>
    </i>
    <i>
      <x v="1"/>
    </i>
    <i>
      <x v="2"/>
    </i>
    <i t="grand">
      <x/>
    </i>
  </colItems>
  <dataFields count="1">
    <dataField name="Sum of Profit" fld="10" baseField="0" baseItem="0"/>
  </dataFields>
  <chartFormats count="6">
    <chartFormat chart="0" format="0" series="1">
      <pivotArea type="data" outline="0" fieldPosition="0">
        <references count="2">
          <reference field="4294967294" count="1" selected="0">
            <x v="0"/>
          </reference>
          <reference field="5" count="1" selected="0">
            <x v="0"/>
          </reference>
        </references>
      </pivotArea>
    </chartFormat>
    <chartFormat chart="0" format="1" series="1">
      <pivotArea type="data" outline="0" fieldPosition="0">
        <references count="2">
          <reference field="4294967294" count="1" selected="0">
            <x v="0"/>
          </reference>
          <reference field="5" count="1" selected="0">
            <x v="1"/>
          </reference>
        </references>
      </pivotArea>
    </chartFormat>
    <chartFormat chart="0" format="2" series="1">
      <pivotArea type="data" outline="0" fieldPosition="0">
        <references count="2">
          <reference field="4294967294" count="1" selected="0">
            <x v="0"/>
          </reference>
          <reference field="5" count="1" selected="0">
            <x v="2"/>
          </reference>
        </references>
      </pivotArea>
    </chartFormat>
    <chartFormat chart="3" format="6" series="1">
      <pivotArea type="data" outline="0" fieldPosition="0">
        <references count="2">
          <reference field="4294967294" count="1" selected="0">
            <x v="0"/>
          </reference>
          <reference field="5" count="1" selected="0">
            <x v="0"/>
          </reference>
        </references>
      </pivotArea>
    </chartFormat>
    <chartFormat chart="3" format="7" series="1">
      <pivotArea type="data" outline="0" fieldPosition="0">
        <references count="2">
          <reference field="4294967294" count="1" selected="0">
            <x v="0"/>
          </reference>
          <reference field="5" count="1" selected="0">
            <x v="1"/>
          </reference>
        </references>
      </pivotArea>
    </chartFormat>
    <chartFormat chart="3" format="8" series="1">
      <pivotArea type="data" outline="0" fieldPosition="0">
        <references count="2">
          <reference field="4294967294" count="1" selected="0">
            <x v="0"/>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46A9F3-D298-4673-A949-53F817ECE354}" name="PivotTable11"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8">
  <location ref="A3:B16" firstHeaderRow="1" firstDataRow="1" firstDataCol="1"/>
  <pivotFields count="11">
    <pivotField numFmtId="164" showAll="0"/>
    <pivotField axis="axisRow" showAll="0">
      <items count="13">
        <item x="0"/>
        <item x="1"/>
        <item x="2"/>
        <item x="3"/>
        <item x="4"/>
        <item x="5"/>
        <item x="6"/>
        <item x="7"/>
        <item x="8"/>
        <item x="9"/>
        <item x="10"/>
        <item x="11"/>
        <item t="default"/>
      </items>
    </pivotField>
    <pivotField showAll="0">
      <items count="5">
        <item h="1" x="0"/>
        <item x="1"/>
        <item h="1" x="2"/>
        <item h="1" x="3"/>
        <item t="default"/>
      </items>
    </pivotField>
    <pivotField showAll="0"/>
    <pivotField showAll="0"/>
    <pivotField showAll="0"/>
    <pivotField showAll="0"/>
    <pivotField showAll="0"/>
    <pivotField dataField="1" showAll="0"/>
    <pivotField showAll="0"/>
    <pivotField showAll="0"/>
  </pivotFields>
  <rowFields count="1">
    <field x="1"/>
  </rowFields>
  <rowItems count="13">
    <i>
      <x/>
    </i>
    <i>
      <x v="1"/>
    </i>
    <i>
      <x v="2"/>
    </i>
    <i>
      <x v="3"/>
    </i>
    <i>
      <x v="4"/>
    </i>
    <i>
      <x v="5"/>
    </i>
    <i>
      <x v="6"/>
    </i>
    <i>
      <x v="7"/>
    </i>
    <i>
      <x v="8"/>
    </i>
    <i>
      <x v="9"/>
    </i>
    <i>
      <x v="10"/>
    </i>
    <i>
      <x v="11"/>
    </i>
    <i t="grand">
      <x/>
    </i>
  </rowItems>
  <colItems count="1">
    <i/>
  </colItems>
  <dataFields count="1">
    <dataField name="Sum of Sales" fld="8" baseField="0" baseItem="0"/>
  </dataFields>
  <chartFormats count="2">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6BF5C26-E6D5-47BF-8B5B-6CB9745904C9}" name="PivotTable12"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7">
  <location ref="A3:B9" firstHeaderRow="1" firstDataRow="1" firstDataCol="1"/>
  <pivotFields count="11">
    <pivotField numFmtId="164" showAll="0"/>
    <pivotField showAll="0"/>
    <pivotField showAll="0">
      <items count="5">
        <item h="1" x="0"/>
        <item x="1"/>
        <item h="1" x="2"/>
        <item h="1" x="3"/>
        <item t="default"/>
      </items>
    </pivotField>
    <pivotField axis="axisRow" showAll="0" measureFilter="1" sortType="descending">
      <items count="499">
        <item x="40"/>
        <item x="189"/>
        <item x="371"/>
        <item x="413"/>
        <item x="357"/>
        <item x="130"/>
        <item x="39"/>
        <item x="258"/>
        <item x="283"/>
        <item x="439"/>
        <item x="358"/>
        <item x="186"/>
        <item x="43"/>
        <item x="84"/>
        <item x="71"/>
        <item x="57"/>
        <item x="405"/>
        <item x="234"/>
        <item x="161"/>
        <item x="467"/>
        <item x="126"/>
        <item x="482"/>
        <item x="329"/>
        <item x="74"/>
        <item x="146"/>
        <item x="190"/>
        <item x="240"/>
        <item x="400"/>
        <item x="269"/>
        <item x="273"/>
        <item x="157"/>
        <item x="52"/>
        <item x="168"/>
        <item x="6"/>
        <item x="85"/>
        <item x="82"/>
        <item x="135"/>
        <item x="175"/>
        <item x="128"/>
        <item x="140"/>
        <item x="479"/>
        <item x="30"/>
        <item x="209"/>
        <item x="102"/>
        <item x="252"/>
        <item x="434"/>
        <item x="377"/>
        <item x="416"/>
        <item x="256"/>
        <item x="390"/>
        <item x="396"/>
        <item x="453"/>
        <item x="368"/>
        <item x="383"/>
        <item x="22"/>
        <item x="45"/>
        <item x="478"/>
        <item x="348"/>
        <item x="9"/>
        <item x="281"/>
        <item x="179"/>
        <item x="454"/>
        <item x="113"/>
        <item x="104"/>
        <item x="290"/>
        <item x="87"/>
        <item x="382"/>
        <item x="101"/>
        <item x="457"/>
        <item x="471"/>
        <item x="137"/>
        <item x="229"/>
        <item x="51"/>
        <item x="103"/>
        <item x="79"/>
        <item x="363"/>
        <item x="48"/>
        <item x="452"/>
        <item x="380"/>
        <item x="287"/>
        <item x="212"/>
        <item x="309"/>
        <item x="143"/>
        <item x="314"/>
        <item x="438"/>
        <item x="147"/>
        <item x="322"/>
        <item x="42"/>
        <item x="8"/>
        <item x="315"/>
        <item x="54"/>
        <item x="131"/>
        <item x="98"/>
        <item x="391"/>
        <item x="312"/>
        <item x="249"/>
        <item x="425"/>
        <item x="353"/>
        <item x="352"/>
        <item x="470"/>
        <item x="272"/>
        <item x="427"/>
        <item x="270"/>
        <item x="466"/>
        <item x="38"/>
        <item x="378"/>
        <item x="293"/>
        <item x="210"/>
        <item x="326"/>
        <item x="437"/>
        <item x="49"/>
        <item x="151"/>
        <item x="26"/>
        <item x="117"/>
        <item x="23"/>
        <item x="446"/>
        <item x="235"/>
        <item x="468"/>
        <item x="118"/>
        <item x="335"/>
        <item x="491"/>
        <item x="341"/>
        <item x="0"/>
        <item x="444"/>
        <item x="37"/>
        <item x="243"/>
        <item x="307"/>
        <item x="178"/>
        <item x="302"/>
        <item x="12"/>
        <item x="254"/>
        <item x="339"/>
        <item x="351"/>
        <item x="152"/>
        <item x="24"/>
        <item x="223"/>
        <item x="11"/>
        <item x="381"/>
        <item x="255"/>
        <item x="320"/>
        <item x="334"/>
        <item x="70"/>
        <item x="465"/>
        <item x="349"/>
        <item x="404"/>
        <item x="408"/>
        <item x="120"/>
        <item x="310"/>
        <item x="108"/>
        <item x="319"/>
        <item x="18"/>
        <item x="246"/>
        <item x="278"/>
        <item x="280"/>
        <item x="230"/>
        <item x="96"/>
        <item x="197"/>
        <item x="124"/>
        <item x="385"/>
        <item x="121"/>
        <item x="10"/>
        <item x="165"/>
        <item x="134"/>
        <item x="177"/>
        <item x="418"/>
        <item x="245"/>
        <item x="483"/>
        <item x="91"/>
        <item x="460"/>
        <item x="485"/>
        <item x="429"/>
        <item x="440"/>
        <item x="475"/>
        <item x="464"/>
        <item x="219"/>
        <item x="373"/>
        <item x="433"/>
        <item x="435"/>
        <item x="195"/>
        <item x="327"/>
        <item x="174"/>
        <item x="138"/>
        <item x="127"/>
        <item x="489"/>
        <item x="262"/>
        <item x="332"/>
        <item x="419"/>
        <item x="441"/>
        <item x="61"/>
        <item x="78"/>
        <item x="250"/>
        <item x="421"/>
        <item x="431"/>
        <item x="105"/>
        <item x="119"/>
        <item x="409"/>
        <item x="411"/>
        <item x="365"/>
        <item x="354"/>
        <item x="417"/>
        <item x="156"/>
        <item x="14"/>
        <item x="16"/>
        <item x="291"/>
        <item x="170"/>
        <item x="350"/>
        <item x="202"/>
        <item x="93"/>
        <item x="493"/>
        <item x="436"/>
        <item x="325"/>
        <item x="19"/>
        <item x="399"/>
        <item x="64"/>
        <item x="166"/>
        <item x="282"/>
        <item x="187"/>
        <item x="211"/>
        <item x="232"/>
        <item x="296"/>
        <item x="251"/>
        <item x="182"/>
        <item x="410"/>
        <item x="266"/>
        <item x="184"/>
        <item x="97"/>
        <item x="267"/>
        <item x="63"/>
        <item x="112"/>
        <item x="321"/>
        <item x="398"/>
        <item x="88"/>
        <item x="67"/>
        <item x="244"/>
        <item x="305"/>
        <item x="344"/>
        <item x="53"/>
        <item x="492"/>
        <item x="345"/>
        <item x="75"/>
        <item x="231"/>
        <item x="36"/>
        <item x="362"/>
        <item x="171"/>
        <item x="253"/>
        <item x="265"/>
        <item x="311"/>
        <item x="445"/>
        <item x="346"/>
        <item x="276"/>
        <item x="160"/>
        <item x="376"/>
        <item x="292"/>
        <item x="328"/>
        <item x="392"/>
        <item x="451"/>
        <item x="248"/>
        <item x="233"/>
        <item x="206"/>
        <item x="217"/>
        <item x="456"/>
        <item x="132"/>
        <item x="122"/>
        <item x="65"/>
        <item x="369"/>
        <item x="80"/>
        <item x="343"/>
        <item x="148"/>
        <item x="415"/>
        <item x="107"/>
        <item x="150"/>
        <item x="224"/>
        <item x="481"/>
        <item x="136"/>
        <item x="220"/>
        <item x="462"/>
        <item x="403"/>
        <item x="44"/>
        <item x="56"/>
        <item x="159"/>
        <item x="288"/>
        <item x="386"/>
        <item x="73"/>
        <item x="330"/>
        <item x="397"/>
        <item x="145"/>
        <item x="33"/>
        <item x="422"/>
        <item x="242"/>
        <item x="463"/>
        <item x="388"/>
        <item x="236"/>
        <item x="21"/>
        <item x="116"/>
        <item x="114"/>
        <item x="448"/>
        <item x="323"/>
        <item x="164"/>
        <item x="338"/>
        <item x="284"/>
        <item x="213"/>
        <item x="430"/>
        <item x="458"/>
        <item x="3"/>
        <item x="185"/>
        <item x="247"/>
        <item x="372"/>
        <item x="163"/>
        <item x="324"/>
        <item x="201"/>
        <item x="472"/>
        <item x="100"/>
        <item x="257"/>
        <item x="395"/>
        <item x="47"/>
        <item x="474"/>
        <item x="359"/>
        <item x="407"/>
        <item x="188"/>
        <item x="428"/>
        <item x="271"/>
        <item x="426"/>
        <item x="406"/>
        <item x="194"/>
        <item x="94"/>
        <item x="5"/>
        <item x="123"/>
        <item x="35"/>
        <item x="361"/>
        <item x="496"/>
        <item x="31"/>
        <item x="261"/>
        <item x="237"/>
        <item x="133"/>
        <item x="125"/>
        <item x="172"/>
        <item x="2"/>
        <item x="109"/>
        <item x="450"/>
        <item x="55"/>
        <item x="218"/>
        <item x="495"/>
        <item x="20"/>
        <item x="90"/>
        <item x="167"/>
        <item x="72"/>
        <item x="111"/>
        <item x="461"/>
        <item x="476"/>
        <item x="294"/>
        <item x="420"/>
        <item x="208"/>
        <item x="27"/>
        <item x="25"/>
        <item x="277"/>
        <item x="313"/>
        <item x="432"/>
        <item x="141"/>
        <item x="68"/>
        <item x="447"/>
        <item x="268"/>
        <item x="115"/>
        <item x="238"/>
        <item x="216"/>
        <item x="303"/>
        <item x="394"/>
        <item x="225"/>
        <item x="414"/>
        <item x="487"/>
        <item x="424"/>
        <item x="81"/>
        <item x="95"/>
        <item x="214"/>
        <item x="50"/>
        <item x="83"/>
        <item x="59"/>
        <item x="366"/>
        <item x="76"/>
        <item x="66"/>
        <item x="360"/>
        <item x="300"/>
        <item x="62"/>
        <item x="241"/>
        <item x="86"/>
        <item x="199"/>
        <item x="77"/>
        <item x="228"/>
        <item x="169"/>
        <item x="331"/>
        <item x="1"/>
        <item x="204"/>
        <item x="298"/>
        <item x="89"/>
        <item x="473"/>
        <item x="92"/>
        <item x="442"/>
        <item x="289"/>
        <item x="387"/>
        <item x="286"/>
        <item x="153"/>
        <item x="203"/>
        <item x="340"/>
        <item x="58"/>
        <item x="389"/>
        <item x="154"/>
        <item x="263"/>
        <item x="205"/>
        <item x="443"/>
        <item x="490"/>
        <item x="193"/>
        <item x="144"/>
        <item x="449"/>
        <item x="367"/>
        <item x="299"/>
        <item x="393"/>
        <item x="200"/>
        <item x="239"/>
        <item x="207"/>
        <item x="198"/>
        <item x="176"/>
        <item x="459"/>
        <item x="110"/>
        <item x="356"/>
        <item x="497"/>
        <item x="28"/>
        <item x="480"/>
        <item x="486"/>
        <item x="259"/>
        <item x="275"/>
        <item x="221"/>
        <item x="402"/>
        <item x="484"/>
        <item x="260"/>
        <item x="41"/>
        <item x="162"/>
        <item x="46"/>
        <item x="7"/>
        <item x="106"/>
        <item x="306"/>
        <item x="274"/>
        <item x="17"/>
        <item x="158"/>
        <item x="29"/>
        <item x="379"/>
        <item x="384"/>
        <item x="477"/>
        <item x="279"/>
        <item x="412"/>
        <item x="401"/>
        <item x="347"/>
        <item x="99"/>
        <item x="226"/>
        <item x="285"/>
        <item x="318"/>
        <item x="192"/>
        <item x="222"/>
        <item x="336"/>
        <item x="196"/>
        <item x="308"/>
        <item x="34"/>
        <item x="364"/>
        <item x="181"/>
        <item x="494"/>
        <item x="297"/>
        <item x="264"/>
        <item x="69"/>
        <item x="215"/>
        <item x="173"/>
        <item x="301"/>
        <item x="423"/>
        <item x="304"/>
        <item x="370"/>
        <item x="295"/>
        <item x="13"/>
        <item x="355"/>
        <item x="191"/>
        <item x="488"/>
        <item x="15"/>
        <item x="139"/>
        <item x="342"/>
        <item x="455"/>
        <item x="316"/>
        <item x="60"/>
        <item x="32"/>
        <item x="149"/>
        <item x="317"/>
        <item x="142"/>
        <item x="374"/>
        <item x="469"/>
        <item x="333"/>
        <item x="129"/>
        <item x="4"/>
        <item x="337"/>
        <item x="180"/>
        <item x="227"/>
        <item x="375"/>
        <item x="183"/>
        <item x="15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dataField="1" showAll="0"/>
  </pivotFields>
  <rowFields count="1">
    <field x="3"/>
  </rowFields>
  <rowItems count="6">
    <i>
      <x v="8"/>
    </i>
    <i>
      <x v="21"/>
    </i>
    <i>
      <x v="487"/>
    </i>
    <i>
      <x v="486"/>
    </i>
    <i>
      <x v="397"/>
    </i>
    <i t="grand">
      <x/>
    </i>
  </rowItems>
  <colItems count="1">
    <i/>
  </colItems>
  <dataFields count="1">
    <dataField name="Sum of Profit" fld="10" baseField="0" baseItem="0"/>
  </dataFields>
  <chartFormats count="842">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3" count="1" selected="0">
            <x v="476"/>
          </reference>
        </references>
      </pivotArea>
    </chartFormat>
    <chartFormat chart="1" format="3">
      <pivotArea type="data" outline="0" fieldPosition="0">
        <references count="2">
          <reference field="4294967294" count="1" selected="0">
            <x v="0"/>
          </reference>
          <reference field="3" count="1" selected="0">
            <x v="8"/>
          </reference>
        </references>
      </pivotArea>
    </chartFormat>
    <chartFormat chart="1" format="4">
      <pivotArea type="data" outline="0" fieldPosition="0">
        <references count="2">
          <reference field="4294967294" count="1" selected="0">
            <x v="0"/>
          </reference>
          <reference field="3" count="1" selected="0">
            <x v="343"/>
          </reference>
        </references>
      </pivotArea>
    </chartFormat>
    <chartFormat chart="1" format="5">
      <pivotArea type="data" outline="0" fieldPosition="0">
        <references count="2">
          <reference field="4294967294" count="1" selected="0">
            <x v="0"/>
          </reference>
          <reference field="3" count="1" selected="0">
            <x v="21"/>
          </reference>
        </references>
      </pivotArea>
    </chartFormat>
    <chartFormat chart="1" format="6">
      <pivotArea type="data" outline="0" fieldPosition="0">
        <references count="2">
          <reference field="4294967294" count="1" selected="0">
            <x v="0"/>
          </reference>
          <reference field="3" count="1" selected="0">
            <x v="280"/>
          </reference>
        </references>
      </pivotArea>
    </chartFormat>
    <chartFormat chart="1" format="7">
      <pivotArea type="data" outline="0" fieldPosition="0">
        <references count="2">
          <reference field="4294967294" count="1" selected="0">
            <x v="0"/>
          </reference>
          <reference field="3" count="1" selected="0">
            <x v="399"/>
          </reference>
        </references>
      </pivotArea>
    </chartFormat>
    <chartFormat chart="1" format="8">
      <pivotArea type="data" outline="0" fieldPosition="0">
        <references count="2">
          <reference field="4294967294" count="1" selected="0">
            <x v="0"/>
          </reference>
          <reference field="3" count="1" selected="0">
            <x v="394"/>
          </reference>
        </references>
      </pivotArea>
    </chartFormat>
    <chartFormat chart="1" format="9">
      <pivotArea type="data" outline="0" fieldPosition="0">
        <references count="2">
          <reference field="4294967294" count="1" selected="0">
            <x v="0"/>
          </reference>
          <reference field="3" count="1" selected="0">
            <x v="180"/>
          </reference>
        </references>
      </pivotArea>
    </chartFormat>
    <chartFormat chart="1" format="10">
      <pivotArea type="data" outline="0" fieldPosition="0">
        <references count="2">
          <reference field="4294967294" count="1" selected="0">
            <x v="0"/>
          </reference>
          <reference field="3" count="1" selected="0">
            <x v="235"/>
          </reference>
        </references>
      </pivotArea>
    </chartFormat>
    <chartFormat chart="1" format="11">
      <pivotArea type="data" outline="0" fieldPosition="0">
        <references count="2">
          <reference field="4294967294" count="1" selected="0">
            <x v="0"/>
          </reference>
          <reference field="3" count="1" selected="0">
            <x v="321"/>
          </reference>
        </references>
      </pivotArea>
    </chartFormat>
    <chartFormat chart="1" format="12">
      <pivotArea type="data" outline="0" fieldPosition="0">
        <references count="2">
          <reference field="4294967294" count="1" selected="0">
            <x v="0"/>
          </reference>
          <reference field="3" count="1" selected="0">
            <x v="139"/>
          </reference>
        </references>
      </pivotArea>
    </chartFormat>
    <chartFormat chart="1" format="13">
      <pivotArea type="data" outline="0" fieldPosition="0">
        <references count="2">
          <reference field="4294967294" count="1" selected="0">
            <x v="0"/>
          </reference>
          <reference field="3" count="1" selected="0">
            <x v="205"/>
          </reference>
        </references>
      </pivotArea>
    </chartFormat>
    <chartFormat chart="1" format="14">
      <pivotArea type="data" outline="0" fieldPosition="0">
        <references count="2">
          <reference field="4294967294" count="1" selected="0">
            <x v="0"/>
          </reference>
          <reference field="3" count="1" selected="0">
            <x v="495"/>
          </reference>
        </references>
      </pivotArea>
    </chartFormat>
    <chartFormat chart="1" format="15">
      <pivotArea type="data" outline="0" fieldPosition="0">
        <references count="2">
          <reference field="4294967294" count="1" selected="0">
            <x v="0"/>
          </reference>
          <reference field="3" count="1" selected="0">
            <x v="359"/>
          </reference>
        </references>
      </pivotArea>
    </chartFormat>
    <chartFormat chart="1" format="16">
      <pivotArea type="data" outline="0" fieldPosition="0">
        <references count="2">
          <reference field="4294967294" count="1" selected="0">
            <x v="0"/>
          </reference>
          <reference field="3" count="1" selected="0">
            <x v="203"/>
          </reference>
        </references>
      </pivotArea>
    </chartFormat>
    <chartFormat chart="1" format="17">
      <pivotArea type="data" outline="0" fieldPosition="0">
        <references count="2">
          <reference field="4294967294" count="1" selected="0">
            <x v="0"/>
          </reference>
          <reference field="3" count="1" selected="0">
            <x v="454"/>
          </reference>
        </references>
      </pivotArea>
    </chartFormat>
    <chartFormat chart="1" format="18">
      <pivotArea type="data" outline="0" fieldPosition="0">
        <references count="2">
          <reference field="4294967294" count="1" selected="0">
            <x v="0"/>
          </reference>
          <reference field="3" count="1" selected="0">
            <x v="487"/>
          </reference>
        </references>
      </pivotArea>
    </chartFormat>
    <chartFormat chart="1" format="19">
      <pivotArea type="data" outline="0" fieldPosition="0">
        <references count="2">
          <reference field="4294967294" count="1" selected="0">
            <x v="0"/>
          </reference>
          <reference field="3" count="1" selected="0">
            <x v="397"/>
          </reference>
        </references>
      </pivotArea>
    </chartFormat>
    <chartFormat chart="1" format="20">
      <pivotArea type="data" outline="0" fieldPosition="0">
        <references count="2">
          <reference field="4294967294" count="1" selected="0">
            <x v="0"/>
          </reference>
          <reference field="3" count="1" selected="0">
            <x v="486"/>
          </reference>
        </references>
      </pivotArea>
    </chartFormat>
    <chartFormat chart="1" format="21">
      <pivotArea type="data" outline="0" fieldPosition="0">
        <references count="2">
          <reference field="4294967294" count="1" selected="0">
            <x v="0"/>
          </reference>
          <reference field="3" count="1" selected="0">
            <x v="403"/>
          </reference>
        </references>
      </pivotArea>
    </chartFormat>
    <chartFormat chart="1" format="22">
      <pivotArea type="data" outline="0" fieldPosition="0">
        <references count="2">
          <reference field="4294967294" count="1" selected="0">
            <x v="0"/>
          </reference>
          <reference field="3" count="1" selected="0">
            <x v="156"/>
          </reference>
        </references>
      </pivotArea>
    </chartFormat>
    <chartFormat chart="1" format="23">
      <pivotArea type="data" outline="0" fieldPosition="0">
        <references count="2">
          <reference field="4294967294" count="1" selected="0">
            <x v="0"/>
          </reference>
          <reference field="3" count="1" selected="0">
            <x v="54"/>
          </reference>
        </references>
      </pivotArea>
    </chartFormat>
    <chartFormat chart="1" format="24">
      <pivotArea type="data" outline="0" fieldPosition="0">
        <references count="2">
          <reference field="4294967294" count="1" selected="0">
            <x v="0"/>
          </reference>
          <reference field="3" count="1" selected="0">
            <x v="182"/>
          </reference>
        </references>
      </pivotArea>
    </chartFormat>
    <chartFormat chart="1" format="25">
      <pivotArea type="data" outline="0" fieldPosition="0">
        <references count="2">
          <reference field="4294967294" count="1" selected="0">
            <x v="0"/>
          </reference>
          <reference field="3" count="1" selected="0">
            <x v="478"/>
          </reference>
        </references>
      </pivotArea>
    </chartFormat>
    <chartFormat chart="1" format="26">
      <pivotArea type="data" outline="0" fieldPosition="0">
        <references count="2">
          <reference field="4294967294" count="1" selected="0">
            <x v="0"/>
          </reference>
          <reference field="3" count="1" selected="0">
            <x v="449"/>
          </reference>
        </references>
      </pivotArea>
    </chartFormat>
    <chartFormat chart="1" format="27">
      <pivotArea type="data" outline="0" fieldPosition="0">
        <references count="2">
          <reference field="4294967294" count="1" selected="0">
            <x v="0"/>
          </reference>
          <reference field="3" count="1" selected="0">
            <x v="15"/>
          </reference>
        </references>
      </pivotArea>
    </chartFormat>
    <chartFormat chart="1" format="28">
      <pivotArea type="data" outline="0" fieldPosition="0">
        <references count="2">
          <reference field="4294967294" count="1" selected="0">
            <x v="0"/>
          </reference>
          <reference field="3" count="1" selected="0">
            <x v="193"/>
          </reference>
        </references>
      </pivotArea>
    </chartFormat>
    <chartFormat chart="1" format="29">
      <pivotArea type="data" outline="0" fieldPosition="0">
        <references count="2">
          <reference field="4294967294" count="1" selected="0">
            <x v="0"/>
          </reference>
          <reference field="3" count="1" selected="0">
            <x v="372"/>
          </reference>
        </references>
      </pivotArea>
    </chartFormat>
    <chartFormat chart="1" format="30">
      <pivotArea type="data" outline="0" fieldPosition="0">
        <references count="2">
          <reference field="4294967294" count="1" selected="0">
            <x v="0"/>
          </reference>
          <reference field="3" count="1" selected="0">
            <x v="471"/>
          </reference>
        </references>
      </pivotArea>
    </chartFormat>
    <chartFormat chart="1" format="31">
      <pivotArea type="data" outline="0" fieldPosition="0">
        <references count="2">
          <reference field="4294967294" count="1" selected="0">
            <x v="0"/>
          </reference>
          <reference field="3" count="1" selected="0">
            <x v="265"/>
          </reference>
        </references>
      </pivotArea>
    </chartFormat>
    <chartFormat chart="1" format="32">
      <pivotArea type="data" outline="0" fieldPosition="0">
        <references count="2">
          <reference field="4294967294" count="1" selected="0">
            <x v="0"/>
          </reference>
          <reference field="3" count="1" selected="0">
            <x v="366"/>
          </reference>
        </references>
      </pivotArea>
    </chartFormat>
    <chartFormat chart="1" format="33">
      <pivotArea type="data" outline="0" fieldPosition="0">
        <references count="2">
          <reference field="4294967294" count="1" selected="0">
            <x v="0"/>
          </reference>
          <reference field="3" count="1" selected="0">
            <x v="63"/>
          </reference>
        </references>
      </pivotArea>
    </chartFormat>
    <chartFormat chart="1" format="34">
      <pivotArea type="data" outline="0" fieldPosition="0">
        <references count="2">
          <reference field="4294967294" count="1" selected="0">
            <x v="0"/>
          </reference>
          <reference field="3" count="1" selected="0">
            <x v="309"/>
          </reference>
        </references>
      </pivotArea>
    </chartFormat>
    <chartFormat chart="1" format="35">
      <pivotArea type="data" outline="0" fieldPosition="0">
        <references count="2">
          <reference field="4294967294" count="1" selected="0">
            <x v="0"/>
          </reference>
          <reference field="3" count="1" selected="0">
            <x v="292"/>
          </reference>
        </references>
      </pivotArea>
    </chartFormat>
    <chartFormat chart="1" format="36">
      <pivotArea type="data" outline="0" fieldPosition="0">
        <references count="2">
          <reference field="4294967294" count="1" selected="0">
            <x v="0"/>
          </reference>
          <reference field="3" count="1" selected="0">
            <x v="326"/>
          </reference>
        </references>
      </pivotArea>
    </chartFormat>
    <chartFormat chart="1" format="37">
      <pivotArea type="data" outline="0" fieldPosition="0">
        <references count="2">
          <reference field="4294967294" count="1" selected="0">
            <x v="0"/>
          </reference>
          <reference field="3" count="1" selected="0">
            <x v="423"/>
          </reference>
        </references>
      </pivotArea>
    </chartFormat>
    <chartFormat chart="1" format="38">
      <pivotArea type="data" outline="0" fieldPosition="0">
        <references count="2">
          <reference field="4294967294" count="1" selected="0">
            <x v="0"/>
          </reference>
          <reference field="3" count="1" selected="0">
            <x v="276"/>
          </reference>
        </references>
      </pivotArea>
    </chartFormat>
    <chartFormat chart="1" format="39">
      <pivotArea type="data" outline="0" fieldPosition="0">
        <references count="2">
          <reference field="4294967294" count="1" selected="0">
            <x v="0"/>
          </reference>
          <reference field="3" count="1" selected="0">
            <x v="79"/>
          </reference>
        </references>
      </pivotArea>
    </chartFormat>
    <chartFormat chart="1" format="40">
      <pivotArea type="data" outline="0" fieldPosition="0">
        <references count="2">
          <reference field="4294967294" count="1" selected="0">
            <x v="0"/>
          </reference>
          <reference field="3" count="1" selected="0">
            <x v="210"/>
          </reference>
        </references>
      </pivotArea>
    </chartFormat>
    <chartFormat chart="1" format="41">
      <pivotArea type="data" outline="0" fieldPosition="0">
        <references count="2">
          <reference field="4294967294" count="1" selected="0">
            <x v="0"/>
          </reference>
          <reference field="3" count="1" selected="0">
            <x v="225"/>
          </reference>
        </references>
      </pivotArea>
    </chartFormat>
    <chartFormat chart="1" format="42">
      <pivotArea type="data" outline="0" fieldPosition="0">
        <references count="2">
          <reference field="4294967294" count="1" selected="0">
            <x v="0"/>
          </reference>
          <reference field="3" count="1" selected="0">
            <x v="410"/>
          </reference>
        </references>
      </pivotArea>
    </chartFormat>
    <chartFormat chart="1" format="43">
      <pivotArea type="data" outline="0" fieldPosition="0">
        <references count="2">
          <reference field="4294967294" count="1" selected="0">
            <x v="0"/>
          </reference>
          <reference field="3" count="1" selected="0">
            <x v="201"/>
          </reference>
        </references>
      </pivotArea>
    </chartFormat>
    <chartFormat chart="1" format="44">
      <pivotArea type="data" outline="0" fieldPosition="0">
        <references count="2">
          <reference field="4294967294" count="1" selected="0">
            <x v="0"/>
          </reference>
          <reference field="3" count="1" selected="0">
            <x v="281"/>
          </reference>
        </references>
      </pivotArea>
    </chartFormat>
    <chartFormat chart="1" format="45">
      <pivotArea type="data" outline="0" fieldPosition="0">
        <references count="2">
          <reference field="4294967294" count="1" selected="0">
            <x v="0"/>
          </reference>
          <reference field="3" count="1" selected="0">
            <x v="151"/>
          </reference>
        </references>
      </pivotArea>
    </chartFormat>
    <chartFormat chart="1" format="46">
      <pivotArea type="data" outline="0" fieldPosition="0">
        <references count="2">
          <reference field="4294967294" count="1" selected="0">
            <x v="0"/>
          </reference>
          <reference field="3" count="1" selected="0">
            <x v="490"/>
          </reference>
        </references>
      </pivotArea>
    </chartFormat>
    <chartFormat chart="1" format="47">
      <pivotArea type="data" outline="0" fieldPosition="0">
        <references count="2">
          <reference field="4294967294" count="1" selected="0">
            <x v="0"/>
          </reference>
          <reference field="3" count="1" selected="0">
            <x v="125"/>
          </reference>
        </references>
      </pivotArea>
    </chartFormat>
    <chartFormat chart="1" format="48">
      <pivotArea type="data" outline="0" fieldPosition="0">
        <references count="2">
          <reference field="4294967294" count="1" selected="0">
            <x v="0"/>
          </reference>
          <reference field="3" count="1" selected="0">
            <x v="450"/>
          </reference>
        </references>
      </pivotArea>
    </chartFormat>
    <chartFormat chart="1" format="49">
      <pivotArea type="data" outline="0" fieldPosition="0">
        <references count="2">
          <reference field="4294967294" count="1" selected="0">
            <x v="0"/>
          </reference>
          <reference field="3" count="1" selected="0">
            <x v="116"/>
          </reference>
        </references>
      </pivotArea>
    </chartFormat>
    <chartFormat chart="1" format="50">
      <pivotArea type="data" outline="0" fieldPosition="0">
        <references count="2">
          <reference field="4294967294" count="1" selected="0">
            <x v="0"/>
          </reference>
          <reference field="3" count="1" selected="0">
            <x v="244"/>
          </reference>
        </references>
      </pivotArea>
    </chartFormat>
    <chartFormat chart="1" format="51">
      <pivotArea type="data" outline="0" fieldPosition="0">
        <references count="2">
          <reference field="4294967294" count="1" selected="0">
            <x v="0"/>
          </reference>
          <reference field="3" count="1" selected="0">
            <x v="94"/>
          </reference>
        </references>
      </pivotArea>
    </chartFormat>
    <chartFormat chart="1" format="52">
      <pivotArea type="data" outline="0" fieldPosition="0">
        <references count="2">
          <reference field="4294967294" count="1" selected="0">
            <x v="0"/>
          </reference>
          <reference field="3" count="1" selected="0">
            <x v="255"/>
          </reference>
        </references>
      </pivotArea>
    </chartFormat>
    <chartFormat chart="1" format="53">
      <pivotArea type="data" outline="0" fieldPosition="0">
        <references count="2">
          <reference field="4294967294" count="1" selected="0">
            <x v="0"/>
          </reference>
          <reference field="3" count="1" selected="0">
            <x v="480"/>
          </reference>
        </references>
      </pivotArea>
    </chartFormat>
    <chartFormat chart="1" format="54">
      <pivotArea type="data" outline="0" fieldPosition="0">
        <references count="2">
          <reference field="4294967294" count="1" selected="0">
            <x v="0"/>
          </reference>
          <reference field="3" count="1" selected="0">
            <x v="388"/>
          </reference>
        </references>
      </pivotArea>
    </chartFormat>
    <chartFormat chart="1" format="55">
      <pivotArea type="data" outline="0" fieldPosition="0">
        <references count="2">
          <reference field="4294967294" count="1" selected="0">
            <x v="0"/>
          </reference>
          <reference field="3" count="1" selected="0">
            <x v="452"/>
          </reference>
        </references>
      </pivotArea>
    </chartFormat>
    <chartFormat chart="1" format="56">
      <pivotArea type="data" outline="0" fieldPosition="0">
        <references count="2">
          <reference field="4294967294" count="1" selected="0">
            <x v="0"/>
          </reference>
          <reference field="3" count="1" selected="0">
            <x v="89"/>
          </reference>
        </references>
      </pivotArea>
    </chartFormat>
    <chartFormat chart="1" format="57">
      <pivotArea type="data" outline="0" fieldPosition="0">
        <references count="2">
          <reference field="4294967294" count="1" selected="0">
            <x v="0"/>
          </reference>
          <reference field="3" count="1" selected="0">
            <x v="379"/>
          </reference>
        </references>
      </pivotArea>
    </chartFormat>
    <chartFormat chart="1" format="58">
      <pivotArea type="data" outline="0" fieldPosition="0">
        <references count="2">
          <reference field="4294967294" count="1" selected="0">
            <x v="0"/>
          </reference>
          <reference field="3" count="1" selected="0">
            <x v="496"/>
          </reference>
        </references>
      </pivotArea>
    </chartFormat>
    <chartFormat chart="1" format="59">
      <pivotArea type="data" outline="0" fieldPosition="0">
        <references count="2">
          <reference field="4294967294" count="1" selected="0">
            <x v="0"/>
          </reference>
          <reference field="3" count="1" selected="0">
            <x v="351"/>
          </reference>
        </references>
      </pivotArea>
    </chartFormat>
    <chartFormat chart="1" format="60">
      <pivotArea type="data" outline="0" fieldPosition="0">
        <references count="2">
          <reference field="4294967294" count="1" selected="0">
            <x v="0"/>
          </reference>
          <reference field="3" count="1" selected="0">
            <x v="427"/>
          </reference>
        </references>
      </pivotArea>
    </chartFormat>
    <chartFormat chart="1" format="61">
      <pivotArea type="data" outline="0" fieldPosition="0">
        <references count="2">
          <reference field="4294967294" count="1" selected="0">
            <x v="0"/>
          </reference>
          <reference field="3" count="1" selected="0">
            <x v="406"/>
          </reference>
        </references>
      </pivotArea>
    </chartFormat>
    <chartFormat chart="1" format="62">
      <pivotArea type="data" outline="0" fieldPosition="0">
        <references count="2">
          <reference field="4294967294" count="1" selected="0">
            <x v="0"/>
          </reference>
          <reference field="3" count="1" selected="0">
            <x v="479"/>
          </reference>
        </references>
      </pivotArea>
    </chartFormat>
    <chartFormat chart="1" format="63">
      <pivotArea type="data" outline="0" fieldPosition="0">
        <references count="2">
          <reference field="4294967294" count="1" selected="0">
            <x v="0"/>
          </reference>
          <reference field="3" count="1" selected="0">
            <x v="17"/>
          </reference>
        </references>
      </pivotArea>
    </chartFormat>
    <chartFormat chart="1" format="64">
      <pivotArea type="data" outline="0" fieldPosition="0">
        <references count="2">
          <reference field="4294967294" count="1" selected="0">
            <x v="0"/>
          </reference>
          <reference field="3" count="1" selected="0">
            <x v="61"/>
          </reference>
        </references>
      </pivotArea>
    </chartFormat>
    <chartFormat chart="1" format="65">
      <pivotArea type="data" outline="0" fieldPosition="0">
        <references count="2">
          <reference field="4294967294" count="1" selected="0">
            <x v="0"/>
          </reference>
          <reference field="3" count="1" selected="0">
            <x v="177"/>
          </reference>
        </references>
      </pivotArea>
    </chartFormat>
    <chartFormat chart="1" format="66">
      <pivotArea type="data" outline="0" fieldPosition="0">
        <references count="2">
          <reference field="4294967294" count="1" selected="0">
            <x v="0"/>
          </reference>
          <reference field="3" count="1" selected="0">
            <x v="494"/>
          </reference>
        </references>
      </pivotArea>
    </chartFormat>
    <chartFormat chart="1" format="67">
      <pivotArea type="data" outline="0" fieldPosition="0">
        <references count="2">
          <reference field="4294967294" count="1" selected="0">
            <x v="0"/>
          </reference>
          <reference field="3" count="1" selected="0">
            <x v="174"/>
          </reference>
        </references>
      </pivotArea>
    </chartFormat>
    <chartFormat chart="1" format="68">
      <pivotArea type="data" outline="0" fieldPosition="0">
        <references count="2">
          <reference field="4294967294" count="1" selected="0">
            <x v="0"/>
          </reference>
          <reference field="3" count="1" selected="0">
            <x v="453"/>
          </reference>
        </references>
      </pivotArea>
    </chartFormat>
    <chartFormat chart="1" format="69">
      <pivotArea type="data" outline="0" fieldPosition="0">
        <references count="2">
          <reference field="4294967294" count="1" selected="0">
            <x v="0"/>
          </reference>
          <reference field="3" count="1" selected="0">
            <x v="489"/>
          </reference>
        </references>
      </pivotArea>
    </chartFormat>
    <chartFormat chart="1" format="70">
      <pivotArea type="data" outline="0" fieldPosition="0">
        <references count="2">
          <reference field="4294967294" count="1" selected="0">
            <x v="0"/>
          </reference>
          <reference field="3" count="1" selected="0">
            <x v="22"/>
          </reference>
        </references>
      </pivotArea>
    </chartFormat>
    <chartFormat chart="1" format="71">
      <pivotArea type="data" outline="0" fieldPosition="0">
        <references count="2">
          <reference field="4294967294" count="1" selected="0">
            <x v="0"/>
          </reference>
          <reference field="3" count="1" selected="0">
            <x v="383"/>
          </reference>
        </references>
      </pivotArea>
    </chartFormat>
    <chartFormat chart="1" format="72">
      <pivotArea type="data" outline="0" fieldPosition="0">
        <references count="2">
          <reference field="4294967294" count="1" selected="0">
            <x v="0"/>
          </reference>
          <reference field="3" count="1" selected="0">
            <x v="194"/>
          </reference>
        </references>
      </pivotArea>
    </chartFormat>
    <chartFormat chart="1" format="73">
      <pivotArea type="data" outline="0" fieldPosition="0">
        <references count="2">
          <reference field="4294967294" count="1" selected="0">
            <x v="0"/>
          </reference>
          <reference field="3" count="1" selected="0">
            <x v="430"/>
          </reference>
        </references>
      </pivotArea>
    </chartFormat>
    <chartFormat chart="1" format="74">
      <pivotArea type="data" outline="0" fieldPosition="0">
        <references count="2">
          <reference field="4294967294" count="1" selected="0">
            <x v="0"/>
          </reference>
          <reference field="3" count="1" selected="0">
            <x v="157"/>
          </reference>
        </references>
      </pivotArea>
    </chartFormat>
    <chartFormat chart="1" format="75">
      <pivotArea type="data" outline="0" fieldPosition="0">
        <references count="2">
          <reference field="4294967294" count="1" selected="0">
            <x v="0"/>
          </reference>
          <reference field="3" count="1" selected="0">
            <x v="108"/>
          </reference>
        </references>
      </pivotArea>
    </chartFormat>
    <chartFormat chart="1" format="76">
      <pivotArea type="data" outline="0" fieldPosition="0">
        <references count="2">
          <reference field="4294967294" count="1" selected="0">
            <x v="0"/>
          </reference>
          <reference field="3" count="1" selected="0">
            <x v="422"/>
          </reference>
        </references>
      </pivotArea>
    </chartFormat>
    <chartFormat chart="1" format="77">
      <pivotArea type="data" outline="0" fieldPosition="0">
        <references count="2">
          <reference field="4294967294" count="1" selected="0">
            <x v="0"/>
          </reference>
          <reference field="3" count="1" selected="0">
            <x v="304"/>
          </reference>
        </references>
      </pivotArea>
    </chartFormat>
    <chartFormat chart="1" format="78">
      <pivotArea type="data" outline="0" fieldPosition="0">
        <references count="2">
          <reference field="4294967294" count="1" selected="0">
            <x v="0"/>
          </reference>
          <reference field="3" count="1" selected="0">
            <x v="196"/>
          </reference>
        </references>
      </pivotArea>
    </chartFormat>
    <chartFormat chart="1" format="79">
      <pivotArea type="data" outline="0" fieldPosition="0">
        <references count="2">
          <reference field="4294967294" count="1" selected="0">
            <x v="0"/>
          </reference>
          <reference field="3" count="1" selected="0">
            <x v="145"/>
          </reference>
        </references>
      </pivotArea>
    </chartFormat>
    <chartFormat chart="1" format="80">
      <pivotArea type="data" outline="0" fieldPosition="0">
        <references count="2">
          <reference field="4294967294" count="1" selected="0">
            <x v="0"/>
          </reference>
          <reference field="3" count="1" selected="0">
            <x v="85"/>
          </reference>
        </references>
      </pivotArea>
    </chartFormat>
    <chartFormat chart="1" format="81">
      <pivotArea type="data" outline="0" fieldPosition="0">
        <references count="2">
          <reference field="4294967294" count="1" selected="0">
            <x v="0"/>
          </reference>
          <reference field="3" count="1" selected="0">
            <x v="363"/>
          </reference>
        </references>
      </pivotArea>
    </chartFormat>
    <chartFormat chart="1" format="82">
      <pivotArea type="data" outline="0" fieldPosition="0">
        <references count="2">
          <reference field="4294967294" count="1" selected="0">
            <x v="0"/>
          </reference>
          <reference field="3" count="1" selected="0">
            <x v="91"/>
          </reference>
        </references>
      </pivotArea>
    </chartFormat>
    <chartFormat chart="1" format="83">
      <pivotArea type="data" outline="0" fieldPosition="0">
        <references count="2">
          <reference field="4294967294" count="1" selected="0">
            <x v="0"/>
          </reference>
          <reference field="3" count="1" selected="0">
            <x v="263"/>
          </reference>
        </references>
      </pivotArea>
    </chartFormat>
    <chartFormat chart="1" format="84">
      <pivotArea type="data" outline="0" fieldPosition="0">
        <references count="2">
          <reference field="4294967294" count="1" selected="0">
            <x v="0"/>
          </reference>
          <reference field="3" count="1" selected="0">
            <x v="233"/>
          </reference>
        </references>
      </pivotArea>
    </chartFormat>
    <chartFormat chart="1" format="85">
      <pivotArea type="data" outline="0" fieldPosition="0">
        <references count="2">
          <reference field="4294967294" count="1" selected="0">
            <x v="0"/>
          </reference>
          <reference field="3" count="1" selected="0">
            <x v="456"/>
          </reference>
        </references>
      </pivotArea>
    </chartFormat>
    <chartFormat chart="1" format="86">
      <pivotArea type="data" outline="0" fieldPosition="0">
        <references count="2">
          <reference field="4294967294" count="1" selected="0">
            <x v="0"/>
          </reference>
          <reference field="3" count="1" selected="0">
            <x v="311"/>
          </reference>
        </references>
      </pivotArea>
    </chartFormat>
    <chartFormat chart="1" format="87">
      <pivotArea type="data" outline="0" fieldPosition="0">
        <references count="2">
          <reference field="4294967294" count="1" selected="0">
            <x v="0"/>
          </reference>
          <reference field="3" count="1" selected="0">
            <x v="273"/>
          </reference>
        </references>
      </pivotArea>
    </chartFormat>
    <chartFormat chart="1" format="88">
      <pivotArea type="data" outline="0" fieldPosition="0">
        <references count="2">
          <reference field="4294967294" count="1" selected="0">
            <x v="0"/>
          </reference>
          <reference field="3" count="1" selected="0">
            <x v="373"/>
          </reference>
        </references>
      </pivotArea>
    </chartFormat>
    <chartFormat chart="1" format="89">
      <pivotArea type="data" outline="0" fieldPosition="0">
        <references count="2">
          <reference field="4294967294" count="1" selected="0">
            <x v="0"/>
          </reference>
          <reference field="3" count="1" selected="0">
            <x v="154"/>
          </reference>
        </references>
      </pivotArea>
    </chartFormat>
    <chartFormat chart="1" format="90">
      <pivotArea type="data" outline="0" fieldPosition="0">
        <references count="2">
          <reference field="4294967294" count="1" selected="0">
            <x v="0"/>
          </reference>
          <reference field="3" count="1" selected="0">
            <x v="312"/>
          </reference>
        </references>
      </pivotArea>
    </chartFormat>
    <chartFormat chart="1" format="91">
      <pivotArea type="data" outline="0" fieldPosition="0">
        <references count="2">
          <reference field="4294967294" count="1" selected="0">
            <x v="0"/>
          </reference>
          <reference field="3" count="1" selected="0">
            <x v="395"/>
          </reference>
        </references>
      </pivotArea>
    </chartFormat>
    <chartFormat chart="1" format="92">
      <pivotArea type="data" outline="0" fieldPosition="0">
        <references count="2">
          <reference field="4294967294" count="1" selected="0">
            <x v="0"/>
          </reference>
          <reference field="3" count="1" selected="0">
            <x v="241"/>
          </reference>
        </references>
      </pivotArea>
    </chartFormat>
    <chartFormat chart="1" format="93">
      <pivotArea type="data" outline="0" fieldPosition="0">
        <references count="2">
          <reference field="4294967294" count="1" selected="0">
            <x v="0"/>
          </reference>
          <reference field="3" count="1" selected="0">
            <x v="485"/>
          </reference>
        </references>
      </pivotArea>
    </chartFormat>
    <chartFormat chart="1" format="94">
      <pivotArea type="data" outline="0" fieldPosition="0">
        <references count="2">
          <reference field="4294967294" count="1" selected="0">
            <x v="0"/>
          </reference>
          <reference field="3" count="1" selected="0">
            <x v="470"/>
          </reference>
        </references>
      </pivotArea>
    </chartFormat>
    <chartFormat chart="1" format="95">
      <pivotArea type="data" outline="0" fieldPosition="0">
        <references count="2">
          <reference field="4294967294" count="1" selected="0">
            <x v="0"/>
          </reference>
          <reference field="3" count="1" selected="0">
            <x v="35"/>
          </reference>
        </references>
      </pivotArea>
    </chartFormat>
    <chartFormat chart="1" format="96">
      <pivotArea type="data" outline="0" fieldPosition="0">
        <references count="2">
          <reference field="4294967294" count="1" selected="0">
            <x v="0"/>
          </reference>
          <reference field="3" count="1" selected="0">
            <x v="51"/>
          </reference>
        </references>
      </pivotArea>
    </chartFormat>
    <chartFormat chart="1" format="97">
      <pivotArea type="data" outline="0" fieldPosition="0">
        <references count="2">
          <reference field="4294967294" count="1" selected="0">
            <x v="0"/>
          </reference>
          <reference field="3" count="1" selected="0">
            <x v="370"/>
          </reference>
        </references>
      </pivotArea>
    </chartFormat>
    <chartFormat chart="1" format="98">
      <pivotArea type="data" outline="0" fieldPosition="0">
        <references count="2">
          <reference field="4294967294" count="1" selected="0">
            <x v="0"/>
          </reference>
          <reference field="3" count="1" selected="0">
            <x v="187"/>
          </reference>
        </references>
      </pivotArea>
    </chartFormat>
    <chartFormat chart="1" format="99">
      <pivotArea type="data" outline="0" fieldPosition="0">
        <references count="2">
          <reference field="4294967294" count="1" selected="0">
            <x v="0"/>
          </reference>
          <reference field="3" count="1" selected="0">
            <x v="55"/>
          </reference>
        </references>
      </pivotArea>
    </chartFormat>
    <chartFormat chart="1" format="100">
      <pivotArea type="data" outline="0" fieldPosition="0">
        <references count="2">
          <reference field="4294967294" count="1" selected="0">
            <x v="0"/>
          </reference>
          <reference field="3" count="1" selected="0">
            <x v="374"/>
          </reference>
        </references>
      </pivotArea>
    </chartFormat>
    <chartFormat chart="1" format="101">
      <pivotArea type="data" outline="0" fieldPosition="0">
        <references count="2">
          <reference field="4294967294" count="1" selected="0">
            <x v="0"/>
          </reference>
          <reference field="3" count="1" selected="0">
            <x v="249"/>
          </reference>
        </references>
      </pivotArea>
    </chartFormat>
    <chartFormat chart="1" format="102">
      <pivotArea type="data" outline="0" fieldPosition="0">
        <references count="2">
          <reference field="4294967294" count="1" selected="0">
            <x v="0"/>
          </reference>
          <reference field="3" count="1" selected="0">
            <x v="104"/>
          </reference>
        </references>
      </pivotArea>
    </chartFormat>
    <chartFormat chart="1" format="103">
      <pivotArea type="data" outline="0" fieldPosition="0">
        <references count="2">
          <reference field="4294967294" count="1" selected="0">
            <x v="0"/>
          </reference>
          <reference field="3" count="1" selected="0">
            <x v="179"/>
          </reference>
        </references>
      </pivotArea>
    </chartFormat>
    <chartFormat chart="1" format="104">
      <pivotArea type="data" outline="0" fieldPosition="0">
        <references count="2">
          <reference field="4294967294" count="1" selected="0">
            <x v="0"/>
          </reference>
          <reference field="3" count="1" selected="0">
            <x v="160"/>
          </reference>
        </references>
      </pivotArea>
    </chartFormat>
    <chartFormat chart="1" format="105">
      <pivotArea type="data" outline="0" fieldPosition="0">
        <references count="2">
          <reference field="4294967294" count="1" selected="0">
            <x v="0"/>
          </reference>
          <reference field="3" count="1" selected="0">
            <x v="31"/>
          </reference>
        </references>
      </pivotArea>
    </chartFormat>
    <chartFormat chart="1" format="106">
      <pivotArea type="data" outline="0" fieldPosition="0">
        <references count="2">
          <reference field="4294967294" count="1" selected="0">
            <x v="0"/>
          </reference>
          <reference field="3" count="1" selected="0">
            <x v="78"/>
          </reference>
        </references>
      </pivotArea>
    </chartFormat>
    <chartFormat chart="1" format="107">
      <pivotArea type="data" outline="0" fieldPosition="0">
        <references count="2">
          <reference field="4294967294" count="1" selected="0">
            <x v="0"/>
          </reference>
          <reference field="3" count="1" selected="0">
            <x v="98"/>
          </reference>
        </references>
      </pivotArea>
    </chartFormat>
    <chartFormat chart="1" format="108">
      <pivotArea type="data" outline="0" fieldPosition="0">
        <references count="2">
          <reference field="4294967294" count="1" selected="0">
            <x v="0"/>
          </reference>
          <reference field="3" count="1" selected="0">
            <x v="34"/>
          </reference>
        </references>
      </pivotArea>
    </chartFormat>
    <chartFormat chart="1" format="109">
      <pivotArea type="data" outline="0" fieldPosition="0">
        <references count="2">
          <reference field="4294967294" count="1" selected="0">
            <x v="0"/>
          </reference>
          <reference field="3" count="1" selected="0">
            <x v="306"/>
          </reference>
        </references>
      </pivotArea>
    </chartFormat>
    <chartFormat chart="1" format="110">
      <pivotArea type="data" outline="0" fieldPosition="0">
        <references count="2">
          <reference field="4294967294" count="1" selected="0">
            <x v="0"/>
          </reference>
          <reference field="3" count="1" selected="0">
            <x v="246"/>
          </reference>
        </references>
      </pivotArea>
    </chartFormat>
    <chartFormat chart="1" format="111">
      <pivotArea type="data" outline="0" fieldPosition="0">
        <references count="2">
          <reference field="4294967294" count="1" selected="0">
            <x v="0"/>
          </reference>
          <reference field="3" count="1" selected="0">
            <x v="137"/>
          </reference>
        </references>
      </pivotArea>
    </chartFormat>
    <chartFormat chart="1" format="112">
      <pivotArea type="data" outline="0" fieldPosition="0">
        <references count="2">
          <reference field="4294967294" count="1" selected="0">
            <x v="0"/>
          </reference>
          <reference field="3" count="1" selected="0">
            <x v="416"/>
          </reference>
        </references>
      </pivotArea>
    </chartFormat>
    <chartFormat chart="1" format="113">
      <pivotArea type="data" outline="0" fieldPosition="0">
        <references count="2">
          <reference field="4294967294" count="1" selected="0">
            <x v="0"/>
          </reference>
          <reference field="3" count="1" selected="0">
            <x v="275"/>
          </reference>
        </references>
      </pivotArea>
    </chartFormat>
    <chartFormat chart="1" format="114">
      <pivotArea type="data" outline="0" fieldPosition="0">
        <references count="2">
          <reference field="4294967294" count="1" selected="0">
            <x v="0"/>
          </reference>
          <reference field="3" count="1" selected="0">
            <x v="80"/>
          </reference>
        </references>
      </pivotArea>
    </chartFormat>
    <chartFormat chart="1" format="115">
      <pivotArea type="data" outline="0" fieldPosition="0">
        <references count="2">
          <reference field="4294967294" count="1" selected="0">
            <x v="0"/>
          </reference>
          <reference field="3" count="1" selected="0">
            <x v="171"/>
          </reference>
        </references>
      </pivotArea>
    </chartFormat>
    <chartFormat chart="1" format="116">
      <pivotArea type="data" outline="0" fieldPosition="0">
        <references count="2">
          <reference field="4294967294" count="1" selected="0">
            <x v="0"/>
          </reference>
          <reference field="3" count="1" selected="0">
            <x v="440"/>
          </reference>
        </references>
      </pivotArea>
    </chartFormat>
    <chartFormat chart="1" format="117">
      <pivotArea type="data" outline="0" fieldPosition="0">
        <references count="2">
          <reference field="4294967294" count="1" selected="0">
            <x v="0"/>
          </reference>
          <reference field="3" count="1" selected="0">
            <x v="142"/>
          </reference>
        </references>
      </pivotArea>
    </chartFormat>
    <chartFormat chart="1" format="118">
      <pivotArea type="data" outline="0" fieldPosition="0">
        <references count="2">
          <reference field="4294967294" count="1" selected="0">
            <x v="0"/>
          </reference>
          <reference field="3" count="1" selected="0">
            <x v="418"/>
          </reference>
        </references>
      </pivotArea>
    </chartFormat>
    <chartFormat chart="1" format="119">
      <pivotArea type="data" outline="0" fieldPosition="0">
        <references count="2">
          <reference field="4294967294" count="1" selected="0">
            <x v="0"/>
          </reference>
          <reference field="3" count="1" selected="0">
            <x v="118"/>
          </reference>
        </references>
      </pivotArea>
    </chartFormat>
    <chartFormat chart="1" format="120">
      <pivotArea type="data" outline="0" fieldPosition="0">
        <references count="2">
          <reference field="4294967294" count="1" selected="0">
            <x v="0"/>
          </reference>
          <reference field="3" count="1" selected="0">
            <x v="317"/>
          </reference>
        </references>
      </pivotArea>
    </chartFormat>
    <chartFormat chart="1" format="121">
      <pivotArea type="data" outline="0" fieldPosition="0">
        <references count="2">
          <reference field="4294967294" count="1" selected="0">
            <x v="0"/>
          </reference>
          <reference field="3" count="1" selected="0">
            <x v="482"/>
          </reference>
        </references>
      </pivotArea>
    </chartFormat>
    <chartFormat chart="1" format="122">
      <pivotArea type="data" outline="0" fieldPosition="0">
        <references count="2">
          <reference field="4294967294" count="1" selected="0">
            <x v="0"/>
          </reference>
          <reference field="3" count="1" selected="0">
            <x v="429"/>
          </reference>
        </references>
      </pivotArea>
    </chartFormat>
    <chartFormat chart="1" format="123">
      <pivotArea type="data" outline="0" fieldPosition="0">
        <references count="2">
          <reference field="4294967294" count="1" selected="0">
            <x v="0"/>
          </reference>
          <reference field="3" count="1" selected="0">
            <x v="58"/>
          </reference>
        </references>
      </pivotArea>
    </chartFormat>
    <chartFormat chart="1" format="124">
      <pivotArea type="data" outline="0" fieldPosition="0">
        <references count="2">
          <reference field="4294967294" count="1" selected="0">
            <x v="0"/>
          </reference>
          <reference field="3" count="1" selected="0">
            <x v="437"/>
          </reference>
        </references>
      </pivotArea>
    </chartFormat>
    <chartFormat chart="1" format="125">
      <pivotArea type="data" outline="0" fieldPosition="0">
        <references count="2">
          <reference field="4294967294" count="1" selected="0">
            <x v="0"/>
          </reference>
          <reference field="3" count="1" selected="0">
            <x v="357"/>
          </reference>
        </references>
      </pivotArea>
    </chartFormat>
    <chartFormat chart="1" format="126">
      <pivotArea type="data" outline="0" fieldPosition="0">
        <references count="2">
          <reference field="4294967294" count="1" selected="0">
            <x v="0"/>
          </reference>
          <reference field="3" count="1" selected="0">
            <x v="136"/>
          </reference>
        </references>
      </pivotArea>
    </chartFormat>
    <chartFormat chart="1" format="127">
      <pivotArea type="data" outline="0" fieldPosition="0">
        <references count="2">
          <reference field="4294967294" count="1" selected="0">
            <x v="0"/>
          </reference>
          <reference field="3" count="1" selected="0">
            <x v="254"/>
          </reference>
        </references>
      </pivotArea>
    </chartFormat>
    <chartFormat chart="1" format="128">
      <pivotArea type="data" outline="0" fieldPosition="0">
        <references count="2">
          <reference field="4294967294" count="1" selected="0">
            <x v="0"/>
          </reference>
          <reference field="3" count="1" selected="0">
            <x v="120"/>
          </reference>
        </references>
      </pivotArea>
    </chartFormat>
    <chartFormat chart="1" format="129">
      <pivotArea type="data" outline="0" fieldPosition="0">
        <references count="2">
          <reference field="4294967294" count="1" selected="0">
            <x v="0"/>
          </reference>
          <reference field="3" count="1" selected="0">
            <x v="200"/>
          </reference>
        </references>
      </pivotArea>
    </chartFormat>
    <chartFormat chart="1" format="130">
      <pivotArea type="data" outline="0" fieldPosition="0">
        <references count="2">
          <reference field="4294967294" count="1" selected="0">
            <x v="0"/>
          </reference>
          <reference field="3" count="1" selected="0">
            <x v="37"/>
          </reference>
        </references>
      </pivotArea>
    </chartFormat>
    <chartFormat chart="1" format="131">
      <pivotArea type="data" outline="0" fieldPosition="0">
        <references count="2">
          <reference field="4294967294" count="1" selected="0">
            <x v="0"/>
          </reference>
          <reference field="3" count="1" selected="0">
            <x v="106"/>
          </reference>
        </references>
      </pivotArea>
    </chartFormat>
    <chartFormat chart="1" format="132">
      <pivotArea type="data" outline="0" fieldPosition="0">
        <references count="2">
          <reference field="4294967294" count="1" selected="0">
            <x v="0"/>
          </reference>
          <reference field="3" count="1" selected="0">
            <x v="262"/>
          </reference>
        </references>
      </pivotArea>
    </chartFormat>
    <chartFormat chart="1" format="133">
      <pivotArea type="data" outline="0" fieldPosition="0">
        <references count="2">
          <reference field="4294967294" count="1" selected="0">
            <x v="0"/>
          </reference>
          <reference field="3" count="1" selected="0">
            <x v="165"/>
          </reference>
        </references>
      </pivotArea>
    </chartFormat>
    <chartFormat chart="1" format="134">
      <pivotArea type="data" outline="0" fieldPosition="0">
        <references count="2">
          <reference field="4294967294" count="1" selected="0">
            <x v="0"/>
          </reference>
          <reference field="3" count="1" selected="0">
            <x v="32"/>
          </reference>
        </references>
      </pivotArea>
    </chartFormat>
    <chartFormat chart="1" format="135">
      <pivotArea type="data" outline="0" fieldPosition="0">
        <references count="2">
          <reference field="4294967294" count="1" selected="0">
            <x v="0"/>
          </reference>
          <reference field="3" count="1" selected="0">
            <x v="245"/>
          </reference>
        </references>
      </pivotArea>
    </chartFormat>
    <chartFormat chart="1" format="136">
      <pivotArea type="data" outline="0" fieldPosition="0">
        <references count="2">
          <reference field="4294967294" count="1" selected="0">
            <x v="0"/>
          </reference>
          <reference field="3" count="1" selected="0">
            <x v="307"/>
          </reference>
        </references>
      </pivotArea>
    </chartFormat>
    <chartFormat chart="1" format="137">
      <pivotArea type="data" outline="0" fieldPosition="0">
        <references count="2">
          <reference field="4294967294" count="1" selected="0">
            <x v="0"/>
          </reference>
          <reference field="3" count="1" selected="0">
            <x v="124"/>
          </reference>
        </references>
      </pivotArea>
    </chartFormat>
    <chartFormat chart="1" format="138">
      <pivotArea type="data" outline="0" fieldPosition="0">
        <references count="2">
          <reference field="4294967294" count="1" selected="0">
            <x v="0"/>
          </reference>
          <reference field="3" count="1" selected="0">
            <x v="232"/>
          </reference>
        </references>
      </pivotArea>
    </chartFormat>
    <chartFormat chart="1" format="139">
      <pivotArea type="data" outline="0" fieldPosition="0">
        <references count="2">
          <reference field="4294967294" count="1" selected="0">
            <x v="0"/>
          </reference>
          <reference field="3" count="1" selected="0">
            <x v="483"/>
          </reference>
        </references>
      </pivotArea>
    </chartFormat>
    <chartFormat chart="1" format="140">
      <pivotArea type="data" outline="0" fieldPosition="0">
        <references count="2">
          <reference field="4294967294" count="1" selected="0">
            <x v="0"/>
          </reference>
          <reference field="3" count="1" selected="0">
            <x v="367"/>
          </reference>
        </references>
      </pivotArea>
    </chartFormat>
    <chartFormat chart="1" format="141">
      <pivotArea type="data" outline="0" fieldPosition="0">
        <references count="2">
          <reference field="4294967294" count="1" selected="0">
            <x v="0"/>
          </reference>
          <reference field="3" count="1" selected="0">
            <x v="462"/>
          </reference>
        </references>
      </pivotArea>
    </chartFormat>
    <chartFormat chart="1" format="142">
      <pivotArea type="data" outline="0" fieldPosition="0">
        <references count="2">
          <reference field="4294967294" count="1" selected="0">
            <x v="0"/>
          </reference>
          <reference field="3" count="1" selected="0">
            <x v="381"/>
          </reference>
        </references>
      </pivotArea>
    </chartFormat>
    <chartFormat chart="1" format="143">
      <pivotArea type="data" outline="0" fieldPosition="0">
        <references count="2">
          <reference field="4294967294" count="1" selected="0">
            <x v="0"/>
          </reference>
          <reference field="3" count="1" selected="0">
            <x v="261"/>
          </reference>
        </references>
      </pivotArea>
    </chartFormat>
    <chartFormat chart="1" format="144">
      <pivotArea type="data" outline="0" fieldPosition="0">
        <references count="2">
          <reference field="4294967294" count="1" selected="0">
            <x v="0"/>
          </reference>
          <reference field="3" count="1" selected="0">
            <x v="409"/>
          </reference>
        </references>
      </pivotArea>
    </chartFormat>
    <chartFormat chart="1" format="145">
      <pivotArea type="data" outline="0" fieldPosition="0">
        <references count="2">
          <reference field="4294967294" count="1" selected="0">
            <x v="0"/>
          </reference>
          <reference field="3" count="1" selected="0">
            <x v="368"/>
          </reference>
        </references>
      </pivotArea>
    </chartFormat>
    <chartFormat chart="1" format="146">
      <pivotArea type="data" outline="0" fieldPosition="0">
        <references count="2">
          <reference field="4294967294" count="1" selected="0">
            <x v="0"/>
          </reference>
          <reference field="3" count="1" selected="0">
            <x v="101"/>
          </reference>
        </references>
      </pivotArea>
    </chartFormat>
    <chartFormat chart="1" format="147">
      <pivotArea type="data" outline="0" fieldPosition="0">
        <references count="2">
          <reference field="4294967294" count="1" selected="0">
            <x v="0"/>
          </reference>
          <reference field="3" count="1" selected="0">
            <x v="278"/>
          </reference>
        </references>
      </pivotArea>
    </chartFormat>
    <chartFormat chart="1" format="148">
      <pivotArea type="data" outline="0" fieldPosition="0">
        <references count="2">
          <reference field="4294967294" count="1" selected="0">
            <x v="0"/>
          </reference>
          <reference field="3" count="1" selected="0">
            <x v="259"/>
          </reference>
        </references>
      </pivotArea>
    </chartFormat>
    <chartFormat chart="1" format="149">
      <pivotArea type="data" outline="0" fieldPosition="0">
        <references count="2">
          <reference field="4294967294" count="1" selected="0">
            <x v="0"/>
          </reference>
          <reference field="3" count="1" selected="0">
            <x v="121"/>
          </reference>
        </references>
      </pivotArea>
    </chartFormat>
    <chartFormat chart="1" format="150">
      <pivotArea type="data" outline="0" fieldPosition="0">
        <references count="2">
          <reference field="4294967294" count="1" selected="0">
            <x v="0"/>
          </reference>
          <reference field="3" count="1" selected="0">
            <x v="361"/>
          </reference>
        </references>
      </pivotArea>
    </chartFormat>
    <chartFormat chart="1" format="151">
      <pivotArea type="data" outline="0" fieldPosition="0">
        <references count="2">
          <reference field="4294967294" count="1" selected="0">
            <x v="0"/>
          </reference>
          <reference field="3" count="1" selected="0">
            <x v="438"/>
          </reference>
        </references>
      </pivotArea>
    </chartFormat>
    <chartFormat chart="1" format="152">
      <pivotArea type="data" outline="0" fieldPosition="0">
        <references count="2">
          <reference field="4294967294" count="1" selected="0">
            <x v="0"/>
          </reference>
          <reference field="3" count="1" selected="0">
            <x v="270"/>
          </reference>
        </references>
      </pivotArea>
    </chartFormat>
    <chartFormat chart="1" format="153">
      <pivotArea type="data" outline="0" fieldPosition="0">
        <references count="2">
          <reference field="4294967294" count="1" selected="0">
            <x v="0"/>
          </reference>
          <reference field="3" count="1" selected="0">
            <x v="305"/>
          </reference>
        </references>
      </pivotArea>
    </chartFormat>
    <chartFormat chart="1" format="154">
      <pivotArea type="data" outline="0" fieldPosition="0">
        <references count="2">
          <reference field="4294967294" count="1" selected="0">
            <x v="0"/>
          </reference>
          <reference field="3" count="1" selected="0">
            <x v="220"/>
          </reference>
        </references>
      </pivotArea>
    </chartFormat>
    <chartFormat chart="1" format="155">
      <pivotArea type="data" outline="0" fieldPosition="0">
        <references count="2">
          <reference field="4294967294" count="1" selected="0">
            <x v="0"/>
          </reference>
          <reference field="3" count="1" selected="0">
            <x v="286"/>
          </reference>
        </references>
      </pivotArea>
    </chartFormat>
    <chartFormat chart="1" format="156">
      <pivotArea type="data" outline="0" fieldPosition="0">
        <references count="2">
          <reference field="4294967294" count="1" selected="0">
            <x v="0"/>
          </reference>
          <reference field="3" count="1" selected="0">
            <x v="16"/>
          </reference>
        </references>
      </pivotArea>
    </chartFormat>
    <chartFormat chart="1" format="157">
      <pivotArea type="data" outline="0" fieldPosition="0">
        <references count="2">
          <reference field="4294967294" count="1" selected="0">
            <x v="0"/>
          </reference>
          <reference field="3" count="1" selected="0">
            <x v="57"/>
          </reference>
        </references>
      </pivotArea>
    </chartFormat>
    <chartFormat chart="1" format="158">
      <pivotArea type="data" outline="0" fieldPosition="0">
        <references count="2">
          <reference field="4294967294" count="1" selected="0">
            <x v="0"/>
          </reference>
          <reference field="3" count="1" selected="0">
            <x v="181"/>
          </reference>
        </references>
      </pivotArea>
    </chartFormat>
    <chartFormat chart="1" format="159">
      <pivotArea type="data" outline="0" fieldPosition="0">
        <references count="2">
          <reference field="4294967294" count="1" selected="0">
            <x v="0"/>
          </reference>
          <reference field="3" count="1" selected="0">
            <x v="467"/>
          </reference>
        </references>
      </pivotArea>
    </chartFormat>
    <chartFormat chart="1" format="160">
      <pivotArea type="data" outline="0" fieldPosition="0">
        <references count="2">
          <reference field="4294967294" count="1" selected="0">
            <x v="0"/>
          </reference>
          <reference field="3" count="1" selected="0">
            <x v="134"/>
          </reference>
        </references>
      </pivotArea>
    </chartFormat>
    <chartFormat chart="1" format="161">
      <pivotArea type="data" outline="0" fieldPosition="0">
        <references count="2">
          <reference field="4294967294" count="1" selected="0">
            <x v="0"/>
          </reference>
          <reference field="3" count="1" selected="0">
            <x v="81"/>
          </reference>
        </references>
      </pivotArea>
    </chartFormat>
    <chartFormat chart="1" format="162">
      <pivotArea type="data" outline="0" fieldPosition="0">
        <references count="2">
          <reference field="4294967294" count="1" selected="0">
            <x v="0"/>
          </reference>
          <reference field="3" count="1" selected="0">
            <x v="347"/>
          </reference>
        </references>
      </pivotArea>
    </chartFormat>
    <chartFormat chart="1" format="163">
      <pivotArea type="data" outline="0" fieldPosition="0">
        <references count="2">
          <reference field="4294967294" count="1" selected="0">
            <x v="0"/>
          </reference>
          <reference field="3" count="1" selected="0">
            <x v="420"/>
          </reference>
        </references>
      </pivotArea>
    </chartFormat>
    <chartFormat chart="1" format="164">
      <pivotArea type="data" outline="0" fieldPosition="0">
        <references count="2">
          <reference field="4294967294" count="1" selected="0">
            <x v="0"/>
          </reference>
          <reference field="3" count="1" selected="0">
            <x v="167"/>
          </reference>
        </references>
      </pivotArea>
    </chartFormat>
    <chartFormat chart="1" format="165">
      <pivotArea type="data" outline="0" fieldPosition="0">
        <references count="2">
          <reference field="4294967294" count="1" selected="0">
            <x v="0"/>
          </reference>
          <reference field="3" count="1" selected="0">
            <x v="112"/>
          </reference>
        </references>
      </pivotArea>
    </chartFormat>
    <chartFormat chart="1" format="166">
      <pivotArea type="data" outline="0" fieldPosition="0">
        <references count="2">
          <reference field="4294967294" count="1" selected="0">
            <x v="0"/>
          </reference>
          <reference field="3" count="1" selected="0">
            <x v="442"/>
          </reference>
        </references>
      </pivotArea>
    </chartFormat>
    <chartFormat chart="1" format="167">
      <pivotArea type="data" outline="0" fieldPosition="0">
        <references count="2">
          <reference field="4294967294" count="1" selected="0">
            <x v="0"/>
          </reference>
          <reference field="3" count="1" selected="0">
            <x v="277"/>
          </reference>
        </references>
      </pivotArea>
    </chartFormat>
    <chartFormat chart="1" format="168">
      <pivotArea type="data" outline="0" fieldPosition="0">
        <references count="2">
          <reference field="4294967294" count="1" selected="0">
            <x v="0"/>
          </reference>
          <reference field="3" count="1" selected="0">
            <x v="204"/>
          </reference>
        </references>
      </pivotArea>
    </chartFormat>
    <chartFormat chart="1" format="169">
      <pivotArea type="data" outline="0" fieldPosition="0">
        <references count="2">
          <reference field="4294967294" count="1" selected="0">
            <x v="0"/>
          </reference>
          <reference field="3" count="1" selected="0">
            <x v="378"/>
          </reference>
        </references>
      </pivotArea>
    </chartFormat>
    <chartFormat chart="1" format="170">
      <pivotArea type="data" outline="0" fieldPosition="0">
        <references count="2">
          <reference field="4294967294" count="1" selected="0">
            <x v="0"/>
          </reference>
          <reference field="3" count="1" selected="0">
            <x v="48"/>
          </reference>
        </references>
      </pivotArea>
    </chartFormat>
    <chartFormat chart="1" format="171">
      <pivotArea type="data" outline="0" fieldPosition="0">
        <references count="2">
          <reference field="4294967294" count="1" selected="0">
            <x v="0"/>
          </reference>
          <reference field="3" count="1" selected="0">
            <x v="477"/>
          </reference>
        </references>
      </pivotArea>
    </chartFormat>
    <chartFormat chart="1" format="172">
      <pivotArea type="data" outline="0" fieldPosition="0">
        <references count="2">
          <reference field="4294967294" count="1" selected="0">
            <x v="0"/>
          </reference>
          <reference field="3" count="1" selected="0">
            <x v="148"/>
          </reference>
        </references>
      </pivotArea>
    </chartFormat>
    <chartFormat chart="1" format="173">
      <pivotArea type="data" outline="0" fieldPosition="0">
        <references count="2">
          <reference field="4294967294" count="1" selected="0">
            <x v="0"/>
          </reference>
          <reference field="3" count="1" selected="0">
            <x v="186"/>
          </reference>
        </references>
      </pivotArea>
    </chartFormat>
    <chartFormat chart="1" format="174">
      <pivotArea type="data" outline="0" fieldPosition="0">
        <references count="2">
          <reference field="4294967294" count="1" selected="0">
            <x v="0"/>
          </reference>
          <reference field="3" count="1" selected="0">
            <x v="352"/>
          </reference>
        </references>
      </pivotArea>
    </chartFormat>
    <chartFormat chart="1" format="175">
      <pivotArea type="data" outline="0" fieldPosition="0">
        <references count="2">
          <reference field="4294967294" count="1" selected="0">
            <x v="0"/>
          </reference>
          <reference field="3" count="1" selected="0">
            <x v="258"/>
          </reference>
        </references>
      </pivotArea>
    </chartFormat>
    <chartFormat chart="1" format="176">
      <pivotArea type="data" outline="0" fieldPosition="0">
        <references count="2">
          <reference field="4294967294" count="1" selected="0">
            <x v="0"/>
          </reference>
          <reference field="3" count="1" selected="0">
            <x v="414"/>
          </reference>
        </references>
      </pivotArea>
    </chartFormat>
    <chartFormat chart="1" format="177">
      <pivotArea type="data" outline="0" fieldPosition="0">
        <references count="2">
          <reference field="4294967294" count="1" selected="0">
            <x v="0"/>
          </reference>
          <reference field="3" count="1" selected="0">
            <x v="13"/>
          </reference>
        </references>
      </pivotArea>
    </chartFormat>
    <chartFormat chart="1" format="178">
      <pivotArea type="data" outline="0" fieldPosition="0">
        <references count="2">
          <reference field="4294967294" count="1" selected="0">
            <x v="0"/>
          </reference>
          <reference field="3" count="1" selected="0">
            <x v="314"/>
          </reference>
        </references>
      </pivotArea>
    </chartFormat>
    <chartFormat chart="1" format="179">
      <pivotArea type="data" outline="0" fieldPosition="0">
        <references count="2">
          <reference field="4294967294" count="1" selected="0">
            <x v="0"/>
          </reference>
          <reference field="3" count="1" selected="0">
            <x v="93"/>
          </reference>
        </references>
      </pivotArea>
    </chartFormat>
    <chartFormat chart="1" format="180">
      <pivotArea type="data" outline="0" fieldPosition="0">
        <references count="2">
          <reference field="4294967294" count="1" selected="0">
            <x v="0"/>
          </reference>
          <reference field="3" count="1" selected="0">
            <x v="432"/>
          </reference>
        </references>
      </pivotArea>
    </chartFormat>
    <chartFormat chart="1" format="181">
      <pivotArea type="data" outline="0" fieldPosition="0">
        <references count="2">
          <reference field="4294967294" count="1" selected="0">
            <x v="0"/>
          </reference>
          <reference field="3" count="1" selected="0">
            <x v="296"/>
          </reference>
        </references>
      </pivotArea>
    </chartFormat>
    <chartFormat chart="1" format="182">
      <pivotArea type="data" outline="0" fieldPosition="0">
        <references count="2">
          <reference field="4294967294" count="1" selected="0">
            <x v="0"/>
          </reference>
          <reference field="3" count="1" selected="0">
            <x v="386"/>
          </reference>
        </references>
      </pivotArea>
    </chartFormat>
    <chartFormat chart="1" format="183">
      <pivotArea type="data" outline="0" fieldPosition="0">
        <references count="2">
          <reference field="4294967294" count="1" selected="0">
            <x v="0"/>
          </reference>
          <reference field="3" count="1" selected="0">
            <x v="358"/>
          </reference>
        </references>
      </pivotArea>
    </chartFormat>
    <chartFormat chart="1" format="184">
      <pivotArea type="data" outline="0" fieldPosition="0">
        <references count="2">
          <reference field="4294967294" count="1" selected="0">
            <x v="0"/>
          </reference>
          <reference field="3" count="1" selected="0">
            <x v="231"/>
          </reference>
        </references>
      </pivotArea>
    </chartFormat>
    <chartFormat chart="1" format="185">
      <pivotArea type="data" outline="0" fieldPosition="0">
        <references count="2">
          <reference field="4294967294" count="1" selected="0">
            <x v="0"/>
          </reference>
          <reference field="3" count="1" selected="0">
            <x v="169"/>
          </reference>
        </references>
      </pivotArea>
    </chartFormat>
    <chartFormat chart="1" format="186">
      <pivotArea type="data" outline="0" fieldPosition="0">
        <references count="2">
          <reference field="4294967294" count="1" selected="0">
            <x v="0"/>
          </reference>
          <reference field="3" count="1" selected="0">
            <x v="446"/>
          </reference>
        </references>
      </pivotArea>
    </chartFormat>
    <chartFormat chart="1" format="187">
      <pivotArea type="data" outline="0" fieldPosition="0">
        <references count="2">
          <reference field="4294967294" count="1" selected="0">
            <x v="0"/>
          </reference>
          <reference field="3" count="1" selected="0">
            <x v="158"/>
          </reference>
        </references>
      </pivotArea>
    </chartFormat>
    <chartFormat chart="1" format="188">
      <pivotArea type="data" outline="0" fieldPosition="0">
        <references count="2">
          <reference field="4294967294" count="1" selected="0">
            <x v="0"/>
          </reference>
          <reference field="3" count="1" selected="0">
            <x v="415"/>
          </reference>
        </references>
      </pivotArea>
    </chartFormat>
    <chartFormat chart="1" format="189">
      <pivotArea type="data" outline="0" fieldPosition="0">
        <references count="2">
          <reference field="4294967294" count="1" selected="0">
            <x v="0"/>
          </reference>
          <reference field="3" count="1" selected="0">
            <x v="333"/>
          </reference>
        </references>
      </pivotArea>
    </chartFormat>
    <chartFormat chart="1" format="190">
      <pivotArea type="data" outline="0" fieldPosition="0">
        <references count="2">
          <reference field="4294967294" count="1" selected="0">
            <x v="0"/>
          </reference>
          <reference field="3" count="1" selected="0">
            <x v="488"/>
          </reference>
        </references>
      </pivotArea>
    </chartFormat>
    <chartFormat chart="1" format="191">
      <pivotArea type="data" outline="0" fieldPosition="0">
        <references count="2">
          <reference field="4294967294" count="1" selected="0">
            <x v="0"/>
          </reference>
          <reference field="3" count="1" selected="0">
            <x v="7"/>
          </reference>
        </references>
      </pivotArea>
    </chartFormat>
    <chartFormat chart="1" format="192">
      <pivotArea type="data" outline="0" fieldPosition="0">
        <references count="2">
          <reference field="4294967294" count="1" selected="0">
            <x v="0"/>
          </reference>
          <reference field="3" count="1" selected="0">
            <x v="455"/>
          </reference>
        </references>
      </pivotArea>
    </chartFormat>
    <chartFormat chart="1" format="193">
      <pivotArea type="data" outline="0" fieldPosition="0">
        <references count="2">
          <reference field="4294967294" count="1" selected="0">
            <x v="0"/>
          </reference>
          <reference field="3" count="1" selected="0">
            <x v="132"/>
          </reference>
        </references>
      </pivotArea>
    </chartFormat>
    <chartFormat chart="1" format="194">
      <pivotArea type="data" outline="0" fieldPosition="0">
        <references count="2">
          <reference field="4294967294" count="1" selected="0">
            <x v="0"/>
          </reference>
          <reference field="3" count="1" selected="0">
            <x v="217"/>
          </reference>
        </references>
      </pivotArea>
    </chartFormat>
    <chartFormat chart="1" format="195">
      <pivotArea type="data" outline="0" fieldPosition="0">
        <references count="2">
          <reference field="4294967294" count="1" selected="0">
            <x v="0"/>
          </reference>
          <reference field="3" count="1" selected="0">
            <x v="20"/>
          </reference>
        </references>
      </pivotArea>
    </chartFormat>
    <chartFormat chart="1" format="196">
      <pivotArea type="data" outline="0" fieldPosition="0">
        <references count="2">
          <reference field="4294967294" count="1" selected="0">
            <x v="0"/>
          </reference>
          <reference field="3" count="1" selected="0">
            <x v="11"/>
          </reference>
        </references>
      </pivotArea>
    </chartFormat>
    <chartFormat chart="1" format="197">
      <pivotArea type="data" outline="0" fieldPosition="0">
        <references count="2">
          <reference field="4294967294" count="1" selected="0">
            <x v="0"/>
          </reference>
          <reference field="3" count="1" selected="0">
            <x v="362"/>
          </reference>
        </references>
      </pivotArea>
    </chartFormat>
    <chartFormat chart="1" format="198">
      <pivotArea type="data" outline="0" fieldPosition="0">
        <references count="2">
          <reference field="4294967294" count="1" selected="0">
            <x v="0"/>
          </reference>
          <reference field="3" count="1" selected="0">
            <x v="400"/>
          </reference>
        </references>
      </pivotArea>
    </chartFormat>
    <chartFormat chart="1" format="199">
      <pivotArea type="data" outline="0" fieldPosition="0">
        <references count="2">
          <reference field="4294967294" count="1" selected="0">
            <x v="0"/>
          </reference>
          <reference field="3" count="1" selected="0">
            <x v="178"/>
          </reference>
        </references>
      </pivotArea>
    </chartFormat>
    <chartFormat chart="1" format="200">
      <pivotArea type="data" outline="0" fieldPosition="0">
        <references count="2">
          <reference field="4294967294" count="1" selected="0">
            <x v="0"/>
          </reference>
          <reference field="3" count="1" selected="0">
            <x v="14"/>
          </reference>
        </references>
      </pivotArea>
    </chartFormat>
    <chartFormat chart="1" format="201">
      <pivotArea type="data" outline="0" fieldPosition="0">
        <references count="2">
          <reference field="4294967294" count="1" selected="0">
            <x v="0"/>
          </reference>
          <reference field="3" count="1" selected="0">
            <x v="398"/>
          </reference>
        </references>
      </pivotArea>
    </chartFormat>
    <chartFormat chart="1" format="202">
      <pivotArea type="data" outline="0" fieldPosition="0">
        <references count="2">
          <reference field="4294967294" count="1" selected="0">
            <x v="0"/>
          </reference>
          <reference field="3" count="1" selected="0">
            <x v="41"/>
          </reference>
        </references>
      </pivotArea>
    </chartFormat>
    <chartFormat chart="1" format="203">
      <pivotArea type="data" outline="0" fieldPosition="0">
        <references count="2">
          <reference field="4294967294" count="1" selected="0">
            <x v="0"/>
          </reference>
          <reference field="3" count="1" selected="0">
            <x v="24"/>
          </reference>
        </references>
      </pivotArea>
    </chartFormat>
    <chartFormat chart="1" format="204">
      <pivotArea type="data" outline="0" fieldPosition="0">
        <references count="2">
          <reference field="4294967294" count="1" selected="0">
            <x v="0"/>
          </reference>
          <reference field="3" count="1" selected="0">
            <x v="115"/>
          </reference>
        </references>
      </pivotArea>
    </chartFormat>
    <chartFormat chart="1" format="205">
      <pivotArea type="data" outline="0" fieldPosition="0">
        <references count="2">
          <reference field="4294967294" count="1" selected="0">
            <x v="0"/>
          </reference>
          <reference field="3" count="1" selected="0">
            <x v="285"/>
          </reference>
        </references>
      </pivotArea>
    </chartFormat>
    <chartFormat chart="1" format="206">
      <pivotArea type="data" outline="0" fieldPosition="0">
        <references count="2">
          <reference field="4294967294" count="1" selected="0">
            <x v="0"/>
          </reference>
          <reference field="3" count="1" selected="0">
            <x v="404"/>
          </reference>
        </references>
      </pivotArea>
    </chartFormat>
    <chartFormat chart="1" format="207">
      <pivotArea type="data" outline="0" fieldPosition="0">
        <references count="2">
          <reference field="4294967294" count="1" selected="0">
            <x v="0"/>
          </reference>
          <reference field="3" count="1" selected="0">
            <x v="172"/>
          </reference>
        </references>
      </pivotArea>
    </chartFormat>
    <chartFormat chart="1" format="208">
      <pivotArea type="data" outline="0" fieldPosition="0">
        <references count="2">
          <reference field="4294967294" count="1" selected="0">
            <x v="0"/>
          </reference>
          <reference field="3" count="1" selected="0">
            <x v="302"/>
          </reference>
        </references>
      </pivotArea>
    </chartFormat>
    <chartFormat chart="1" format="209">
      <pivotArea type="data" outline="0" fieldPosition="0">
        <references count="2">
          <reference field="4294967294" count="1" selected="0">
            <x v="0"/>
          </reference>
          <reference field="3" count="1" selected="0">
            <x v="392"/>
          </reference>
        </references>
      </pivotArea>
    </chartFormat>
    <chartFormat chart="1" format="210">
      <pivotArea type="data" outline="0" fieldPosition="0">
        <references count="2">
          <reference field="4294967294" count="1" selected="0">
            <x v="0"/>
          </reference>
          <reference field="3" count="1" selected="0">
            <x v="297"/>
          </reference>
        </references>
      </pivotArea>
    </chartFormat>
    <chartFormat chart="1" format="211">
      <pivotArea type="data" outline="0" fieldPosition="0">
        <references count="2">
          <reference field="4294967294" count="1" selected="0">
            <x v="0"/>
          </reference>
          <reference field="3" count="1" selected="0">
            <x v="149"/>
          </reference>
        </references>
      </pivotArea>
    </chartFormat>
    <chartFormat chart="1" format="212">
      <pivotArea type="data" outline="0" fieldPosition="0">
        <references count="2">
          <reference field="4294967294" count="1" selected="0">
            <x v="0"/>
          </reference>
          <reference field="3" count="1" selected="0">
            <x v="299"/>
          </reference>
        </references>
      </pivotArea>
    </chartFormat>
    <chartFormat chart="1" format="213">
      <pivotArea type="data" outline="0" fieldPosition="0">
        <references count="2">
          <reference field="4294967294" count="1" selected="0">
            <x v="0"/>
          </reference>
          <reference field="3" count="1" selected="0">
            <x v="377"/>
          </reference>
        </references>
      </pivotArea>
    </chartFormat>
    <chartFormat chart="1" format="214">
      <pivotArea type="data" outline="0" fieldPosition="0">
        <references count="2">
          <reference field="4294967294" count="1" selected="0">
            <x v="0"/>
          </reference>
          <reference field="3" count="1" selected="0">
            <x v="369"/>
          </reference>
        </references>
      </pivotArea>
    </chartFormat>
    <chartFormat chart="1" format="215">
      <pivotArea type="data" outline="0" fieldPosition="0">
        <references count="2">
          <reference field="4294967294" count="1" selected="0">
            <x v="0"/>
          </reference>
          <reference field="3" count="1" selected="0">
            <x v="382"/>
          </reference>
        </references>
      </pivotArea>
    </chartFormat>
    <chartFormat chart="1" format="216">
      <pivotArea type="data" outline="0" fieldPosition="0">
        <references count="2">
          <reference field="4294967294" count="1" selected="0">
            <x v="0"/>
          </reference>
          <reference field="3" count="1" selected="0">
            <x v="45"/>
          </reference>
        </references>
      </pivotArea>
    </chartFormat>
    <chartFormat chart="1" format="217">
      <pivotArea type="data" outline="0" fieldPosition="0">
        <references count="2">
          <reference field="4294967294" count="1" selected="0">
            <x v="0"/>
          </reference>
          <reference field="3" count="1" selected="0">
            <x v="439"/>
          </reference>
        </references>
      </pivotArea>
    </chartFormat>
    <chartFormat chart="1" format="218">
      <pivotArea type="data" outline="0" fieldPosition="0">
        <references count="2">
          <reference field="4294967294" count="1" selected="0">
            <x v="0"/>
          </reference>
          <reference field="3" count="1" selected="0">
            <x v="66"/>
          </reference>
        </references>
      </pivotArea>
    </chartFormat>
    <chartFormat chart="1" format="219">
      <pivotArea type="data" outline="0" fieldPosition="0">
        <references count="2">
          <reference field="4294967294" count="1" selected="0">
            <x v="0"/>
          </reference>
          <reference field="3" count="1" selected="0">
            <x v="421"/>
          </reference>
        </references>
      </pivotArea>
    </chartFormat>
    <chartFormat chart="1" format="220">
      <pivotArea type="data" outline="0" fieldPosition="0">
        <references count="2">
          <reference field="4294967294" count="1" selected="0">
            <x v="0"/>
          </reference>
          <reference field="3" count="1" selected="0">
            <x v="295"/>
          </reference>
        </references>
      </pivotArea>
    </chartFormat>
    <chartFormat chart="1" format="221">
      <pivotArea type="data" outline="0" fieldPosition="0">
        <references count="2">
          <reference field="4294967294" count="1" selected="0">
            <x v="0"/>
          </reference>
          <reference field="3" count="1" selected="0">
            <x v="92"/>
          </reference>
        </references>
      </pivotArea>
    </chartFormat>
    <chartFormat chart="1" format="222">
      <pivotArea type="data" outline="0" fieldPosition="0">
        <references count="2">
          <reference field="4294967294" count="1" selected="0">
            <x v="0"/>
          </reference>
          <reference field="3" count="1" selected="0">
            <x v="202"/>
          </reference>
        </references>
      </pivotArea>
    </chartFormat>
    <chartFormat chart="1" format="223">
      <pivotArea type="data" outline="0" fieldPosition="0">
        <references count="2">
          <reference field="4294967294" count="1" selected="0">
            <x v="0"/>
          </reference>
          <reference field="3" count="1" selected="0">
            <x v="1"/>
          </reference>
        </references>
      </pivotArea>
    </chartFormat>
    <chartFormat chart="1" format="224">
      <pivotArea type="data" outline="0" fieldPosition="0">
        <references count="2">
          <reference field="4294967294" count="1" selected="0">
            <x v="0"/>
          </reference>
          <reference field="3" count="1" selected="0">
            <x v="97"/>
          </reference>
        </references>
      </pivotArea>
    </chartFormat>
    <chartFormat chart="1" format="225">
      <pivotArea type="data" outline="0" fieldPosition="0">
        <references count="2">
          <reference field="4294967294" count="1" selected="0">
            <x v="0"/>
          </reference>
          <reference field="3" count="1" selected="0">
            <x v="12"/>
          </reference>
        </references>
      </pivotArea>
    </chartFormat>
    <chartFormat chart="1" format="226">
      <pivotArea type="data" outline="0" fieldPosition="0">
        <references count="2">
          <reference field="4294967294" count="1" selected="0">
            <x v="0"/>
          </reference>
          <reference field="3" count="1" selected="0">
            <x v="460"/>
          </reference>
        </references>
      </pivotArea>
    </chartFormat>
    <chartFormat chart="1" format="227">
      <pivotArea type="data" outline="0" fieldPosition="0">
        <references count="2">
          <reference field="4294967294" count="1" selected="0">
            <x v="0"/>
          </reference>
          <reference field="3" count="1" selected="0">
            <x v="159"/>
          </reference>
        </references>
      </pivotArea>
    </chartFormat>
    <chartFormat chart="1" format="228">
      <pivotArea type="data" outline="0" fieldPosition="0">
        <references count="2">
          <reference field="4294967294" count="1" selected="0">
            <x v="0"/>
          </reference>
          <reference field="3" count="1" selected="0">
            <x v="176"/>
          </reference>
        </references>
      </pivotArea>
    </chartFormat>
    <chartFormat chart="1" format="229">
      <pivotArea type="data" outline="0" fieldPosition="0">
        <references count="2">
          <reference field="4294967294" count="1" selected="0">
            <x v="0"/>
          </reference>
          <reference field="3" count="1" selected="0">
            <x v="208"/>
          </reference>
        </references>
      </pivotArea>
    </chartFormat>
    <chartFormat chart="1" format="230">
      <pivotArea type="data" outline="0" fieldPosition="0">
        <references count="2">
          <reference field="4294967294" count="1" selected="0">
            <x v="0"/>
          </reference>
          <reference field="3" count="1" selected="0">
            <x v="88"/>
          </reference>
        </references>
      </pivotArea>
    </chartFormat>
    <chartFormat chart="1" format="231">
      <pivotArea type="data" outline="0" fieldPosition="0">
        <references count="2">
          <reference field="4294967294" count="1" selected="0">
            <x v="0"/>
          </reference>
          <reference field="3" count="1" selected="0">
            <x v="344"/>
          </reference>
        </references>
      </pivotArea>
    </chartFormat>
    <chartFormat chart="1" format="232">
      <pivotArea type="data" outline="0" fieldPosition="0">
        <references count="2">
          <reference field="4294967294" count="1" selected="0">
            <x v="0"/>
          </reference>
          <reference field="3" count="1" selected="0">
            <x v="356"/>
          </reference>
        </references>
      </pivotArea>
    </chartFormat>
    <chartFormat chart="1" format="233">
      <pivotArea type="data" outline="0" fieldPosition="0">
        <references count="2">
          <reference field="4294967294" count="1" selected="0">
            <x v="0"/>
          </reference>
          <reference field="3" count="1" selected="0">
            <x v="332"/>
          </reference>
        </references>
      </pivotArea>
    </chartFormat>
    <chartFormat chart="1" format="234">
      <pivotArea type="data" outline="0" fieldPosition="0">
        <references count="2">
          <reference field="4294967294" count="1" selected="0">
            <x v="0"/>
          </reference>
          <reference field="3" count="1" selected="0">
            <x v="290"/>
          </reference>
        </references>
      </pivotArea>
    </chartFormat>
    <chartFormat chart="1" format="235">
      <pivotArea type="data" outline="0" fieldPosition="0">
        <references count="2">
          <reference field="4294967294" count="1" selected="0">
            <x v="0"/>
          </reference>
          <reference field="3" count="1" selected="0">
            <x v="126"/>
          </reference>
        </references>
      </pivotArea>
    </chartFormat>
    <chartFormat chart="1" format="236">
      <pivotArea type="data" outline="0" fieldPosition="0">
        <references count="2">
          <reference field="4294967294" count="1" selected="0">
            <x v="0"/>
          </reference>
          <reference field="3" count="1" selected="0">
            <x v="348"/>
          </reference>
        </references>
      </pivotArea>
    </chartFormat>
    <chartFormat chart="1" format="237">
      <pivotArea type="data" outline="0" fieldPosition="0">
        <references count="2">
          <reference field="4294967294" count="1" selected="0">
            <x v="0"/>
          </reference>
          <reference field="3" count="1" selected="0">
            <x v="198"/>
          </reference>
        </references>
      </pivotArea>
    </chartFormat>
    <chartFormat chart="1" format="238">
      <pivotArea type="data" outline="0" fieldPosition="0">
        <references count="2">
          <reference field="4294967294" count="1" selected="0">
            <x v="0"/>
          </reference>
          <reference field="3" count="1" selected="0">
            <x v="279"/>
          </reference>
        </references>
      </pivotArea>
    </chartFormat>
    <chartFormat chart="1" format="239">
      <pivotArea type="data" outline="0" fieldPosition="0">
        <references count="2">
          <reference field="4294967294" count="1" selected="0">
            <x v="0"/>
          </reference>
          <reference field="3" count="1" selected="0">
            <x v="6"/>
          </reference>
        </references>
      </pivotArea>
    </chartFormat>
    <chartFormat chart="1" format="240">
      <pivotArea type="data" outline="0" fieldPosition="0">
        <references count="2">
          <reference field="4294967294" count="1" selected="0">
            <x v="0"/>
          </reference>
          <reference field="3" count="1" selected="0">
            <x v="82"/>
          </reference>
        </references>
      </pivotArea>
    </chartFormat>
    <chartFormat chart="1" format="241">
      <pivotArea type="data" outline="0" fieldPosition="0">
        <references count="2">
          <reference field="4294967294" count="1" selected="0">
            <x v="0"/>
          </reference>
          <reference field="3" count="1" selected="0">
            <x v="346"/>
          </reference>
        </references>
      </pivotArea>
    </chartFormat>
    <chartFormat chart="1" format="242">
      <pivotArea type="data" outline="0" fieldPosition="0">
        <references count="2">
          <reference field="4294967294" count="1" selected="0">
            <x v="0"/>
          </reference>
          <reference field="3" count="1" selected="0">
            <x v="150"/>
          </reference>
        </references>
      </pivotArea>
    </chartFormat>
    <chartFormat chart="1" format="243">
      <pivotArea type="data" outline="0" fieldPosition="0">
        <references count="2">
          <reference field="4294967294" count="1" selected="0">
            <x v="0"/>
          </reference>
          <reference field="3" count="1" selected="0">
            <x v="143"/>
          </reference>
        </references>
      </pivotArea>
    </chartFormat>
    <chartFormat chart="1" format="244">
      <pivotArea type="data" outline="0" fieldPosition="0">
        <references count="2">
          <reference field="4294967294" count="1" selected="0">
            <x v="0"/>
          </reference>
          <reference field="3" count="1" selected="0">
            <x v="338"/>
          </reference>
        </references>
      </pivotArea>
    </chartFormat>
    <chartFormat chart="1" format="245">
      <pivotArea type="data" outline="0" fieldPosition="0">
        <references count="2">
          <reference field="4294967294" count="1" selected="0">
            <x v="0"/>
          </reference>
          <reference field="3" count="1" selected="0">
            <x v="71"/>
          </reference>
        </references>
      </pivotArea>
    </chartFormat>
    <chartFormat chart="1" format="246">
      <pivotArea type="data" outline="0" fieldPosition="0">
        <references count="2">
          <reference field="4294967294" count="1" selected="0">
            <x v="0"/>
          </reference>
          <reference field="3" count="1" selected="0">
            <x v="364"/>
          </reference>
        </references>
      </pivotArea>
    </chartFormat>
    <chartFormat chart="1" format="247">
      <pivotArea type="data" outline="0" fieldPosition="0">
        <references count="2">
          <reference field="4294967294" count="1" selected="0">
            <x v="0"/>
          </reference>
          <reference field="3" count="1" selected="0">
            <x v="461"/>
          </reference>
        </references>
      </pivotArea>
    </chartFormat>
    <chartFormat chart="1" format="248">
      <pivotArea type="data" outline="0" fieldPosition="0">
        <references count="2">
          <reference field="4294967294" count="1" selected="0">
            <x v="0"/>
          </reference>
          <reference field="3" count="1" selected="0">
            <x v="215"/>
          </reference>
        </references>
      </pivotArea>
    </chartFormat>
    <chartFormat chart="1" format="249">
      <pivotArea type="data" outline="0" fieldPosition="0">
        <references count="2">
          <reference field="4294967294" count="1" selected="0">
            <x v="0"/>
          </reference>
          <reference field="3" count="1" selected="0">
            <x v="474"/>
          </reference>
        </references>
      </pivotArea>
    </chartFormat>
    <chartFormat chart="1" format="250">
      <pivotArea type="data" outline="0" fieldPosition="0">
        <references count="2">
          <reference field="4294967294" count="1" selected="0">
            <x v="0"/>
          </reference>
          <reference field="3" count="1" selected="0">
            <x v="77"/>
          </reference>
        </references>
      </pivotArea>
    </chartFormat>
    <chartFormat chart="1" format="251">
      <pivotArea type="data" outline="0" fieldPosition="0">
        <references count="2">
          <reference field="4294967294" count="1" selected="0">
            <x v="0"/>
          </reference>
          <reference field="3" count="1" selected="0">
            <x v="444"/>
          </reference>
        </references>
      </pivotArea>
    </chartFormat>
    <chartFormat chart="1" format="252">
      <pivotArea type="data" outline="0" fieldPosition="0">
        <references count="2">
          <reference field="4294967294" count="1" selected="0">
            <x v="0"/>
          </reference>
          <reference field="3" count="1" selected="0">
            <x v="229"/>
          </reference>
        </references>
      </pivotArea>
    </chartFormat>
    <chartFormat chart="1" format="253">
      <pivotArea type="data" outline="0" fieldPosition="0">
        <references count="2">
          <reference field="4294967294" count="1" selected="0">
            <x v="0"/>
          </reference>
          <reference field="3" count="1" selected="0">
            <x v="318"/>
          </reference>
        </references>
      </pivotArea>
    </chartFormat>
    <chartFormat chart="1" format="254">
      <pivotArea type="data" outline="0" fieldPosition="0">
        <references count="2">
          <reference field="4294967294" count="1" selected="0">
            <x v="0"/>
          </reference>
          <reference field="3" count="1" selected="0">
            <x v="117"/>
          </reference>
        </references>
      </pivotArea>
    </chartFormat>
    <chartFormat chart="1" format="255">
      <pivotArea type="data" outline="0" fieldPosition="0">
        <references count="2">
          <reference field="4294967294" count="1" selected="0">
            <x v="0"/>
          </reference>
          <reference field="3" count="1" selected="0">
            <x v="342"/>
          </reference>
        </references>
      </pivotArea>
    </chartFormat>
    <chartFormat chart="1" format="256">
      <pivotArea type="data" outline="0" fieldPosition="0">
        <references count="2">
          <reference field="4294967294" count="1" selected="0">
            <x v="0"/>
          </reference>
          <reference field="3" count="1" selected="0">
            <x v="411"/>
          </reference>
        </references>
      </pivotArea>
    </chartFormat>
    <chartFormat chart="1" format="257">
      <pivotArea type="data" outline="0" fieldPosition="0">
        <references count="2">
          <reference field="4294967294" count="1" selected="0">
            <x v="0"/>
          </reference>
          <reference field="3" count="1" selected="0">
            <x v="402"/>
          </reference>
        </references>
      </pivotArea>
    </chartFormat>
    <chartFormat chart="1" format="258">
      <pivotArea type="data" outline="0" fieldPosition="0">
        <references count="2">
          <reference field="4294967294" count="1" selected="0">
            <x v="0"/>
          </reference>
          <reference field="3" count="1" selected="0">
            <x v="30"/>
          </reference>
        </references>
      </pivotArea>
    </chartFormat>
    <chartFormat chart="1" format="259">
      <pivotArea type="data" outline="0" fieldPosition="0">
        <references count="2">
          <reference field="4294967294" count="1" selected="0">
            <x v="0"/>
          </reference>
          <reference field="3" count="1" selected="0">
            <x v="355"/>
          </reference>
        </references>
      </pivotArea>
    </chartFormat>
    <chartFormat chart="1" format="260">
      <pivotArea type="data" outline="0" fieldPosition="0">
        <references count="2">
          <reference field="4294967294" count="1" selected="0">
            <x v="0"/>
          </reference>
          <reference field="3" count="1" selected="0">
            <x v="384"/>
          </reference>
        </references>
      </pivotArea>
    </chartFormat>
    <chartFormat chart="1" format="261">
      <pivotArea type="data" outline="0" fieldPosition="0">
        <references count="2">
          <reference field="4294967294" count="1" selected="0">
            <x v="0"/>
          </reference>
          <reference field="3" count="1" selected="0">
            <x v="72"/>
          </reference>
        </references>
      </pivotArea>
    </chartFormat>
    <chartFormat chart="1" format="262">
      <pivotArea type="data" outline="0" fieldPosition="0">
        <references count="2">
          <reference field="4294967294" count="1" selected="0">
            <x v="0"/>
          </reference>
          <reference field="3" count="1" selected="0">
            <x v="56"/>
          </reference>
        </references>
      </pivotArea>
    </chartFormat>
    <chartFormat chart="1" format="263">
      <pivotArea type="data" outline="0" fieldPosition="0">
        <references count="2">
          <reference field="4294967294" count="1" selected="0">
            <x v="0"/>
          </reference>
          <reference field="3" count="1" selected="0">
            <x v="60"/>
          </reference>
        </references>
      </pivotArea>
    </chartFormat>
    <chartFormat chart="1" format="264">
      <pivotArea type="data" outline="0" fieldPosition="0">
        <references count="2">
          <reference field="4294967294" count="1" selected="0">
            <x v="0"/>
          </reference>
          <reference field="3" count="1" selected="0">
            <x v="329"/>
          </reference>
        </references>
      </pivotArea>
    </chartFormat>
    <chartFormat chart="1" format="265">
      <pivotArea type="data" outline="0" fieldPosition="0">
        <references count="2">
          <reference field="4294967294" count="1" selected="0">
            <x v="0"/>
          </reference>
          <reference field="3" count="1" selected="0">
            <x v="170"/>
          </reference>
        </references>
      </pivotArea>
    </chartFormat>
    <chartFormat chart="1" format="266">
      <pivotArea type="data" outline="0" fieldPosition="0">
        <references count="2">
          <reference field="4294967294" count="1" selected="0">
            <x v="0"/>
          </reference>
          <reference field="3" count="1" selected="0">
            <x v="322"/>
          </reference>
        </references>
      </pivotArea>
    </chartFormat>
    <chartFormat chart="1" format="267">
      <pivotArea type="data" outline="0" fieldPosition="0">
        <references count="2">
          <reference field="4294967294" count="1" selected="0">
            <x v="0"/>
          </reference>
          <reference field="3" count="1" selected="0">
            <x v="341"/>
          </reference>
        </references>
      </pivotArea>
    </chartFormat>
    <chartFormat chart="1" format="268">
      <pivotArea type="data" outline="0" fieldPosition="0">
        <references count="2">
          <reference field="4294967294" count="1" selected="0">
            <x v="0"/>
          </reference>
          <reference field="3" count="1" selected="0">
            <x v="224"/>
          </reference>
        </references>
      </pivotArea>
    </chartFormat>
    <chartFormat chart="1" format="269">
      <pivotArea type="data" outline="0" fieldPosition="0">
        <references count="2">
          <reference field="4294967294" count="1" selected="0">
            <x v="0"/>
          </reference>
          <reference field="3" count="1" selected="0">
            <x v="47"/>
          </reference>
        </references>
      </pivotArea>
    </chartFormat>
    <chartFormat chart="1" format="270">
      <pivotArea type="data" outline="0" fieldPosition="0">
        <references count="2">
          <reference field="4294967294" count="1" selected="0">
            <x v="0"/>
          </reference>
          <reference field="3" count="1" selected="0">
            <x v="433"/>
          </reference>
        </references>
      </pivotArea>
    </chartFormat>
    <chartFormat chart="1" format="271">
      <pivotArea type="data" outline="0" fieldPosition="0">
        <references count="2">
          <reference field="4294967294" count="1" selected="0">
            <x v="0"/>
          </reference>
          <reference field="3" count="1" selected="0">
            <x v="221"/>
          </reference>
        </references>
      </pivotArea>
    </chartFormat>
    <chartFormat chart="1" format="272">
      <pivotArea type="data" outline="0" fieldPosition="0">
        <references count="2">
          <reference field="4294967294" count="1" selected="0">
            <x v="0"/>
          </reference>
          <reference field="3" count="1" selected="0">
            <x v="335"/>
          </reference>
        </references>
      </pivotArea>
    </chartFormat>
    <chartFormat chart="1" format="273">
      <pivotArea type="data" outline="0" fieldPosition="0">
        <references count="2">
          <reference field="4294967294" count="1" selected="0">
            <x v="0"/>
          </reference>
          <reference field="3" count="1" selected="0">
            <x v="59"/>
          </reference>
        </references>
      </pivotArea>
    </chartFormat>
    <chartFormat chart="1" format="274">
      <pivotArea type="data" outline="0" fieldPosition="0">
        <references count="2">
          <reference field="4294967294" count="1" selected="0">
            <x v="0"/>
          </reference>
          <reference field="3" count="1" selected="0">
            <x v="320"/>
          </reference>
        </references>
      </pivotArea>
    </chartFormat>
    <chartFormat chart="0" format="1">
      <pivotArea type="data" outline="0" fieldPosition="0">
        <references count="2">
          <reference field="4294967294" count="1" selected="0">
            <x v="0"/>
          </reference>
          <reference field="3" count="1" selected="0">
            <x v="476"/>
          </reference>
        </references>
      </pivotArea>
    </chartFormat>
    <chartFormat chart="0" format="2">
      <pivotArea type="data" outline="0" fieldPosition="0">
        <references count="2">
          <reference field="4294967294" count="1" selected="0">
            <x v="0"/>
          </reference>
          <reference field="3" count="1" selected="0">
            <x v="8"/>
          </reference>
        </references>
      </pivotArea>
    </chartFormat>
    <chartFormat chart="0" format="3">
      <pivotArea type="data" outline="0" fieldPosition="0">
        <references count="2">
          <reference field="4294967294" count="1" selected="0">
            <x v="0"/>
          </reference>
          <reference field="3" count="1" selected="0">
            <x v="343"/>
          </reference>
        </references>
      </pivotArea>
    </chartFormat>
    <chartFormat chart="0" format="4">
      <pivotArea type="data" outline="0" fieldPosition="0">
        <references count="2">
          <reference field="4294967294" count="1" selected="0">
            <x v="0"/>
          </reference>
          <reference field="3" count="1" selected="0">
            <x v="21"/>
          </reference>
        </references>
      </pivotArea>
    </chartFormat>
    <chartFormat chart="0" format="5">
      <pivotArea type="data" outline="0" fieldPosition="0">
        <references count="2">
          <reference field="4294967294" count="1" selected="0">
            <x v="0"/>
          </reference>
          <reference field="3" count="1" selected="0">
            <x v="280"/>
          </reference>
        </references>
      </pivotArea>
    </chartFormat>
    <chartFormat chart="0" format="6">
      <pivotArea type="data" outline="0" fieldPosition="0">
        <references count="2">
          <reference field="4294967294" count="1" selected="0">
            <x v="0"/>
          </reference>
          <reference field="3" count="1" selected="0">
            <x v="399"/>
          </reference>
        </references>
      </pivotArea>
    </chartFormat>
    <chartFormat chart="0" format="7">
      <pivotArea type="data" outline="0" fieldPosition="0">
        <references count="2">
          <reference field="4294967294" count="1" selected="0">
            <x v="0"/>
          </reference>
          <reference field="3" count="1" selected="0">
            <x v="394"/>
          </reference>
        </references>
      </pivotArea>
    </chartFormat>
    <chartFormat chart="0" format="8">
      <pivotArea type="data" outline="0" fieldPosition="0">
        <references count="2">
          <reference field="4294967294" count="1" selected="0">
            <x v="0"/>
          </reference>
          <reference field="3" count="1" selected="0">
            <x v="180"/>
          </reference>
        </references>
      </pivotArea>
    </chartFormat>
    <chartFormat chart="0" format="9">
      <pivotArea type="data" outline="0" fieldPosition="0">
        <references count="2">
          <reference field="4294967294" count="1" selected="0">
            <x v="0"/>
          </reference>
          <reference field="3" count="1" selected="0">
            <x v="235"/>
          </reference>
        </references>
      </pivotArea>
    </chartFormat>
    <chartFormat chart="0" format="10">
      <pivotArea type="data" outline="0" fieldPosition="0">
        <references count="2">
          <reference field="4294967294" count="1" selected="0">
            <x v="0"/>
          </reference>
          <reference field="3" count="1" selected="0">
            <x v="321"/>
          </reference>
        </references>
      </pivotArea>
    </chartFormat>
    <chartFormat chart="0" format="11">
      <pivotArea type="data" outline="0" fieldPosition="0">
        <references count="2">
          <reference field="4294967294" count="1" selected="0">
            <x v="0"/>
          </reference>
          <reference field="3" count="1" selected="0">
            <x v="139"/>
          </reference>
        </references>
      </pivotArea>
    </chartFormat>
    <chartFormat chart="0" format="12">
      <pivotArea type="data" outline="0" fieldPosition="0">
        <references count="2">
          <reference field="4294967294" count="1" selected="0">
            <x v="0"/>
          </reference>
          <reference field="3" count="1" selected="0">
            <x v="205"/>
          </reference>
        </references>
      </pivotArea>
    </chartFormat>
    <chartFormat chart="0" format="13">
      <pivotArea type="data" outline="0" fieldPosition="0">
        <references count="2">
          <reference field="4294967294" count="1" selected="0">
            <x v="0"/>
          </reference>
          <reference field="3" count="1" selected="0">
            <x v="495"/>
          </reference>
        </references>
      </pivotArea>
    </chartFormat>
    <chartFormat chart="0" format="14">
      <pivotArea type="data" outline="0" fieldPosition="0">
        <references count="2">
          <reference field="4294967294" count="1" selected="0">
            <x v="0"/>
          </reference>
          <reference field="3" count="1" selected="0">
            <x v="359"/>
          </reference>
        </references>
      </pivotArea>
    </chartFormat>
    <chartFormat chart="0" format="15">
      <pivotArea type="data" outline="0" fieldPosition="0">
        <references count="2">
          <reference field="4294967294" count="1" selected="0">
            <x v="0"/>
          </reference>
          <reference field="3" count="1" selected="0">
            <x v="203"/>
          </reference>
        </references>
      </pivotArea>
    </chartFormat>
    <chartFormat chart="0" format="16">
      <pivotArea type="data" outline="0" fieldPosition="0">
        <references count="2">
          <reference field="4294967294" count="1" selected="0">
            <x v="0"/>
          </reference>
          <reference field="3" count="1" selected="0">
            <x v="454"/>
          </reference>
        </references>
      </pivotArea>
    </chartFormat>
    <chartFormat chart="0" format="17">
      <pivotArea type="data" outline="0" fieldPosition="0">
        <references count="2">
          <reference field="4294967294" count="1" selected="0">
            <x v="0"/>
          </reference>
          <reference field="3" count="1" selected="0">
            <x v="487"/>
          </reference>
        </references>
      </pivotArea>
    </chartFormat>
    <chartFormat chart="0" format="18">
      <pivotArea type="data" outline="0" fieldPosition="0">
        <references count="2">
          <reference field="4294967294" count="1" selected="0">
            <x v="0"/>
          </reference>
          <reference field="3" count="1" selected="0">
            <x v="397"/>
          </reference>
        </references>
      </pivotArea>
    </chartFormat>
    <chartFormat chart="0" format="19">
      <pivotArea type="data" outline="0" fieldPosition="0">
        <references count="2">
          <reference field="4294967294" count="1" selected="0">
            <x v="0"/>
          </reference>
          <reference field="3" count="1" selected="0">
            <x v="486"/>
          </reference>
        </references>
      </pivotArea>
    </chartFormat>
    <chartFormat chart="0" format="20">
      <pivotArea type="data" outline="0" fieldPosition="0">
        <references count="2">
          <reference field="4294967294" count="1" selected="0">
            <x v="0"/>
          </reference>
          <reference field="3" count="1" selected="0">
            <x v="403"/>
          </reference>
        </references>
      </pivotArea>
    </chartFormat>
    <chartFormat chart="0" format="21">
      <pivotArea type="data" outline="0" fieldPosition="0">
        <references count="2">
          <reference field="4294967294" count="1" selected="0">
            <x v="0"/>
          </reference>
          <reference field="3" count="1" selected="0">
            <x v="156"/>
          </reference>
        </references>
      </pivotArea>
    </chartFormat>
    <chartFormat chart="0" format="22">
      <pivotArea type="data" outline="0" fieldPosition="0">
        <references count="2">
          <reference field="4294967294" count="1" selected="0">
            <x v="0"/>
          </reference>
          <reference field="3" count="1" selected="0">
            <x v="54"/>
          </reference>
        </references>
      </pivotArea>
    </chartFormat>
    <chartFormat chart="0" format="23">
      <pivotArea type="data" outline="0" fieldPosition="0">
        <references count="2">
          <reference field="4294967294" count="1" selected="0">
            <x v="0"/>
          </reference>
          <reference field="3" count="1" selected="0">
            <x v="182"/>
          </reference>
        </references>
      </pivotArea>
    </chartFormat>
    <chartFormat chart="0" format="24">
      <pivotArea type="data" outline="0" fieldPosition="0">
        <references count="2">
          <reference field="4294967294" count="1" selected="0">
            <x v="0"/>
          </reference>
          <reference field="3" count="1" selected="0">
            <x v="478"/>
          </reference>
        </references>
      </pivotArea>
    </chartFormat>
    <chartFormat chart="0" format="25">
      <pivotArea type="data" outline="0" fieldPosition="0">
        <references count="2">
          <reference field="4294967294" count="1" selected="0">
            <x v="0"/>
          </reference>
          <reference field="3" count="1" selected="0">
            <x v="449"/>
          </reference>
        </references>
      </pivotArea>
    </chartFormat>
    <chartFormat chart="0" format="26">
      <pivotArea type="data" outline="0" fieldPosition="0">
        <references count="2">
          <reference field="4294967294" count="1" selected="0">
            <x v="0"/>
          </reference>
          <reference field="3" count="1" selected="0">
            <x v="15"/>
          </reference>
        </references>
      </pivotArea>
    </chartFormat>
    <chartFormat chart="0" format="27">
      <pivotArea type="data" outline="0" fieldPosition="0">
        <references count="2">
          <reference field="4294967294" count="1" selected="0">
            <x v="0"/>
          </reference>
          <reference field="3" count="1" selected="0">
            <x v="193"/>
          </reference>
        </references>
      </pivotArea>
    </chartFormat>
    <chartFormat chart="0" format="28">
      <pivotArea type="data" outline="0" fieldPosition="0">
        <references count="2">
          <reference field="4294967294" count="1" selected="0">
            <x v="0"/>
          </reference>
          <reference field="3" count="1" selected="0">
            <x v="372"/>
          </reference>
        </references>
      </pivotArea>
    </chartFormat>
    <chartFormat chart="0" format="29">
      <pivotArea type="data" outline="0" fieldPosition="0">
        <references count="2">
          <reference field="4294967294" count="1" selected="0">
            <x v="0"/>
          </reference>
          <reference field="3" count="1" selected="0">
            <x v="471"/>
          </reference>
        </references>
      </pivotArea>
    </chartFormat>
    <chartFormat chart="0" format="30">
      <pivotArea type="data" outline="0" fieldPosition="0">
        <references count="2">
          <reference field="4294967294" count="1" selected="0">
            <x v="0"/>
          </reference>
          <reference field="3" count="1" selected="0">
            <x v="265"/>
          </reference>
        </references>
      </pivotArea>
    </chartFormat>
    <chartFormat chart="0" format="31">
      <pivotArea type="data" outline="0" fieldPosition="0">
        <references count="2">
          <reference field="4294967294" count="1" selected="0">
            <x v="0"/>
          </reference>
          <reference field="3" count="1" selected="0">
            <x v="366"/>
          </reference>
        </references>
      </pivotArea>
    </chartFormat>
    <chartFormat chart="0" format="32">
      <pivotArea type="data" outline="0" fieldPosition="0">
        <references count="2">
          <reference field="4294967294" count="1" selected="0">
            <x v="0"/>
          </reference>
          <reference field="3" count="1" selected="0">
            <x v="63"/>
          </reference>
        </references>
      </pivotArea>
    </chartFormat>
    <chartFormat chart="0" format="33">
      <pivotArea type="data" outline="0" fieldPosition="0">
        <references count="2">
          <reference field="4294967294" count="1" selected="0">
            <x v="0"/>
          </reference>
          <reference field="3" count="1" selected="0">
            <x v="309"/>
          </reference>
        </references>
      </pivotArea>
    </chartFormat>
    <chartFormat chart="0" format="34">
      <pivotArea type="data" outline="0" fieldPosition="0">
        <references count="2">
          <reference field="4294967294" count="1" selected="0">
            <x v="0"/>
          </reference>
          <reference field="3" count="1" selected="0">
            <x v="292"/>
          </reference>
        </references>
      </pivotArea>
    </chartFormat>
    <chartFormat chart="0" format="35">
      <pivotArea type="data" outline="0" fieldPosition="0">
        <references count="2">
          <reference field="4294967294" count="1" selected="0">
            <x v="0"/>
          </reference>
          <reference field="3" count="1" selected="0">
            <x v="326"/>
          </reference>
        </references>
      </pivotArea>
    </chartFormat>
    <chartFormat chart="0" format="36">
      <pivotArea type="data" outline="0" fieldPosition="0">
        <references count="2">
          <reference field="4294967294" count="1" selected="0">
            <x v="0"/>
          </reference>
          <reference field="3" count="1" selected="0">
            <x v="423"/>
          </reference>
        </references>
      </pivotArea>
    </chartFormat>
    <chartFormat chart="0" format="37">
      <pivotArea type="data" outline="0" fieldPosition="0">
        <references count="2">
          <reference field="4294967294" count="1" selected="0">
            <x v="0"/>
          </reference>
          <reference field="3" count="1" selected="0">
            <x v="276"/>
          </reference>
        </references>
      </pivotArea>
    </chartFormat>
    <chartFormat chart="0" format="38">
      <pivotArea type="data" outline="0" fieldPosition="0">
        <references count="2">
          <reference field="4294967294" count="1" selected="0">
            <x v="0"/>
          </reference>
          <reference field="3" count="1" selected="0">
            <x v="79"/>
          </reference>
        </references>
      </pivotArea>
    </chartFormat>
    <chartFormat chart="0" format="39">
      <pivotArea type="data" outline="0" fieldPosition="0">
        <references count="2">
          <reference field="4294967294" count="1" selected="0">
            <x v="0"/>
          </reference>
          <reference field="3" count="1" selected="0">
            <x v="210"/>
          </reference>
        </references>
      </pivotArea>
    </chartFormat>
    <chartFormat chart="0" format="40">
      <pivotArea type="data" outline="0" fieldPosition="0">
        <references count="2">
          <reference field="4294967294" count="1" selected="0">
            <x v="0"/>
          </reference>
          <reference field="3" count="1" selected="0">
            <x v="225"/>
          </reference>
        </references>
      </pivotArea>
    </chartFormat>
    <chartFormat chart="0" format="41">
      <pivotArea type="data" outline="0" fieldPosition="0">
        <references count="2">
          <reference field="4294967294" count="1" selected="0">
            <x v="0"/>
          </reference>
          <reference field="3" count="1" selected="0">
            <x v="410"/>
          </reference>
        </references>
      </pivotArea>
    </chartFormat>
    <chartFormat chart="0" format="42">
      <pivotArea type="data" outline="0" fieldPosition="0">
        <references count="2">
          <reference field="4294967294" count="1" selected="0">
            <x v="0"/>
          </reference>
          <reference field="3" count="1" selected="0">
            <x v="201"/>
          </reference>
        </references>
      </pivotArea>
    </chartFormat>
    <chartFormat chart="0" format="43">
      <pivotArea type="data" outline="0" fieldPosition="0">
        <references count="2">
          <reference field="4294967294" count="1" selected="0">
            <x v="0"/>
          </reference>
          <reference field="3" count="1" selected="0">
            <x v="281"/>
          </reference>
        </references>
      </pivotArea>
    </chartFormat>
    <chartFormat chart="0" format="44">
      <pivotArea type="data" outline="0" fieldPosition="0">
        <references count="2">
          <reference field="4294967294" count="1" selected="0">
            <x v="0"/>
          </reference>
          <reference field="3" count="1" selected="0">
            <x v="151"/>
          </reference>
        </references>
      </pivotArea>
    </chartFormat>
    <chartFormat chart="0" format="45">
      <pivotArea type="data" outline="0" fieldPosition="0">
        <references count="2">
          <reference field="4294967294" count="1" selected="0">
            <x v="0"/>
          </reference>
          <reference field="3" count="1" selected="0">
            <x v="490"/>
          </reference>
        </references>
      </pivotArea>
    </chartFormat>
    <chartFormat chart="0" format="46">
      <pivotArea type="data" outline="0" fieldPosition="0">
        <references count="2">
          <reference field="4294967294" count="1" selected="0">
            <x v="0"/>
          </reference>
          <reference field="3" count="1" selected="0">
            <x v="125"/>
          </reference>
        </references>
      </pivotArea>
    </chartFormat>
    <chartFormat chart="0" format="47">
      <pivotArea type="data" outline="0" fieldPosition="0">
        <references count="2">
          <reference field="4294967294" count="1" selected="0">
            <x v="0"/>
          </reference>
          <reference field="3" count="1" selected="0">
            <x v="450"/>
          </reference>
        </references>
      </pivotArea>
    </chartFormat>
    <chartFormat chart="0" format="48">
      <pivotArea type="data" outline="0" fieldPosition="0">
        <references count="2">
          <reference field="4294967294" count="1" selected="0">
            <x v="0"/>
          </reference>
          <reference field="3" count="1" selected="0">
            <x v="116"/>
          </reference>
        </references>
      </pivotArea>
    </chartFormat>
    <chartFormat chart="0" format="49">
      <pivotArea type="data" outline="0" fieldPosition="0">
        <references count="2">
          <reference field="4294967294" count="1" selected="0">
            <x v="0"/>
          </reference>
          <reference field="3" count="1" selected="0">
            <x v="244"/>
          </reference>
        </references>
      </pivotArea>
    </chartFormat>
    <chartFormat chart="0" format="50">
      <pivotArea type="data" outline="0" fieldPosition="0">
        <references count="2">
          <reference field="4294967294" count="1" selected="0">
            <x v="0"/>
          </reference>
          <reference field="3" count="1" selected="0">
            <x v="94"/>
          </reference>
        </references>
      </pivotArea>
    </chartFormat>
    <chartFormat chart="0" format="51">
      <pivotArea type="data" outline="0" fieldPosition="0">
        <references count="2">
          <reference field="4294967294" count="1" selected="0">
            <x v="0"/>
          </reference>
          <reference field="3" count="1" selected="0">
            <x v="255"/>
          </reference>
        </references>
      </pivotArea>
    </chartFormat>
    <chartFormat chart="0" format="52">
      <pivotArea type="data" outline="0" fieldPosition="0">
        <references count="2">
          <reference field="4294967294" count="1" selected="0">
            <x v="0"/>
          </reference>
          <reference field="3" count="1" selected="0">
            <x v="480"/>
          </reference>
        </references>
      </pivotArea>
    </chartFormat>
    <chartFormat chart="0" format="53">
      <pivotArea type="data" outline="0" fieldPosition="0">
        <references count="2">
          <reference field="4294967294" count="1" selected="0">
            <x v="0"/>
          </reference>
          <reference field="3" count="1" selected="0">
            <x v="388"/>
          </reference>
        </references>
      </pivotArea>
    </chartFormat>
    <chartFormat chart="0" format="54">
      <pivotArea type="data" outline="0" fieldPosition="0">
        <references count="2">
          <reference field="4294967294" count="1" selected="0">
            <x v="0"/>
          </reference>
          <reference field="3" count="1" selected="0">
            <x v="452"/>
          </reference>
        </references>
      </pivotArea>
    </chartFormat>
    <chartFormat chart="0" format="55">
      <pivotArea type="data" outline="0" fieldPosition="0">
        <references count="2">
          <reference field="4294967294" count="1" selected="0">
            <x v="0"/>
          </reference>
          <reference field="3" count="1" selected="0">
            <x v="89"/>
          </reference>
        </references>
      </pivotArea>
    </chartFormat>
    <chartFormat chart="0" format="56">
      <pivotArea type="data" outline="0" fieldPosition="0">
        <references count="2">
          <reference field="4294967294" count="1" selected="0">
            <x v="0"/>
          </reference>
          <reference field="3" count="1" selected="0">
            <x v="379"/>
          </reference>
        </references>
      </pivotArea>
    </chartFormat>
    <chartFormat chart="0" format="57">
      <pivotArea type="data" outline="0" fieldPosition="0">
        <references count="2">
          <reference field="4294967294" count="1" selected="0">
            <x v="0"/>
          </reference>
          <reference field="3" count="1" selected="0">
            <x v="496"/>
          </reference>
        </references>
      </pivotArea>
    </chartFormat>
    <chartFormat chart="0" format="58">
      <pivotArea type="data" outline="0" fieldPosition="0">
        <references count="2">
          <reference field="4294967294" count="1" selected="0">
            <x v="0"/>
          </reference>
          <reference field="3" count="1" selected="0">
            <x v="351"/>
          </reference>
        </references>
      </pivotArea>
    </chartFormat>
    <chartFormat chart="0" format="59">
      <pivotArea type="data" outline="0" fieldPosition="0">
        <references count="2">
          <reference field="4294967294" count="1" selected="0">
            <x v="0"/>
          </reference>
          <reference field="3" count="1" selected="0">
            <x v="427"/>
          </reference>
        </references>
      </pivotArea>
    </chartFormat>
    <chartFormat chart="0" format="60">
      <pivotArea type="data" outline="0" fieldPosition="0">
        <references count="2">
          <reference field="4294967294" count="1" selected="0">
            <x v="0"/>
          </reference>
          <reference field="3" count="1" selected="0">
            <x v="406"/>
          </reference>
        </references>
      </pivotArea>
    </chartFormat>
    <chartFormat chart="0" format="61">
      <pivotArea type="data" outline="0" fieldPosition="0">
        <references count="2">
          <reference field="4294967294" count="1" selected="0">
            <x v="0"/>
          </reference>
          <reference field="3" count="1" selected="0">
            <x v="479"/>
          </reference>
        </references>
      </pivotArea>
    </chartFormat>
    <chartFormat chart="0" format="62">
      <pivotArea type="data" outline="0" fieldPosition="0">
        <references count="2">
          <reference field="4294967294" count="1" selected="0">
            <x v="0"/>
          </reference>
          <reference field="3" count="1" selected="0">
            <x v="17"/>
          </reference>
        </references>
      </pivotArea>
    </chartFormat>
    <chartFormat chart="0" format="63">
      <pivotArea type="data" outline="0" fieldPosition="0">
        <references count="2">
          <reference field="4294967294" count="1" selected="0">
            <x v="0"/>
          </reference>
          <reference field="3" count="1" selected="0">
            <x v="61"/>
          </reference>
        </references>
      </pivotArea>
    </chartFormat>
    <chartFormat chart="0" format="64">
      <pivotArea type="data" outline="0" fieldPosition="0">
        <references count="2">
          <reference field="4294967294" count="1" selected="0">
            <x v="0"/>
          </reference>
          <reference field="3" count="1" selected="0">
            <x v="177"/>
          </reference>
        </references>
      </pivotArea>
    </chartFormat>
    <chartFormat chart="0" format="65">
      <pivotArea type="data" outline="0" fieldPosition="0">
        <references count="2">
          <reference field="4294967294" count="1" selected="0">
            <x v="0"/>
          </reference>
          <reference field="3" count="1" selected="0">
            <x v="494"/>
          </reference>
        </references>
      </pivotArea>
    </chartFormat>
    <chartFormat chart="0" format="66">
      <pivotArea type="data" outline="0" fieldPosition="0">
        <references count="2">
          <reference field="4294967294" count="1" selected="0">
            <x v="0"/>
          </reference>
          <reference field="3" count="1" selected="0">
            <x v="174"/>
          </reference>
        </references>
      </pivotArea>
    </chartFormat>
    <chartFormat chart="0" format="67">
      <pivotArea type="data" outline="0" fieldPosition="0">
        <references count="2">
          <reference field="4294967294" count="1" selected="0">
            <x v="0"/>
          </reference>
          <reference field="3" count="1" selected="0">
            <x v="453"/>
          </reference>
        </references>
      </pivotArea>
    </chartFormat>
    <chartFormat chart="0" format="68">
      <pivotArea type="data" outline="0" fieldPosition="0">
        <references count="2">
          <reference field="4294967294" count="1" selected="0">
            <x v="0"/>
          </reference>
          <reference field="3" count="1" selected="0">
            <x v="489"/>
          </reference>
        </references>
      </pivotArea>
    </chartFormat>
    <chartFormat chart="0" format="69">
      <pivotArea type="data" outline="0" fieldPosition="0">
        <references count="2">
          <reference field="4294967294" count="1" selected="0">
            <x v="0"/>
          </reference>
          <reference field="3" count="1" selected="0">
            <x v="22"/>
          </reference>
        </references>
      </pivotArea>
    </chartFormat>
    <chartFormat chart="0" format="70">
      <pivotArea type="data" outline="0" fieldPosition="0">
        <references count="2">
          <reference field="4294967294" count="1" selected="0">
            <x v="0"/>
          </reference>
          <reference field="3" count="1" selected="0">
            <x v="383"/>
          </reference>
        </references>
      </pivotArea>
    </chartFormat>
    <chartFormat chart="0" format="71">
      <pivotArea type="data" outline="0" fieldPosition="0">
        <references count="2">
          <reference field="4294967294" count="1" selected="0">
            <x v="0"/>
          </reference>
          <reference field="3" count="1" selected="0">
            <x v="194"/>
          </reference>
        </references>
      </pivotArea>
    </chartFormat>
    <chartFormat chart="0" format="72">
      <pivotArea type="data" outline="0" fieldPosition="0">
        <references count="2">
          <reference field="4294967294" count="1" selected="0">
            <x v="0"/>
          </reference>
          <reference field="3" count="1" selected="0">
            <x v="430"/>
          </reference>
        </references>
      </pivotArea>
    </chartFormat>
    <chartFormat chart="0" format="73">
      <pivotArea type="data" outline="0" fieldPosition="0">
        <references count="2">
          <reference field="4294967294" count="1" selected="0">
            <x v="0"/>
          </reference>
          <reference field="3" count="1" selected="0">
            <x v="157"/>
          </reference>
        </references>
      </pivotArea>
    </chartFormat>
    <chartFormat chart="0" format="74">
      <pivotArea type="data" outline="0" fieldPosition="0">
        <references count="2">
          <reference field="4294967294" count="1" selected="0">
            <x v="0"/>
          </reference>
          <reference field="3" count="1" selected="0">
            <x v="108"/>
          </reference>
        </references>
      </pivotArea>
    </chartFormat>
    <chartFormat chart="0" format="75">
      <pivotArea type="data" outline="0" fieldPosition="0">
        <references count="2">
          <reference field="4294967294" count="1" selected="0">
            <x v="0"/>
          </reference>
          <reference field="3" count="1" selected="0">
            <x v="422"/>
          </reference>
        </references>
      </pivotArea>
    </chartFormat>
    <chartFormat chart="0" format="76">
      <pivotArea type="data" outline="0" fieldPosition="0">
        <references count="2">
          <reference field="4294967294" count="1" selected="0">
            <x v="0"/>
          </reference>
          <reference field="3" count="1" selected="0">
            <x v="304"/>
          </reference>
        </references>
      </pivotArea>
    </chartFormat>
    <chartFormat chart="0" format="77">
      <pivotArea type="data" outline="0" fieldPosition="0">
        <references count="2">
          <reference field="4294967294" count="1" selected="0">
            <x v="0"/>
          </reference>
          <reference field="3" count="1" selected="0">
            <x v="196"/>
          </reference>
        </references>
      </pivotArea>
    </chartFormat>
    <chartFormat chart="0" format="78">
      <pivotArea type="data" outline="0" fieldPosition="0">
        <references count="2">
          <reference field="4294967294" count="1" selected="0">
            <x v="0"/>
          </reference>
          <reference field="3" count="1" selected="0">
            <x v="145"/>
          </reference>
        </references>
      </pivotArea>
    </chartFormat>
    <chartFormat chart="0" format="79">
      <pivotArea type="data" outline="0" fieldPosition="0">
        <references count="2">
          <reference field="4294967294" count="1" selected="0">
            <x v="0"/>
          </reference>
          <reference field="3" count="1" selected="0">
            <x v="85"/>
          </reference>
        </references>
      </pivotArea>
    </chartFormat>
    <chartFormat chart="0" format="80">
      <pivotArea type="data" outline="0" fieldPosition="0">
        <references count="2">
          <reference field="4294967294" count="1" selected="0">
            <x v="0"/>
          </reference>
          <reference field="3" count="1" selected="0">
            <x v="363"/>
          </reference>
        </references>
      </pivotArea>
    </chartFormat>
    <chartFormat chart="0" format="81">
      <pivotArea type="data" outline="0" fieldPosition="0">
        <references count="2">
          <reference field="4294967294" count="1" selected="0">
            <x v="0"/>
          </reference>
          <reference field="3" count="1" selected="0">
            <x v="91"/>
          </reference>
        </references>
      </pivotArea>
    </chartFormat>
    <chartFormat chart="0" format="82">
      <pivotArea type="data" outline="0" fieldPosition="0">
        <references count="2">
          <reference field="4294967294" count="1" selected="0">
            <x v="0"/>
          </reference>
          <reference field="3" count="1" selected="0">
            <x v="263"/>
          </reference>
        </references>
      </pivotArea>
    </chartFormat>
    <chartFormat chart="0" format="83">
      <pivotArea type="data" outline="0" fieldPosition="0">
        <references count="2">
          <reference field="4294967294" count="1" selected="0">
            <x v="0"/>
          </reference>
          <reference field="3" count="1" selected="0">
            <x v="233"/>
          </reference>
        </references>
      </pivotArea>
    </chartFormat>
    <chartFormat chart="0" format="84">
      <pivotArea type="data" outline="0" fieldPosition="0">
        <references count="2">
          <reference field="4294967294" count="1" selected="0">
            <x v="0"/>
          </reference>
          <reference field="3" count="1" selected="0">
            <x v="456"/>
          </reference>
        </references>
      </pivotArea>
    </chartFormat>
    <chartFormat chart="0" format="85">
      <pivotArea type="data" outline="0" fieldPosition="0">
        <references count="2">
          <reference field="4294967294" count="1" selected="0">
            <x v="0"/>
          </reference>
          <reference field="3" count="1" selected="0">
            <x v="311"/>
          </reference>
        </references>
      </pivotArea>
    </chartFormat>
    <chartFormat chart="0" format="86">
      <pivotArea type="data" outline="0" fieldPosition="0">
        <references count="2">
          <reference field="4294967294" count="1" selected="0">
            <x v="0"/>
          </reference>
          <reference field="3" count="1" selected="0">
            <x v="273"/>
          </reference>
        </references>
      </pivotArea>
    </chartFormat>
    <chartFormat chart="0" format="87">
      <pivotArea type="data" outline="0" fieldPosition="0">
        <references count="2">
          <reference field="4294967294" count="1" selected="0">
            <x v="0"/>
          </reference>
          <reference field="3" count="1" selected="0">
            <x v="373"/>
          </reference>
        </references>
      </pivotArea>
    </chartFormat>
    <chartFormat chart="0" format="88">
      <pivotArea type="data" outline="0" fieldPosition="0">
        <references count="2">
          <reference field="4294967294" count="1" selected="0">
            <x v="0"/>
          </reference>
          <reference field="3" count="1" selected="0">
            <x v="154"/>
          </reference>
        </references>
      </pivotArea>
    </chartFormat>
    <chartFormat chart="0" format="89">
      <pivotArea type="data" outline="0" fieldPosition="0">
        <references count="2">
          <reference field="4294967294" count="1" selected="0">
            <x v="0"/>
          </reference>
          <reference field="3" count="1" selected="0">
            <x v="312"/>
          </reference>
        </references>
      </pivotArea>
    </chartFormat>
    <chartFormat chart="0" format="90">
      <pivotArea type="data" outline="0" fieldPosition="0">
        <references count="2">
          <reference field="4294967294" count="1" selected="0">
            <x v="0"/>
          </reference>
          <reference field="3" count="1" selected="0">
            <x v="395"/>
          </reference>
        </references>
      </pivotArea>
    </chartFormat>
    <chartFormat chart="0" format="91">
      <pivotArea type="data" outline="0" fieldPosition="0">
        <references count="2">
          <reference field="4294967294" count="1" selected="0">
            <x v="0"/>
          </reference>
          <reference field="3" count="1" selected="0">
            <x v="241"/>
          </reference>
        </references>
      </pivotArea>
    </chartFormat>
    <chartFormat chart="0" format="92">
      <pivotArea type="data" outline="0" fieldPosition="0">
        <references count="2">
          <reference field="4294967294" count="1" selected="0">
            <x v="0"/>
          </reference>
          <reference field="3" count="1" selected="0">
            <x v="485"/>
          </reference>
        </references>
      </pivotArea>
    </chartFormat>
    <chartFormat chart="0" format="93">
      <pivotArea type="data" outline="0" fieldPosition="0">
        <references count="2">
          <reference field="4294967294" count="1" selected="0">
            <x v="0"/>
          </reference>
          <reference field="3" count="1" selected="0">
            <x v="470"/>
          </reference>
        </references>
      </pivotArea>
    </chartFormat>
    <chartFormat chart="0" format="94">
      <pivotArea type="data" outline="0" fieldPosition="0">
        <references count="2">
          <reference field="4294967294" count="1" selected="0">
            <x v="0"/>
          </reference>
          <reference field="3" count="1" selected="0">
            <x v="35"/>
          </reference>
        </references>
      </pivotArea>
    </chartFormat>
    <chartFormat chart="0" format="95">
      <pivotArea type="data" outline="0" fieldPosition="0">
        <references count="2">
          <reference field="4294967294" count="1" selected="0">
            <x v="0"/>
          </reference>
          <reference field="3" count="1" selected="0">
            <x v="51"/>
          </reference>
        </references>
      </pivotArea>
    </chartFormat>
    <chartFormat chart="0" format="96">
      <pivotArea type="data" outline="0" fieldPosition="0">
        <references count="2">
          <reference field="4294967294" count="1" selected="0">
            <x v="0"/>
          </reference>
          <reference field="3" count="1" selected="0">
            <x v="370"/>
          </reference>
        </references>
      </pivotArea>
    </chartFormat>
    <chartFormat chart="0" format="97">
      <pivotArea type="data" outline="0" fieldPosition="0">
        <references count="2">
          <reference field="4294967294" count="1" selected="0">
            <x v="0"/>
          </reference>
          <reference field="3" count="1" selected="0">
            <x v="187"/>
          </reference>
        </references>
      </pivotArea>
    </chartFormat>
    <chartFormat chart="0" format="98">
      <pivotArea type="data" outline="0" fieldPosition="0">
        <references count="2">
          <reference field="4294967294" count="1" selected="0">
            <x v="0"/>
          </reference>
          <reference field="3" count="1" selected="0">
            <x v="55"/>
          </reference>
        </references>
      </pivotArea>
    </chartFormat>
    <chartFormat chart="0" format="99">
      <pivotArea type="data" outline="0" fieldPosition="0">
        <references count="2">
          <reference field="4294967294" count="1" selected="0">
            <x v="0"/>
          </reference>
          <reference field="3" count="1" selected="0">
            <x v="374"/>
          </reference>
        </references>
      </pivotArea>
    </chartFormat>
    <chartFormat chart="0" format="100">
      <pivotArea type="data" outline="0" fieldPosition="0">
        <references count="2">
          <reference field="4294967294" count="1" selected="0">
            <x v="0"/>
          </reference>
          <reference field="3" count="1" selected="0">
            <x v="249"/>
          </reference>
        </references>
      </pivotArea>
    </chartFormat>
    <chartFormat chart="0" format="101">
      <pivotArea type="data" outline="0" fieldPosition="0">
        <references count="2">
          <reference field="4294967294" count="1" selected="0">
            <x v="0"/>
          </reference>
          <reference field="3" count="1" selected="0">
            <x v="104"/>
          </reference>
        </references>
      </pivotArea>
    </chartFormat>
    <chartFormat chart="0" format="102">
      <pivotArea type="data" outline="0" fieldPosition="0">
        <references count="2">
          <reference field="4294967294" count="1" selected="0">
            <x v="0"/>
          </reference>
          <reference field="3" count="1" selected="0">
            <x v="179"/>
          </reference>
        </references>
      </pivotArea>
    </chartFormat>
    <chartFormat chart="0" format="103">
      <pivotArea type="data" outline="0" fieldPosition="0">
        <references count="2">
          <reference field="4294967294" count="1" selected="0">
            <x v="0"/>
          </reference>
          <reference field="3" count="1" selected="0">
            <x v="160"/>
          </reference>
        </references>
      </pivotArea>
    </chartFormat>
    <chartFormat chart="0" format="104">
      <pivotArea type="data" outline="0" fieldPosition="0">
        <references count="2">
          <reference field="4294967294" count="1" selected="0">
            <x v="0"/>
          </reference>
          <reference field="3" count="1" selected="0">
            <x v="31"/>
          </reference>
        </references>
      </pivotArea>
    </chartFormat>
    <chartFormat chart="0" format="105">
      <pivotArea type="data" outline="0" fieldPosition="0">
        <references count="2">
          <reference field="4294967294" count="1" selected="0">
            <x v="0"/>
          </reference>
          <reference field="3" count="1" selected="0">
            <x v="78"/>
          </reference>
        </references>
      </pivotArea>
    </chartFormat>
    <chartFormat chart="0" format="106">
      <pivotArea type="data" outline="0" fieldPosition="0">
        <references count="2">
          <reference field="4294967294" count="1" selected="0">
            <x v="0"/>
          </reference>
          <reference field="3" count="1" selected="0">
            <x v="98"/>
          </reference>
        </references>
      </pivotArea>
    </chartFormat>
    <chartFormat chart="0" format="107">
      <pivotArea type="data" outline="0" fieldPosition="0">
        <references count="2">
          <reference field="4294967294" count="1" selected="0">
            <x v="0"/>
          </reference>
          <reference field="3" count="1" selected="0">
            <x v="34"/>
          </reference>
        </references>
      </pivotArea>
    </chartFormat>
    <chartFormat chart="0" format="108">
      <pivotArea type="data" outline="0" fieldPosition="0">
        <references count="2">
          <reference field="4294967294" count="1" selected="0">
            <x v="0"/>
          </reference>
          <reference field="3" count="1" selected="0">
            <x v="306"/>
          </reference>
        </references>
      </pivotArea>
    </chartFormat>
    <chartFormat chart="0" format="109">
      <pivotArea type="data" outline="0" fieldPosition="0">
        <references count="2">
          <reference field="4294967294" count="1" selected="0">
            <x v="0"/>
          </reference>
          <reference field="3" count="1" selected="0">
            <x v="246"/>
          </reference>
        </references>
      </pivotArea>
    </chartFormat>
    <chartFormat chart="0" format="110">
      <pivotArea type="data" outline="0" fieldPosition="0">
        <references count="2">
          <reference field="4294967294" count="1" selected="0">
            <x v="0"/>
          </reference>
          <reference field="3" count="1" selected="0">
            <x v="137"/>
          </reference>
        </references>
      </pivotArea>
    </chartFormat>
    <chartFormat chart="0" format="111">
      <pivotArea type="data" outline="0" fieldPosition="0">
        <references count="2">
          <reference field="4294967294" count="1" selected="0">
            <x v="0"/>
          </reference>
          <reference field="3" count="1" selected="0">
            <x v="416"/>
          </reference>
        </references>
      </pivotArea>
    </chartFormat>
    <chartFormat chart="0" format="112">
      <pivotArea type="data" outline="0" fieldPosition="0">
        <references count="2">
          <reference field="4294967294" count="1" selected="0">
            <x v="0"/>
          </reference>
          <reference field="3" count="1" selected="0">
            <x v="275"/>
          </reference>
        </references>
      </pivotArea>
    </chartFormat>
    <chartFormat chart="0" format="113">
      <pivotArea type="data" outline="0" fieldPosition="0">
        <references count="2">
          <reference field="4294967294" count="1" selected="0">
            <x v="0"/>
          </reference>
          <reference field="3" count="1" selected="0">
            <x v="80"/>
          </reference>
        </references>
      </pivotArea>
    </chartFormat>
    <chartFormat chart="0" format="114">
      <pivotArea type="data" outline="0" fieldPosition="0">
        <references count="2">
          <reference field="4294967294" count="1" selected="0">
            <x v="0"/>
          </reference>
          <reference field="3" count="1" selected="0">
            <x v="171"/>
          </reference>
        </references>
      </pivotArea>
    </chartFormat>
    <chartFormat chart="0" format="115">
      <pivotArea type="data" outline="0" fieldPosition="0">
        <references count="2">
          <reference field="4294967294" count="1" selected="0">
            <x v="0"/>
          </reference>
          <reference field="3" count="1" selected="0">
            <x v="440"/>
          </reference>
        </references>
      </pivotArea>
    </chartFormat>
    <chartFormat chart="0" format="116">
      <pivotArea type="data" outline="0" fieldPosition="0">
        <references count="2">
          <reference field="4294967294" count="1" selected="0">
            <x v="0"/>
          </reference>
          <reference field="3" count="1" selected="0">
            <x v="142"/>
          </reference>
        </references>
      </pivotArea>
    </chartFormat>
    <chartFormat chart="0" format="117">
      <pivotArea type="data" outline="0" fieldPosition="0">
        <references count="2">
          <reference field="4294967294" count="1" selected="0">
            <x v="0"/>
          </reference>
          <reference field="3" count="1" selected="0">
            <x v="418"/>
          </reference>
        </references>
      </pivotArea>
    </chartFormat>
    <chartFormat chart="0" format="118">
      <pivotArea type="data" outline="0" fieldPosition="0">
        <references count="2">
          <reference field="4294967294" count="1" selected="0">
            <x v="0"/>
          </reference>
          <reference field="3" count="1" selected="0">
            <x v="118"/>
          </reference>
        </references>
      </pivotArea>
    </chartFormat>
    <chartFormat chart="0" format="119">
      <pivotArea type="data" outline="0" fieldPosition="0">
        <references count="2">
          <reference field="4294967294" count="1" selected="0">
            <x v="0"/>
          </reference>
          <reference field="3" count="1" selected="0">
            <x v="317"/>
          </reference>
        </references>
      </pivotArea>
    </chartFormat>
    <chartFormat chart="0" format="120">
      <pivotArea type="data" outline="0" fieldPosition="0">
        <references count="2">
          <reference field="4294967294" count="1" selected="0">
            <x v="0"/>
          </reference>
          <reference field="3" count="1" selected="0">
            <x v="482"/>
          </reference>
        </references>
      </pivotArea>
    </chartFormat>
    <chartFormat chart="0" format="121">
      <pivotArea type="data" outline="0" fieldPosition="0">
        <references count="2">
          <reference field="4294967294" count="1" selected="0">
            <x v="0"/>
          </reference>
          <reference field="3" count="1" selected="0">
            <x v="429"/>
          </reference>
        </references>
      </pivotArea>
    </chartFormat>
    <chartFormat chart="0" format="122">
      <pivotArea type="data" outline="0" fieldPosition="0">
        <references count="2">
          <reference field="4294967294" count="1" selected="0">
            <x v="0"/>
          </reference>
          <reference field="3" count="1" selected="0">
            <x v="58"/>
          </reference>
        </references>
      </pivotArea>
    </chartFormat>
    <chartFormat chart="0" format="123">
      <pivotArea type="data" outline="0" fieldPosition="0">
        <references count="2">
          <reference field="4294967294" count="1" selected="0">
            <x v="0"/>
          </reference>
          <reference field="3" count="1" selected="0">
            <x v="437"/>
          </reference>
        </references>
      </pivotArea>
    </chartFormat>
    <chartFormat chart="0" format="124">
      <pivotArea type="data" outline="0" fieldPosition="0">
        <references count="2">
          <reference field="4294967294" count="1" selected="0">
            <x v="0"/>
          </reference>
          <reference field="3" count="1" selected="0">
            <x v="357"/>
          </reference>
        </references>
      </pivotArea>
    </chartFormat>
    <chartFormat chart="0" format="125">
      <pivotArea type="data" outline="0" fieldPosition="0">
        <references count="2">
          <reference field="4294967294" count="1" selected="0">
            <x v="0"/>
          </reference>
          <reference field="3" count="1" selected="0">
            <x v="136"/>
          </reference>
        </references>
      </pivotArea>
    </chartFormat>
    <chartFormat chart="0" format="126">
      <pivotArea type="data" outline="0" fieldPosition="0">
        <references count="2">
          <reference field="4294967294" count="1" selected="0">
            <x v="0"/>
          </reference>
          <reference field="3" count="1" selected="0">
            <x v="254"/>
          </reference>
        </references>
      </pivotArea>
    </chartFormat>
    <chartFormat chart="0" format="127">
      <pivotArea type="data" outline="0" fieldPosition="0">
        <references count="2">
          <reference field="4294967294" count="1" selected="0">
            <x v="0"/>
          </reference>
          <reference field="3" count="1" selected="0">
            <x v="120"/>
          </reference>
        </references>
      </pivotArea>
    </chartFormat>
    <chartFormat chart="0" format="128">
      <pivotArea type="data" outline="0" fieldPosition="0">
        <references count="2">
          <reference field="4294967294" count="1" selected="0">
            <x v="0"/>
          </reference>
          <reference field="3" count="1" selected="0">
            <x v="200"/>
          </reference>
        </references>
      </pivotArea>
    </chartFormat>
    <chartFormat chart="0" format="129">
      <pivotArea type="data" outline="0" fieldPosition="0">
        <references count="2">
          <reference field="4294967294" count="1" selected="0">
            <x v="0"/>
          </reference>
          <reference field="3" count="1" selected="0">
            <x v="37"/>
          </reference>
        </references>
      </pivotArea>
    </chartFormat>
    <chartFormat chart="0" format="130">
      <pivotArea type="data" outline="0" fieldPosition="0">
        <references count="2">
          <reference field="4294967294" count="1" selected="0">
            <x v="0"/>
          </reference>
          <reference field="3" count="1" selected="0">
            <x v="106"/>
          </reference>
        </references>
      </pivotArea>
    </chartFormat>
    <chartFormat chart="0" format="131">
      <pivotArea type="data" outline="0" fieldPosition="0">
        <references count="2">
          <reference field="4294967294" count="1" selected="0">
            <x v="0"/>
          </reference>
          <reference field="3" count="1" selected="0">
            <x v="262"/>
          </reference>
        </references>
      </pivotArea>
    </chartFormat>
    <chartFormat chart="0" format="132">
      <pivotArea type="data" outline="0" fieldPosition="0">
        <references count="2">
          <reference field="4294967294" count="1" selected="0">
            <x v="0"/>
          </reference>
          <reference field="3" count="1" selected="0">
            <x v="165"/>
          </reference>
        </references>
      </pivotArea>
    </chartFormat>
    <chartFormat chart="0" format="133">
      <pivotArea type="data" outline="0" fieldPosition="0">
        <references count="2">
          <reference field="4294967294" count="1" selected="0">
            <x v="0"/>
          </reference>
          <reference field="3" count="1" selected="0">
            <x v="32"/>
          </reference>
        </references>
      </pivotArea>
    </chartFormat>
    <chartFormat chart="0" format="134">
      <pivotArea type="data" outline="0" fieldPosition="0">
        <references count="2">
          <reference field="4294967294" count="1" selected="0">
            <x v="0"/>
          </reference>
          <reference field="3" count="1" selected="0">
            <x v="245"/>
          </reference>
        </references>
      </pivotArea>
    </chartFormat>
    <chartFormat chart="0" format="135">
      <pivotArea type="data" outline="0" fieldPosition="0">
        <references count="2">
          <reference field="4294967294" count="1" selected="0">
            <x v="0"/>
          </reference>
          <reference field="3" count="1" selected="0">
            <x v="307"/>
          </reference>
        </references>
      </pivotArea>
    </chartFormat>
    <chartFormat chart="0" format="136">
      <pivotArea type="data" outline="0" fieldPosition="0">
        <references count="2">
          <reference field="4294967294" count="1" selected="0">
            <x v="0"/>
          </reference>
          <reference field="3" count="1" selected="0">
            <x v="124"/>
          </reference>
        </references>
      </pivotArea>
    </chartFormat>
    <chartFormat chart="0" format="137">
      <pivotArea type="data" outline="0" fieldPosition="0">
        <references count="2">
          <reference field="4294967294" count="1" selected="0">
            <x v="0"/>
          </reference>
          <reference field="3" count="1" selected="0">
            <x v="232"/>
          </reference>
        </references>
      </pivotArea>
    </chartFormat>
    <chartFormat chart="0" format="138">
      <pivotArea type="data" outline="0" fieldPosition="0">
        <references count="2">
          <reference field="4294967294" count="1" selected="0">
            <x v="0"/>
          </reference>
          <reference field="3" count="1" selected="0">
            <x v="483"/>
          </reference>
        </references>
      </pivotArea>
    </chartFormat>
    <chartFormat chart="0" format="139">
      <pivotArea type="data" outline="0" fieldPosition="0">
        <references count="2">
          <reference field="4294967294" count="1" selected="0">
            <x v="0"/>
          </reference>
          <reference field="3" count="1" selected="0">
            <x v="367"/>
          </reference>
        </references>
      </pivotArea>
    </chartFormat>
    <chartFormat chart="0" format="140">
      <pivotArea type="data" outline="0" fieldPosition="0">
        <references count="2">
          <reference field="4294967294" count="1" selected="0">
            <x v="0"/>
          </reference>
          <reference field="3" count="1" selected="0">
            <x v="462"/>
          </reference>
        </references>
      </pivotArea>
    </chartFormat>
    <chartFormat chart="0" format="141">
      <pivotArea type="data" outline="0" fieldPosition="0">
        <references count="2">
          <reference field="4294967294" count="1" selected="0">
            <x v="0"/>
          </reference>
          <reference field="3" count="1" selected="0">
            <x v="381"/>
          </reference>
        </references>
      </pivotArea>
    </chartFormat>
    <chartFormat chart="0" format="142">
      <pivotArea type="data" outline="0" fieldPosition="0">
        <references count="2">
          <reference field="4294967294" count="1" selected="0">
            <x v="0"/>
          </reference>
          <reference field="3" count="1" selected="0">
            <x v="261"/>
          </reference>
        </references>
      </pivotArea>
    </chartFormat>
    <chartFormat chart="0" format="143">
      <pivotArea type="data" outline="0" fieldPosition="0">
        <references count="2">
          <reference field="4294967294" count="1" selected="0">
            <x v="0"/>
          </reference>
          <reference field="3" count="1" selected="0">
            <x v="409"/>
          </reference>
        </references>
      </pivotArea>
    </chartFormat>
    <chartFormat chart="0" format="144">
      <pivotArea type="data" outline="0" fieldPosition="0">
        <references count="2">
          <reference field="4294967294" count="1" selected="0">
            <x v="0"/>
          </reference>
          <reference field="3" count="1" selected="0">
            <x v="368"/>
          </reference>
        </references>
      </pivotArea>
    </chartFormat>
    <chartFormat chart="0" format="145">
      <pivotArea type="data" outline="0" fieldPosition="0">
        <references count="2">
          <reference field="4294967294" count="1" selected="0">
            <x v="0"/>
          </reference>
          <reference field="3" count="1" selected="0">
            <x v="101"/>
          </reference>
        </references>
      </pivotArea>
    </chartFormat>
    <chartFormat chart="0" format="146">
      <pivotArea type="data" outline="0" fieldPosition="0">
        <references count="2">
          <reference field="4294967294" count="1" selected="0">
            <x v="0"/>
          </reference>
          <reference field="3" count="1" selected="0">
            <x v="278"/>
          </reference>
        </references>
      </pivotArea>
    </chartFormat>
    <chartFormat chart="0" format="147">
      <pivotArea type="data" outline="0" fieldPosition="0">
        <references count="2">
          <reference field="4294967294" count="1" selected="0">
            <x v="0"/>
          </reference>
          <reference field="3" count="1" selected="0">
            <x v="259"/>
          </reference>
        </references>
      </pivotArea>
    </chartFormat>
    <chartFormat chart="0" format="148">
      <pivotArea type="data" outline="0" fieldPosition="0">
        <references count="2">
          <reference field="4294967294" count="1" selected="0">
            <x v="0"/>
          </reference>
          <reference field="3" count="1" selected="0">
            <x v="121"/>
          </reference>
        </references>
      </pivotArea>
    </chartFormat>
    <chartFormat chart="0" format="149">
      <pivotArea type="data" outline="0" fieldPosition="0">
        <references count="2">
          <reference field="4294967294" count="1" selected="0">
            <x v="0"/>
          </reference>
          <reference field="3" count="1" selected="0">
            <x v="361"/>
          </reference>
        </references>
      </pivotArea>
    </chartFormat>
    <chartFormat chart="0" format="150">
      <pivotArea type="data" outline="0" fieldPosition="0">
        <references count="2">
          <reference field="4294967294" count="1" selected="0">
            <x v="0"/>
          </reference>
          <reference field="3" count="1" selected="0">
            <x v="438"/>
          </reference>
        </references>
      </pivotArea>
    </chartFormat>
    <chartFormat chart="0" format="151">
      <pivotArea type="data" outline="0" fieldPosition="0">
        <references count="2">
          <reference field="4294967294" count="1" selected="0">
            <x v="0"/>
          </reference>
          <reference field="3" count="1" selected="0">
            <x v="270"/>
          </reference>
        </references>
      </pivotArea>
    </chartFormat>
    <chartFormat chart="0" format="152">
      <pivotArea type="data" outline="0" fieldPosition="0">
        <references count="2">
          <reference field="4294967294" count="1" selected="0">
            <x v="0"/>
          </reference>
          <reference field="3" count="1" selected="0">
            <x v="305"/>
          </reference>
        </references>
      </pivotArea>
    </chartFormat>
    <chartFormat chart="0" format="153">
      <pivotArea type="data" outline="0" fieldPosition="0">
        <references count="2">
          <reference field="4294967294" count="1" selected="0">
            <x v="0"/>
          </reference>
          <reference field="3" count="1" selected="0">
            <x v="220"/>
          </reference>
        </references>
      </pivotArea>
    </chartFormat>
    <chartFormat chart="0" format="154">
      <pivotArea type="data" outline="0" fieldPosition="0">
        <references count="2">
          <reference field="4294967294" count="1" selected="0">
            <x v="0"/>
          </reference>
          <reference field="3" count="1" selected="0">
            <x v="286"/>
          </reference>
        </references>
      </pivotArea>
    </chartFormat>
    <chartFormat chart="0" format="155">
      <pivotArea type="data" outline="0" fieldPosition="0">
        <references count="2">
          <reference field="4294967294" count="1" selected="0">
            <x v="0"/>
          </reference>
          <reference field="3" count="1" selected="0">
            <x v="16"/>
          </reference>
        </references>
      </pivotArea>
    </chartFormat>
    <chartFormat chart="0" format="156">
      <pivotArea type="data" outline="0" fieldPosition="0">
        <references count="2">
          <reference field="4294967294" count="1" selected="0">
            <x v="0"/>
          </reference>
          <reference field="3" count="1" selected="0">
            <x v="57"/>
          </reference>
        </references>
      </pivotArea>
    </chartFormat>
    <chartFormat chart="0" format="157">
      <pivotArea type="data" outline="0" fieldPosition="0">
        <references count="2">
          <reference field="4294967294" count="1" selected="0">
            <x v="0"/>
          </reference>
          <reference field="3" count="1" selected="0">
            <x v="181"/>
          </reference>
        </references>
      </pivotArea>
    </chartFormat>
    <chartFormat chart="0" format="158">
      <pivotArea type="data" outline="0" fieldPosition="0">
        <references count="2">
          <reference field="4294967294" count="1" selected="0">
            <x v="0"/>
          </reference>
          <reference field="3" count="1" selected="0">
            <x v="467"/>
          </reference>
        </references>
      </pivotArea>
    </chartFormat>
    <chartFormat chart="0" format="159">
      <pivotArea type="data" outline="0" fieldPosition="0">
        <references count="2">
          <reference field="4294967294" count="1" selected="0">
            <x v="0"/>
          </reference>
          <reference field="3" count="1" selected="0">
            <x v="134"/>
          </reference>
        </references>
      </pivotArea>
    </chartFormat>
    <chartFormat chart="0" format="160">
      <pivotArea type="data" outline="0" fieldPosition="0">
        <references count="2">
          <reference field="4294967294" count="1" selected="0">
            <x v="0"/>
          </reference>
          <reference field="3" count="1" selected="0">
            <x v="81"/>
          </reference>
        </references>
      </pivotArea>
    </chartFormat>
    <chartFormat chart="0" format="161">
      <pivotArea type="data" outline="0" fieldPosition="0">
        <references count="2">
          <reference field="4294967294" count="1" selected="0">
            <x v="0"/>
          </reference>
          <reference field="3" count="1" selected="0">
            <x v="347"/>
          </reference>
        </references>
      </pivotArea>
    </chartFormat>
    <chartFormat chart="0" format="162">
      <pivotArea type="data" outline="0" fieldPosition="0">
        <references count="2">
          <reference field="4294967294" count="1" selected="0">
            <x v="0"/>
          </reference>
          <reference field="3" count="1" selected="0">
            <x v="420"/>
          </reference>
        </references>
      </pivotArea>
    </chartFormat>
    <chartFormat chart="0" format="163">
      <pivotArea type="data" outline="0" fieldPosition="0">
        <references count="2">
          <reference field="4294967294" count="1" selected="0">
            <x v="0"/>
          </reference>
          <reference field="3" count="1" selected="0">
            <x v="167"/>
          </reference>
        </references>
      </pivotArea>
    </chartFormat>
    <chartFormat chart="0" format="164">
      <pivotArea type="data" outline="0" fieldPosition="0">
        <references count="2">
          <reference field="4294967294" count="1" selected="0">
            <x v="0"/>
          </reference>
          <reference field="3" count="1" selected="0">
            <x v="112"/>
          </reference>
        </references>
      </pivotArea>
    </chartFormat>
    <chartFormat chart="0" format="165">
      <pivotArea type="data" outline="0" fieldPosition="0">
        <references count="2">
          <reference field="4294967294" count="1" selected="0">
            <x v="0"/>
          </reference>
          <reference field="3" count="1" selected="0">
            <x v="442"/>
          </reference>
        </references>
      </pivotArea>
    </chartFormat>
    <chartFormat chart="0" format="166">
      <pivotArea type="data" outline="0" fieldPosition="0">
        <references count="2">
          <reference field="4294967294" count="1" selected="0">
            <x v="0"/>
          </reference>
          <reference field="3" count="1" selected="0">
            <x v="277"/>
          </reference>
        </references>
      </pivotArea>
    </chartFormat>
    <chartFormat chart="0" format="167">
      <pivotArea type="data" outline="0" fieldPosition="0">
        <references count="2">
          <reference field="4294967294" count="1" selected="0">
            <x v="0"/>
          </reference>
          <reference field="3" count="1" selected="0">
            <x v="204"/>
          </reference>
        </references>
      </pivotArea>
    </chartFormat>
    <chartFormat chart="0" format="168">
      <pivotArea type="data" outline="0" fieldPosition="0">
        <references count="2">
          <reference field="4294967294" count="1" selected="0">
            <x v="0"/>
          </reference>
          <reference field="3" count="1" selected="0">
            <x v="378"/>
          </reference>
        </references>
      </pivotArea>
    </chartFormat>
    <chartFormat chart="0" format="169">
      <pivotArea type="data" outline="0" fieldPosition="0">
        <references count="2">
          <reference field="4294967294" count="1" selected="0">
            <x v="0"/>
          </reference>
          <reference field="3" count="1" selected="0">
            <x v="48"/>
          </reference>
        </references>
      </pivotArea>
    </chartFormat>
    <chartFormat chart="0" format="170">
      <pivotArea type="data" outline="0" fieldPosition="0">
        <references count="2">
          <reference field="4294967294" count="1" selected="0">
            <x v="0"/>
          </reference>
          <reference field="3" count="1" selected="0">
            <x v="477"/>
          </reference>
        </references>
      </pivotArea>
    </chartFormat>
    <chartFormat chart="0" format="171">
      <pivotArea type="data" outline="0" fieldPosition="0">
        <references count="2">
          <reference field="4294967294" count="1" selected="0">
            <x v="0"/>
          </reference>
          <reference field="3" count="1" selected="0">
            <x v="148"/>
          </reference>
        </references>
      </pivotArea>
    </chartFormat>
    <chartFormat chart="0" format="172">
      <pivotArea type="data" outline="0" fieldPosition="0">
        <references count="2">
          <reference field="4294967294" count="1" selected="0">
            <x v="0"/>
          </reference>
          <reference field="3" count="1" selected="0">
            <x v="186"/>
          </reference>
        </references>
      </pivotArea>
    </chartFormat>
    <chartFormat chart="0" format="173">
      <pivotArea type="data" outline="0" fieldPosition="0">
        <references count="2">
          <reference field="4294967294" count="1" selected="0">
            <x v="0"/>
          </reference>
          <reference field="3" count="1" selected="0">
            <x v="352"/>
          </reference>
        </references>
      </pivotArea>
    </chartFormat>
    <chartFormat chart="0" format="174">
      <pivotArea type="data" outline="0" fieldPosition="0">
        <references count="2">
          <reference field="4294967294" count="1" selected="0">
            <x v="0"/>
          </reference>
          <reference field="3" count="1" selected="0">
            <x v="258"/>
          </reference>
        </references>
      </pivotArea>
    </chartFormat>
    <chartFormat chart="0" format="175">
      <pivotArea type="data" outline="0" fieldPosition="0">
        <references count="2">
          <reference field="4294967294" count="1" selected="0">
            <x v="0"/>
          </reference>
          <reference field="3" count="1" selected="0">
            <x v="414"/>
          </reference>
        </references>
      </pivotArea>
    </chartFormat>
    <chartFormat chart="0" format="176">
      <pivotArea type="data" outline="0" fieldPosition="0">
        <references count="2">
          <reference field="4294967294" count="1" selected="0">
            <x v="0"/>
          </reference>
          <reference field="3" count="1" selected="0">
            <x v="13"/>
          </reference>
        </references>
      </pivotArea>
    </chartFormat>
    <chartFormat chart="0" format="177">
      <pivotArea type="data" outline="0" fieldPosition="0">
        <references count="2">
          <reference field="4294967294" count="1" selected="0">
            <x v="0"/>
          </reference>
          <reference field="3" count="1" selected="0">
            <x v="314"/>
          </reference>
        </references>
      </pivotArea>
    </chartFormat>
    <chartFormat chart="0" format="178">
      <pivotArea type="data" outline="0" fieldPosition="0">
        <references count="2">
          <reference field="4294967294" count="1" selected="0">
            <x v="0"/>
          </reference>
          <reference field="3" count="1" selected="0">
            <x v="93"/>
          </reference>
        </references>
      </pivotArea>
    </chartFormat>
    <chartFormat chart="0" format="179">
      <pivotArea type="data" outline="0" fieldPosition="0">
        <references count="2">
          <reference field="4294967294" count="1" selected="0">
            <x v="0"/>
          </reference>
          <reference field="3" count="1" selected="0">
            <x v="432"/>
          </reference>
        </references>
      </pivotArea>
    </chartFormat>
    <chartFormat chart="0" format="180">
      <pivotArea type="data" outline="0" fieldPosition="0">
        <references count="2">
          <reference field="4294967294" count="1" selected="0">
            <x v="0"/>
          </reference>
          <reference field="3" count="1" selected="0">
            <x v="296"/>
          </reference>
        </references>
      </pivotArea>
    </chartFormat>
    <chartFormat chart="0" format="181">
      <pivotArea type="data" outline="0" fieldPosition="0">
        <references count="2">
          <reference field="4294967294" count="1" selected="0">
            <x v="0"/>
          </reference>
          <reference field="3" count="1" selected="0">
            <x v="386"/>
          </reference>
        </references>
      </pivotArea>
    </chartFormat>
    <chartFormat chart="0" format="182">
      <pivotArea type="data" outline="0" fieldPosition="0">
        <references count="2">
          <reference field="4294967294" count="1" selected="0">
            <x v="0"/>
          </reference>
          <reference field="3" count="1" selected="0">
            <x v="358"/>
          </reference>
        </references>
      </pivotArea>
    </chartFormat>
    <chartFormat chart="0" format="183">
      <pivotArea type="data" outline="0" fieldPosition="0">
        <references count="2">
          <reference field="4294967294" count="1" selected="0">
            <x v="0"/>
          </reference>
          <reference field="3" count="1" selected="0">
            <x v="231"/>
          </reference>
        </references>
      </pivotArea>
    </chartFormat>
    <chartFormat chart="0" format="184">
      <pivotArea type="data" outline="0" fieldPosition="0">
        <references count="2">
          <reference field="4294967294" count="1" selected="0">
            <x v="0"/>
          </reference>
          <reference field="3" count="1" selected="0">
            <x v="169"/>
          </reference>
        </references>
      </pivotArea>
    </chartFormat>
    <chartFormat chart="0" format="185">
      <pivotArea type="data" outline="0" fieldPosition="0">
        <references count="2">
          <reference field="4294967294" count="1" selected="0">
            <x v="0"/>
          </reference>
          <reference field="3" count="1" selected="0">
            <x v="446"/>
          </reference>
        </references>
      </pivotArea>
    </chartFormat>
    <chartFormat chart="0" format="186">
      <pivotArea type="data" outline="0" fieldPosition="0">
        <references count="2">
          <reference field="4294967294" count="1" selected="0">
            <x v="0"/>
          </reference>
          <reference field="3" count="1" selected="0">
            <x v="158"/>
          </reference>
        </references>
      </pivotArea>
    </chartFormat>
    <chartFormat chart="0" format="187">
      <pivotArea type="data" outline="0" fieldPosition="0">
        <references count="2">
          <reference field="4294967294" count="1" selected="0">
            <x v="0"/>
          </reference>
          <reference field="3" count="1" selected="0">
            <x v="415"/>
          </reference>
        </references>
      </pivotArea>
    </chartFormat>
    <chartFormat chart="0" format="188">
      <pivotArea type="data" outline="0" fieldPosition="0">
        <references count="2">
          <reference field="4294967294" count="1" selected="0">
            <x v="0"/>
          </reference>
          <reference field="3" count="1" selected="0">
            <x v="333"/>
          </reference>
        </references>
      </pivotArea>
    </chartFormat>
    <chartFormat chart="0" format="189">
      <pivotArea type="data" outline="0" fieldPosition="0">
        <references count="2">
          <reference field="4294967294" count="1" selected="0">
            <x v="0"/>
          </reference>
          <reference field="3" count="1" selected="0">
            <x v="488"/>
          </reference>
        </references>
      </pivotArea>
    </chartFormat>
    <chartFormat chart="0" format="190">
      <pivotArea type="data" outline="0" fieldPosition="0">
        <references count="2">
          <reference field="4294967294" count="1" selected="0">
            <x v="0"/>
          </reference>
          <reference field="3" count="1" selected="0">
            <x v="7"/>
          </reference>
        </references>
      </pivotArea>
    </chartFormat>
    <chartFormat chart="0" format="191">
      <pivotArea type="data" outline="0" fieldPosition="0">
        <references count="2">
          <reference field="4294967294" count="1" selected="0">
            <x v="0"/>
          </reference>
          <reference field="3" count="1" selected="0">
            <x v="455"/>
          </reference>
        </references>
      </pivotArea>
    </chartFormat>
    <chartFormat chart="0" format="192">
      <pivotArea type="data" outline="0" fieldPosition="0">
        <references count="2">
          <reference field="4294967294" count="1" selected="0">
            <x v="0"/>
          </reference>
          <reference field="3" count="1" selected="0">
            <x v="132"/>
          </reference>
        </references>
      </pivotArea>
    </chartFormat>
    <chartFormat chart="0" format="193">
      <pivotArea type="data" outline="0" fieldPosition="0">
        <references count="2">
          <reference field="4294967294" count="1" selected="0">
            <x v="0"/>
          </reference>
          <reference field="3" count="1" selected="0">
            <x v="217"/>
          </reference>
        </references>
      </pivotArea>
    </chartFormat>
    <chartFormat chart="0" format="194">
      <pivotArea type="data" outline="0" fieldPosition="0">
        <references count="2">
          <reference field="4294967294" count="1" selected="0">
            <x v="0"/>
          </reference>
          <reference field="3" count="1" selected="0">
            <x v="20"/>
          </reference>
        </references>
      </pivotArea>
    </chartFormat>
    <chartFormat chart="0" format="195">
      <pivotArea type="data" outline="0" fieldPosition="0">
        <references count="2">
          <reference field="4294967294" count="1" selected="0">
            <x v="0"/>
          </reference>
          <reference field="3" count="1" selected="0">
            <x v="11"/>
          </reference>
        </references>
      </pivotArea>
    </chartFormat>
    <chartFormat chart="0" format="196">
      <pivotArea type="data" outline="0" fieldPosition="0">
        <references count="2">
          <reference field="4294967294" count="1" selected="0">
            <x v="0"/>
          </reference>
          <reference field="3" count="1" selected="0">
            <x v="362"/>
          </reference>
        </references>
      </pivotArea>
    </chartFormat>
    <chartFormat chart="0" format="197">
      <pivotArea type="data" outline="0" fieldPosition="0">
        <references count="2">
          <reference field="4294967294" count="1" selected="0">
            <x v="0"/>
          </reference>
          <reference field="3" count="1" selected="0">
            <x v="400"/>
          </reference>
        </references>
      </pivotArea>
    </chartFormat>
    <chartFormat chart="0" format="198">
      <pivotArea type="data" outline="0" fieldPosition="0">
        <references count="2">
          <reference field="4294967294" count="1" selected="0">
            <x v="0"/>
          </reference>
          <reference field="3" count="1" selected="0">
            <x v="178"/>
          </reference>
        </references>
      </pivotArea>
    </chartFormat>
    <chartFormat chart="0" format="199">
      <pivotArea type="data" outline="0" fieldPosition="0">
        <references count="2">
          <reference field="4294967294" count="1" selected="0">
            <x v="0"/>
          </reference>
          <reference field="3" count="1" selected="0">
            <x v="14"/>
          </reference>
        </references>
      </pivotArea>
    </chartFormat>
    <chartFormat chart="0" format="200">
      <pivotArea type="data" outline="0" fieldPosition="0">
        <references count="2">
          <reference field="4294967294" count="1" selected="0">
            <x v="0"/>
          </reference>
          <reference field="3" count="1" selected="0">
            <x v="398"/>
          </reference>
        </references>
      </pivotArea>
    </chartFormat>
    <chartFormat chart="0" format="201">
      <pivotArea type="data" outline="0" fieldPosition="0">
        <references count="2">
          <reference field="4294967294" count="1" selected="0">
            <x v="0"/>
          </reference>
          <reference field="3" count="1" selected="0">
            <x v="41"/>
          </reference>
        </references>
      </pivotArea>
    </chartFormat>
    <chartFormat chart="0" format="202">
      <pivotArea type="data" outline="0" fieldPosition="0">
        <references count="2">
          <reference field="4294967294" count="1" selected="0">
            <x v="0"/>
          </reference>
          <reference field="3" count="1" selected="0">
            <x v="24"/>
          </reference>
        </references>
      </pivotArea>
    </chartFormat>
    <chartFormat chart="0" format="203">
      <pivotArea type="data" outline="0" fieldPosition="0">
        <references count="2">
          <reference field="4294967294" count="1" selected="0">
            <x v="0"/>
          </reference>
          <reference field="3" count="1" selected="0">
            <x v="115"/>
          </reference>
        </references>
      </pivotArea>
    </chartFormat>
    <chartFormat chart="0" format="204">
      <pivotArea type="data" outline="0" fieldPosition="0">
        <references count="2">
          <reference field="4294967294" count="1" selected="0">
            <x v="0"/>
          </reference>
          <reference field="3" count="1" selected="0">
            <x v="285"/>
          </reference>
        </references>
      </pivotArea>
    </chartFormat>
    <chartFormat chart="0" format="205">
      <pivotArea type="data" outline="0" fieldPosition="0">
        <references count="2">
          <reference field="4294967294" count="1" selected="0">
            <x v="0"/>
          </reference>
          <reference field="3" count="1" selected="0">
            <x v="404"/>
          </reference>
        </references>
      </pivotArea>
    </chartFormat>
    <chartFormat chart="0" format="206">
      <pivotArea type="data" outline="0" fieldPosition="0">
        <references count="2">
          <reference field="4294967294" count="1" selected="0">
            <x v="0"/>
          </reference>
          <reference field="3" count="1" selected="0">
            <x v="172"/>
          </reference>
        </references>
      </pivotArea>
    </chartFormat>
    <chartFormat chart="0" format="207">
      <pivotArea type="data" outline="0" fieldPosition="0">
        <references count="2">
          <reference field="4294967294" count="1" selected="0">
            <x v="0"/>
          </reference>
          <reference field="3" count="1" selected="0">
            <x v="302"/>
          </reference>
        </references>
      </pivotArea>
    </chartFormat>
    <chartFormat chart="0" format="208">
      <pivotArea type="data" outline="0" fieldPosition="0">
        <references count="2">
          <reference field="4294967294" count="1" selected="0">
            <x v="0"/>
          </reference>
          <reference field="3" count="1" selected="0">
            <x v="392"/>
          </reference>
        </references>
      </pivotArea>
    </chartFormat>
    <chartFormat chart="0" format="209">
      <pivotArea type="data" outline="0" fieldPosition="0">
        <references count="2">
          <reference field="4294967294" count="1" selected="0">
            <x v="0"/>
          </reference>
          <reference field="3" count="1" selected="0">
            <x v="297"/>
          </reference>
        </references>
      </pivotArea>
    </chartFormat>
    <chartFormat chart="0" format="210">
      <pivotArea type="data" outline="0" fieldPosition="0">
        <references count="2">
          <reference field="4294967294" count="1" selected="0">
            <x v="0"/>
          </reference>
          <reference field="3" count="1" selected="0">
            <x v="149"/>
          </reference>
        </references>
      </pivotArea>
    </chartFormat>
    <chartFormat chart="0" format="211">
      <pivotArea type="data" outline="0" fieldPosition="0">
        <references count="2">
          <reference field="4294967294" count="1" selected="0">
            <x v="0"/>
          </reference>
          <reference field="3" count="1" selected="0">
            <x v="299"/>
          </reference>
        </references>
      </pivotArea>
    </chartFormat>
    <chartFormat chart="0" format="212">
      <pivotArea type="data" outline="0" fieldPosition="0">
        <references count="2">
          <reference field="4294967294" count="1" selected="0">
            <x v="0"/>
          </reference>
          <reference field="3" count="1" selected="0">
            <x v="377"/>
          </reference>
        </references>
      </pivotArea>
    </chartFormat>
    <chartFormat chart="0" format="213">
      <pivotArea type="data" outline="0" fieldPosition="0">
        <references count="2">
          <reference field="4294967294" count="1" selected="0">
            <x v="0"/>
          </reference>
          <reference field="3" count="1" selected="0">
            <x v="369"/>
          </reference>
        </references>
      </pivotArea>
    </chartFormat>
    <chartFormat chart="0" format="214">
      <pivotArea type="data" outline="0" fieldPosition="0">
        <references count="2">
          <reference field="4294967294" count="1" selected="0">
            <x v="0"/>
          </reference>
          <reference field="3" count="1" selected="0">
            <x v="382"/>
          </reference>
        </references>
      </pivotArea>
    </chartFormat>
    <chartFormat chart="0" format="215">
      <pivotArea type="data" outline="0" fieldPosition="0">
        <references count="2">
          <reference field="4294967294" count="1" selected="0">
            <x v="0"/>
          </reference>
          <reference field="3" count="1" selected="0">
            <x v="45"/>
          </reference>
        </references>
      </pivotArea>
    </chartFormat>
    <chartFormat chart="0" format="216">
      <pivotArea type="data" outline="0" fieldPosition="0">
        <references count="2">
          <reference field="4294967294" count="1" selected="0">
            <x v="0"/>
          </reference>
          <reference field="3" count="1" selected="0">
            <x v="439"/>
          </reference>
        </references>
      </pivotArea>
    </chartFormat>
    <chartFormat chart="0" format="217">
      <pivotArea type="data" outline="0" fieldPosition="0">
        <references count="2">
          <reference field="4294967294" count="1" selected="0">
            <x v="0"/>
          </reference>
          <reference field="3" count="1" selected="0">
            <x v="66"/>
          </reference>
        </references>
      </pivotArea>
    </chartFormat>
    <chartFormat chart="0" format="218">
      <pivotArea type="data" outline="0" fieldPosition="0">
        <references count="2">
          <reference field="4294967294" count="1" selected="0">
            <x v="0"/>
          </reference>
          <reference field="3" count="1" selected="0">
            <x v="421"/>
          </reference>
        </references>
      </pivotArea>
    </chartFormat>
    <chartFormat chart="0" format="219">
      <pivotArea type="data" outline="0" fieldPosition="0">
        <references count="2">
          <reference field="4294967294" count="1" selected="0">
            <x v="0"/>
          </reference>
          <reference field="3" count="1" selected="0">
            <x v="295"/>
          </reference>
        </references>
      </pivotArea>
    </chartFormat>
    <chartFormat chart="0" format="220">
      <pivotArea type="data" outline="0" fieldPosition="0">
        <references count="2">
          <reference field="4294967294" count="1" selected="0">
            <x v="0"/>
          </reference>
          <reference field="3" count="1" selected="0">
            <x v="92"/>
          </reference>
        </references>
      </pivotArea>
    </chartFormat>
    <chartFormat chart="0" format="221">
      <pivotArea type="data" outline="0" fieldPosition="0">
        <references count="2">
          <reference field="4294967294" count="1" selected="0">
            <x v="0"/>
          </reference>
          <reference field="3" count="1" selected="0">
            <x v="202"/>
          </reference>
        </references>
      </pivotArea>
    </chartFormat>
    <chartFormat chart="0" format="222">
      <pivotArea type="data" outline="0" fieldPosition="0">
        <references count="2">
          <reference field="4294967294" count="1" selected="0">
            <x v="0"/>
          </reference>
          <reference field="3" count="1" selected="0">
            <x v="1"/>
          </reference>
        </references>
      </pivotArea>
    </chartFormat>
    <chartFormat chart="0" format="223">
      <pivotArea type="data" outline="0" fieldPosition="0">
        <references count="2">
          <reference field="4294967294" count="1" selected="0">
            <x v="0"/>
          </reference>
          <reference field="3" count="1" selected="0">
            <x v="97"/>
          </reference>
        </references>
      </pivotArea>
    </chartFormat>
    <chartFormat chart="0" format="224">
      <pivotArea type="data" outline="0" fieldPosition="0">
        <references count="2">
          <reference field="4294967294" count="1" selected="0">
            <x v="0"/>
          </reference>
          <reference field="3" count="1" selected="0">
            <x v="12"/>
          </reference>
        </references>
      </pivotArea>
    </chartFormat>
    <chartFormat chart="0" format="225">
      <pivotArea type="data" outline="0" fieldPosition="0">
        <references count="2">
          <reference field="4294967294" count="1" selected="0">
            <x v="0"/>
          </reference>
          <reference field="3" count="1" selected="0">
            <x v="460"/>
          </reference>
        </references>
      </pivotArea>
    </chartFormat>
    <chartFormat chart="0" format="226">
      <pivotArea type="data" outline="0" fieldPosition="0">
        <references count="2">
          <reference field="4294967294" count="1" selected="0">
            <x v="0"/>
          </reference>
          <reference field="3" count="1" selected="0">
            <x v="159"/>
          </reference>
        </references>
      </pivotArea>
    </chartFormat>
    <chartFormat chart="0" format="227">
      <pivotArea type="data" outline="0" fieldPosition="0">
        <references count="2">
          <reference field="4294967294" count="1" selected="0">
            <x v="0"/>
          </reference>
          <reference field="3" count="1" selected="0">
            <x v="176"/>
          </reference>
        </references>
      </pivotArea>
    </chartFormat>
    <chartFormat chart="0" format="228">
      <pivotArea type="data" outline="0" fieldPosition="0">
        <references count="2">
          <reference field="4294967294" count="1" selected="0">
            <x v="0"/>
          </reference>
          <reference field="3" count="1" selected="0">
            <x v="208"/>
          </reference>
        </references>
      </pivotArea>
    </chartFormat>
    <chartFormat chart="0" format="229">
      <pivotArea type="data" outline="0" fieldPosition="0">
        <references count="2">
          <reference field="4294967294" count="1" selected="0">
            <x v="0"/>
          </reference>
          <reference field="3" count="1" selected="0">
            <x v="88"/>
          </reference>
        </references>
      </pivotArea>
    </chartFormat>
    <chartFormat chart="0" format="230">
      <pivotArea type="data" outline="0" fieldPosition="0">
        <references count="2">
          <reference field="4294967294" count="1" selected="0">
            <x v="0"/>
          </reference>
          <reference field="3" count="1" selected="0">
            <x v="344"/>
          </reference>
        </references>
      </pivotArea>
    </chartFormat>
    <chartFormat chart="0" format="231">
      <pivotArea type="data" outline="0" fieldPosition="0">
        <references count="2">
          <reference field="4294967294" count="1" selected="0">
            <x v="0"/>
          </reference>
          <reference field="3" count="1" selected="0">
            <x v="356"/>
          </reference>
        </references>
      </pivotArea>
    </chartFormat>
    <chartFormat chart="0" format="232">
      <pivotArea type="data" outline="0" fieldPosition="0">
        <references count="2">
          <reference field="4294967294" count="1" selected="0">
            <x v="0"/>
          </reference>
          <reference field="3" count="1" selected="0">
            <x v="332"/>
          </reference>
        </references>
      </pivotArea>
    </chartFormat>
    <chartFormat chart="0" format="233">
      <pivotArea type="data" outline="0" fieldPosition="0">
        <references count="2">
          <reference field="4294967294" count="1" selected="0">
            <x v="0"/>
          </reference>
          <reference field="3" count="1" selected="0">
            <x v="290"/>
          </reference>
        </references>
      </pivotArea>
    </chartFormat>
    <chartFormat chart="0" format="234">
      <pivotArea type="data" outline="0" fieldPosition="0">
        <references count="2">
          <reference field="4294967294" count="1" selected="0">
            <x v="0"/>
          </reference>
          <reference field="3" count="1" selected="0">
            <x v="126"/>
          </reference>
        </references>
      </pivotArea>
    </chartFormat>
    <chartFormat chart="0" format="235">
      <pivotArea type="data" outline="0" fieldPosition="0">
        <references count="2">
          <reference field="4294967294" count="1" selected="0">
            <x v="0"/>
          </reference>
          <reference field="3" count="1" selected="0">
            <x v="348"/>
          </reference>
        </references>
      </pivotArea>
    </chartFormat>
    <chartFormat chart="0" format="236">
      <pivotArea type="data" outline="0" fieldPosition="0">
        <references count="2">
          <reference field="4294967294" count="1" selected="0">
            <x v="0"/>
          </reference>
          <reference field="3" count="1" selected="0">
            <x v="198"/>
          </reference>
        </references>
      </pivotArea>
    </chartFormat>
    <chartFormat chart="0" format="237">
      <pivotArea type="data" outline="0" fieldPosition="0">
        <references count="2">
          <reference field="4294967294" count="1" selected="0">
            <x v="0"/>
          </reference>
          <reference field="3" count="1" selected="0">
            <x v="279"/>
          </reference>
        </references>
      </pivotArea>
    </chartFormat>
    <chartFormat chart="0" format="238">
      <pivotArea type="data" outline="0" fieldPosition="0">
        <references count="2">
          <reference field="4294967294" count="1" selected="0">
            <x v="0"/>
          </reference>
          <reference field="3" count="1" selected="0">
            <x v="6"/>
          </reference>
        </references>
      </pivotArea>
    </chartFormat>
    <chartFormat chart="0" format="239">
      <pivotArea type="data" outline="0" fieldPosition="0">
        <references count="2">
          <reference field="4294967294" count="1" selected="0">
            <x v="0"/>
          </reference>
          <reference field="3" count="1" selected="0">
            <x v="82"/>
          </reference>
        </references>
      </pivotArea>
    </chartFormat>
    <chartFormat chart="0" format="240">
      <pivotArea type="data" outline="0" fieldPosition="0">
        <references count="2">
          <reference field="4294967294" count="1" selected="0">
            <x v="0"/>
          </reference>
          <reference field="3" count="1" selected="0">
            <x v="346"/>
          </reference>
        </references>
      </pivotArea>
    </chartFormat>
    <chartFormat chart="0" format="241">
      <pivotArea type="data" outline="0" fieldPosition="0">
        <references count="2">
          <reference field="4294967294" count="1" selected="0">
            <x v="0"/>
          </reference>
          <reference field="3" count="1" selected="0">
            <x v="150"/>
          </reference>
        </references>
      </pivotArea>
    </chartFormat>
    <chartFormat chart="0" format="242">
      <pivotArea type="data" outline="0" fieldPosition="0">
        <references count="2">
          <reference field="4294967294" count="1" selected="0">
            <x v="0"/>
          </reference>
          <reference field="3" count="1" selected="0">
            <x v="143"/>
          </reference>
        </references>
      </pivotArea>
    </chartFormat>
    <chartFormat chart="0" format="243">
      <pivotArea type="data" outline="0" fieldPosition="0">
        <references count="2">
          <reference field="4294967294" count="1" selected="0">
            <x v="0"/>
          </reference>
          <reference field="3" count="1" selected="0">
            <x v="338"/>
          </reference>
        </references>
      </pivotArea>
    </chartFormat>
    <chartFormat chart="0" format="244">
      <pivotArea type="data" outline="0" fieldPosition="0">
        <references count="2">
          <reference field="4294967294" count="1" selected="0">
            <x v="0"/>
          </reference>
          <reference field="3" count="1" selected="0">
            <x v="71"/>
          </reference>
        </references>
      </pivotArea>
    </chartFormat>
    <chartFormat chart="0" format="245">
      <pivotArea type="data" outline="0" fieldPosition="0">
        <references count="2">
          <reference field="4294967294" count="1" selected="0">
            <x v="0"/>
          </reference>
          <reference field="3" count="1" selected="0">
            <x v="364"/>
          </reference>
        </references>
      </pivotArea>
    </chartFormat>
    <chartFormat chart="0" format="246">
      <pivotArea type="data" outline="0" fieldPosition="0">
        <references count="2">
          <reference field="4294967294" count="1" selected="0">
            <x v="0"/>
          </reference>
          <reference field="3" count="1" selected="0">
            <x v="461"/>
          </reference>
        </references>
      </pivotArea>
    </chartFormat>
    <chartFormat chart="0" format="247">
      <pivotArea type="data" outline="0" fieldPosition="0">
        <references count="2">
          <reference field="4294967294" count="1" selected="0">
            <x v="0"/>
          </reference>
          <reference field="3" count="1" selected="0">
            <x v="215"/>
          </reference>
        </references>
      </pivotArea>
    </chartFormat>
    <chartFormat chart="0" format="248">
      <pivotArea type="data" outline="0" fieldPosition="0">
        <references count="2">
          <reference field="4294967294" count="1" selected="0">
            <x v="0"/>
          </reference>
          <reference field="3" count="1" selected="0">
            <x v="474"/>
          </reference>
        </references>
      </pivotArea>
    </chartFormat>
    <chartFormat chart="0" format="249">
      <pivotArea type="data" outline="0" fieldPosition="0">
        <references count="2">
          <reference field="4294967294" count="1" selected="0">
            <x v="0"/>
          </reference>
          <reference field="3" count="1" selected="0">
            <x v="77"/>
          </reference>
        </references>
      </pivotArea>
    </chartFormat>
    <chartFormat chart="0" format="250">
      <pivotArea type="data" outline="0" fieldPosition="0">
        <references count="2">
          <reference field="4294967294" count="1" selected="0">
            <x v="0"/>
          </reference>
          <reference field="3" count="1" selected="0">
            <x v="444"/>
          </reference>
        </references>
      </pivotArea>
    </chartFormat>
    <chartFormat chart="0" format="251">
      <pivotArea type="data" outline="0" fieldPosition="0">
        <references count="2">
          <reference field="4294967294" count="1" selected="0">
            <x v="0"/>
          </reference>
          <reference field="3" count="1" selected="0">
            <x v="229"/>
          </reference>
        </references>
      </pivotArea>
    </chartFormat>
    <chartFormat chart="0" format="252">
      <pivotArea type="data" outline="0" fieldPosition="0">
        <references count="2">
          <reference field="4294967294" count="1" selected="0">
            <x v="0"/>
          </reference>
          <reference field="3" count="1" selected="0">
            <x v="318"/>
          </reference>
        </references>
      </pivotArea>
    </chartFormat>
    <chartFormat chart="0" format="253">
      <pivotArea type="data" outline="0" fieldPosition="0">
        <references count="2">
          <reference field="4294967294" count="1" selected="0">
            <x v="0"/>
          </reference>
          <reference field="3" count="1" selected="0">
            <x v="117"/>
          </reference>
        </references>
      </pivotArea>
    </chartFormat>
    <chartFormat chart="0" format="254">
      <pivotArea type="data" outline="0" fieldPosition="0">
        <references count="2">
          <reference field="4294967294" count="1" selected="0">
            <x v="0"/>
          </reference>
          <reference field="3" count="1" selected="0">
            <x v="342"/>
          </reference>
        </references>
      </pivotArea>
    </chartFormat>
    <chartFormat chart="0" format="255">
      <pivotArea type="data" outline="0" fieldPosition="0">
        <references count="2">
          <reference field="4294967294" count="1" selected="0">
            <x v="0"/>
          </reference>
          <reference field="3" count="1" selected="0">
            <x v="411"/>
          </reference>
        </references>
      </pivotArea>
    </chartFormat>
    <chartFormat chart="0" format="256">
      <pivotArea type="data" outline="0" fieldPosition="0">
        <references count="2">
          <reference field="4294967294" count="1" selected="0">
            <x v="0"/>
          </reference>
          <reference field="3" count="1" selected="0">
            <x v="402"/>
          </reference>
        </references>
      </pivotArea>
    </chartFormat>
    <chartFormat chart="0" format="257">
      <pivotArea type="data" outline="0" fieldPosition="0">
        <references count="2">
          <reference field="4294967294" count="1" selected="0">
            <x v="0"/>
          </reference>
          <reference field="3" count="1" selected="0">
            <x v="30"/>
          </reference>
        </references>
      </pivotArea>
    </chartFormat>
    <chartFormat chart="0" format="258">
      <pivotArea type="data" outline="0" fieldPosition="0">
        <references count="2">
          <reference field="4294967294" count="1" selected="0">
            <x v="0"/>
          </reference>
          <reference field="3" count="1" selected="0">
            <x v="355"/>
          </reference>
        </references>
      </pivotArea>
    </chartFormat>
    <chartFormat chart="0" format="259">
      <pivotArea type="data" outline="0" fieldPosition="0">
        <references count="2">
          <reference field="4294967294" count="1" selected="0">
            <x v="0"/>
          </reference>
          <reference field="3" count="1" selected="0">
            <x v="384"/>
          </reference>
        </references>
      </pivotArea>
    </chartFormat>
    <chartFormat chart="0" format="260">
      <pivotArea type="data" outline="0" fieldPosition="0">
        <references count="2">
          <reference field="4294967294" count="1" selected="0">
            <x v="0"/>
          </reference>
          <reference field="3" count="1" selected="0">
            <x v="72"/>
          </reference>
        </references>
      </pivotArea>
    </chartFormat>
    <chartFormat chart="0" format="261">
      <pivotArea type="data" outline="0" fieldPosition="0">
        <references count="2">
          <reference field="4294967294" count="1" selected="0">
            <x v="0"/>
          </reference>
          <reference field="3" count="1" selected="0">
            <x v="56"/>
          </reference>
        </references>
      </pivotArea>
    </chartFormat>
    <chartFormat chart="0" format="262">
      <pivotArea type="data" outline="0" fieldPosition="0">
        <references count="2">
          <reference field="4294967294" count="1" selected="0">
            <x v="0"/>
          </reference>
          <reference field="3" count="1" selected="0">
            <x v="60"/>
          </reference>
        </references>
      </pivotArea>
    </chartFormat>
    <chartFormat chart="0" format="263">
      <pivotArea type="data" outline="0" fieldPosition="0">
        <references count="2">
          <reference field="4294967294" count="1" selected="0">
            <x v="0"/>
          </reference>
          <reference field="3" count="1" selected="0">
            <x v="329"/>
          </reference>
        </references>
      </pivotArea>
    </chartFormat>
    <chartFormat chart="0" format="264">
      <pivotArea type="data" outline="0" fieldPosition="0">
        <references count="2">
          <reference field="4294967294" count="1" selected="0">
            <x v="0"/>
          </reference>
          <reference field="3" count="1" selected="0">
            <x v="170"/>
          </reference>
        </references>
      </pivotArea>
    </chartFormat>
    <chartFormat chart="0" format="265">
      <pivotArea type="data" outline="0" fieldPosition="0">
        <references count="2">
          <reference field="4294967294" count="1" selected="0">
            <x v="0"/>
          </reference>
          <reference field="3" count="1" selected="0">
            <x v="322"/>
          </reference>
        </references>
      </pivotArea>
    </chartFormat>
    <chartFormat chart="0" format="266">
      <pivotArea type="data" outline="0" fieldPosition="0">
        <references count="2">
          <reference field="4294967294" count="1" selected="0">
            <x v="0"/>
          </reference>
          <reference field="3" count="1" selected="0">
            <x v="341"/>
          </reference>
        </references>
      </pivotArea>
    </chartFormat>
    <chartFormat chart="0" format="267">
      <pivotArea type="data" outline="0" fieldPosition="0">
        <references count="2">
          <reference field="4294967294" count="1" selected="0">
            <x v="0"/>
          </reference>
          <reference field="3" count="1" selected="0">
            <x v="224"/>
          </reference>
        </references>
      </pivotArea>
    </chartFormat>
    <chartFormat chart="0" format="268">
      <pivotArea type="data" outline="0" fieldPosition="0">
        <references count="2">
          <reference field="4294967294" count="1" selected="0">
            <x v="0"/>
          </reference>
          <reference field="3" count="1" selected="0">
            <x v="47"/>
          </reference>
        </references>
      </pivotArea>
    </chartFormat>
    <chartFormat chart="0" format="269">
      <pivotArea type="data" outline="0" fieldPosition="0">
        <references count="2">
          <reference field="4294967294" count="1" selected="0">
            <x v="0"/>
          </reference>
          <reference field="3" count="1" selected="0">
            <x v="433"/>
          </reference>
        </references>
      </pivotArea>
    </chartFormat>
    <chartFormat chart="0" format="270">
      <pivotArea type="data" outline="0" fieldPosition="0">
        <references count="2">
          <reference field="4294967294" count="1" selected="0">
            <x v="0"/>
          </reference>
          <reference field="3" count="1" selected="0">
            <x v="221"/>
          </reference>
        </references>
      </pivotArea>
    </chartFormat>
    <chartFormat chart="0" format="271">
      <pivotArea type="data" outline="0" fieldPosition="0">
        <references count="2">
          <reference field="4294967294" count="1" selected="0">
            <x v="0"/>
          </reference>
          <reference field="3" count="1" selected="0">
            <x v="335"/>
          </reference>
        </references>
      </pivotArea>
    </chartFormat>
    <chartFormat chart="0" format="272">
      <pivotArea type="data" outline="0" fieldPosition="0">
        <references count="2">
          <reference field="4294967294" count="1" selected="0">
            <x v="0"/>
          </reference>
          <reference field="3" count="1" selected="0">
            <x v="59"/>
          </reference>
        </references>
      </pivotArea>
    </chartFormat>
    <chartFormat chart="0" format="273">
      <pivotArea type="data" outline="0" fieldPosition="0">
        <references count="2">
          <reference field="4294967294" count="1" selected="0">
            <x v="0"/>
          </reference>
          <reference field="3" count="1" selected="0">
            <x v="320"/>
          </reference>
        </references>
      </pivotArea>
    </chartFormat>
    <chartFormat chart="6" format="823" series="1">
      <pivotArea type="data" outline="0" fieldPosition="0">
        <references count="1">
          <reference field="4294967294" count="1" selected="0">
            <x v="0"/>
          </reference>
        </references>
      </pivotArea>
    </chartFormat>
    <chartFormat chart="6" format="824">
      <pivotArea type="data" outline="0" fieldPosition="0">
        <references count="2">
          <reference field="4294967294" count="1" selected="0">
            <x v="0"/>
          </reference>
          <reference field="3" count="1" selected="0">
            <x v="476"/>
          </reference>
        </references>
      </pivotArea>
    </chartFormat>
    <chartFormat chart="6" format="825">
      <pivotArea type="data" outline="0" fieldPosition="0">
        <references count="2">
          <reference field="4294967294" count="1" selected="0">
            <x v="0"/>
          </reference>
          <reference field="3" count="1" selected="0">
            <x v="8"/>
          </reference>
        </references>
      </pivotArea>
    </chartFormat>
    <chartFormat chart="6" format="826">
      <pivotArea type="data" outline="0" fieldPosition="0">
        <references count="2">
          <reference field="4294967294" count="1" selected="0">
            <x v="0"/>
          </reference>
          <reference field="3" count="1" selected="0">
            <x v="343"/>
          </reference>
        </references>
      </pivotArea>
    </chartFormat>
    <chartFormat chart="6" format="827">
      <pivotArea type="data" outline="0" fieldPosition="0">
        <references count="2">
          <reference field="4294967294" count="1" selected="0">
            <x v="0"/>
          </reference>
          <reference field="3" count="1" selected="0">
            <x v="21"/>
          </reference>
        </references>
      </pivotArea>
    </chartFormat>
    <chartFormat chart="6" format="828">
      <pivotArea type="data" outline="0" fieldPosition="0">
        <references count="2">
          <reference field="4294967294" count="1" selected="0">
            <x v="0"/>
          </reference>
          <reference field="3" count="1" selected="0">
            <x v="280"/>
          </reference>
        </references>
      </pivotArea>
    </chartFormat>
    <chartFormat chart="6" format="829">
      <pivotArea type="data" outline="0" fieldPosition="0">
        <references count="2">
          <reference field="4294967294" count="1" selected="0">
            <x v="0"/>
          </reference>
          <reference field="3" count="1" selected="0">
            <x v="399"/>
          </reference>
        </references>
      </pivotArea>
    </chartFormat>
    <chartFormat chart="6" format="830">
      <pivotArea type="data" outline="0" fieldPosition="0">
        <references count="2">
          <reference field="4294967294" count="1" selected="0">
            <x v="0"/>
          </reference>
          <reference field="3" count="1" selected="0">
            <x v="394"/>
          </reference>
        </references>
      </pivotArea>
    </chartFormat>
    <chartFormat chart="6" format="831">
      <pivotArea type="data" outline="0" fieldPosition="0">
        <references count="2">
          <reference field="4294967294" count="1" selected="0">
            <x v="0"/>
          </reference>
          <reference field="3" count="1" selected="0">
            <x v="180"/>
          </reference>
        </references>
      </pivotArea>
    </chartFormat>
    <chartFormat chart="6" format="832">
      <pivotArea type="data" outline="0" fieldPosition="0">
        <references count="2">
          <reference field="4294967294" count="1" selected="0">
            <x v="0"/>
          </reference>
          <reference field="3" count="1" selected="0">
            <x v="235"/>
          </reference>
        </references>
      </pivotArea>
    </chartFormat>
    <chartFormat chart="6" format="833">
      <pivotArea type="data" outline="0" fieldPosition="0">
        <references count="2">
          <reference field="4294967294" count="1" selected="0">
            <x v="0"/>
          </reference>
          <reference field="3" count="1" selected="0">
            <x v="321"/>
          </reference>
        </references>
      </pivotArea>
    </chartFormat>
    <chartFormat chart="6" format="834">
      <pivotArea type="data" outline="0" fieldPosition="0">
        <references count="2">
          <reference field="4294967294" count="1" selected="0">
            <x v="0"/>
          </reference>
          <reference field="3" count="1" selected="0">
            <x v="139"/>
          </reference>
        </references>
      </pivotArea>
    </chartFormat>
    <chartFormat chart="6" format="835">
      <pivotArea type="data" outline="0" fieldPosition="0">
        <references count="2">
          <reference field="4294967294" count="1" selected="0">
            <x v="0"/>
          </reference>
          <reference field="3" count="1" selected="0">
            <x v="205"/>
          </reference>
        </references>
      </pivotArea>
    </chartFormat>
    <chartFormat chart="6" format="836">
      <pivotArea type="data" outline="0" fieldPosition="0">
        <references count="2">
          <reference field="4294967294" count="1" selected="0">
            <x v="0"/>
          </reference>
          <reference field="3" count="1" selected="0">
            <x v="495"/>
          </reference>
        </references>
      </pivotArea>
    </chartFormat>
    <chartFormat chart="6" format="837">
      <pivotArea type="data" outline="0" fieldPosition="0">
        <references count="2">
          <reference field="4294967294" count="1" selected="0">
            <x v="0"/>
          </reference>
          <reference field="3" count="1" selected="0">
            <x v="359"/>
          </reference>
        </references>
      </pivotArea>
    </chartFormat>
    <chartFormat chart="6" format="838">
      <pivotArea type="data" outline="0" fieldPosition="0">
        <references count="2">
          <reference field="4294967294" count="1" selected="0">
            <x v="0"/>
          </reference>
          <reference field="3" count="1" selected="0">
            <x v="203"/>
          </reference>
        </references>
      </pivotArea>
    </chartFormat>
    <chartFormat chart="6" format="839">
      <pivotArea type="data" outline="0" fieldPosition="0">
        <references count="2">
          <reference field="4294967294" count="1" selected="0">
            <x v="0"/>
          </reference>
          <reference field="3" count="1" selected="0">
            <x v="454"/>
          </reference>
        </references>
      </pivotArea>
    </chartFormat>
    <chartFormat chart="6" format="840">
      <pivotArea type="data" outline="0" fieldPosition="0">
        <references count="2">
          <reference field="4294967294" count="1" selected="0">
            <x v="0"/>
          </reference>
          <reference field="3" count="1" selected="0">
            <x v="487"/>
          </reference>
        </references>
      </pivotArea>
    </chartFormat>
    <chartFormat chart="6" format="841">
      <pivotArea type="data" outline="0" fieldPosition="0">
        <references count="2">
          <reference field="4294967294" count="1" selected="0">
            <x v="0"/>
          </reference>
          <reference field="3" count="1" selected="0">
            <x v="397"/>
          </reference>
        </references>
      </pivotArea>
    </chartFormat>
    <chartFormat chart="6" format="842">
      <pivotArea type="data" outline="0" fieldPosition="0">
        <references count="2">
          <reference field="4294967294" count="1" selected="0">
            <x v="0"/>
          </reference>
          <reference field="3" count="1" selected="0">
            <x v="486"/>
          </reference>
        </references>
      </pivotArea>
    </chartFormat>
    <chartFormat chart="6" format="843">
      <pivotArea type="data" outline="0" fieldPosition="0">
        <references count="2">
          <reference field="4294967294" count="1" selected="0">
            <x v="0"/>
          </reference>
          <reference field="3" count="1" selected="0">
            <x v="403"/>
          </reference>
        </references>
      </pivotArea>
    </chartFormat>
    <chartFormat chart="6" format="844">
      <pivotArea type="data" outline="0" fieldPosition="0">
        <references count="2">
          <reference field="4294967294" count="1" selected="0">
            <x v="0"/>
          </reference>
          <reference field="3" count="1" selected="0">
            <x v="156"/>
          </reference>
        </references>
      </pivotArea>
    </chartFormat>
    <chartFormat chart="6" format="845">
      <pivotArea type="data" outline="0" fieldPosition="0">
        <references count="2">
          <reference field="4294967294" count="1" selected="0">
            <x v="0"/>
          </reference>
          <reference field="3" count="1" selected="0">
            <x v="54"/>
          </reference>
        </references>
      </pivotArea>
    </chartFormat>
    <chartFormat chart="6" format="846">
      <pivotArea type="data" outline="0" fieldPosition="0">
        <references count="2">
          <reference field="4294967294" count="1" selected="0">
            <x v="0"/>
          </reference>
          <reference field="3" count="1" selected="0">
            <x v="182"/>
          </reference>
        </references>
      </pivotArea>
    </chartFormat>
    <chartFormat chart="6" format="847">
      <pivotArea type="data" outline="0" fieldPosition="0">
        <references count="2">
          <reference field="4294967294" count="1" selected="0">
            <x v="0"/>
          </reference>
          <reference field="3" count="1" selected="0">
            <x v="478"/>
          </reference>
        </references>
      </pivotArea>
    </chartFormat>
    <chartFormat chart="6" format="848">
      <pivotArea type="data" outline="0" fieldPosition="0">
        <references count="2">
          <reference field="4294967294" count="1" selected="0">
            <x v="0"/>
          </reference>
          <reference field="3" count="1" selected="0">
            <x v="449"/>
          </reference>
        </references>
      </pivotArea>
    </chartFormat>
    <chartFormat chart="6" format="849">
      <pivotArea type="data" outline="0" fieldPosition="0">
        <references count="2">
          <reference field="4294967294" count="1" selected="0">
            <x v="0"/>
          </reference>
          <reference field="3" count="1" selected="0">
            <x v="15"/>
          </reference>
        </references>
      </pivotArea>
    </chartFormat>
    <chartFormat chart="6" format="850">
      <pivotArea type="data" outline="0" fieldPosition="0">
        <references count="2">
          <reference field="4294967294" count="1" selected="0">
            <x v="0"/>
          </reference>
          <reference field="3" count="1" selected="0">
            <x v="193"/>
          </reference>
        </references>
      </pivotArea>
    </chartFormat>
    <chartFormat chart="6" format="851">
      <pivotArea type="data" outline="0" fieldPosition="0">
        <references count="2">
          <reference field="4294967294" count="1" selected="0">
            <x v="0"/>
          </reference>
          <reference field="3" count="1" selected="0">
            <x v="372"/>
          </reference>
        </references>
      </pivotArea>
    </chartFormat>
    <chartFormat chart="6" format="852">
      <pivotArea type="data" outline="0" fieldPosition="0">
        <references count="2">
          <reference field="4294967294" count="1" selected="0">
            <x v="0"/>
          </reference>
          <reference field="3" count="1" selected="0">
            <x v="471"/>
          </reference>
        </references>
      </pivotArea>
    </chartFormat>
    <chartFormat chart="6" format="853">
      <pivotArea type="data" outline="0" fieldPosition="0">
        <references count="2">
          <reference field="4294967294" count="1" selected="0">
            <x v="0"/>
          </reference>
          <reference field="3" count="1" selected="0">
            <x v="265"/>
          </reference>
        </references>
      </pivotArea>
    </chartFormat>
    <chartFormat chart="6" format="854">
      <pivotArea type="data" outline="0" fieldPosition="0">
        <references count="2">
          <reference field="4294967294" count="1" selected="0">
            <x v="0"/>
          </reference>
          <reference field="3" count="1" selected="0">
            <x v="366"/>
          </reference>
        </references>
      </pivotArea>
    </chartFormat>
    <chartFormat chart="6" format="855">
      <pivotArea type="data" outline="0" fieldPosition="0">
        <references count="2">
          <reference field="4294967294" count="1" selected="0">
            <x v="0"/>
          </reference>
          <reference field="3" count="1" selected="0">
            <x v="63"/>
          </reference>
        </references>
      </pivotArea>
    </chartFormat>
    <chartFormat chart="6" format="856">
      <pivotArea type="data" outline="0" fieldPosition="0">
        <references count="2">
          <reference field="4294967294" count="1" selected="0">
            <x v="0"/>
          </reference>
          <reference field="3" count="1" selected="0">
            <x v="309"/>
          </reference>
        </references>
      </pivotArea>
    </chartFormat>
    <chartFormat chart="6" format="857">
      <pivotArea type="data" outline="0" fieldPosition="0">
        <references count="2">
          <reference field="4294967294" count="1" selected="0">
            <x v="0"/>
          </reference>
          <reference field="3" count="1" selected="0">
            <x v="292"/>
          </reference>
        </references>
      </pivotArea>
    </chartFormat>
    <chartFormat chart="6" format="858">
      <pivotArea type="data" outline="0" fieldPosition="0">
        <references count="2">
          <reference field="4294967294" count="1" selected="0">
            <x v="0"/>
          </reference>
          <reference field="3" count="1" selected="0">
            <x v="326"/>
          </reference>
        </references>
      </pivotArea>
    </chartFormat>
    <chartFormat chart="6" format="859">
      <pivotArea type="data" outline="0" fieldPosition="0">
        <references count="2">
          <reference field="4294967294" count="1" selected="0">
            <x v="0"/>
          </reference>
          <reference field="3" count="1" selected="0">
            <x v="423"/>
          </reference>
        </references>
      </pivotArea>
    </chartFormat>
    <chartFormat chart="6" format="860">
      <pivotArea type="data" outline="0" fieldPosition="0">
        <references count="2">
          <reference field="4294967294" count="1" selected="0">
            <x v="0"/>
          </reference>
          <reference field="3" count="1" selected="0">
            <x v="276"/>
          </reference>
        </references>
      </pivotArea>
    </chartFormat>
    <chartFormat chart="6" format="861">
      <pivotArea type="data" outline="0" fieldPosition="0">
        <references count="2">
          <reference field="4294967294" count="1" selected="0">
            <x v="0"/>
          </reference>
          <reference field="3" count="1" selected="0">
            <x v="79"/>
          </reference>
        </references>
      </pivotArea>
    </chartFormat>
    <chartFormat chart="6" format="862">
      <pivotArea type="data" outline="0" fieldPosition="0">
        <references count="2">
          <reference field="4294967294" count="1" selected="0">
            <x v="0"/>
          </reference>
          <reference field="3" count="1" selected="0">
            <x v="210"/>
          </reference>
        </references>
      </pivotArea>
    </chartFormat>
    <chartFormat chart="6" format="863">
      <pivotArea type="data" outline="0" fieldPosition="0">
        <references count="2">
          <reference field="4294967294" count="1" selected="0">
            <x v="0"/>
          </reference>
          <reference field="3" count="1" selected="0">
            <x v="225"/>
          </reference>
        </references>
      </pivotArea>
    </chartFormat>
    <chartFormat chart="6" format="864">
      <pivotArea type="data" outline="0" fieldPosition="0">
        <references count="2">
          <reference field="4294967294" count="1" selected="0">
            <x v="0"/>
          </reference>
          <reference field="3" count="1" selected="0">
            <x v="410"/>
          </reference>
        </references>
      </pivotArea>
    </chartFormat>
    <chartFormat chart="6" format="865">
      <pivotArea type="data" outline="0" fieldPosition="0">
        <references count="2">
          <reference field="4294967294" count="1" selected="0">
            <x v="0"/>
          </reference>
          <reference field="3" count="1" selected="0">
            <x v="201"/>
          </reference>
        </references>
      </pivotArea>
    </chartFormat>
    <chartFormat chart="6" format="866">
      <pivotArea type="data" outline="0" fieldPosition="0">
        <references count="2">
          <reference field="4294967294" count="1" selected="0">
            <x v="0"/>
          </reference>
          <reference field="3" count="1" selected="0">
            <x v="281"/>
          </reference>
        </references>
      </pivotArea>
    </chartFormat>
    <chartFormat chart="6" format="867">
      <pivotArea type="data" outline="0" fieldPosition="0">
        <references count="2">
          <reference field="4294967294" count="1" selected="0">
            <x v="0"/>
          </reference>
          <reference field="3" count="1" selected="0">
            <x v="151"/>
          </reference>
        </references>
      </pivotArea>
    </chartFormat>
    <chartFormat chart="6" format="868">
      <pivotArea type="data" outline="0" fieldPosition="0">
        <references count="2">
          <reference field="4294967294" count="1" selected="0">
            <x v="0"/>
          </reference>
          <reference field="3" count="1" selected="0">
            <x v="490"/>
          </reference>
        </references>
      </pivotArea>
    </chartFormat>
    <chartFormat chart="6" format="869">
      <pivotArea type="data" outline="0" fieldPosition="0">
        <references count="2">
          <reference field="4294967294" count="1" selected="0">
            <x v="0"/>
          </reference>
          <reference field="3" count="1" selected="0">
            <x v="125"/>
          </reference>
        </references>
      </pivotArea>
    </chartFormat>
    <chartFormat chart="6" format="870">
      <pivotArea type="data" outline="0" fieldPosition="0">
        <references count="2">
          <reference field="4294967294" count="1" selected="0">
            <x v="0"/>
          </reference>
          <reference field="3" count="1" selected="0">
            <x v="450"/>
          </reference>
        </references>
      </pivotArea>
    </chartFormat>
    <chartFormat chart="6" format="871">
      <pivotArea type="data" outline="0" fieldPosition="0">
        <references count="2">
          <reference field="4294967294" count="1" selected="0">
            <x v="0"/>
          </reference>
          <reference field="3" count="1" selected="0">
            <x v="116"/>
          </reference>
        </references>
      </pivotArea>
    </chartFormat>
    <chartFormat chart="6" format="872">
      <pivotArea type="data" outline="0" fieldPosition="0">
        <references count="2">
          <reference field="4294967294" count="1" selected="0">
            <x v="0"/>
          </reference>
          <reference field="3" count="1" selected="0">
            <x v="244"/>
          </reference>
        </references>
      </pivotArea>
    </chartFormat>
    <chartFormat chart="6" format="873">
      <pivotArea type="data" outline="0" fieldPosition="0">
        <references count="2">
          <reference field="4294967294" count="1" selected="0">
            <x v="0"/>
          </reference>
          <reference field="3" count="1" selected="0">
            <x v="94"/>
          </reference>
        </references>
      </pivotArea>
    </chartFormat>
    <chartFormat chart="6" format="874">
      <pivotArea type="data" outline="0" fieldPosition="0">
        <references count="2">
          <reference field="4294967294" count="1" selected="0">
            <x v="0"/>
          </reference>
          <reference field="3" count="1" selected="0">
            <x v="255"/>
          </reference>
        </references>
      </pivotArea>
    </chartFormat>
    <chartFormat chart="6" format="875">
      <pivotArea type="data" outline="0" fieldPosition="0">
        <references count="2">
          <reference field="4294967294" count="1" selected="0">
            <x v="0"/>
          </reference>
          <reference field="3" count="1" selected="0">
            <x v="480"/>
          </reference>
        </references>
      </pivotArea>
    </chartFormat>
    <chartFormat chart="6" format="876">
      <pivotArea type="data" outline="0" fieldPosition="0">
        <references count="2">
          <reference field="4294967294" count="1" selected="0">
            <x v="0"/>
          </reference>
          <reference field="3" count="1" selected="0">
            <x v="388"/>
          </reference>
        </references>
      </pivotArea>
    </chartFormat>
    <chartFormat chart="6" format="877">
      <pivotArea type="data" outline="0" fieldPosition="0">
        <references count="2">
          <reference field="4294967294" count="1" selected="0">
            <x v="0"/>
          </reference>
          <reference field="3" count="1" selected="0">
            <x v="452"/>
          </reference>
        </references>
      </pivotArea>
    </chartFormat>
    <chartFormat chart="6" format="878">
      <pivotArea type="data" outline="0" fieldPosition="0">
        <references count="2">
          <reference field="4294967294" count="1" selected="0">
            <x v="0"/>
          </reference>
          <reference field="3" count="1" selected="0">
            <x v="89"/>
          </reference>
        </references>
      </pivotArea>
    </chartFormat>
    <chartFormat chart="6" format="879">
      <pivotArea type="data" outline="0" fieldPosition="0">
        <references count="2">
          <reference field="4294967294" count="1" selected="0">
            <x v="0"/>
          </reference>
          <reference field="3" count="1" selected="0">
            <x v="379"/>
          </reference>
        </references>
      </pivotArea>
    </chartFormat>
    <chartFormat chart="6" format="880">
      <pivotArea type="data" outline="0" fieldPosition="0">
        <references count="2">
          <reference field="4294967294" count="1" selected="0">
            <x v="0"/>
          </reference>
          <reference field="3" count="1" selected="0">
            <x v="496"/>
          </reference>
        </references>
      </pivotArea>
    </chartFormat>
    <chartFormat chart="6" format="881">
      <pivotArea type="data" outline="0" fieldPosition="0">
        <references count="2">
          <reference field="4294967294" count="1" selected="0">
            <x v="0"/>
          </reference>
          <reference field="3" count="1" selected="0">
            <x v="351"/>
          </reference>
        </references>
      </pivotArea>
    </chartFormat>
    <chartFormat chart="6" format="882">
      <pivotArea type="data" outline="0" fieldPosition="0">
        <references count="2">
          <reference field="4294967294" count="1" selected="0">
            <x v="0"/>
          </reference>
          <reference field="3" count="1" selected="0">
            <x v="427"/>
          </reference>
        </references>
      </pivotArea>
    </chartFormat>
    <chartFormat chart="6" format="883">
      <pivotArea type="data" outline="0" fieldPosition="0">
        <references count="2">
          <reference field="4294967294" count="1" selected="0">
            <x v="0"/>
          </reference>
          <reference field="3" count="1" selected="0">
            <x v="406"/>
          </reference>
        </references>
      </pivotArea>
    </chartFormat>
    <chartFormat chart="6" format="884">
      <pivotArea type="data" outline="0" fieldPosition="0">
        <references count="2">
          <reference field="4294967294" count="1" selected="0">
            <x v="0"/>
          </reference>
          <reference field="3" count="1" selected="0">
            <x v="479"/>
          </reference>
        </references>
      </pivotArea>
    </chartFormat>
    <chartFormat chart="6" format="885">
      <pivotArea type="data" outline="0" fieldPosition="0">
        <references count="2">
          <reference field="4294967294" count="1" selected="0">
            <x v="0"/>
          </reference>
          <reference field="3" count="1" selected="0">
            <x v="17"/>
          </reference>
        </references>
      </pivotArea>
    </chartFormat>
    <chartFormat chart="6" format="886">
      <pivotArea type="data" outline="0" fieldPosition="0">
        <references count="2">
          <reference field="4294967294" count="1" selected="0">
            <x v="0"/>
          </reference>
          <reference field="3" count="1" selected="0">
            <x v="61"/>
          </reference>
        </references>
      </pivotArea>
    </chartFormat>
    <chartFormat chart="6" format="887">
      <pivotArea type="data" outline="0" fieldPosition="0">
        <references count="2">
          <reference field="4294967294" count="1" selected="0">
            <x v="0"/>
          </reference>
          <reference field="3" count="1" selected="0">
            <x v="177"/>
          </reference>
        </references>
      </pivotArea>
    </chartFormat>
    <chartFormat chart="6" format="888">
      <pivotArea type="data" outline="0" fieldPosition="0">
        <references count="2">
          <reference field="4294967294" count="1" selected="0">
            <x v="0"/>
          </reference>
          <reference field="3" count="1" selected="0">
            <x v="494"/>
          </reference>
        </references>
      </pivotArea>
    </chartFormat>
    <chartFormat chart="6" format="889">
      <pivotArea type="data" outline="0" fieldPosition="0">
        <references count="2">
          <reference field="4294967294" count="1" selected="0">
            <x v="0"/>
          </reference>
          <reference field="3" count="1" selected="0">
            <x v="174"/>
          </reference>
        </references>
      </pivotArea>
    </chartFormat>
    <chartFormat chart="6" format="890">
      <pivotArea type="data" outline="0" fieldPosition="0">
        <references count="2">
          <reference field="4294967294" count="1" selected="0">
            <x v="0"/>
          </reference>
          <reference field="3" count="1" selected="0">
            <x v="453"/>
          </reference>
        </references>
      </pivotArea>
    </chartFormat>
    <chartFormat chart="6" format="891">
      <pivotArea type="data" outline="0" fieldPosition="0">
        <references count="2">
          <reference field="4294967294" count="1" selected="0">
            <x v="0"/>
          </reference>
          <reference field="3" count="1" selected="0">
            <x v="489"/>
          </reference>
        </references>
      </pivotArea>
    </chartFormat>
    <chartFormat chart="6" format="892">
      <pivotArea type="data" outline="0" fieldPosition="0">
        <references count="2">
          <reference field="4294967294" count="1" selected="0">
            <x v="0"/>
          </reference>
          <reference field="3" count="1" selected="0">
            <x v="22"/>
          </reference>
        </references>
      </pivotArea>
    </chartFormat>
    <chartFormat chart="6" format="893">
      <pivotArea type="data" outline="0" fieldPosition="0">
        <references count="2">
          <reference field="4294967294" count="1" selected="0">
            <x v="0"/>
          </reference>
          <reference field="3" count="1" selected="0">
            <x v="383"/>
          </reference>
        </references>
      </pivotArea>
    </chartFormat>
    <chartFormat chart="6" format="894">
      <pivotArea type="data" outline="0" fieldPosition="0">
        <references count="2">
          <reference field="4294967294" count="1" selected="0">
            <x v="0"/>
          </reference>
          <reference field="3" count="1" selected="0">
            <x v="194"/>
          </reference>
        </references>
      </pivotArea>
    </chartFormat>
    <chartFormat chart="6" format="895">
      <pivotArea type="data" outline="0" fieldPosition="0">
        <references count="2">
          <reference field="4294967294" count="1" selected="0">
            <x v="0"/>
          </reference>
          <reference field="3" count="1" selected="0">
            <x v="430"/>
          </reference>
        </references>
      </pivotArea>
    </chartFormat>
    <chartFormat chart="6" format="896">
      <pivotArea type="data" outline="0" fieldPosition="0">
        <references count="2">
          <reference field="4294967294" count="1" selected="0">
            <x v="0"/>
          </reference>
          <reference field="3" count="1" selected="0">
            <x v="157"/>
          </reference>
        </references>
      </pivotArea>
    </chartFormat>
    <chartFormat chart="6" format="897">
      <pivotArea type="data" outline="0" fieldPosition="0">
        <references count="2">
          <reference field="4294967294" count="1" selected="0">
            <x v="0"/>
          </reference>
          <reference field="3" count="1" selected="0">
            <x v="108"/>
          </reference>
        </references>
      </pivotArea>
    </chartFormat>
    <chartFormat chart="6" format="898">
      <pivotArea type="data" outline="0" fieldPosition="0">
        <references count="2">
          <reference field="4294967294" count="1" selected="0">
            <x v="0"/>
          </reference>
          <reference field="3" count="1" selected="0">
            <x v="422"/>
          </reference>
        </references>
      </pivotArea>
    </chartFormat>
    <chartFormat chart="6" format="899">
      <pivotArea type="data" outline="0" fieldPosition="0">
        <references count="2">
          <reference field="4294967294" count="1" selected="0">
            <x v="0"/>
          </reference>
          <reference field="3" count="1" selected="0">
            <x v="304"/>
          </reference>
        </references>
      </pivotArea>
    </chartFormat>
    <chartFormat chart="6" format="900">
      <pivotArea type="data" outline="0" fieldPosition="0">
        <references count="2">
          <reference field="4294967294" count="1" selected="0">
            <x v="0"/>
          </reference>
          <reference field="3" count="1" selected="0">
            <x v="196"/>
          </reference>
        </references>
      </pivotArea>
    </chartFormat>
    <chartFormat chart="6" format="901">
      <pivotArea type="data" outline="0" fieldPosition="0">
        <references count="2">
          <reference field="4294967294" count="1" selected="0">
            <x v="0"/>
          </reference>
          <reference field="3" count="1" selected="0">
            <x v="145"/>
          </reference>
        </references>
      </pivotArea>
    </chartFormat>
    <chartFormat chart="6" format="902">
      <pivotArea type="data" outline="0" fieldPosition="0">
        <references count="2">
          <reference field="4294967294" count="1" selected="0">
            <x v="0"/>
          </reference>
          <reference field="3" count="1" selected="0">
            <x v="85"/>
          </reference>
        </references>
      </pivotArea>
    </chartFormat>
    <chartFormat chart="6" format="903">
      <pivotArea type="data" outline="0" fieldPosition="0">
        <references count="2">
          <reference field="4294967294" count="1" selected="0">
            <x v="0"/>
          </reference>
          <reference field="3" count="1" selected="0">
            <x v="363"/>
          </reference>
        </references>
      </pivotArea>
    </chartFormat>
    <chartFormat chart="6" format="904">
      <pivotArea type="data" outline="0" fieldPosition="0">
        <references count="2">
          <reference field="4294967294" count="1" selected="0">
            <x v="0"/>
          </reference>
          <reference field="3" count="1" selected="0">
            <x v="91"/>
          </reference>
        </references>
      </pivotArea>
    </chartFormat>
    <chartFormat chart="6" format="905">
      <pivotArea type="data" outline="0" fieldPosition="0">
        <references count="2">
          <reference field="4294967294" count="1" selected="0">
            <x v="0"/>
          </reference>
          <reference field="3" count="1" selected="0">
            <x v="263"/>
          </reference>
        </references>
      </pivotArea>
    </chartFormat>
    <chartFormat chart="6" format="906">
      <pivotArea type="data" outline="0" fieldPosition="0">
        <references count="2">
          <reference field="4294967294" count="1" selected="0">
            <x v="0"/>
          </reference>
          <reference field="3" count="1" selected="0">
            <x v="233"/>
          </reference>
        </references>
      </pivotArea>
    </chartFormat>
    <chartFormat chart="6" format="907">
      <pivotArea type="data" outline="0" fieldPosition="0">
        <references count="2">
          <reference field="4294967294" count="1" selected="0">
            <x v="0"/>
          </reference>
          <reference field="3" count="1" selected="0">
            <x v="456"/>
          </reference>
        </references>
      </pivotArea>
    </chartFormat>
    <chartFormat chart="6" format="908">
      <pivotArea type="data" outline="0" fieldPosition="0">
        <references count="2">
          <reference field="4294967294" count="1" selected="0">
            <x v="0"/>
          </reference>
          <reference field="3" count="1" selected="0">
            <x v="311"/>
          </reference>
        </references>
      </pivotArea>
    </chartFormat>
    <chartFormat chart="6" format="909">
      <pivotArea type="data" outline="0" fieldPosition="0">
        <references count="2">
          <reference field="4294967294" count="1" selected="0">
            <x v="0"/>
          </reference>
          <reference field="3" count="1" selected="0">
            <x v="273"/>
          </reference>
        </references>
      </pivotArea>
    </chartFormat>
    <chartFormat chart="6" format="910">
      <pivotArea type="data" outline="0" fieldPosition="0">
        <references count="2">
          <reference field="4294967294" count="1" selected="0">
            <x v="0"/>
          </reference>
          <reference field="3" count="1" selected="0">
            <x v="373"/>
          </reference>
        </references>
      </pivotArea>
    </chartFormat>
    <chartFormat chart="6" format="911">
      <pivotArea type="data" outline="0" fieldPosition="0">
        <references count="2">
          <reference field="4294967294" count="1" selected="0">
            <x v="0"/>
          </reference>
          <reference field="3" count="1" selected="0">
            <x v="154"/>
          </reference>
        </references>
      </pivotArea>
    </chartFormat>
    <chartFormat chart="6" format="912">
      <pivotArea type="data" outline="0" fieldPosition="0">
        <references count="2">
          <reference field="4294967294" count="1" selected="0">
            <x v="0"/>
          </reference>
          <reference field="3" count="1" selected="0">
            <x v="312"/>
          </reference>
        </references>
      </pivotArea>
    </chartFormat>
    <chartFormat chart="6" format="913">
      <pivotArea type="data" outline="0" fieldPosition="0">
        <references count="2">
          <reference field="4294967294" count="1" selected="0">
            <x v="0"/>
          </reference>
          <reference field="3" count="1" selected="0">
            <x v="395"/>
          </reference>
        </references>
      </pivotArea>
    </chartFormat>
    <chartFormat chart="6" format="914">
      <pivotArea type="data" outline="0" fieldPosition="0">
        <references count="2">
          <reference field="4294967294" count="1" selected="0">
            <x v="0"/>
          </reference>
          <reference field="3" count="1" selected="0">
            <x v="241"/>
          </reference>
        </references>
      </pivotArea>
    </chartFormat>
    <chartFormat chart="6" format="915">
      <pivotArea type="data" outline="0" fieldPosition="0">
        <references count="2">
          <reference field="4294967294" count="1" selected="0">
            <x v="0"/>
          </reference>
          <reference field="3" count="1" selected="0">
            <x v="485"/>
          </reference>
        </references>
      </pivotArea>
    </chartFormat>
    <chartFormat chart="6" format="916">
      <pivotArea type="data" outline="0" fieldPosition="0">
        <references count="2">
          <reference field="4294967294" count="1" selected="0">
            <x v="0"/>
          </reference>
          <reference field="3" count="1" selected="0">
            <x v="470"/>
          </reference>
        </references>
      </pivotArea>
    </chartFormat>
    <chartFormat chart="6" format="917">
      <pivotArea type="data" outline="0" fieldPosition="0">
        <references count="2">
          <reference field="4294967294" count="1" selected="0">
            <x v="0"/>
          </reference>
          <reference field="3" count="1" selected="0">
            <x v="35"/>
          </reference>
        </references>
      </pivotArea>
    </chartFormat>
    <chartFormat chart="6" format="918">
      <pivotArea type="data" outline="0" fieldPosition="0">
        <references count="2">
          <reference field="4294967294" count="1" selected="0">
            <x v="0"/>
          </reference>
          <reference field="3" count="1" selected="0">
            <x v="51"/>
          </reference>
        </references>
      </pivotArea>
    </chartFormat>
    <chartFormat chart="6" format="919">
      <pivotArea type="data" outline="0" fieldPosition="0">
        <references count="2">
          <reference field="4294967294" count="1" selected="0">
            <x v="0"/>
          </reference>
          <reference field="3" count="1" selected="0">
            <x v="370"/>
          </reference>
        </references>
      </pivotArea>
    </chartFormat>
    <chartFormat chart="6" format="920">
      <pivotArea type="data" outline="0" fieldPosition="0">
        <references count="2">
          <reference field="4294967294" count="1" selected="0">
            <x v="0"/>
          </reference>
          <reference field="3" count="1" selected="0">
            <x v="187"/>
          </reference>
        </references>
      </pivotArea>
    </chartFormat>
    <chartFormat chart="6" format="921">
      <pivotArea type="data" outline="0" fieldPosition="0">
        <references count="2">
          <reference field="4294967294" count="1" selected="0">
            <x v="0"/>
          </reference>
          <reference field="3" count="1" selected="0">
            <x v="55"/>
          </reference>
        </references>
      </pivotArea>
    </chartFormat>
    <chartFormat chart="6" format="922">
      <pivotArea type="data" outline="0" fieldPosition="0">
        <references count="2">
          <reference field="4294967294" count="1" selected="0">
            <x v="0"/>
          </reference>
          <reference field="3" count="1" selected="0">
            <x v="374"/>
          </reference>
        </references>
      </pivotArea>
    </chartFormat>
    <chartFormat chart="6" format="923">
      <pivotArea type="data" outline="0" fieldPosition="0">
        <references count="2">
          <reference field="4294967294" count="1" selected="0">
            <x v="0"/>
          </reference>
          <reference field="3" count="1" selected="0">
            <x v="249"/>
          </reference>
        </references>
      </pivotArea>
    </chartFormat>
    <chartFormat chart="6" format="924">
      <pivotArea type="data" outline="0" fieldPosition="0">
        <references count="2">
          <reference field="4294967294" count="1" selected="0">
            <x v="0"/>
          </reference>
          <reference field="3" count="1" selected="0">
            <x v="104"/>
          </reference>
        </references>
      </pivotArea>
    </chartFormat>
    <chartFormat chart="6" format="925">
      <pivotArea type="data" outline="0" fieldPosition="0">
        <references count="2">
          <reference field="4294967294" count="1" selected="0">
            <x v="0"/>
          </reference>
          <reference field="3" count="1" selected="0">
            <x v="179"/>
          </reference>
        </references>
      </pivotArea>
    </chartFormat>
    <chartFormat chart="6" format="926">
      <pivotArea type="data" outline="0" fieldPosition="0">
        <references count="2">
          <reference field="4294967294" count="1" selected="0">
            <x v="0"/>
          </reference>
          <reference field="3" count="1" selected="0">
            <x v="160"/>
          </reference>
        </references>
      </pivotArea>
    </chartFormat>
    <chartFormat chart="6" format="927">
      <pivotArea type="data" outline="0" fieldPosition="0">
        <references count="2">
          <reference field="4294967294" count="1" selected="0">
            <x v="0"/>
          </reference>
          <reference field="3" count="1" selected="0">
            <x v="31"/>
          </reference>
        </references>
      </pivotArea>
    </chartFormat>
    <chartFormat chart="6" format="928">
      <pivotArea type="data" outline="0" fieldPosition="0">
        <references count="2">
          <reference field="4294967294" count="1" selected="0">
            <x v="0"/>
          </reference>
          <reference field="3" count="1" selected="0">
            <x v="78"/>
          </reference>
        </references>
      </pivotArea>
    </chartFormat>
    <chartFormat chart="6" format="929">
      <pivotArea type="data" outline="0" fieldPosition="0">
        <references count="2">
          <reference field="4294967294" count="1" selected="0">
            <x v="0"/>
          </reference>
          <reference field="3" count="1" selected="0">
            <x v="98"/>
          </reference>
        </references>
      </pivotArea>
    </chartFormat>
    <chartFormat chart="6" format="930">
      <pivotArea type="data" outline="0" fieldPosition="0">
        <references count="2">
          <reference field="4294967294" count="1" selected="0">
            <x v="0"/>
          </reference>
          <reference field="3" count="1" selected="0">
            <x v="34"/>
          </reference>
        </references>
      </pivotArea>
    </chartFormat>
    <chartFormat chart="6" format="931">
      <pivotArea type="data" outline="0" fieldPosition="0">
        <references count="2">
          <reference field="4294967294" count="1" selected="0">
            <x v="0"/>
          </reference>
          <reference field="3" count="1" selected="0">
            <x v="306"/>
          </reference>
        </references>
      </pivotArea>
    </chartFormat>
    <chartFormat chart="6" format="932">
      <pivotArea type="data" outline="0" fieldPosition="0">
        <references count="2">
          <reference field="4294967294" count="1" selected="0">
            <x v="0"/>
          </reference>
          <reference field="3" count="1" selected="0">
            <x v="246"/>
          </reference>
        </references>
      </pivotArea>
    </chartFormat>
    <chartFormat chart="6" format="933">
      <pivotArea type="data" outline="0" fieldPosition="0">
        <references count="2">
          <reference field="4294967294" count="1" selected="0">
            <x v="0"/>
          </reference>
          <reference field="3" count="1" selected="0">
            <x v="137"/>
          </reference>
        </references>
      </pivotArea>
    </chartFormat>
    <chartFormat chart="6" format="934">
      <pivotArea type="data" outline="0" fieldPosition="0">
        <references count="2">
          <reference field="4294967294" count="1" selected="0">
            <x v="0"/>
          </reference>
          <reference field="3" count="1" selected="0">
            <x v="416"/>
          </reference>
        </references>
      </pivotArea>
    </chartFormat>
    <chartFormat chart="6" format="935">
      <pivotArea type="data" outline="0" fieldPosition="0">
        <references count="2">
          <reference field="4294967294" count="1" selected="0">
            <x v="0"/>
          </reference>
          <reference field="3" count="1" selected="0">
            <x v="275"/>
          </reference>
        </references>
      </pivotArea>
    </chartFormat>
    <chartFormat chart="6" format="936">
      <pivotArea type="data" outline="0" fieldPosition="0">
        <references count="2">
          <reference field="4294967294" count="1" selected="0">
            <x v="0"/>
          </reference>
          <reference field="3" count="1" selected="0">
            <x v="80"/>
          </reference>
        </references>
      </pivotArea>
    </chartFormat>
    <chartFormat chart="6" format="937">
      <pivotArea type="data" outline="0" fieldPosition="0">
        <references count="2">
          <reference field="4294967294" count="1" selected="0">
            <x v="0"/>
          </reference>
          <reference field="3" count="1" selected="0">
            <x v="171"/>
          </reference>
        </references>
      </pivotArea>
    </chartFormat>
    <chartFormat chart="6" format="938">
      <pivotArea type="data" outline="0" fieldPosition="0">
        <references count="2">
          <reference field="4294967294" count="1" selected="0">
            <x v="0"/>
          </reference>
          <reference field="3" count="1" selected="0">
            <x v="440"/>
          </reference>
        </references>
      </pivotArea>
    </chartFormat>
    <chartFormat chart="6" format="939">
      <pivotArea type="data" outline="0" fieldPosition="0">
        <references count="2">
          <reference field="4294967294" count="1" selected="0">
            <x v="0"/>
          </reference>
          <reference field="3" count="1" selected="0">
            <x v="142"/>
          </reference>
        </references>
      </pivotArea>
    </chartFormat>
    <chartFormat chart="6" format="940">
      <pivotArea type="data" outline="0" fieldPosition="0">
        <references count="2">
          <reference field="4294967294" count="1" selected="0">
            <x v="0"/>
          </reference>
          <reference field="3" count="1" selected="0">
            <x v="418"/>
          </reference>
        </references>
      </pivotArea>
    </chartFormat>
    <chartFormat chart="6" format="941">
      <pivotArea type="data" outline="0" fieldPosition="0">
        <references count="2">
          <reference field="4294967294" count="1" selected="0">
            <x v="0"/>
          </reference>
          <reference field="3" count="1" selected="0">
            <x v="118"/>
          </reference>
        </references>
      </pivotArea>
    </chartFormat>
    <chartFormat chart="6" format="942">
      <pivotArea type="data" outline="0" fieldPosition="0">
        <references count="2">
          <reference field="4294967294" count="1" selected="0">
            <x v="0"/>
          </reference>
          <reference field="3" count="1" selected="0">
            <x v="317"/>
          </reference>
        </references>
      </pivotArea>
    </chartFormat>
    <chartFormat chart="6" format="943">
      <pivotArea type="data" outline="0" fieldPosition="0">
        <references count="2">
          <reference field="4294967294" count="1" selected="0">
            <x v="0"/>
          </reference>
          <reference field="3" count="1" selected="0">
            <x v="482"/>
          </reference>
        </references>
      </pivotArea>
    </chartFormat>
    <chartFormat chart="6" format="944">
      <pivotArea type="data" outline="0" fieldPosition="0">
        <references count="2">
          <reference field="4294967294" count="1" selected="0">
            <x v="0"/>
          </reference>
          <reference field="3" count="1" selected="0">
            <x v="429"/>
          </reference>
        </references>
      </pivotArea>
    </chartFormat>
    <chartFormat chart="6" format="945">
      <pivotArea type="data" outline="0" fieldPosition="0">
        <references count="2">
          <reference field="4294967294" count="1" selected="0">
            <x v="0"/>
          </reference>
          <reference field="3" count="1" selected="0">
            <x v="58"/>
          </reference>
        </references>
      </pivotArea>
    </chartFormat>
    <chartFormat chart="6" format="946">
      <pivotArea type="data" outline="0" fieldPosition="0">
        <references count="2">
          <reference field="4294967294" count="1" selected="0">
            <x v="0"/>
          </reference>
          <reference field="3" count="1" selected="0">
            <x v="437"/>
          </reference>
        </references>
      </pivotArea>
    </chartFormat>
    <chartFormat chart="6" format="947">
      <pivotArea type="data" outline="0" fieldPosition="0">
        <references count="2">
          <reference field="4294967294" count="1" selected="0">
            <x v="0"/>
          </reference>
          <reference field="3" count="1" selected="0">
            <x v="357"/>
          </reference>
        </references>
      </pivotArea>
    </chartFormat>
    <chartFormat chart="6" format="948">
      <pivotArea type="data" outline="0" fieldPosition="0">
        <references count="2">
          <reference field="4294967294" count="1" selected="0">
            <x v="0"/>
          </reference>
          <reference field="3" count="1" selected="0">
            <x v="136"/>
          </reference>
        </references>
      </pivotArea>
    </chartFormat>
    <chartFormat chart="6" format="949">
      <pivotArea type="data" outline="0" fieldPosition="0">
        <references count="2">
          <reference field="4294967294" count="1" selected="0">
            <x v="0"/>
          </reference>
          <reference field="3" count="1" selected="0">
            <x v="254"/>
          </reference>
        </references>
      </pivotArea>
    </chartFormat>
    <chartFormat chart="6" format="950">
      <pivotArea type="data" outline="0" fieldPosition="0">
        <references count="2">
          <reference field="4294967294" count="1" selected="0">
            <x v="0"/>
          </reference>
          <reference field="3" count="1" selected="0">
            <x v="120"/>
          </reference>
        </references>
      </pivotArea>
    </chartFormat>
    <chartFormat chart="6" format="951">
      <pivotArea type="data" outline="0" fieldPosition="0">
        <references count="2">
          <reference field="4294967294" count="1" selected="0">
            <x v="0"/>
          </reference>
          <reference field="3" count="1" selected="0">
            <x v="200"/>
          </reference>
        </references>
      </pivotArea>
    </chartFormat>
    <chartFormat chart="6" format="952">
      <pivotArea type="data" outline="0" fieldPosition="0">
        <references count="2">
          <reference field="4294967294" count="1" selected="0">
            <x v="0"/>
          </reference>
          <reference field="3" count="1" selected="0">
            <x v="37"/>
          </reference>
        </references>
      </pivotArea>
    </chartFormat>
    <chartFormat chart="6" format="953">
      <pivotArea type="data" outline="0" fieldPosition="0">
        <references count="2">
          <reference field="4294967294" count="1" selected="0">
            <x v="0"/>
          </reference>
          <reference field="3" count="1" selected="0">
            <x v="106"/>
          </reference>
        </references>
      </pivotArea>
    </chartFormat>
    <chartFormat chart="6" format="954">
      <pivotArea type="data" outline="0" fieldPosition="0">
        <references count="2">
          <reference field="4294967294" count="1" selected="0">
            <x v="0"/>
          </reference>
          <reference field="3" count="1" selected="0">
            <x v="262"/>
          </reference>
        </references>
      </pivotArea>
    </chartFormat>
    <chartFormat chart="6" format="955">
      <pivotArea type="data" outline="0" fieldPosition="0">
        <references count="2">
          <reference field="4294967294" count="1" selected="0">
            <x v="0"/>
          </reference>
          <reference field="3" count="1" selected="0">
            <x v="165"/>
          </reference>
        </references>
      </pivotArea>
    </chartFormat>
    <chartFormat chart="6" format="956">
      <pivotArea type="data" outline="0" fieldPosition="0">
        <references count="2">
          <reference field="4294967294" count="1" selected="0">
            <x v="0"/>
          </reference>
          <reference field="3" count="1" selected="0">
            <x v="32"/>
          </reference>
        </references>
      </pivotArea>
    </chartFormat>
    <chartFormat chart="6" format="957">
      <pivotArea type="data" outline="0" fieldPosition="0">
        <references count="2">
          <reference field="4294967294" count="1" selected="0">
            <x v="0"/>
          </reference>
          <reference field="3" count="1" selected="0">
            <x v="245"/>
          </reference>
        </references>
      </pivotArea>
    </chartFormat>
    <chartFormat chart="6" format="958">
      <pivotArea type="data" outline="0" fieldPosition="0">
        <references count="2">
          <reference field="4294967294" count="1" selected="0">
            <x v="0"/>
          </reference>
          <reference field="3" count="1" selected="0">
            <x v="307"/>
          </reference>
        </references>
      </pivotArea>
    </chartFormat>
    <chartFormat chart="6" format="959">
      <pivotArea type="data" outline="0" fieldPosition="0">
        <references count="2">
          <reference field="4294967294" count="1" selected="0">
            <x v="0"/>
          </reference>
          <reference field="3" count="1" selected="0">
            <x v="124"/>
          </reference>
        </references>
      </pivotArea>
    </chartFormat>
    <chartFormat chart="6" format="960">
      <pivotArea type="data" outline="0" fieldPosition="0">
        <references count="2">
          <reference field="4294967294" count="1" selected="0">
            <x v="0"/>
          </reference>
          <reference field="3" count="1" selected="0">
            <x v="232"/>
          </reference>
        </references>
      </pivotArea>
    </chartFormat>
    <chartFormat chart="6" format="961">
      <pivotArea type="data" outline="0" fieldPosition="0">
        <references count="2">
          <reference field="4294967294" count="1" selected="0">
            <x v="0"/>
          </reference>
          <reference field="3" count="1" selected="0">
            <x v="483"/>
          </reference>
        </references>
      </pivotArea>
    </chartFormat>
    <chartFormat chart="6" format="962">
      <pivotArea type="data" outline="0" fieldPosition="0">
        <references count="2">
          <reference field="4294967294" count="1" selected="0">
            <x v="0"/>
          </reference>
          <reference field="3" count="1" selected="0">
            <x v="367"/>
          </reference>
        </references>
      </pivotArea>
    </chartFormat>
    <chartFormat chart="6" format="963">
      <pivotArea type="data" outline="0" fieldPosition="0">
        <references count="2">
          <reference field="4294967294" count="1" selected="0">
            <x v="0"/>
          </reference>
          <reference field="3" count="1" selected="0">
            <x v="462"/>
          </reference>
        </references>
      </pivotArea>
    </chartFormat>
    <chartFormat chart="6" format="964">
      <pivotArea type="data" outline="0" fieldPosition="0">
        <references count="2">
          <reference field="4294967294" count="1" selected="0">
            <x v="0"/>
          </reference>
          <reference field="3" count="1" selected="0">
            <x v="381"/>
          </reference>
        </references>
      </pivotArea>
    </chartFormat>
    <chartFormat chart="6" format="965">
      <pivotArea type="data" outline="0" fieldPosition="0">
        <references count="2">
          <reference field="4294967294" count="1" selected="0">
            <x v="0"/>
          </reference>
          <reference field="3" count="1" selected="0">
            <x v="261"/>
          </reference>
        </references>
      </pivotArea>
    </chartFormat>
    <chartFormat chart="6" format="966">
      <pivotArea type="data" outline="0" fieldPosition="0">
        <references count="2">
          <reference field="4294967294" count="1" selected="0">
            <x v="0"/>
          </reference>
          <reference field="3" count="1" selected="0">
            <x v="409"/>
          </reference>
        </references>
      </pivotArea>
    </chartFormat>
    <chartFormat chart="6" format="967">
      <pivotArea type="data" outline="0" fieldPosition="0">
        <references count="2">
          <reference field="4294967294" count="1" selected="0">
            <x v="0"/>
          </reference>
          <reference field="3" count="1" selected="0">
            <x v="368"/>
          </reference>
        </references>
      </pivotArea>
    </chartFormat>
    <chartFormat chart="6" format="968">
      <pivotArea type="data" outline="0" fieldPosition="0">
        <references count="2">
          <reference field="4294967294" count="1" selected="0">
            <x v="0"/>
          </reference>
          <reference field="3" count="1" selected="0">
            <x v="101"/>
          </reference>
        </references>
      </pivotArea>
    </chartFormat>
    <chartFormat chart="6" format="969">
      <pivotArea type="data" outline="0" fieldPosition="0">
        <references count="2">
          <reference field="4294967294" count="1" selected="0">
            <x v="0"/>
          </reference>
          <reference field="3" count="1" selected="0">
            <x v="278"/>
          </reference>
        </references>
      </pivotArea>
    </chartFormat>
    <chartFormat chart="6" format="970">
      <pivotArea type="data" outline="0" fieldPosition="0">
        <references count="2">
          <reference field="4294967294" count="1" selected="0">
            <x v="0"/>
          </reference>
          <reference field="3" count="1" selected="0">
            <x v="259"/>
          </reference>
        </references>
      </pivotArea>
    </chartFormat>
    <chartFormat chart="6" format="971">
      <pivotArea type="data" outline="0" fieldPosition="0">
        <references count="2">
          <reference field="4294967294" count="1" selected="0">
            <x v="0"/>
          </reference>
          <reference field="3" count="1" selected="0">
            <x v="121"/>
          </reference>
        </references>
      </pivotArea>
    </chartFormat>
    <chartFormat chart="6" format="972">
      <pivotArea type="data" outline="0" fieldPosition="0">
        <references count="2">
          <reference field="4294967294" count="1" selected="0">
            <x v="0"/>
          </reference>
          <reference field="3" count="1" selected="0">
            <x v="361"/>
          </reference>
        </references>
      </pivotArea>
    </chartFormat>
    <chartFormat chart="6" format="973">
      <pivotArea type="data" outline="0" fieldPosition="0">
        <references count="2">
          <reference field="4294967294" count="1" selected="0">
            <x v="0"/>
          </reference>
          <reference field="3" count="1" selected="0">
            <x v="438"/>
          </reference>
        </references>
      </pivotArea>
    </chartFormat>
    <chartFormat chart="6" format="974">
      <pivotArea type="data" outline="0" fieldPosition="0">
        <references count="2">
          <reference field="4294967294" count="1" selected="0">
            <x v="0"/>
          </reference>
          <reference field="3" count="1" selected="0">
            <x v="270"/>
          </reference>
        </references>
      </pivotArea>
    </chartFormat>
    <chartFormat chart="6" format="975">
      <pivotArea type="data" outline="0" fieldPosition="0">
        <references count="2">
          <reference field="4294967294" count="1" selected="0">
            <x v="0"/>
          </reference>
          <reference field="3" count="1" selected="0">
            <x v="305"/>
          </reference>
        </references>
      </pivotArea>
    </chartFormat>
    <chartFormat chart="6" format="976">
      <pivotArea type="data" outline="0" fieldPosition="0">
        <references count="2">
          <reference field="4294967294" count="1" selected="0">
            <x v="0"/>
          </reference>
          <reference field="3" count="1" selected="0">
            <x v="220"/>
          </reference>
        </references>
      </pivotArea>
    </chartFormat>
    <chartFormat chart="6" format="977">
      <pivotArea type="data" outline="0" fieldPosition="0">
        <references count="2">
          <reference field="4294967294" count="1" selected="0">
            <x v="0"/>
          </reference>
          <reference field="3" count="1" selected="0">
            <x v="286"/>
          </reference>
        </references>
      </pivotArea>
    </chartFormat>
    <chartFormat chart="6" format="978">
      <pivotArea type="data" outline="0" fieldPosition="0">
        <references count="2">
          <reference field="4294967294" count="1" selected="0">
            <x v="0"/>
          </reference>
          <reference field="3" count="1" selected="0">
            <x v="16"/>
          </reference>
        </references>
      </pivotArea>
    </chartFormat>
    <chartFormat chart="6" format="979">
      <pivotArea type="data" outline="0" fieldPosition="0">
        <references count="2">
          <reference field="4294967294" count="1" selected="0">
            <x v="0"/>
          </reference>
          <reference field="3" count="1" selected="0">
            <x v="57"/>
          </reference>
        </references>
      </pivotArea>
    </chartFormat>
    <chartFormat chart="6" format="980">
      <pivotArea type="data" outline="0" fieldPosition="0">
        <references count="2">
          <reference field="4294967294" count="1" selected="0">
            <x v="0"/>
          </reference>
          <reference field="3" count="1" selected="0">
            <x v="181"/>
          </reference>
        </references>
      </pivotArea>
    </chartFormat>
    <chartFormat chart="6" format="981">
      <pivotArea type="data" outline="0" fieldPosition="0">
        <references count="2">
          <reference field="4294967294" count="1" selected="0">
            <x v="0"/>
          </reference>
          <reference field="3" count="1" selected="0">
            <x v="467"/>
          </reference>
        </references>
      </pivotArea>
    </chartFormat>
    <chartFormat chart="6" format="982">
      <pivotArea type="data" outline="0" fieldPosition="0">
        <references count="2">
          <reference field="4294967294" count="1" selected="0">
            <x v="0"/>
          </reference>
          <reference field="3" count="1" selected="0">
            <x v="134"/>
          </reference>
        </references>
      </pivotArea>
    </chartFormat>
    <chartFormat chart="6" format="983">
      <pivotArea type="data" outline="0" fieldPosition="0">
        <references count="2">
          <reference field="4294967294" count="1" selected="0">
            <x v="0"/>
          </reference>
          <reference field="3" count="1" selected="0">
            <x v="81"/>
          </reference>
        </references>
      </pivotArea>
    </chartFormat>
    <chartFormat chart="6" format="984">
      <pivotArea type="data" outline="0" fieldPosition="0">
        <references count="2">
          <reference field="4294967294" count="1" selected="0">
            <x v="0"/>
          </reference>
          <reference field="3" count="1" selected="0">
            <x v="347"/>
          </reference>
        </references>
      </pivotArea>
    </chartFormat>
    <chartFormat chart="6" format="985">
      <pivotArea type="data" outline="0" fieldPosition="0">
        <references count="2">
          <reference field="4294967294" count="1" selected="0">
            <x v="0"/>
          </reference>
          <reference field="3" count="1" selected="0">
            <x v="420"/>
          </reference>
        </references>
      </pivotArea>
    </chartFormat>
    <chartFormat chart="6" format="986">
      <pivotArea type="data" outline="0" fieldPosition="0">
        <references count="2">
          <reference field="4294967294" count="1" selected="0">
            <x v="0"/>
          </reference>
          <reference field="3" count="1" selected="0">
            <x v="167"/>
          </reference>
        </references>
      </pivotArea>
    </chartFormat>
    <chartFormat chart="6" format="987">
      <pivotArea type="data" outline="0" fieldPosition="0">
        <references count="2">
          <reference field="4294967294" count="1" selected="0">
            <x v="0"/>
          </reference>
          <reference field="3" count="1" selected="0">
            <x v="112"/>
          </reference>
        </references>
      </pivotArea>
    </chartFormat>
    <chartFormat chart="6" format="988">
      <pivotArea type="data" outline="0" fieldPosition="0">
        <references count="2">
          <reference field="4294967294" count="1" selected="0">
            <x v="0"/>
          </reference>
          <reference field="3" count="1" selected="0">
            <x v="442"/>
          </reference>
        </references>
      </pivotArea>
    </chartFormat>
    <chartFormat chart="6" format="989">
      <pivotArea type="data" outline="0" fieldPosition="0">
        <references count="2">
          <reference field="4294967294" count="1" selected="0">
            <x v="0"/>
          </reference>
          <reference field="3" count="1" selected="0">
            <x v="277"/>
          </reference>
        </references>
      </pivotArea>
    </chartFormat>
    <chartFormat chart="6" format="990">
      <pivotArea type="data" outline="0" fieldPosition="0">
        <references count="2">
          <reference field="4294967294" count="1" selected="0">
            <x v="0"/>
          </reference>
          <reference field="3" count="1" selected="0">
            <x v="204"/>
          </reference>
        </references>
      </pivotArea>
    </chartFormat>
    <chartFormat chart="6" format="991">
      <pivotArea type="data" outline="0" fieldPosition="0">
        <references count="2">
          <reference field="4294967294" count="1" selected="0">
            <x v="0"/>
          </reference>
          <reference field="3" count="1" selected="0">
            <x v="378"/>
          </reference>
        </references>
      </pivotArea>
    </chartFormat>
    <chartFormat chart="6" format="992">
      <pivotArea type="data" outline="0" fieldPosition="0">
        <references count="2">
          <reference field="4294967294" count="1" selected="0">
            <x v="0"/>
          </reference>
          <reference field="3" count="1" selected="0">
            <x v="48"/>
          </reference>
        </references>
      </pivotArea>
    </chartFormat>
    <chartFormat chart="6" format="993">
      <pivotArea type="data" outline="0" fieldPosition="0">
        <references count="2">
          <reference field="4294967294" count="1" selected="0">
            <x v="0"/>
          </reference>
          <reference field="3" count="1" selected="0">
            <x v="477"/>
          </reference>
        </references>
      </pivotArea>
    </chartFormat>
    <chartFormat chart="6" format="994">
      <pivotArea type="data" outline="0" fieldPosition="0">
        <references count="2">
          <reference field="4294967294" count="1" selected="0">
            <x v="0"/>
          </reference>
          <reference field="3" count="1" selected="0">
            <x v="148"/>
          </reference>
        </references>
      </pivotArea>
    </chartFormat>
    <chartFormat chart="6" format="995">
      <pivotArea type="data" outline="0" fieldPosition="0">
        <references count="2">
          <reference field="4294967294" count="1" selected="0">
            <x v="0"/>
          </reference>
          <reference field="3" count="1" selected="0">
            <x v="186"/>
          </reference>
        </references>
      </pivotArea>
    </chartFormat>
    <chartFormat chart="6" format="996">
      <pivotArea type="data" outline="0" fieldPosition="0">
        <references count="2">
          <reference field="4294967294" count="1" selected="0">
            <x v="0"/>
          </reference>
          <reference field="3" count="1" selected="0">
            <x v="352"/>
          </reference>
        </references>
      </pivotArea>
    </chartFormat>
    <chartFormat chart="6" format="997">
      <pivotArea type="data" outline="0" fieldPosition="0">
        <references count="2">
          <reference field="4294967294" count="1" selected="0">
            <x v="0"/>
          </reference>
          <reference field="3" count="1" selected="0">
            <x v="258"/>
          </reference>
        </references>
      </pivotArea>
    </chartFormat>
    <chartFormat chart="6" format="998">
      <pivotArea type="data" outline="0" fieldPosition="0">
        <references count="2">
          <reference field="4294967294" count="1" selected="0">
            <x v="0"/>
          </reference>
          <reference field="3" count="1" selected="0">
            <x v="414"/>
          </reference>
        </references>
      </pivotArea>
    </chartFormat>
    <chartFormat chart="6" format="999">
      <pivotArea type="data" outline="0" fieldPosition="0">
        <references count="2">
          <reference field="4294967294" count="1" selected="0">
            <x v="0"/>
          </reference>
          <reference field="3" count="1" selected="0">
            <x v="13"/>
          </reference>
        </references>
      </pivotArea>
    </chartFormat>
    <chartFormat chart="6" format="1000">
      <pivotArea type="data" outline="0" fieldPosition="0">
        <references count="2">
          <reference field="4294967294" count="1" selected="0">
            <x v="0"/>
          </reference>
          <reference field="3" count="1" selected="0">
            <x v="314"/>
          </reference>
        </references>
      </pivotArea>
    </chartFormat>
    <chartFormat chart="6" format="1001">
      <pivotArea type="data" outline="0" fieldPosition="0">
        <references count="2">
          <reference field="4294967294" count="1" selected="0">
            <x v="0"/>
          </reference>
          <reference field="3" count="1" selected="0">
            <x v="93"/>
          </reference>
        </references>
      </pivotArea>
    </chartFormat>
    <chartFormat chart="6" format="1002">
      <pivotArea type="data" outline="0" fieldPosition="0">
        <references count="2">
          <reference field="4294967294" count="1" selected="0">
            <x v="0"/>
          </reference>
          <reference field="3" count="1" selected="0">
            <x v="432"/>
          </reference>
        </references>
      </pivotArea>
    </chartFormat>
    <chartFormat chart="6" format="1003">
      <pivotArea type="data" outline="0" fieldPosition="0">
        <references count="2">
          <reference field="4294967294" count="1" selected="0">
            <x v="0"/>
          </reference>
          <reference field="3" count="1" selected="0">
            <x v="296"/>
          </reference>
        </references>
      </pivotArea>
    </chartFormat>
    <chartFormat chart="6" format="1004">
      <pivotArea type="data" outline="0" fieldPosition="0">
        <references count="2">
          <reference field="4294967294" count="1" selected="0">
            <x v="0"/>
          </reference>
          <reference field="3" count="1" selected="0">
            <x v="386"/>
          </reference>
        </references>
      </pivotArea>
    </chartFormat>
    <chartFormat chart="6" format="1005">
      <pivotArea type="data" outline="0" fieldPosition="0">
        <references count="2">
          <reference field="4294967294" count="1" selected="0">
            <x v="0"/>
          </reference>
          <reference field="3" count="1" selected="0">
            <x v="358"/>
          </reference>
        </references>
      </pivotArea>
    </chartFormat>
    <chartFormat chart="6" format="1006">
      <pivotArea type="data" outline="0" fieldPosition="0">
        <references count="2">
          <reference field="4294967294" count="1" selected="0">
            <x v="0"/>
          </reference>
          <reference field="3" count="1" selected="0">
            <x v="231"/>
          </reference>
        </references>
      </pivotArea>
    </chartFormat>
    <chartFormat chart="6" format="1007">
      <pivotArea type="data" outline="0" fieldPosition="0">
        <references count="2">
          <reference field="4294967294" count="1" selected="0">
            <x v="0"/>
          </reference>
          <reference field="3" count="1" selected="0">
            <x v="169"/>
          </reference>
        </references>
      </pivotArea>
    </chartFormat>
    <chartFormat chart="6" format="1008">
      <pivotArea type="data" outline="0" fieldPosition="0">
        <references count="2">
          <reference field="4294967294" count="1" selected="0">
            <x v="0"/>
          </reference>
          <reference field="3" count="1" selected="0">
            <x v="446"/>
          </reference>
        </references>
      </pivotArea>
    </chartFormat>
    <chartFormat chart="6" format="1009">
      <pivotArea type="data" outline="0" fieldPosition="0">
        <references count="2">
          <reference field="4294967294" count="1" selected="0">
            <x v="0"/>
          </reference>
          <reference field="3" count="1" selected="0">
            <x v="158"/>
          </reference>
        </references>
      </pivotArea>
    </chartFormat>
    <chartFormat chart="6" format="1010">
      <pivotArea type="data" outline="0" fieldPosition="0">
        <references count="2">
          <reference field="4294967294" count="1" selected="0">
            <x v="0"/>
          </reference>
          <reference field="3" count="1" selected="0">
            <x v="415"/>
          </reference>
        </references>
      </pivotArea>
    </chartFormat>
    <chartFormat chart="6" format="1011">
      <pivotArea type="data" outline="0" fieldPosition="0">
        <references count="2">
          <reference field="4294967294" count="1" selected="0">
            <x v="0"/>
          </reference>
          <reference field="3" count="1" selected="0">
            <x v="333"/>
          </reference>
        </references>
      </pivotArea>
    </chartFormat>
    <chartFormat chart="6" format="1012">
      <pivotArea type="data" outline="0" fieldPosition="0">
        <references count="2">
          <reference field="4294967294" count="1" selected="0">
            <x v="0"/>
          </reference>
          <reference field="3" count="1" selected="0">
            <x v="488"/>
          </reference>
        </references>
      </pivotArea>
    </chartFormat>
    <chartFormat chart="6" format="1013">
      <pivotArea type="data" outline="0" fieldPosition="0">
        <references count="2">
          <reference field="4294967294" count="1" selected="0">
            <x v="0"/>
          </reference>
          <reference field="3" count="1" selected="0">
            <x v="7"/>
          </reference>
        </references>
      </pivotArea>
    </chartFormat>
    <chartFormat chart="6" format="1014">
      <pivotArea type="data" outline="0" fieldPosition="0">
        <references count="2">
          <reference field="4294967294" count="1" selected="0">
            <x v="0"/>
          </reference>
          <reference field="3" count="1" selected="0">
            <x v="455"/>
          </reference>
        </references>
      </pivotArea>
    </chartFormat>
    <chartFormat chart="6" format="1015">
      <pivotArea type="data" outline="0" fieldPosition="0">
        <references count="2">
          <reference field="4294967294" count="1" selected="0">
            <x v="0"/>
          </reference>
          <reference field="3" count="1" selected="0">
            <x v="132"/>
          </reference>
        </references>
      </pivotArea>
    </chartFormat>
    <chartFormat chart="6" format="1016">
      <pivotArea type="data" outline="0" fieldPosition="0">
        <references count="2">
          <reference field="4294967294" count="1" selected="0">
            <x v="0"/>
          </reference>
          <reference field="3" count="1" selected="0">
            <x v="217"/>
          </reference>
        </references>
      </pivotArea>
    </chartFormat>
    <chartFormat chart="6" format="1017">
      <pivotArea type="data" outline="0" fieldPosition="0">
        <references count="2">
          <reference field="4294967294" count="1" selected="0">
            <x v="0"/>
          </reference>
          <reference field="3" count="1" selected="0">
            <x v="20"/>
          </reference>
        </references>
      </pivotArea>
    </chartFormat>
    <chartFormat chart="6" format="1018">
      <pivotArea type="data" outline="0" fieldPosition="0">
        <references count="2">
          <reference field="4294967294" count="1" selected="0">
            <x v="0"/>
          </reference>
          <reference field="3" count="1" selected="0">
            <x v="11"/>
          </reference>
        </references>
      </pivotArea>
    </chartFormat>
    <chartFormat chart="6" format="1019">
      <pivotArea type="data" outline="0" fieldPosition="0">
        <references count="2">
          <reference field="4294967294" count="1" selected="0">
            <x v="0"/>
          </reference>
          <reference field="3" count="1" selected="0">
            <x v="362"/>
          </reference>
        </references>
      </pivotArea>
    </chartFormat>
    <chartFormat chart="6" format="1020">
      <pivotArea type="data" outline="0" fieldPosition="0">
        <references count="2">
          <reference field="4294967294" count="1" selected="0">
            <x v="0"/>
          </reference>
          <reference field="3" count="1" selected="0">
            <x v="400"/>
          </reference>
        </references>
      </pivotArea>
    </chartFormat>
    <chartFormat chart="6" format="1021">
      <pivotArea type="data" outline="0" fieldPosition="0">
        <references count="2">
          <reference field="4294967294" count="1" selected="0">
            <x v="0"/>
          </reference>
          <reference field="3" count="1" selected="0">
            <x v="178"/>
          </reference>
        </references>
      </pivotArea>
    </chartFormat>
    <chartFormat chart="6" format="1022">
      <pivotArea type="data" outline="0" fieldPosition="0">
        <references count="2">
          <reference field="4294967294" count="1" selected="0">
            <x v="0"/>
          </reference>
          <reference field="3" count="1" selected="0">
            <x v="14"/>
          </reference>
        </references>
      </pivotArea>
    </chartFormat>
    <chartFormat chart="6" format="1023">
      <pivotArea type="data" outline="0" fieldPosition="0">
        <references count="2">
          <reference field="4294967294" count="1" selected="0">
            <x v="0"/>
          </reference>
          <reference field="3" count="1" selected="0">
            <x v="398"/>
          </reference>
        </references>
      </pivotArea>
    </chartFormat>
    <chartFormat chart="6" format="1024">
      <pivotArea type="data" outline="0" fieldPosition="0">
        <references count="2">
          <reference field="4294967294" count="1" selected="0">
            <x v="0"/>
          </reference>
          <reference field="3" count="1" selected="0">
            <x v="41"/>
          </reference>
        </references>
      </pivotArea>
    </chartFormat>
    <chartFormat chart="6" format="1025">
      <pivotArea type="data" outline="0" fieldPosition="0">
        <references count="2">
          <reference field="4294967294" count="1" selected="0">
            <x v="0"/>
          </reference>
          <reference field="3" count="1" selected="0">
            <x v="24"/>
          </reference>
        </references>
      </pivotArea>
    </chartFormat>
    <chartFormat chart="6" format="1026">
      <pivotArea type="data" outline="0" fieldPosition="0">
        <references count="2">
          <reference field="4294967294" count="1" selected="0">
            <x v="0"/>
          </reference>
          <reference field="3" count="1" selected="0">
            <x v="115"/>
          </reference>
        </references>
      </pivotArea>
    </chartFormat>
    <chartFormat chart="6" format="1027">
      <pivotArea type="data" outline="0" fieldPosition="0">
        <references count="2">
          <reference field="4294967294" count="1" selected="0">
            <x v="0"/>
          </reference>
          <reference field="3" count="1" selected="0">
            <x v="285"/>
          </reference>
        </references>
      </pivotArea>
    </chartFormat>
    <chartFormat chart="6" format="1028">
      <pivotArea type="data" outline="0" fieldPosition="0">
        <references count="2">
          <reference field="4294967294" count="1" selected="0">
            <x v="0"/>
          </reference>
          <reference field="3" count="1" selected="0">
            <x v="404"/>
          </reference>
        </references>
      </pivotArea>
    </chartFormat>
    <chartFormat chart="6" format="1029">
      <pivotArea type="data" outline="0" fieldPosition="0">
        <references count="2">
          <reference field="4294967294" count="1" selected="0">
            <x v="0"/>
          </reference>
          <reference field="3" count="1" selected="0">
            <x v="172"/>
          </reference>
        </references>
      </pivotArea>
    </chartFormat>
    <chartFormat chart="6" format="1030">
      <pivotArea type="data" outline="0" fieldPosition="0">
        <references count="2">
          <reference field="4294967294" count="1" selected="0">
            <x v="0"/>
          </reference>
          <reference field="3" count="1" selected="0">
            <x v="302"/>
          </reference>
        </references>
      </pivotArea>
    </chartFormat>
    <chartFormat chart="6" format="1031">
      <pivotArea type="data" outline="0" fieldPosition="0">
        <references count="2">
          <reference field="4294967294" count="1" selected="0">
            <x v="0"/>
          </reference>
          <reference field="3" count="1" selected="0">
            <x v="392"/>
          </reference>
        </references>
      </pivotArea>
    </chartFormat>
    <chartFormat chart="6" format="1032">
      <pivotArea type="data" outline="0" fieldPosition="0">
        <references count="2">
          <reference field="4294967294" count="1" selected="0">
            <x v="0"/>
          </reference>
          <reference field="3" count="1" selected="0">
            <x v="297"/>
          </reference>
        </references>
      </pivotArea>
    </chartFormat>
    <chartFormat chart="6" format="1033">
      <pivotArea type="data" outline="0" fieldPosition="0">
        <references count="2">
          <reference field="4294967294" count="1" selected="0">
            <x v="0"/>
          </reference>
          <reference field="3" count="1" selected="0">
            <x v="149"/>
          </reference>
        </references>
      </pivotArea>
    </chartFormat>
    <chartFormat chart="6" format="1034">
      <pivotArea type="data" outline="0" fieldPosition="0">
        <references count="2">
          <reference field="4294967294" count="1" selected="0">
            <x v="0"/>
          </reference>
          <reference field="3" count="1" selected="0">
            <x v="299"/>
          </reference>
        </references>
      </pivotArea>
    </chartFormat>
    <chartFormat chart="6" format="1035">
      <pivotArea type="data" outline="0" fieldPosition="0">
        <references count="2">
          <reference field="4294967294" count="1" selected="0">
            <x v="0"/>
          </reference>
          <reference field="3" count="1" selected="0">
            <x v="377"/>
          </reference>
        </references>
      </pivotArea>
    </chartFormat>
    <chartFormat chart="6" format="1036">
      <pivotArea type="data" outline="0" fieldPosition="0">
        <references count="2">
          <reference field="4294967294" count="1" selected="0">
            <x v="0"/>
          </reference>
          <reference field="3" count="1" selected="0">
            <x v="369"/>
          </reference>
        </references>
      </pivotArea>
    </chartFormat>
    <chartFormat chart="6" format="1037">
      <pivotArea type="data" outline="0" fieldPosition="0">
        <references count="2">
          <reference field="4294967294" count="1" selected="0">
            <x v="0"/>
          </reference>
          <reference field="3" count="1" selected="0">
            <x v="382"/>
          </reference>
        </references>
      </pivotArea>
    </chartFormat>
    <chartFormat chart="6" format="1038">
      <pivotArea type="data" outline="0" fieldPosition="0">
        <references count="2">
          <reference field="4294967294" count="1" selected="0">
            <x v="0"/>
          </reference>
          <reference field="3" count="1" selected="0">
            <x v="45"/>
          </reference>
        </references>
      </pivotArea>
    </chartFormat>
    <chartFormat chart="6" format="1039">
      <pivotArea type="data" outline="0" fieldPosition="0">
        <references count="2">
          <reference field="4294967294" count="1" selected="0">
            <x v="0"/>
          </reference>
          <reference field="3" count="1" selected="0">
            <x v="439"/>
          </reference>
        </references>
      </pivotArea>
    </chartFormat>
    <chartFormat chart="6" format="1040">
      <pivotArea type="data" outline="0" fieldPosition="0">
        <references count="2">
          <reference field="4294967294" count="1" selected="0">
            <x v="0"/>
          </reference>
          <reference field="3" count="1" selected="0">
            <x v="66"/>
          </reference>
        </references>
      </pivotArea>
    </chartFormat>
    <chartFormat chart="6" format="1041">
      <pivotArea type="data" outline="0" fieldPosition="0">
        <references count="2">
          <reference field="4294967294" count="1" selected="0">
            <x v="0"/>
          </reference>
          <reference field="3" count="1" selected="0">
            <x v="421"/>
          </reference>
        </references>
      </pivotArea>
    </chartFormat>
    <chartFormat chart="6" format="1042">
      <pivotArea type="data" outline="0" fieldPosition="0">
        <references count="2">
          <reference field="4294967294" count="1" selected="0">
            <x v="0"/>
          </reference>
          <reference field="3" count="1" selected="0">
            <x v="295"/>
          </reference>
        </references>
      </pivotArea>
    </chartFormat>
    <chartFormat chart="6" format="1043">
      <pivotArea type="data" outline="0" fieldPosition="0">
        <references count="2">
          <reference field="4294967294" count="1" selected="0">
            <x v="0"/>
          </reference>
          <reference field="3" count="1" selected="0">
            <x v="92"/>
          </reference>
        </references>
      </pivotArea>
    </chartFormat>
    <chartFormat chart="6" format="1044">
      <pivotArea type="data" outline="0" fieldPosition="0">
        <references count="2">
          <reference field="4294967294" count="1" selected="0">
            <x v="0"/>
          </reference>
          <reference field="3" count="1" selected="0">
            <x v="202"/>
          </reference>
        </references>
      </pivotArea>
    </chartFormat>
    <chartFormat chart="6" format="1045">
      <pivotArea type="data" outline="0" fieldPosition="0">
        <references count="2">
          <reference field="4294967294" count="1" selected="0">
            <x v="0"/>
          </reference>
          <reference field="3" count="1" selected="0">
            <x v="1"/>
          </reference>
        </references>
      </pivotArea>
    </chartFormat>
    <chartFormat chart="6" format="1046">
      <pivotArea type="data" outline="0" fieldPosition="0">
        <references count="2">
          <reference field="4294967294" count="1" selected="0">
            <x v="0"/>
          </reference>
          <reference field="3" count="1" selected="0">
            <x v="97"/>
          </reference>
        </references>
      </pivotArea>
    </chartFormat>
    <chartFormat chart="6" format="1047">
      <pivotArea type="data" outline="0" fieldPosition="0">
        <references count="2">
          <reference field="4294967294" count="1" selected="0">
            <x v="0"/>
          </reference>
          <reference field="3" count="1" selected="0">
            <x v="12"/>
          </reference>
        </references>
      </pivotArea>
    </chartFormat>
    <chartFormat chart="6" format="1048">
      <pivotArea type="data" outline="0" fieldPosition="0">
        <references count="2">
          <reference field="4294967294" count="1" selected="0">
            <x v="0"/>
          </reference>
          <reference field="3" count="1" selected="0">
            <x v="460"/>
          </reference>
        </references>
      </pivotArea>
    </chartFormat>
    <chartFormat chart="6" format="1049">
      <pivotArea type="data" outline="0" fieldPosition="0">
        <references count="2">
          <reference field="4294967294" count="1" selected="0">
            <x v="0"/>
          </reference>
          <reference field="3" count="1" selected="0">
            <x v="159"/>
          </reference>
        </references>
      </pivotArea>
    </chartFormat>
    <chartFormat chart="6" format="1050">
      <pivotArea type="data" outline="0" fieldPosition="0">
        <references count="2">
          <reference field="4294967294" count="1" selected="0">
            <x v="0"/>
          </reference>
          <reference field="3" count="1" selected="0">
            <x v="176"/>
          </reference>
        </references>
      </pivotArea>
    </chartFormat>
    <chartFormat chart="6" format="1051">
      <pivotArea type="data" outline="0" fieldPosition="0">
        <references count="2">
          <reference field="4294967294" count="1" selected="0">
            <x v="0"/>
          </reference>
          <reference field="3" count="1" selected="0">
            <x v="208"/>
          </reference>
        </references>
      </pivotArea>
    </chartFormat>
    <chartFormat chart="6" format="1052">
      <pivotArea type="data" outline="0" fieldPosition="0">
        <references count="2">
          <reference field="4294967294" count="1" selected="0">
            <x v="0"/>
          </reference>
          <reference field="3" count="1" selected="0">
            <x v="88"/>
          </reference>
        </references>
      </pivotArea>
    </chartFormat>
    <chartFormat chart="6" format="1053">
      <pivotArea type="data" outline="0" fieldPosition="0">
        <references count="2">
          <reference field="4294967294" count="1" selected="0">
            <x v="0"/>
          </reference>
          <reference field="3" count="1" selected="0">
            <x v="344"/>
          </reference>
        </references>
      </pivotArea>
    </chartFormat>
    <chartFormat chart="6" format="1054">
      <pivotArea type="data" outline="0" fieldPosition="0">
        <references count="2">
          <reference field="4294967294" count="1" selected="0">
            <x v="0"/>
          </reference>
          <reference field="3" count="1" selected="0">
            <x v="356"/>
          </reference>
        </references>
      </pivotArea>
    </chartFormat>
    <chartFormat chart="6" format="1055">
      <pivotArea type="data" outline="0" fieldPosition="0">
        <references count="2">
          <reference field="4294967294" count="1" selected="0">
            <x v="0"/>
          </reference>
          <reference field="3" count="1" selected="0">
            <x v="332"/>
          </reference>
        </references>
      </pivotArea>
    </chartFormat>
    <chartFormat chart="6" format="1056">
      <pivotArea type="data" outline="0" fieldPosition="0">
        <references count="2">
          <reference field="4294967294" count="1" selected="0">
            <x v="0"/>
          </reference>
          <reference field="3" count="1" selected="0">
            <x v="290"/>
          </reference>
        </references>
      </pivotArea>
    </chartFormat>
    <chartFormat chart="6" format="1057">
      <pivotArea type="data" outline="0" fieldPosition="0">
        <references count="2">
          <reference field="4294967294" count="1" selected="0">
            <x v="0"/>
          </reference>
          <reference field="3" count="1" selected="0">
            <x v="126"/>
          </reference>
        </references>
      </pivotArea>
    </chartFormat>
    <chartFormat chart="6" format="1058">
      <pivotArea type="data" outline="0" fieldPosition="0">
        <references count="2">
          <reference field="4294967294" count="1" selected="0">
            <x v="0"/>
          </reference>
          <reference field="3" count="1" selected="0">
            <x v="348"/>
          </reference>
        </references>
      </pivotArea>
    </chartFormat>
    <chartFormat chart="6" format="1059">
      <pivotArea type="data" outline="0" fieldPosition="0">
        <references count="2">
          <reference field="4294967294" count="1" selected="0">
            <x v="0"/>
          </reference>
          <reference field="3" count="1" selected="0">
            <x v="198"/>
          </reference>
        </references>
      </pivotArea>
    </chartFormat>
    <chartFormat chart="6" format="1060">
      <pivotArea type="data" outline="0" fieldPosition="0">
        <references count="2">
          <reference field="4294967294" count="1" selected="0">
            <x v="0"/>
          </reference>
          <reference field="3" count="1" selected="0">
            <x v="279"/>
          </reference>
        </references>
      </pivotArea>
    </chartFormat>
    <chartFormat chart="6" format="1061">
      <pivotArea type="data" outline="0" fieldPosition="0">
        <references count="2">
          <reference field="4294967294" count="1" selected="0">
            <x v="0"/>
          </reference>
          <reference field="3" count="1" selected="0">
            <x v="6"/>
          </reference>
        </references>
      </pivotArea>
    </chartFormat>
    <chartFormat chart="6" format="1062">
      <pivotArea type="data" outline="0" fieldPosition="0">
        <references count="2">
          <reference field="4294967294" count="1" selected="0">
            <x v="0"/>
          </reference>
          <reference field="3" count="1" selected="0">
            <x v="82"/>
          </reference>
        </references>
      </pivotArea>
    </chartFormat>
    <chartFormat chart="6" format="1063">
      <pivotArea type="data" outline="0" fieldPosition="0">
        <references count="2">
          <reference field="4294967294" count="1" selected="0">
            <x v="0"/>
          </reference>
          <reference field="3" count="1" selected="0">
            <x v="346"/>
          </reference>
        </references>
      </pivotArea>
    </chartFormat>
    <chartFormat chart="6" format="1064">
      <pivotArea type="data" outline="0" fieldPosition="0">
        <references count="2">
          <reference field="4294967294" count="1" selected="0">
            <x v="0"/>
          </reference>
          <reference field="3" count="1" selected="0">
            <x v="150"/>
          </reference>
        </references>
      </pivotArea>
    </chartFormat>
    <chartFormat chart="6" format="1065">
      <pivotArea type="data" outline="0" fieldPosition="0">
        <references count="2">
          <reference field="4294967294" count="1" selected="0">
            <x v="0"/>
          </reference>
          <reference field="3" count="1" selected="0">
            <x v="143"/>
          </reference>
        </references>
      </pivotArea>
    </chartFormat>
    <chartFormat chart="6" format="1066">
      <pivotArea type="data" outline="0" fieldPosition="0">
        <references count="2">
          <reference field="4294967294" count="1" selected="0">
            <x v="0"/>
          </reference>
          <reference field="3" count="1" selected="0">
            <x v="338"/>
          </reference>
        </references>
      </pivotArea>
    </chartFormat>
    <chartFormat chart="6" format="1067">
      <pivotArea type="data" outline="0" fieldPosition="0">
        <references count="2">
          <reference field="4294967294" count="1" selected="0">
            <x v="0"/>
          </reference>
          <reference field="3" count="1" selected="0">
            <x v="71"/>
          </reference>
        </references>
      </pivotArea>
    </chartFormat>
    <chartFormat chart="6" format="1068">
      <pivotArea type="data" outline="0" fieldPosition="0">
        <references count="2">
          <reference field="4294967294" count="1" selected="0">
            <x v="0"/>
          </reference>
          <reference field="3" count="1" selected="0">
            <x v="364"/>
          </reference>
        </references>
      </pivotArea>
    </chartFormat>
    <chartFormat chart="6" format="1069">
      <pivotArea type="data" outline="0" fieldPosition="0">
        <references count="2">
          <reference field="4294967294" count="1" selected="0">
            <x v="0"/>
          </reference>
          <reference field="3" count="1" selected="0">
            <x v="461"/>
          </reference>
        </references>
      </pivotArea>
    </chartFormat>
    <chartFormat chart="6" format="1070">
      <pivotArea type="data" outline="0" fieldPosition="0">
        <references count="2">
          <reference field="4294967294" count="1" selected="0">
            <x v="0"/>
          </reference>
          <reference field="3" count="1" selected="0">
            <x v="215"/>
          </reference>
        </references>
      </pivotArea>
    </chartFormat>
    <chartFormat chart="6" format="1071">
      <pivotArea type="data" outline="0" fieldPosition="0">
        <references count="2">
          <reference field="4294967294" count="1" selected="0">
            <x v="0"/>
          </reference>
          <reference field="3" count="1" selected="0">
            <x v="474"/>
          </reference>
        </references>
      </pivotArea>
    </chartFormat>
    <chartFormat chart="6" format="1072">
      <pivotArea type="data" outline="0" fieldPosition="0">
        <references count="2">
          <reference field="4294967294" count="1" selected="0">
            <x v="0"/>
          </reference>
          <reference field="3" count="1" selected="0">
            <x v="77"/>
          </reference>
        </references>
      </pivotArea>
    </chartFormat>
    <chartFormat chart="6" format="1073">
      <pivotArea type="data" outline="0" fieldPosition="0">
        <references count="2">
          <reference field="4294967294" count="1" selected="0">
            <x v="0"/>
          </reference>
          <reference field="3" count="1" selected="0">
            <x v="444"/>
          </reference>
        </references>
      </pivotArea>
    </chartFormat>
    <chartFormat chart="6" format="1074">
      <pivotArea type="data" outline="0" fieldPosition="0">
        <references count="2">
          <reference field="4294967294" count="1" selected="0">
            <x v="0"/>
          </reference>
          <reference field="3" count="1" selected="0">
            <x v="229"/>
          </reference>
        </references>
      </pivotArea>
    </chartFormat>
    <chartFormat chart="6" format="1075">
      <pivotArea type="data" outline="0" fieldPosition="0">
        <references count="2">
          <reference field="4294967294" count="1" selected="0">
            <x v="0"/>
          </reference>
          <reference field="3" count="1" selected="0">
            <x v="318"/>
          </reference>
        </references>
      </pivotArea>
    </chartFormat>
    <chartFormat chart="6" format="1076">
      <pivotArea type="data" outline="0" fieldPosition="0">
        <references count="2">
          <reference field="4294967294" count="1" selected="0">
            <x v="0"/>
          </reference>
          <reference field="3" count="1" selected="0">
            <x v="117"/>
          </reference>
        </references>
      </pivotArea>
    </chartFormat>
    <chartFormat chart="6" format="1077">
      <pivotArea type="data" outline="0" fieldPosition="0">
        <references count="2">
          <reference field="4294967294" count="1" selected="0">
            <x v="0"/>
          </reference>
          <reference field="3" count="1" selected="0">
            <x v="342"/>
          </reference>
        </references>
      </pivotArea>
    </chartFormat>
    <chartFormat chart="6" format="1078">
      <pivotArea type="data" outline="0" fieldPosition="0">
        <references count="2">
          <reference field="4294967294" count="1" selected="0">
            <x v="0"/>
          </reference>
          <reference field="3" count="1" selected="0">
            <x v="411"/>
          </reference>
        </references>
      </pivotArea>
    </chartFormat>
    <chartFormat chart="6" format="1079">
      <pivotArea type="data" outline="0" fieldPosition="0">
        <references count="2">
          <reference field="4294967294" count="1" selected="0">
            <x v="0"/>
          </reference>
          <reference field="3" count="1" selected="0">
            <x v="402"/>
          </reference>
        </references>
      </pivotArea>
    </chartFormat>
    <chartFormat chart="6" format="1080">
      <pivotArea type="data" outline="0" fieldPosition="0">
        <references count="2">
          <reference field="4294967294" count="1" selected="0">
            <x v="0"/>
          </reference>
          <reference field="3" count="1" selected="0">
            <x v="30"/>
          </reference>
        </references>
      </pivotArea>
    </chartFormat>
    <chartFormat chart="6" format="1081">
      <pivotArea type="data" outline="0" fieldPosition="0">
        <references count="2">
          <reference field="4294967294" count="1" selected="0">
            <x v="0"/>
          </reference>
          <reference field="3" count="1" selected="0">
            <x v="355"/>
          </reference>
        </references>
      </pivotArea>
    </chartFormat>
    <chartFormat chart="6" format="1082">
      <pivotArea type="data" outline="0" fieldPosition="0">
        <references count="2">
          <reference field="4294967294" count="1" selected="0">
            <x v="0"/>
          </reference>
          <reference field="3" count="1" selected="0">
            <x v="384"/>
          </reference>
        </references>
      </pivotArea>
    </chartFormat>
    <chartFormat chart="6" format="1083">
      <pivotArea type="data" outline="0" fieldPosition="0">
        <references count="2">
          <reference field="4294967294" count="1" selected="0">
            <x v="0"/>
          </reference>
          <reference field="3" count="1" selected="0">
            <x v="72"/>
          </reference>
        </references>
      </pivotArea>
    </chartFormat>
    <chartFormat chart="6" format="1084">
      <pivotArea type="data" outline="0" fieldPosition="0">
        <references count="2">
          <reference field="4294967294" count="1" selected="0">
            <x v="0"/>
          </reference>
          <reference field="3" count="1" selected="0">
            <x v="56"/>
          </reference>
        </references>
      </pivotArea>
    </chartFormat>
    <chartFormat chart="6" format="1085">
      <pivotArea type="data" outline="0" fieldPosition="0">
        <references count="2">
          <reference field="4294967294" count="1" selected="0">
            <x v="0"/>
          </reference>
          <reference field="3" count="1" selected="0">
            <x v="60"/>
          </reference>
        </references>
      </pivotArea>
    </chartFormat>
    <chartFormat chart="6" format="1086">
      <pivotArea type="data" outline="0" fieldPosition="0">
        <references count="2">
          <reference field="4294967294" count="1" selected="0">
            <x v="0"/>
          </reference>
          <reference field="3" count="1" selected="0">
            <x v="329"/>
          </reference>
        </references>
      </pivotArea>
    </chartFormat>
    <chartFormat chart="6" format="1087">
      <pivotArea type="data" outline="0" fieldPosition="0">
        <references count="2">
          <reference field="4294967294" count="1" selected="0">
            <x v="0"/>
          </reference>
          <reference field="3" count="1" selected="0">
            <x v="170"/>
          </reference>
        </references>
      </pivotArea>
    </chartFormat>
    <chartFormat chart="6" format="1088">
      <pivotArea type="data" outline="0" fieldPosition="0">
        <references count="2">
          <reference field="4294967294" count="1" selected="0">
            <x v="0"/>
          </reference>
          <reference field="3" count="1" selected="0">
            <x v="322"/>
          </reference>
        </references>
      </pivotArea>
    </chartFormat>
    <chartFormat chart="6" format="1089">
      <pivotArea type="data" outline="0" fieldPosition="0">
        <references count="2">
          <reference field="4294967294" count="1" selected="0">
            <x v="0"/>
          </reference>
          <reference field="3" count="1" selected="0">
            <x v="341"/>
          </reference>
        </references>
      </pivotArea>
    </chartFormat>
    <chartFormat chart="6" format="1090">
      <pivotArea type="data" outline="0" fieldPosition="0">
        <references count="2">
          <reference field="4294967294" count="1" selected="0">
            <x v="0"/>
          </reference>
          <reference field="3" count="1" selected="0">
            <x v="224"/>
          </reference>
        </references>
      </pivotArea>
    </chartFormat>
    <chartFormat chart="6" format="1091">
      <pivotArea type="data" outline="0" fieldPosition="0">
        <references count="2">
          <reference field="4294967294" count="1" selected="0">
            <x v="0"/>
          </reference>
          <reference field="3" count="1" selected="0">
            <x v="47"/>
          </reference>
        </references>
      </pivotArea>
    </chartFormat>
    <chartFormat chart="6" format="1092">
      <pivotArea type="data" outline="0" fieldPosition="0">
        <references count="2">
          <reference field="4294967294" count="1" selected="0">
            <x v="0"/>
          </reference>
          <reference field="3" count="1" selected="0">
            <x v="433"/>
          </reference>
        </references>
      </pivotArea>
    </chartFormat>
    <chartFormat chart="6" format="1093">
      <pivotArea type="data" outline="0" fieldPosition="0">
        <references count="2">
          <reference field="4294967294" count="1" selected="0">
            <x v="0"/>
          </reference>
          <reference field="3" count="1" selected="0">
            <x v="221"/>
          </reference>
        </references>
      </pivotArea>
    </chartFormat>
    <chartFormat chart="6" format="1094">
      <pivotArea type="data" outline="0" fieldPosition="0">
        <references count="2">
          <reference field="4294967294" count="1" selected="0">
            <x v="0"/>
          </reference>
          <reference field="3" count="1" selected="0">
            <x v="335"/>
          </reference>
        </references>
      </pivotArea>
    </chartFormat>
    <chartFormat chart="6" format="1095">
      <pivotArea type="data" outline="0" fieldPosition="0">
        <references count="2">
          <reference field="4294967294" count="1" selected="0">
            <x v="0"/>
          </reference>
          <reference field="3" count="1" selected="0">
            <x v="59"/>
          </reference>
        </references>
      </pivotArea>
    </chartFormat>
    <chartFormat chart="6" format="1096">
      <pivotArea type="data" outline="0" fieldPosition="0">
        <references count="2">
          <reference field="4294967294" count="1" selected="0">
            <x v="0"/>
          </reference>
          <reference field="3" count="1" selected="0">
            <x v="320"/>
          </reference>
        </references>
      </pivotArea>
    </chartFormat>
    <chartFormat chart="6" format="1097">
      <pivotArea type="data" outline="0" fieldPosition="0">
        <references count="2">
          <reference field="4294967294" count="1" selected="0">
            <x v="0"/>
          </reference>
          <reference field="3" count="1" selected="0">
            <x v="189"/>
          </reference>
        </references>
      </pivotArea>
    </chartFormat>
    <chartFormat chart="6" format="1098">
      <pivotArea type="data" outline="0" fieldPosition="0">
        <references count="2">
          <reference field="4294967294" count="1" selected="0">
            <x v="0"/>
          </reference>
          <reference field="3" count="1" selected="0">
            <x v="300"/>
          </reference>
        </references>
      </pivotArea>
    </chartFormat>
    <chartFormat chart="6" format="1099">
      <pivotArea type="data" outline="0" fieldPosition="0">
        <references count="2">
          <reference field="4294967294" count="1" selected="0">
            <x v="0"/>
          </reference>
          <reference field="3" count="1" selected="0">
            <x v="424"/>
          </reference>
        </references>
      </pivotArea>
    </chartFormat>
    <chartFormat chart="6" format="1100">
      <pivotArea type="data" outline="0" fieldPosition="0">
        <references count="2">
          <reference field="4294967294" count="1" selected="0">
            <x v="0"/>
          </reference>
          <reference field="3" count="1" selected="0">
            <x v="175"/>
          </reference>
        </references>
      </pivotArea>
    </chartFormat>
    <chartFormat chart="6" format="1101">
      <pivotArea type="data" outline="0" fieldPosition="0">
        <references count="2">
          <reference field="4294967294" count="1" selected="0">
            <x v="0"/>
          </reference>
          <reference field="3" count="1" selected="0">
            <x v="337"/>
          </reference>
        </references>
      </pivotArea>
    </chartFormat>
    <chartFormat chart="6" format="1102">
      <pivotArea type="data" outline="0" fieldPosition="0">
        <references count="2">
          <reference field="4294967294" count="1" selected="0">
            <x v="0"/>
          </reference>
          <reference field="3" count="1" selected="0">
            <x v="214"/>
          </reference>
        </references>
      </pivotArea>
    </chartFormat>
    <chartFormat chart="0" format="274">
      <pivotArea type="data" outline="0" fieldPosition="0">
        <references count="2">
          <reference field="4294967294" count="1" selected="0">
            <x v="0"/>
          </reference>
          <reference field="3" count="1" selected="0">
            <x v="189"/>
          </reference>
        </references>
      </pivotArea>
    </chartFormat>
    <chartFormat chart="0" format="275">
      <pivotArea type="data" outline="0" fieldPosition="0">
        <references count="2">
          <reference field="4294967294" count="1" selected="0">
            <x v="0"/>
          </reference>
          <reference field="3" count="1" selected="0">
            <x v="300"/>
          </reference>
        </references>
      </pivotArea>
    </chartFormat>
    <chartFormat chart="0" format="276">
      <pivotArea type="data" outline="0" fieldPosition="0">
        <references count="2">
          <reference field="4294967294" count="1" selected="0">
            <x v="0"/>
          </reference>
          <reference field="3" count="1" selected="0">
            <x v="424"/>
          </reference>
        </references>
      </pivotArea>
    </chartFormat>
    <chartFormat chart="0" format="277">
      <pivotArea type="data" outline="0" fieldPosition="0">
        <references count="2">
          <reference field="4294967294" count="1" selected="0">
            <x v="0"/>
          </reference>
          <reference field="3" count="1" selected="0">
            <x v="175"/>
          </reference>
        </references>
      </pivotArea>
    </chartFormat>
    <chartFormat chart="0" format="278">
      <pivotArea type="data" outline="0" fieldPosition="0">
        <references count="2">
          <reference field="4294967294" count="1" selected="0">
            <x v="0"/>
          </reference>
          <reference field="3" count="1" selected="0">
            <x v="337"/>
          </reference>
        </references>
      </pivotArea>
    </chartFormat>
    <chartFormat chart="0" format="279">
      <pivotArea type="data" outline="0" fieldPosition="0">
        <references count="2">
          <reference field="4294967294" count="1" selected="0">
            <x v="0"/>
          </reference>
          <reference field="3" count="1" selected="0">
            <x v="214"/>
          </reference>
        </references>
      </pivotArea>
    </chartFormat>
    <chartFormat chart="6" format="1103">
      <pivotArea type="data" outline="0" fieldPosition="0">
        <references count="2">
          <reference field="4294967294" count="1" selected="0">
            <x v="0"/>
          </reference>
          <reference field="3" count="1" selected="0">
            <x v="19"/>
          </reference>
        </references>
      </pivotArea>
    </chartFormat>
    <chartFormat chart="6" format="1104">
      <pivotArea type="data" outline="0" fieldPosition="0">
        <references count="2">
          <reference field="4294967294" count="1" selected="0">
            <x v="0"/>
          </reference>
          <reference field="3" count="1" selected="0">
            <x v="75"/>
          </reference>
        </references>
      </pivotArea>
    </chartFormat>
    <chartFormat chart="6" format="1105">
      <pivotArea type="data" outline="0" fieldPosition="0">
        <references count="2">
          <reference field="4294967294" count="1" selected="0">
            <x v="0"/>
          </reference>
          <reference field="3" count="1" selected="0">
            <x v="253"/>
          </reference>
        </references>
      </pivotArea>
    </chartFormat>
    <chartFormat chart="6" format="1106">
      <pivotArea type="data" outline="0" fieldPosition="0">
        <references count="2">
          <reference field="4294967294" count="1" selected="0">
            <x v="0"/>
          </reference>
          <reference field="3" count="1" selected="0">
            <x v="239"/>
          </reference>
        </references>
      </pivotArea>
    </chartFormat>
    <chartFormat chart="0" format="280">
      <pivotArea type="data" outline="0" fieldPosition="0">
        <references count="2">
          <reference field="4294967294" count="1" selected="0">
            <x v="0"/>
          </reference>
          <reference field="3" count="1" selected="0">
            <x v="19"/>
          </reference>
        </references>
      </pivotArea>
    </chartFormat>
    <chartFormat chart="0" format="281">
      <pivotArea type="data" outline="0" fieldPosition="0">
        <references count="2">
          <reference field="4294967294" count="1" selected="0">
            <x v="0"/>
          </reference>
          <reference field="3" count="1" selected="0">
            <x v="75"/>
          </reference>
        </references>
      </pivotArea>
    </chartFormat>
    <chartFormat chart="0" format="282">
      <pivotArea type="data" outline="0" fieldPosition="0">
        <references count="2">
          <reference field="4294967294" count="1" selected="0">
            <x v="0"/>
          </reference>
          <reference field="3" count="1" selected="0">
            <x v="253"/>
          </reference>
        </references>
      </pivotArea>
    </chartFormat>
    <chartFormat chart="0" format="283">
      <pivotArea type="data" outline="0" fieldPosition="0">
        <references count="2">
          <reference field="4294967294" count="1" selected="0">
            <x v="0"/>
          </reference>
          <reference field="3" count="1" selected="0">
            <x v="239"/>
          </reference>
        </references>
      </pivotArea>
    </chartFormat>
  </chartFormats>
  <pivotTableStyleInfo name="PivotStyleLight16" showRowHeaders="1" showColHeaders="1" showRowStripes="0" showColStripes="0" showLastColumn="1"/>
  <filters count="1">
    <filter fld="3" type="count" evalOrder="-1" id="4"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D9C347C-C9BA-49EA-A7D3-4E45550E6845}" name="PivotTable13"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B38" firstHeaderRow="1" firstDataRow="1" firstDataCol="1"/>
  <pivotFields count="11">
    <pivotField numFmtId="164" showAll="0"/>
    <pivotField showAll="0"/>
    <pivotField showAll="0">
      <items count="5">
        <item h="1" x="0"/>
        <item x="1"/>
        <item h="1" x="2"/>
        <item h="1" x="3"/>
        <item t="default"/>
      </items>
    </pivotField>
    <pivotField showAll="0"/>
    <pivotField axis="axisRow" showAll="0">
      <items count="46">
        <item x="24"/>
        <item x="9"/>
        <item x="10"/>
        <item x="3"/>
        <item x="31"/>
        <item x="33"/>
        <item x="5"/>
        <item x="11"/>
        <item x="7"/>
        <item x="43"/>
        <item x="1"/>
        <item x="18"/>
        <item x="23"/>
        <item x="38"/>
        <item x="27"/>
        <item x="6"/>
        <item x="25"/>
        <item x="28"/>
        <item x="14"/>
        <item x="22"/>
        <item x="26"/>
        <item x="34"/>
        <item x="35"/>
        <item x="40"/>
        <item x="12"/>
        <item x="30"/>
        <item x="17"/>
        <item x="36"/>
        <item x="13"/>
        <item x="21"/>
        <item x="42"/>
        <item x="19"/>
        <item x="39"/>
        <item x="8"/>
        <item x="2"/>
        <item x="44"/>
        <item x="20"/>
        <item x="32"/>
        <item x="37"/>
        <item x="0"/>
        <item x="29"/>
        <item x="41"/>
        <item x="4"/>
        <item x="16"/>
        <item x="15"/>
        <item t="default"/>
      </items>
    </pivotField>
    <pivotField showAll="0"/>
    <pivotField showAll="0"/>
    <pivotField showAll="0"/>
    <pivotField dataField="1" showAll="0"/>
    <pivotField showAll="0"/>
    <pivotField showAll="0"/>
  </pivotFields>
  <rowFields count="1">
    <field x="4"/>
  </rowFields>
  <rowItems count="35">
    <i>
      <x v="1"/>
    </i>
    <i>
      <x v="3"/>
    </i>
    <i>
      <x v="4"/>
    </i>
    <i>
      <x v="5"/>
    </i>
    <i>
      <x v="6"/>
    </i>
    <i>
      <x v="7"/>
    </i>
    <i>
      <x v="8"/>
    </i>
    <i>
      <x v="10"/>
    </i>
    <i>
      <x v="12"/>
    </i>
    <i>
      <x v="14"/>
    </i>
    <i>
      <x v="17"/>
    </i>
    <i>
      <x v="18"/>
    </i>
    <i>
      <x v="19"/>
    </i>
    <i>
      <x v="20"/>
    </i>
    <i>
      <x v="21"/>
    </i>
    <i>
      <x v="22"/>
    </i>
    <i>
      <x v="24"/>
    </i>
    <i>
      <x v="25"/>
    </i>
    <i>
      <x v="26"/>
    </i>
    <i>
      <x v="27"/>
    </i>
    <i>
      <x v="28"/>
    </i>
    <i>
      <x v="29"/>
    </i>
    <i>
      <x v="31"/>
    </i>
    <i>
      <x v="33"/>
    </i>
    <i>
      <x v="34"/>
    </i>
    <i>
      <x v="36"/>
    </i>
    <i>
      <x v="37"/>
    </i>
    <i>
      <x v="38"/>
    </i>
    <i>
      <x v="39"/>
    </i>
    <i>
      <x v="40"/>
    </i>
    <i>
      <x v="41"/>
    </i>
    <i>
      <x v="42"/>
    </i>
    <i>
      <x v="43"/>
    </i>
    <i>
      <x v="44"/>
    </i>
    <i t="grand">
      <x/>
    </i>
  </rowItems>
  <colItems count="1">
    <i/>
  </colItems>
  <dataFields count="1">
    <dataField name="Sum of Sales"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48580AF-4FF1-45E7-884A-FC8D501F7A31}" name="PivotTable2"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A4" firstHeaderRow="1" firstDataRow="1" firstDataCol="0"/>
  <pivotFields count="11">
    <pivotField numFmtId="164" showAll="0"/>
    <pivotField showAll="0"/>
    <pivotField showAll="0"/>
    <pivotField showAll="0"/>
    <pivotField showAll="0"/>
    <pivotField showAll="0"/>
    <pivotField showAll="0"/>
    <pivotField showAll="0"/>
    <pivotField showAll="0"/>
    <pivotField showAll="0"/>
    <pivotField dataField="1" showAll="0"/>
  </pivotFields>
  <rowItems count="1">
    <i/>
  </rowItems>
  <colItems count="1">
    <i/>
  </colItems>
  <dataFields count="1">
    <dataField name="Sum of Profit" fld="10"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3FA7BA2-B741-4A84-BD5B-6AE4FF81E960}" name="PivotTable1"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A4" firstHeaderRow="1" firstDataRow="1" firstDataCol="0"/>
  <pivotFields count="11">
    <pivotField numFmtId="164" showAll="0"/>
    <pivotField showAll="0"/>
    <pivotField showAll="0"/>
    <pivotField showAll="0"/>
    <pivotField showAll="0"/>
    <pivotField showAll="0"/>
    <pivotField showAll="0"/>
    <pivotField showAll="0"/>
    <pivotField dataField="1" showAll="0"/>
    <pivotField showAll="0"/>
    <pivotField showAll="0"/>
  </pivotFields>
  <rowItems count="1">
    <i/>
  </rowItems>
  <colItems count="1">
    <i/>
  </colItems>
  <dataFields count="1">
    <dataField name="Sum of Sales" fld="8"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A73A29-49A3-4B37-A22F-4ECC6BD22279}" name="PivotTable3"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A4" firstHeaderRow="1" firstDataRow="1" firstDataCol="0"/>
  <pivotFields count="2">
    <pivotField showAll="0"/>
    <pivotField dataField="1" showAll="0"/>
  </pivotFields>
  <rowItems count="1">
    <i/>
  </rowItems>
  <colItems count="1">
    <i/>
  </colItems>
  <dataFields count="1">
    <dataField name="Count of Customer name"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9C71BA9-B5C7-472D-80FC-90A09DB18E6F}" name="PivotTable19"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3:B8" firstHeaderRow="1" firstDataRow="1" firstDataCol="1"/>
  <pivotFields count="2">
    <pivotField axis="axisRow" showAll="0">
      <items count="5">
        <item x="0"/>
        <item x="1"/>
        <item x="2"/>
        <item x="3"/>
        <item t="default"/>
      </items>
    </pivotField>
    <pivotField dataField="1" showAll="0"/>
  </pivotFields>
  <rowFields count="1">
    <field x="0"/>
  </rowFields>
  <rowItems count="5">
    <i>
      <x/>
    </i>
    <i>
      <x v="1"/>
    </i>
    <i>
      <x v="2"/>
    </i>
    <i>
      <x v="3"/>
    </i>
    <i t="grand">
      <x/>
    </i>
  </rowItems>
  <colItems count="1">
    <i/>
  </colItems>
  <dataFields count="1">
    <dataField name="Count of Customer name" fld="1" subtotal="count"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BADEFD5-BA99-4A02-B9FB-41D98A63CA11}" sourceName="Year">
  <pivotTables>
    <pivotTable tabId="7" name="PivotTable11"/>
    <pivotTable tabId="4" name="PivotTable6"/>
    <pivotTable tabId="6" name="PivotTable10"/>
    <pivotTable tabId="8" name="PivotTable12"/>
    <pivotTable tabId="9" name="PivotTable13"/>
  </pivotTables>
  <data>
    <tabular pivotCacheId="2065158794">
      <items count="4">
        <i x="0"/>
        <i x="1" s="1"/>
        <i x="2"/>
        <i x="3"/>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555CBF98-53B5-44FF-A68C-D5787FF54814}" cache="Slicer_Year" caption="Year" rowHeight="22542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07729111-D787-49A8-B51F-B3978EAC97E6}" cache="Slicer_Year" caption="Year" columnCount="4" style="SlicerStyleDark3" rowHeight="22542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3D0E3D-5376-40F0-BD9B-F6E93AEAFA82}" name="Table1" displayName="Table1" ref="A1:K760" totalsRowShown="0" headerRowDxfId="12" dataDxfId="11">
  <autoFilter ref="A1:K760" xr:uid="{E7B53C30-D223-4F6B-B15B-35E32FDC4C9A}"/>
  <tableColumns count="11">
    <tableColumn id="1" xr3:uid="{14E47AEB-AC5B-4800-88AA-38A83CBFA1AE}" name="Order Date" dataDxfId="10"/>
    <tableColumn id="10" xr3:uid="{28BCEFB8-6447-45FF-AFDC-E40B664C869A}" name="Month" dataDxfId="9">
      <calculatedColumnFormula>TEXT(Table1[[#This Row],[Order Date]],"MMM")</calculatedColumnFormula>
    </tableColumn>
    <tableColumn id="11" xr3:uid="{D8296DB4-B61E-4766-9AA5-CB1F94A81324}" name="Year" dataDxfId="8">
      <calculatedColumnFormula>TEXT(A2,"YYY")</calculatedColumnFormula>
    </tableColumn>
    <tableColumn id="2" xr3:uid="{4207B9CC-B0DA-4108-B177-76BD817FA806}" name="Customer Name" dataDxfId="7"/>
    <tableColumn id="3" xr3:uid="{B46F8E19-C97F-4E81-BA34-3379BCA0BAA0}" name="State" dataDxfId="6"/>
    <tableColumn id="4" xr3:uid="{285CE841-174F-4A93-A8E5-83B94B0778BC}" name="Category" dataDxfId="5"/>
    <tableColumn id="5" xr3:uid="{7A86F585-A332-47D7-8779-B03D3BE72425}" name="Sub-Category" dataDxfId="4"/>
    <tableColumn id="6" xr3:uid="{3AAE5DF1-E92B-42D5-9B55-FCFC278AEF82}" name="Product Name" dataDxfId="3"/>
    <tableColumn id="7" xr3:uid="{02A9125C-053B-4080-864A-5AC6880DA7FA}" name="Sales" dataDxfId="2"/>
    <tableColumn id="8" xr3:uid="{D6C25669-8400-418A-BF95-D95139C45257}" name="Quantity" dataDxfId="1"/>
    <tableColumn id="9" xr3:uid="{9EBF47EA-0E31-40D8-9A57-965E1BDEB6E9}" name="Profit" dataDxfId="0"/>
  </tableColumns>
  <tableStyleInfo name="TableStyleMedium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8CAB4D1-D078-4C95-B1F6-F98A1D53CEA9}" name="Table2" displayName="Table2" ref="A3:B671" totalsRowShown="0">
  <autoFilter ref="A3:B671" xr:uid="{13CAC525-D6BF-4FB0-9FE8-81D8290CBE6A}"/>
  <tableColumns count="2">
    <tableColumn id="1" xr3:uid="{8810DD93-589B-461A-BD36-1BCEB368BAF5}" name="Year"/>
    <tableColumn id="2" xr3:uid="{99E97238-8019-4C29-8E7C-2BCEB405741B}" name="Customer name"/>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7.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K9995"/>
  <sheetViews>
    <sheetView topLeftCell="A2" workbookViewId="0">
      <selection activeCell="A2" sqref="A2:K760"/>
    </sheetView>
  </sheetViews>
  <sheetFormatPr defaultColWidth="12.5703125" defaultRowHeight="15.75" customHeight="1" x14ac:dyDescent="0.2"/>
  <cols>
    <col min="1" max="1" width="12.5703125" style="3"/>
    <col min="2" max="2" width="16.5703125" customWidth="1"/>
    <col min="5" max="5" width="14.42578125" customWidth="1"/>
    <col min="6" max="6" width="15" customWidth="1"/>
  </cols>
  <sheetData>
    <row r="1" spans="1:11" ht="15.75" customHeight="1" x14ac:dyDescent="0.2">
      <c r="A1" s="4" t="s">
        <v>0</v>
      </c>
      <c r="B1" s="5" t="s">
        <v>1331</v>
      </c>
      <c r="C1" s="4" t="s">
        <v>1349</v>
      </c>
      <c r="D1" s="1" t="s">
        <v>1</v>
      </c>
      <c r="E1" s="1" t="s">
        <v>2</v>
      </c>
      <c r="F1" s="1" t="s">
        <v>3</v>
      </c>
      <c r="G1" s="1" t="s">
        <v>4</v>
      </c>
      <c r="H1" s="1" t="s">
        <v>5</v>
      </c>
      <c r="I1" s="6" t="s">
        <v>6</v>
      </c>
      <c r="J1" s="6" t="s">
        <v>7</v>
      </c>
      <c r="K1" s="7" t="s">
        <v>8</v>
      </c>
    </row>
    <row r="2" spans="1:11" ht="15.75" customHeight="1" x14ac:dyDescent="0.2">
      <c r="A2" s="2">
        <v>41641</v>
      </c>
      <c r="B2" s="2" t="str">
        <f>TEXT(Table1[[#This Row],[Order Date]],"MMM")</f>
        <v>Jan</v>
      </c>
      <c r="C2" s="2" t="str">
        <f>TEXT(A2,"YYY")</f>
        <v>2014</v>
      </c>
      <c r="D2" s="1" t="s">
        <v>9</v>
      </c>
      <c r="E2" s="1" t="s">
        <v>10</v>
      </c>
      <c r="F2" s="1" t="s">
        <v>11</v>
      </c>
      <c r="G2" s="1" t="s">
        <v>12</v>
      </c>
      <c r="H2" s="1" t="s">
        <v>13</v>
      </c>
      <c r="I2" s="1">
        <v>16.45</v>
      </c>
      <c r="J2" s="1">
        <v>2</v>
      </c>
      <c r="K2" s="1">
        <v>5.55</v>
      </c>
    </row>
    <row r="3" spans="1:11" ht="15.75" customHeight="1" x14ac:dyDescent="0.2">
      <c r="A3" s="2">
        <v>41642</v>
      </c>
      <c r="B3" s="2" t="str">
        <f>TEXT(Table1[[#This Row],[Order Date]],"MMM")</f>
        <v>Jan</v>
      </c>
      <c r="C3" s="2" t="str">
        <f t="shared" ref="C3:C65" si="0">TEXT(A3,"YYY")</f>
        <v>2014</v>
      </c>
      <c r="D3" s="1" t="s">
        <v>14</v>
      </c>
      <c r="E3" s="1" t="s">
        <v>15</v>
      </c>
      <c r="F3" s="1" t="s">
        <v>11</v>
      </c>
      <c r="G3" s="1" t="s">
        <v>16</v>
      </c>
      <c r="H3" s="1" t="s">
        <v>17</v>
      </c>
      <c r="I3" s="1">
        <v>11.78</v>
      </c>
      <c r="J3" s="1">
        <v>3</v>
      </c>
      <c r="K3" s="1">
        <v>4.2699999999999996</v>
      </c>
    </row>
    <row r="4" spans="1:11" ht="15.75" customHeight="1" x14ac:dyDescent="0.2">
      <c r="A4" s="2">
        <v>41643</v>
      </c>
      <c r="B4" s="2" t="str">
        <f>TEXT(Table1[[#This Row],[Order Date]],"MMM")</f>
        <v>Jan</v>
      </c>
      <c r="C4" s="2" t="str">
        <f t="shared" si="0"/>
        <v>2014</v>
      </c>
      <c r="D4" s="1" t="s">
        <v>22</v>
      </c>
      <c r="E4" s="1" t="s">
        <v>23</v>
      </c>
      <c r="F4" s="1" t="s">
        <v>11</v>
      </c>
      <c r="G4" s="1" t="s">
        <v>24</v>
      </c>
      <c r="H4" s="1" t="s">
        <v>25</v>
      </c>
      <c r="I4" s="1">
        <v>19.54</v>
      </c>
      <c r="J4" s="1">
        <v>3</v>
      </c>
      <c r="K4" s="1">
        <v>4.88</v>
      </c>
    </row>
    <row r="5" spans="1:11" ht="15.75" customHeight="1" x14ac:dyDescent="0.2">
      <c r="A5" s="2">
        <v>41646</v>
      </c>
      <c r="B5" s="2" t="str">
        <f>TEXT(Table1[[#This Row],[Order Date]],"MMM")</f>
        <v>Jan</v>
      </c>
      <c r="C5" s="2" t="str">
        <f t="shared" si="0"/>
        <v>2014</v>
      </c>
      <c r="D5" s="1" t="s">
        <v>26</v>
      </c>
      <c r="E5" s="1" t="s">
        <v>27</v>
      </c>
      <c r="F5" s="1" t="s">
        <v>11</v>
      </c>
      <c r="G5" s="1" t="s">
        <v>12</v>
      </c>
      <c r="H5" s="1" t="s">
        <v>28</v>
      </c>
      <c r="I5" s="1">
        <v>19.440000000000001</v>
      </c>
      <c r="J5" s="1">
        <v>3</v>
      </c>
      <c r="K5" s="1">
        <v>9.33</v>
      </c>
    </row>
    <row r="6" spans="1:11" ht="15.75" customHeight="1" x14ac:dyDescent="0.2">
      <c r="A6" s="2">
        <v>41647</v>
      </c>
      <c r="B6" s="2" t="str">
        <f>TEXT(Table1[[#This Row],[Order Date]],"MMM")</f>
        <v>Jan</v>
      </c>
      <c r="C6" s="2" t="str">
        <f t="shared" si="0"/>
        <v>2014</v>
      </c>
      <c r="D6" s="1" t="s">
        <v>43</v>
      </c>
      <c r="E6" s="1" t="s">
        <v>10</v>
      </c>
      <c r="F6" s="1" t="s">
        <v>33</v>
      </c>
      <c r="G6" s="1" t="s">
        <v>44</v>
      </c>
      <c r="H6" s="1" t="s">
        <v>45</v>
      </c>
      <c r="I6" s="1">
        <v>76.73</v>
      </c>
      <c r="J6" s="1">
        <v>3</v>
      </c>
      <c r="K6" s="1">
        <v>-53.71</v>
      </c>
    </row>
    <row r="7" spans="1:11" ht="15.75" customHeight="1" x14ac:dyDescent="0.2">
      <c r="A7" s="2">
        <v>41648</v>
      </c>
      <c r="B7" s="2" t="str">
        <f>TEXT(Table1[[#This Row],[Order Date]],"MMM")</f>
        <v>Jan</v>
      </c>
      <c r="C7" s="2" t="str">
        <f t="shared" si="0"/>
        <v>2014</v>
      </c>
      <c r="D7" s="1" t="s">
        <v>46</v>
      </c>
      <c r="E7" s="1" t="s">
        <v>10</v>
      </c>
      <c r="F7" s="1" t="s">
        <v>11</v>
      </c>
      <c r="G7" s="1" t="s">
        <v>24</v>
      </c>
      <c r="H7" s="1" t="s">
        <v>47</v>
      </c>
      <c r="I7" s="1">
        <v>9.34</v>
      </c>
      <c r="J7" s="1">
        <v>2</v>
      </c>
      <c r="K7" s="1">
        <v>1.17</v>
      </c>
    </row>
    <row r="8" spans="1:11" ht="15.75" customHeight="1" x14ac:dyDescent="0.2">
      <c r="A8" s="2">
        <v>41650</v>
      </c>
      <c r="B8" s="2" t="str">
        <f>TEXT(Table1[[#This Row],[Order Date]],"MMM")</f>
        <v>Jan</v>
      </c>
      <c r="C8" s="2" t="str">
        <f t="shared" si="0"/>
        <v>2014</v>
      </c>
      <c r="D8" s="1" t="s">
        <v>50</v>
      </c>
      <c r="E8" s="1" t="s">
        <v>51</v>
      </c>
      <c r="F8" s="1" t="s">
        <v>11</v>
      </c>
      <c r="G8" s="1" t="s">
        <v>16</v>
      </c>
      <c r="H8" s="1" t="s">
        <v>52</v>
      </c>
      <c r="I8" s="1">
        <v>2.89</v>
      </c>
      <c r="J8" s="1">
        <v>1</v>
      </c>
      <c r="K8" s="1">
        <v>1.36</v>
      </c>
    </row>
    <row r="9" spans="1:11" ht="15.75" customHeight="1" x14ac:dyDescent="0.2">
      <c r="A9" s="2">
        <v>41651</v>
      </c>
      <c r="B9" s="2" t="str">
        <f>TEXT(Table1[[#This Row],[Order Date]],"MMM")</f>
        <v>Jan</v>
      </c>
      <c r="C9" s="2" t="str">
        <f t="shared" si="0"/>
        <v>2014</v>
      </c>
      <c r="D9" s="1" t="s">
        <v>53</v>
      </c>
      <c r="E9" s="1" t="s">
        <v>54</v>
      </c>
      <c r="F9" s="1" t="s">
        <v>33</v>
      </c>
      <c r="G9" s="1" t="s">
        <v>44</v>
      </c>
      <c r="H9" s="1" t="s">
        <v>55</v>
      </c>
      <c r="I9" s="1">
        <v>9.94</v>
      </c>
      <c r="J9" s="1">
        <v>2</v>
      </c>
      <c r="K9" s="1">
        <v>3.08</v>
      </c>
    </row>
    <row r="10" spans="1:11" ht="15.75" customHeight="1" x14ac:dyDescent="0.2">
      <c r="A10" s="2">
        <v>41672</v>
      </c>
      <c r="B10" s="2" t="str">
        <f>TEXT(Table1[[#This Row],[Order Date]],"MMM")</f>
        <v>Feb</v>
      </c>
      <c r="C10" s="2" t="str">
        <f t="shared" si="0"/>
        <v>2014</v>
      </c>
      <c r="D10" s="1" t="s">
        <v>56</v>
      </c>
      <c r="E10" s="1" t="s">
        <v>57</v>
      </c>
      <c r="F10" s="1" t="s">
        <v>11</v>
      </c>
      <c r="G10" s="1" t="s">
        <v>58</v>
      </c>
      <c r="H10" s="1" t="s">
        <v>59</v>
      </c>
      <c r="I10" s="1">
        <v>11.36</v>
      </c>
      <c r="J10" s="1">
        <v>2</v>
      </c>
      <c r="K10" s="1">
        <v>5.34</v>
      </c>
    </row>
    <row r="11" spans="1:11" ht="15.75" customHeight="1" x14ac:dyDescent="0.2">
      <c r="A11" s="2">
        <v>41674</v>
      </c>
      <c r="B11" s="2" t="str">
        <f>TEXT(Table1[[#This Row],[Order Date]],"MMM")</f>
        <v>Feb</v>
      </c>
      <c r="C11" s="2" t="str">
        <f t="shared" si="0"/>
        <v>2014</v>
      </c>
      <c r="D11" s="1" t="s">
        <v>70</v>
      </c>
      <c r="E11" s="1" t="s">
        <v>23</v>
      </c>
      <c r="F11" s="1" t="s">
        <v>33</v>
      </c>
      <c r="G11" s="1" t="s">
        <v>65</v>
      </c>
      <c r="H11" s="1" t="s">
        <v>71</v>
      </c>
      <c r="I11" s="1">
        <v>61.96</v>
      </c>
      <c r="J11" s="1">
        <v>4</v>
      </c>
      <c r="K11" s="1">
        <v>-53.29</v>
      </c>
    </row>
    <row r="12" spans="1:11" ht="15.75" customHeight="1" x14ac:dyDescent="0.2">
      <c r="A12" s="2">
        <v>41675</v>
      </c>
      <c r="B12" s="2" t="str">
        <f>TEXT(Table1[[#This Row],[Order Date]],"MMM")</f>
        <v>Feb</v>
      </c>
      <c r="C12" s="2" t="str">
        <f t="shared" si="0"/>
        <v>2014</v>
      </c>
      <c r="D12" s="1" t="s">
        <v>72</v>
      </c>
      <c r="E12" s="1" t="s">
        <v>30</v>
      </c>
      <c r="F12" s="1" t="s">
        <v>38</v>
      </c>
      <c r="G12" s="1" t="s">
        <v>48</v>
      </c>
      <c r="H12" s="1" t="s">
        <v>73</v>
      </c>
      <c r="I12" s="1">
        <v>149.94999999999999</v>
      </c>
      <c r="J12" s="1">
        <v>5</v>
      </c>
      <c r="K12" s="1">
        <v>65.98</v>
      </c>
    </row>
    <row r="13" spans="1:11" ht="15.75" customHeight="1" x14ac:dyDescent="0.2">
      <c r="A13" s="2">
        <v>41676</v>
      </c>
      <c r="B13" s="2" t="str">
        <f>TEXT(Table1[[#This Row],[Order Date]],"MMM")</f>
        <v>Feb</v>
      </c>
      <c r="C13" s="2" t="str">
        <f t="shared" si="0"/>
        <v>2014</v>
      </c>
      <c r="D13" s="1" t="s">
        <v>74</v>
      </c>
      <c r="E13" s="1" t="s">
        <v>23</v>
      </c>
      <c r="F13" s="1" t="s">
        <v>33</v>
      </c>
      <c r="G13" s="1" t="s">
        <v>44</v>
      </c>
      <c r="H13" s="1" t="s">
        <v>75</v>
      </c>
      <c r="I13" s="1">
        <v>127.1</v>
      </c>
      <c r="J13" s="1">
        <v>6</v>
      </c>
      <c r="K13" s="1">
        <v>28.6</v>
      </c>
    </row>
    <row r="14" spans="1:11" ht="15.75" customHeight="1" x14ac:dyDescent="0.2">
      <c r="A14" s="2">
        <v>41677</v>
      </c>
      <c r="B14" s="2" t="str">
        <f>TEXT(Table1[[#This Row],[Order Date]],"MMM")</f>
        <v>Feb</v>
      </c>
      <c r="C14" s="2" t="str">
        <f t="shared" si="0"/>
        <v>2014</v>
      </c>
      <c r="D14" s="1" t="s">
        <v>78</v>
      </c>
      <c r="E14" s="1" t="s">
        <v>79</v>
      </c>
      <c r="F14" s="1" t="s">
        <v>11</v>
      </c>
      <c r="G14" s="1" t="s">
        <v>80</v>
      </c>
      <c r="H14" s="1" t="s">
        <v>81</v>
      </c>
      <c r="I14" s="1">
        <v>64.86</v>
      </c>
      <c r="J14" s="1">
        <v>4</v>
      </c>
      <c r="K14" s="1">
        <v>6.49</v>
      </c>
    </row>
    <row r="15" spans="1:11" ht="15.75" customHeight="1" x14ac:dyDescent="0.2">
      <c r="A15" s="2">
        <v>41678</v>
      </c>
      <c r="B15" s="2" t="str">
        <f>TEXT(Table1[[#This Row],[Order Date]],"MMM")</f>
        <v>Feb</v>
      </c>
      <c r="C15" s="2" t="str">
        <f t="shared" si="0"/>
        <v>2014</v>
      </c>
      <c r="D15" s="1" t="s">
        <v>82</v>
      </c>
      <c r="E15" s="1" t="s">
        <v>83</v>
      </c>
      <c r="F15" s="1" t="s">
        <v>11</v>
      </c>
      <c r="G15" s="1" t="s">
        <v>20</v>
      </c>
      <c r="H15" s="1" t="s">
        <v>84</v>
      </c>
      <c r="I15" s="1">
        <v>32.340000000000003</v>
      </c>
      <c r="J15" s="1">
        <v>10</v>
      </c>
      <c r="K15" s="1">
        <v>-23.72</v>
      </c>
    </row>
    <row r="16" spans="1:11" ht="15.75" customHeight="1" x14ac:dyDescent="0.2">
      <c r="A16" s="2">
        <v>41679</v>
      </c>
      <c r="B16" s="2" t="str">
        <f>TEXT(Table1[[#This Row],[Order Date]],"MMM")</f>
        <v>Feb</v>
      </c>
      <c r="C16" s="2" t="str">
        <f t="shared" si="0"/>
        <v>2014</v>
      </c>
      <c r="D16" s="1" t="s">
        <v>86</v>
      </c>
      <c r="E16" s="1" t="s">
        <v>87</v>
      </c>
      <c r="F16" s="1" t="s">
        <v>38</v>
      </c>
      <c r="G16" s="1" t="s">
        <v>39</v>
      </c>
      <c r="H16" s="1" t="s">
        <v>88</v>
      </c>
      <c r="I16" s="1">
        <v>699.93</v>
      </c>
      <c r="J16" s="1">
        <v>7</v>
      </c>
      <c r="K16" s="1">
        <v>181.98</v>
      </c>
    </row>
    <row r="17" spans="1:11" ht="15.75" customHeight="1" x14ac:dyDescent="0.2">
      <c r="A17" s="2">
        <v>41680</v>
      </c>
      <c r="B17" s="2" t="str">
        <f>TEXT(Table1[[#This Row],[Order Date]],"MMM")</f>
        <v>Feb</v>
      </c>
      <c r="C17" s="2" t="str">
        <f t="shared" si="0"/>
        <v>2014</v>
      </c>
      <c r="D17" s="1" t="s">
        <v>100</v>
      </c>
      <c r="E17" s="1" t="s">
        <v>101</v>
      </c>
      <c r="F17" s="1" t="s">
        <v>33</v>
      </c>
      <c r="G17" s="1" t="s">
        <v>44</v>
      </c>
      <c r="H17" s="1" t="s">
        <v>102</v>
      </c>
      <c r="I17" s="1">
        <v>25.25</v>
      </c>
      <c r="J17" s="1">
        <v>3</v>
      </c>
      <c r="K17" s="1">
        <v>4.0999999999999996</v>
      </c>
    </row>
    <row r="18" spans="1:11" ht="15.75" customHeight="1" x14ac:dyDescent="0.2">
      <c r="A18" s="2">
        <v>41681</v>
      </c>
      <c r="B18" s="2" t="str">
        <f>TEXT(Table1[[#This Row],[Order Date]],"MMM")</f>
        <v>Feb</v>
      </c>
      <c r="C18" s="2" t="str">
        <f t="shared" si="0"/>
        <v>2014</v>
      </c>
      <c r="D18" s="1" t="s">
        <v>103</v>
      </c>
      <c r="E18" s="1" t="s">
        <v>104</v>
      </c>
      <c r="F18" s="1" t="s">
        <v>11</v>
      </c>
      <c r="G18" s="1" t="s">
        <v>12</v>
      </c>
      <c r="H18" s="1" t="s">
        <v>105</v>
      </c>
      <c r="I18" s="1">
        <v>40.08</v>
      </c>
      <c r="J18" s="1">
        <v>6</v>
      </c>
      <c r="K18" s="1">
        <v>19.239999999999998</v>
      </c>
    </row>
    <row r="19" spans="1:11" ht="15.75" customHeight="1" x14ac:dyDescent="0.2">
      <c r="A19" s="2">
        <v>41699</v>
      </c>
      <c r="B19" s="2" t="str">
        <f>TEXT(Table1[[#This Row],[Order Date]],"MMM")</f>
        <v>Mar</v>
      </c>
      <c r="C19" s="2" t="str">
        <f t="shared" si="0"/>
        <v>2014</v>
      </c>
      <c r="D19" s="1" t="s">
        <v>108</v>
      </c>
      <c r="E19" s="1" t="s">
        <v>51</v>
      </c>
      <c r="F19" s="1" t="s">
        <v>33</v>
      </c>
      <c r="G19" s="1" t="s">
        <v>44</v>
      </c>
      <c r="H19" s="1" t="s">
        <v>109</v>
      </c>
      <c r="I19" s="1">
        <v>62.82</v>
      </c>
      <c r="J19" s="1">
        <v>3</v>
      </c>
      <c r="K19" s="1">
        <v>30.78</v>
      </c>
    </row>
    <row r="20" spans="1:11" ht="12.75" x14ac:dyDescent="0.2">
      <c r="A20" s="2">
        <v>41700</v>
      </c>
      <c r="B20" s="2" t="str">
        <f>TEXT(Table1[[#This Row],[Order Date]],"MMM")</f>
        <v>Mar</v>
      </c>
      <c r="C20" s="2" t="str">
        <f t="shared" si="0"/>
        <v>2014</v>
      </c>
      <c r="D20" s="1" t="s">
        <v>116</v>
      </c>
      <c r="E20" s="1" t="s">
        <v>27</v>
      </c>
      <c r="F20" s="1" t="s">
        <v>11</v>
      </c>
      <c r="G20" s="1" t="s">
        <v>18</v>
      </c>
      <c r="H20" s="1" t="s">
        <v>117</v>
      </c>
      <c r="I20" s="1">
        <v>57.23</v>
      </c>
      <c r="J20" s="1">
        <v>1</v>
      </c>
      <c r="K20" s="1">
        <v>14.31</v>
      </c>
    </row>
    <row r="21" spans="1:11" ht="12.75" x14ac:dyDescent="0.2">
      <c r="A21" s="2">
        <v>41703</v>
      </c>
      <c r="B21" s="2" t="str">
        <f>TEXT(Table1[[#This Row],[Order Date]],"MMM")</f>
        <v>Mar</v>
      </c>
      <c r="C21" s="2" t="str">
        <f t="shared" si="0"/>
        <v>2014</v>
      </c>
      <c r="D21" s="1" t="s">
        <v>119</v>
      </c>
      <c r="E21" s="1" t="s">
        <v>120</v>
      </c>
      <c r="F21" s="1" t="s">
        <v>11</v>
      </c>
      <c r="G21" s="1" t="s">
        <v>20</v>
      </c>
      <c r="H21" s="1" t="s">
        <v>121</v>
      </c>
      <c r="I21" s="1">
        <v>3.93</v>
      </c>
      <c r="J21" s="1">
        <v>1</v>
      </c>
      <c r="K21" s="1">
        <v>1.33</v>
      </c>
    </row>
    <row r="22" spans="1:11" ht="12.75" x14ac:dyDescent="0.2">
      <c r="A22" s="2">
        <v>41704</v>
      </c>
      <c r="B22" s="2" t="str">
        <f>TEXT(Table1[[#This Row],[Order Date]],"MMM")</f>
        <v>Mar</v>
      </c>
      <c r="C22" s="2" t="str">
        <f t="shared" si="0"/>
        <v>2014</v>
      </c>
      <c r="D22" s="1" t="s">
        <v>122</v>
      </c>
      <c r="E22" s="1" t="s">
        <v>94</v>
      </c>
      <c r="F22" s="1" t="s">
        <v>11</v>
      </c>
      <c r="G22" s="1" t="s">
        <v>12</v>
      </c>
      <c r="H22" s="1" t="s">
        <v>123</v>
      </c>
      <c r="I22" s="1">
        <v>10.56</v>
      </c>
      <c r="J22" s="1">
        <v>2</v>
      </c>
      <c r="K22" s="1">
        <v>4.75</v>
      </c>
    </row>
    <row r="23" spans="1:11" ht="12.75" x14ac:dyDescent="0.2">
      <c r="A23" s="2">
        <v>41706</v>
      </c>
      <c r="B23" s="2" t="str">
        <f>TEXT(Table1[[#This Row],[Order Date]],"MMM")</f>
        <v>Mar</v>
      </c>
      <c r="C23" s="2" t="str">
        <f t="shared" si="0"/>
        <v>2014</v>
      </c>
      <c r="D23" s="1" t="s">
        <v>124</v>
      </c>
      <c r="E23" s="1" t="s">
        <v>27</v>
      </c>
      <c r="F23" s="1" t="s">
        <v>33</v>
      </c>
      <c r="G23" s="1" t="s">
        <v>65</v>
      </c>
      <c r="H23" s="1" t="s">
        <v>125</v>
      </c>
      <c r="I23" s="1">
        <v>290.67</v>
      </c>
      <c r="J23" s="1">
        <v>2</v>
      </c>
      <c r="K23" s="1">
        <v>3.42</v>
      </c>
    </row>
    <row r="24" spans="1:11" ht="12.75" x14ac:dyDescent="0.2">
      <c r="A24" s="2">
        <v>41707</v>
      </c>
      <c r="B24" s="2" t="str">
        <f>TEXT(Table1[[#This Row],[Order Date]],"MMM")</f>
        <v>Mar</v>
      </c>
      <c r="C24" s="2" t="str">
        <f t="shared" si="0"/>
        <v>2014</v>
      </c>
      <c r="D24" s="1" t="s">
        <v>126</v>
      </c>
      <c r="E24" s="1" t="s">
        <v>127</v>
      </c>
      <c r="F24" s="1" t="s">
        <v>38</v>
      </c>
      <c r="G24" s="1" t="s">
        <v>48</v>
      </c>
      <c r="H24" s="1" t="s">
        <v>128</v>
      </c>
      <c r="I24" s="1">
        <v>468.9</v>
      </c>
      <c r="J24" s="1">
        <v>6</v>
      </c>
      <c r="K24" s="1">
        <v>206.32</v>
      </c>
    </row>
    <row r="25" spans="1:11" ht="12.75" x14ac:dyDescent="0.2">
      <c r="A25" s="2">
        <v>41709</v>
      </c>
      <c r="B25" s="2" t="str">
        <f>TEXT(Table1[[#This Row],[Order Date]],"MMM")</f>
        <v>Mar</v>
      </c>
      <c r="C25" s="2" t="str">
        <f t="shared" si="0"/>
        <v>2014</v>
      </c>
      <c r="D25" s="1" t="s">
        <v>129</v>
      </c>
      <c r="E25" s="1" t="s">
        <v>27</v>
      </c>
      <c r="F25" s="1" t="s">
        <v>11</v>
      </c>
      <c r="G25" s="1" t="s">
        <v>42</v>
      </c>
      <c r="H25" s="1" t="s">
        <v>130</v>
      </c>
      <c r="I25" s="1">
        <v>12.35</v>
      </c>
      <c r="J25" s="1">
        <v>5</v>
      </c>
      <c r="K25" s="1">
        <v>5.8</v>
      </c>
    </row>
    <row r="26" spans="1:11" ht="12.75" x14ac:dyDescent="0.2">
      <c r="A26" s="2">
        <v>41710</v>
      </c>
      <c r="B26" s="2" t="str">
        <f>TEXT(Table1[[#This Row],[Order Date]],"MMM")</f>
        <v>Mar</v>
      </c>
      <c r="C26" s="2" t="str">
        <f t="shared" si="0"/>
        <v>2014</v>
      </c>
      <c r="D26" s="1" t="s">
        <v>100</v>
      </c>
      <c r="E26" s="1" t="s">
        <v>134</v>
      </c>
      <c r="F26" s="1" t="s">
        <v>11</v>
      </c>
      <c r="G26" s="1" t="s">
        <v>20</v>
      </c>
      <c r="H26" s="1" t="s">
        <v>135</v>
      </c>
      <c r="I26" s="1">
        <v>83.84</v>
      </c>
      <c r="J26" s="1">
        <v>2</v>
      </c>
      <c r="K26" s="1">
        <v>27.25</v>
      </c>
    </row>
    <row r="27" spans="1:11" ht="12.75" x14ac:dyDescent="0.2">
      <c r="A27" s="2">
        <v>41730</v>
      </c>
      <c r="B27" s="2" t="str">
        <f>TEXT(Table1[[#This Row],[Order Date]],"MMM")</f>
        <v>Apr</v>
      </c>
      <c r="C27" s="2" t="str">
        <f t="shared" si="0"/>
        <v>2014</v>
      </c>
      <c r="D27" s="1" t="s">
        <v>136</v>
      </c>
      <c r="E27" s="1" t="s">
        <v>27</v>
      </c>
      <c r="F27" s="1" t="s">
        <v>11</v>
      </c>
      <c r="G27" s="1" t="s">
        <v>20</v>
      </c>
      <c r="H27" s="1" t="s">
        <v>137</v>
      </c>
      <c r="I27" s="1">
        <v>82.9</v>
      </c>
      <c r="J27" s="1">
        <v>3</v>
      </c>
      <c r="K27" s="1">
        <v>29.01</v>
      </c>
    </row>
    <row r="28" spans="1:11" ht="12.75" x14ac:dyDescent="0.2">
      <c r="A28" s="2">
        <v>41731</v>
      </c>
      <c r="B28" s="2" t="str">
        <f>TEXT(Table1[[#This Row],[Order Date]],"MMM")</f>
        <v>Apr</v>
      </c>
      <c r="C28" s="2" t="str">
        <f t="shared" si="0"/>
        <v>2014</v>
      </c>
      <c r="D28" s="1" t="s">
        <v>138</v>
      </c>
      <c r="E28" s="1" t="s">
        <v>51</v>
      </c>
      <c r="F28" s="1" t="s">
        <v>11</v>
      </c>
      <c r="G28" s="1" t="s">
        <v>16</v>
      </c>
      <c r="H28" s="1" t="s">
        <v>139</v>
      </c>
      <c r="I28" s="1">
        <v>15</v>
      </c>
      <c r="J28" s="1">
        <v>4</v>
      </c>
      <c r="K28" s="1">
        <v>7.2</v>
      </c>
    </row>
    <row r="29" spans="1:11" ht="12.75" x14ac:dyDescent="0.2">
      <c r="A29" s="2">
        <v>41732</v>
      </c>
      <c r="B29" s="2" t="str">
        <f>TEXT(Table1[[#This Row],[Order Date]],"MMM")</f>
        <v>Apr</v>
      </c>
      <c r="C29" s="2" t="str">
        <f t="shared" si="0"/>
        <v>2014</v>
      </c>
      <c r="D29" s="1" t="s">
        <v>141</v>
      </c>
      <c r="E29" s="1" t="s">
        <v>142</v>
      </c>
      <c r="F29" s="1" t="s">
        <v>38</v>
      </c>
      <c r="G29" s="1" t="s">
        <v>48</v>
      </c>
      <c r="H29" s="1" t="s">
        <v>143</v>
      </c>
      <c r="I29" s="1">
        <v>115.36</v>
      </c>
      <c r="J29" s="1">
        <v>7</v>
      </c>
      <c r="K29" s="1">
        <v>49.6</v>
      </c>
    </row>
    <row r="30" spans="1:11" ht="12.75" x14ac:dyDescent="0.2">
      <c r="A30" s="2">
        <v>41733</v>
      </c>
      <c r="B30" s="2" t="str">
        <f>TEXT(Table1[[#This Row],[Order Date]],"MMM")</f>
        <v>Apr</v>
      </c>
      <c r="C30" s="2" t="str">
        <f t="shared" si="0"/>
        <v>2014</v>
      </c>
      <c r="D30" s="1" t="s">
        <v>144</v>
      </c>
      <c r="E30" s="1" t="s">
        <v>104</v>
      </c>
      <c r="F30" s="1" t="s">
        <v>33</v>
      </c>
      <c r="G30" s="1" t="s">
        <v>44</v>
      </c>
      <c r="H30" s="1" t="s">
        <v>145</v>
      </c>
      <c r="I30" s="1">
        <v>14.56</v>
      </c>
      <c r="J30" s="1">
        <v>2</v>
      </c>
      <c r="K30" s="1">
        <v>5.53</v>
      </c>
    </row>
    <row r="31" spans="1:11" ht="12.75" x14ac:dyDescent="0.2">
      <c r="A31" s="2">
        <v>41734</v>
      </c>
      <c r="B31" s="2" t="str">
        <f>TEXT(Table1[[#This Row],[Order Date]],"MMM")</f>
        <v>Apr</v>
      </c>
      <c r="C31" s="2" t="str">
        <f t="shared" si="0"/>
        <v>2014</v>
      </c>
      <c r="D31" s="1" t="s">
        <v>153</v>
      </c>
      <c r="E31" s="1" t="s">
        <v>27</v>
      </c>
      <c r="F31" s="1" t="s">
        <v>33</v>
      </c>
      <c r="G31" s="1" t="s">
        <v>34</v>
      </c>
      <c r="H31" s="1" t="s">
        <v>154</v>
      </c>
      <c r="I31" s="1">
        <v>129.57</v>
      </c>
      <c r="J31" s="1">
        <v>2</v>
      </c>
      <c r="K31" s="1">
        <v>-24.29</v>
      </c>
    </row>
    <row r="32" spans="1:11" ht="12.75" x14ac:dyDescent="0.2">
      <c r="A32" s="2">
        <v>41735</v>
      </c>
      <c r="B32" s="2" t="str">
        <f>TEXT(Table1[[#This Row],[Order Date]],"MMM")</f>
        <v>Apr</v>
      </c>
      <c r="C32" s="2" t="str">
        <f t="shared" si="0"/>
        <v>2014</v>
      </c>
      <c r="D32" s="1" t="s">
        <v>155</v>
      </c>
      <c r="E32" s="1" t="s">
        <v>10</v>
      </c>
      <c r="F32" s="1" t="s">
        <v>11</v>
      </c>
      <c r="G32" s="1" t="s">
        <v>12</v>
      </c>
      <c r="H32" s="1" t="s">
        <v>156</v>
      </c>
      <c r="I32" s="1">
        <v>16.18</v>
      </c>
      <c r="J32" s="1">
        <v>3</v>
      </c>
      <c r="K32" s="1">
        <v>6.07</v>
      </c>
    </row>
    <row r="33" spans="1:11" ht="12.75" x14ac:dyDescent="0.2">
      <c r="A33" s="2">
        <v>41736</v>
      </c>
      <c r="B33" s="2" t="str">
        <f>TEXT(Table1[[#This Row],[Order Date]],"MMM")</f>
        <v>Apr</v>
      </c>
      <c r="C33" s="2" t="str">
        <f t="shared" si="0"/>
        <v>2014</v>
      </c>
      <c r="D33" s="1" t="s">
        <v>160</v>
      </c>
      <c r="E33" s="1" t="s">
        <v>134</v>
      </c>
      <c r="F33" s="1" t="s">
        <v>11</v>
      </c>
      <c r="G33" s="1" t="s">
        <v>20</v>
      </c>
      <c r="H33" s="1" t="s">
        <v>161</v>
      </c>
      <c r="I33" s="1">
        <v>21.36</v>
      </c>
      <c r="J33" s="1">
        <v>5</v>
      </c>
      <c r="K33" s="1">
        <v>7.21</v>
      </c>
    </row>
    <row r="34" spans="1:11" ht="12.75" x14ac:dyDescent="0.2">
      <c r="A34" s="2">
        <v>41737</v>
      </c>
      <c r="B34" s="2" t="str">
        <f>TEXT(Table1[[#This Row],[Order Date]],"MMM")</f>
        <v>Apr</v>
      </c>
      <c r="C34" s="2" t="str">
        <f t="shared" si="0"/>
        <v>2014</v>
      </c>
      <c r="D34" s="1" t="s">
        <v>162</v>
      </c>
      <c r="E34" s="1" t="s">
        <v>10</v>
      </c>
      <c r="F34" s="1" t="s">
        <v>11</v>
      </c>
      <c r="G34" s="1" t="s">
        <v>20</v>
      </c>
      <c r="H34" s="1" t="s">
        <v>163</v>
      </c>
      <c r="I34" s="1">
        <v>1.08</v>
      </c>
      <c r="J34" s="1">
        <v>3</v>
      </c>
      <c r="K34" s="1">
        <v>-1.73</v>
      </c>
    </row>
    <row r="35" spans="1:11" ht="12.75" x14ac:dyDescent="0.2">
      <c r="A35" s="2">
        <v>41739</v>
      </c>
      <c r="B35" s="2" t="str">
        <f>TEXT(Table1[[#This Row],[Order Date]],"MMM")</f>
        <v>Apr</v>
      </c>
      <c r="C35" s="2" t="str">
        <f t="shared" si="0"/>
        <v>2014</v>
      </c>
      <c r="D35" s="1" t="s">
        <v>74</v>
      </c>
      <c r="E35" s="1" t="s">
        <v>15</v>
      </c>
      <c r="F35" s="1" t="s">
        <v>11</v>
      </c>
      <c r="G35" s="1" t="s">
        <v>24</v>
      </c>
      <c r="H35" s="1" t="s">
        <v>165</v>
      </c>
      <c r="I35" s="1">
        <v>54.21</v>
      </c>
      <c r="J35" s="1">
        <v>14</v>
      </c>
      <c r="K35" s="1">
        <v>8.81</v>
      </c>
    </row>
    <row r="36" spans="1:11" ht="12.75" x14ac:dyDescent="0.2">
      <c r="A36" s="2">
        <v>41740</v>
      </c>
      <c r="B36" s="2" t="str">
        <f>TEXT(Table1[[#This Row],[Order Date]],"MMM")</f>
        <v>Apr</v>
      </c>
      <c r="C36" s="2" t="str">
        <f t="shared" si="0"/>
        <v>2014</v>
      </c>
      <c r="D36" s="1" t="s">
        <v>166</v>
      </c>
      <c r="E36" s="1" t="s">
        <v>10</v>
      </c>
      <c r="F36" s="1" t="s">
        <v>33</v>
      </c>
      <c r="G36" s="1" t="s">
        <v>44</v>
      </c>
      <c r="H36" s="1" t="s">
        <v>167</v>
      </c>
      <c r="I36" s="1">
        <v>25.16</v>
      </c>
      <c r="J36" s="1">
        <v>5</v>
      </c>
      <c r="K36" s="1">
        <v>-11.32</v>
      </c>
    </row>
    <row r="37" spans="1:11" ht="12.75" x14ac:dyDescent="0.2">
      <c r="A37" s="2">
        <v>41741</v>
      </c>
      <c r="B37" s="2" t="str">
        <f>TEXT(Table1[[#This Row],[Order Date]],"MMM")</f>
        <v>Apr</v>
      </c>
      <c r="C37" s="2" t="str">
        <f t="shared" si="0"/>
        <v>2014</v>
      </c>
      <c r="D37" s="1" t="s">
        <v>169</v>
      </c>
      <c r="E37" s="1" t="s">
        <v>107</v>
      </c>
      <c r="F37" s="1" t="s">
        <v>38</v>
      </c>
      <c r="G37" s="1" t="s">
        <v>48</v>
      </c>
      <c r="H37" s="1" t="s">
        <v>170</v>
      </c>
      <c r="I37" s="1">
        <v>62.31</v>
      </c>
      <c r="J37" s="1">
        <v>3</v>
      </c>
      <c r="K37" s="1">
        <v>22.43</v>
      </c>
    </row>
    <row r="38" spans="1:11" ht="12.75" x14ac:dyDescent="0.2">
      <c r="A38" s="2">
        <v>41760</v>
      </c>
      <c r="B38" s="2" t="str">
        <f>TEXT(Table1[[#This Row],[Order Date]],"MMM")</f>
        <v>May</v>
      </c>
      <c r="C38" s="2" t="str">
        <f t="shared" si="0"/>
        <v>2014</v>
      </c>
      <c r="D38" s="1" t="s">
        <v>173</v>
      </c>
      <c r="E38" s="1" t="s">
        <v>15</v>
      </c>
      <c r="F38" s="1" t="s">
        <v>11</v>
      </c>
      <c r="G38" s="1" t="s">
        <v>20</v>
      </c>
      <c r="H38" s="1" t="s">
        <v>21</v>
      </c>
      <c r="I38" s="1">
        <v>8.85</v>
      </c>
      <c r="J38" s="1">
        <v>5</v>
      </c>
      <c r="K38" s="1">
        <v>-13.72</v>
      </c>
    </row>
    <row r="39" spans="1:11" ht="12.75" x14ac:dyDescent="0.2">
      <c r="A39" s="2">
        <v>41762</v>
      </c>
      <c r="B39" s="2" t="str">
        <f>TEXT(Table1[[#This Row],[Order Date]],"MMM")</f>
        <v>May</v>
      </c>
      <c r="C39" s="2" t="str">
        <f t="shared" si="0"/>
        <v>2014</v>
      </c>
      <c r="D39" s="1" t="s">
        <v>175</v>
      </c>
      <c r="E39" s="1" t="s">
        <v>10</v>
      </c>
      <c r="F39" s="1" t="s">
        <v>11</v>
      </c>
      <c r="G39" s="1" t="s">
        <v>16</v>
      </c>
      <c r="H39" s="1" t="s">
        <v>176</v>
      </c>
      <c r="I39" s="1">
        <v>6.94</v>
      </c>
      <c r="J39" s="1">
        <v>3</v>
      </c>
      <c r="K39" s="1">
        <v>2.34</v>
      </c>
    </row>
    <row r="40" spans="1:11" ht="12.75" x14ac:dyDescent="0.2">
      <c r="A40" s="2">
        <v>41763</v>
      </c>
      <c r="B40" s="2" t="str">
        <f>TEXT(Table1[[#This Row],[Order Date]],"MMM")</f>
        <v>May</v>
      </c>
      <c r="C40" s="2" t="str">
        <f t="shared" si="0"/>
        <v>2014</v>
      </c>
      <c r="D40" s="1" t="s">
        <v>178</v>
      </c>
      <c r="E40" s="1" t="s">
        <v>68</v>
      </c>
      <c r="F40" s="1" t="s">
        <v>11</v>
      </c>
      <c r="G40" s="1" t="s">
        <v>24</v>
      </c>
      <c r="H40" s="1" t="s">
        <v>179</v>
      </c>
      <c r="I40" s="1">
        <v>19.46</v>
      </c>
      <c r="J40" s="1">
        <v>4</v>
      </c>
      <c r="K40" s="1">
        <v>3.4</v>
      </c>
    </row>
    <row r="41" spans="1:11" ht="12.75" x14ac:dyDescent="0.2">
      <c r="A41" s="2">
        <v>41764</v>
      </c>
      <c r="B41" s="2" t="str">
        <f>TEXT(Table1[[#This Row],[Order Date]],"MMM")</f>
        <v>May</v>
      </c>
      <c r="C41" s="2" t="str">
        <f t="shared" si="0"/>
        <v>2014</v>
      </c>
      <c r="D41" s="1" t="s">
        <v>180</v>
      </c>
      <c r="E41" s="1" t="s">
        <v>134</v>
      </c>
      <c r="F41" s="1" t="s">
        <v>33</v>
      </c>
      <c r="G41" s="1" t="s">
        <v>34</v>
      </c>
      <c r="H41" s="1" t="s">
        <v>35</v>
      </c>
      <c r="I41" s="1">
        <v>457.57</v>
      </c>
      <c r="J41" s="1">
        <v>2</v>
      </c>
      <c r="K41" s="1">
        <v>51.48</v>
      </c>
    </row>
    <row r="42" spans="1:11" ht="12.75" x14ac:dyDescent="0.2">
      <c r="A42" s="2">
        <v>41766</v>
      </c>
      <c r="B42" s="2" t="str">
        <f>TEXT(Table1[[#This Row],[Order Date]],"MMM")</f>
        <v>May</v>
      </c>
      <c r="C42" s="2" t="str">
        <f t="shared" si="0"/>
        <v>2014</v>
      </c>
      <c r="D42" s="1" t="s">
        <v>190</v>
      </c>
      <c r="E42" s="1" t="s">
        <v>63</v>
      </c>
      <c r="F42" s="1" t="s">
        <v>11</v>
      </c>
      <c r="G42" s="1" t="s">
        <v>18</v>
      </c>
      <c r="H42" s="1" t="s">
        <v>191</v>
      </c>
      <c r="I42" s="1">
        <v>354.9</v>
      </c>
      <c r="J42" s="1">
        <v>5</v>
      </c>
      <c r="K42" s="1">
        <v>17.75</v>
      </c>
    </row>
    <row r="43" spans="1:11" ht="12.75" x14ac:dyDescent="0.2">
      <c r="A43" s="2">
        <v>41767</v>
      </c>
      <c r="B43" s="2" t="str">
        <f>TEXT(Table1[[#This Row],[Order Date]],"MMM")</f>
        <v>May</v>
      </c>
      <c r="C43" s="2" t="str">
        <f t="shared" si="0"/>
        <v>2014</v>
      </c>
      <c r="D43" s="1" t="s">
        <v>192</v>
      </c>
      <c r="E43" s="1" t="s">
        <v>120</v>
      </c>
      <c r="F43" s="1" t="s">
        <v>11</v>
      </c>
      <c r="G43" s="1" t="s">
        <v>24</v>
      </c>
      <c r="H43" s="1" t="s">
        <v>193</v>
      </c>
      <c r="I43" s="1">
        <v>59.52</v>
      </c>
      <c r="J43" s="1">
        <v>3</v>
      </c>
      <c r="K43" s="1">
        <v>15.48</v>
      </c>
    </row>
    <row r="44" spans="1:11" ht="12.75" x14ac:dyDescent="0.2">
      <c r="A44" s="2">
        <v>41769</v>
      </c>
      <c r="B44" s="2" t="str">
        <f>TEXT(Table1[[#This Row],[Order Date]],"MMM")</f>
        <v>May</v>
      </c>
      <c r="C44" s="2" t="str">
        <f t="shared" si="0"/>
        <v>2014</v>
      </c>
      <c r="D44" s="1" t="s">
        <v>168</v>
      </c>
      <c r="E44" s="1" t="s">
        <v>134</v>
      </c>
      <c r="F44" s="1" t="s">
        <v>33</v>
      </c>
      <c r="G44" s="1" t="s">
        <v>34</v>
      </c>
      <c r="H44" s="1" t="s">
        <v>194</v>
      </c>
      <c r="I44" s="1">
        <v>48.71</v>
      </c>
      <c r="J44" s="1">
        <v>1</v>
      </c>
      <c r="K44" s="1">
        <v>5.48</v>
      </c>
    </row>
    <row r="45" spans="1:11" ht="12.75" x14ac:dyDescent="0.2">
      <c r="A45" s="2">
        <v>41770</v>
      </c>
      <c r="B45" s="2" t="str">
        <f>TEXT(Table1[[#This Row],[Order Date]],"MMM")</f>
        <v>May</v>
      </c>
      <c r="C45" s="2" t="str">
        <f t="shared" si="0"/>
        <v>2014</v>
      </c>
      <c r="D45" s="1" t="s">
        <v>197</v>
      </c>
      <c r="E45" s="1" t="s">
        <v>94</v>
      </c>
      <c r="F45" s="1" t="s">
        <v>11</v>
      </c>
      <c r="G45" s="1" t="s">
        <v>12</v>
      </c>
      <c r="H45" s="1" t="s">
        <v>198</v>
      </c>
      <c r="I45" s="1">
        <v>22.38</v>
      </c>
      <c r="J45" s="1">
        <v>2</v>
      </c>
      <c r="K45" s="1">
        <v>10.74</v>
      </c>
    </row>
    <row r="46" spans="1:11" ht="12.75" x14ac:dyDescent="0.2">
      <c r="A46" s="2">
        <v>41771</v>
      </c>
      <c r="B46" s="2" t="str">
        <f>TEXT(Table1[[#This Row],[Order Date]],"MMM")</f>
        <v>May</v>
      </c>
      <c r="C46" s="2" t="str">
        <f t="shared" si="0"/>
        <v>2014</v>
      </c>
      <c r="D46" s="1" t="s">
        <v>202</v>
      </c>
      <c r="E46" s="1" t="s">
        <v>68</v>
      </c>
      <c r="F46" s="1" t="s">
        <v>33</v>
      </c>
      <c r="G46" s="1" t="s">
        <v>44</v>
      </c>
      <c r="H46" s="1" t="s">
        <v>203</v>
      </c>
      <c r="I46" s="1">
        <v>8.32</v>
      </c>
      <c r="J46" s="1">
        <v>5</v>
      </c>
      <c r="K46" s="1">
        <v>2.29</v>
      </c>
    </row>
    <row r="47" spans="1:11" ht="12.75" x14ac:dyDescent="0.2">
      <c r="A47" s="2">
        <v>41791</v>
      </c>
      <c r="B47" s="2" t="str">
        <f>TEXT(Table1[[#This Row],[Order Date]],"MMM")</f>
        <v>Jun</v>
      </c>
      <c r="C47" s="2" t="str">
        <f t="shared" si="0"/>
        <v>2014</v>
      </c>
      <c r="D47" s="1" t="s">
        <v>216</v>
      </c>
      <c r="E47" s="1" t="s">
        <v>101</v>
      </c>
      <c r="F47" s="1" t="s">
        <v>11</v>
      </c>
      <c r="G47" s="1" t="s">
        <v>18</v>
      </c>
      <c r="H47" s="1" t="s">
        <v>217</v>
      </c>
      <c r="I47" s="1">
        <v>142.78</v>
      </c>
      <c r="J47" s="1">
        <v>1</v>
      </c>
      <c r="K47" s="1">
        <v>17.850000000000001</v>
      </c>
    </row>
    <row r="48" spans="1:11" ht="12.75" x14ac:dyDescent="0.2">
      <c r="A48" s="2">
        <v>41792</v>
      </c>
      <c r="B48" s="2" t="str">
        <f>TEXT(Table1[[#This Row],[Order Date]],"MMM")</f>
        <v>Jun</v>
      </c>
      <c r="C48" s="2" t="str">
        <f t="shared" si="0"/>
        <v>2014</v>
      </c>
      <c r="D48" s="1" t="s">
        <v>184</v>
      </c>
      <c r="E48" s="1" t="s">
        <v>187</v>
      </c>
      <c r="F48" s="1" t="s">
        <v>38</v>
      </c>
      <c r="G48" s="1" t="s">
        <v>39</v>
      </c>
      <c r="H48" s="1" t="s">
        <v>219</v>
      </c>
      <c r="I48" s="1">
        <v>471.92</v>
      </c>
      <c r="J48" s="1">
        <v>2</v>
      </c>
      <c r="K48" s="1">
        <v>29.5</v>
      </c>
    </row>
    <row r="49" spans="1:11" ht="12.75" x14ac:dyDescent="0.2">
      <c r="A49" s="2">
        <v>41794</v>
      </c>
      <c r="B49" s="2" t="str">
        <f>TEXT(Table1[[#This Row],[Order Date]],"MMM")</f>
        <v>Jun</v>
      </c>
      <c r="C49" s="2" t="str">
        <f t="shared" si="0"/>
        <v>2014</v>
      </c>
      <c r="D49" s="1" t="s">
        <v>220</v>
      </c>
      <c r="E49" s="1" t="s">
        <v>221</v>
      </c>
      <c r="F49" s="1" t="s">
        <v>11</v>
      </c>
      <c r="G49" s="1" t="s">
        <v>80</v>
      </c>
      <c r="H49" s="1" t="s">
        <v>222</v>
      </c>
      <c r="I49" s="1">
        <v>93.78</v>
      </c>
      <c r="J49" s="1">
        <v>2</v>
      </c>
      <c r="K49" s="1">
        <v>36.57</v>
      </c>
    </row>
    <row r="50" spans="1:11" ht="12.75" x14ac:dyDescent="0.2">
      <c r="A50" s="2">
        <v>41795</v>
      </c>
      <c r="B50" s="2" t="str">
        <f>TEXT(Table1[[#This Row],[Order Date]],"MMM")</f>
        <v>Jun</v>
      </c>
      <c r="C50" s="2" t="str">
        <f t="shared" si="0"/>
        <v>2014</v>
      </c>
      <c r="D50" s="1" t="s">
        <v>231</v>
      </c>
      <c r="E50" s="1" t="s">
        <v>101</v>
      </c>
      <c r="F50" s="1" t="s">
        <v>38</v>
      </c>
      <c r="G50" s="1" t="s">
        <v>214</v>
      </c>
      <c r="H50" s="1" t="s">
        <v>215</v>
      </c>
      <c r="I50" s="1">
        <v>821.3</v>
      </c>
      <c r="J50" s="1">
        <v>4</v>
      </c>
      <c r="K50" s="1">
        <v>-16.43</v>
      </c>
    </row>
    <row r="51" spans="1:11" ht="12.75" x14ac:dyDescent="0.2">
      <c r="A51" s="2">
        <v>41796</v>
      </c>
      <c r="B51" s="2" t="str">
        <f>TEXT(Table1[[#This Row],[Order Date]],"MMM")</f>
        <v>Jun</v>
      </c>
      <c r="C51" s="2" t="str">
        <f t="shared" si="0"/>
        <v>2014</v>
      </c>
      <c r="D51" s="1" t="s">
        <v>235</v>
      </c>
      <c r="E51" s="1" t="s">
        <v>101</v>
      </c>
      <c r="F51" s="1" t="s">
        <v>38</v>
      </c>
      <c r="G51" s="1" t="s">
        <v>39</v>
      </c>
      <c r="H51" s="1" t="s">
        <v>236</v>
      </c>
      <c r="I51" s="1">
        <v>323.98</v>
      </c>
      <c r="J51" s="1">
        <v>3</v>
      </c>
      <c r="K51" s="1">
        <v>28.35</v>
      </c>
    </row>
    <row r="52" spans="1:11" ht="12.75" x14ac:dyDescent="0.2">
      <c r="A52" s="2">
        <v>41797</v>
      </c>
      <c r="B52" s="2" t="str">
        <f>TEXT(Table1[[#This Row],[Order Date]],"MMM")</f>
        <v>Jun</v>
      </c>
      <c r="C52" s="2" t="str">
        <f t="shared" si="0"/>
        <v>2014</v>
      </c>
      <c r="D52" s="1" t="s">
        <v>238</v>
      </c>
      <c r="E52" s="1" t="s">
        <v>68</v>
      </c>
      <c r="F52" s="1" t="s">
        <v>11</v>
      </c>
      <c r="G52" s="1" t="s">
        <v>24</v>
      </c>
      <c r="H52" s="1" t="s">
        <v>239</v>
      </c>
      <c r="I52" s="1">
        <v>7.41</v>
      </c>
      <c r="J52" s="1">
        <v>2</v>
      </c>
      <c r="K52" s="1">
        <v>1.2</v>
      </c>
    </row>
    <row r="53" spans="1:11" ht="12.75" x14ac:dyDescent="0.2">
      <c r="A53" s="2">
        <v>41798</v>
      </c>
      <c r="B53" s="2" t="str">
        <f>TEXT(Table1[[#This Row],[Order Date]],"MMM")</f>
        <v>Jun</v>
      </c>
      <c r="C53" s="2" t="str">
        <f t="shared" si="0"/>
        <v>2014</v>
      </c>
      <c r="D53" s="1" t="s">
        <v>245</v>
      </c>
      <c r="E53" s="1" t="s">
        <v>187</v>
      </c>
      <c r="F53" s="1" t="s">
        <v>11</v>
      </c>
      <c r="G53" s="1" t="s">
        <v>20</v>
      </c>
      <c r="H53" s="1" t="s">
        <v>246</v>
      </c>
      <c r="I53" s="1">
        <v>7.64</v>
      </c>
      <c r="J53" s="1">
        <v>4</v>
      </c>
      <c r="K53" s="1">
        <v>-5.86</v>
      </c>
    </row>
    <row r="54" spans="1:11" ht="12.75" x14ac:dyDescent="0.2">
      <c r="A54" s="2">
        <v>41800</v>
      </c>
      <c r="B54" s="2" t="str">
        <f>TEXT(Table1[[#This Row],[Order Date]],"MMM")</f>
        <v>Jun</v>
      </c>
      <c r="C54" s="2" t="str">
        <f t="shared" si="0"/>
        <v>2014</v>
      </c>
      <c r="D54" s="1" t="s">
        <v>248</v>
      </c>
      <c r="E54" s="1" t="s">
        <v>27</v>
      </c>
      <c r="F54" s="1" t="s">
        <v>11</v>
      </c>
      <c r="G54" s="1" t="s">
        <v>18</v>
      </c>
      <c r="H54" s="1" t="s">
        <v>249</v>
      </c>
      <c r="I54" s="1">
        <v>330.4</v>
      </c>
      <c r="J54" s="1">
        <v>2</v>
      </c>
      <c r="K54" s="1">
        <v>85.9</v>
      </c>
    </row>
    <row r="55" spans="1:11" ht="12.75" x14ac:dyDescent="0.2">
      <c r="A55" s="2">
        <v>41801</v>
      </c>
      <c r="B55" s="2" t="str">
        <f>TEXT(Table1[[#This Row],[Order Date]],"MMM")</f>
        <v>Jun</v>
      </c>
      <c r="C55" s="2" t="str">
        <f t="shared" si="0"/>
        <v>2014</v>
      </c>
      <c r="D55" s="1" t="s">
        <v>252</v>
      </c>
      <c r="E55" s="1" t="s">
        <v>120</v>
      </c>
      <c r="F55" s="1" t="s">
        <v>11</v>
      </c>
      <c r="G55" s="1" t="s">
        <v>12</v>
      </c>
      <c r="H55" s="1" t="s">
        <v>253</v>
      </c>
      <c r="I55" s="1">
        <v>24.9</v>
      </c>
      <c r="J55" s="1">
        <v>5</v>
      </c>
      <c r="K55" s="1">
        <v>11.7</v>
      </c>
    </row>
    <row r="56" spans="1:11" ht="12.75" x14ac:dyDescent="0.2">
      <c r="A56" s="2">
        <v>41802</v>
      </c>
      <c r="B56" s="2" t="str">
        <f>TEXT(Table1[[#This Row],[Order Date]],"MMM")</f>
        <v>Jun</v>
      </c>
      <c r="C56" s="2" t="str">
        <f t="shared" si="0"/>
        <v>2014</v>
      </c>
      <c r="D56" s="1" t="s">
        <v>226</v>
      </c>
      <c r="E56" s="1" t="s">
        <v>120</v>
      </c>
      <c r="F56" s="1" t="s">
        <v>33</v>
      </c>
      <c r="G56" s="1" t="s">
        <v>34</v>
      </c>
      <c r="H56" s="1" t="s">
        <v>255</v>
      </c>
      <c r="I56" s="1">
        <v>366.79</v>
      </c>
      <c r="J56" s="1">
        <v>7</v>
      </c>
      <c r="K56" s="1">
        <v>65.209999999999994</v>
      </c>
    </row>
    <row r="57" spans="1:11" ht="12.75" x14ac:dyDescent="0.2">
      <c r="A57" s="2">
        <v>41821</v>
      </c>
      <c r="B57" s="2" t="str">
        <f>TEXT(Table1[[#This Row],[Order Date]],"MMM")</f>
        <v>Jul</v>
      </c>
      <c r="C57" s="2" t="str">
        <f t="shared" si="0"/>
        <v>2014</v>
      </c>
      <c r="D57" s="1" t="s">
        <v>257</v>
      </c>
      <c r="E57" s="1" t="s">
        <v>27</v>
      </c>
      <c r="F57" s="1" t="s">
        <v>38</v>
      </c>
      <c r="G57" s="1" t="s">
        <v>48</v>
      </c>
      <c r="H57" s="1" t="s">
        <v>258</v>
      </c>
      <c r="I57" s="1">
        <v>66.3</v>
      </c>
      <c r="J57" s="1">
        <v>3</v>
      </c>
      <c r="K57" s="1">
        <v>8.6199999999999992</v>
      </c>
    </row>
    <row r="58" spans="1:11" ht="12.75" x14ac:dyDescent="0.2">
      <c r="A58" s="2">
        <v>41822</v>
      </c>
      <c r="B58" s="2" t="str">
        <f>TEXT(Table1[[#This Row],[Order Date]],"MMM")</f>
        <v>Jul</v>
      </c>
      <c r="C58" s="2" t="str">
        <f t="shared" si="0"/>
        <v>2014</v>
      </c>
      <c r="D58" s="1" t="s">
        <v>261</v>
      </c>
      <c r="E58" s="1" t="s">
        <v>262</v>
      </c>
      <c r="F58" s="1" t="s">
        <v>11</v>
      </c>
      <c r="G58" s="1" t="s">
        <v>58</v>
      </c>
      <c r="H58" s="1" t="s">
        <v>263</v>
      </c>
      <c r="I58" s="1">
        <v>6.12</v>
      </c>
      <c r="J58" s="1">
        <v>3</v>
      </c>
      <c r="K58" s="1">
        <v>2.88</v>
      </c>
    </row>
    <row r="59" spans="1:11" ht="12.75" x14ac:dyDescent="0.2">
      <c r="A59" s="2">
        <v>41823</v>
      </c>
      <c r="B59" s="2" t="str">
        <f>TEXT(Table1[[#This Row],[Order Date]],"MMM")</f>
        <v>Jul</v>
      </c>
      <c r="C59" s="2" t="str">
        <f t="shared" si="0"/>
        <v>2014</v>
      </c>
      <c r="D59" s="1" t="s">
        <v>268</v>
      </c>
      <c r="E59" s="1" t="s">
        <v>10</v>
      </c>
      <c r="F59" s="1" t="s">
        <v>33</v>
      </c>
      <c r="G59" s="1" t="s">
        <v>118</v>
      </c>
      <c r="H59" s="1" t="s">
        <v>269</v>
      </c>
      <c r="I59" s="1">
        <v>890.84</v>
      </c>
      <c r="J59" s="1">
        <v>3</v>
      </c>
      <c r="K59" s="1">
        <v>-152.72</v>
      </c>
    </row>
    <row r="60" spans="1:11" ht="12.75" x14ac:dyDescent="0.2">
      <c r="A60" s="2">
        <v>41824</v>
      </c>
      <c r="B60" s="2" t="str">
        <f>TEXT(Table1[[#This Row],[Order Date]],"MMM")</f>
        <v>Jul</v>
      </c>
      <c r="C60" s="2" t="str">
        <f t="shared" si="0"/>
        <v>2014</v>
      </c>
      <c r="D60" s="1" t="s">
        <v>270</v>
      </c>
      <c r="E60" s="1" t="s">
        <v>120</v>
      </c>
      <c r="F60" s="1" t="s">
        <v>11</v>
      </c>
      <c r="G60" s="1" t="s">
        <v>24</v>
      </c>
      <c r="H60" s="1" t="s">
        <v>271</v>
      </c>
      <c r="I60" s="1">
        <v>49.65</v>
      </c>
      <c r="J60" s="1">
        <v>5</v>
      </c>
      <c r="K60" s="1">
        <v>20.85</v>
      </c>
    </row>
    <row r="61" spans="1:11" ht="12.75" x14ac:dyDescent="0.2">
      <c r="A61" s="2">
        <v>41825</v>
      </c>
      <c r="B61" s="2" t="str">
        <f>TEXT(Table1[[#This Row],[Order Date]],"MMM")</f>
        <v>Jul</v>
      </c>
      <c r="C61" s="2" t="str">
        <f t="shared" si="0"/>
        <v>2014</v>
      </c>
      <c r="D61" s="1" t="s">
        <v>278</v>
      </c>
      <c r="E61" s="1" t="s">
        <v>27</v>
      </c>
      <c r="F61" s="1" t="s">
        <v>11</v>
      </c>
      <c r="G61" s="1" t="s">
        <v>20</v>
      </c>
      <c r="H61" s="1" t="s">
        <v>279</v>
      </c>
      <c r="I61" s="1">
        <v>673.57</v>
      </c>
      <c r="J61" s="1">
        <v>2</v>
      </c>
      <c r="K61" s="1">
        <v>252.59</v>
      </c>
    </row>
    <row r="62" spans="1:11" ht="12.75" x14ac:dyDescent="0.2">
      <c r="A62" s="2">
        <v>41826</v>
      </c>
      <c r="B62" s="2" t="str">
        <f>TEXT(Table1[[#This Row],[Order Date]],"MMM")</f>
        <v>Jul</v>
      </c>
      <c r="C62" s="2" t="str">
        <f t="shared" si="0"/>
        <v>2014</v>
      </c>
      <c r="D62" s="1" t="s">
        <v>270</v>
      </c>
      <c r="E62" s="1" t="s">
        <v>27</v>
      </c>
      <c r="F62" s="1" t="s">
        <v>11</v>
      </c>
      <c r="G62" s="1" t="s">
        <v>16</v>
      </c>
      <c r="H62" s="1" t="s">
        <v>273</v>
      </c>
      <c r="I62" s="1">
        <v>29.6</v>
      </c>
      <c r="J62" s="1">
        <v>2</v>
      </c>
      <c r="K62" s="1">
        <v>14.8</v>
      </c>
    </row>
    <row r="63" spans="1:11" ht="12.75" x14ac:dyDescent="0.2">
      <c r="A63" s="2">
        <v>41827</v>
      </c>
      <c r="B63" s="2" t="str">
        <f>TEXT(Table1[[#This Row],[Order Date]],"MMM")</f>
        <v>Jul</v>
      </c>
      <c r="C63" s="2" t="str">
        <f t="shared" si="0"/>
        <v>2014</v>
      </c>
      <c r="D63" s="1" t="s">
        <v>290</v>
      </c>
      <c r="E63" s="1" t="s">
        <v>30</v>
      </c>
      <c r="F63" s="1" t="s">
        <v>11</v>
      </c>
      <c r="G63" s="1" t="s">
        <v>12</v>
      </c>
      <c r="H63" s="1" t="s">
        <v>291</v>
      </c>
      <c r="I63" s="1">
        <v>15.84</v>
      </c>
      <c r="J63" s="1">
        <v>3</v>
      </c>
      <c r="K63" s="1">
        <v>7.13</v>
      </c>
    </row>
    <row r="64" spans="1:11" ht="12.75" x14ac:dyDescent="0.2">
      <c r="A64" s="2">
        <v>41829</v>
      </c>
      <c r="B64" s="2" t="str">
        <f>TEXT(Table1[[#This Row],[Order Date]],"MMM")</f>
        <v>Jul</v>
      </c>
      <c r="C64" s="2" t="str">
        <f t="shared" si="0"/>
        <v>2014</v>
      </c>
      <c r="D64" s="1" t="s">
        <v>295</v>
      </c>
      <c r="E64" s="1" t="s">
        <v>27</v>
      </c>
      <c r="F64" s="1" t="s">
        <v>11</v>
      </c>
      <c r="G64" s="1" t="s">
        <v>16</v>
      </c>
      <c r="H64" s="1" t="s">
        <v>296</v>
      </c>
      <c r="I64" s="1">
        <v>18.899999999999999</v>
      </c>
      <c r="J64" s="1">
        <v>6</v>
      </c>
      <c r="K64" s="1">
        <v>9.07</v>
      </c>
    </row>
    <row r="65" spans="1:11" ht="12.75" x14ac:dyDescent="0.2">
      <c r="A65" s="2">
        <v>41831</v>
      </c>
      <c r="B65" s="2" t="str">
        <f>TEXT(Table1[[#This Row],[Order Date]],"MMM")</f>
        <v>Jul</v>
      </c>
      <c r="C65" s="2" t="str">
        <f t="shared" si="0"/>
        <v>2014</v>
      </c>
      <c r="D65" s="1" t="s">
        <v>301</v>
      </c>
      <c r="E65" s="1" t="s">
        <v>120</v>
      </c>
      <c r="F65" s="1" t="s">
        <v>11</v>
      </c>
      <c r="G65" s="1" t="s">
        <v>12</v>
      </c>
      <c r="H65" s="1" t="s">
        <v>302</v>
      </c>
      <c r="I65" s="1">
        <v>55.48</v>
      </c>
      <c r="J65" s="1">
        <v>1</v>
      </c>
      <c r="K65" s="1">
        <v>26.63</v>
      </c>
    </row>
    <row r="66" spans="1:11" ht="12.75" x14ac:dyDescent="0.2">
      <c r="A66" s="2">
        <v>41832</v>
      </c>
      <c r="B66" s="2" t="str">
        <f>TEXT(Table1[[#This Row],[Order Date]],"MMM")</f>
        <v>Jul</v>
      </c>
      <c r="C66" s="2" t="str">
        <f t="shared" ref="C66:C129" si="1">TEXT(A66,"YYY")</f>
        <v>2014</v>
      </c>
      <c r="D66" s="1" t="s">
        <v>310</v>
      </c>
      <c r="E66" s="1" t="s">
        <v>23</v>
      </c>
      <c r="F66" s="1" t="s">
        <v>11</v>
      </c>
      <c r="G66" s="1" t="s">
        <v>20</v>
      </c>
      <c r="H66" s="1" t="s">
        <v>311</v>
      </c>
      <c r="I66" s="1">
        <v>44.91</v>
      </c>
      <c r="J66" s="1">
        <v>6</v>
      </c>
      <c r="K66" s="1">
        <v>-35.93</v>
      </c>
    </row>
    <row r="67" spans="1:11" ht="12.75" x14ac:dyDescent="0.2">
      <c r="A67" s="2">
        <v>41853</v>
      </c>
      <c r="B67" s="2" t="str">
        <f>TEXT(Table1[[#This Row],[Order Date]],"MMM")</f>
        <v>Aug</v>
      </c>
      <c r="C67" s="2" t="str">
        <f t="shared" si="1"/>
        <v>2014</v>
      </c>
      <c r="D67" s="1" t="s">
        <v>319</v>
      </c>
      <c r="E67" s="1" t="s">
        <v>320</v>
      </c>
      <c r="F67" s="1" t="s">
        <v>33</v>
      </c>
      <c r="G67" s="1" t="s">
        <v>44</v>
      </c>
      <c r="H67" s="1" t="s">
        <v>321</v>
      </c>
      <c r="I67" s="1">
        <v>8.9600000000000009</v>
      </c>
      <c r="J67" s="1">
        <v>2</v>
      </c>
      <c r="K67" s="1">
        <v>2.78</v>
      </c>
    </row>
    <row r="68" spans="1:11" ht="12.75" x14ac:dyDescent="0.2">
      <c r="A68" s="2">
        <v>41855</v>
      </c>
      <c r="B68" s="2" t="str">
        <f>TEXT(Table1[[#This Row],[Order Date]],"MMM")</f>
        <v>Aug</v>
      </c>
      <c r="C68" s="2" t="str">
        <f t="shared" si="1"/>
        <v>2014</v>
      </c>
      <c r="D68" s="1" t="s">
        <v>324</v>
      </c>
      <c r="E68" s="1" t="s">
        <v>83</v>
      </c>
      <c r="F68" s="1" t="s">
        <v>11</v>
      </c>
      <c r="G68" s="1" t="s">
        <v>42</v>
      </c>
      <c r="H68" s="1" t="s">
        <v>325</v>
      </c>
      <c r="I68" s="1">
        <v>2.37</v>
      </c>
      <c r="J68" s="1">
        <v>2</v>
      </c>
      <c r="K68" s="1">
        <v>0.83</v>
      </c>
    </row>
    <row r="69" spans="1:11" ht="12.75" x14ac:dyDescent="0.2">
      <c r="A69" s="2">
        <v>41856</v>
      </c>
      <c r="B69" s="2" t="str">
        <f>TEXT(Table1[[#This Row],[Order Date]],"MMM")</f>
        <v>Aug</v>
      </c>
      <c r="C69" s="2" t="str">
        <f t="shared" si="1"/>
        <v>2014</v>
      </c>
      <c r="D69" s="1" t="s">
        <v>331</v>
      </c>
      <c r="E69" s="1" t="s">
        <v>101</v>
      </c>
      <c r="F69" s="1" t="s">
        <v>11</v>
      </c>
      <c r="G69" s="1" t="s">
        <v>42</v>
      </c>
      <c r="H69" s="1" t="s">
        <v>332</v>
      </c>
      <c r="I69" s="1">
        <v>6.91</v>
      </c>
      <c r="J69" s="1">
        <v>3</v>
      </c>
      <c r="K69" s="1">
        <v>2.33</v>
      </c>
    </row>
    <row r="70" spans="1:11" ht="12.75" x14ac:dyDescent="0.2">
      <c r="A70" s="2">
        <v>41857</v>
      </c>
      <c r="B70" s="2" t="str">
        <f>TEXT(Table1[[#This Row],[Order Date]],"MMM")</f>
        <v>Aug</v>
      </c>
      <c r="C70" s="2" t="str">
        <f t="shared" si="1"/>
        <v>2014</v>
      </c>
      <c r="D70" s="1" t="s">
        <v>338</v>
      </c>
      <c r="E70" s="1" t="s">
        <v>27</v>
      </c>
      <c r="F70" s="1" t="s">
        <v>38</v>
      </c>
      <c r="G70" s="1" t="s">
        <v>39</v>
      </c>
      <c r="H70" s="1" t="s">
        <v>339</v>
      </c>
      <c r="I70" s="1">
        <v>1075.0899999999999</v>
      </c>
      <c r="J70" s="1">
        <v>14</v>
      </c>
      <c r="K70" s="1">
        <v>94.07</v>
      </c>
    </row>
    <row r="71" spans="1:11" ht="12.75" x14ac:dyDescent="0.2">
      <c r="A71" s="2">
        <v>41858</v>
      </c>
      <c r="B71" s="2" t="str">
        <f>TEXT(Table1[[#This Row],[Order Date]],"MMM")</f>
        <v>Aug</v>
      </c>
      <c r="C71" s="2" t="str">
        <f t="shared" si="1"/>
        <v>2014</v>
      </c>
      <c r="D71" s="1" t="s">
        <v>257</v>
      </c>
      <c r="E71" s="1" t="s">
        <v>23</v>
      </c>
      <c r="F71" s="1" t="s">
        <v>11</v>
      </c>
      <c r="G71" s="1" t="s">
        <v>24</v>
      </c>
      <c r="H71" s="1" t="s">
        <v>341</v>
      </c>
      <c r="I71" s="1">
        <v>17.86</v>
      </c>
      <c r="J71" s="1">
        <v>4</v>
      </c>
      <c r="K71" s="1">
        <v>1.1200000000000001</v>
      </c>
    </row>
    <row r="72" spans="1:11" ht="12.75" x14ac:dyDescent="0.2">
      <c r="A72" s="2">
        <v>41859</v>
      </c>
      <c r="B72" s="2" t="str">
        <f>TEXT(Table1[[#This Row],[Order Date]],"MMM")</f>
        <v>Aug</v>
      </c>
      <c r="C72" s="2" t="str">
        <f t="shared" si="1"/>
        <v>2014</v>
      </c>
      <c r="D72" s="1" t="s">
        <v>345</v>
      </c>
      <c r="E72" s="1" t="s">
        <v>27</v>
      </c>
      <c r="F72" s="1" t="s">
        <v>11</v>
      </c>
      <c r="G72" s="1" t="s">
        <v>80</v>
      </c>
      <c r="H72" s="1" t="s">
        <v>346</v>
      </c>
      <c r="I72" s="1">
        <v>106.96</v>
      </c>
      <c r="J72" s="1">
        <v>2</v>
      </c>
      <c r="K72" s="1">
        <v>31.02</v>
      </c>
    </row>
    <row r="73" spans="1:11" ht="12.75" x14ac:dyDescent="0.2">
      <c r="A73" s="2">
        <v>41861</v>
      </c>
      <c r="B73" s="2" t="str">
        <f>TEXT(Table1[[#This Row],[Order Date]],"MMM")</f>
        <v>Aug</v>
      </c>
      <c r="C73" s="2" t="str">
        <f t="shared" si="1"/>
        <v>2014</v>
      </c>
      <c r="D73" s="1" t="s">
        <v>349</v>
      </c>
      <c r="E73" s="1" t="s">
        <v>27</v>
      </c>
      <c r="F73" s="1" t="s">
        <v>38</v>
      </c>
      <c r="G73" s="1" t="s">
        <v>214</v>
      </c>
      <c r="H73" s="1" t="s">
        <v>350</v>
      </c>
      <c r="I73" s="1">
        <v>287.97000000000003</v>
      </c>
      <c r="J73" s="1">
        <v>4</v>
      </c>
      <c r="K73" s="1">
        <v>97.19</v>
      </c>
    </row>
    <row r="74" spans="1:11" ht="12.75" x14ac:dyDescent="0.2">
      <c r="A74" s="2">
        <v>41862</v>
      </c>
      <c r="B74" s="2" t="str">
        <f>TEXT(Table1[[#This Row],[Order Date]],"MMM")</f>
        <v>Aug</v>
      </c>
      <c r="C74" s="2" t="str">
        <f t="shared" si="1"/>
        <v>2014</v>
      </c>
      <c r="D74" s="1" t="s">
        <v>354</v>
      </c>
      <c r="E74" s="1" t="s">
        <v>27</v>
      </c>
      <c r="F74" s="1" t="s">
        <v>33</v>
      </c>
      <c r="G74" s="1" t="s">
        <v>44</v>
      </c>
      <c r="H74" s="1" t="s">
        <v>355</v>
      </c>
      <c r="I74" s="1">
        <v>76.14</v>
      </c>
      <c r="J74" s="1">
        <v>3</v>
      </c>
      <c r="K74" s="1">
        <v>26.65</v>
      </c>
    </row>
    <row r="75" spans="1:11" ht="12.75" x14ac:dyDescent="0.2">
      <c r="A75" s="2">
        <v>41863</v>
      </c>
      <c r="B75" s="2" t="str">
        <f>TEXT(Table1[[#This Row],[Order Date]],"MMM")</f>
        <v>Aug</v>
      </c>
      <c r="C75" s="2" t="str">
        <f t="shared" si="1"/>
        <v>2014</v>
      </c>
      <c r="D75" s="1" t="s">
        <v>53</v>
      </c>
      <c r="E75" s="1" t="s">
        <v>10</v>
      </c>
      <c r="F75" s="1" t="s">
        <v>33</v>
      </c>
      <c r="G75" s="1" t="s">
        <v>118</v>
      </c>
      <c r="H75" s="1" t="s">
        <v>358</v>
      </c>
      <c r="I75" s="1">
        <v>744.1</v>
      </c>
      <c r="J75" s="1">
        <v>5</v>
      </c>
      <c r="K75" s="1">
        <v>-95.67</v>
      </c>
    </row>
    <row r="76" spans="1:11" ht="12.75" x14ac:dyDescent="0.2">
      <c r="A76" s="2">
        <v>41883</v>
      </c>
      <c r="B76" s="2" t="str">
        <f>TEXT(Table1[[#This Row],[Order Date]],"MMM")</f>
        <v>Sep</v>
      </c>
      <c r="C76" s="2" t="str">
        <f t="shared" si="1"/>
        <v>2014</v>
      </c>
      <c r="D76" s="1" t="s">
        <v>363</v>
      </c>
      <c r="E76" s="1" t="s">
        <v>23</v>
      </c>
      <c r="F76" s="1" t="s">
        <v>11</v>
      </c>
      <c r="G76" s="1" t="s">
        <v>20</v>
      </c>
      <c r="H76" s="1" t="s">
        <v>364</v>
      </c>
      <c r="I76" s="1">
        <v>2.5</v>
      </c>
      <c r="J76" s="1">
        <v>3</v>
      </c>
      <c r="K76" s="1">
        <v>-1.75</v>
      </c>
    </row>
    <row r="77" spans="1:11" ht="12.75" x14ac:dyDescent="0.2">
      <c r="A77" s="2">
        <v>41887</v>
      </c>
      <c r="B77" s="2" t="str">
        <f>TEXT(Table1[[#This Row],[Order Date]],"MMM")</f>
        <v>Sep</v>
      </c>
      <c r="C77" s="2" t="str">
        <f t="shared" si="1"/>
        <v>2014</v>
      </c>
      <c r="D77" s="1" t="s">
        <v>366</v>
      </c>
      <c r="E77" s="1" t="s">
        <v>10</v>
      </c>
      <c r="F77" s="1" t="s">
        <v>11</v>
      </c>
      <c r="G77" s="1" t="s">
        <v>12</v>
      </c>
      <c r="H77" s="1" t="s">
        <v>367</v>
      </c>
      <c r="I77" s="1">
        <v>10.37</v>
      </c>
      <c r="J77" s="1">
        <v>2</v>
      </c>
      <c r="K77" s="1">
        <v>3.63</v>
      </c>
    </row>
    <row r="78" spans="1:11" ht="12.75" x14ac:dyDescent="0.2">
      <c r="A78" s="2">
        <v>41888</v>
      </c>
      <c r="B78" s="2" t="str">
        <f>TEXT(Table1[[#This Row],[Order Date]],"MMM")</f>
        <v>Sep</v>
      </c>
      <c r="C78" s="2" t="str">
        <f t="shared" si="1"/>
        <v>2014</v>
      </c>
      <c r="D78" s="1" t="s">
        <v>368</v>
      </c>
      <c r="E78" s="1" t="s">
        <v>27</v>
      </c>
      <c r="F78" s="1" t="s">
        <v>33</v>
      </c>
      <c r="G78" s="1" t="s">
        <v>34</v>
      </c>
      <c r="H78" s="1" t="s">
        <v>369</v>
      </c>
      <c r="I78" s="1">
        <v>230.28</v>
      </c>
      <c r="J78" s="1">
        <v>3</v>
      </c>
      <c r="K78" s="1">
        <v>23.03</v>
      </c>
    </row>
    <row r="79" spans="1:11" ht="12.75" x14ac:dyDescent="0.2">
      <c r="A79" s="2">
        <v>41890</v>
      </c>
      <c r="B79" s="2" t="str">
        <f>TEXT(Table1[[#This Row],[Order Date]],"MMM")</f>
        <v>Sep</v>
      </c>
      <c r="C79" s="2" t="str">
        <f t="shared" si="1"/>
        <v>2014</v>
      </c>
      <c r="D79" s="1" t="s">
        <v>370</v>
      </c>
      <c r="E79" s="1" t="s">
        <v>344</v>
      </c>
      <c r="F79" s="1" t="s">
        <v>11</v>
      </c>
      <c r="G79" s="1" t="s">
        <v>20</v>
      </c>
      <c r="H79" s="1" t="s">
        <v>371</v>
      </c>
      <c r="I79" s="1">
        <v>20.86</v>
      </c>
      <c r="J79" s="1">
        <v>2</v>
      </c>
      <c r="K79" s="1">
        <v>9.39</v>
      </c>
    </row>
    <row r="80" spans="1:11" ht="12.75" x14ac:dyDescent="0.2">
      <c r="A80" s="2">
        <v>41891</v>
      </c>
      <c r="B80" s="2" t="str">
        <f>TEXT(Table1[[#This Row],[Order Date]],"MMM")</f>
        <v>Sep</v>
      </c>
      <c r="C80" s="2" t="str">
        <f t="shared" si="1"/>
        <v>2014</v>
      </c>
      <c r="D80" s="1" t="s">
        <v>379</v>
      </c>
      <c r="E80" s="1" t="s">
        <v>120</v>
      </c>
      <c r="F80" s="1" t="s">
        <v>33</v>
      </c>
      <c r="G80" s="1" t="s">
        <v>44</v>
      </c>
      <c r="H80" s="1" t="s">
        <v>380</v>
      </c>
      <c r="I80" s="1">
        <v>17.46</v>
      </c>
      <c r="J80" s="1">
        <v>2</v>
      </c>
      <c r="K80" s="1">
        <v>5.94</v>
      </c>
    </row>
    <row r="81" spans="1:11" ht="12.75" x14ac:dyDescent="0.2">
      <c r="A81" s="2">
        <v>41894</v>
      </c>
      <c r="B81" s="2" t="str">
        <f>TEXT(Table1[[#This Row],[Order Date]],"MMM")</f>
        <v>Sep</v>
      </c>
      <c r="C81" s="2" t="str">
        <f t="shared" si="1"/>
        <v>2014</v>
      </c>
      <c r="D81" s="1" t="s">
        <v>173</v>
      </c>
      <c r="E81" s="1" t="s">
        <v>227</v>
      </c>
      <c r="F81" s="1" t="s">
        <v>38</v>
      </c>
      <c r="G81" s="1" t="s">
        <v>48</v>
      </c>
      <c r="H81" s="1" t="s">
        <v>384</v>
      </c>
      <c r="I81" s="1">
        <v>47.79</v>
      </c>
      <c r="J81" s="1">
        <v>3</v>
      </c>
      <c r="K81" s="1">
        <v>16.25</v>
      </c>
    </row>
    <row r="82" spans="1:11" ht="12.75" x14ac:dyDescent="0.2">
      <c r="A82" s="2">
        <v>41913</v>
      </c>
      <c r="B82" s="2" t="str">
        <f>TEXT(Table1[[#This Row],[Order Date]],"MMM")</f>
        <v>Oct</v>
      </c>
      <c r="C82" s="2" t="str">
        <f t="shared" si="1"/>
        <v>2014</v>
      </c>
      <c r="D82" s="1" t="s">
        <v>386</v>
      </c>
      <c r="E82" s="1" t="s">
        <v>68</v>
      </c>
      <c r="F82" s="1" t="s">
        <v>11</v>
      </c>
      <c r="G82" s="1" t="s">
        <v>80</v>
      </c>
      <c r="H82" s="1" t="s">
        <v>229</v>
      </c>
      <c r="I82" s="1">
        <v>26.14</v>
      </c>
      <c r="J82" s="1">
        <v>3</v>
      </c>
      <c r="K82" s="1">
        <v>1.96</v>
      </c>
    </row>
    <row r="83" spans="1:11" ht="12.75" x14ac:dyDescent="0.2">
      <c r="A83" s="2">
        <v>41915</v>
      </c>
      <c r="B83" s="2" t="str">
        <f>TEXT(Table1[[#This Row],[Order Date]],"MMM")</f>
        <v>Oct</v>
      </c>
      <c r="C83" s="2" t="str">
        <f t="shared" si="1"/>
        <v>2014</v>
      </c>
      <c r="D83" s="1" t="s">
        <v>389</v>
      </c>
      <c r="E83" s="1" t="s">
        <v>127</v>
      </c>
      <c r="F83" s="1" t="s">
        <v>11</v>
      </c>
      <c r="G83" s="1" t="s">
        <v>16</v>
      </c>
      <c r="H83" s="1" t="s">
        <v>390</v>
      </c>
      <c r="I83" s="1">
        <v>21.56</v>
      </c>
      <c r="J83" s="1">
        <v>7</v>
      </c>
      <c r="K83" s="1">
        <v>10.35</v>
      </c>
    </row>
    <row r="84" spans="1:11" ht="12.75" x14ac:dyDescent="0.2">
      <c r="A84" s="2">
        <v>41917</v>
      </c>
      <c r="B84" s="2" t="str">
        <f>TEXT(Table1[[#This Row],[Order Date]],"MMM")</f>
        <v>Oct</v>
      </c>
      <c r="C84" s="2" t="str">
        <f t="shared" si="1"/>
        <v>2014</v>
      </c>
      <c r="D84" s="1" t="s">
        <v>392</v>
      </c>
      <c r="E84" s="1" t="s">
        <v>94</v>
      </c>
      <c r="F84" s="1" t="s">
        <v>11</v>
      </c>
      <c r="G84" s="1" t="s">
        <v>20</v>
      </c>
      <c r="H84" s="1" t="s">
        <v>393</v>
      </c>
      <c r="I84" s="1">
        <v>46.8</v>
      </c>
      <c r="J84" s="1">
        <v>4</v>
      </c>
      <c r="K84" s="1">
        <v>21.06</v>
      </c>
    </row>
    <row r="85" spans="1:11" ht="12.75" x14ac:dyDescent="0.2">
      <c r="A85" s="2">
        <v>41918</v>
      </c>
      <c r="B85" s="2" t="str">
        <f>TEXT(Table1[[#This Row],[Order Date]],"MMM")</f>
        <v>Oct</v>
      </c>
      <c r="C85" s="2" t="str">
        <f t="shared" si="1"/>
        <v>2014</v>
      </c>
      <c r="D85" s="1" t="s">
        <v>397</v>
      </c>
      <c r="E85" s="1" t="s">
        <v>32</v>
      </c>
      <c r="F85" s="1" t="s">
        <v>11</v>
      </c>
      <c r="G85" s="1" t="s">
        <v>12</v>
      </c>
      <c r="H85" s="1" t="s">
        <v>398</v>
      </c>
      <c r="I85" s="1">
        <v>9.42</v>
      </c>
      <c r="J85" s="1">
        <v>3</v>
      </c>
      <c r="K85" s="1">
        <v>4.24</v>
      </c>
    </row>
    <row r="86" spans="1:11" ht="12.75" x14ac:dyDescent="0.2">
      <c r="A86" s="2">
        <v>41922</v>
      </c>
      <c r="B86" s="2" t="str">
        <f>TEXT(Table1[[#This Row],[Order Date]],"MMM")</f>
        <v>Oct</v>
      </c>
      <c r="C86" s="2" t="str">
        <f t="shared" si="1"/>
        <v>2014</v>
      </c>
      <c r="D86" s="1" t="s">
        <v>403</v>
      </c>
      <c r="E86" s="1" t="s">
        <v>27</v>
      </c>
      <c r="F86" s="1" t="s">
        <v>11</v>
      </c>
      <c r="G86" s="1" t="s">
        <v>20</v>
      </c>
      <c r="H86" s="1" t="s">
        <v>404</v>
      </c>
      <c r="I86" s="1">
        <v>140.74</v>
      </c>
      <c r="J86" s="1">
        <v>8</v>
      </c>
      <c r="K86" s="1">
        <v>52.78</v>
      </c>
    </row>
    <row r="87" spans="1:11" ht="12.75" x14ac:dyDescent="0.2">
      <c r="A87" s="2">
        <v>41923</v>
      </c>
      <c r="B87" s="2" t="str">
        <f>TEXT(Table1[[#This Row],[Order Date]],"MMM")</f>
        <v>Oct</v>
      </c>
      <c r="C87" s="2" t="str">
        <f t="shared" si="1"/>
        <v>2014</v>
      </c>
      <c r="D87" s="1" t="s">
        <v>407</v>
      </c>
      <c r="E87" s="1" t="s">
        <v>287</v>
      </c>
      <c r="F87" s="1" t="s">
        <v>11</v>
      </c>
      <c r="G87" s="1" t="s">
        <v>20</v>
      </c>
      <c r="H87" s="1" t="s">
        <v>408</v>
      </c>
      <c r="I87" s="1">
        <v>16.14</v>
      </c>
      <c r="J87" s="1">
        <v>3</v>
      </c>
      <c r="K87" s="1">
        <v>7.91</v>
      </c>
    </row>
    <row r="88" spans="1:11" ht="12.75" x14ac:dyDescent="0.2">
      <c r="A88" s="2">
        <v>41944</v>
      </c>
      <c r="B88" s="2" t="str">
        <f>TEXT(Table1[[#This Row],[Order Date]],"MMM")</f>
        <v>Nov</v>
      </c>
      <c r="C88" s="2" t="str">
        <f t="shared" si="1"/>
        <v>2014</v>
      </c>
      <c r="D88" s="1" t="s">
        <v>199</v>
      </c>
      <c r="E88" s="1" t="s">
        <v>23</v>
      </c>
      <c r="F88" s="1" t="s">
        <v>38</v>
      </c>
      <c r="G88" s="1" t="s">
        <v>388</v>
      </c>
      <c r="H88" s="1" t="s">
        <v>410</v>
      </c>
      <c r="I88" s="1">
        <v>1799.97</v>
      </c>
      <c r="J88" s="1">
        <v>5</v>
      </c>
      <c r="K88" s="1">
        <v>240</v>
      </c>
    </row>
    <row r="89" spans="1:11" ht="12.75" x14ac:dyDescent="0.2">
      <c r="A89" s="2">
        <v>41946</v>
      </c>
      <c r="B89" s="2" t="str">
        <f>TEXT(Table1[[#This Row],[Order Date]],"MMM")</f>
        <v>Nov</v>
      </c>
      <c r="C89" s="2" t="str">
        <f t="shared" si="1"/>
        <v>2014</v>
      </c>
      <c r="D89" s="1" t="s">
        <v>411</v>
      </c>
      <c r="E89" s="1" t="s">
        <v>27</v>
      </c>
      <c r="F89" s="1" t="s">
        <v>38</v>
      </c>
      <c r="G89" s="1" t="s">
        <v>48</v>
      </c>
      <c r="H89" s="1" t="s">
        <v>315</v>
      </c>
      <c r="I89" s="1">
        <v>67.8</v>
      </c>
      <c r="J89" s="1">
        <v>4</v>
      </c>
      <c r="K89" s="1">
        <v>4.07</v>
      </c>
    </row>
    <row r="90" spans="1:11" ht="12.75" x14ac:dyDescent="0.2">
      <c r="A90" s="2">
        <v>41947</v>
      </c>
      <c r="B90" s="2" t="str">
        <f>TEXT(Table1[[#This Row],[Order Date]],"MMM")</f>
        <v>Nov</v>
      </c>
      <c r="C90" s="2" t="str">
        <f t="shared" si="1"/>
        <v>2014</v>
      </c>
      <c r="D90" s="1" t="s">
        <v>376</v>
      </c>
      <c r="E90" s="1" t="s">
        <v>134</v>
      </c>
      <c r="F90" s="1" t="s">
        <v>11</v>
      </c>
      <c r="G90" s="1" t="s">
        <v>58</v>
      </c>
      <c r="H90" s="1" t="s">
        <v>415</v>
      </c>
      <c r="I90" s="1">
        <v>158.13</v>
      </c>
      <c r="J90" s="1">
        <v>3</v>
      </c>
      <c r="K90" s="1">
        <v>77.48</v>
      </c>
    </row>
    <row r="91" spans="1:11" ht="12.75" x14ac:dyDescent="0.2">
      <c r="A91" s="2">
        <v>41948</v>
      </c>
      <c r="B91" s="2" t="str">
        <f>TEXT(Table1[[#This Row],[Order Date]],"MMM")</f>
        <v>Nov</v>
      </c>
      <c r="C91" s="2" t="str">
        <f t="shared" si="1"/>
        <v>2014</v>
      </c>
      <c r="D91" s="1" t="s">
        <v>417</v>
      </c>
      <c r="E91" s="1" t="s">
        <v>10</v>
      </c>
      <c r="F91" s="1" t="s">
        <v>38</v>
      </c>
      <c r="G91" s="1" t="s">
        <v>48</v>
      </c>
      <c r="H91" s="1" t="s">
        <v>418</v>
      </c>
      <c r="I91" s="1">
        <v>58.11</v>
      </c>
      <c r="J91" s="1">
        <v>2</v>
      </c>
      <c r="K91" s="1">
        <v>7.26</v>
      </c>
    </row>
    <row r="92" spans="1:11" ht="12.75" x14ac:dyDescent="0.2">
      <c r="A92" s="2">
        <v>41952</v>
      </c>
      <c r="B92" s="2" t="str">
        <f>TEXT(Table1[[#This Row],[Order Date]],"MMM")</f>
        <v>Nov</v>
      </c>
      <c r="C92" s="2" t="str">
        <f t="shared" si="1"/>
        <v>2014</v>
      </c>
      <c r="D92" s="1" t="s">
        <v>424</v>
      </c>
      <c r="E92" s="1" t="s">
        <v>211</v>
      </c>
      <c r="F92" s="1" t="s">
        <v>11</v>
      </c>
      <c r="G92" s="1" t="s">
        <v>18</v>
      </c>
      <c r="H92" s="1" t="s">
        <v>413</v>
      </c>
      <c r="I92" s="1">
        <v>55.5</v>
      </c>
      <c r="J92" s="1">
        <v>2</v>
      </c>
      <c r="K92" s="1">
        <v>9.99</v>
      </c>
    </row>
    <row r="93" spans="1:11" ht="12.75" x14ac:dyDescent="0.2">
      <c r="A93" s="2">
        <v>41953</v>
      </c>
      <c r="B93" s="2" t="str">
        <f>TEXT(Table1[[#This Row],[Order Date]],"MMM")</f>
        <v>Nov</v>
      </c>
      <c r="C93" s="2" t="str">
        <f t="shared" si="1"/>
        <v>2014</v>
      </c>
      <c r="D93" s="1" t="s">
        <v>428</v>
      </c>
      <c r="E93" s="1" t="s">
        <v>101</v>
      </c>
      <c r="F93" s="1" t="s">
        <v>33</v>
      </c>
      <c r="G93" s="1" t="s">
        <v>44</v>
      </c>
      <c r="H93" s="1" t="s">
        <v>429</v>
      </c>
      <c r="I93" s="1">
        <v>310.88</v>
      </c>
      <c r="J93" s="1">
        <v>2</v>
      </c>
      <c r="K93" s="1">
        <v>23.32</v>
      </c>
    </row>
    <row r="94" spans="1:11" ht="12.75" x14ac:dyDescent="0.2">
      <c r="A94" s="2">
        <v>41954</v>
      </c>
      <c r="B94" s="2" t="str">
        <f>TEXT(Table1[[#This Row],[Order Date]],"MMM")</f>
        <v>Nov</v>
      </c>
      <c r="C94" s="2" t="str">
        <f t="shared" si="1"/>
        <v>2014</v>
      </c>
      <c r="D94" s="1" t="s">
        <v>431</v>
      </c>
      <c r="E94" s="1" t="s">
        <v>127</v>
      </c>
      <c r="F94" s="1" t="s">
        <v>11</v>
      </c>
      <c r="G94" s="1" t="s">
        <v>20</v>
      </c>
      <c r="H94" s="1" t="s">
        <v>132</v>
      </c>
      <c r="I94" s="1">
        <v>91.68</v>
      </c>
      <c r="J94" s="1">
        <v>3</v>
      </c>
      <c r="K94" s="1">
        <v>45.84</v>
      </c>
    </row>
    <row r="95" spans="1:11" ht="12.75" x14ac:dyDescent="0.2">
      <c r="A95" s="2">
        <v>41975</v>
      </c>
      <c r="B95" s="2" t="str">
        <f>TEXT(Table1[[#This Row],[Order Date]],"MMM")</f>
        <v>Dec</v>
      </c>
      <c r="C95" s="2" t="str">
        <f t="shared" si="1"/>
        <v>2014</v>
      </c>
      <c r="D95" s="1" t="s">
        <v>432</v>
      </c>
      <c r="E95" s="1" t="s">
        <v>68</v>
      </c>
      <c r="F95" s="1" t="s">
        <v>38</v>
      </c>
      <c r="G95" s="1" t="s">
        <v>39</v>
      </c>
      <c r="H95" s="1" t="s">
        <v>433</v>
      </c>
      <c r="I95" s="1">
        <v>779.8</v>
      </c>
      <c r="J95" s="1">
        <v>2</v>
      </c>
      <c r="K95" s="1">
        <v>-168.96</v>
      </c>
    </row>
    <row r="96" spans="1:11" ht="12.75" x14ac:dyDescent="0.2">
      <c r="A96" s="2">
        <v>41977</v>
      </c>
      <c r="B96" s="2" t="str">
        <f>TEXT(Table1[[#This Row],[Order Date]],"MMM")</f>
        <v>Dec</v>
      </c>
      <c r="C96" s="2" t="str">
        <f t="shared" si="1"/>
        <v>2014</v>
      </c>
      <c r="D96" s="1" t="s">
        <v>438</v>
      </c>
      <c r="E96" s="1" t="s">
        <v>94</v>
      </c>
      <c r="F96" s="1" t="s">
        <v>11</v>
      </c>
      <c r="G96" s="1" t="s">
        <v>20</v>
      </c>
      <c r="H96" s="1" t="s">
        <v>439</v>
      </c>
      <c r="I96" s="1">
        <v>57.42</v>
      </c>
      <c r="J96" s="1">
        <v>9</v>
      </c>
      <c r="K96" s="1">
        <v>26.41</v>
      </c>
    </row>
    <row r="97" spans="1:11" ht="12.75" x14ac:dyDescent="0.2">
      <c r="A97" s="2">
        <v>41980</v>
      </c>
      <c r="B97" s="2" t="str">
        <f>TEXT(Table1[[#This Row],[Order Date]],"MMM")</f>
        <v>Dec</v>
      </c>
      <c r="C97" s="2" t="str">
        <f t="shared" si="1"/>
        <v>2014</v>
      </c>
      <c r="D97" s="1" t="s">
        <v>441</v>
      </c>
      <c r="E97" s="1" t="s">
        <v>442</v>
      </c>
      <c r="F97" s="1" t="s">
        <v>11</v>
      </c>
      <c r="G97" s="1" t="s">
        <v>80</v>
      </c>
      <c r="H97" s="1" t="s">
        <v>443</v>
      </c>
      <c r="I97" s="1">
        <v>33.28</v>
      </c>
      <c r="J97" s="1">
        <v>4</v>
      </c>
      <c r="K97" s="1">
        <v>9.32</v>
      </c>
    </row>
    <row r="98" spans="1:11" ht="12.75" x14ac:dyDescent="0.2">
      <c r="A98" s="2">
        <v>41981</v>
      </c>
      <c r="B98" s="2" t="str">
        <f>TEXT(Table1[[#This Row],[Order Date]],"MMM")</f>
        <v>Dec</v>
      </c>
      <c r="C98" s="2" t="str">
        <f t="shared" si="1"/>
        <v>2014</v>
      </c>
      <c r="D98" s="1" t="s">
        <v>446</v>
      </c>
      <c r="E98" s="1" t="s">
        <v>51</v>
      </c>
      <c r="F98" s="1" t="s">
        <v>11</v>
      </c>
      <c r="G98" s="1" t="s">
        <v>20</v>
      </c>
      <c r="H98" s="1" t="s">
        <v>447</v>
      </c>
      <c r="I98" s="1">
        <v>2715.93</v>
      </c>
      <c r="J98" s="1">
        <v>7</v>
      </c>
      <c r="K98" s="1">
        <v>1276.49</v>
      </c>
    </row>
    <row r="99" spans="1:11" ht="12.75" x14ac:dyDescent="0.2">
      <c r="A99" s="2">
        <v>41982</v>
      </c>
      <c r="B99" s="2" t="str">
        <f>TEXT(Table1[[#This Row],[Order Date]],"MMM")</f>
        <v>Dec</v>
      </c>
      <c r="C99" s="2" t="str">
        <f t="shared" si="1"/>
        <v>2014</v>
      </c>
      <c r="D99" s="1" t="s">
        <v>452</v>
      </c>
      <c r="E99" s="1" t="s">
        <v>320</v>
      </c>
      <c r="F99" s="1" t="s">
        <v>38</v>
      </c>
      <c r="G99" s="1" t="s">
        <v>39</v>
      </c>
      <c r="H99" s="1" t="s">
        <v>453</v>
      </c>
      <c r="I99" s="1">
        <v>135.97999999999999</v>
      </c>
      <c r="J99" s="1">
        <v>2</v>
      </c>
      <c r="K99" s="1">
        <v>34</v>
      </c>
    </row>
    <row r="100" spans="1:11" ht="12.75" x14ac:dyDescent="0.2">
      <c r="A100" s="2">
        <v>41984</v>
      </c>
      <c r="B100" s="2" t="str">
        <f>TEXT(Table1[[#This Row],[Order Date]],"MMM")</f>
        <v>Dec</v>
      </c>
      <c r="C100" s="2" t="str">
        <f t="shared" si="1"/>
        <v>2014</v>
      </c>
      <c r="D100" s="1" t="s">
        <v>386</v>
      </c>
      <c r="E100" s="1" t="s">
        <v>23</v>
      </c>
      <c r="F100" s="1" t="s">
        <v>11</v>
      </c>
      <c r="G100" s="1" t="s">
        <v>20</v>
      </c>
      <c r="H100" s="1" t="s">
        <v>454</v>
      </c>
      <c r="I100" s="1">
        <v>3.28</v>
      </c>
      <c r="J100" s="1">
        <v>2</v>
      </c>
      <c r="K100" s="1">
        <v>-2.63</v>
      </c>
    </row>
    <row r="101" spans="1:11" ht="12.75" x14ac:dyDescent="0.2">
      <c r="A101" s="2">
        <v>41985</v>
      </c>
      <c r="B101" s="2" t="str">
        <f>TEXT(Table1[[#This Row],[Order Date]],"MMM")</f>
        <v>Dec</v>
      </c>
      <c r="C101" s="2" t="str">
        <f t="shared" si="1"/>
        <v>2014</v>
      </c>
      <c r="D101" s="1" t="s">
        <v>457</v>
      </c>
      <c r="E101" s="1" t="s">
        <v>344</v>
      </c>
      <c r="F101" s="1" t="s">
        <v>11</v>
      </c>
      <c r="G101" s="1" t="s">
        <v>12</v>
      </c>
      <c r="H101" s="1" t="s">
        <v>458</v>
      </c>
      <c r="I101" s="1">
        <v>116.28</v>
      </c>
      <c r="J101" s="1">
        <v>3</v>
      </c>
      <c r="K101" s="1">
        <v>56.98</v>
      </c>
    </row>
    <row r="102" spans="1:11" ht="12.75" x14ac:dyDescent="0.2">
      <c r="A102" s="2">
        <v>42007</v>
      </c>
      <c r="B102" s="2" t="str">
        <f>TEXT(Table1[[#This Row],[Order Date]],"MMM")</f>
        <v>Jan</v>
      </c>
      <c r="C102" s="2" t="str">
        <f t="shared" si="1"/>
        <v>2015</v>
      </c>
      <c r="D102" s="1" t="s">
        <v>459</v>
      </c>
      <c r="E102" s="1" t="s">
        <v>15</v>
      </c>
      <c r="F102" s="1" t="s">
        <v>11</v>
      </c>
      <c r="G102" s="1" t="s">
        <v>80</v>
      </c>
      <c r="H102" s="1" t="s">
        <v>460</v>
      </c>
      <c r="I102" s="1">
        <v>75.599999999999994</v>
      </c>
      <c r="J102" s="1">
        <v>2</v>
      </c>
      <c r="K102" s="1">
        <v>-166.32</v>
      </c>
    </row>
    <row r="103" spans="1:11" ht="12.75" x14ac:dyDescent="0.2">
      <c r="A103" s="2">
        <v>42009</v>
      </c>
      <c r="B103" s="2" t="str">
        <f>TEXT(Table1[[#This Row],[Order Date]],"MMM")</f>
        <v>Jan</v>
      </c>
      <c r="C103" s="2" t="str">
        <f t="shared" si="1"/>
        <v>2015</v>
      </c>
      <c r="D103" s="1" t="s">
        <v>465</v>
      </c>
      <c r="E103" s="1" t="s">
        <v>27</v>
      </c>
      <c r="F103" s="1" t="s">
        <v>33</v>
      </c>
      <c r="G103" s="1" t="s">
        <v>118</v>
      </c>
      <c r="H103" s="1" t="s">
        <v>466</v>
      </c>
      <c r="I103" s="1">
        <v>567.12</v>
      </c>
      <c r="J103" s="1">
        <v>10</v>
      </c>
      <c r="K103" s="1">
        <v>-28.36</v>
      </c>
    </row>
    <row r="104" spans="1:11" ht="12.75" x14ac:dyDescent="0.2">
      <c r="A104" s="2">
        <v>42010</v>
      </c>
      <c r="B104" s="2" t="str">
        <f>TEXT(Table1[[#This Row],[Order Date]],"MMM")</f>
        <v>Jan</v>
      </c>
      <c r="C104" s="2" t="str">
        <f t="shared" si="1"/>
        <v>2015</v>
      </c>
      <c r="D104" s="1" t="s">
        <v>469</v>
      </c>
      <c r="E104" s="1" t="s">
        <v>134</v>
      </c>
      <c r="F104" s="1" t="s">
        <v>38</v>
      </c>
      <c r="G104" s="1" t="s">
        <v>39</v>
      </c>
      <c r="H104" s="1" t="s">
        <v>470</v>
      </c>
      <c r="I104" s="1">
        <v>57.41</v>
      </c>
      <c r="J104" s="1">
        <v>6</v>
      </c>
      <c r="K104" s="1">
        <v>5.74</v>
      </c>
    </row>
    <row r="105" spans="1:11" ht="12.75" x14ac:dyDescent="0.2">
      <c r="A105" s="2">
        <v>42012</v>
      </c>
      <c r="B105" s="2" t="str">
        <f>TEXT(Table1[[#This Row],[Order Date]],"MMM")</f>
        <v>Jan</v>
      </c>
      <c r="C105" s="2" t="str">
        <f t="shared" si="1"/>
        <v>2015</v>
      </c>
      <c r="D105" s="1" t="s">
        <v>471</v>
      </c>
      <c r="E105" s="1" t="s">
        <v>51</v>
      </c>
      <c r="F105" s="1" t="s">
        <v>11</v>
      </c>
      <c r="G105" s="1" t="s">
        <v>12</v>
      </c>
      <c r="H105" s="1" t="s">
        <v>472</v>
      </c>
      <c r="I105" s="1">
        <v>13.62</v>
      </c>
      <c r="J105" s="1">
        <v>3</v>
      </c>
      <c r="K105" s="1">
        <v>6.13</v>
      </c>
    </row>
    <row r="106" spans="1:11" ht="12.75" x14ac:dyDescent="0.2">
      <c r="A106" s="2">
        <v>42013</v>
      </c>
      <c r="B106" s="2" t="str">
        <f>TEXT(Table1[[#This Row],[Order Date]],"MMM")</f>
        <v>Jan</v>
      </c>
      <c r="C106" s="2" t="str">
        <f t="shared" si="1"/>
        <v>2015</v>
      </c>
      <c r="D106" s="1" t="s">
        <v>475</v>
      </c>
      <c r="E106" s="1" t="s">
        <v>227</v>
      </c>
      <c r="F106" s="1" t="s">
        <v>38</v>
      </c>
      <c r="G106" s="1" t="s">
        <v>39</v>
      </c>
      <c r="H106" s="1" t="s">
        <v>476</v>
      </c>
      <c r="I106" s="1">
        <v>659.97</v>
      </c>
      <c r="J106" s="1">
        <v>3</v>
      </c>
      <c r="K106" s="1">
        <v>197.99</v>
      </c>
    </row>
    <row r="107" spans="1:11" ht="12.75" x14ac:dyDescent="0.2">
      <c r="A107" s="2">
        <v>42014</v>
      </c>
      <c r="B107" s="2" t="str">
        <f>TEXT(Table1[[#This Row],[Order Date]],"MMM")</f>
        <v>Jan</v>
      </c>
      <c r="C107" s="2" t="str">
        <f t="shared" si="1"/>
        <v>2015</v>
      </c>
      <c r="D107" s="1" t="s">
        <v>209</v>
      </c>
      <c r="E107" s="1" t="s">
        <v>211</v>
      </c>
      <c r="F107" s="1" t="s">
        <v>11</v>
      </c>
      <c r="G107" s="1" t="s">
        <v>20</v>
      </c>
      <c r="H107" s="1" t="s">
        <v>483</v>
      </c>
      <c r="I107" s="1">
        <v>59.81</v>
      </c>
      <c r="J107" s="1">
        <v>3</v>
      </c>
      <c r="K107" s="1">
        <v>19.440000000000001</v>
      </c>
    </row>
    <row r="108" spans="1:11" ht="12.75" x14ac:dyDescent="0.2">
      <c r="A108" s="2">
        <v>42016</v>
      </c>
      <c r="B108" s="2" t="str">
        <f>TEXT(Table1[[#This Row],[Order Date]],"MMM")</f>
        <v>Jan</v>
      </c>
      <c r="C108" s="2" t="str">
        <f t="shared" si="1"/>
        <v>2015</v>
      </c>
      <c r="D108" s="1" t="s">
        <v>484</v>
      </c>
      <c r="E108" s="1" t="s">
        <v>134</v>
      </c>
      <c r="F108" s="1" t="s">
        <v>33</v>
      </c>
      <c r="G108" s="1" t="s">
        <v>118</v>
      </c>
      <c r="H108" s="1" t="s">
        <v>313</v>
      </c>
      <c r="I108" s="1">
        <v>515.88</v>
      </c>
      <c r="J108" s="1">
        <v>6</v>
      </c>
      <c r="K108" s="1">
        <v>113.49</v>
      </c>
    </row>
    <row r="109" spans="1:11" ht="12.75" x14ac:dyDescent="0.2">
      <c r="A109" s="2">
        <v>42036</v>
      </c>
      <c r="B109" s="2" t="str">
        <f>TEXT(Table1[[#This Row],[Order Date]],"MMM")</f>
        <v>Feb</v>
      </c>
      <c r="C109" s="2" t="str">
        <f t="shared" si="1"/>
        <v>2015</v>
      </c>
      <c r="D109" s="1" t="s">
        <v>274</v>
      </c>
      <c r="E109" s="1" t="s">
        <v>68</v>
      </c>
      <c r="F109" s="1" t="s">
        <v>11</v>
      </c>
      <c r="G109" s="1" t="s">
        <v>12</v>
      </c>
      <c r="H109" s="1" t="s">
        <v>402</v>
      </c>
      <c r="I109" s="1">
        <v>16.22</v>
      </c>
      <c r="J109" s="1">
        <v>2</v>
      </c>
      <c r="K109" s="1">
        <v>5.88</v>
      </c>
    </row>
    <row r="110" spans="1:11" ht="12.75" x14ac:dyDescent="0.2">
      <c r="A110" s="2">
        <v>42038</v>
      </c>
      <c r="B110" s="2" t="str">
        <f>TEXT(Table1[[#This Row],[Order Date]],"MMM")</f>
        <v>Feb</v>
      </c>
      <c r="C110" s="2" t="str">
        <f t="shared" si="1"/>
        <v>2015</v>
      </c>
      <c r="D110" s="1" t="s">
        <v>488</v>
      </c>
      <c r="E110" s="1" t="s">
        <v>120</v>
      </c>
      <c r="F110" s="1" t="s">
        <v>11</v>
      </c>
      <c r="G110" s="1" t="s">
        <v>24</v>
      </c>
      <c r="H110" s="1" t="s">
        <v>489</v>
      </c>
      <c r="I110" s="1">
        <v>13.36</v>
      </c>
      <c r="J110" s="1">
        <v>2</v>
      </c>
      <c r="K110" s="1">
        <v>4.9400000000000004</v>
      </c>
    </row>
    <row r="111" spans="1:11" ht="12.75" x14ac:dyDescent="0.2">
      <c r="A111" s="2">
        <v>42039</v>
      </c>
      <c r="B111" s="2" t="str">
        <f>TEXT(Table1[[#This Row],[Order Date]],"MMM")</f>
        <v>Feb</v>
      </c>
      <c r="C111" s="2" t="str">
        <f t="shared" si="1"/>
        <v>2015</v>
      </c>
      <c r="D111" s="1" t="s">
        <v>492</v>
      </c>
      <c r="E111" s="1" t="s">
        <v>15</v>
      </c>
      <c r="F111" s="1" t="s">
        <v>11</v>
      </c>
      <c r="G111" s="1" t="s">
        <v>20</v>
      </c>
      <c r="H111" s="1" t="s">
        <v>491</v>
      </c>
      <c r="I111" s="1">
        <v>12.46</v>
      </c>
      <c r="J111" s="1">
        <v>3</v>
      </c>
      <c r="K111" s="1">
        <v>-20.56</v>
      </c>
    </row>
    <row r="112" spans="1:11" ht="12.75" x14ac:dyDescent="0.2">
      <c r="A112" s="2">
        <v>42040</v>
      </c>
      <c r="B112" s="2" t="str">
        <f>TEXT(Table1[[#This Row],[Order Date]],"MMM")</f>
        <v>Feb</v>
      </c>
      <c r="C112" s="2" t="str">
        <f t="shared" si="1"/>
        <v>2015</v>
      </c>
      <c r="D112" s="1" t="s">
        <v>493</v>
      </c>
      <c r="E112" s="1" t="s">
        <v>134</v>
      </c>
      <c r="F112" s="1" t="s">
        <v>33</v>
      </c>
      <c r="G112" s="1" t="s">
        <v>34</v>
      </c>
      <c r="H112" s="1" t="s">
        <v>494</v>
      </c>
      <c r="I112" s="1">
        <v>585.54999999999995</v>
      </c>
      <c r="J112" s="1">
        <v>3</v>
      </c>
      <c r="K112" s="1">
        <v>73.19</v>
      </c>
    </row>
    <row r="113" spans="1:11" ht="12.75" x14ac:dyDescent="0.2">
      <c r="A113" s="2">
        <v>42042</v>
      </c>
      <c r="B113" s="2" t="str">
        <f>TEXT(Table1[[#This Row],[Order Date]],"MMM")</f>
        <v>Feb</v>
      </c>
      <c r="C113" s="2" t="str">
        <f t="shared" si="1"/>
        <v>2015</v>
      </c>
      <c r="D113" s="1" t="s">
        <v>498</v>
      </c>
      <c r="E113" s="1" t="s">
        <v>27</v>
      </c>
      <c r="F113" s="1" t="s">
        <v>33</v>
      </c>
      <c r="G113" s="1" t="s">
        <v>44</v>
      </c>
      <c r="H113" s="1" t="s">
        <v>499</v>
      </c>
      <c r="I113" s="1">
        <v>48.86</v>
      </c>
      <c r="J113" s="1">
        <v>7</v>
      </c>
      <c r="K113" s="1">
        <v>14.17</v>
      </c>
    </row>
    <row r="114" spans="1:11" ht="12.75" x14ac:dyDescent="0.2">
      <c r="A114" s="2">
        <v>42043</v>
      </c>
      <c r="B114" s="2" t="str">
        <f>TEXT(Table1[[#This Row],[Order Date]],"MMM")</f>
        <v>Feb</v>
      </c>
      <c r="C114" s="2" t="str">
        <f t="shared" si="1"/>
        <v>2015</v>
      </c>
      <c r="D114" s="1" t="s">
        <v>506</v>
      </c>
      <c r="E114" s="1" t="s">
        <v>94</v>
      </c>
      <c r="F114" s="1" t="s">
        <v>11</v>
      </c>
      <c r="G114" s="1" t="s">
        <v>16</v>
      </c>
      <c r="H114" s="1" t="s">
        <v>507</v>
      </c>
      <c r="I114" s="1">
        <v>491.55</v>
      </c>
      <c r="J114" s="1">
        <v>5</v>
      </c>
      <c r="K114" s="1">
        <v>240.86</v>
      </c>
    </row>
    <row r="115" spans="1:11" ht="12.75" x14ac:dyDescent="0.2">
      <c r="A115" s="2">
        <v>42045</v>
      </c>
      <c r="B115" s="2" t="str">
        <f>TEXT(Table1[[#This Row],[Order Date]],"MMM")</f>
        <v>Feb</v>
      </c>
      <c r="C115" s="2" t="str">
        <f t="shared" si="1"/>
        <v>2015</v>
      </c>
      <c r="D115" s="1" t="s">
        <v>508</v>
      </c>
      <c r="E115" s="1" t="s">
        <v>94</v>
      </c>
      <c r="F115" s="1" t="s">
        <v>33</v>
      </c>
      <c r="G115" s="1" t="s">
        <v>65</v>
      </c>
      <c r="H115" s="1" t="s">
        <v>509</v>
      </c>
      <c r="I115" s="1">
        <v>212.94</v>
      </c>
      <c r="J115" s="1">
        <v>3</v>
      </c>
      <c r="K115" s="1">
        <v>57.49</v>
      </c>
    </row>
    <row r="116" spans="1:11" ht="12.75" x14ac:dyDescent="0.2">
      <c r="A116" s="2">
        <v>42046</v>
      </c>
      <c r="B116" s="2" t="str">
        <f>TEXT(Table1[[#This Row],[Order Date]],"MMM")</f>
        <v>Feb</v>
      </c>
      <c r="C116" s="2" t="str">
        <f t="shared" si="1"/>
        <v>2015</v>
      </c>
      <c r="D116" s="1" t="s">
        <v>510</v>
      </c>
      <c r="E116" s="1" t="s">
        <v>10</v>
      </c>
      <c r="F116" s="1" t="s">
        <v>33</v>
      </c>
      <c r="G116" s="1" t="s">
        <v>118</v>
      </c>
      <c r="H116" s="1" t="s">
        <v>511</v>
      </c>
      <c r="I116" s="1">
        <v>99.92</v>
      </c>
      <c r="J116" s="1">
        <v>2</v>
      </c>
      <c r="K116" s="1">
        <v>-18.559999999999999</v>
      </c>
    </row>
    <row r="117" spans="1:11" ht="12.75" x14ac:dyDescent="0.2">
      <c r="A117" s="2">
        <v>42065</v>
      </c>
      <c r="B117" s="2" t="str">
        <f>TEXT(Table1[[#This Row],[Order Date]],"MMM")</f>
        <v>Mar</v>
      </c>
      <c r="C117" s="2" t="str">
        <f t="shared" si="1"/>
        <v>2015</v>
      </c>
      <c r="D117" s="1" t="s">
        <v>512</v>
      </c>
      <c r="E117" s="1" t="s">
        <v>54</v>
      </c>
      <c r="F117" s="1" t="s">
        <v>38</v>
      </c>
      <c r="G117" s="1" t="s">
        <v>214</v>
      </c>
      <c r="H117" s="1" t="s">
        <v>513</v>
      </c>
      <c r="I117" s="1">
        <v>65.97</v>
      </c>
      <c r="J117" s="1">
        <v>3</v>
      </c>
      <c r="K117" s="1">
        <v>31.01</v>
      </c>
    </row>
    <row r="118" spans="1:11" ht="12.75" x14ac:dyDescent="0.2">
      <c r="A118" s="2">
        <v>42070</v>
      </c>
      <c r="B118" s="2" t="str">
        <f>TEXT(Table1[[#This Row],[Order Date]],"MMM")</f>
        <v>Mar</v>
      </c>
      <c r="C118" s="2" t="str">
        <f t="shared" si="1"/>
        <v>2015</v>
      </c>
      <c r="D118" s="1" t="s">
        <v>514</v>
      </c>
      <c r="E118" s="1" t="s">
        <v>27</v>
      </c>
      <c r="F118" s="1" t="s">
        <v>38</v>
      </c>
      <c r="G118" s="1" t="s">
        <v>39</v>
      </c>
      <c r="H118" s="1" t="s">
        <v>515</v>
      </c>
      <c r="I118" s="1">
        <v>139.80000000000001</v>
      </c>
      <c r="J118" s="1">
        <v>5</v>
      </c>
      <c r="K118" s="1">
        <v>12.23</v>
      </c>
    </row>
    <row r="119" spans="1:11" ht="12.75" x14ac:dyDescent="0.2">
      <c r="A119" s="2">
        <v>42072</v>
      </c>
      <c r="B119" s="2" t="str">
        <f>TEXT(Table1[[#This Row],[Order Date]],"MMM")</f>
        <v>Mar</v>
      </c>
      <c r="C119" s="2" t="str">
        <f t="shared" si="1"/>
        <v>2015</v>
      </c>
      <c r="D119" s="1" t="s">
        <v>189</v>
      </c>
      <c r="E119" s="1" t="s">
        <v>10</v>
      </c>
      <c r="F119" s="1" t="s">
        <v>38</v>
      </c>
      <c r="G119" s="1" t="s">
        <v>39</v>
      </c>
      <c r="H119" s="1" t="s">
        <v>516</v>
      </c>
      <c r="I119" s="1">
        <v>201.58</v>
      </c>
      <c r="J119" s="1">
        <v>2</v>
      </c>
      <c r="K119" s="1">
        <v>20.16</v>
      </c>
    </row>
    <row r="120" spans="1:11" ht="12.75" x14ac:dyDescent="0.2">
      <c r="A120" s="2">
        <v>42074</v>
      </c>
      <c r="B120" s="2" t="str">
        <f>TEXT(Table1[[#This Row],[Order Date]],"MMM")</f>
        <v>Mar</v>
      </c>
      <c r="C120" s="2" t="str">
        <f t="shared" si="1"/>
        <v>2015</v>
      </c>
      <c r="D120" s="1" t="s">
        <v>426</v>
      </c>
      <c r="E120" s="1" t="s">
        <v>51</v>
      </c>
      <c r="F120" s="1" t="s">
        <v>33</v>
      </c>
      <c r="G120" s="1" t="s">
        <v>44</v>
      </c>
      <c r="H120" s="1" t="s">
        <v>519</v>
      </c>
      <c r="I120" s="1">
        <v>104.01</v>
      </c>
      <c r="J120" s="1">
        <v>1</v>
      </c>
      <c r="K120" s="1">
        <v>14.56</v>
      </c>
    </row>
    <row r="121" spans="1:11" ht="12.75" x14ac:dyDescent="0.2">
      <c r="A121" s="2">
        <v>42075</v>
      </c>
      <c r="B121" s="2" t="str">
        <f>TEXT(Table1[[#This Row],[Order Date]],"MMM")</f>
        <v>Mar</v>
      </c>
      <c r="C121" s="2" t="str">
        <f t="shared" si="1"/>
        <v>2015</v>
      </c>
      <c r="D121" s="1" t="s">
        <v>524</v>
      </c>
      <c r="E121" s="1" t="s">
        <v>200</v>
      </c>
      <c r="F121" s="1" t="s">
        <v>38</v>
      </c>
      <c r="G121" s="1" t="s">
        <v>48</v>
      </c>
      <c r="H121" s="1" t="s">
        <v>525</v>
      </c>
      <c r="I121" s="1">
        <v>196.75</v>
      </c>
      <c r="J121" s="1">
        <v>6</v>
      </c>
      <c r="K121" s="1">
        <v>56.57</v>
      </c>
    </row>
    <row r="122" spans="1:11" ht="12.75" x14ac:dyDescent="0.2">
      <c r="A122" s="2">
        <v>42099</v>
      </c>
      <c r="B122" s="2" t="str">
        <f>TEXT(Table1[[#This Row],[Order Date]],"MMM")</f>
        <v>Apr</v>
      </c>
      <c r="C122" s="2" t="str">
        <f t="shared" si="1"/>
        <v>2015</v>
      </c>
      <c r="D122" s="1" t="s">
        <v>532</v>
      </c>
      <c r="E122" s="1" t="s">
        <v>23</v>
      </c>
      <c r="F122" s="1" t="s">
        <v>38</v>
      </c>
      <c r="G122" s="1" t="s">
        <v>48</v>
      </c>
      <c r="H122" s="1" t="s">
        <v>533</v>
      </c>
      <c r="I122" s="1">
        <v>86.38</v>
      </c>
      <c r="J122" s="1">
        <v>3</v>
      </c>
      <c r="K122" s="1">
        <v>1.08</v>
      </c>
    </row>
    <row r="123" spans="1:11" ht="12.75" x14ac:dyDescent="0.2">
      <c r="A123" s="2">
        <v>42101</v>
      </c>
      <c r="B123" s="2" t="str">
        <f>TEXT(Table1[[#This Row],[Order Date]],"MMM")</f>
        <v>Apr</v>
      </c>
      <c r="C123" s="2" t="str">
        <f t="shared" si="1"/>
        <v>2015</v>
      </c>
      <c r="D123" s="1" t="s">
        <v>535</v>
      </c>
      <c r="E123" s="1" t="s">
        <v>83</v>
      </c>
      <c r="F123" s="1" t="s">
        <v>33</v>
      </c>
      <c r="G123" s="1" t="s">
        <v>44</v>
      </c>
      <c r="H123" s="1" t="s">
        <v>536</v>
      </c>
      <c r="I123" s="1">
        <v>4.2699999999999996</v>
      </c>
      <c r="J123" s="1">
        <v>2</v>
      </c>
      <c r="K123" s="1">
        <v>0.96</v>
      </c>
    </row>
    <row r="124" spans="1:11" ht="12.75" x14ac:dyDescent="0.2">
      <c r="A124" s="2">
        <v>42103</v>
      </c>
      <c r="B124" s="2" t="str">
        <f>TEXT(Table1[[#This Row],[Order Date]],"MMM")</f>
        <v>Apr</v>
      </c>
      <c r="C124" s="2" t="str">
        <f t="shared" si="1"/>
        <v>2015</v>
      </c>
      <c r="D124" s="1" t="s">
        <v>537</v>
      </c>
      <c r="E124" s="1" t="s">
        <v>27</v>
      </c>
      <c r="F124" s="1" t="s">
        <v>33</v>
      </c>
      <c r="G124" s="1" t="s">
        <v>118</v>
      </c>
      <c r="H124" s="1" t="s">
        <v>538</v>
      </c>
      <c r="I124" s="1">
        <v>447.84</v>
      </c>
      <c r="J124" s="1">
        <v>5</v>
      </c>
      <c r="K124" s="1">
        <v>11.2</v>
      </c>
    </row>
    <row r="125" spans="1:11" ht="12.75" x14ac:dyDescent="0.2">
      <c r="A125" s="2">
        <v>42104</v>
      </c>
      <c r="B125" s="2" t="str">
        <f>TEXT(Table1[[#This Row],[Order Date]],"MMM")</f>
        <v>Apr</v>
      </c>
      <c r="C125" s="2" t="str">
        <f t="shared" si="1"/>
        <v>2015</v>
      </c>
      <c r="D125" s="1" t="s">
        <v>540</v>
      </c>
      <c r="E125" s="1" t="s">
        <v>227</v>
      </c>
      <c r="F125" s="1" t="s">
        <v>11</v>
      </c>
      <c r="G125" s="1" t="s">
        <v>18</v>
      </c>
      <c r="H125" s="1" t="s">
        <v>110</v>
      </c>
      <c r="I125" s="1">
        <v>306.2</v>
      </c>
      <c r="J125" s="1">
        <v>5</v>
      </c>
      <c r="K125" s="1">
        <v>0</v>
      </c>
    </row>
    <row r="126" spans="1:11" ht="12.75" x14ac:dyDescent="0.2">
      <c r="A126" s="2">
        <v>42106</v>
      </c>
      <c r="B126" s="2" t="str">
        <f>TEXT(Table1[[#This Row],[Order Date]],"MMM")</f>
        <v>Apr</v>
      </c>
      <c r="C126" s="2" t="str">
        <f t="shared" si="1"/>
        <v>2015</v>
      </c>
      <c r="D126" s="1" t="s">
        <v>541</v>
      </c>
      <c r="E126" s="1" t="s">
        <v>23</v>
      </c>
      <c r="F126" s="1" t="s">
        <v>11</v>
      </c>
      <c r="G126" s="1" t="s">
        <v>12</v>
      </c>
      <c r="H126" s="1" t="s">
        <v>542</v>
      </c>
      <c r="I126" s="1">
        <v>41.47</v>
      </c>
      <c r="J126" s="1">
        <v>8</v>
      </c>
      <c r="K126" s="1">
        <v>14.52</v>
      </c>
    </row>
    <row r="127" spans="1:11" ht="12.75" x14ac:dyDescent="0.2">
      <c r="A127" s="2">
        <v>42125</v>
      </c>
      <c r="B127" s="2" t="str">
        <f>TEXT(Table1[[#This Row],[Order Date]],"MMM")</f>
        <v>May</v>
      </c>
      <c r="C127" s="2" t="str">
        <f t="shared" si="1"/>
        <v>2015</v>
      </c>
      <c r="D127" s="1" t="s">
        <v>543</v>
      </c>
      <c r="E127" s="1" t="s">
        <v>68</v>
      </c>
      <c r="F127" s="1" t="s">
        <v>11</v>
      </c>
      <c r="G127" s="1" t="s">
        <v>24</v>
      </c>
      <c r="H127" s="1" t="s">
        <v>544</v>
      </c>
      <c r="I127" s="1">
        <v>32.76</v>
      </c>
      <c r="J127" s="1">
        <v>7</v>
      </c>
      <c r="K127" s="1">
        <v>3.69</v>
      </c>
    </row>
    <row r="128" spans="1:11" ht="12.75" x14ac:dyDescent="0.2">
      <c r="A128" s="2">
        <v>42128</v>
      </c>
      <c r="B128" s="2" t="str">
        <f>TEXT(Table1[[#This Row],[Order Date]],"MMM")</f>
        <v>May</v>
      </c>
      <c r="C128" s="2" t="str">
        <f t="shared" si="1"/>
        <v>2015</v>
      </c>
      <c r="D128" s="1" t="s">
        <v>545</v>
      </c>
      <c r="E128" s="1" t="s">
        <v>120</v>
      </c>
      <c r="F128" s="1" t="s">
        <v>11</v>
      </c>
      <c r="G128" s="1" t="s">
        <v>20</v>
      </c>
      <c r="H128" s="1" t="s">
        <v>546</v>
      </c>
      <c r="I128" s="1">
        <v>334.77</v>
      </c>
      <c r="J128" s="1">
        <v>7</v>
      </c>
      <c r="K128" s="1">
        <v>108.8</v>
      </c>
    </row>
    <row r="129" spans="1:11" ht="12.75" x14ac:dyDescent="0.2">
      <c r="A129" s="2">
        <v>42130</v>
      </c>
      <c r="B129" s="2" t="str">
        <f>TEXT(Table1[[#This Row],[Order Date]],"MMM")</f>
        <v>May</v>
      </c>
      <c r="C129" s="2" t="str">
        <f t="shared" si="1"/>
        <v>2015</v>
      </c>
      <c r="D129" s="1" t="s">
        <v>272</v>
      </c>
      <c r="E129" s="1" t="s">
        <v>134</v>
      </c>
      <c r="F129" s="1" t="s">
        <v>11</v>
      </c>
      <c r="G129" s="1" t="s">
        <v>20</v>
      </c>
      <c r="H129" s="1" t="s">
        <v>550</v>
      </c>
      <c r="I129" s="1">
        <v>19.920000000000002</v>
      </c>
      <c r="J129" s="1">
        <v>5</v>
      </c>
      <c r="K129" s="1">
        <v>6.97</v>
      </c>
    </row>
    <row r="130" spans="1:11" ht="12.75" x14ac:dyDescent="0.2">
      <c r="A130" s="2">
        <v>42132</v>
      </c>
      <c r="B130" s="2" t="str">
        <f>TEXT(Table1[[#This Row],[Order Date]],"MMM")</f>
        <v>May</v>
      </c>
      <c r="C130" s="2" t="str">
        <f t="shared" ref="C130:C193" si="2">TEXT(A130,"YYY")</f>
        <v>2015</v>
      </c>
      <c r="D130" s="1" t="s">
        <v>553</v>
      </c>
      <c r="E130" s="1" t="s">
        <v>142</v>
      </c>
      <c r="F130" s="1" t="s">
        <v>38</v>
      </c>
      <c r="G130" s="1" t="s">
        <v>39</v>
      </c>
      <c r="H130" s="1" t="s">
        <v>554</v>
      </c>
      <c r="I130" s="1">
        <v>73.98</v>
      </c>
      <c r="J130" s="1">
        <v>2</v>
      </c>
      <c r="K130" s="1">
        <v>19.97</v>
      </c>
    </row>
    <row r="131" spans="1:11" ht="12.75" x14ac:dyDescent="0.2">
      <c r="A131" s="2">
        <v>42133</v>
      </c>
      <c r="B131" s="2" t="str">
        <f>TEXT(Table1[[#This Row],[Order Date]],"MMM")</f>
        <v>May</v>
      </c>
      <c r="C131" s="2" t="str">
        <f t="shared" si="2"/>
        <v>2015</v>
      </c>
      <c r="D131" s="1" t="s">
        <v>294</v>
      </c>
      <c r="E131" s="1" t="s">
        <v>200</v>
      </c>
      <c r="F131" s="1" t="s">
        <v>11</v>
      </c>
      <c r="G131" s="1" t="s">
        <v>12</v>
      </c>
      <c r="H131" s="1" t="s">
        <v>318</v>
      </c>
      <c r="I131" s="1">
        <v>177.54</v>
      </c>
      <c r="J131" s="1">
        <v>4</v>
      </c>
      <c r="K131" s="1">
        <v>62.14</v>
      </c>
    </row>
    <row r="132" spans="1:11" ht="12.75" x14ac:dyDescent="0.2">
      <c r="A132" s="2">
        <v>42134</v>
      </c>
      <c r="B132" s="2" t="str">
        <f>TEXT(Table1[[#This Row],[Order Date]],"MMM")</f>
        <v>May</v>
      </c>
      <c r="C132" s="2" t="str">
        <f t="shared" si="2"/>
        <v>2015</v>
      </c>
      <c r="D132" s="1" t="s">
        <v>556</v>
      </c>
      <c r="E132" s="1" t="s">
        <v>227</v>
      </c>
      <c r="F132" s="1" t="s">
        <v>38</v>
      </c>
      <c r="G132" s="1" t="s">
        <v>48</v>
      </c>
      <c r="H132" s="1" t="s">
        <v>557</v>
      </c>
      <c r="I132" s="1">
        <v>479.97</v>
      </c>
      <c r="J132" s="1">
        <v>3</v>
      </c>
      <c r="K132" s="1">
        <v>163.19</v>
      </c>
    </row>
    <row r="133" spans="1:11" ht="12.75" x14ac:dyDescent="0.2">
      <c r="A133" s="2">
        <v>42135</v>
      </c>
      <c r="B133" s="2" t="str">
        <f>TEXT(Table1[[#This Row],[Order Date]],"MMM")</f>
        <v>May</v>
      </c>
      <c r="C133" s="2" t="str">
        <f t="shared" si="2"/>
        <v>2015</v>
      </c>
      <c r="D133" s="1" t="s">
        <v>563</v>
      </c>
      <c r="E133" s="1" t="s">
        <v>120</v>
      </c>
      <c r="F133" s="1" t="s">
        <v>38</v>
      </c>
      <c r="G133" s="1" t="s">
        <v>388</v>
      </c>
      <c r="H133" s="1" t="s">
        <v>564</v>
      </c>
      <c r="I133" s="1">
        <v>559.99</v>
      </c>
      <c r="J133" s="1">
        <v>1</v>
      </c>
      <c r="K133" s="1">
        <v>175</v>
      </c>
    </row>
    <row r="134" spans="1:11" ht="12.75" x14ac:dyDescent="0.2">
      <c r="A134" s="2">
        <v>42158</v>
      </c>
      <c r="B134" s="2" t="str">
        <f>TEXT(Table1[[#This Row],[Order Date]],"MMM")</f>
        <v>Jun</v>
      </c>
      <c r="C134" s="2" t="str">
        <f t="shared" si="2"/>
        <v>2015</v>
      </c>
      <c r="D134" s="1" t="s">
        <v>349</v>
      </c>
      <c r="E134" s="1" t="s">
        <v>23</v>
      </c>
      <c r="F134" s="1" t="s">
        <v>33</v>
      </c>
      <c r="G134" s="1" t="s">
        <v>34</v>
      </c>
      <c r="H134" s="1" t="s">
        <v>565</v>
      </c>
      <c r="I134" s="1">
        <v>172.19</v>
      </c>
      <c r="J134" s="1">
        <v>2</v>
      </c>
      <c r="K134" s="1">
        <v>-46.74</v>
      </c>
    </row>
    <row r="135" spans="1:11" ht="12.75" x14ac:dyDescent="0.2">
      <c r="A135" s="2">
        <v>42162</v>
      </c>
      <c r="B135" s="2" t="str">
        <f>TEXT(Table1[[#This Row],[Order Date]],"MMM")</f>
        <v>Jun</v>
      </c>
      <c r="C135" s="2" t="str">
        <f t="shared" si="2"/>
        <v>2015</v>
      </c>
      <c r="D135" s="1" t="s">
        <v>566</v>
      </c>
      <c r="E135" s="1" t="s">
        <v>120</v>
      </c>
      <c r="F135" s="1" t="s">
        <v>33</v>
      </c>
      <c r="G135" s="1" t="s">
        <v>34</v>
      </c>
      <c r="H135" s="1" t="s">
        <v>495</v>
      </c>
      <c r="I135" s="1">
        <v>63.88</v>
      </c>
      <c r="J135" s="1">
        <v>1</v>
      </c>
      <c r="K135" s="1">
        <v>10.65</v>
      </c>
    </row>
    <row r="136" spans="1:11" ht="12.75" x14ac:dyDescent="0.2">
      <c r="A136" s="2">
        <v>42163</v>
      </c>
      <c r="B136" s="2" t="str">
        <f>TEXT(Table1[[#This Row],[Order Date]],"MMM")</f>
        <v>Jun</v>
      </c>
      <c r="C136" s="2" t="str">
        <f t="shared" si="2"/>
        <v>2015</v>
      </c>
      <c r="D136" s="1" t="s">
        <v>579</v>
      </c>
      <c r="E136" s="1" t="s">
        <v>27</v>
      </c>
      <c r="F136" s="1" t="s">
        <v>11</v>
      </c>
      <c r="G136" s="1" t="s">
        <v>20</v>
      </c>
      <c r="H136" s="1" t="s">
        <v>580</v>
      </c>
      <c r="I136" s="1">
        <v>7.71</v>
      </c>
      <c r="J136" s="1">
        <v>2</v>
      </c>
      <c r="K136" s="1">
        <v>2.8</v>
      </c>
    </row>
    <row r="137" spans="1:11" ht="12.75" x14ac:dyDescent="0.2">
      <c r="A137" s="2">
        <v>42187</v>
      </c>
      <c r="B137" s="2" t="str">
        <f>TEXT(Table1[[#This Row],[Order Date]],"MMM")</f>
        <v>Jul</v>
      </c>
      <c r="C137" s="2" t="str">
        <f t="shared" si="2"/>
        <v>2015</v>
      </c>
      <c r="D137" s="1" t="s">
        <v>539</v>
      </c>
      <c r="E137" s="1" t="s">
        <v>27</v>
      </c>
      <c r="F137" s="1" t="s">
        <v>33</v>
      </c>
      <c r="G137" s="1" t="s">
        <v>118</v>
      </c>
      <c r="H137" s="1" t="s">
        <v>585</v>
      </c>
      <c r="I137" s="1">
        <v>351.22</v>
      </c>
      <c r="J137" s="1">
        <v>3</v>
      </c>
      <c r="K137" s="1">
        <v>4.3899999999999997</v>
      </c>
    </row>
    <row r="138" spans="1:11" ht="12.75" x14ac:dyDescent="0.2">
      <c r="A138" s="2">
        <v>42188</v>
      </c>
      <c r="B138" s="2" t="str">
        <f>TEXT(Table1[[#This Row],[Order Date]],"MMM")</f>
        <v>Jul</v>
      </c>
      <c r="C138" s="2" t="str">
        <f t="shared" si="2"/>
        <v>2015</v>
      </c>
      <c r="D138" s="1" t="s">
        <v>586</v>
      </c>
      <c r="E138" s="1" t="s">
        <v>15</v>
      </c>
      <c r="F138" s="1" t="s">
        <v>11</v>
      </c>
      <c r="G138" s="1" t="s">
        <v>20</v>
      </c>
      <c r="H138" s="1" t="s">
        <v>587</v>
      </c>
      <c r="I138" s="1">
        <v>29.93</v>
      </c>
      <c r="J138" s="1">
        <v>7</v>
      </c>
      <c r="K138" s="1">
        <v>-46.39</v>
      </c>
    </row>
    <row r="139" spans="1:11" ht="12.75" x14ac:dyDescent="0.2">
      <c r="A139" s="2">
        <v>42189</v>
      </c>
      <c r="B139" s="2" t="str">
        <f>TEXT(Table1[[#This Row],[Order Date]],"MMM")</f>
        <v>Jul</v>
      </c>
      <c r="C139" s="2" t="str">
        <f t="shared" si="2"/>
        <v>2015</v>
      </c>
      <c r="D139" s="1" t="s">
        <v>422</v>
      </c>
      <c r="E139" s="1" t="s">
        <v>113</v>
      </c>
      <c r="F139" s="1" t="s">
        <v>38</v>
      </c>
      <c r="G139" s="1" t="s">
        <v>48</v>
      </c>
      <c r="H139" s="1" t="s">
        <v>591</v>
      </c>
      <c r="I139" s="1">
        <v>2.97</v>
      </c>
      <c r="J139" s="1">
        <v>3</v>
      </c>
      <c r="K139" s="1">
        <v>1.31</v>
      </c>
    </row>
    <row r="140" spans="1:11" ht="12.75" x14ac:dyDescent="0.2">
      <c r="A140" s="2">
        <v>42190</v>
      </c>
      <c r="B140" s="2" t="str">
        <f>TEXT(Table1[[#This Row],[Order Date]],"MMM")</f>
        <v>Jul</v>
      </c>
      <c r="C140" s="2" t="str">
        <f t="shared" si="2"/>
        <v>2015</v>
      </c>
      <c r="D140" s="1" t="s">
        <v>593</v>
      </c>
      <c r="E140" s="1" t="s">
        <v>83</v>
      </c>
      <c r="F140" s="1" t="s">
        <v>33</v>
      </c>
      <c r="G140" s="1" t="s">
        <v>34</v>
      </c>
      <c r="H140" s="1" t="s">
        <v>594</v>
      </c>
      <c r="I140" s="1">
        <v>259.14</v>
      </c>
      <c r="J140" s="1">
        <v>4</v>
      </c>
      <c r="K140" s="1">
        <v>-25.91</v>
      </c>
    </row>
    <row r="141" spans="1:11" ht="12.75" x14ac:dyDescent="0.2">
      <c r="A141" s="2">
        <v>42191</v>
      </c>
      <c r="B141" s="2" t="str">
        <f>TEXT(Table1[[#This Row],[Order Date]],"MMM")</f>
        <v>Jul</v>
      </c>
      <c r="C141" s="2" t="str">
        <f t="shared" si="2"/>
        <v>2015</v>
      </c>
      <c r="D141" s="1" t="s">
        <v>595</v>
      </c>
      <c r="E141" s="1" t="s">
        <v>394</v>
      </c>
      <c r="F141" s="1" t="s">
        <v>38</v>
      </c>
      <c r="G141" s="1" t="s">
        <v>39</v>
      </c>
      <c r="H141" s="1" t="s">
        <v>577</v>
      </c>
      <c r="I141" s="1">
        <v>359.98</v>
      </c>
      <c r="J141" s="1">
        <v>2</v>
      </c>
      <c r="K141" s="1">
        <v>93.59</v>
      </c>
    </row>
    <row r="142" spans="1:11" ht="12.75" x14ac:dyDescent="0.2">
      <c r="A142" s="2">
        <v>42196</v>
      </c>
      <c r="B142" s="2" t="str">
        <f>TEXT(Table1[[#This Row],[Order Date]],"MMM")</f>
        <v>Jul</v>
      </c>
      <c r="C142" s="2" t="str">
        <f t="shared" si="2"/>
        <v>2015</v>
      </c>
      <c r="D142" s="1" t="s">
        <v>599</v>
      </c>
      <c r="E142" s="1" t="s">
        <v>10</v>
      </c>
      <c r="F142" s="1" t="s">
        <v>11</v>
      </c>
      <c r="G142" s="1" t="s">
        <v>18</v>
      </c>
      <c r="H142" s="1" t="s">
        <v>600</v>
      </c>
      <c r="I142" s="1">
        <v>342.86</v>
      </c>
      <c r="J142" s="1">
        <v>3</v>
      </c>
      <c r="K142" s="1">
        <v>38.57</v>
      </c>
    </row>
    <row r="143" spans="1:11" ht="12.75" x14ac:dyDescent="0.2">
      <c r="A143" s="2">
        <v>42197</v>
      </c>
      <c r="B143" s="2" t="str">
        <f>TEXT(Table1[[#This Row],[Order Date]],"MMM")</f>
        <v>Jul</v>
      </c>
      <c r="C143" s="2" t="str">
        <f t="shared" si="2"/>
        <v>2015</v>
      </c>
      <c r="D143" s="1" t="s">
        <v>611</v>
      </c>
      <c r="E143" s="1" t="s">
        <v>27</v>
      </c>
      <c r="F143" s="1" t="s">
        <v>11</v>
      </c>
      <c r="G143" s="1" t="s">
        <v>24</v>
      </c>
      <c r="H143" s="1" t="s">
        <v>612</v>
      </c>
      <c r="I143" s="1">
        <v>99.2</v>
      </c>
      <c r="J143" s="1">
        <v>5</v>
      </c>
      <c r="K143" s="1">
        <v>25.79</v>
      </c>
    </row>
    <row r="144" spans="1:11" ht="12.75" x14ac:dyDescent="0.2">
      <c r="A144" s="2">
        <v>42218</v>
      </c>
      <c r="B144" s="2" t="str">
        <f>TEXT(Table1[[#This Row],[Order Date]],"MMM")</f>
        <v>Aug</v>
      </c>
      <c r="C144" s="2" t="str">
        <f t="shared" si="2"/>
        <v>2015</v>
      </c>
      <c r="D144" s="1" t="s">
        <v>617</v>
      </c>
      <c r="E144" s="1" t="s">
        <v>120</v>
      </c>
      <c r="F144" s="1" t="s">
        <v>11</v>
      </c>
      <c r="G144" s="1" t="s">
        <v>24</v>
      </c>
      <c r="H144" s="1" t="s">
        <v>618</v>
      </c>
      <c r="I144" s="1">
        <v>5.96</v>
      </c>
      <c r="J144" s="1">
        <v>2</v>
      </c>
      <c r="K144" s="1">
        <v>1.67</v>
      </c>
    </row>
    <row r="145" spans="1:11" ht="12.75" x14ac:dyDescent="0.2">
      <c r="A145" s="2">
        <v>42221</v>
      </c>
      <c r="B145" s="2" t="str">
        <f>TEXT(Table1[[#This Row],[Order Date]],"MMM")</f>
        <v>Aug</v>
      </c>
      <c r="C145" s="2" t="str">
        <f t="shared" si="2"/>
        <v>2015</v>
      </c>
      <c r="D145" s="1" t="s">
        <v>621</v>
      </c>
      <c r="E145" s="1" t="s">
        <v>83</v>
      </c>
      <c r="F145" s="1" t="s">
        <v>11</v>
      </c>
      <c r="G145" s="1" t="s">
        <v>20</v>
      </c>
      <c r="H145" s="1" t="s">
        <v>604</v>
      </c>
      <c r="I145" s="1">
        <v>8.16</v>
      </c>
      <c r="J145" s="1">
        <v>5</v>
      </c>
      <c r="K145" s="1">
        <v>-5.71</v>
      </c>
    </row>
    <row r="146" spans="1:11" ht="12.75" x14ac:dyDescent="0.2">
      <c r="A146" s="2">
        <v>42224</v>
      </c>
      <c r="B146" s="2" t="str">
        <f>TEXT(Table1[[#This Row],[Order Date]],"MMM")</f>
        <v>Aug</v>
      </c>
      <c r="C146" s="2" t="str">
        <f t="shared" si="2"/>
        <v>2015</v>
      </c>
      <c r="D146" s="1" t="s">
        <v>627</v>
      </c>
      <c r="E146" s="1" t="s">
        <v>27</v>
      </c>
      <c r="F146" s="1" t="s">
        <v>11</v>
      </c>
      <c r="G146" s="1" t="s">
        <v>18</v>
      </c>
      <c r="H146" s="1" t="s">
        <v>628</v>
      </c>
      <c r="I146" s="1">
        <v>53.72</v>
      </c>
      <c r="J146" s="1">
        <v>4</v>
      </c>
      <c r="K146" s="1">
        <v>15.04</v>
      </c>
    </row>
    <row r="147" spans="1:11" ht="12.75" x14ac:dyDescent="0.2">
      <c r="A147" s="2">
        <v>42225</v>
      </c>
      <c r="B147" s="2" t="str">
        <f>TEXT(Table1[[#This Row],[Order Date]],"MMM")</f>
        <v>Aug</v>
      </c>
      <c r="C147" s="2" t="str">
        <f t="shared" si="2"/>
        <v>2015</v>
      </c>
      <c r="D147" s="1" t="s">
        <v>630</v>
      </c>
      <c r="E147" s="1" t="s">
        <v>15</v>
      </c>
      <c r="F147" s="1" t="s">
        <v>11</v>
      </c>
      <c r="G147" s="1" t="s">
        <v>18</v>
      </c>
      <c r="H147" s="1" t="s">
        <v>631</v>
      </c>
      <c r="I147" s="1">
        <v>123.55</v>
      </c>
      <c r="J147" s="1">
        <v>3</v>
      </c>
      <c r="K147" s="1">
        <v>-29.34</v>
      </c>
    </row>
    <row r="148" spans="1:11" ht="12.75" x14ac:dyDescent="0.2">
      <c r="A148" s="2">
        <v>42227</v>
      </c>
      <c r="B148" s="2" t="str">
        <f>TEXT(Table1[[#This Row],[Order Date]],"MMM")</f>
        <v>Aug</v>
      </c>
      <c r="C148" s="2" t="str">
        <f t="shared" si="2"/>
        <v>2015</v>
      </c>
      <c r="D148" s="1" t="s">
        <v>183</v>
      </c>
      <c r="E148" s="1" t="s">
        <v>27</v>
      </c>
      <c r="F148" s="1" t="s">
        <v>38</v>
      </c>
      <c r="G148" s="1" t="s">
        <v>48</v>
      </c>
      <c r="H148" s="1" t="s">
        <v>639</v>
      </c>
      <c r="I148" s="1">
        <v>238</v>
      </c>
      <c r="J148" s="1">
        <v>2</v>
      </c>
      <c r="K148" s="1">
        <v>38.08</v>
      </c>
    </row>
    <row r="149" spans="1:11" ht="12.75" x14ac:dyDescent="0.2">
      <c r="A149" s="2">
        <v>42228</v>
      </c>
      <c r="B149" s="2" t="str">
        <f>TEXT(Table1[[#This Row],[Order Date]],"MMM")</f>
        <v>Aug</v>
      </c>
      <c r="C149" s="2" t="str">
        <f t="shared" si="2"/>
        <v>2015</v>
      </c>
      <c r="D149" s="1" t="s">
        <v>202</v>
      </c>
      <c r="E149" s="1" t="s">
        <v>101</v>
      </c>
      <c r="F149" s="1" t="s">
        <v>11</v>
      </c>
      <c r="G149" s="1" t="s">
        <v>42</v>
      </c>
      <c r="H149" s="1" t="s">
        <v>642</v>
      </c>
      <c r="I149" s="1">
        <v>14.32</v>
      </c>
      <c r="J149" s="1">
        <v>5</v>
      </c>
      <c r="K149" s="1">
        <v>5.19</v>
      </c>
    </row>
    <row r="150" spans="1:11" ht="12.75" x14ac:dyDescent="0.2">
      <c r="A150" s="2">
        <v>42249</v>
      </c>
      <c r="B150" s="2" t="str">
        <f>TEXT(Table1[[#This Row],[Order Date]],"MMM")</f>
        <v>Sep</v>
      </c>
      <c r="C150" s="2" t="str">
        <f t="shared" si="2"/>
        <v>2015</v>
      </c>
      <c r="D150" s="1" t="s">
        <v>643</v>
      </c>
      <c r="E150" s="1" t="s">
        <v>134</v>
      </c>
      <c r="F150" s="1" t="s">
        <v>33</v>
      </c>
      <c r="G150" s="1" t="s">
        <v>65</v>
      </c>
      <c r="H150" s="1" t="s">
        <v>644</v>
      </c>
      <c r="I150" s="1">
        <v>1367.84</v>
      </c>
      <c r="J150" s="1">
        <v>8</v>
      </c>
      <c r="K150" s="1">
        <v>259.89</v>
      </c>
    </row>
    <row r="151" spans="1:11" ht="12.75" x14ac:dyDescent="0.2">
      <c r="A151" s="2">
        <v>42250</v>
      </c>
      <c r="B151" s="2" t="str">
        <f>TEXT(Table1[[#This Row],[Order Date]],"MMM")</f>
        <v>Sep</v>
      </c>
      <c r="C151" s="2" t="str">
        <f t="shared" si="2"/>
        <v>2015</v>
      </c>
      <c r="D151" s="1" t="s">
        <v>590</v>
      </c>
      <c r="E151" s="1" t="s">
        <v>187</v>
      </c>
      <c r="F151" s="1" t="s">
        <v>11</v>
      </c>
      <c r="G151" s="1" t="s">
        <v>16</v>
      </c>
      <c r="H151" s="1" t="s">
        <v>645</v>
      </c>
      <c r="I151" s="1">
        <v>17.54</v>
      </c>
      <c r="J151" s="1">
        <v>3</v>
      </c>
      <c r="K151" s="1">
        <v>5.92</v>
      </c>
    </row>
    <row r="152" spans="1:11" ht="12.75" x14ac:dyDescent="0.2">
      <c r="A152" s="2">
        <v>42251</v>
      </c>
      <c r="B152" s="2" t="str">
        <f>TEXT(Table1[[#This Row],[Order Date]],"MMM")</f>
        <v>Sep</v>
      </c>
      <c r="C152" s="2" t="str">
        <f t="shared" si="2"/>
        <v>2015</v>
      </c>
      <c r="D152" s="1" t="s">
        <v>646</v>
      </c>
      <c r="E152" s="1" t="s">
        <v>148</v>
      </c>
      <c r="F152" s="1" t="s">
        <v>11</v>
      </c>
      <c r="G152" s="1" t="s">
        <v>20</v>
      </c>
      <c r="H152" s="1" t="s">
        <v>114</v>
      </c>
      <c r="I152" s="1">
        <v>26.7</v>
      </c>
      <c r="J152" s="1">
        <v>5</v>
      </c>
      <c r="K152" s="1">
        <v>12.55</v>
      </c>
    </row>
    <row r="153" spans="1:11" ht="12.75" x14ac:dyDescent="0.2">
      <c r="A153" s="2">
        <v>42252</v>
      </c>
      <c r="B153" s="2" t="str">
        <f>TEXT(Table1[[#This Row],[Order Date]],"MMM")</f>
        <v>Sep</v>
      </c>
      <c r="C153" s="2" t="str">
        <f t="shared" si="2"/>
        <v>2015</v>
      </c>
      <c r="D153" s="1" t="s">
        <v>432</v>
      </c>
      <c r="E153" s="1" t="s">
        <v>200</v>
      </c>
      <c r="F153" s="1" t="s">
        <v>33</v>
      </c>
      <c r="G153" s="1" t="s">
        <v>118</v>
      </c>
      <c r="H153" s="1" t="s">
        <v>647</v>
      </c>
      <c r="I153" s="1">
        <v>218.75</v>
      </c>
      <c r="J153" s="1">
        <v>2</v>
      </c>
      <c r="K153" s="1">
        <v>-161.88</v>
      </c>
    </row>
    <row r="154" spans="1:11" ht="12.75" x14ac:dyDescent="0.2">
      <c r="A154" s="2">
        <v>42253</v>
      </c>
      <c r="B154" s="2" t="str">
        <f>TEXT(Table1[[#This Row],[Order Date]],"MMM")</f>
        <v>Sep</v>
      </c>
      <c r="C154" s="2" t="str">
        <f t="shared" si="2"/>
        <v>2015</v>
      </c>
      <c r="D154" s="1" t="s">
        <v>649</v>
      </c>
      <c r="E154" s="1" t="s">
        <v>211</v>
      </c>
      <c r="F154" s="1" t="s">
        <v>11</v>
      </c>
      <c r="G154" s="1" t="s">
        <v>80</v>
      </c>
      <c r="H154" s="1" t="s">
        <v>650</v>
      </c>
      <c r="I154" s="1">
        <v>1089.75</v>
      </c>
      <c r="J154" s="1">
        <v>3</v>
      </c>
      <c r="K154" s="1">
        <v>305.13</v>
      </c>
    </row>
    <row r="155" spans="1:11" ht="12.75" x14ac:dyDescent="0.2">
      <c r="A155" s="2">
        <v>42254</v>
      </c>
      <c r="B155" s="2" t="str">
        <f>TEXT(Table1[[#This Row],[Order Date]],"MMM")</f>
        <v>Sep</v>
      </c>
      <c r="C155" s="2" t="str">
        <f t="shared" si="2"/>
        <v>2015</v>
      </c>
      <c r="D155" s="1" t="s">
        <v>653</v>
      </c>
      <c r="E155" s="1" t="s">
        <v>27</v>
      </c>
      <c r="F155" s="1" t="s">
        <v>11</v>
      </c>
      <c r="G155" s="1" t="s">
        <v>12</v>
      </c>
      <c r="H155" s="1" t="s">
        <v>654</v>
      </c>
      <c r="I155" s="1">
        <v>20.94</v>
      </c>
      <c r="J155" s="1">
        <v>3</v>
      </c>
      <c r="K155" s="1">
        <v>9.84</v>
      </c>
    </row>
    <row r="156" spans="1:11" ht="12.75" x14ac:dyDescent="0.2">
      <c r="A156" s="2">
        <v>42255</v>
      </c>
      <c r="B156" s="2" t="str">
        <f>TEXT(Table1[[#This Row],[Order Date]],"MMM")</f>
        <v>Sep</v>
      </c>
      <c r="C156" s="2" t="str">
        <f t="shared" si="2"/>
        <v>2015</v>
      </c>
      <c r="D156" s="1" t="s">
        <v>660</v>
      </c>
      <c r="E156" s="1" t="s">
        <v>63</v>
      </c>
      <c r="F156" s="1" t="s">
        <v>38</v>
      </c>
      <c r="G156" s="1" t="s">
        <v>48</v>
      </c>
      <c r="H156" s="1" t="s">
        <v>609</v>
      </c>
      <c r="I156" s="1">
        <v>62.91</v>
      </c>
      <c r="J156" s="1">
        <v>3</v>
      </c>
      <c r="K156" s="1">
        <v>22.65</v>
      </c>
    </row>
    <row r="157" spans="1:11" ht="12.75" x14ac:dyDescent="0.2">
      <c r="A157" s="2">
        <v>42258</v>
      </c>
      <c r="B157" s="2" t="str">
        <f>TEXT(Table1[[#This Row],[Order Date]],"MMM")</f>
        <v>Sep</v>
      </c>
      <c r="C157" s="2" t="str">
        <f t="shared" si="2"/>
        <v>2015</v>
      </c>
      <c r="D157" s="1" t="s">
        <v>662</v>
      </c>
      <c r="E157" s="1" t="s">
        <v>27</v>
      </c>
      <c r="F157" s="1" t="s">
        <v>11</v>
      </c>
      <c r="G157" s="1" t="s">
        <v>80</v>
      </c>
      <c r="H157" s="1" t="s">
        <v>663</v>
      </c>
      <c r="I157" s="1">
        <v>76.12</v>
      </c>
      <c r="J157" s="1">
        <v>2</v>
      </c>
      <c r="K157" s="1">
        <v>22.07</v>
      </c>
    </row>
    <row r="158" spans="1:11" ht="12.75" x14ac:dyDescent="0.2">
      <c r="A158" s="2">
        <v>42279</v>
      </c>
      <c r="B158" s="2" t="str">
        <f>TEXT(Table1[[#This Row],[Order Date]],"MMM")</f>
        <v>Oct</v>
      </c>
      <c r="C158" s="2" t="str">
        <f t="shared" si="2"/>
        <v>2015</v>
      </c>
      <c r="D158" s="1" t="s">
        <v>669</v>
      </c>
      <c r="E158" s="1" t="s">
        <v>101</v>
      </c>
      <c r="F158" s="1" t="s">
        <v>38</v>
      </c>
      <c r="G158" s="1" t="s">
        <v>39</v>
      </c>
      <c r="H158" s="1" t="s">
        <v>664</v>
      </c>
      <c r="I158" s="1">
        <v>178.38</v>
      </c>
      <c r="J158" s="1">
        <v>2</v>
      </c>
      <c r="K158" s="1">
        <v>22.3</v>
      </c>
    </row>
    <row r="159" spans="1:11" ht="12.75" x14ac:dyDescent="0.2">
      <c r="A159" s="2">
        <v>42280</v>
      </c>
      <c r="B159" s="2" t="str">
        <f>TEXT(Table1[[#This Row],[Order Date]],"MMM")</f>
        <v>Oct</v>
      </c>
      <c r="C159" s="2" t="str">
        <f t="shared" si="2"/>
        <v>2015</v>
      </c>
      <c r="D159" s="1" t="s">
        <v>674</v>
      </c>
      <c r="E159" s="1" t="s">
        <v>142</v>
      </c>
      <c r="F159" s="1" t="s">
        <v>11</v>
      </c>
      <c r="G159" s="1" t="s">
        <v>20</v>
      </c>
      <c r="H159" s="1" t="s">
        <v>675</v>
      </c>
      <c r="I159" s="1">
        <v>196.21</v>
      </c>
      <c r="J159" s="1">
        <v>7</v>
      </c>
      <c r="K159" s="1">
        <v>98.11</v>
      </c>
    </row>
    <row r="160" spans="1:11" ht="12.75" x14ac:dyDescent="0.2">
      <c r="A160" s="2">
        <v>42282</v>
      </c>
      <c r="B160" s="2" t="str">
        <f>TEXT(Table1[[#This Row],[Order Date]],"MMM")</f>
        <v>Oct</v>
      </c>
      <c r="C160" s="2" t="str">
        <f t="shared" si="2"/>
        <v>2015</v>
      </c>
      <c r="D160" s="1" t="s">
        <v>680</v>
      </c>
      <c r="E160" s="1" t="s">
        <v>10</v>
      </c>
      <c r="F160" s="1" t="s">
        <v>11</v>
      </c>
      <c r="G160" s="1" t="s">
        <v>20</v>
      </c>
      <c r="H160" s="1" t="s">
        <v>357</v>
      </c>
      <c r="I160" s="1">
        <v>30.96</v>
      </c>
      <c r="J160" s="1">
        <v>8</v>
      </c>
      <c r="K160" s="1">
        <v>-52.63</v>
      </c>
    </row>
    <row r="161" spans="1:11" ht="12.75" x14ac:dyDescent="0.2">
      <c r="A161" s="2">
        <v>42284</v>
      </c>
      <c r="B161" s="2" t="str">
        <f>TEXT(Table1[[#This Row],[Order Date]],"MMM")</f>
        <v>Oct</v>
      </c>
      <c r="C161" s="2" t="str">
        <f t="shared" si="2"/>
        <v>2015</v>
      </c>
      <c r="D161" s="1" t="s">
        <v>684</v>
      </c>
      <c r="E161" s="1" t="s">
        <v>23</v>
      </c>
      <c r="F161" s="1" t="s">
        <v>33</v>
      </c>
      <c r="G161" s="1" t="s">
        <v>118</v>
      </c>
      <c r="H161" s="1" t="s">
        <v>473</v>
      </c>
      <c r="I161" s="1">
        <v>853.09</v>
      </c>
      <c r="J161" s="1">
        <v>6</v>
      </c>
      <c r="K161" s="1">
        <v>-227.49</v>
      </c>
    </row>
    <row r="162" spans="1:11" ht="12.75" x14ac:dyDescent="0.2">
      <c r="A162" s="2">
        <v>42286</v>
      </c>
      <c r="B162" s="2" t="str">
        <f>TEXT(Table1[[#This Row],[Order Date]],"MMM")</f>
        <v>Oct</v>
      </c>
      <c r="C162" s="2" t="str">
        <f t="shared" si="2"/>
        <v>2015</v>
      </c>
      <c r="D162" s="1" t="s">
        <v>300</v>
      </c>
      <c r="E162" s="1" t="s">
        <v>10</v>
      </c>
      <c r="F162" s="1" t="s">
        <v>11</v>
      </c>
      <c r="G162" s="1" t="s">
        <v>12</v>
      </c>
      <c r="H162" s="1" t="s">
        <v>685</v>
      </c>
      <c r="I162" s="1">
        <v>15.55</v>
      </c>
      <c r="J162" s="1">
        <v>3</v>
      </c>
      <c r="K162" s="1">
        <v>5.44</v>
      </c>
    </row>
    <row r="163" spans="1:11" ht="12.75" x14ac:dyDescent="0.2">
      <c r="A163" s="2">
        <v>42289</v>
      </c>
      <c r="B163" s="2" t="str">
        <f>TEXT(Table1[[#This Row],[Order Date]],"MMM")</f>
        <v>Oct</v>
      </c>
      <c r="C163" s="2" t="str">
        <f t="shared" si="2"/>
        <v>2015</v>
      </c>
      <c r="D163" s="1" t="s">
        <v>475</v>
      </c>
      <c r="E163" s="1" t="s">
        <v>68</v>
      </c>
      <c r="F163" s="1" t="s">
        <v>11</v>
      </c>
      <c r="G163" s="1" t="s">
        <v>24</v>
      </c>
      <c r="H163" s="1" t="s">
        <v>688</v>
      </c>
      <c r="I163" s="1">
        <v>10.72</v>
      </c>
      <c r="J163" s="1">
        <v>2</v>
      </c>
      <c r="K163" s="1">
        <v>1.74</v>
      </c>
    </row>
    <row r="164" spans="1:11" ht="12.75" x14ac:dyDescent="0.2">
      <c r="A164" s="2">
        <v>42313</v>
      </c>
      <c r="B164" s="2" t="str">
        <f>TEXT(Table1[[#This Row],[Order Date]],"MMM")</f>
        <v>Nov</v>
      </c>
      <c r="C164" s="2" t="str">
        <f t="shared" si="2"/>
        <v>2015</v>
      </c>
      <c r="D164" s="1" t="s">
        <v>692</v>
      </c>
      <c r="E164" s="1" t="s">
        <v>15</v>
      </c>
      <c r="F164" s="1" t="s">
        <v>33</v>
      </c>
      <c r="G164" s="1" t="s">
        <v>34</v>
      </c>
      <c r="H164" s="1" t="s">
        <v>196</v>
      </c>
      <c r="I164" s="1">
        <v>421.37</v>
      </c>
      <c r="J164" s="1">
        <v>2</v>
      </c>
      <c r="K164" s="1">
        <v>-6.02</v>
      </c>
    </row>
    <row r="165" spans="1:11" ht="12.75" x14ac:dyDescent="0.2">
      <c r="A165" s="2">
        <v>42314</v>
      </c>
      <c r="B165" s="2" t="str">
        <f>TEXT(Table1[[#This Row],[Order Date]],"MMM")</f>
        <v>Nov</v>
      </c>
      <c r="C165" s="2" t="str">
        <f t="shared" si="2"/>
        <v>2015</v>
      </c>
      <c r="D165" s="1" t="s">
        <v>694</v>
      </c>
      <c r="E165" s="1" t="s">
        <v>68</v>
      </c>
      <c r="F165" s="1" t="s">
        <v>11</v>
      </c>
      <c r="G165" s="1" t="s">
        <v>24</v>
      </c>
      <c r="H165" s="1" t="s">
        <v>695</v>
      </c>
      <c r="I165" s="1">
        <v>3.91</v>
      </c>
      <c r="J165" s="1">
        <v>1</v>
      </c>
      <c r="K165" s="1">
        <v>1.03</v>
      </c>
    </row>
    <row r="166" spans="1:11" ht="12.75" x14ac:dyDescent="0.2">
      <c r="A166" s="2">
        <v>42315</v>
      </c>
      <c r="B166" s="2" t="str">
        <f>TEXT(Table1[[#This Row],[Order Date]],"MMM")</f>
        <v>Nov</v>
      </c>
      <c r="C166" s="2" t="str">
        <f t="shared" si="2"/>
        <v>2015</v>
      </c>
      <c r="D166" s="1" t="s">
        <v>698</v>
      </c>
      <c r="E166" s="1" t="s">
        <v>120</v>
      </c>
      <c r="F166" s="1" t="s">
        <v>11</v>
      </c>
      <c r="G166" s="1" t="s">
        <v>12</v>
      </c>
      <c r="H166" s="1" t="s">
        <v>699</v>
      </c>
      <c r="I166" s="1">
        <v>25.92</v>
      </c>
      <c r="J166" s="1">
        <v>4</v>
      </c>
      <c r="K166" s="1">
        <v>12.44</v>
      </c>
    </row>
    <row r="167" spans="1:11" ht="12.75" x14ac:dyDescent="0.2">
      <c r="A167" s="2">
        <v>42317</v>
      </c>
      <c r="B167" s="2" t="str">
        <f>TEXT(Table1[[#This Row],[Order Date]],"MMM")</f>
        <v>Nov</v>
      </c>
      <c r="C167" s="2" t="str">
        <f t="shared" si="2"/>
        <v>2015</v>
      </c>
      <c r="D167" s="1" t="s">
        <v>701</v>
      </c>
      <c r="E167" s="1" t="s">
        <v>337</v>
      </c>
      <c r="F167" s="1" t="s">
        <v>11</v>
      </c>
      <c r="G167" s="1" t="s">
        <v>20</v>
      </c>
      <c r="H167" s="1" t="s">
        <v>705</v>
      </c>
      <c r="I167" s="1">
        <v>8.2899999999999991</v>
      </c>
      <c r="J167" s="1">
        <v>2</v>
      </c>
      <c r="K167" s="1">
        <v>2.69</v>
      </c>
    </row>
    <row r="168" spans="1:11" ht="12.75" x14ac:dyDescent="0.2">
      <c r="A168" s="2">
        <v>42319</v>
      </c>
      <c r="B168" s="2" t="str">
        <f>TEXT(Table1[[#This Row],[Order Date]],"MMM")</f>
        <v>Nov</v>
      </c>
      <c r="C168" s="2" t="str">
        <f t="shared" si="2"/>
        <v>2015</v>
      </c>
      <c r="D168" s="1" t="s">
        <v>711</v>
      </c>
      <c r="E168" s="1" t="s">
        <v>27</v>
      </c>
      <c r="F168" s="1" t="s">
        <v>11</v>
      </c>
      <c r="G168" s="1" t="s">
        <v>24</v>
      </c>
      <c r="H168" s="1" t="s">
        <v>521</v>
      </c>
      <c r="I168" s="1">
        <v>8.56</v>
      </c>
      <c r="J168" s="1">
        <v>2</v>
      </c>
      <c r="K168" s="1">
        <v>2.48</v>
      </c>
    </row>
    <row r="169" spans="1:11" ht="12.75" x14ac:dyDescent="0.2">
      <c r="A169" s="2">
        <v>42339</v>
      </c>
      <c r="B169" s="2" t="str">
        <f>TEXT(Table1[[#This Row],[Order Date]],"MMM")</f>
        <v>Dec</v>
      </c>
      <c r="C169" s="2" t="str">
        <f t="shared" si="2"/>
        <v>2015</v>
      </c>
      <c r="D169" s="1" t="s">
        <v>713</v>
      </c>
      <c r="E169" s="1" t="s">
        <v>27</v>
      </c>
      <c r="F169" s="1" t="s">
        <v>11</v>
      </c>
      <c r="G169" s="1" t="s">
        <v>12</v>
      </c>
      <c r="H169" s="1" t="s">
        <v>714</v>
      </c>
      <c r="I169" s="1">
        <v>109.92</v>
      </c>
      <c r="J169" s="1">
        <v>2</v>
      </c>
      <c r="K169" s="1">
        <v>53.86</v>
      </c>
    </row>
    <row r="170" spans="1:11" ht="12.75" x14ac:dyDescent="0.2">
      <c r="A170" s="2">
        <v>42341</v>
      </c>
      <c r="B170" s="2" t="str">
        <f>TEXT(Table1[[#This Row],[Order Date]],"MMM")</f>
        <v>Dec</v>
      </c>
      <c r="C170" s="2" t="str">
        <f t="shared" si="2"/>
        <v>2015</v>
      </c>
      <c r="D170" s="1" t="s">
        <v>716</v>
      </c>
      <c r="E170" s="1" t="s">
        <v>394</v>
      </c>
      <c r="F170" s="1" t="s">
        <v>11</v>
      </c>
      <c r="G170" s="1" t="s">
        <v>20</v>
      </c>
      <c r="H170" s="1" t="s">
        <v>717</v>
      </c>
      <c r="I170" s="1">
        <v>25.3</v>
      </c>
      <c r="J170" s="1">
        <v>5</v>
      </c>
      <c r="K170" s="1">
        <v>11.89</v>
      </c>
    </row>
    <row r="171" spans="1:11" ht="12.75" x14ac:dyDescent="0.2">
      <c r="A171" s="2">
        <v>42342</v>
      </c>
      <c r="B171" s="2" t="str">
        <f>TEXT(Table1[[#This Row],[Order Date]],"MMM")</f>
        <v>Dec</v>
      </c>
      <c r="C171" s="2" t="str">
        <f t="shared" si="2"/>
        <v>2015</v>
      </c>
      <c r="D171" s="1" t="s">
        <v>718</v>
      </c>
      <c r="E171" s="1" t="s">
        <v>264</v>
      </c>
      <c r="F171" s="1" t="s">
        <v>38</v>
      </c>
      <c r="G171" s="1" t="s">
        <v>48</v>
      </c>
      <c r="H171" s="1" t="s">
        <v>719</v>
      </c>
      <c r="I171" s="1">
        <v>92.52</v>
      </c>
      <c r="J171" s="1">
        <v>9</v>
      </c>
      <c r="K171" s="1">
        <v>18.5</v>
      </c>
    </row>
    <row r="172" spans="1:11" ht="12.75" x14ac:dyDescent="0.2">
      <c r="A172" s="2">
        <v>42343</v>
      </c>
      <c r="B172" s="2" t="str">
        <f>TEXT(Table1[[#This Row],[Order Date]],"MMM")</f>
        <v>Dec</v>
      </c>
      <c r="C172" s="2" t="str">
        <f t="shared" si="2"/>
        <v>2015</v>
      </c>
      <c r="D172" s="1" t="s">
        <v>720</v>
      </c>
      <c r="E172" s="1" t="s">
        <v>27</v>
      </c>
      <c r="F172" s="1" t="s">
        <v>11</v>
      </c>
      <c r="G172" s="1" t="s">
        <v>24</v>
      </c>
      <c r="H172" s="1" t="s">
        <v>721</v>
      </c>
      <c r="I172" s="1">
        <v>53.94</v>
      </c>
      <c r="J172" s="1">
        <v>3</v>
      </c>
      <c r="K172" s="1">
        <v>15.64</v>
      </c>
    </row>
    <row r="173" spans="1:11" ht="12.75" x14ac:dyDescent="0.2">
      <c r="A173" s="2">
        <v>42347</v>
      </c>
      <c r="B173" s="2" t="str">
        <f>TEXT(Table1[[#This Row],[Order Date]],"MMM")</f>
        <v>Dec</v>
      </c>
      <c r="C173" s="2" t="str">
        <f t="shared" si="2"/>
        <v>2015</v>
      </c>
      <c r="D173" s="1" t="s">
        <v>385</v>
      </c>
      <c r="E173" s="1" t="s">
        <v>120</v>
      </c>
      <c r="F173" s="1" t="s">
        <v>11</v>
      </c>
      <c r="G173" s="1" t="s">
        <v>80</v>
      </c>
      <c r="H173" s="1" t="s">
        <v>164</v>
      </c>
      <c r="I173" s="1">
        <v>19.899999999999999</v>
      </c>
      <c r="J173" s="1">
        <v>1</v>
      </c>
      <c r="K173" s="1">
        <v>8.9600000000000009</v>
      </c>
    </row>
    <row r="174" spans="1:11" ht="12.75" x14ac:dyDescent="0.2">
      <c r="A174" s="2">
        <v>42350</v>
      </c>
      <c r="B174" s="2" t="str">
        <f>TEXT(Table1[[#This Row],[Order Date]],"MMM")</f>
        <v>Dec</v>
      </c>
      <c r="C174" s="2" t="str">
        <f t="shared" si="2"/>
        <v>2015</v>
      </c>
      <c r="D174" s="1" t="s">
        <v>356</v>
      </c>
      <c r="E174" s="1" t="s">
        <v>120</v>
      </c>
      <c r="F174" s="1" t="s">
        <v>11</v>
      </c>
      <c r="G174" s="1" t="s">
        <v>16</v>
      </c>
      <c r="H174" s="1" t="s">
        <v>576</v>
      </c>
      <c r="I174" s="1">
        <v>14.4</v>
      </c>
      <c r="J174" s="1">
        <v>5</v>
      </c>
      <c r="K174" s="1">
        <v>7.06</v>
      </c>
    </row>
    <row r="175" spans="1:11" ht="12.75" x14ac:dyDescent="0.2">
      <c r="A175" s="2">
        <v>42371</v>
      </c>
      <c r="B175" s="2" t="str">
        <f>TEXT(Table1[[#This Row],[Order Date]],"MMM")</f>
        <v>Jan</v>
      </c>
      <c r="C175" s="2" t="str">
        <f t="shared" si="2"/>
        <v>2016</v>
      </c>
      <c r="D175" s="1" t="s">
        <v>412</v>
      </c>
      <c r="E175" s="1" t="s">
        <v>23</v>
      </c>
      <c r="F175" s="1" t="s">
        <v>11</v>
      </c>
      <c r="G175" s="1" t="s">
        <v>18</v>
      </c>
      <c r="H175" s="1" t="s">
        <v>195</v>
      </c>
      <c r="I175" s="1">
        <v>64.78</v>
      </c>
      <c r="J175" s="1">
        <v>1</v>
      </c>
      <c r="K175" s="1">
        <v>-14.58</v>
      </c>
    </row>
    <row r="176" spans="1:11" ht="12.75" x14ac:dyDescent="0.2">
      <c r="A176" s="2">
        <v>42376</v>
      </c>
      <c r="B176" s="2" t="str">
        <f>TEXT(Table1[[#This Row],[Order Date]],"MMM")</f>
        <v>Jan</v>
      </c>
      <c r="C176" s="2" t="str">
        <f t="shared" si="2"/>
        <v>2016</v>
      </c>
      <c r="D176" s="1" t="s">
        <v>742</v>
      </c>
      <c r="E176" s="1" t="s">
        <v>94</v>
      </c>
      <c r="F176" s="1" t="s">
        <v>11</v>
      </c>
      <c r="G176" s="1" t="s">
        <v>16</v>
      </c>
      <c r="H176" s="1" t="s">
        <v>743</v>
      </c>
      <c r="I176" s="1">
        <v>103.6</v>
      </c>
      <c r="J176" s="1">
        <v>7</v>
      </c>
      <c r="K176" s="1">
        <v>51.8</v>
      </c>
    </row>
    <row r="177" spans="1:11" ht="12.75" x14ac:dyDescent="0.2">
      <c r="A177" s="2">
        <v>42378</v>
      </c>
      <c r="B177" s="2" t="str">
        <f>TEXT(Table1[[#This Row],[Order Date]],"MMM")</f>
        <v>Jan</v>
      </c>
      <c r="C177" s="2" t="str">
        <f t="shared" si="2"/>
        <v>2016</v>
      </c>
      <c r="D177" s="1" t="s">
        <v>748</v>
      </c>
      <c r="E177" s="1" t="s">
        <v>27</v>
      </c>
      <c r="F177" s="1" t="s">
        <v>33</v>
      </c>
      <c r="G177" s="1" t="s">
        <v>44</v>
      </c>
      <c r="H177" s="1" t="s">
        <v>749</v>
      </c>
      <c r="I177" s="1">
        <v>127.95</v>
      </c>
      <c r="J177" s="1">
        <v>3</v>
      </c>
      <c r="K177" s="1">
        <v>21.75</v>
      </c>
    </row>
    <row r="178" spans="1:11" ht="12.75" x14ac:dyDescent="0.2">
      <c r="A178" s="2">
        <v>42380</v>
      </c>
      <c r="B178" s="2" t="str">
        <f>TEXT(Table1[[#This Row],[Order Date]],"MMM")</f>
        <v>Jan</v>
      </c>
      <c r="C178" s="2" t="str">
        <f t="shared" si="2"/>
        <v>2016</v>
      </c>
      <c r="D178" s="1" t="s">
        <v>108</v>
      </c>
      <c r="E178" s="1" t="s">
        <v>120</v>
      </c>
      <c r="F178" s="1" t="s">
        <v>38</v>
      </c>
      <c r="G178" s="1" t="s">
        <v>214</v>
      </c>
      <c r="H178" s="1" t="s">
        <v>735</v>
      </c>
      <c r="I178" s="1">
        <v>69.989999999999995</v>
      </c>
      <c r="J178" s="1">
        <v>1</v>
      </c>
      <c r="K178" s="1">
        <v>30.1</v>
      </c>
    </row>
    <row r="179" spans="1:11" ht="12.75" x14ac:dyDescent="0.2">
      <c r="A179" s="2">
        <v>42381</v>
      </c>
      <c r="B179" s="2" t="str">
        <f>TEXT(Table1[[#This Row],[Order Date]],"MMM")</f>
        <v>Jan</v>
      </c>
      <c r="C179" s="2" t="str">
        <f t="shared" si="2"/>
        <v>2016</v>
      </c>
      <c r="D179" s="1" t="s">
        <v>754</v>
      </c>
      <c r="E179" s="1" t="s">
        <v>187</v>
      </c>
      <c r="F179" s="1" t="s">
        <v>11</v>
      </c>
      <c r="G179" s="1" t="s">
        <v>20</v>
      </c>
      <c r="H179" s="1" t="s">
        <v>638</v>
      </c>
      <c r="I179" s="1">
        <v>18.649999999999999</v>
      </c>
      <c r="J179" s="1">
        <v>7</v>
      </c>
      <c r="K179" s="1">
        <v>-12.43</v>
      </c>
    </row>
    <row r="180" spans="1:11" ht="12.75" x14ac:dyDescent="0.2">
      <c r="A180" s="2">
        <v>42401</v>
      </c>
      <c r="B180" s="2" t="str">
        <f>TEXT(Table1[[#This Row],[Order Date]],"MMM")</f>
        <v>Feb</v>
      </c>
      <c r="C180" s="2" t="str">
        <f t="shared" si="2"/>
        <v>2016</v>
      </c>
      <c r="D180" s="1" t="s">
        <v>759</v>
      </c>
      <c r="E180" s="1" t="s">
        <v>15</v>
      </c>
      <c r="F180" s="1" t="s">
        <v>11</v>
      </c>
      <c r="G180" s="1" t="s">
        <v>80</v>
      </c>
      <c r="H180" s="1" t="s">
        <v>760</v>
      </c>
      <c r="I180" s="1">
        <v>52.45</v>
      </c>
      <c r="J180" s="1">
        <v>2</v>
      </c>
      <c r="K180" s="1">
        <v>-131.12</v>
      </c>
    </row>
    <row r="181" spans="1:11" ht="12.75" x14ac:dyDescent="0.2">
      <c r="A181" s="2">
        <v>42402</v>
      </c>
      <c r="B181" s="2" t="str">
        <f>TEXT(Table1[[#This Row],[Order Date]],"MMM")</f>
        <v>Feb</v>
      </c>
      <c r="C181" s="2" t="str">
        <f t="shared" si="2"/>
        <v>2016</v>
      </c>
      <c r="D181" s="1" t="s">
        <v>763</v>
      </c>
      <c r="E181" s="1" t="s">
        <v>23</v>
      </c>
      <c r="F181" s="1" t="s">
        <v>33</v>
      </c>
      <c r="G181" s="1" t="s">
        <v>44</v>
      </c>
      <c r="H181" s="1" t="s">
        <v>764</v>
      </c>
      <c r="I181" s="1">
        <v>103.94</v>
      </c>
      <c r="J181" s="1">
        <v>4</v>
      </c>
      <c r="K181" s="1">
        <v>16.89</v>
      </c>
    </row>
    <row r="182" spans="1:11" ht="12.75" x14ac:dyDescent="0.2">
      <c r="A182" s="2">
        <v>42404</v>
      </c>
      <c r="B182" s="2" t="str">
        <f>TEXT(Table1[[#This Row],[Order Date]],"MMM")</f>
        <v>Feb</v>
      </c>
      <c r="C182" s="2" t="str">
        <f t="shared" si="2"/>
        <v>2016</v>
      </c>
      <c r="D182" s="1" t="s">
        <v>441</v>
      </c>
      <c r="E182" s="1" t="s">
        <v>120</v>
      </c>
      <c r="F182" s="1" t="s">
        <v>11</v>
      </c>
      <c r="G182" s="1" t="s">
        <v>20</v>
      </c>
      <c r="H182" s="1" t="s">
        <v>522</v>
      </c>
      <c r="I182" s="1">
        <v>33.549999999999997</v>
      </c>
      <c r="J182" s="1">
        <v>1</v>
      </c>
      <c r="K182" s="1">
        <v>12.58</v>
      </c>
    </row>
    <row r="183" spans="1:11" ht="12.75" x14ac:dyDescent="0.2">
      <c r="A183" s="2">
        <v>42405</v>
      </c>
      <c r="B183" s="2" t="str">
        <f>TEXT(Table1[[#This Row],[Order Date]],"MMM")</f>
        <v>Feb</v>
      </c>
      <c r="C183" s="2" t="str">
        <f t="shared" si="2"/>
        <v>2016</v>
      </c>
      <c r="D183" s="1" t="s">
        <v>765</v>
      </c>
      <c r="E183" s="1" t="s">
        <v>23</v>
      </c>
      <c r="F183" s="1" t="s">
        <v>11</v>
      </c>
      <c r="G183" s="1" t="s">
        <v>20</v>
      </c>
      <c r="H183" s="1" t="s">
        <v>766</v>
      </c>
      <c r="I183" s="1">
        <v>5.89</v>
      </c>
      <c r="J183" s="1">
        <v>4</v>
      </c>
      <c r="K183" s="1">
        <v>-4.12</v>
      </c>
    </row>
    <row r="184" spans="1:11" ht="12.75" x14ac:dyDescent="0.2">
      <c r="A184" s="2">
        <v>42407</v>
      </c>
      <c r="B184" s="2" t="str">
        <f>TEXT(Table1[[#This Row],[Order Date]],"MMM")</f>
        <v>Feb</v>
      </c>
      <c r="C184" s="2" t="str">
        <f t="shared" si="2"/>
        <v>2016</v>
      </c>
      <c r="D184" s="1" t="s">
        <v>412</v>
      </c>
      <c r="E184" s="1" t="s">
        <v>10</v>
      </c>
      <c r="F184" s="1" t="s">
        <v>38</v>
      </c>
      <c r="G184" s="1" t="s">
        <v>214</v>
      </c>
      <c r="H184" s="1" t="s">
        <v>730</v>
      </c>
      <c r="I184" s="1">
        <v>3059.98</v>
      </c>
      <c r="J184" s="1">
        <v>3</v>
      </c>
      <c r="K184" s="1">
        <v>-510</v>
      </c>
    </row>
    <row r="185" spans="1:11" ht="12.75" x14ac:dyDescent="0.2">
      <c r="A185" s="2">
        <v>42408</v>
      </c>
      <c r="B185" s="2" t="str">
        <f>TEXT(Table1[[#This Row],[Order Date]],"MMM")</f>
        <v>Feb</v>
      </c>
      <c r="C185" s="2" t="str">
        <f t="shared" si="2"/>
        <v>2016</v>
      </c>
      <c r="D185" s="1" t="s">
        <v>772</v>
      </c>
      <c r="E185" s="1" t="s">
        <v>15</v>
      </c>
      <c r="F185" s="1" t="s">
        <v>33</v>
      </c>
      <c r="G185" s="1" t="s">
        <v>118</v>
      </c>
      <c r="H185" s="1" t="s">
        <v>505</v>
      </c>
      <c r="I185" s="1">
        <v>617.70000000000005</v>
      </c>
      <c r="J185" s="1">
        <v>6</v>
      </c>
      <c r="K185" s="1">
        <v>-407.68</v>
      </c>
    </row>
    <row r="186" spans="1:11" ht="12.75" x14ac:dyDescent="0.2">
      <c r="A186" s="2">
        <v>42409</v>
      </c>
      <c r="B186" s="2" t="str">
        <f>TEXT(Table1[[#This Row],[Order Date]],"MMM")</f>
        <v>Feb</v>
      </c>
      <c r="C186" s="2" t="str">
        <f t="shared" si="2"/>
        <v>2016</v>
      </c>
      <c r="D186" s="1" t="s">
        <v>777</v>
      </c>
      <c r="E186" s="1" t="s">
        <v>134</v>
      </c>
      <c r="F186" s="1" t="s">
        <v>38</v>
      </c>
      <c r="G186" s="1" t="s">
        <v>39</v>
      </c>
      <c r="H186" s="1" t="s">
        <v>778</v>
      </c>
      <c r="I186" s="1">
        <v>246.38</v>
      </c>
      <c r="J186" s="1">
        <v>2</v>
      </c>
      <c r="K186" s="1">
        <v>27.72</v>
      </c>
    </row>
    <row r="187" spans="1:11" ht="12.75" x14ac:dyDescent="0.2">
      <c r="A187" s="2">
        <v>42410</v>
      </c>
      <c r="B187" s="2" t="str">
        <f>TEXT(Table1[[#This Row],[Order Date]],"MMM")</f>
        <v>Feb</v>
      </c>
      <c r="C187" s="2" t="str">
        <f t="shared" si="2"/>
        <v>2016</v>
      </c>
      <c r="D187" s="1" t="s">
        <v>790</v>
      </c>
      <c r="E187" s="1" t="s">
        <v>27</v>
      </c>
      <c r="F187" s="1" t="s">
        <v>11</v>
      </c>
      <c r="G187" s="1" t="s">
        <v>18</v>
      </c>
      <c r="H187" s="1" t="s">
        <v>791</v>
      </c>
      <c r="I187" s="1">
        <v>211.96</v>
      </c>
      <c r="J187" s="1">
        <v>4</v>
      </c>
      <c r="K187" s="1">
        <v>8.48</v>
      </c>
    </row>
    <row r="188" spans="1:11" ht="12.75" x14ac:dyDescent="0.2">
      <c r="A188" s="2">
        <v>42431</v>
      </c>
      <c r="B188" s="2" t="str">
        <f>TEXT(Table1[[#This Row],[Order Date]],"MMM")</f>
        <v>Mar</v>
      </c>
      <c r="C188" s="2" t="str">
        <f t="shared" si="2"/>
        <v>2016</v>
      </c>
      <c r="D188" s="1" t="s">
        <v>792</v>
      </c>
      <c r="E188" s="1" t="s">
        <v>10</v>
      </c>
      <c r="F188" s="1" t="s">
        <v>11</v>
      </c>
      <c r="G188" s="1" t="s">
        <v>12</v>
      </c>
      <c r="H188" s="1" t="s">
        <v>793</v>
      </c>
      <c r="I188" s="1">
        <v>33.79</v>
      </c>
      <c r="J188" s="1">
        <v>8</v>
      </c>
      <c r="K188" s="1">
        <v>10.56</v>
      </c>
    </row>
    <row r="189" spans="1:11" ht="12.75" x14ac:dyDescent="0.2">
      <c r="A189" s="2">
        <v>42432</v>
      </c>
      <c r="B189" s="2" t="str">
        <f>TEXT(Table1[[#This Row],[Order Date]],"MMM")</f>
        <v>Mar</v>
      </c>
      <c r="C189" s="2" t="str">
        <f t="shared" si="2"/>
        <v>2016</v>
      </c>
      <c r="D189" s="1" t="s">
        <v>240</v>
      </c>
      <c r="E189" s="1" t="s">
        <v>142</v>
      </c>
      <c r="F189" s="1" t="s">
        <v>33</v>
      </c>
      <c r="G189" s="1" t="s">
        <v>44</v>
      </c>
      <c r="H189" s="1" t="s">
        <v>798</v>
      </c>
      <c r="I189" s="1">
        <v>87.54</v>
      </c>
      <c r="J189" s="1">
        <v>3</v>
      </c>
      <c r="K189" s="1">
        <v>37.64</v>
      </c>
    </row>
    <row r="190" spans="1:11" ht="12.75" x14ac:dyDescent="0.2">
      <c r="A190" s="2">
        <v>42433</v>
      </c>
      <c r="B190" s="2" t="str">
        <f>TEXT(Table1[[#This Row],[Order Date]],"MMM")</f>
        <v>Mar</v>
      </c>
      <c r="C190" s="2" t="str">
        <f t="shared" si="2"/>
        <v>2016</v>
      </c>
      <c r="D190" s="1" t="s">
        <v>799</v>
      </c>
      <c r="E190" s="1" t="s">
        <v>287</v>
      </c>
      <c r="F190" s="1" t="s">
        <v>11</v>
      </c>
      <c r="G190" s="1" t="s">
        <v>18</v>
      </c>
      <c r="H190" s="1" t="s">
        <v>769</v>
      </c>
      <c r="I190" s="1">
        <v>46.26</v>
      </c>
      <c r="J190" s="1">
        <v>3</v>
      </c>
      <c r="K190" s="1">
        <v>12.49</v>
      </c>
    </row>
    <row r="191" spans="1:11" ht="12.75" x14ac:dyDescent="0.2">
      <c r="A191" s="2">
        <v>42434</v>
      </c>
      <c r="B191" s="2" t="str">
        <f>TEXT(Table1[[#This Row],[Order Date]],"MMM")</f>
        <v>Mar</v>
      </c>
      <c r="C191" s="2" t="str">
        <f t="shared" si="2"/>
        <v>2016</v>
      </c>
      <c r="D191" s="1" t="s">
        <v>702</v>
      </c>
      <c r="E191" s="1" t="s">
        <v>27</v>
      </c>
      <c r="F191" s="1" t="s">
        <v>33</v>
      </c>
      <c r="G191" s="1" t="s">
        <v>44</v>
      </c>
      <c r="H191" s="1" t="s">
        <v>802</v>
      </c>
      <c r="I191" s="1">
        <v>204.6</v>
      </c>
      <c r="J191" s="1">
        <v>2</v>
      </c>
      <c r="K191" s="1">
        <v>53.2</v>
      </c>
    </row>
    <row r="192" spans="1:11" ht="12.75" x14ac:dyDescent="0.2">
      <c r="A192" s="2">
        <v>42435</v>
      </c>
      <c r="B192" s="2" t="str">
        <f>TEXT(Table1[[#This Row],[Order Date]],"MMM")</f>
        <v>Mar</v>
      </c>
      <c r="C192" s="2" t="str">
        <f t="shared" si="2"/>
        <v>2016</v>
      </c>
      <c r="D192" s="1" t="s">
        <v>547</v>
      </c>
      <c r="E192" s="1" t="s">
        <v>120</v>
      </c>
      <c r="F192" s="1" t="s">
        <v>11</v>
      </c>
      <c r="G192" s="1" t="s">
        <v>12</v>
      </c>
      <c r="H192" s="1" t="s">
        <v>809</v>
      </c>
      <c r="I192" s="1">
        <v>48.94</v>
      </c>
      <c r="J192" s="1">
        <v>1</v>
      </c>
      <c r="K192" s="1">
        <v>24.47</v>
      </c>
    </row>
    <row r="193" spans="1:11" ht="12.75" x14ac:dyDescent="0.2">
      <c r="A193" s="2">
        <v>42437</v>
      </c>
      <c r="B193" s="2" t="str">
        <f>TEXT(Table1[[#This Row],[Order Date]],"MMM")</f>
        <v>Mar</v>
      </c>
      <c r="C193" s="2" t="str">
        <f t="shared" si="2"/>
        <v>2016</v>
      </c>
      <c r="D193" s="1" t="s">
        <v>812</v>
      </c>
      <c r="E193" s="1" t="s">
        <v>83</v>
      </c>
      <c r="F193" s="1" t="s">
        <v>11</v>
      </c>
      <c r="G193" s="1" t="s">
        <v>12</v>
      </c>
      <c r="H193" s="1" t="s">
        <v>813</v>
      </c>
      <c r="I193" s="1">
        <v>9.41</v>
      </c>
      <c r="J193" s="1">
        <v>2</v>
      </c>
      <c r="K193" s="1">
        <v>3.41</v>
      </c>
    </row>
    <row r="194" spans="1:11" ht="12.75" x14ac:dyDescent="0.2">
      <c r="A194" s="2">
        <v>42438</v>
      </c>
      <c r="B194" s="2" t="str">
        <f>TEXT(Table1[[#This Row],[Order Date]],"MMM")</f>
        <v>Mar</v>
      </c>
      <c r="C194" s="2" t="str">
        <f t="shared" ref="C194:C257" si="3">TEXT(A194,"YYY")</f>
        <v>2016</v>
      </c>
      <c r="D194" s="1" t="s">
        <v>821</v>
      </c>
      <c r="E194" s="1" t="s">
        <v>27</v>
      </c>
      <c r="F194" s="1" t="s">
        <v>11</v>
      </c>
      <c r="G194" s="1" t="s">
        <v>16</v>
      </c>
      <c r="H194" s="1" t="s">
        <v>822</v>
      </c>
      <c r="I194" s="1">
        <v>14.45</v>
      </c>
      <c r="J194" s="1">
        <v>5</v>
      </c>
      <c r="K194" s="1">
        <v>6.79</v>
      </c>
    </row>
    <row r="195" spans="1:11" ht="12.75" x14ac:dyDescent="0.2">
      <c r="A195" s="2">
        <v>42440</v>
      </c>
      <c r="B195" s="2" t="str">
        <f>TEXT(Table1[[#This Row],[Order Date]],"MMM")</f>
        <v>Mar</v>
      </c>
      <c r="C195" s="2" t="str">
        <f t="shared" si="3"/>
        <v>2016</v>
      </c>
      <c r="D195" s="1" t="s">
        <v>824</v>
      </c>
      <c r="E195" s="1" t="s">
        <v>68</v>
      </c>
      <c r="F195" s="1" t="s">
        <v>11</v>
      </c>
      <c r="G195" s="1" t="s">
        <v>80</v>
      </c>
      <c r="H195" s="1" t="s">
        <v>501</v>
      </c>
      <c r="I195" s="1">
        <v>91.92</v>
      </c>
      <c r="J195" s="1">
        <v>5</v>
      </c>
      <c r="K195" s="1">
        <v>11.49</v>
      </c>
    </row>
    <row r="196" spans="1:11" ht="12.75" x14ac:dyDescent="0.2">
      <c r="A196" s="2">
        <v>42462</v>
      </c>
      <c r="B196" s="2" t="str">
        <f>TEXT(Table1[[#This Row],[Order Date]],"MMM")</f>
        <v>Apr</v>
      </c>
      <c r="C196" s="2" t="str">
        <f t="shared" si="3"/>
        <v>2016</v>
      </c>
      <c r="D196" s="1" t="s">
        <v>93</v>
      </c>
      <c r="E196" s="1" t="s">
        <v>27</v>
      </c>
      <c r="F196" s="1" t="s">
        <v>38</v>
      </c>
      <c r="G196" s="1" t="s">
        <v>48</v>
      </c>
      <c r="H196" s="1" t="s">
        <v>825</v>
      </c>
      <c r="I196" s="1">
        <v>9.09</v>
      </c>
      <c r="J196" s="1">
        <v>3</v>
      </c>
      <c r="K196" s="1">
        <v>1.91</v>
      </c>
    </row>
    <row r="197" spans="1:11" ht="12.75" x14ac:dyDescent="0.2">
      <c r="A197" s="2">
        <v>42463</v>
      </c>
      <c r="B197" s="2" t="str">
        <f>TEXT(Table1[[#This Row],[Order Date]],"MMM")</f>
        <v>Apr</v>
      </c>
      <c r="C197" s="2" t="str">
        <f t="shared" si="3"/>
        <v>2016</v>
      </c>
      <c r="D197" s="1" t="s">
        <v>777</v>
      </c>
      <c r="E197" s="1" t="s">
        <v>187</v>
      </c>
      <c r="F197" s="1" t="s">
        <v>38</v>
      </c>
      <c r="G197" s="1" t="s">
        <v>48</v>
      </c>
      <c r="H197" s="1" t="s">
        <v>827</v>
      </c>
      <c r="I197" s="1">
        <v>23.47</v>
      </c>
      <c r="J197" s="1">
        <v>3</v>
      </c>
      <c r="K197" s="1">
        <v>4.99</v>
      </c>
    </row>
    <row r="198" spans="1:11" ht="12.75" x14ac:dyDescent="0.2">
      <c r="A198" s="2">
        <v>42464</v>
      </c>
      <c r="B198" s="2" t="str">
        <f>TEXT(Table1[[#This Row],[Order Date]],"MMM")</f>
        <v>Apr</v>
      </c>
      <c r="C198" s="2" t="str">
        <f t="shared" si="3"/>
        <v>2016</v>
      </c>
      <c r="D198" s="1" t="s">
        <v>828</v>
      </c>
      <c r="E198" s="1" t="s">
        <v>27</v>
      </c>
      <c r="F198" s="1" t="s">
        <v>33</v>
      </c>
      <c r="G198" s="1" t="s">
        <v>34</v>
      </c>
      <c r="H198" s="1" t="s">
        <v>817</v>
      </c>
      <c r="I198" s="1">
        <v>122.35</v>
      </c>
      <c r="J198" s="1">
        <v>3</v>
      </c>
      <c r="K198" s="1">
        <v>13.76</v>
      </c>
    </row>
    <row r="199" spans="1:11" ht="12.75" x14ac:dyDescent="0.2">
      <c r="A199" s="2">
        <v>42466</v>
      </c>
      <c r="B199" s="2" t="str">
        <f>TEXT(Table1[[#This Row],[Order Date]],"MMM")</f>
        <v>Apr</v>
      </c>
      <c r="C199" s="2" t="str">
        <f t="shared" si="3"/>
        <v>2016</v>
      </c>
      <c r="D199" s="1" t="s">
        <v>829</v>
      </c>
      <c r="E199" s="1" t="s">
        <v>23</v>
      </c>
      <c r="F199" s="1" t="s">
        <v>11</v>
      </c>
      <c r="G199" s="1" t="s">
        <v>18</v>
      </c>
      <c r="H199" s="1" t="s">
        <v>830</v>
      </c>
      <c r="I199" s="1">
        <v>281.89999999999998</v>
      </c>
      <c r="J199" s="1">
        <v>2</v>
      </c>
      <c r="K199" s="1">
        <v>10.57</v>
      </c>
    </row>
    <row r="200" spans="1:11" ht="12.75" x14ac:dyDescent="0.2">
      <c r="A200" s="2">
        <v>42467</v>
      </c>
      <c r="B200" s="2" t="str">
        <f>TEXT(Table1[[#This Row],[Order Date]],"MMM")</f>
        <v>Apr</v>
      </c>
      <c r="C200" s="2" t="str">
        <f t="shared" si="3"/>
        <v>2016</v>
      </c>
      <c r="D200" s="1" t="s">
        <v>832</v>
      </c>
      <c r="E200" s="1" t="s">
        <v>134</v>
      </c>
      <c r="F200" s="1" t="s">
        <v>11</v>
      </c>
      <c r="G200" s="1" t="s">
        <v>24</v>
      </c>
      <c r="H200" s="1" t="s">
        <v>619</v>
      </c>
      <c r="I200" s="1">
        <v>11.52</v>
      </c>
      <c r="J200" s="1">
        <v>4</v>
      </c>
      <c r="K200" s="1">
        <v>3.23</v>
      </c>
    </row>
    <row r="201" spans="1:11" ht="12.75" x14ac:dyDescent="0.2">
      <c r="A201" s="2">
        <v>42468</v>
      </c>
      <c r="B201" s="2" t="str">
        <f>TEXT(Table1[[#This Row],[Order Date]],"MMM")</f>
        <v>Apr</v>
      </c>
      <c r="C201" s="2" t="str">
        <f t="shared" si="3"/>
        <v>2016</v>
      </c>
      <c r="D201" s="1" t="s">
        <v>836</v>
      </c>
      <c r="E201" s="1" t="s">
        <v>442</v>
      </c>
      <c r="F201" s="1" t="s">
        <v>11</v>
      </c>
      <c r="G201" s="1" t="s">
        <v>20</v>
      </c>
      <c r="H201" s="1" t="s">
        <v>69</v>
      </c>
      <c r="I201" s="1">
        <v>22.92</v>
      </c>
      <c r="J201" s="1">
        <v>4</v>
      </c>
      <c r="K201" s="1">
        <v>11</v>
      </c>
    </row>
    <row r="202" spans="1:11" ht="12.75" x14ac:dyDescent="0.2">
      <c r="A202" s="2">
        <v>42472</v>
      </c>
      <c r="B202" s="2" t="str">
        <f>TEXT(Table1[[#This Row],[Order Date]],"MMM")</f>
        <v>Apr</v>
      </c>
      <c r="C202" s="2" t="str">
        <f t="shared" si="3"/>
        <v>2016</v>
      </c>
      <c r="D202" s="1" t="s">
        <v>543</v>
      </c>
      <c r="E202" s="1" t="s">
        <v>101</v>
      </c>
      <c r="F202" s="1" t="s">
        <v>33</v>
      </c>
      <c r="G202" s="1" t="s">
        <v>44</v>
      </c>
      <c r="H202" s="1" t="s">
        <v>232</v>
      </c>
      <c r="I202" s="1">
        <v>15.38</v>
      </c>
      <c r="J202" s="1">
        <v>1</v>
      </c>
      <c r="K202" s="1">
        <v>4.04</v>
      </c>
    </row>
    <row r="203" spans="1:11" ht="12.75" x14ac:dyDescent="0.2">
      <c r="A203" s="2">
        <v>42491</v>
      </c>
      <c r="B203" s="2" t="str">
        <f>TEXT(Table1[[#This Row],[Order Date]],"MMM")</f>
        <v>May</v>
      </c>
      <c r="C203" s="2" t="str">
        <f t="shared" si="3"/>
        <v>2016</v>
      </c>
      <c r="D203" s="1" t="s">
        <v>838</v>
      </c>
      <c r="E203" s="1" t="s">
        <v>27</v>
      </c>
      <c r="F203" s="1" t="s">
        <v>11</v>
      </c>
      <c r="G203" s="1" t="s">
        <v>20</v>
      </c>
      <c r="H203" s="1" t="s">
        <v>223</v>
      </c>
      <c r="I203" s="1">
        <v>14.35</v>
      </c>
      <c r="J203" s="1">
        <v>3</v>
      </c>
      <c r="K203" s="1">
        <v>5.0199999999999996</v>
      </c>
    </row>
    <row r="204" spans="1:11" ht="12.75" x14ac:dyDescent="0.2">
      <c r="A204" s="2">
        <v>42494</v>
      </c>
      <c r="B204" s="2" t="str">
        <f>TEXT(Table1[[#This Row],[Order Date]],"MMM")</f>
        <v>May</v>
      </c>
      <c r="C204" s="2" t="str">
        <f t="shared" si="3"/>
        <v>2016</v>
      </c>
      <c r="D204" s="1" t="s">
        <v>841</v>
      </c>
      <c r="E204" s="1" t="s">
        <v>320</v>
      </c>
      <c r="F204" s="1" t="s">
        <v>11</v>
      </c>
      <c r="G204" s="1" t="s">
        <v>18</v>
      </c>
      <c r="H204" s="1" t="s">
        <v>559</v>
      </c>
      <c r="I204" s="1">
        <v>275.97000000000003</v>
      </c>
      <c r="J204" s="1">
        <v>3</v>
      </c>
      <c r="K204" s="1">
        <v>11.04</v>
      </c>
    </row>
    <row r="205" spans="1:11" ht="12.75" x14ac:dyDescent="0.2">
      <c r="A205" s="2">
        <v>42498</v>
      </c>
      <c r="B205" s="2" t="str">
        <f>TEXT(Table1[[#This Row],[Order Date]],"MMM")</f>
        <v>May</v>
      </c>
      <c r="C205" s="2" t="str">
        <f t="shared" si="3"/>
        <v>2016</v>
      </c>
      <c r="D205" s="1" t="s">
        <v>845</v>
      </c>
      <c r="E205" s="1" t="s">
        <v>27</v>
      </c>
      <c r="F205" s="1" t="s">
        <v>11</v>
      </c>
      <c r="G205" s="1" t="s">
        <v>12</v>
      </c>
      <c r="H205" s="1" t="s">
        <v>846</v>
      </c>
      <c r="I205" s="1">
        <v>13.44</v>
      </c>
      <c r="J205" s="1">
        <v>3</v>
      </c>
      <c r="K205" s="1">
        <v>6.59</v>
      </c>
    </row>
    <row r="206" spans="1:11" ht="12.75" x14ac:dyDescent="0.2">
      <c r="A206" s="2">
        <v>42501</v>
      </c>
      <c r="B206" s="2" t="str">
        <f>TEXT(Table1[[#This Row],[Order Date]],"MMM")</f>
        <v>May</v>
      </c>
      <c r="C206" s="2" t="str">
        <f t="shared" si="3"/>
        <v>2016</v>
      </c>
      <c r="D206" s="1" t="s">
        <v>854</v>
      </c>
      <c r="E206" s="1" t="s">
        <v>68</v>
      </c>
      <c r="F206" s="1" t="s">
        <v>33</v>
      </c>
      <c r="G206" s="1" t="s">
        <v>44</v>
      </c>
      <c r="H206" s="1" t="s">
        <v>805</v>
      </c>
      <c r="I206" s="1">
        <v>93.89</v>
      </c>
      <c r="J206" s="1">
        <v>4</v>
      </c>
      <c r="K206" s="1">
        <v>12.91</v>
      </c>
    </row>
    <row r="207" spans="1:11" ht="12.75" x14ac:dyDescent="0.2">
      <c r="A207" s="2">
        <v>42523</v>
      </c>
      <c r="B207" s="2" t="str">
        <f>TEXT(Table1[[#This Row],[Order Date]],"MMM")</f>
        <v>Jun</v>
      </c>
      <c r="C207" s="2" t="str">
        <f t="shared" si="3"/>
        <v>2016</v>
      </c>
      <c r="D207" s="1" t="s">
        <v>361</v>
      </c>
      <c r="E207" s="1" t="s">
        <v>27</v>
      </c>
      <c r="F207" s="1" t="s">
        <v>11</v>
      </c>
      <c r="G207" s="1" t="s">
        <v>20</v>
      </c>
      <c r="H207" s="1" t="s">
        <v>856</v>
      </c>
      <c r="I207" s="1">
        <v>49.41</v>
      </c>
      <c r="J207" s="1">
        <v>4</v>
      </c>
      <c r="K207" s="1">
        <v>18.53</v>
      </c>
    </row>
    <row r="208" spans="1:11" ht="12.75" x14ac:dyDescent="0.2">
      <c r="A208" s="2">
        <v>42524</v>
      </c>
      <c r="B208" s="2" t="str">
        <f>TEXT(Table1[[#This Row],[Order Date]],"MMM")</f>
        <v>Jun</v>
      </c>
      <c r="C208" s="2" t="str">
        <f t="shared" si="3"/>
        <v>2016</v>
      </c>
      <c r="D208" s="1" t="s">
        <v>857</v>
      </c>
      <c r="E208" s="1" t="s">
        <v>134</v>
      </c>
      <c r="F208" s="1" t="s">
        <v>33</v>
      </c>
      <c r="G208" s="1" t="s">
        <v>44</v>
      </c>
      <c r="H208" s="1" t="s">
        <v>858</v>
      </c>
      <c r="I208" s="1">
        <v>63.92</v>
      </c>
      <c r="J208" s="1">
        <v>4</v>
      </c>
      <c r="K208" s="1">
        <v>3.2</v>
      </c>
    </row>
    <row r="209" spans="1:11" ht="12.75" x14ac:dyDescent="0.2">
      <c r="A209" s="2">
        <v>42525</v>
      </c>
      <c r="B209" s="2" t="str">
        <f>TEXT(Table1[[#This Row],[Order Date]],"MMM")</f>
        <v>Jun</v>
      </c>
      <c r="C209" s="2" t="str">
        <f t="shared" si="3"/>
        <v>2016</v>
      </c>
      <c r="D209" s="1" t="s">
        <v>859</v>
      </c>
      <c r="E209" s="1" t="s">
        <v>27</v>
      </c>
      <c r="F209" s="1" t="s">
        <v>11</v>
      </c>
      <c r="G209" s="1" t="s">
        <v>20</v>
      </c>
      <c r="H209" s="1" t="s">
        <v>299</v>
      </c>
      <c r="I209" s="1">
        <v>7.18</v>
      </c>
      <c r="J209" s="1">
        <v>2</v>
      </c>
      <c r="K209" s="1">
        <v>2.25</v>
      </c>
    </row>
    <row r="210" spans="1:11" ht="12.75" x14ac:dyDescent="0.2">
      <c r="A210" s="2">
        <v>42526</v>
      </c>
      <c r="B210" s="2" t="str">
        <f>TEXT(Table1[[#This Row],[Order Date]],"MMM")</f>
        <v>Jun</v>
      </c>
      <c r="C210" s="2" t="str">
        <f t="shared" si="3"/>
        <v>2016</v>
      </c>
      <c r="D210" s="1" t="s">
        <v>174</v>
      </c>
      <c r="E210" s="1" t="s">
        <v>15</v>
      </c>
      <c r="F210" s="1" t="s">
        <v>38</v>
      </c>
      <c r="G210" s="1" t="s">
        <v>39</v>
      </c>
      <c r="H210" s="1" t="s">
        <v>632</v>
      </c>
      <c r="I210" s="1">
        <v>2735.95</v>
      </c>
      <c r="J210" s="1">
        <v>6</v>
      </c>
      <c r="K210" s="1">
        <v>341.99</v>
      </c>
    </row>
    <row r="211" spans="1:11" ht="12.75" x14ac:dyDescent="0.2">
      <c r="A211" s="2">
        <v>42527</v>
      </c>
      <c r="B211" s="2" t="str">
        <f>TEXT(Table1[[#This Row],[Order Date]],"MMM")</f>
        <v>Jun</v>
      </c>
      <c r="C211" s="2" t="str">
        <f t="shared" si="3"/>
        <v>2016</v>
      </c>
      <c r="D211" s="1" t="s">
        <v>547</v>
      </c>
      <c r="E211" s="1" t="s">
        <v>200</v>
      </c>
      <c r="F211" s="1" t="s">
        <v>11</v>
      </c>
      <c r="G211" s="1" t="s">
        <v>24</v>
      </c>
      <c r="H211" s="1" t="s">
        <v>406</v>
      </c>
      <c r="I211" s="1">
        <v>43.18</v>
      </c>
      <c r="J211" s="1">
        <v>3</v>
      </c>
      <c r="K211" s="1">
        <v>4.32</v>
      </c>
    </row>
    <row r="212" spans="1:11" ht="12.75" x14ac:dyDescent="0.2">
      <c r="A212" s="2">
        <v>42552</v>
      </c>
      <c r="B212" s="2" t="str">
        <f>TEXT(Table1[[#This Row],[Order Date]],"MMM")</f>
        <v>Jul</v>
      </c>
      <c r="C212" s="2" t="str">
        <f t="shared" si="3"/>
        <v>2016</v>
      </c>
      <c r="D212" s="1" t="s">
        <v>606</v>
      </c>
      <c r="E212" s="1" t="s">
        <v>120</v>
      </c>
      <c r="F212" s="1" t="s">
        <v>11</v>
      </c>
      <c r="G212" s="1" t="s">
        <v>16</v>
      </c>
      <c r="H212" s="1" t="s">
        <v>773</v>
      </c>
      <c r="I212" s="1">
        <v>34.86</v>
      </c>
      <c r="J212" s="1">
        <v>7</v>
      </c>
      <c r="K212" s="1">
        <v>16.04</v>
      </c>
    </row>
    <row r="213" spans="1:11" ht="12.75" x14ac:dyDescent="0.2">
      <c r="A213" s="2">
        <v>42553</v>
      </c>
      <c r="B213" s="2" t="str">
        <f>TEXT(Table1[[#This Row],[Order Date]],"MMM")</f>
        <v>Jul</v>
      </c>
      <c r="C213" s="2" t="str">
        <f t="shared" si="3"/>
        <v>2016</v>
      </c>
      <c r="D213" s="1" t="s">
        <v>555</v>
      </c>
      <c r="E213" s="1" t="s">
        <v>23</v>
      </c>
      <c r="F213" s="1" t="s">
        <v>11</v>
      </c>
      <c r="G213" s="1" t="s">
        <v>158</v>
      </c>
      <c r="H213" s="1" t="s">
        <v>159</v>
      </c>
      <c r="I213" s="1">
        <v>286.33999999999997</v>
      </c>
      <c r="J213" s="1">
        <v>3</v>
      </c>
      <c r="K213" s="1">
        <v>-64.430000000000007</v>
      </c>
    </row>
    <row r="214" spans="1:11" ht="12.75" x14ac:dyDescent="0.2">
      <c r="A214" s="2">
        <v>42554</v>
      </c>
      <c r="B214" s="2" t="str">
        <f>TEXT(Table1[[#This Row],[Order Date]],"MMM")</f>
        <v>Jul</v>
      </c>
      <c r="C214" s="2" t="str">
        <f t="shared" si="3"/>
        <v>2016</v>
      </c>
      <c r="D214" s="1" t="s">
        <v>144</v>
      </c>
      <c r="E214" s="1" t="s">
        <v>120</v>
      </c>
      <c r="F214" s="1" t="s">
        <v>33</v>
      </c>
      <c r="G214" s="1" t="s">
        <v>34</v>
      </c>
      <c r="H214" s="1" t="s">
        <v>352</v>
      </c>
      <c r="I214" s="1">
        <v>135.88</v>
      </c>
      <c r="J214" s="1">
        <v>1</v>
      </c>
      <c r="K214" s="1">
        <v>24.16</v>
      </c>
    </row>
    <row r="215" spans="1:11" ht="12.75" x14ac:dyDescent="0.2">
      <c r="A215" s="2">
        <v>42555</v>
      </c>
      <c r="B215" s="2" t="str">
        <f>TEXT(Table1[[#This Row],[Order Date]],"MMM")</f>
        <v>Jul</v>
      </c>
      <c r="C215" s="2" t="str">
        <f t="shared" si="3"/>
        <v>2016</v>
      </c>
      <c r="D215" s="1" t="s">
        <v>694</v>
      </c>
      <c r="E215" s="1" t="s">
        <v>27</v>
      </c>
      <c r="F215" s="1" t="s">
        <v>33</v>
      </c>
      <c r="G215" s="1" t="s">
        <v>44</v>
      </c>
      <c r="H215" s="1" t="s">
        <v>883</v>
      </c>
      <c r="I215" s="1">
        <v>20.04</v>
      </c>
      <c r="J215" s="1">
        <v>6</v>
      </c>
      <c r="K215" s="1">
        <v>8.82</v>
      </c>
    </row>
    <row r="216" spans="1:11" ht="12.75" x14ac:dyDescent="0.2">
      <c r="A216" s="2">
        <v>42556</v>
      </c>
      <c r="B216" s="2" t="str">
        <f>TEXT(Table1[[#This Row],[Order Date]],"MMM")</f>
        <v>Jul</v>
      </c>
      <c r="C216" s="2" t="str">
        <f t="shared" si="3"/>
        <v>2016</v>
      </c>
      <c r="D216" s="1" t="s">
        <v>437</v>
      </c>
      <c r="E216" s="1" t="s">
        <v>30</v>
      </c>
      <c r="F216" s="1" t="s">
        <v>11</v>
      </c>
      <c r="G216" s="1" t="s">
        <v>12</v>
      </c>
      <c r="H216" s="1" t="s">
        <v>185</v>
      </c>
      <c r="I216" s="1">
        <v>43.68</v>
      </c>
      <c r="J216" s="1">
        <v>6</v>
      </c>
      <c r="K216" s="1">
        <v>20.97</v>
      </c>
    </row>
    <row r="217" spans="1:11" ht="12.75" x14ac:dyDescent="0.2">
      <c r="A217" s="2">
        <v>42558</v>
      </c>
      <c r="B217" s="2" t="str">
        <f>TEXT(Table1[[#This Row],[Order Date]],"MMM")</f>
        <v>Jul</v>
      </c>
      <c r="C217" s="2" t="str">
        <f t="shared" si="3"/>
        <v>2016</v>
      </c>
      <c r="D217" s="1" t="s">
        <v>886</v>
      </c>
      <c r="E217" s="1" t="s">
        <v>10</v>
      </c>
      <c r="F217" s="1" t="s">
        <v>11</v>
      </c>
      <c r="G217" s="1" t="s">
        <v>20</v>
      </c>
      <c r="H217" s="1" t="s">
        <v>691</v>
      </c>
      <c r="I217" s="1">
        <v>26.05</v>
      </c>
      <c r="J217" s="1">
        <v>3</v>
      </c>
      <c r="K217" s="1">
        <v>-44.28</v>
      </c>
    </row>
    <row r="218" spans="1:11" ht="12.75" x14ac:dyDescent="0.2">
      <c r="A218" s="2">
        <v>42559</v>
      </c>
      <c r="B218" s="2" t="str">
        <f>TEXT(Table1[[#This Row],[Order Date]],"MMM")</f>
        <v>Jul</v>
      </c>
      <c r="C218" s="2" t="str">
        <f t="shared" si="3"/>
        <v>2016</v>
      </c>
      <c r="D218" s="1" t="s">
        <v>400</v>
      </c>
      <c r="E218" s="1" t="s">
        <v>27</v>
      </c>
      <c r="F218" s="1" t="s">
        <v>38</v>
      </c>
      <c r="G218" s="1" t="s">
        <v>39</v>
      </c>
      <c r="H218" s="1" t="s">
        <v>888</v>
      </c>
      <c r="I218" s="1">
        <v>333.58</v>
      </c>
      <c r="J218" s="1">
        <v>3</v>
      </c>
      <c r="K218" s="1">
        <v>25.02</v>
      </c>
    </row>
    <row r="219" spans="1:11" ht="12.75" x14ac:dyDescent="0.2">
      <c r="A219" s="2">
        <v>42561</v>
      </c>
      <c r="B219" s="2" t="str">
        <f>TEXT(Table1[[#This Row],[Order Date]],"MMM")</f>
        <v>Jul</v>
      </c>
      <c r="C219" s="2" t="str">
        <f t="shared" si="3"/>
        <v>2016</v>
      </c>
      <c r="D219" s="1" t="s">
        <v>307</v>
      </c>
      <c r="E219" s="1" t="s">
        <v>27</v>
      </c>
      <c r="F219" s="1" t="s">
        <v>38</v>
      </c>
      <c r="G219" s="1" t="s">
        <v>39</v>
      </c>
      <c r="H219" s="1" t="s">
        <v>112</v>
      </c>
      <c r="I219" s="1">
        <v>601.54</v>
      </c>
      <c r="J219" s="1">
        <v>8</v>
      </c>
      <c r="K219" s="1">
        <v>60.15</v>
      </c>
    </row>
    <row r="220" spans="1:11" ht="12.75" x14ac:dyDescent="0.2">
      <c r="A220" s="2">
        <v>42562</v>
      </c>
      <c r="B220" s="2" t="str">
        <f>TEXT(Table1[[#This Row],[Order Date]],"MMM")</f>
        <v>Jul</v>
      </c>
      <c r="C220" s="2" t="str">
        <f t="shared" si="3"/>
        <v>2016</v>
      </c>
      <c r="D220" s="1" t="s">
        <v>895</v>
      </c>
      <c r="E220" s="1" t="s">
        <v>127</v>
      </c>
      <c r="F220" s="1" t="s">
        <v>11</v>
      </c>
      <c r="G220" s="1" t="s">
        <v>18</v>
      </c>
      <c r="H220" s="1" t="s">
        <v>896</v>
      </c>
      <c r="I220" s="1">
        <v>665.88</v>
      </c>
      <c r="J220" s="1">
        <v>6</v>
      </c>
      <c r="K220" s="1">
        <v>13.32</v>
      </c>
    </row>
    <row r="221" spans="1:11" ht="12.75" x14ac:dyDescent="0.2">
      <c r="A221" s="2">
        <v>42583</v>
      </c>
      <c r="B221" s="2" t="str">
        <f>TEXT(Table1[[#This Row],[Order Date]],"MMM")</f>
        <v>Aug</v>
      </c>
      <c r="C221" s="2" t="str">
        <f t="shared" si="3"/>
        <v>2016</v>
      </c>
      <c r="D221" s="1" t="s">
        <v>902</v>
      </c>
      <c r="E221" s="1" t="s">
        <v>10</v>
      </c>
      <c r="F221" s="1" t="s">
        <v>11</v>
      </c>
      <c r="G221" s="1" t="s">
        <v>18</v>
      </c>
      <c r="H221" s="1" t="s">
        <v>903</v>
      </c>
      <c r="I221" s="1">
        <v>49.63</v>
      </c>
      <c r="J221" s="1">
        <v>4</v>
      </c>
      <c r="K221" s="1">
        <v>4.96</v>
      </c>
    </row>
    <row r="222" spans="1:11" ht="12.75" x14ac:dyDescent="0.2">
      <c r="A222" s="2">
        <v>42584</v>
      </c>
      <c r="B222" s="2" t="str">
        <f>TEXT(Table1[[#This Row],[Order Date]],"MMM")</f>
        <v>Aug</v>
      </c>
      <c r="C222" s="2" t="str">
        <f t="shared" si="3"/>
        <v>2016</v>
      </c>
      <c r="D222" s="1" t="s">
        <v>907</v>
      </c>
      <c r="E222" s="1" t="s">
        <v>394</v>
      </c>
      <c r="F222" s="1" t="s">
        <v>38</v>
      </c>
      <c r="G222" s="1" t="s">
        <v>39</v>
      </c>
      <c r="H222" s="1" t="s">
        <v>880</v>
      </c>
      <c r="I222" s="1">
        <v>832.93</v>
      </c>
      <c r="J222" s="1">
        <v>7</v>
      </c>
      <c r="K222" s="1">
        <v>233.22</v>
      </c>
    </row>
    <row r="223" spans="1:11" ht="12.75" x14ac:dyDescent="0.2">
      <c r="A223" s="2">
        <v>42585</v>
      </c>
      <c r="B223" s="2" t="str">
        <f>TEXT(Table1[[#This Row],[Order Date]],"MMM")</f>
        <v>Aug</v>
      </c>
      <c r="C223" s="2" t="str">
        <f t="shared" si="3"/>
        <v>2016</v>
      </c>
      <c r="D223" s="1" t="s">
        <v>910</v>
      </c>
      <c r="E223" s="1" t="s">
        <v>98</v>
      </c>
      <c r="F223" s="1" t="s">
        <v>11</v>
      </c>
      <c r="G223" s="1" t="s">
        <v>24</v>
      </c>
      <c r="H223" s="1" t="s">
        <v>911</v>
      </c>
      <c r="I223" s="1">
        <v>4.22</v>
      </c>
      <c r="J223" s="1">
        <v>3</v>
      </c>
      <c r="K223" s="1">
        <v>0.48</v>
      </c>
    </row>
    <row r="224" spans="1:11" ht="12.75" x14ac:dyDescent="0.2">
      <c r="A224" s="2">
        <v>42586</v>
      </c>
      <c r="B224" s="2" t="str">
        <f>TEXT(Table1[[#This Row],[Order Date]],"MMM")</f>
        <v>Aug</v>
      </c>
      <c r="C224" s="2" t="str">
        <f t="shared" si="3"/>
        <v>2016</v>
      </c>
      <c r="D224" s="1" t="s">
        <v>914</v>
      </c>
      <c r="E224" s="1" t="s">
        <v>752</v>
      </c>
      <c r="F224" s="1" t="s">
        <v>38</v>
      </c>
      <c r="G224" s="1" t="s">
        <v>39</v>
      </c>
      <c r="H224" s="1" t="s">
        <v>671</v>
      </c>
      <c r="I224" s="1">
        <v>273.95999999999998</v>
      </c>
      <c r="J224" s="1">
        <v>2</v>
      </c>
      <c r="K224" s="1">
        <v>10.96</v>
      </c>
    </row>
    <row r="225" spans="1:11" ht="12.75" x14ac:dyDescent="0.2">
      <c r="A225" s="2">
        <v>42589</v>
      </c>
      <c r="B225" s="2" t="str">
        <f>TEXT(Table1[[#This Row],[Order Date]],"MMM")</f>
        <v>Aug</v>
      </c>
      <c r="C225" s="2" t="str">
        <f t="shared" si="3"/>
        <v>2016</v>
      </c>
      <c r="D225" s="1" t="s">
        <v>274</v>
      </c>
      <c r="E225" s="1" t="s">
        <v>221</v>
      </c>
      <c r="F225" s="1" t="s">
        <v>33</v>
      </c>
      <c r="G225" s="1" t="s">
        <v>34</v>
      </c>
      <c r="H225" s="1" t="s">
        <v>741</v>
      </c>
      <c r="I225" s="1">
        <v>479.9</v>
      </c>
      <c r="J225" s="1">
        <v>5</v>
      </c>
      <c r="K225" s="1">
        <v>81.58</v>
      </c>
    </row>
    <row r="226" spans="1:11" ht="12.75" x14ac:dyDescent="0.2">
      <c r="A226" s="2">
        <v>42591</v>
      </c>
      <c r="B226" s="2" t="str">
        <f>TEXT(Table1[[#This Row],[Order Date]],"MMM")</f>
        <v>Aug</v>
      </c>
      <c r="C226" s="2" t="str">
        <f t="shared" si="3"/>
        <v>2016</v>
      </c>
      <c r="D226" s="1" t="s">
        <v>923</v>
      </c>
      <c r="E226" s="1" t="s">
        <v>200</v>
      </c>
      <c r="F226" s="1" t="s">
        <v>33</v>
      </c>
      <c r="G226" s="1" t="s">
        <v>118</v>
      </c>
      <c r="H226" s="1" t="s">
        <v>924</v>
      </c>
      <c r="I226" s="1">
        <v>145.97999999999999</v>
      </c>
      <c r="J226" s="1">
        <v>2</v>
      </c>
      <c r="K226" s="1">
        <v>-99.27</v>
      </c>
    </row>
    <row r="227" spans="1:11" ht="12.75" x14ac:dyDescent="0.2">
      <c r="A227" s="2">
        <v>42592</v>
      </c>
      <c r="B227" s="2" t="str">
        <f>TEXT(Table1[[#This Row],[Order Date]],"MMM")</f>
        <v>Aug</v>
      </c>
      <c r="C227" s="2" t="str">
        <f t="shared" si="3"/>
        <v>2016</v>
      </c>
      <c r="D227" s="1" t="s">
        <v>909</v>
      </c>
      <c r="E227" s="1" t="s">
        <v>57</v>
      </c>
      <c r="F227" s="1" t="s">
        <v>38</v>
      </c>
      <c r="G227" s="1" t="s">
        <v>39</v>
      </c>
      <c r="H227" s="1" t="s">
        <v>265</v>
      </c>
      <c r="I227" s="1">
        <v>503.96</v>
      </c>
      <c r="J227" s="1">
        <v>4</v>
      </c>
      <c r="K227" s="1">
        <v>131.03</v>
      </c>
    </row>
    <row r="228" spans="1:11" ht="12.75" x14ac:dyDescent="0.2">
      <c r="A228" s="2">
        <v>42593</v>
      </c>
      <c r="B228" s="2" t="str">
        <f>TEXT(Table1[[#This Row],[Order Date]],"MMM")</f>
        <v>Aug</v>
      </c>
      <c r="C228" s="2" t="str">
        <f t="shared" si="3"/>
        <v>2016</v>
      </c>
      <c r="D228" s="1" t="s">
        <v>286</v>
      </c>
      <c r="E228" s="1" t="s">
        <v>120</v>
      </c>
      <c r="F228" s="1" t="s">
        <v>11</v>
      </c>
      <c r="G228" s="1" t="s">
        <v>58</v>
      </c>
      <c r="H228" s="1" t="s">
        <v>935</v>
      </c>
      <c r="I228" s="1">
        <v>34.74</v>
      </c>
      <c r="J228" s="1">
        <v>3</v>
      </c>
      <c r="K228" s="1">
        <v>17.37</v>
      </c>
    </row>
    <row r="229" spans="1:11" ht="12.75" x14ac:dyDescent="0.2">
      <c r="A229" s="2">
        <v>42594</v>
      </c>
      <c r="B229" s="2" t="str">
        <f>TEXT(Table1[[#This Row],[Order Date]],"MMM")</f>
        <v>Aug</v>
      </c>
      <c r="C229" s="2" t="str">
        <f t="shared" si="3"/>
        <v>2016</v>
      </c>
      <c r="D229" s="1" t="s">
        <v>326</v>
      </c>
      <c r="E229" s="1" t="s">
        <v>30</v>
      </c>
      <c r="F229" s="1" t="s">
        <v>11</v>
      </c>
      <c r="G229" s="1" t="s">
        <v>58</v>
      </c>
      <c r="H229" s="1" t="s">
        <v>938</v>
      </c>
      <c r="I229" s="1">
        <v>16.23</v>
      </c>
      <c r="J229" s="1">
        <v>3</v>
      </c>
      <c r="K229" s="1">
        <v>7.95</v>
      </c>
    </row>
    <row r="230" spans="1:11" ht="12.75" x14ac:dyDescent="0.2">
      <c r="A230" s="2">
        <v>42614</v>
      </c>
      <c r="B230" s="2" t="str">
        <f>TEXT(Table1[[#This Row],[Order Date]],"MMM")</f>
        <v>Sep</v>
      </c>
      <c r="C230" s="2" t="str">
        <f t="shared" si="3"/>
        <v>2016</v>
      </c>
      <c r="D230" s="1" t="s">
        <v>153</v>
      </c>
      <c r="E230" s="1" t="s">
        <v>27</v>
      </c>
      <c r="F230" s="1" t="s">
        <v>33</v>
      </c>
      <c r="G230" s="1" t="s">
        <v>34</v>
      </c>
      <c r="H230" s="1" t="s">
        <v>181</v>
      </c>
      <c r="I230" s="1">
        <v>603.91999999999996</v>
      </c>
      <c r="J230" s="1">
        <v>5</v>
      </c>
      <c r="K230" s="1">
        <v>-67.94</v>
      </c>
    </row>
    <row r="231" spans="1:11" ht="12.75" x14ac:dyDescent="0.2">
      <c r="A231" s="2">
        <v>42618</v>
      </c>
      <c r="B231" s="2" t="str">
        <f>TEXT(Table1[[#This Row],[Order Date]],"MMM")</f>
        <v>Sep</v>
      </c>
      <c r="C231" s="2" t="str">
        <f t="shared" si="3"/>
        <v>2016</v>
      </c>
      <c r="D231" s="1" t="s">
        <v>943</v>
      </c>
      <c r="E231" s="1" t="s">
        <v>68</v>
      </c>
      <c r="F231" s="1" t="s">
        <v>11</v>
      </c>
      <c r="G231" s="1" t="s">
        <v>24</v>
      </c>
      <c r="H231" s="1" t="s">
        <v>304</v>
      </c>
      <c r="I231" s="1">
        <v>2.62</v>
      </c>
      <c r="J231" s="1">
        <v>1</v>
      </c>
      <c r="K231" s="1">
        <v>0.43</v>
      </c>
    </row>
    <row r="232" spans="1:11" ht="12.75" x14ac:dyDescent="0.2">
      <c r="A232" s="2">
        <v>42621</v>
      </c>
      <c r="B232" s="2" t="str">
        <f>TEXT(Table1[[#This Row],[Order Date]],"MMM")</f>
        <v>Sep</v>
      </c>
      <c r="C232" s="2" t="str">
        <f t="shared" si="3"/>
        <v>2016</v>
      </c>
      <c r="D232" s="1" t="s">
        <v>524</v>
      </c>
      <c r="E232" s="1" t="s">
        <v>10</v>
      </c>
      <c r="F232" s="1" t="s">
        <v>33</v>
      </c>
      <c r="G232" s="1" t="s">
        <v>44</v>
      </c>
      <c r="H232" s="1" t="s">
        <v>89</v>
      </c>
      <c r="I232" s="1">
        <v>19.3</v>
      </c>
      <c r="J232" s="1">
        <v>5</v>
      </c>
      <c r="K232" s="1">
        <v>-14.48</v>
      </c>
    </row>
    <row r="233" spans="1:11" ht="12.75" x14ac:dyDescent="0.2">
      <c r="A233" s="2">
        <v>42644</v>
      </c>
      <c r="B233" s="2" t="str">
        <f>TEXT(Table1[[#This Row],[Order Date]],"MMM")</f>
        <v>Oct</v>
      </c>
      <c r="C233" s="2" t="str">
        <f t="shared" si="3"/>
        <v>2016</v>
      </c>
      <c r="D233" s="1" t="s">
        <v>955</v>
      </c>
      <c r="E233" s="1" t="s">
        <v>320</v>
      </c>
      <c r="F233" s="1" t="s">
        <v>11</v>
      </c>
      <c r="G233" s="1" t="s">
        <v>24</v>
      </c>
      <c r="H233" s="1" t="s">
        <v>956</v>
      </c>
      <c r="I233" s="1">
        <v>14.67</v>
      </c>
      <c r="J233" s="1">
        <v>3</v>
      </c>
      <c r="K233" s="1">
        <v>3.96</v>
      </c>
    </row>
    <row r="234" spans="1:11" ht="12.75" x14ac:dyDescent="0.2">
      <c r="A234" s="2">
        <v>42646</v>
      </c>
      <c r="B234" s="2" t="str">
        <f>TEXT(Table1[[#This Row],[Order Date]],"MMM")</f>
        <v>Oct</v>
      </c>
      <c r="C234" s="2" t="str">
        <f t="shared" si="3"/>
        <v>2016</v>
      </c>
      <c r="D234" s="1" t="s">
        <v>517</v>
      </c>
      <c r="E234" s="1" t="s">
        <v>23</v>
      </c>
      <c r="F234" s="1" t="s">
        <v>11</v>
      </c>
      <c r="G234" s="1" t="s">
        <v>16</v>
      </c>
      <c r="H234" s="1" t="s">
        <v>373</v>
      </c>
      <c r="I234" s="1">
        <v>5.04</v>
      </c>
      <c r="J234" s="1">
        <v>2</v>
      </c>
      <c r="K234" s="1">
        <v>1.76</v>
      </c>
    </row>
    <row r="235" spans="1:11" ht="12.75" x14ac:dyDescent="0.2">
      <c r="A235" s="2">
        <v>42647</v>
      </c>
      <c r="B235" s="2" t="str">
        <f>TEXT(Table1[[#This Row],[Order Date]],"MMM")</f>
        <v>Oct</v>
      </c>
      <c r="C235" s="2" t="str">
        <f t="shared" si="3"/>
        <v>2016</v>
      </c>
      <c r="D235" s="1" t="s">
        <v>908</v>
      </c>
      <c r="E235" s="1" t="s">
        <v>120</v>
      </c>
      <c r="F235" s="1" t="s">
        <v>11</v>
      </c>
      <c r="G235" s="1" t="s">
        <v>58</v>
      </c>
      <c r="H235" s="1" t="s">
        <v>962</v>
      </c>
      <c r="I235" s="1">
        <v>62.28</v>
      </c>
      <c r="J235" s="1">
        <v>4</v>
      </c>
      <c r="K235" s="1">
        <v>29.27</v>
      </c>
    </row>
    <row r="236" spans="1:11" ht="12.75" x14ac:dyDescent="0.2">
      <c r="A236" s="2">
        <v>42648</v>
      </c>
      <c r="B236" s="2" t="str">
        <f>TEXT(Table1[[#This Row],[Order Date]],"MMM")</f>
        <v>Oct</v>
      </c>
      <c r="C236" s="2" t="str">
        <f t="shared" si="3"/>
        <v>2016</v>
      </c>
      <c r="D236" s="1" t="s">
        <v>457</v>
      </c>
      <c r="E236" s="1" t="s">
        <v>127</v>
      </c>
      <c r="F236" s="1" t="s">
        <v>33</v>
      </c>
      <c r="G236" s="1" t="s">
        <v>34</v>
      </c>
      <c r="H236" s="1" t="s">
        <v>963</v>
      </c>
      <c r="I236" s="1">
        <v>2807.84</v>
      </c>
      <c r="J236" s="1">
        <v>8</v>
      </c>
      <c r="K236" s="1">
        <v>673.88</v>
      </c>
    </row>
    <row r="237" spans="1:11" ht="12.75" x14ac:dyDescent="0.2">
      <c r="A237" s="2">
        <v>42649</v>
      </c>
      <c r="B237" s="2" t="str">
        <f>TEXT(Table1[[#This Row],[Order Date]],"MMM")</f>
        <v>Oct</v>
      </c>
      <c r="C237" s="2" t="str">
        <f t="shared" si="3"/>
        <v>2016</v>
      </c>
      <c r="D237" s="1" t="s">
        <v>943</v>
      </c>
      <c r="E237" s="1" t="s">
        <v>518</v>
      </c>
      <c r="F237" s="1" t="s">
        <v>38</v>
      </c>
      <c r="G237" s="1" t="s">
        <v>39</v>
      </c>
      <c r="H237" s="1" t="s">
        <v>969</v>
      </c>
      <c r="I237" s="1">
        <v>479.96</v>
      </c>
      <c r="J237" s="1">
        <v>4</v>
      </c>
      <c r="K237" s="1">
        <v>134.38999999999999</v>
      </c>
    </row>
    <row r="238" spans="1:11" ht="12.75" x14ac:dyDescent="0.2">
      <c r="A238" s="2">
        <v>42650</v>
      </c>
      <c r="B238" s="2" t="str">
        <f>TEXT(Table1[[#This Row],[Order Date]],"MMM")</f>
        <v>Oct</v>
      </c>
      <c r="C238" s="2" t="str">
        <f t="shared" si="3"/>
        <v>2016</v>
      </c>
      <c r="D238" s="1" t="s">
        <v>970</v>
      </c>
      <c r="E238" s="1" t="s">
        <v>120</v>
      </c>
      <c r="F238" s="1" t="s">
        <v>38</v>
      </c>
      <c r="G238" s="1" t="s">
        <v>39</v>
      </c>
      <c r="H238" s="1" t="s">
        <v>866</v>
      </c>
      <c r="I238" s="1">
        <v>129.97999999999999</v>
      </c>
      <c r="J238" s="1">
        <v>2</v>
      </c>
      <c r="K238" s="1">
        <v>62.39</v>
      </c>
    </row>
    <row r="239" spans="1:11" ht="12.75" x14ac:dyDescent="0.2">
      <c r="A239" s="2">
        <v>42652</v>
      </c>
      <c r="B239" s="2" t="str">
        <f>TEXT(Table1[[#This Row],[Order Date]],"MMM")</f>
        <v>Oct</v>
      </c>
      <c r="C239" s="2" t="str">
        <f t="shared" si="3"/>
        <v>2016</v>
      </c>
      <c r="D239" s="1" t="s">
        <v>70</v>
      </c>
      <c r="E239" s="1" t="s">
        <v>83</v>
      </c>
      <c r="F239" s="1" t="s">
        <v>11</v>
      </c>
      <c r="G239" s="1" t="s">
        <v>24</v>
      </c>
      <c r="H239" s="1" t="s">
        <v>971</v>
      </c>
      <c r="I239" s="1">
        <v>1113.02</v>
      </c>
      <c r="J239" s="1">
        <v>8</v>
      </c>
      <c r="K239" s="1">
        <v>111.3</v>
      </c>
    </row>
    <row r="240" spans="1:11" ht="12.75" x14ac:dyDescent="0.2">
      <c r="A240" s="2">
        <v>42654</v>
      </c>
      <c r="B240" s="2" t="str">
        <f>TEXT(Table1[[#This Row],[Order Date]],"MMM")</f>
        <v>Oct</v>
      </c>
      <c r="C240" s="2" t="str">
        <f t="shared" si="3"/>
        <v>2016</v>
      </c>
      <c r="D240" s="1" t="s">
        <v>636</v>
      </c>
      <c r="E240" s="1" t="s">
        <v>10</v>
      </c>
      <c r="F240" s="1" t="s">
        <v>33</v>
      </c>
      <c r="G240" s="1" t="s">
        <v>44</v>
      </c>
      <c r="H240" s="1" t="s">
        <v>966</v>
      </c>
      <c r="I240" s="1">
        <v>23.98</v>
      </c>
      <c r="J240" s="1">
        <v>3</v>
      </c>
      <c r="K240" s="1">
        <v>-14.39</v>
      </c>
    </row>
    <row r="241" spans="1:11" ht="12.75" x14ac:dyDescent="0.2">
      <c r="A241" s="2">
        <v>42680</v>
      </c>
      <c r="B241" s="2" t="str">
        <f>TEXT(Table1[[#This Row],[Order Date]],"MMM")</f>
        <v>Nov</v>
      </c>
      <c r="C241" s="2" t="str">
        <f t="shared" si="3"/>
        <v>2016</v>
      </c>
      <c r="D241" s="1" t="s">
        <v>871</v>
      </c>
      <c r="E241" s="1" t="s">
        <v>51</v>
      </c>
      <c r="F241" s="1" t="s">
        <v>11</v>
      </c>
      <c r="G241" s="1" t="s">
        <v>12</v>
      </c>
      <c r="H241" s="1" t="s">
        <v>230</v>
      </c>
      <c r="I241" s="1">
        <v>105.52</v>
      </c>
      <c r="J241" s="1">
        <v>4</v>
      </c>
      <c r="K241" s="1">
        <v>48.54</v>
      </c>
    </row>
    <row r="242" spans="1:11" ht="12.75" x14ac:dyDescent="0.2">
      <c r="A242" s="2">
        <v>42683</v>
      </c>
      <c r="B242" s="2" t="str">
        <f>TEXT(Table1[[#This Row],[Order Date]],"MMM")</f>
        <v>Nov</v>
      </c>
      <c r="C242" s="2" t="str">
        <f t="shared" si="3"/>
        <v>2016</v>
      </c>
      <c r="D242" s="1" t="s">
        <v>980</v>
      </c>
      <c r="E242" s="1" t="s">
        <v>10</v>
      </c>
      <c r="F242" s="1" t="s">
        <v>11</v>
      </c>
      <c r="G242" s="1" t="s">
        <v>18</v>
      </c>
      <c r="H242" s="1" t="s">
        <v>981</v>
      </c>
      <c r="I242" s="1">
        <v>60.42</v>
      </c>
      <c r="J242" s="1">
        <v>2</v>
      </c>
      <c r="K242" s="1">
        <v>6.04</v>
      </c>
    </row>
    <row r="243" spans="1:11" ht="12.75" x14ac:dyDescent="0.2">
      <c r="A243" s="2">
        <v>42685</v>
      </c>
      <c r="B243" s="2" t="str">
        <f>TEXT(Table1[[#This Row],[Order Date]],"MMM")</f>
        <v>Nov</v>
      </c>
      <c r="C243" s="2" t="str">
        <f t="shared" si="3"/>
        <v>2016</v>
      </c>
      <c r="D243" s="1" t="s">
        <v>141</v>
      </c>
      <c r="E243" s="1" t="s">
        <v>27</v>
      </c>
      <c r="F243" s="1" t="s">
        <v>11</v>
      </c>
      <c r="G243" s="1" t="s">
        <v>12</v>
      </c>
      <c r="H243" s="1" t="s">
        <v>984</v>
      </c>
      <c r="I243" s="1">
        <v>34.68</v>
      </c>
      <c r="J243" s="1">
        <v>6</v>
      </c>
      <c r="K243" s="1">
        <v>16.989999999999998</v>
      </c>
    </row>
    <row r="244" spans="1:11" ht="12.75" x14ac:dyDescent="0.2">
      <c r="A244" s="2">
        <v>42686</v>
      </c>
      <c r="B244" s="2" t="str">
        <f>TEXT(Table1[[#This Row],[Order Date]],"MMM")</f>
        <v>Nov</v>
      </c>
      <c r="C244" s="2" t="str">
        <f t="shared" si="3"/>
        <v>2016</v>
      </c>
      <c r="D244" s="1" t="s">
        <v>724</v>
      </c>
      <c r="E244" s="1" t="s">
        <v>27</v>
      </c>
      <c r="F244" s="1" t="s">
        <v>33</v>
      </c>
      <c r="G244" s="1" t="s">
        <v>118</v>
      </c>
      <c r="H244" s="1" t="s">
        <v>985</v>
      </c>
      <c r="I244" s="1">
        <v>764.69</v>
      </c>
      <c r="J244" s="1">
        <v>6</v>
      </c>
      <c r="K244" s="1">
        <v>95.59</v>
      </c>
    </row>
    <row r="245" spans="1:11" ht="12.75" x14ac:dyDescent="0.2">
      <c r="A245" s="2">
        <v>42706</v>
      </c>
      <c r="B245" s="2" t="str">
        <f>TEXT(Table1[[#This Row],[Order Date]],"MMM")</f>
        <v>Dec</v>
      </c>
      <c r="C245" s="2" t="str">
        <f t="shared" si="3"/>
        <v>2016</v>
      </c>
      <c r="D245" s="1" t="s">
        <v>723</v>
      </c>
      <c r="E245" s="1" t="s">
        <v>27</v>
      </c>
      <c r="F245" s="1" t="s">
        <v>11</v>
      </c>
      <c r="G245" s="1" t="s">
        <v>12</v>
      </c>
      <c r="H245" s="1" t="s">
        <v>801</v>
      </c>
      <c r="I245" s="1">
        <v>90.24</v>
      </c>
      <c r="J245" s="1">
        <v>6</v>
      </c>
      <c r="K245" s="1">
        <v>41.51</v>
      </c>
    </row>
    <row r="246" spans="1:11" ht="12.75" x14ac:dyDescent="0.2">
      <c r="A246" s="2">
        <v>42711</v>
      </c>
      <c r="B246" s="2" t="str">
        <f>TEXT(Table1[[#This Row],[Order Date]],"MMM")</f>
        <v>Dec</v>
      </c>
      <c r="C246" s="2" t="str">
        <f t="shared" si="3"/>
        <v>2016</v>
      </c>
      <c r="D246" s="1" t="s">
        <v>514</v>
      </c>
      <c r="E246" s="1" t="s">
        <v>10</v>
      </c>
      <c r="F246" s="1" t="s">
        <v>38</v>
      </c>
      <c r="G246" s="1" t="s">
        <v>39</v>
      </c>
      <c r="H246" s="1" t="s">
        <v>992</v>
      </c>
      <c r="I246" s="1">
        <v>40.68</v>
      </c>
      <c r="J246" s="1">
        <v>3</v>
      </c>
      <c r="K246" s="1">
        <v>-9.15</v>
      </c>
    </row>
    <row r="247" spans="1:11" ht="12.75" x14ac:dyDescent="0.2">
      <c r="A247" s="2">
        <v>42712</v>
      </c>
      <c r="B247" s="2" t="str">
        <f>TEXT(Table1[[#This Row],[Order Date]],"MMM")</f>
        <v>Dec</v>
      </c>
      <c r="C247" s="2" t="str">
        <f t="shared" si="3"/>
        <v>2016</v>
      </c>
      <c r="D247" s="1" t="s">
        <v>338</v>
      </c>
      <c r="E247" s="1" t="s">
        <v>101</v>
      </c>
      <c r="F247" s="1" t="s">
        <v>11</v>
      </c>
      <c r="G247" s="1" t="s">
        <v>20</v>
      </c>
      <c r="H247" s="1" t="s">
        <v>994</v>
      </c>
      <c r="I247" s="1">
        <v>1.17</v>
      </c>
      <c r="J247" s="1">
        <v>1</v>
      </c>
      <c r="K247" s="1">
        <v>-0.86</v>
      </c>
    </row>
    <row r="248" spans="1:11" ht="12.75" x14ac:dyDescent="0.2">
      <c r="A248" s="2">
        <v>42713</v>
      </c>
      <c r="B248" s="2" t="str">
        <f>TEXT(Table1[[#This Row],[Order Date]],"MMM")</f>
        <v>Dec</v>
      </c>
      <c r="C248" s="2" t="str">
        <f t="shared" si="3"/>
        <v>2016</v>
      </c>
      <c r="D248" s="1" t="s">
        <v>902</v>
      </c>
      <c r="E248" s="1" t="s">
        <v>30</v>
      </c>
      <c r="F248" s="1" t="s">
        <v>11</v>
      </c>
      <c r="G248" s="1" t="s">
        <v>24</v>
      </c>
      <c r="H248" s="1" t="s">
        <v>308</v>
      </c>
      <c r="I248" s="1">
        <v>40.049999999999997</v>
      </c>
      <c r="J248" s="1">
        <v>3</v>
      </c>
      <c r="K248" s="1">
        <v>11.21</v>
      </c>
    </row>
    <row r="249" spans="1:11" ht="12.75" x14ac:dyDescent="0.2">
      <c r="A249" s="2">
        <v>42715</v>
      </c>
      <c r="B249" s="2" t="str">
        <f>TEXT(Table1[[#This Row],[Order Date]],"MMM")</f>
        <v>Dec</v>
      </c>
      <c r="C249" s="2" t="str">
        <f t="shared" si="3"/>
        <v>2016</v>
      </c>
      <c r="D249" s="1" t="s">
        <v>997</v>
      </c>
      <c r="E249" s="1" t="s">
        <v>101</v>
      </c>
      <c r="F249" s="1" t="s">
        <v>11</v>
      </c>
      <c r="G249" s="1" t="s">
        <v>20</v>
      </c>
      <c r="H249" s="1" t="s">
        <v>218</v>
      </c>
      <c r="I249" s="1">
        <v>4.8099999999999996</v>
      </c>
      <c r="J249" s="1">
        <v>2</v>
      </c>
      <c r="K249" s="1">
        <v>-3.69</v>
      </c>
    </row>
    <row r="250" spans="1:11" ht="12.75" x14ac:dyDescent="0.2">
      <c r="A250" s="2">
        <v>42736</v>
      </c>
      <c r="B250" s="2" t="str">
        <f>TEXT(Table1[[#This Row],[Order Date]],"MMM")</f>
        <v>Jan</v>
      </c>
      <c r="C250" s="2" t="str">
        <f t="shared" si="3"/>
        <v>2017</v>
      </c>
      <c r="D250" s="1" t="s">
        <v>243</v>
      </c>
      <c r="E250" s="1" t="s">
        <v>27</v>
      </c>
      <c r="F250" s="1" t="s">
        <v>33</v>
      </c>
      <c r="G250" s="1" t="s">
        <v>34</v>
      </c>
      <c r="H250" s="1" t="s">
        <v>731</v>
      </c>
      <c r="I250" s="1">
        <v>1325.76</v>
      </c>
      <c r="J250" s="1">
        <v>6</v>
      </c>
      <c r="K250" s="1">
        <v>149.15</v>
      </c>
    </row>
    <row r="251" spans="1:11" ht="12.75" x14ac:dyDescent="0.2">
      <c r="A251" s="2">
        <v>42744</v>
      </c>
      <c r="B251" s="2" t="str">
        <f>TEXT(Table1[[#This Row],[Order Date]],"MMM")</f>
        <v>Jan</v>
      </c>
      <c r="C251" s="2" t="str">
        <f t="shared" si="3"/>
        <v>2017</v>
      </c>
      <c r="D251" s="1" t="s">
        <v>1008</v>
      </c>
      <c r="E251" s="1" t="s">
        <v>27</v>
      </c>
      <c r="F251" s="1" t="s">
        <v>11</v>
      </c>
      <c r="G251" s="1" t="s">
        <v>24</v>
      </c>
      <c r="H251" s="1" t="s">
        <v>1009</v>
      </c>
      <c r="I251" s="1">
        <v>11.76</v>
      </c>
      <c r="J251" s="1">
        <v>4</v>
      </c>
      <c r="K251" s="1">
        <v>3.18</v>
      </c>
    </row>
    <row r="252" spans="1:11" ht="12.75" x14ac:dyDescent="0.2">
      <c r="A252" s="2">
        <v>42745</v>
      </c>
      <c r="B252" s="2" t="str">
        <f>TEXT(Table1[[#This Row],[Order Date]],"MMM")</f>
        <v>Jan</v>
      </c>
      <c r="C252" s="2" t="str">
        <f t="shared" si="3"/>
        <v>2017</v>
      </c>
      <c r="D252" s="1" t="s">
        <v>1013</v>
      </c>
      <c r="E252" s="1" t="s">
        <v>107</v>
      </c>
      <c r="F252" s="1" t="s">
        <v>11</v>
      </c>
      <c r="G252" s="1" t="s">
        <v>80</v>
      </c>
      <c r="H252" s="1" t="s">
        <v>1014</v>
      </c>
      <c r="I252" s="1">
        <v>207.24</v>
      </c>
      <c r="J252" s="1">
        <v>11</v>
      </c>
      <c r="K252" s="1">
        <v>58.03</v>
      </c>
    </row>
    <row r="253" spans="1:11" ht="12.75" x14ac:dyDescent="0.2">
      <c r="A253" s="2">
        <v>42747</v>
      </c>
      <c r="B253" s="2" t="str">
        <f>TEXT(Table1[[#This Row],[Order Date]],"MMM")</f>
        <v>Jan</v>
      </c>
      <c r="C253" s="2" t="str">
        <f t="shared" si="3"/>
        <v>2017</v>
      </c>
      <c r="D253" s="1" t="s">
        <v>636</v>
      </c>
      <c r="E253" s="1" t="s">
        <v>101</v>
      </c>
      <c r="F253" s="1" t="s">
        <v>11</v>
      </c>
      <c r="G253" s="1" t="s">
        <v>12</v>
      </c>
      <c r="H253" s="1" t="s">
        <v>904</v>
      </c>
      <c r="I253" s="1">
        <v>9.57</v>
      </c>
      <c r="J253" s="1">
        <v>2</v>
      </c>
      <c r="K253" s="1">
        <v>3.47</v>
      </c>
    </row>
    <row r="254" spans="1:11" ht="12.75" x14ac:dyDescent="0.2">
      <c r="A254" s="2">
        <v>42767</v>
      </c>
      <c r="B254" s="2" t="str">
        <f>TEXT(Table1[[#This Row],[Order Date]],"MMM")</f>
        <v>Feb</v>
      </c>
      <c r="C254" s="2" t="str">
        <f t="shared" si="3"/>
        <v>2017</v>
      </c>
      <c r="D254" s="1" t="s">
        <v>993</v>
      </c>
      <c r="E254" s="1" t="s">
        <v>23</v>
      </c>
      <c r="F254" s="1" t="s">
        <v>11</v>
      </c>
      <c r="G254" s="1" t="s">
        <v>24</v>
      </c>
      <c r="H254" s="1" t="s">
        <v>1023</v>
      </c>
      <c r="I254" s="1">
        <v>99.14</v>
      </c>
      <c r="J254" s="1">
        <v>4</v>
      </c>
      <c r="K254" s="1">
        <v>8.67</v>
      </c>
    </row>
    <row r="255" spans="1:11" ht="12.75" x14ac:dyDescent="0.2">
      <c r="A255" s="2">
        <v>42769</v>
      </c>
      <c r="B255" s="2" t="str">
        <f>TEXT(Table1[[#This Row],[Order Date]],"MMM")</f>
        <v>Feb</v>
      </c>
      <c r="C255" s="2" t="str">
        <f t="shared" si="3"/>
        <v>2017</v>
      </c>
      <c r="D255" s="1" t="s">
        <v>1025</v>
      </c>
      <c r="E255" s="1" t="s">
        <v>221</v>
      </c>
      <c r="F255" s="1" t="s">
        <v>11</v>
      </c>
      <c r="G255" s="1" t="s">
        <v>18</v>
      </c>
      <c r="H255" s="1" t="s">
        <v>520</v>
      </c>
      <c r="I255" s="1">
        <v>24.56</v>
      </c>
      <c r="J255" s="1">
        <v>2</v>
      </c>
      <c r="K255" s="1">
        <v>6.88</v>
      </c>
    </row>
    <row r="256" spans="1:11" ht="12.75" x14ac:dyDescent="0.2">
      <c r="A256" s="2">
        <v>42771</v>
      </c>
      <c r="B256" s="2" t="str">
        <f>TEXT(Table1[[#This Row],[Order Date]],"MMM")</f>
        <v>Feb</v>
      </c>
      <c r="C256" s="2" t="str">
        <f t="shared" si="3"/>
        <v>2017</v>
      </c>
      <c r="D256" s="1" t="s">
        <v>1028</v>
      </c>
      <c r="E256" s="1" t="s">
        <v>94</v>
      </c>
      <c r="F256" s="1" t="s">
        <v>11</v>
      </c>
      <c r="G256" s="1" t="s">
        <v>24</v>
      </c>
      <c r="H256" s="1" t="s">
        <v>399</v>
      </c>
      <c r="I256" s="1">
        <v>9.84</v>
      </c>
      <c r="J256" s="1">
        <v>3</v>
      </c>
      <c r="K256" s="1">
        <v>2.85</v>
      </c>
    </row>
    <row r="257" spans="1:11" ht="12.75" x14ac:dyDescent="0.2">
      <c r="A257" s="2">
        <v>42778</v>
      </c>
      <c r="B257" s="2" t="str">
        <f>TEXT(Table1[[#This Row],[Order Date]],"MMM")</f>
        <v>Feb</v>
      </c>
      <c r="C257" s="2" t="str">
        <f t="shared" si="3"/>
        <v>2017</v>
      </c>
      <c r="D257" s="1" t="s">
        <v>1030</v>
      </c>
      <c r="E257" s="1" t="s">
        <v>120</v>
      </c>
      <c r="F257" s="1" t="s">
        <v>33</v>
      </c>
      <c r="G257" s="1" t="s">
        <v>65</v>
      </c>
      <c r="H257" s="1" t="s">
        <v>1031</v>
      </c>
      <c r="I257" s="1">
        <v>1573.49</v>
      </c>
      <c r="J257" s="1">
        <v>7</v>
      </c>
      <c r="K257" s="1">
        <v>196.69</v>
      </c>
    </row>
    <row r="258" spans="1:11" ht="12.75" x14ac:dyDescent="0.2">
      <c r="A258" s="2">
        <v>42795</v>
      </c>
      <c r="B258" s="2" t="str">
        <f>TEXT(Table1[[#This Row],[Order Date]],"MMM")</f>
        <v>Mar</v>
      </c>
      <c r="C258" s="2" t="str">
        <f t="shared" ref="C258:C321" si="4">TEXT(A258,"YYY")</f>
        <v>2017</v>
      </c>
      <c r="D258" s="1" t="s">
        <v>422</v>
      </c>
      <c r="E258" s="1" t="s">
        <v>68</v>
      </c>
      <c r="F258" s="1" t="s">
        <v>11</v>
      </c>
      <c r="G258" s="1" t="s">
        <v>16</v>
      </c>
      <c r="H258" s="1" t="s">
        <v>244</v>
      </c>
      <c r="I258" s="1">
        <v>23.68</v>
      </c>
      <c r="J258" s="1">
        <v>2</v>
      </c>
      <c r="K258" s="1">
        <v>8.8800000000000008</v>
      </c>
    </row>
    <row r="259" spans="1:11" ht="12.75" x14ac:dyDescent="0.2">
      <c r="A259" s="2">
        <v>42797</v>
      </c>
      <c r="B259" s="2" t="str">
        <f>TEXT(Table1[[#This Row],[Order Date]],"MMM")</f>
        <v>Mar</v>
      </c>
      <c r="C259" s="2" t="str">
        <f t="shared" si="4"/>
        <v>2017</v>
      </c>
      <c r="D259" s="1" t="s">
        <v>172</v>
      </c>
      <c r="E259" s="1" t="s">
        <v>134</v>
      </c>
      <c r="F259" s="1" t="s">
        <v>33</v>
      </c>
      <c r="G259" s="1" t="s">
        <v>34</v>
      </c>
      <c r="H259" s="1" t="s">
        <v>450</v>
      </c>
      <c r="I259" s="1">
        <v>61.58</v>
      </c>
      <c r="J259" s="1">
        <v>1</v>
      </c>
      <c r="K259" s="1">
        <v>-6.93</v>
      </c>
    </row>
    <row r="260" spans="1:11" ht="12.75" x14ac:dyDescent="0.2">
      <c r="A260" s="2">
        <v>42798</v>
      </c>
      <c r="B260" s="2" t="str">
        <f>TEXT(Table1[[#This Row],[Order Date]],"MMM")</f>
        <v>Mar</v>
      </c>
      <c r="C260" s="2" t="str">
        <f t="shared" si="4"/>
        <v>2017</v>
      </c>
      <c r="D260" s="1" t="s">
        <v>1037</v>
      </c>
      <c r="E260" s="1" t="s">
        <v>54</v>
      </c>
      <c r="F260" s="1" t="s">
        <v>11</v>
      </c>
      <c r="G260" s="1" t="s">
        <v>18</v>
      </c>
      <c r="H260" s="1" t="s">
        <v>795</v>
      </c>
      <c r="I260" s="1">
        <v>465.18</v>
      </c>
      <c r="J260" s="1">
        <v>3</v>
      </c>
      <c r="K260" s="1">
        <v>120.95</v>
      </c>
    </row>
    <row r="261" spans="1:11" ht="12.75" x14ac:dyDescent="0.2">
      <c r="A261" s="2">
        <v>42800</v>
      </c>
      <c r="B261" s="2" t="str">
        <f>TEXT(Table1[[#This Row],[Order Date]],"MMM")</f>
        <v>Mar</v>
      </c>
      <c r="C261" s="2" t="str">
        <f t="shared" si="4"/>
        <v>2017</v>
      </c>
      <c r="D261" s="1" t="s">
        <v>588</v>
      </c>
      <c r="E261" s="1" t="s">
        <v>27</v>
      </c>
      <c r="F261" s="1" t="s">
        <v>11</v>
      </c>
      <c r="G261" s="1" t="s">
        <v>20</v>
      </c>
      <c r="H261" s="1" t="s">
        <v>1039</v>
      </c>
      <c r="I261" s="1">
        <v>70.010000000000005</v>
      </c>
      <c r="J261" s="1">
        <v>3</v>
      </c>
      <c r="K261" s="1">
        <v>24.5</v>
      </c>
    </row>
    <row r="262" spans="1:11" ht="12.75" x14ac:dyDescent="0.2">
      <c r="A262" s="2">
        <v>42801</v>
      </c>
      <c r="B262" s="2" t="str">
        <f>TEXT(Table1[[#This Row],[Order Date]],"MMM")</f>
        <v>Mar</v>
      </c>
      <c r="C262" s="2" t="str">
        <f t="shared" si="4"/>
        <v>2017</v>
      </c>
      <c r="D262" s="1" t="s">
        <v>389</v>
      </c>
      <c r="E262" s="1" t="s">
        <v>15</v>
      </c>
      <c r="F262" s="1" t="s">
        <v>33</v>
      </c>
      <c r="G262" s="1" t="s">
        <v>44</v>
      </c>
      <c r="H262" s="1" t="s">
        <v>95</v>
      </c>
      <c r="I262" s="1">
        <v>254.74</v>
      </c>
      <c r="J262" s="1">
        <v>7</v>
      </c>
      <c r="K262" s="1">
        <v>-312.06</v>
      </c>
    </row>
    <row r="263" spans="1:11" ht="12.75" x14ac:dyDescent="0.2">
      <c r="A263" s="2">
        <v>42802</v>
      </c>
      <c r="B263" s="2" t="str">
        <f>TEXT(Table1[[#This Row],[Order Date]],"MMM")</f>
        <v>Mar</v>
      </c>
      <c r="C263" s="2" t="str">
        <f t="shared" si="4"/>
        <v>2017</v>
      </c>
      <c r="D263" s="1" t="s">
        <v>502</v>
      </c>
      <c r="E263" s="1" t="s">
        <v>337</v>
      </c>
      <c r="F263" s="1" t="s">
        <v>11</v>
      </c>
      <c r="G263" s="1" t="s">
        <v>12</v>
      </c>
      <c r="H263" s="1" t="s">
        <v>92</v>
      </c>
      <c r="I263" s="1">
        <v>29.04</v>
      </c>
      <c r="J263" s="1">
        <v>3</v>
      </c>
      <c r="K263" s="1">
        <v>13.94</v>
      </c>
    </row>
    <row r="264" spans="1:11" ht="12.75" x14ac:dyDescent="0.2">
      <c r="A264" s="2">
        <v>42803</v>
      </c>
      <c r="B264" s="2" t="str">
        <f>TEXT(Table1[[#This Row],[Order Date]],"MMM")</f>
        <v>Mar</v>
      </c>
      <c r="C264" s="2" t="str">
        <f t="shared" si="4"/>
        <v>2017</v>
      </c>
      <c r="D264" s="1" t="s">
        <v>968</v>
      </c>
      <c r="E264" s="1" t="s">
        <v>27</v>
      </c>
      <c r="F264" s="1" t="s">
        <v>11</v>
      </c>
      <c r="G264" s="1" t="s">
        <v>12</v>
      </c>
      <c r="H264" s="1" t="s">
        <v>1041</v>
      </c>
      <c r="I264" s="1">
        <v>182.72</v>
      </c>
      <c r="J264" s="1">
        <v>8</v>
      </c>
      <c r="K264" s="1">
        <v>84.05</v>
      </c>
    </row>
    <row r="265" spans="1:11" ht="12.75" x14ac:dyDescent="0.2">
      <c r="A265" s="2">
        <v>42804</v>
      </c>
      <c r="B265" s="2" t="str">
        <f>TEXT(Table1[[#This Row],[Order Date]],"MMM")</f>
        <v>Mar</v>
      </c>
      <c r="C265" s="2" t="str">
        <f t="shared" si="4"/>
        <v>2017</v>
      </c>
      <c r="D265" s="1" t="s">
        <v>53</v>
      </c>
      <c r="E265" s="1" t="s">
        <v>68</v>
      </c>
      <c r="F265" s="1" t="s">
        <v>33</v>
      </c>
      <c r="G265" s="1" t="s">
        <v>34</v>
      </c>
      <c r="H265" s="1" t="s">
        <v>1000</v>
      </c>
      <c r="I265" s="1">
        <v>181.99</v>
      </c>
      <c r="J265" s="1">
        <v>2</v>
      </c>
      <c r="K265" s="1">
        <v>-54.6</v>
      </c>
    </row>
    <row r="266" spans="1:11" ht="12.75" x14ac:dyDescent="0.2">
      <c r="A266" s="2">
        <v>42831</v>
      </c>
      <c r="B266" s="2" t="str">
        <f>TEXT(Table1[[#This Row],[Order Date]],"MMM")</f>
        <v>Apr</v>
      </c>
      <c r="C266" s="2" t="str">
        <f t="shared" si="4"/>
        <v>2017</v>
      </c>
      <c r="D266" s="1" t="s">
        <v>672</v>
      </c>
      <c r="E266" s="1" t="s">
        <v>187</v>
      </c>
      <c r="F266" s="1" t="s">
        <v>33</v>
      </c>
      <c r="G266" s="1" t="s">
        <v>118</v>
      </c>
      <c r="H266" s="1" t="s">
        <v>267</v>
      </c>
      <c r="I266" s="1">
        <v>4297.6400000000003</v>
      </c>
      <c r="J266" s="1">
        <v>13</v>
      </c>
      <c r="K266" s="1">
        <v>-1862.31</v>
      </c>
    </row>
    <row r="267" spans="1:11" ht="12.75" x14ac:dyDescent="0.2">
      <c r="A267" s="2">
        <v>42836</v>
      </c>
      <c r="B267" s="2" t="str">
        <f>TEXT(Table1[[#This Row],[Order Date]],"MMM")</f>
        <v>Apr</v>
      </c>
      <c r="C267" s="2" t="str">
        <f t="shared" si="4"/>
        <v>2017</v>
      </c>
      <c r="D267" s="1" t="s">
        <v>696</v>
      </c>
      <c r="E267" s="1" t="s">
        <v>10</v>
      </c>
      <c r="F267" s="1" t="s">
        <v>11</v>
      </c>
      <c r="G267" s="1" t="s">
        <v>12</v>
      </c>
      <c r="H267" s="1" t="s">
        <v>1043</v>
      </c>
      <c r="I267" s="1">
        <v>14.3</v>
      </c>
      <c r="J267" s="1">
        <v>6</v>
      </c>
      <c r="K267" s="1">
        <v>5.01</v>
      </c>
    </row>
    <row r="268" spans="1:11" ht="12.75" x14ac:dyDescent="0.2">
      <c r="A268" s="2">
        <v>42858</v>
      </c>
      <c r="B268" s="2" t="str">
        <f>TEXT(Table1[[#This Row],[Order Date]],"MMM")</f>
        <v>May</v>
      </c>
      <c r="C268" s="2" t="str">
        <f t="shared" si="4"/>
        <v>2017</v>
      </c>
      <c r="D268" s="1" t="s">
        <v>709</v>
      </c>
      <c r="E268" s="1" t="s">
        <v>221</v>
      </c>
      <c r="F268" s="1" t="s">
        <v>11</v>
      </c>
      <c r="G268" s="1" t="s">
        <v>12</v>
      </c>
      <c r="H268" s="1" t="s">
        <v>456</v>
      </c>
      <c r="I268" s="1">
        <v>12.96</v>
      </c>
      <c r="J268" s="1">
        <v>2</v>
      </c>
      <c r="K268" s="1">
        <v>6.22</v>
      </c>
    </row>
    <row r="269" spans="1:11" ht="12.75" x14ac:dyDescent="0.2">
      <c r="A269" s="2">
        <v>42862</v>
      </c>
      <c r="B269" s="2" t="str">
        <f>TEXT(Table1[[#This Row],[Order Date]],"MMM")</f>
        <v>May</v>
      </c>
      <c r="C269" s="2" t="str">
        <f t="shared" si="4"/>
        <v>2017</v>
      </c>
      <c r="D269" s="1" t="s">
        <v>359</v>
      </c>
      <c r="E269" s="1" t="s">
        <v>616</v>
      </c>
      <c r="F269" s="1" t="s">
        <v>33</v>
      </c>
      <c r="G269" s="1" t="s">
        <v>44</v>
      </c>
      <c r="H269" s="1" t="s">
        <v>1044</v>
      </c>
      <c r="I269" s="1">
        <v>28.4</v>
      </c>
      <c r="J269" s="1">
        <v>2</v>
      </c>
      <c r="K269" s="1">
        <v>11.08</v>
      </c>
    </row>
    <row r="270" spans="1:11" ht="12.75" x14ac:dyDescent="0.2">
      <c r="A270" s="2">
        <v>42866</v>
      </c>
      <c r="B270" s="2" t="str">
        <f>TEXT(Table1[[#This Row],[Order Date]],"MMM")</f>
        <v>May</v>
      </c>
      <c r="C270" s="2" t="str">
        <f t="shared" si="4"/>
        <v>2017</v>
      </c>
      <c r="D270" s="1" t="s">
        <v>259</v>
      </c>
      <c r="E270" s="1" t="s">
        <v>51</v>
      </c>
      <c r="F270" s="1" t="s">
        <v>11</v>
      </c>
      <c r="G270" s="1" t="s">
        <v>58</v>
      </c>
      <c r="H270" s="1" t="s">
        <v>353</v>
      </c>
      <c r="I270" s="1">
        <v>311.14999999999998</v>
      </c>
      <c r="J270" s="1">
        <v>5</v>
      </c>
      <c r="K270" s="1">
        <v>146.24</v>
      </c>
    </row>
    <row r="271" spans="1:11" ht="12.75" x14ac:dyDescent="0.2">
      <c r="A271" s="2">
        <v>42887</v>
      </c>
      <c r="B271" s="2" t="str">
        <f>TEXT(Table1[[#This Row],[Order Date]],"MMM")</f>
        <v>Jun</v>
      </c>
      <c r="C271" s="2" t="str">
        <f t="shared" si="4"/>
        <v>2017</v>
      </c>
      <c r="D271" s="1" t="s">
        <v>734</v>
      </c>
      <c r="E271" s="1" t="s">
        <v>68</v>
      </c>
      <c r="F271" s="1" t="s">
        <v>38</v>
      </c>
      <c r="G271" s="1" t="s">
        <v>39</v>
      </c>
      <c r="H271" s="1" t="s">
        <v>733</v>
      </c>
      <c r="I271" s="1">
        <v>107.98</v>
      </c>
      <c r="J271" s="1">
        <v>3</v>
      </c>
      <c r="K271" s="1">
        <v>-27</v>
      </c>
    </row>
    <row r="272" spans="1:11" ht="12.75" x14ac:dyDescent="0.2">
      <c r="A272" s="2">
        <v>42888</v>
      </c>
      <c r="B272" s="2" t="str">
        <f>TEXT(Table1[[#This Row],[Order Date]],"MMM")</f>
        <v>Jun</v>
      </c>
      <c r="C272" s="2" t="str">
        <f t="shared" si="4"/>
        <v>2017</v>
      </c>
      <c r="D272" s="1" t="s">
        <v>548</v>
      </c>
      <c r="E272" s="1" t="s">
        <v>10</v>
      </c>
      <c r="F272" s="1" t="s">
        <v>38</v>
      </c>
      <c r="G272" s="1" t="s">
        <v>48</v>
      </c>
      <c r="H272" s="1" t="s">
        <v>49</v>
      </c>
      <c r="I272" s="1">
        <v>20.8</v>
      </c>
      <c r="J272" s="1">
        <v>2</v>
      </c>
      <c r="K272" s="1">
        <v>6.5</v>
      </c>
    </row>
    <row r="273" spans="1:11" ht="12.75" x14ac:dyDescent="0.2">
      <c r="A273" s="2">
        <v>42889</v>
      </c>
      <c r="B273" s="2" t="str">
        <f>TEXT(Table1[[#This Row],[Order Date]],"MMM")</f>
        <v>Jun</v>
      </c>
      <c r="C273" s="2" t="str">
        <f t="shared" si="4"/>
        <v>2017</v>
      </c>
      <c r="D273" s="1" t="s">
        <v>973</v>
      </c>
      <c r="E273" s="1" t="s">
        <v>23</v>
      </c>
      <c r="F273" s="1" t="s">
        <v>11</v>
      </c>
      <c r="G273" s="1" t="s">
        <v>18</v>
      </c>
      <c r="H273" s="1" t="s">
        <v>767</v>
      </c>
      <c r="I273" s="1">
        <v>77.239999999999995</v>
      </c>
      <c r="J273" s="1">
        <v>5</v>
      </c>
      <c r="K273" s="1">
        <v>7.72</v>
      </c>
    </row>
    <row r="274" spans="1:11" ht="12.75" x14ac:dyDescent="0.2">
      <c r="A274" s="2">
        <v>42891</v>
      </c>
      <c r="B274" s="2" t="str">
        <f>TEXT(Table1[[#This Row],[Order Date]],"MMM")</f>
        <v>Jun</v>
      </c>
      <c r="C274" s="2" t="str">
        <f t="shared" si="4"/>
        <v>2017</v>
      </c>
      <c r="D274" s="1" t="s">
        <v>309</v>
      </c>
      <c r="E274" s="1" t="s">
        <v>127</v>
      </c>
      <c r="F274" s="1" t="s">
        <v>38</v>
      </c>
      <c r="G274" s="1" t="s">
        <v>39</v>
      </c>
      <c r="H274" s="1" t="s">
        <v>275</v>
      </c>
      <c r="I274" s="1">
        <v>134.97</v>
      </c>
      <c r="J274" s="1">
        <v>3</v>
      </c>
      <c r="K274" s="1">
        <v>64.790000000000006</v>
      </c>
    </row>
    <row r="275" spans="1:11" ht="12.75" x14ac:dyDescent="0.2">
      <c r="A275" s="2">
        <v>42892</v>
      </c>
      <c r="B275" s="2" t="str">
        <f>TEXT(Table1[[#This Row],[Order Date]],"MMM")</f>
        <v>Jun</v>
      </c>
      <c r="C275" s="2" t="str">
        <f t="shared" si="4"/>
        <v>2017</v>
      </c>
      <c r="D275" s="1" t="s">
        <v>993</v>
      </c>
      <c r="E275" s="1" t="s">
        <v>442</v>
      </c>
      <c r="F275" s="1" t="s">
        <v>11</v>
      </c>
      <c r="G275" s="1" t="s">
        <v>12</v>
      </c>
      <c r="H275" s="1" t="s">
        <v>1046</v>
      </c>
      <c r="I275" s="1">
        <v>35.880000000000003</v>
      </c>
      <c r="J275" s="1">
        <v>6</v>
      </c>
      <c r="K275" s="1">
        <v>16.149999999999999</v>
      </c>
    </row>
    <row r="276" spans="1:11" ht="12.75" x14ac:dyDescent="0.2">
      <c r="A276" s="2">
        <v>42896</v>
      </c>
      <c r="B276" s="2" t="str">
        <f>TEXT(Table1[[#This Row],[Order Date]],"MMM")</f>
        <v>Jun</v>
      </c>
      <c r="C276" s="2" t="str">
        <f t="shared" si="4"/>
        <v>2017</v>
      </c>
      <c r="D276" s="1" t="s">
        <v>926</v>
      </c>
      <c r="E276" s="1" t="s">
        <v>27</v>
      </c>
      <c r="F276" s="1" t="s">
        <v>11</v>
      </c>
      <c r="G276" s="1" t="s">
        <v>16</v>
      </c>
      <c r="H276" s="1" t="s">
        <v>820</v>
      </c>
      <c r="I276" s="1">
        <v>9.24</v>
      </c>
      <c r="J276" s="1">
        <v>3</v>
      </c>
      <c r="K276" s="1">
        <v>4.4400000000000004</v>
      </c>
    </row>
    <row r="277" spans="1:11" ht="12.75" x14ac:dyDescent="0.2">
      <c r="A277" s="2">
        <v>42897</v>
      </c>
      <c r="B277" s="2" t="str">
        <f>TEXT(Table1[[#This Row],[Order Date]],"MMM")</f>
        <v>Jun</v>
      </c>
      <c r="C277" s="2" t="str">
        <f t="shared" si="4"/>
        <v>2017</v>
      </c>
      <c r="D277" s="1" t="s">
        <v>540</v>
      </c>
      <c r="E277" s="1" t="s">
        <v>87</v>
      </c>
      <c r="F277" s="1" t="s">
        <v>38</v>
      </c>
      <c r="G277" s="1" t="s">
        <v>48</v>
      </c>
      <c r="H277" s="1" t="s">
        <v>1048</v>
      </c>
      <c r="I277" s="1">
        <v>29.99</v>
      </c>
      <c r="J277" s="1">
        <v>1</v>
      </c>
      <c r="K277" s="1">
        <v>3</v>
      </c>
    </row>
    <row r="278" spans="1:11" ht="12.75" x14ac:dyDescent="0.2">
      <c r="A278" s="2">
        <v>42923</v>
      </c>
      <c r="B278" s="2" t="str">
        <f>TEXT(Table1[[#This Row],[Order Date]],"MMM")</f>
        <v>Jul</v>
      </c>
      <c r="C278" s="2" t="str">
        <f t="shared" si="4"/>
        <v>2017</v>
      </c>
      <c r="D278" s="1" t="s">
        <v>1003</v>
      </c>
      <c r="E278" s="1" t="s">
        <v>94</v>
      </c>
      <c r="F278" s="1" t="s">
        <v>11</v>
      </c>
      <c r="G278" s="1" t="s">
        <v>24</v>
      </c>
      <c r="H278" s="1" t="s">
        <v>781</v>
      </c>
      <c r="I278" s="1">
        <v>79.36</v>
      </c>
      <c r="J278" s="1">
        <v>4</v>
      </c>
      <c r="K278" s="1">
        <v>20.63</v>
      </c>
    </row>
    <row r="279" spans="1:11" ht="12.75" x14ac:dyDescent="0.2">
      <c r="A279" s="2">
        <v>42924</v>
      </c>
      <c r="B279" s="2" t="str">
        <f>TEXT(Table1[[#This Row],[Order Date]],"MMM")</f>
        <v>Jul</v>
      </c>
      <c r="C279" s="2" t="str">
        <f t="shared" si="4"/>
        <v>2017</v>
      </c>
      <c r="D279" s="1" t="s">
        <v>1049</v>
      </c>
      <c r="E279" s="1" t="s">
        <v>120</v>
      </c>
      <c r="F279" s="1" t="s">
        <v>11</v>
      </c>
      <c r="G279" s="1" t="s">
        <v>80</v>
      </c>
      <c r="H279" s="1" t="s">
        <v>1050</v>
      </c>
      <c r="I279" s="1">
        <v>26.88</v>
      </c>
      <c r="J279" s="1">
        <v>6</v>
      </c>
      <c r="K279" s="1">
        <v>6.72</v>
      </c>
    </row>
    <row r="280" spans="1:11" ht="12.75" x14ac:dyDescent="0.2">
      <c r="A280" s="2">
        <v>42928</v>
      </c>
      <c r="B280" s="2" t="str">
        <f>TEXT(Table1[[#This Row],[Order Date]],"MMM")</f>
        <v>Jul</v>
      </c>
      <c r="C280" s="2" t="str">
        <f t="shared" si="4"/>
        <v>2017</v>
      </c>
      <c r="D280" s="1" t="s">
        <v>649</v>
      </c>
      <c r="E280" s="1" t="s">
        <v>98</v>
      </c>
      <c r="F280" s="1" t="s">
        <v>33</v>
      </c>
      <c r="G280" s="1" t="s">
        <v>34</v>
      </c>
      <c r="H280" s="1" t="s">
        <v>1006</v>
      </c>
      <c r="I280" s="1">
        <v>161.57</v>
      </c>
      <c r="J280" s="1">
        <v>2</v>
      </c>
      <c r="K280" s="1">
        <v>-28.27</v>
      </c>
    </row>
    <row r="281" spans="1:11" ht="12.75" x14ac:dyDescent="0.2">
      <c r="A281" s="2">
        <v>42948</v>
      </c>
      <c r="B281" s="2" t="str">
        <f>TEXT(Table1[[#This Row],[Order Date]],"MMM")</f>
        <v>Aug</v>
      </c>
      <c r="C281" s="2" t="str">
        <f t="shared" si="4"/>
        <v>2017</v>
      </c>
      <c r="D281" s="1" t="s">
        <v>155</v>
      </c>
      <c r="E281" s="1" t="s">
        <v>30</v>
      </c>
      <c r="F281" s="1" t="s">
        <v>11</v>
      </c>
      <c r="G281" s="1" t="s">
        <v>20</v>
      </c>
      <c r="H281" s="1" t="s">
        <v>1052</v>
      </c>
      <c r="I281" s="1">
        <v>58.72</v>
      </c>
      <c r="J281" s="1">
        <v>4</v>
      </c>
      <c r="K281" s="1">
        <v>27.01</v>
      </c>
    </row>
    <row r="282" spans="1:11" ht="12.75" x14ac:dyDescent="0.2">
      <c r="A282" s="2">
        <v>42953</v>
      </c>
      <c r="B282" s="2" t="str">
        <f>TEXT(Table1[[#This Row],[Order Date]],"MMM")</f>
        <v>Aug</v>
      </c>
      <c r="C282" s="2" t="str">
        <f t="shared" si="4"/>
        <v>2017</v>
      </c>
      <c r="D282" s="1" t="s">
        <v>1054</v>
      </c>
      <c r="E282" s="1" t="s">
        <v>134</v>
      </c>
      <c r="F282" s="1" t="s">
        <v>33</v>
      </c>
      <c r="G282" s="1" t="s">
        <v>118</v>
      </c>
      <c r="H282" s="1" t="s">
        <v>875</v>
      </c>
      <c r="I282" s="1">
        <v>787.53</v>
      </c>
      <c r="J282" s="1">
        <v>3</v>
      </c>
      <c r="K282" s="1">
        <v>165.38</v>
      </c>
    </row>
    <row r="283" spans="1:11" ht="12.75" x14ac:dyDescent="0.2">
      <c r="A283" s="2">
        <v>42957</v>
      </c>
      <c r="B283" s="2" t="str">
        <f>TEXT(Table1[[#This Row],[Order Date]],"MMM")</f>
        <v>Aug</v>
      </c>
      <c r="C283" s="2" t="str">
        <f t="shared" si="4"/>
        <v>2017</v>
      </c>
      <c r="D283" s="1" t="s">
        <v>620</v>
      </c>
      <c r="E283" s="1" t="s">
        <v>27</v>
      </c>
      <c r="F283" s="1" t="s">
        <v>33</v>
      </c>
      <c r="G283" s="1" t="s">
        <v>44</v>
      </c>
      <c r="H283" s="1" t="s">
        <v>435</v>
      </c>
      <c r="I283" s="1">
        <v>435.26</v>
      </c>
      <c r="J283" s="1">
        <v>7</v>
      </c>
      <c r="K283" s="1">
        <v>95.76</v>
      </c>
    </row>
    <row r="284" spans="1:11" ht="12.75" x14ac:dyDescent="0.2">
      <c r="A284" s="2">
        <v>42982</v>
      </c>
      <c r="B284" s="2" t="str">
        <f>TEXT(Table1[[#This Row],[Order Date]],"MMM")</f>
        <v>Sep</v>
      </c>
      <c r="C284" s="2" t="str">
        <f t="shared" si="4"/>
        <v>2017</v>
      </c>
      <c r="D284" s="1" t="s">
        <v>597</v>
      </c>
      <c r="E284" s="1" t="s">
        <v>54</v>
      </c>
      <c r="F284" s="1" t="s">
        <v>38</v>
      </c>
      <c r="G284" s="1" t="s">
        <v>48</v>
      </c>
      <c r="H284" s="1" t="s">
        <v>1058</v>
      </c>
      <c r="I284" s="1">
        <v>119.85</v>
      </c>
      <c r="J284" s="1">
        <v>3</v>
      </c>
      <c r="K284" s="1">
        <v>52.73</v>
      </c>
    </row>
    <row r="285" spans="1:11" ht="12.75" x14ac:dyDescent="0.2">
      <c r="A285" s="2">
        <v>42988</v>
      </c>
      <c r="B285" s="2" t="str">
        <f>TEXT(Table1[[#This Row],[Order Date]],"MMM")</f>
        <v>Sep</v>
      </c>
      <c r="C285" s="2" t="str">
        <f t="shared" si="4"/>
        <v>2017</v>
      </c>
      <c r="D285" s="1" t="s">
        <v>537</v>
      </c>
      <c r="E285" s="1" t="s">
        <v>10</v>
      </c>
      <c r="F285" s="1" t="s">
        <v>38</v>
      </c>
      <c r="G285" s="1" t="s">
        <v>48</v>
      </c>
      <c r="H285" s="1" t="s">
        <v>652</v>
      </c>
      <c r="I285" s="1">
        <v>113.52</v>
      </c>
      <c r="J285" s="1">
        <v>5</v>
      </c>
      <c r="K285" s="1">
        <v>29.8</v>
      </c>
    </row>
    <row r="286" spans="1:11" ht="12.75" x14ac:dyDescent="0.2">
      <c r="A286" s="2">
        <v>42989</v>
      </c>
      <c r="B286" s="2" t="str">
        <f>TEXT(Table1[[#This Row],[Order Date]],"MMM")</f>
        <v>Sep</v>
      </c>
      <c r="C286" s="2" t="str">
        <f t="shared" si="4"/>
        <v>2017</v>
      </c>
      <c r="D286" s="1" t="s">
        <v>82</v>
      </c>
      <c r="E286" s="1" t="s">
        <v>10</v>
      </c>
      <c r="F286" s="1" t="s">
        <v>11</v>
      </c>
      <c r="G286" s="1" t="s">
        <v>20</v>
      </c>
      <c r="H286" s="1" t="s">
        <v>757</v>
      </c>
      <c r="I286" s="1">
        <v>1.1100000000000001</v>
      </c>
      <c r="J286" s="1">
        <v>2</v>
      </c>
      <c r="K286" s="1">
        <v>-1.89</v>
      </c>
    </row>
    <row r="287" spans="1:11" ht="12.75" x14ac:dyDescent="0.2">
      <c r="A287" s="2">
        <v>42990</v>
      </c>
      <c r="B287" s="2" t="str">
        <f>TEXT(Table1[[#This Row],[Order Date]],"MMM")</f>
        <v>Sep</v>
      </c>
      <c r="C287" s="2" t="str">
        <f t="shared" si="4"/>
        <v>2017</v>
      </c>
      <c r="D287" s="1" t="s">
        <v>1061</v>
      </c>
      <c r="E287" s="1" t="s">
        <v>101</v>
      </c>
      <c r="F287" s="1" t="s">
        <v>11</v>
      </c>
      <c r="G287" s="1" t="s">
        <v>58</v>
      </c>
      <c r="H287" s="1" t="s">
        <v>819</v>
      </c>
      <c r="I287" s="1">
        <v>8.69</v>
      </c>
      <c r="J287" s="1">
        <v>3</v>
      </c>
      <c r="K287" s="1">
        <v>2.93</v>
      </c>
    </row>
    <row r="288" spans="1:11" ht="12.75" x14ac:dyDescent="0.2">
      <c r="A288" s="2">
        <v>43011</v>
      </c>
      <c r="B288" s="2" t="str">
        <f>TEXT(Table1[[#This Row],[Order Date]],"MMM")</f>
        <v>Oct</v>
      </c>
      <c r="C288" s="2" t="str">
        <f t="shared" si="4"/>
        <v>2017</v>
      </c>
      <c r="D288" s="1" t="s">
        <v>736</v>
      </c>
      <c r="E288" s="1" t="s">
        <v>134</v>
      </c>
      <c r="F288" s="1" t="s">
        <v>33</v>
      </c>
      <c r="G288" s="1" t="s">
        <v>65</v>
      </c>
      <c r="H288" s="1" t="s">
        <v>115</v>
      </c>
      <c r="I288" s="1">
        <v>141.96</v>
      </c>
      <c r="J288" s="1">
        <v>2</v>
      </c>
      <c r="K288" s="1">
        <v>39.75</v>
      </c>
    </row>
    <row r="289" spans="1:11" ht="12.75" x14ac:dyDescent="0.2">
      <c r="A289" s="2">
        <v>43017</v>
      </c>
      <c r="B289" s="2" t="str">
        <f>TEXT(Table1[[#This Row],[Order Date]],"MMM")</f>
        <v>Oct</v>
      </c>
      <c r="C289" s="2" t="str">
        <f t="shared" si="4"/>
        <v>2017</v>
      </c>
      <c r="D289" s="1" t="s">
        <v>1040</v>
      </c>
      <c r="E289" s="1" t="s">
        <v>211</v>
      </c>
      <c r="F289" s="1" t="s">
        <v>38</v>
      </c>
      <c r="G289" s="1" t="s">
        <v>39</v>
      </c>
      <c r="H289" s="1" t="s">
        <v>1062</v>
      </c>
      <c r="I289" s="1">
        <v>16.78</v>
      </c>
      <c r="J289" s="1">
        <v>3</v>
      </c>
      <c r="K289" s="1">
        <v>1.68</v>
      </c>
    </row>
    <row r="290" spans="1:11" ht="12.75" x14ac:dyDescent="0.2">
      <c r="A290" s="2">
        <v>43018</v>
      </c>
      <c r="B290" s="2" t="str">
        <f>TEXT(Table1[[#This Row],[Order Date]],"MMM")</f>
        <v>Oct</v>
      </c>
      <c r="C290" s="2" t="str">
        <f t="shared" si="4"/>
        <v>2017</v>
      </c>
      <c r="D290" s="1" t="s">
        <v>1063</v>
      </c>
      <c r="E290" s="1" t="s">
        <v>30</v>
      </c>
      <c r="F290" s="1" t="s">
        <v>11</v>
      </c>
      <c r="G290" s="1" t="s">
        <v>24</v>
      </c>
      <c r="H290" s="1" t="s">
        <v>37</v>
      </c>
      <c r="I290" s="1">
        <v>2.74</v>
      </c>
      <c r="J290" s="1">
        <v>1</v>
      </c>
      <c r="K290" s="1">
        <v>0.74</v>
      </c>
    </row>
    <row r="291" spans="1:11" ht="12.75" x14ac:dyDescent="0.2">
      <c r="A291" s="2">
        <v>43020</v>
      </c>
      <c r="B291" s="2" t="str">
        <f>TEXT(Table1[[#This Row],[Order Date]],"MMM")</f>
        <v>Oct</v>
      </c>
      <c r="C291" s="2" t="str">
        <f t="shared" si="4"/>
        <v>2017</v>
      </c>
      <c r="D291" s="1" t="s">
        <v>944</v>
      </c>
      <c r="E291" s="1" t="s">
        <v>120</v>
      </c>
      <c r="F291" s="1" t="s">
        <v>38</v>
      </c>
      <c r="G291" s="1" t="s">
        <v>48</v>
      </c>
      <c r="H291" s="1" t="s">
        <v>1064</v>
      </c>
      <c r="I291" s="1">
        <v>15.02</v>
      </c>
      <c r="J291" s="1">
        <v>1</v>
      </c>
      <c r="K291" s="1">
        <v>2.7</v>
      </c>
    </row>
    <row r="292" spans="1:11" ht="12.75" x14ac:dyDescent="0.2">
      <c r="A292" s="2">
        <v>43041</v>
      </c>
      <c r="B292" s="2" t="str">
        <f>TEXT(Table1[[#This Row],[Order Date]],"MMM")</f>
        <v>Nov</v>
      </c>
      <c r="C292" s="2" t="str">
        <f t="shared" si="4"/>
        <v>2017</v>
      </c>
      <c r="D292" s="1" t="s">
        <v>1065</v>
      </c>
      <c r="E292" s="1" t="s">
        <v>134</v>
      </c>
      <c r="F292" s="1" t="s">
        <v>38</v>
      </c>
      <c r="G292" s="1" t="s">
        <v>39</v>
      </c>
      <c r="H292" s="1" t="s">
        <v>41</v>
      </c>
      <c r="I292" s="1">
        <v>453.58</v>
      </c>
      <c r="J292" s="1">
        <v>3</v>
      </c>
      <c r="K292" s="1">
        <v>39.69</v>
      </c>
    </row>
    <row r="293" spans="1:11" ht="12.75" x14ac:dyDescent="0.2">
      <c r="A293" s="2">
        <v>43042</v>
      </c>
      <c r="B293" s="2" t="str">
        <f>TEXT(Table1[[#This Row],[Order Date]],"MMM")</f>
        <v>Nov</v>
      </c>
      <c r="C293" s="2" t="str">
        <f t="shared" si="4"/>
        <v>2017</v>
      </c>
      <c r="D293" s="1" t="s">
        <v>1067</v>
      </c>
      <c r="E293" s="1" t="s">
        <v>127</v>
      </c>
      <c r="F293" s="1" t="s">
        <v>11</v>
      </c>
      <c r="G293" s="1" t="s">
        <v>12</v>
      </c>
      <c r="H293" s="1" t="s">
        <v>479</v>
      </c>
      <c r="I293" s="1">
        <v>51.84</v>
      </c>
      <c r="J293" s="1">
        <v>8</v>
      </c>
      <c r="K293" s="1">
        <v>24.88</v>
      </c>
    </row>
    <row r="294" spans="1:11" ht="12.75" x14ac:dyDescent="0.2">
      <c r="A294" s="2">
        <v>43043</v>
      </c>
      <c r="B294" s="2" t="str">
        <f>TEXT(Table1[[#This Row],[Order Date]],"MMM")</f>
        <v>Nov</v>
      </c>
      <c r="C294" s="2" t="str">
        <f t="shared" si="4"/>
        <v>2017</v>
      </c>
      <c r="D294" s="1" t="s">
        <v>1069</v>
      </c>
      <c r="E294" s="1" t="s">
        <v>187</v>
      </c>
      <c r="F294" s="1" t="s">
        <v>11</v>
      </c>
      <c r="G294" s="1" t="s">
        <v>80</v>
      </c>
      <c r="H294" s="1" t="s">
        <v>478</v>
      </c>
      <c r="I294" s="1">
        <v>962.08</v>
      </c>
      <c r="J294" s="1">
        <v>4</v>
      </c>
      <c r="K294" s="1">
        <v>156.34</v>
      </c>
    </row>
    <row r="295" spans="1:11" ht="12.75" x14ac:dyDescent="0.2">
      <c r="A295" s="2">
        <v>43045</v>
      </c>
      <c r="B295" s="2" t="str">
        <f>TEXT(Table1[[#This Row],[Order Date]],"MMM")</f>
        <v>Nov</v>
      </c>
      <c r="C295" s="2" t="str">
        <f t="shared" si="4"/>
        <v>2017</v>
      </c>
      <c r="D295" s="1" t="s">
        <v>1071</v>
      </c>
      <c r="E295" s="1" t="s">
        <v>10</v>
      </c>
      <c r="F295" s="1" t="s">
        <v>38</v>
      </c>
      <c r="G295" s="1" t="s">
        <v>48</v>
      </c>
      <c r="H295" s="1" t="s">
        <v>1072</v>
      </c>
      <c r="I295" s="1">
        <v>18.39</v>
      </c>
      <c r="J295" s="1">
        <v>1</v>
      </c>
      <c r="K295" s="1">
        <v>5.29</v>
      </c>
    </row>
    <row r="296" spans="1:11" ht="12.75" x14ac:dyDescent="0.2">
      <c r="A296" s="2">
        <v>43050</v>
      </c>
      <c r="B296" s="2" t="str">
        <f>TEXT(Table1[[#This Row],[Order Date]],"MMM")</f>
        <v>Nov</v>
      </c>
      <c r="C296" s="2" t="str">
        <f t="shared" si="4"/>
        <v>2017</v>
      </c>
      <c r="D296" s="1" t="s">
        <v>561</v>
      </c>
      <c r="E296" s="1" t="s">
        <v>15</v>
      </c>
      <c r="F296" s="1" t="s">
        <v>33</v>
      </c>
      <c r="G296" s="1" t="s">
        <v>65</v>
      </c>
      <c r="H296" s="1" t="s">
        <v>462</v>
      </c>
      <c r="I296" s="1">
        <v>359.06</v>
      </c>
      <c r="J296" s="1">
        <v>3</v>
      </c>
      <c r="K296" s="1">
        <v>-35.909999999999997</v>
      </c>
    </row>
    <row r="297" spans="1:11" ht="12.75" x14ac:dyDescent="0.2">
      <c r="A297" s="2">
        <v>43051</v>
      </c>
      <c r="B297" s="2" t="str">
        <f>TEXT(Table1[[#This Row],[Order Date]],"MMM")</f>
        <v>Nov</v>
      </c>
      <c r="C297" s="2" t="str">
        <f t="shared" si="4"/>
        <v>2017</v>
      </c>
      <c r="D297" s="1" t="s">
        <v>1076</v>
      </c>
      <c r="E297" s="1" t="s">
        <v>101</v>
      </c>
      <c r="F297" s="1" t="s">
        <v>11</v>
      </c>
      <c r="G297" s="1" t="s">
        <v>12</v>
      </c>
      <c r="H297" s="1" t="s">
        <v>704</v>
      </c>
      <c r="I297" s="1">
        <v>74.349999999999994</v>
      </c>
      <c r="J297" s="1">
        <v>3</v>
      </c>
      <c r="K297" s="1">
        <v>23.24</v>
      </c>
    </row>
    <row r="298" spans="1:11" ht="12.75" x14ac:dyDescent="0.2">
      <c r="A298" s="2">
        <v>43075</v>
      </c>
      <c r="B298" s="2" t="str">
        <f>TEXT(Table1[[#This Row],[Order Date]],"MMM")</f>
        <v>Dec</v>
      </c>
      <c r="C298" s="2" t="str">
        <f t="shared" si="4"/>
        <v>2017</v>
      </c>
      <c r="D298" s="1" t="s">
        <v>91</v>
      </c>
      <c r="E298" s="1" t="s">
        <v>134</v>
      </c>
      <c r="F298" s="1" t="s">
        <v>11</v>
      </c>
      <c r="G298" s="1" t="s">
        <v>18</v>
      </c>
      <c r="H298" s="1" t="s">
        <v>288</v>
      </c>
      <c r="I298" s="1">
        <v>83.7</v>
      </c>
      <c r="J298" s="1">
        <v>5</v>
      </c>
      <c r="K298" s="1">
        <v>3.35</v>
      </c>
    </row>
    <row r="299" spans="1:11" ht="12.75" x14ac:dyDescent="0.2">
      <c r="A299" s="2">
        <v>43076</v>
      </c>
      <c r="B299" s="2" t="str">
        <f>TEXT(Table1[[#This Row],[Order Date]],"MMM")</f>
        <v>Dec</v>
      </c>
      <c r="C299" s="2" t="str">
        <f t="shared" si="4"/>
        <v>2017</v>
      </c>
      <c r="D299" s="1" t="s">
        <v>917</v>
      </c>
      <c r="E299" s="1" t="s">
        <v>27</v>
      </c>
      <c r="F299" s="1" t="s">
        <v>38</v>
      </c>
      <c r="G299" s="1" t="s">
        <v>48</v>
      </c>
      <c r="H299" s="1" t="s">
        <v>1078</v>
      </c>
      <c r="I299" s="1">
        <v>166.24</v>
      </c>
      <c r="J299" s="1">
        <v>1</v>
      </c>
      <c r="K299" s="1">
        <v>24.94</v>
      </c>
    </row>
    <row r="300" spans="1:11" ht="12.75" x14ac:dyDescent="0.2">
      <c r="A300" s="2">
        <v>43078</v>
      </c>
      <c r="B300" s="2" t="str">
        <f>TEXT(Table1[[#This Row],[Order Date]],"MMM")</f>
        <v>Dec</v>
      </c>
      <c r="C300" s="2" t="str">
        <f t="shared" si="4"/>
        <v>2017</v>
      </c>
      <c r="D300" s="1" t="s">
        <v>784</v>
      </c>
      <c r="E300" s="1" t="s">
        <v>101</v>
      </c>
      <c r="F300" s="1" t="s">
        <v>33</v>
      </c>
      <c r="G300" s="1" t="s">
        <v>34</v>
      </c>
      <c r="H300" s="1" t="s">
        <v>1079</v>
      </c>
      <c r="I300" s="1">
        <v>1166.92</v>
      </c>
      <c r="J300" s="1">
        <v>5</v>
      </c>
      <c r="K300" s="1">
        <v>131.28</v>
      </c>
    </row>
    <row r="301" spans="1:11" ht="12.75" x14ac:dyDescent="0.2">
      <c r="A301" s="2">
        <v>43079</v>
      </c>
      <c r="B301" s="2" t="str">
        <f>TEXT(Table1[[#This Row],[Order Date]],"MMM")</f>
        <v>Dec</v>
      </c>
      <c r="C301" s="2" t="str">
        <f t="shared" si="4"/>
        <v>2017</v>
      </c>
      <c r="D301" s="1" t="s">
        <v>314</v>
      </c>
      <c r="E301" s="1" t="s">
        <v>101</v>
      </c>
      <c r="F301" s="1" t="s">
        <v>38</v>
      </c>
      <c r="G301" s="1" t="s">
        <v>39</v>
      </c>
      <c r="H301" s="1" t="s">
        <v>1081</v>
      </c>
      <c r="I301" s="1">
        <v>79.959999999999994</v>
      </c>
      <c r="J301" s="1">
        <v>5</v>
      </c>
      <c r="K301" s="1">
        <v>27.99</v>
      </c>
    </row>
    <row r="302" spans="1:11" ht="12.75" x14ac:dyDescent="0.2">
      <c r="A302" s="2">
        <v>41652</v>
      </c>
      <c r="B302" s="2" t="str">
        <f>TEXT(Table1[[#This Row],[Order Date]],"MMM")</f>
        <v>Jan</v>
      </c>
      <c r="C302" s="2" t="str">
        <f t="shared" si="4"/>
        <v>2014</v>
      </c>
      <c r="D302" s="1" t="s">
        <v>1083</v>
      </c>
      <c r="E302" s="1" t="s">
        <v>10</v>
      </c>
      <c r="F302" s="1" t="s">
        <v>11</v>
      </c>
      <c r="G302" s="1" t="s">
        <v>80</v>
      </c>
      <c r="H302" s="1" t="s">
        <v>921</v>
      </c>
      <c r="I302" s="1">
        <v>32.19</v>
      </c>
      <c r="J302" s="1">
        <v>2</v>
      </c>
      <c r="K302" s="1">
        <v>-80.48</v>
      </c>
    </row>
    <row r="303" spans="1:11" ht="12.75" x14ac:dyDescent="0.2">
      <c r="A303" s="2">
        <v>42017</v>
      </c>
      <c r="B303" s="2" t="str">
        <f>TEXT(Table1[[#This Row],[Order Date]],"MMM")</f>
        <v>Jan</v>
      </c>
      <c r="C303" s="2" t="str">
        <f t="shared" si="4"/>
        <v>2015</v>
      </c>
      <c r="D303" s="1" t="s">
        <v>862</v>
      </c>
      <c r="E303" s="1" t="s">
        <v>98</v>
      </c>
      <c r="F303" s="1" t="s">
        <v>11</v>
      </c>
      <c r="G303" s="1" t="s">
        <v>20</v>
      </c>
      <c r="H303" s="1" t="s">
        <v>987</v>
      </c>
      <c r="I303" s="1">
        <v>157.79</v>
      </c>
      <c r="J303" s="1">
        <v>1</v>
      </c>
      <c r="K303" s="1">
        <v>-115.72</v>
      </c>
    </row>
    <row r="304" spans="1:11" ht="12.75" x14ac:dyDescent="0.2">
      <c r="A304" s="2">
        <v>42076</v>
      </c>
      <c r="B304" s="2" t="str">
        <f>TEXT(Table1[[#This Row],[Order Date]],"MMM")</f>
        <v>Mar</v>
      </c>
      <c r="C304" s="2" t="str">
        <f t="shared" si="4"/>
        <v>2015</v>
      </c>
      <c r="D304" s="1" t="s">
        <v>397</v>
      </c>
      <c r="E304" s="1" t="s">
        <v>10</v>
      </c>
      <c r="F304" s="1" t="s">
        <v>11</v>
      </c>
      <c r="G304" s="1" t="s">
        <v>80</v>
      </c>
      <c r="H304" s="1" t="s">
        <v>1024</v>
      </c>
      <c r="I304" s="1">
        <v>463.25</v>
      </c>
      <c r="J304" s="1">
        <v>8</v>
      </c>
      <c r="K304" s="1">
        <v>-1181.28</v>
      </c>
    </row>
    <row r="305" spans="1:11" ht="12.75" x14ac:dyDescent="0.2">
      <c r="A305" s="2">
        <v>42442</v>
      </c>
      <c r="B305" s="2" t="str">
        <f>TEXT(Table1[[#This Row],[Order Date]],"MMM")</f>
        <v>Mar</v>
      </c>
      <c r="C305" s="2" t="str">
        <f t="shared" si="4"/>
        <v>2016</v>
      </c>
      <c r="D305" s="1" t="s">
        <v>331</v>
      </c>
      <c r="E305" s="1" t="s">
        <v>27</v>
      </c>
      <c r="F305" s="1" t="s">
        <v>33</v>
      </c>
      <c r="G305" s="1" t="s">
        <v>118</v>
      </c>
      <c r="H305" s="1" t="s">
        <v>1086</v>
      </c>
      <c r="I305" s="1">
        <v>369.91</v>
      </c>
      <c r="J305" s="1">
        <v>3</v>
      </c>
      <c r="K305" s="1">
        <v>-13.87</v>
      </c>
    </row>
    <row r="306" spans="1:11" ht="12.75" x14ac:dyDescent="0.2">
      <c r="A306" s="2">
        <v>42807</v>
      </c>
      <c r="B306" s="2" t="str">
        <f>TEXT(Table1[[#This Row],[Order Date]],"MMM")</f>
        <v>Mar</v>
      </c>
      <c r="C306" s="2" t="str">
        <f t="shared" si="4"/>
        <v>2017</v>
      </c>
      <c r="D306" s="1" t="s">
        <v>1089</v>
      </c>
      <c r="E306" s="1" t="s">
        <v>134</v>
      </c>
      <c r="F306" s="1" t="s">
        <v>11</v>
      </c>
      <c r="G306" s="1" t="s">
        <v>18</v>
      </c>
      <c r="H306" s="1" t="s">
        <v>1002</v>
      </c>
      <c r="I306" s="1">
        <v>40.74</v>
      </c>
      <c r="J306" s="1">
        <v>3</v>
      </c>
      <c r="K306" s="1">
        <v>0.41</v>
      </c>
    </row>
    <row r="307" spans="1:11" ht="12.75" x14ac:dyDescent="0.2">
      <c r="A307" s="2">
        <v>41742</v>
      </c>
      <c r="B307" s="2" t="str">
        <f>TEXT(Table1[[#This Row],[Order Date]],"MMM")</f>
        <v>Apr</v>
      </c>
      <c r="C307" s="2" t="str">
        <f t="shared" si="4"/>
        <v>2014</v>
      </c>
      <c r="D307" s="1" t="s">
        <v>832</v>
      </c>
      <c r="E307" s="1" t="s">
        <v>27</v>
      </c>
      <c r="F307" s="1" t="s">
        <v>38</v>
      </c>
      <c r="G307" s="1" t="s">
        <v>48</v>
      </c>
      <c r="H307" s="1" t="s">
        <v>427</v>
      </c>
      <c r="I307" s="1">
        <v>199.96</v>
      </c>
      <c r="J307" s="1">
        <v>4</v>
      </c>
      <c r="K307" s="1">
        <v>69.989999999999995</v>
      </c>
    </row>
    <row r="308" spans="1:11" ht="12.75" x14ac:dyDescent="0.2">
      <c r="A308" s="2">
        <v>42107</v>
      </c>
      <c r="B308" s="2" t="str">
        <f>TEXT(Table1[[#This Row],[Order Date]],"MMM")</f>
        <v>Apr</v>
      </c>
      <c r="C308" s="2" t="str">
        <f t="shared" si="4"/>
        <v>2015</v>
      </c>
      <c r="D308" s="1" t="s">
        <v>1091</v>
      </c>
      <c r="E308" s="1" t="s">
        <v>79</v>
      </c>
      <c r="F308" s="1" t="s">
        <v>11</v>
      </c>
      <c r="G308" s="1" t="s">
        <v>80</v>
      </c>
      <c r="H308" s="1" t="s">
        <v>678</v>
      </c>
      <c r="I308" s="1">
        <v>35.21</v>
      </c>
      <c r="J308" s="1">
        <v>1</v>
      </c>
      <c r="K308" s="1">
        <v>2.64</v>
      </c>
    </row>
    <row r="309" spans="1:11" ht="12.75" x14ac:dyDescent="0.2">
      <c r="A309" s="2">
        <v>41772</v>
      </c>
      <c r="B309" s="2" t="str">
        <f>TEXT(Table1[[#This Row],[Order Date]],"MMM")</f>
        <v>May</v>
      </c>
      <c r="C309" s="2" t="str">
        <f t="shared" si="4"/>
        <v>2014</v>
      </c>
      <c r="D309" s="1" t="s">
        <v>437</v>
      </c>
      <c r="E309" s="1" t="s">
        <v>27</v>
      </c>
      <c r="F309" s="1" t="s">
        <v>11</v>
      </c>
      <c r="G309" s="1" t="s">
        <v>24</v>
      </c>
      <c r="H309" s="1" t="s">
        <v>534</v>
      </c>
      <c r="I309" s="1">
        <v>5.56</v>
      </c>
      <c r="J309" s="1">
        <v>2</v>
      </c>
      <c r="K309" s="1">
        <v>2.2200000000000002</v>
      </c>
    </row>
    <row r="310" spans="1:11" ht="12.75" x14ac:dyDescent="0.2">
      <c r="A310" s="2">
        <v>42168</v>
      </c>
      <c r="B310" s="2" t="str">
        <f>TEXT(Table1[[#This Row],[Order Date]],"MMM")</f>
        <v>Jun</v>
      </c>
      <c r="C310" s="2" t="str">
        <f t="shared" si="4"/>
        <v>2015</v>
      </c>
      <c r="D310" s="1" t="s">
        <v>411</v>
      </c>
      <c r="E310" s="1" t="s">
        <v>10</v>
      </c>
      <c r="F310" s="1" t="s">
        <v>11</v>
      </c>
      <c r="G310" s="1" t="s">
        <v>80</v>
      </c>
      <c r="H310" s="1" t="s">
        <v>205</v>
      </c>
      <c r="I310" s="1">
        <v>19.57</v>
      </c>
      <c r="J310" s="1">
        <v>2</v>
      </c>
      <c r="K310" s="1">
        <v>-52.83</v>
      </c>
    </row>
    <row r="311" spans="1:11" ht="12.75" x14ac:dyDescent="0.2">
      <c r="A311" s="2">
        <v>42534</v>
      </c>
      <c r="B311" s="2" t="str">
        <f>TEXT(Table1[[#This Row],[Order Date]],"MMM")</f>
        <v>Jun</v>
      </c>
      <c r="C311" s="2" t="str">
        <f t="shared" si="4"/>
        <v>2016</v>
      </c>
      <c r="D311" s="1" t="s">
        <v>1096</v>
      </c>
      <c r="E311" s="1" t="s">
        <v>32</v>
      </c>
      <c r="F311" s="1" t="s">
        <v>33</v>
      </c>
      <c r="G311" s="1" t="s">
        <v>34</v>
      </c>
      <c r="H311" s="1" t="s">
        <v>1021</v>
      </c>
      <c r="I311" s="1">
        <v>191.96</v>
      </c>
      <c r="J311" s="1">
        <v>2</v>
      </c>
      <c r="K311" s="1">
        <v>51.83</v>
      </c>
    </row>
    <row r="312" spans="1:11" ht="12.75" x14ac:dyDescent="0.2">
      <c r="A312" s="2">
        <v>41833</v>
      </c>
      <c r="B312" s="2" t="str">
        <f>TEXT(Table1[[#This Row],[Order Date]],"MMM")</f>
        <v>Jul</v>
      </c>
      <c r="C312" s="2" t="str">
        <f t="shared" si="4"/>
        <v>2014</v>
      </c>
      <c r="D312" s="1" t="s">
        <v>136</v>
      </c>
      <c r="E312" s="1" t="s">
        <v>120</v>
      </c>
      <c r="F312" s="1" t="s">
        <v>11</v>
      </c>
      <c r="G312" s="1" t="s">
        <v>24</v>
      </c>
      <c r="H312" s="1" t="s">
        <v>201</v>
      </c>
      <c r="I312" s="1">
        <v>25.99</v>
      </c>
      <c r="J312" s="1">
        <v>1</v>
      </c>
      <c r="K312" s="1">
        <v>7.54</v>
      </c>
    </row>
    <row r="313" spans="1:11" ht="12.75" x14ac:dyDescent="0.2">
      <c r="A313" s="2">
        <v>42198</v>
      </c>
      <c r="B313" s="2" t="str">
        <f>TEXT(Table1[[#This Row],[Order Date]],"MMM")</f>
        <v>Jul</v>
      </c>
      <c r="C313" s="2" t="str">
        <f t="shared" si="4"/>
        <v>2015</v>
      </c>
      <c r="D313" s="1" t="s">
        <v>188</v>
      </c>
      <c r="E313" s="1" t="s">
        <v>27</v>
      </c>
      <c r="F313" s="1" t="s">
        <v>11</v>
      </c>
      <c r="G313" s="1" t="s">
        <v>20</v>
      </c>
      <c r="H313" s="1" t="s">
        <v>281</v>
      </c>
      <c r="I313" s="1">
        <v>13.94</v>
      </c>
      <c r="J313" s="1">
        <v>3</v>
      </c>
      <c r="K313" s="1">
        <v>4.53</v>
      </c>
    </row>
    <row r="314" spans="1:11" ht="12.75" x14ac:dyDescent="0.2">
      <c r="A314" s="2">
        <v>42929</v>
      </c>
      <c r="B314" s="2" t="str">
        <f>TEXT(Table1[[#This Row],[Order Date]],"MMM")</f>
        <v>Jul</v>
      </c>
      <c r="C314" s="2" t="str">
        <f t="shared" si="4"/>
        <v>2017</v>
      </c>
      <c r="D314" s="1" t="s">
        <v>547</v>
      </c>
      <c r="E314" s="1" t="s">
        <v>10</v>
      </c>
      <c r="F314" s="1" t="s">
        <v>11</v>
      </c>
      <c r="G314" s="1" t="s">
        <v>80</v>
      </c>
      <c r="H314" s="1" t="s">
        <v>396</v>
      </c>
      <c r="I314" s="1">
        <v>8.65</v>
      </c>
      <c r="J314" s="1">
        <v>3</v>
      </c>
      <c r="K314" s="1">
        <v>-20.329999999999998</v>
      </c>
    </row>
    <row r="315" spans="1:11" ht="12.75" x14ac:dyDescent="0.2">
      <c r="A315" s="2">
        <v>42229</v>
      </c>
      <c r="B315" s="2" t="str">
        <f>TEXT(Table1[[#This Row],[Order Date]],"MMM")</f>
        <v>Aug</v>
      </c>
      <c r="C315" s="2" t="str">
        <f t="shared" si="4"/>
        <v>2015</v>
      </c>
      <c r="D315" s="1" t="s">
        <v>770</v>
      </c>
      <c r="E315" s="1" t="s">
        <v>23</v>
      </c>
      <c r="F315" s="1" t="s">
        <v>11</v>
      </c>
      <c r="G315" s="1" t="s">
        <v>12</v>
      </c>
      <c r="H315" s="1" t="s">
        <v>436</v>
      </c>
      <c r="I315" s="1">
        <v>7.97</v>
      </c>
      <c r="J315" s="1">
        <v>2</v>
      </c>
      <c r="K315" s="1">
        <v>2.89</v>
      </c>
    </row>
    <row r="316" spans="1:11" ht="12.75" x14ac:dyDescent="0.2">
      <c r="A316" s="2">
        <v>42595</v>
      </c>
      <c r="B316" s="2" t="str">
        <f>TEXT(Table1[[#This Row],[Order Date]],"MMM")</f>
        <v>Aug</v>
      </c>
      <c r="C316" s="2" t="str">
        <f t="shared" si="4"/>
        <v>2016</v>
      </c>
      <c r="D316" s="1" t="s">
        <v>345</v>
      </c>
      <c r="E316" s="1" t="s">
        <v>15</v>
      </c>
      <c r="F316" s="1" t="s">
        <v>33</v>
      </c>
      <c r="G316" s="1" t="s">
        <v>34</v>
      </c>
      <c r="H316" s="1" t="s">
        <v>149</v>
      </c>
      <c r="I316" s="1">
        <v>213.12</v>
      </c>
      <c r="J316" s="1">
        <v>5</v>
      </c>
      <c r="K316" s="1">
        <v>-15.22</v>
      </c>
    </row>
    <row r="317" spans="1:11" ht="12.75" x14ac:dyDescent="0.2">
      <c r="A317" s="2">
        <v>41895</v>
      </c>
      <c r="B317" s="2" t="str">
        <f>TEXT(Table1[[#This Row],[Order Date]],"MMM")</f>
        <v>Sep</v>
      </c>
      <c r="C317" s="2" t="str">
        <f t="shared" si="4"/>
        <v>2014</v>
      </c>
      <c r="D317" s="1" t="s">
        <v>759</v>
      </c>
      <c r="E317" s="1" t="s">
        <v>27</v>
      </c>
      <c r="F317" s="1" t="s">
        <v>38</v>
      </c>
      <c r="G317" s="1" t="s">
        <v>39</v>
      </c>
      <c r="H317" s="1" t="s">
        <v>1098</v>
      </c>
      <c r="I317" s="1">
        <v>88.75</v>
      </c>
      <c r="J317" s="1">
        <v>3</v>
      </c>
      <c r="K317" s="1">
        <v>11.09</v>
      </c>
    </row>
    <row r="318" spans="1:11" ht="12.75" x14ac:dyDescent="0.2">
      <c r="A318" s="2">
        <v>42991</v>
      </c>
      <c r="B318" s="2" t="str">
        <f>TEXT(Table1[[#This Row],[Order Date]],"MMM")</f>
        <v>Sep</v>
      </c>
      <c r="C318" s="2" t="str">
        <f t="shared" si="4"/>
        <v>2017</v>
      </c>
      <c r="D318" s="1" t="s">
        <v>861</v>
      </c>
      <c r="E318" s="1" t="s">
        <v>10</v>
      </c>
      <c r="F318" s="1" t="s">
        <v>11</v>
      </c>
      <c r="G318" s="1" t="s">
        <v>16</v>
      </c>
      <c r="H318" s="1" t="s">
        <v>237</v>
      </c>
      <c r="I318" s="1">
        <v>8.86</v>
      </c>
      <c r="J318" s="1">
        <v>3</v>
      </c>
      <c r="K318" s="1">
        <v>2.99</v>
      </c>
    </row>
    <row r="319" spans="1:11" ht="12.75" x14ac:dyDescent="0.2">
      <c r="A319" s="2">
        <v>41925</v>
      </c>
      <c r="B319" s="2" t="str">
        <f>TEXT(Table1[[#This Row],[Order Date]],"MMM")</f>
        <v>Oct</v>
      </c>
      <c r="C319" s="2" t="str">
        <f t="shared" si="4"/>
        <v>2014</v>
      </c>
      <c r="D319" s="1" t="s">
        <v>841</v>
      </c>
      <c r="E319" s="1" t="s">
        <v>120</v>
      </c>
      <c r="F319" s="1" t="s">
        <v>33</v>
      </c>
      <c r="G319" s="1" t="s">
        <v>44</v>
      </c>
      <c r="H319" s="1" t="s">
        <v>1103</v>
      </c>
      <c r="I319" s="1">
        <v>26.8</v>
      </c>
      <c r="J319" s="1">
        <v>2</v>
      </c>
      <c r="K319" s="1">
        <v>12.86</v>
      </c>
    </row>
    <row r="320" spans="1:11" ht="12.75" x14ac:dyDescent="0.2">
      <c r="A320" s="2">
        <v>42321</v>
      </c>
      <c r="B320" s="2" t="str">
        <f>TEXT(Table1[[#This Row],[Order Date]],"MMM")</f>
        <v>Nov</v>
      </c>
      <c r="C320" s="2" t="str">
        <f t="shared" si="4"/>
        <v>2015</v>
      </c>
      <c r="D320" s="1" t="s">
        <v>1106</v>
      </c>
      <c r="E320" s="1" t="s">
        <v>10</v>
      </c>
      <c r="F320" s="1" t="s">
        <v>33</v>
      </c>
      <c r="G320" s="1" t="s">
        <v>118</v>
      </c>
      <c r="H320" s="1" t="s">
        <v>1107</v>
      </c>
      <c r="I320" s="1">
        <v>244.01</v>
      </c>
      <c r="J320" s="1">
        <v>2</v>
      </c>
      <c r="K320" s="1">
        <v>-31.37</v>
      </c>
    </row>
    <row r="321" spans="1:11" ht="12.75" x14ac:dyDescent="0.2">
      <c r="A321" s="2">
        <v>42687</v>
      </c>
      <c r="B321" s="2" t="str">
        <f>TEXT(Table1[[#This Row],[Order Date]],"MMM")</f>
        <v>Nov</v>
      </c>
      <c r="C321" s="2" t="str">
        <f t="shared" si="4"/>
        <v>2016</v>
      </c>
      <c r="D321" s="1" t="s">
        <v>1033</v>
      </c>
      <c r="E321" s="1" t="s">
        <v>68</v>
      </c>
      <c r="F321" s="1" t="s">
        <v>33</v>
      </c>
      <c r="G321" s="1" t="s">
        <v>44</v>
      </c>
      <c r="H321" s="1" t="s">
        <v>395</v>
      </c>
      <c r="I321" s="1">
        <v>8.35</v>
      </c>
      <c r="J321" s="1">
        <v>6</v>
      </c>
      <c r="K321" s="1">
        <v>1.25</v>
      </c>
    </row>
    <row r="322" spans="1:11" ht="12.75" x14ac:dyDescent="0.2">
      <c r="A322" s="2">
        <v>41986</v>
      </c>
      <c r="B322" s="2" t="str">
        <f>TEXT(Table1[[#This Row],[Order Date]],"MMM")</f>
        <v>Dec</v>
      </c>
      <c r="C322" s="2" t="str">
        <f t="shared" ref="C322:C385" si="5">TEXT(A322,"YYY")</f>
        <v>2014</v>
      </c>
      <c r="D322" s="1" t="s">
        <v>581</v>
      </c>
      <c r="E322" s="1" t="s">
        <v>32</v>
      </c>
      <c r="F322" s="1" t="s">
        <v>11</v>
      </c>
      <c r="G322" s="1" t="s">
        <v>20</v>
      </c>
      <c r="H322" s="1" t="s">
        <v>882</v>
      </c>
      <c r="I322" s="1">
        <v>48.81</v>
      </c>
      <c r="J322" s="1">
        <v>3</v>
      </c>
      <c r="K322" s="1">
        <v>23.92</v>
      </c>
    </row>
    <row r="323" spans="1:11" ht="12.75" x14ac:dyDescent="0.2">
      <c r="A323" s="2">
        <v>41653</v>
      </c>
      <c r="B323" s="2" t="str">
        <f>TEXT(Table1[[#This Row],[Order Date]],"MMM")</f>
        <v>Jan</v>
      </c>
      <c r="C323" s="2" t="str">
        <f t="shared" si="5"/>
        <v>2014</v>
      </c>
      <c r="D323" s="1" t="s">
        <v>561</v>
      </c>
      <c r="E323" s="1" t="s">
        <v>15</v>
      </c>
      <c r="F323" s="1" t="s">
        <v>11</v>
      </c>
      <c r="G323" s="1" t="s">
        <v>80</v>
      </c>
      <c r="H323" s="1" t="s">
        <v>1108</v>
      </c>
      <c r="I323" s="1">
        <v>70.97</v>
      </c>
      <c r="J323" s="1">
        <v>5</v>
      </c>
      <c r="K323" s="1">
        <v>-191.62</v>
      </c>
    </row>
    <row r="324" spans="1:11" ht="12.75" x14ac:dyDescent="0.2">
      <c r="A324" s="2">
        <v>42383</v>
      </c>
      <c r="B324" s="2" t="str">
        <f>TEXT(Table1[[#This Row],[Order Date]],"MMM")</f>
        <v>Jan</v>
      </c>
      <c r="C324" s="2" t="str">
        <f t="shared" si="5"/>
        <v>2016</v>
      </c>
      <c r="D324" s="1" t="s">
        <v>345</v>
      </c>
      <c r="E324" s="1" t="s">
        <v>83</v>
      </c>
      <c r="F324" s="1" t="s">
        <v>33</v>
      </c>
      <c r="G324" s="1" t="s">
        <v>34</v>
      </c>
      <c r="H324" s="1" t="s">
        <v>1109</v>
      </c>
      <c r="I324" s="1">
        <v>191.97</v>
      </c>
      <c r="J324" s="1">
        <v>7</v>
      </c>
      <c r="K324" s="1">
        <v>16.8</v>
      </c>
    </row>
    <row r="325" spans="1:11" ht="12.75" x14ac:dyDescent="0.2">
      <c r="A325" s="2">
        <v>41684</v>
      </c>
      <c r="B325" s="2" t="str">
        <f>TEXT(Table1[[#This Row],[Order Date]],"MMM")</f>
        <v>Feb</v>
      </c>
      <c r="C325" s="2" t="str">
        <f t="shared" si="5"/>
        <v>2014</v>
      </c>
      <c r="D325" s="1" t="s">
        <v>260</v>
      </c>
      <c r="E325" s="1" t="s">
        <v>27</v>
      </c>
      <c r="F325" s="1" t="s">
        <v>11</v>
      </c>
      <c r="G325" s="1" t="s">
        <v>12</v>
      </c>
      <c r="H325" s="1" t="s">
        <v>1110</v>
      </c>
      <c r="I325" s="1">
        <v>12.84</v>
      </c>
      <c r="J325" s="1">
        <v>3</v>
      </c>
      <c r="K325" s="1">
        <v>5.78</v>
      </c>
    </row>
    <row r="326" spans="1:11" ht="12.75" x14ac:dyDescent="0.2">
      <c r="A326" s="2">
        <v>42443</v>
      </c>
      <c r="B326" s="2" t="str">
        <f>TEXT(Table1[[#This Row],[Order Date]],"MMM")</f>
        <v>Mar</v>
      </c>
      <c r="C326" s="2" t="str">
        <f t="shared" si="5"/>
        <v>2016</v>
      </c>
      <c r="D326" s="1" t="s">
        <v>293</v>
      </c>
      <c r="E326" s="1" t="s">
        <v>30</v>
      </c>
      <c r="F326" s="1" t="s">
        <v>11</v>
      </c>
      <c r="G326" s="1" t="s">
        <v>58</v>
      </c>
      <c r="H326" s="1" t="s">
        <v>1114</v>
      </c>
      <c r="I326" s="1">
        <v>17.940000000000001</v>
      </c>
      <c r="J326" s="1">
        <v>3</v>
      </c>
      <c r="K326" s="1">
        <v>8.7899999999999991</v>
      </c>
    </row>
    <row r="327" spans="1:11" ht="12.75" x14ac:dyDescent="0.2">
      <c r="A327" s="2">
        <v>42108</v>
      </c>
      <c r="B327" s="2" t="str">
        <f>TEXT(Table1[[#This Row],[Order Date]],"MMM")</f>
        <v>Apr</v>
      </c>
      <c r="C327" s="2" t="str">
        <f t="shared" si="5"/>
        <v>2015</v>
      </c>
      <c r="D327" s="1" t="s">
        <v>301</v>
      </c>
      <c r="E327" s="1" t="s">
        <v>101</v>
      </c>
      <c r="F327" s="1" t="s">
        <v>38</v>
      </c>
      <c r="G327" s="1" t="s">
        <v>48</v>
      </c>
      <c r="H327" s="1" t="s">
        <v>1085</v>
      </c>
      <c r="I327" s="1">
        <v>255.97</v>
      </c>
      <c r="J327" s="1">
        <v>4</v>
      </c>
      <c r="K327" s="1">
        <v>32</v>
      </c>
    </row>
    <row r="328" spans="1:11" ht="12.75" x14ac:dyDescent="0.2">
      <c r="A328" s="2">
        <v>41773</v>
      </c>
      <c r="B328" s="2" t="str">
        <f>TEXT(Table1[[#This Row],[Order Date]],"MMM")</f>
        <v>May</v>
      </c>
      <c r="C328" s="2" t="str">
        <f t="shared" si="5"/>
        <v>2014</v>
      </c>
      <c r="D328" s="1" t="s">
        <v>50</v>
      </c>
      <c r="E328" s="1" t="s">
        <v>27</v>
      </c>
      <c r="F328" s="1" t="s">
        <v>11</v>
      </c>
      <c r="G328" s="1" t="s">
        <v>12</v>
      </c>
      <c r="H328" s="1" t="s">
        <v>774</v>
      </c>
      <c r="I328" s="1">
        <v>10.86</v>
      </c>
      <c r="J328" s="1">
        <v>2</v>
      </c>
      <c r="K328" s="1">
        <v>5.32</v>
      </c>
    </row>
    <row r="329" spans="1:11" ht="12.75" x14ac:dyDescent="0.2">
      <c r="A329" s="2">
        <v>42504</v>
      </c>
      <c r="B329" s="2" t="str">
        <f>TEXT(Table1[[#This Row],[Order Date]],"MMM")</f>
        <v>May</v>
      </c>
      <c r="C329" s="2" t="str">
        <f t="shared" si="5"/>
        <v>2016</v>
      </c>
      <c r="D329" s="1" t="s">
        <v>634</v>
      </c>
      <c r="E329" s="1" t="s">
        <v>187</v>
      </c>
      <c r="F329" s="1" t="s">
        <v>33</v>
      </c>
      <c r="G329" s="1" t="s">
        <v>44</v>
      </c>
      <c r="H329" s="1" t="s">
        <v>233</v>
      </c>
      <c r="I329" s="1">
        <v>163.13999999999999</v>
      </c>
      <c r="J329" s="1">
        <v>4</v>
      </c>
      <c r="K329" s="1">
        <v>20.39</v>
      </c>
    </row>
    <row r="330" spans="1:11" ht="12.75" x14ac:dyDescent="0.2">
      <c r="A330" s="2">
        <v>41804</v>
      </c>
      <c r="B330" s="2" t="str">
        <f>TEXT(Table1[[#This Row],[Order Date]],"MMM")</f>
        <v>Jun</v>
      </c>
      <c r="C330" s="2" t="str">
        <f t="shared" si="5"/>
        <v>2014</v>
      </c>
      <c r="D330" s="1" t="s">
        <v>524</v>
      </c>
      <c r="E330" s="1" t="s">
        <v>15</v>
      </c>
      <c r="F330" s="1" t="s">
        <v>11</v>
      </c>
      <c r="G330" s="1" t="s">
        <v>80</v>
      </c>
      <c r="H330" s="1" t="s">
        <v>779</v>
      </c>
      <c r="I330" s="1">
        <v>20.77</v>
      </c>
      <c r="J330" s="1">
        <v>8</v>
      </c>
      <c r="K330" s="1">
        <v>-52.96</v>
      </c>
    </row>
    <row r="331" spans="1:11" ht="12.75" x14ac:dyDescent="0.2">
      <c r="A331" s="2">
        <v>42169</v>
      </c>
      <c r="B331" s="2" t="str">
        <f>TEXT(Table1[[#This Row],[Order Date]],"MMM")</f>
        <v>Jun</v>
      </c>
      <c r="C331" s="2" t="str">
        <f t="shared" si="5"/>
        <v>2015</v>
      </c>
      <c r="D331" s="1" t="s">
        <v>775</v>
      </c>
      <c r="E331" s="1" t="s">
        <v>27</v>
      </c>
      <c r="F331" s="1" t="s">
        <v>11</v>
      </c>
      <c r="G331" s="1" t="s">
        <v>16</v>
      </c>
      <c r="H331" s="1" t="s">
        <v>251</v>
      </c>
      <c r="I331" s="1">
        <v>8.26</v>
      </c>
      <c r="J331" s="1">
        <v>2</v>
      </c>
      <c r="K331" s="1">
        <v>3.8</v>
      </c>
    </row>
    <row r="332" spans="1:11" ht="12.75" x14ac:dyDescent="0.2">
      <c r="A332" s="2">
        <v>42535</v>
      </c>
      <c r="B332" s="2" t="str">
        <f>TEXT(Table1[[#This Row],[Order Date]],"MMM")</f>
        <v>Jun</v>
      </c>
      <c r="C332" s="2" t="str">
        <f t="shared" si="5"/>
        <v>2016</v>
      </c>
      <c r="D332" s="1" t="s">
        <v>1117</v>
      </c>
      <c r="E332" s="1" t="s">
        <v>200</v>
      </c>
      <c r="F332" s="1" t="s">
        <v>11</v>
      </c>
      <c r="G332" s="1" t="s">
        <v>80</v>
      </c>
      <c r="H332" s="1" t="s">
        <v>1087</v>
      </c>
      <c r="I332" s="1">
        <v>845.73</v>
      </c>
      <c r="J332" s="1">
        <v>13</v>
      </c>
      <c r="K332" s="1">
        <v>84.57</v>
      </c>
    </row>
    <row r="333" spans="1:11" ht="12.75" x14ac:dyDescent="0.2">
      <c r="A333" s="2">
        <v>41834</v>
      </c>
      <c r="B333" s="2" t="str">
        <f>TEXT(Table1[[#This Row],[Order Date]],"MMM")</f>
        <v>Jul</v>
      </c>
      <c r="C333" s="2" t="str">
        <f t="shared" si="5"/>
        <v>2014</v>
      </c>
      <c r="D333" s="1" t="s">
        <v>1120</v>
      </c>
      <c r="E333" s="1" t="s">
        <v>134</v>
      </c>
      <c r="F333" s="1" t="s">
        <v>11</v>
      </c>
      <c r="G333" s="1" t="s">
        <v>24</v>
      </c>
      <c r="H333" s="1" t="s">
        <v>1121</v>
      </c>
      <c r="I333" s="1">
        <v>6.63</v>
      </c>
      <c r="J333" s="1">
        <v>3</v>
      </c>
      <c r="K333" s="1">
        <v>1.79</v>
      </c>
    </row>
    <row r="334" spans="1:11" ht="12.75" x14ac:dyDescent="0.2">
      <c r="A334" s="2">
        <v>42199</v>
      </c>
      <c r="B334" s="2" t="str">
        <f>TEXT(Table1[[#This Row],[Order Date]],"MMM")</f>
        <v>Jul</v>
      </c>
      <c r="C334" s="2" t="str">
        <f t="shared" si="5"/>
        <v>2015</v>
      </c>
      <c r="D334" s="1" t="s">
        <v>620</v>
      </c>
      <c r="E334" s="1" t="s">
        <v>134</v>
      </c>
      <c r="F334" s="1" t="s">
        <v>11</v>
      </c>
      <c r="G334" s="1" t="s">
        <v>12</v>
      </c>
      <c r="H334" s="1" t="s">
        <v>1122</v>
      </c>
      <c r="I334" s="1">
        <v>32.4</v>
      </c>
      <c r="J334" s="1">
        <v>5</v>
      </c>
      <c r="K334" s="1">
        <v>15.55</v>
      </c>
    </row>
    <row r="335" spans="1:11" ht="12.75" x14ac:dyDescent="0.2">
      <c r="A335" s="2">
        <v>42565</v>
      </c>
      <c r="B335" s="2" t="str">
        <f>TEXT(Table1[[#This Row],[Order Date]],"MMM")</f>
        <v>Jul</v>
      </c>
      <c r="C335" s="2" t="str">
        <f t="shared" si="5"/>
        <v>2016</v>
      </c>
      <c r="D335" s="1" t="s">
        <v>1123</v>
      </c>
      <c r="E335" s="1" t="s">
        <v>120</v>
      </c>
      <c r="F335" s="1" t="s">
        <v>38</v>
      </c>
      <c r="G335" s="1" t="s">
        <v>39</v>
      </c>
      <c r="H335" s="1" t="s">
        <v>1124</v>
      </c>
      <c r="I335" s="1">
        <v>239.97</v>
      </c>
      <c r="J335" s="1">
        <v>3</v>
      </c>
      <c r="K335" s="1">
        <v>2.4</v>
      </c>
    </row>
    <row r="336" spans="1:11" ht="12.75" x14ac:dyDescent="0.2">
      <c r="A336" s="2">
        <v>42596</v>
      </c>
      <c r="B336" s="2" t="str">
        <f>TEXT(Table1[[#This Row],[Order Date]],"MMM")</f>
        <v>Aug</v>
      </c>
      <c r="C336" s="2" t="str">
        <f t="shared" si="5"/>
        <v>2016</v>
      </c>
      <c r="D336" s="1" t="s">
        <v>348</v>
      </c>
      <c r="E336" s="1" t="s">
        <v>27</v>
      </c>
      <c r="F336" s="1" t="s">
        <v>11</v>
      </c>
      <c r="G336" s="1" t="s">
        <v>12</v>
      </c>
      <c r="H336" s="1" t="s">
        <v>1077</v>
      </c>
      <c r="I336" s="1">
        <v>58.38</v>
      </c>
      <c r="J336" s="1">
        <v>7</v>
      </c>
      <c r="K336" s="1">
        <v>26.27</v>
      </c>
    </row>
    <row r="337" spans="1:11" ht="12.75" x14ac:dyDescent="0.2">
      <c r="A337" s="2">
        <v>41896</v>
      </c>
      <c r="B337" s="2" t="str">
        <f>TEXT(Table1[[#This Row],[Order Date]],"MMM")</f>
        <v>Sep</v>
      </c>
      <c r="C337" s="2" t="str">
        <f t="shared" si="5"/>
        <v>2014</v>
      </c>
      <c r="D337" s="1" t="s">
        <v>294</v>
      </c>
      <c r="E337" s="1" t="s">
        <v>10</v>
      </c>
      <c r="F337" s="1" t="s">
        <v>11</v>
      </c>
      <c r="G337" s="1" t="s">
        <v>20</v>
      </c>
      <c r="H337" s="1" t="s">
        <v>761</v>
      </c>
      <c r="I337" s="1">
        <v>5.73</v>
      </c>
      <c r="J337" s="1">
        <v>8</v>
      </c>
      <c r="K337" s="1">
        <v>-9.16</v>
      </c>
    </row>
    <row r="338" spans="1:11" ht="12.75" x14ac:dyDescent="0.2">
      <c r="A338" s="2">
        <v>42261</v>
      </c>
      <c r="B338" s="2" t="str">
        <f>TEXT(Table1[[#This Row],[Order Date]],"MMM")</f>
        <v>Sep</v>
      </c>
      <c r="C338" s="2" t="str">
        <f t="shared" si="5"/>
        <v>2015</v>
      </c>
      <c r="D338" s="1" t="s">
        <v>1061</v>
      </c>
      <c r="E338" s="1" t="s">
        <v>120</v>
      </c>
      <c r="F338" s="1" t="s">
        <v>33</v>
      </c>
      <c r="G338" s="1" t="s">
        <v>34</v>
      </c>
      <c r="H338" s="1" t="s">
        <v>615</v>
      </c>
      <c r="I338" s="1">
        <v>1522.64</v>
      </c>
      <c r="J338" s="1">
        <v>9</v>
      </c>
      <c r="K338" s="1">
        <v>169.18</v>
      </c>
    </row>
    <row r="339" spans="1:11" ht="12.75" x14ac:dyDescent="0.2">
      <c r="A339" s="2">
        <v>41926</v>
      </c>
      <c r="B339" s="2" t="str">
        <f>TEXT(Table1[[#This Row],[Order Date]],"MMM")</f>
        <v>Oct</v>
      </c>
      <c r="C339" s="2" t="str">
        <f t="shared" si="5"/>
        <v>2014</v>
      </c>
      <c r="D339" s="1" t="s">
        <v>1130</v>
      </c>
      <c r="E339" s="1" t="s">
        <v>27</v>
      </c>
      <c r="F339" s="1" t="s">
        <v>11</v>
      </c>
      <c r="G339" s="1" t="s">
        <v>20</v>
      </c>
      <c r="H339" s="1" t="s">
        <v>61</v>
      </c>
      <c r="I339" s="1">
        <v>7.52</v>
      </c>
      <c r="J339" s="1">
        <v>5</v>
      </c>
      <c r="K339" s="1">
        <v>2.63</v>
      </c>
    </row>
    <row r="340" spans="1:11" ht="12.75" x14ac:dyDescent="0.2">
      <c r="A340" s="2">
        <v>42657</v>
      </c>
      <c r="B340" s="2" t="str">
        <f>TEXT(Table1[[#This Row],[Order Date]],"MMM")</f>
        <v>Oct</v>
      </c>
      <c r="C340" s="2" t="str">
        <f t="shared" si="5"/>
        <v>2016</v>
      </c>
      <c r="D340" s="1" t="s">
        <v>765</v>
      </c>
      <c r="E340" s="1" t="s">
        <v>51</v>
      </c>
      <c r="F340" s="1" t="s">
        <v>11</v>
      </c>
      <c r="G340" s="1" t="s">
        <v>20</v>
      </c>
      <c r="H340" s="1" t="s">
        <v>562</v>
      </c>
      <c r="I340" s="1">
        <v>113.1</v>
      </c>
      <c r="J340" s="1">
        <v>3</v>
      </c>
      <c r="K340" s="1">
        <v>56.55</v>
      </c>
    </row>
    <row r="341" spans="1:11" ht="12.75" x14ac:dyDescent="0.2">
      <c r="A341" s="2">
        <v>41957</v>
      </c>
      <c r="B341" s="2" t="str">
        <f>TEXT(Table1[[#This Row],[Order Date]],"MMM")</f>
        <v>Nov</v>
      </c>
      <c r="C341" s="2" t="str">
        <f t="shared" si="5"/>
        <v>2014</v>
      </c>
      <c r="D341" s="1" t="s">
        <v>64</v>
      </c>
      <c r="E341" s="1" t="s">
        <v>57</v>
      </c>
      <c r="F341" s="1" t="s">
        <v>38</v>
      </c>
      <c r="G341" s="1" t="s">
        <v>48</v>
      </c>
      <c r="H341" s="1" t="s">
        <v>814</v>
      </c>
      <c r="I341" s="1">
        <v>53.7</v>
      </c>
      <c r="J341" s="1">
        <v>6</v>
      </c>
      <c r="K341" s="1">
        <v>10.199999999999999</v>
      </c>
    </row>
    <row r="342" spans="1:11" ht="12.75" x14ac:dyDescent="0.2">
      <c r="A342" s="2">
        <v>42322</v>
      </c>
      <c r="B342" s="2" t="str">
        <f>TEXT(Table1[[#This Row],[Order Date]],"MMM")</f>
        <v>Nov</v>
      </c>
      <c r="C342" s="2" t="str">
        <f t="shared" si="5"/>
        <v>2015</v>
      </c>
      <c r="D342" s="1" t="s">
        <v>1057</v>
      </c>
      <c r="E342" s="1" t="s">
        <v>27</v>
      </c>
      <c r="F342" s="1" t="s">
        <v>11</v>
      </c>
      <c r="G342" s="1" t="s">
        <v>20</v>
      </c>
      <c r="H342" s="1" t="s">
        <v>1084</v>
      </c>
      <c r="I342" s="1">
        <v>36.619999999999997</v>
      </c>
      <c r="J342" s="1">
        <v>3</v>
      </c>
      <c r="K342" s="1">
        <v>13.73</v>
      </c>
    </row>
    <row r="343" spans="1:11" ht="12.75" x14ac:dyDescent="0.2">
      <c r="A343" s="2">
        <v>42688</v>
      </c>
      <c r="B343" s="2" t="str">
        <f>TEXT(Table1[[#This Row],[Order Date]],"MMM")</f>
        <v>Nov</v>
      </c>
      <c r="C343" s="2" t="str">
        <f t="shared" si="5"/>
        <v>2016</v>
      </c>
      <c r="D343" s="1" t="s">
        <v>934</v>
      </c>
      <c r="E343" s="1" t="s">
        <v>23</v>
      </c>
      <c r="F343" s="1" t="s">
        <v>33</v>
      </c>
      <c r="G343" s="1" t="s">
        <v>44</v>
      </c>
      <c r="H343" s="1" t="s">
        <v>892</v>
      </c>
      <c r="I343" s="1">
        <v>51.07</v>
      </c>
      <c r="J343" s="1">
        <v>6</v>
      </c>
      <c r="K343" s="1">
        <v>5.1100000000000003</v>
      </c>
    </row>
    <row r="344" spans="1:11" ht="12.75" x14ac:dyDescent="0.2">
      <c r="A344" s="2">
        <v>42718</v>
      </c>
      <c r="B344" s="2" t="str">
        <f>TEXT(Table1[[#This Row],[Order Date]],"MMM")</f>
        <v>Dec</v>
      </c>
      <c r="C344" s="2" t="str">
        <f t="shared" si="5"/>
        <v>2016</v>
      </c>
      <c r="D344" s="1" t="s">
        <v>588</v>
      </c>
      <c r="E344" s="1" t="s">
        <v>23</v>
      </c>
      <c r="F344" s="1" t="s">
        <v>11</v>
      </c>
      <c r="G344" s="1" t="s">
        <v>58</v>
      </c>
      <c r="H344" s="1" t="s">
        <v>746</v>
      </c>
      <c r="I344" s="1">
        <v>6.21</v>
      </c>
      <c r="J344" s="1">
        <v>2</v>
      </c>
      <c r="K344" s="1">
        <v>2.17</v>
      </c>
    </row>
    <row r="345" spans="1:11" ht="12.75" x14ac:dyDescent="0.2">
      <c r="A345" s="2">
        <v>43083</v>
      </c>
      <c r="B345" s="2" t="str">
        <f>TEXT(Table1[[#This Row],[Order Date]],"MMM")</f>
        <v>Dec</v>
      </c>
      <c r="C345" s="2" t="str">
        <f t="shared" si="5"/>
        <v>2017</v>
      </c>
      <c r="D345" s="1" t="s">
        <v>988</v>
      </c>
      <c r="E345" s="1" t="s">
        <v>27</v>
      </c>
      <c r="F345" s="1" t="s">
        <v>33</v>
      </c>
      <c r="G345" s="1" t="s">
        <v>44</v>
      </c>
      <c r="H345" s="1" t="s">
        <v>1138</v>
      </c>
      <c r="I345" s="1">
        <v>12.56</v>
      </c>
      <c r="J345" s="1">
        <v>2</v>
      </c>
      <c r="K345" s="1">
        <v>4.0199999999999996</v>
      </c>
    </row>
    <row r="346" spans="1:11" ht="12.75" x14ac:dyDescent="0.2">
      <c r="A346" s="2">
        <v>41654</v>
      </c>
      <c r="B346" s="2" t="str">
        <f>TEXT(Table1[[#This Row],[Order Date]],"MMM")</f>
        <v>Jan</v>
      </c>
      <c r="C346" s="2" t="str">
        <f t="shared" si="5"/>
        <v>2014</v>
      </c>
      <c r="D346" s="1" t="s">
        <v>1139</v>
      </c>
      <c r="E346" s="1" t="s">
        <v>27</v>
      </c>
      <c r="F346" s="1" t="s">
        <v>33</v>
      </c>
      <c r="G346" s="1" t="s">
        <v>44</v>
      </c>
      <c r="H346" s="1" t="s">
        <v>870</v>
      </c>
      <c r="I346" s="1">
        <v>257.64</v>
      </c>
      <c r="J346" s="1">
        <v>6</v>
      </c>
      <c r="K346" s="1">
        <v>100.48</v>
      </c>
    </row>
    <row r="347" spans="1:11" ht="12.75" x14ac:dyDescent="0.2">
      <c r="A347" s="2">
        <v>42384</v>
      </c>
      <c r="B347" s="2" t="str">
        <f>TEXT(Table1[[#This Row],[Order Date]],"MMM")</f>
        <v>Jan</v>
      </c>
      <c r="C347" s="2" t="str">
        <f t="shared" si="5"/>
        <v>2016</v>
      </c>
      <c r="D347" s="1" t="s">
        <v>496</v>
      </c>
      <c r="E347" s="1" t="s">
        <v>134</v>
      </c>
      <c r="F347" s="1" t="s">
        <v>38</v>
      </c>
      <c r="G347" s="1" t="s">
        <v>39</v>
      </c>
      <c r="H347" s="1" t="s">
        <v>1141</v>
      </c>
      <c r="I347" s="1">
        <v>201.57</v>
      </c>
      <c r="J347" s="1">
        <v>4</v>
      </c>
      <c r="K347" s="1">
        <v>22.68</v>
      </c>
    </row>
    <row r="348" spans="1:11" ht="12.75" x14ac:dyDescent="0.2">
      <c r="A348" s="2">
        <v>42750</v>
      </c>
      <c r="B348" s="2" t="str">
        <f>TEXT(Table1[[#This Row],[Order Date]],"MMM")</f>
        <v>Jan</v>
      </c>
      <c r="C348" s="2" t="str">
        <f t="shared" si="5"/>
        <v>2017</v>
      </c>
      <c r="D348" s="1" t="s">
        <v>1142</v>
      </c>
      <c r="E348" s="1" t="s">
        <v>23</v>
      </c>
      <c r="F348" s="1" t="s">
        <v>11</v>
      </c>
      <c r="G348" s="1" t="s">
        <v>12</v>
      </c>
      <c r="H348" s="1" t="s">
        <v>317</v>
      </c>
      <c r="I348" s="1">
        <v>31.1</v>
      </c>
      <c r="J348" s="1">
        <v>6</v>
      </c>
      <c r="K348" s="1">
        <v>10.89</v>
      </c>
    </row>
    <row r="349" spans="1:11" ht="12.75" x14ac:dyDescent="0.2">
      <c r="A349" s="2">
        <v>41685</v>
      </c>
      <c r="B349" s="2" t="str">
        <f>TEXT(Table1[[#This Row],[Order Date]],"MMM")</f>
        <v>Feb</v>
      </c>
      <c r="C349" s="2" t="str">
        <f t="shared" si="5"/>
        <v>2014</v>
      </c>
      <c r="D349" s="1" t="s">
        <v>381</v>
      </c>
      <c r="E349" s="1" t="s">
        <v>94</v>
      </c>
      <c r="F349" s="1" t="s">
        <v>38</v>
      </c>
      <c r="G349" s="1" t="s">
        <v>48</v>
      </c>
      <c r="H349" s="1" t="s">
        <v>1019</v>
      </c>
      <c r="I349" s="1">
        <v>41.9</v>
      </c>
      <c r="J349" s="1">
        <v>2</v>
      </c>
      <c r="K349" s="1">
        <v>8.8000000000000007</v>
      </c>
    </row>
    <row r="350" spans="1:11" ht="12.75" x14ac:dyDescent="0.2">
      <c r="A350" s="2">
        <v>42050</v>
      </c>
      <c r="B350" s="2" t="str">
        <f>TEXT(Table1[[#This Row],[Order Date]],"MMM")</f>
        <v>Feb</v>
      </c>
      <c r="C350" s="2" t="str">
        <f t="shared" si="5"/>
        <v>2015</v>
      </c>
      <c r="D350" s="1" t="s">
        <v>207</v>
      </c>
      <c r="E350" s="1" t="s">
        <v>10</v>
      </c>
      <c r="F350" s="1" t="s">
        <v>11</v>
      </c>
      <c r="G350" s="1" t="s">
        <v>80</v>
      </c>
      <c r="H350" s="1" t="s">
        <v>157</v>
      </c>
      <c r="I350" s="1">
        <v>32.78</v>
      </c>
      <c r="J350" s="1">
        <v>4</v>
      </c>
      <c r="K350" s="1">
        <v>-85.24</v>
      </c>
    </row>
    <row r="351" spans="1:11" ht="12.75" x14ac:dyDescent="0.2">
      <c r="A351" s="2">
        <v>42415</v>
      </c>
      <c r="B351" s="2" t="str">
        <f>TEXT(Table1[[#This Row],[Order Date]],"MMM")</f>
        <v>Feb</v>
      </c>
      <c r="C351" s="2" t="str">
        <f t="shared" si="5"/>
        <v>2016</v>
      </c>
      <c r="D351" s="1" t="s">
        <v>1148</v>
      </c>
      <c r="E351" s="1" t="s">
        <v>32</v>
      </c>
      <c r="F351" s="1" t="s">
        <v>33</v>
      </c>
      <c r="G351" s="1" t="s">
        <v>34</v>
      </c>
      <c r="H351" s="1" t="s">
        <v>1149</v>
      </c>
      <c r="I351" s="1">
        <v>70.98</v>
      </c>
      <c r="J351" s="1">
        <v>1</v>
      </c>
      <c r="K351" s="1">
        <v>4.97</v>
      </c>
    </row>
    <row r="352" spans="1:11" ht="12.75" x14ac:dyDescent="0.2">
      <c r="A352" s="2">
        <v>41713</v>
      </c>
      <c r="B352" s="2" t="str">
        <f>TEXT(Table1[[#This Row],[Order Date]],"MMM")</f>
        <v>Mar</v>
      </c>
      <c r="C352" s="2" t="str">
        <f t="shared" si="5"/>
        <v>2014</v>
      </c>
      <c r="D352" s="1" t="s">
        <v>998</v>
      </c>
      <c r="E352" s="1" t="s">
        <v>127</v>
      </c>
      <c r="F352" s="1" t="s">
        <v>38</v>
      </c>
      <c r="G352" s="1" t="s">
        <v>39</v>
      </c>
      <c r="H352" s="1" t="s">
        <v>1150</v>
      </c>
      <c r="I352" s="1">
        <v>1099.96</v>
      </c>
      <c r="J352" s="1">
        <v>4</v>
      </c>
      <c r="K352" s="1">
        <v>285.99</v>
      </c>
    </row>
    <row r="353" spans="1:11" ht="12.75" x14ac:dyDescent="0.2">
      <c r="A353" s="2">
        <v>42078</v>
      </c>
      <c r="B353" s="2" t="str">
        <f>TEXT(Table1[[#This Row],[Order Date]],"MMM")</f>
        <v>Mar</v>
      </c>
      <c r="C353" s="2" t="str">
        <f t="shared" si="5"/>
        <v>2015</v>
      </c>
      <c r="D353" s="1" t="s">
        <v>1152</v>
      </c>
      <c r="E353" s="1" t="s">
        <v>120</v>
      </c>
      <c r="F353" s="1" t="s">
        <v>33</v>
      </c>
      <c r="G353" s="1" t="s">
        <v>44</v>
      </c>
      <c r="H353" s="1" t="s">
        <v>365</v>
      </c>
      <c r="I353" s="1">
        <v>13.96</v>
      </c>
      <c r="J353" s="1">
        <v>2</v>
      </c>
      <c r="K353" s="1">
        <v>6.7</v>
      </c>
    </row>
    <row r="354" spans="1:11" ht="12.75" x14ac:dyDescent="0.2">
      <c r="A354" s="2">
        <v>42444</v>
      </c>
      <c r="B354" s="2" t="str">
        <f>TEXT(Table1[[#This Row],[Order Date]],"MMM")</f>
        <v>Mar</v>
      </c>
      <c r="C354" s="2" t="str">
        <f t="shared" si="5"/>
        <v>2016</v>
      </c>
      <c r="D354" s="1" t="s">
        <v>1033</v>
      </c>
      <c r="E354" s="1" t="s">
        <v>287</v>
      </c>
      <c r="F354" s="1" t="s">
        <v>11</v>
      </c>
      <c r="G354" s="1" t="s">
        <v>12</v>
      </c>
      <c r="H354" s="1" t="s">
        <v>937</v>
      </c>
      <c r="I354" s="1">
        <v>6.58</v>
      </c>
      <c r="J354" s="1">
        <v>2</v>
      </c>
      <c r="K354" s="1">
        <v>3.03</v>
      </c>
    </row>
    <row r="355" spans="1:11" ht="12.75" x14ac:dyDescent="0.2">
      <c r="A355" s="2">
        <v>41744</v>
      </c>
      <c r="B355" s="2" t="str">
        <f>TEXT(Table1[[#This Row],[Order Date]],"MMM")</f>
        <v>Apr</v>
      </c>
      <c r="C355" s="2" t="str">
        <f t="shared" si="5"/>
        <v>2014</v>
      </c>
      <c r="D355" s="1" t="s">
        <v>553</v>
      </c>
      <c r="E355" s="1" t="s">
        <v>83</v>
      </c>
      <c r="F355" s="1" t="s">
        <v>11</v>
      </c>
      <c r="G355" s="1" t="s">
        <v>20</v>
      </c>
      <c r="H355" s="1" t="s">
        <v>847</v>
      </c>
      <c r="I355" s="1">
        <v>3.37</v>
      </c>
      <c r="J355" s="1">
        <v>3</v>
      </c>
      <c r="K355" s="1">
        <v>-2.2400000000000002</v>
      </c>
    </row>
    <row r="356" spans="1:11" ht="12.75" x14ac:dyDescent="0.2">
      <c r="A356" s="2">
        <v>42475</v>
      </c>
      <c r="B356" s="2" t="str">
        <f>TEXT(Table1[[#This Row],[Order Date]],"MMM")</f>
        <v>Apr</v>
      </c>
      <c r="C356" s="2" t="str">
        <f t="shared" si="5"/>
        <v>2016</v>
      </c>
      <c r="D356" s="1" t="s">
        <v>1022</v>
      </c>
      <c r="E356" s="1" t="s">
        <v>23</v>
      </c>
      <c r="F356" s="1" t="s">
        <v>33</v>
      </c>
      <c r="G356" s="1" t="s">
        <v>44</v>
      </c>
      <c r="H356" s="1" t="s">
        <v>1155</v>
      </c>
      <c r="I356" s="1">
        <v>289.8</v>
      </c>
      <c r="J356" s="1">
        <v>7</v>
      </c>
      <c r="K356" s="1">
        <v>36.229999999999997</v>
      </c>
    </row>
    <row r="357" spans="1:11" ht="12.75" x14ac:dyDescent="0.2">
      <c r="A357" s="2">
        <v>42139</v>
      </c>
      <c r="B357" s="2" t="str">
        <f>TEXT(Table1[[#This Row],[Order Date]],"MMM")</f>
        <v>May</v>
      </c>
      <c r="C357" s="2" t="str">
        <f t="shared" si="5"/>
        <v>2015</v>
      </c>
      <c r="D357" s="1" t="s">
        <v>62</v>
      </c>
      <c r="E357" s="1" t="s">
        <v>120</v>
      </c>
      <c r="F357" s="1" t="s">
        <v>11</v>
      </c>
      <c r="G357" s="1" t="s">
        <v>20</v>
      </c>
      <c r="H357" s="1" t="s">
        <v>177</v>
      </c>
      <c r="I357" s="1">
        <v>11.81</v>
      </c>
      <c r="J357" s="1">
        <v>2</v>
      </c>
      <c r="K357" s="1">
        <v>4.28</v>
      </c>
    </row>
    <row r="358" spans="1:11" ht="12.75" x14ac:dyDescent="0.2">
      <c r="A358" s="2">
        <v>42505</v>
      </c>
      <c r="B358" s="2" t="str">
        <f>TEXT(Table1[[#This Row],[Order Date]],"MMM")</f>
        <v>May</v>
      </c>
      <c r="C358" s="2" t="str">
        <f t="shared" si="5"/>
        <v>2016</v>
      </c>
      <c r="D358" s="1" t="s">
        <v>1060</v>
      </c>
      <c r="E358" s="1" t="s">
        <v>83</v>
      </c>
      <c r="F358" s="1" t="s">
        <v>11</v>
      </c>
      <c r="G358" s="1" t="s">
        <v>18</v>
      </c>
      <c r="H358" s="1" t="s">
        <v>19</v>
      </c>
      <c r="I358" s="1">
        <v>272.74</v>
      </c>
      <c r="J358" s="1">
        <v>3</v>
      </c>
      <c r="K358" s="1">
        <v>-64.77</v>
      </c>
    </row>
    <row r="359" spans="1:11" ht="12.75" x14ac:dyDescent="0.2">
      <c r="A359" s="2">
        <v>41805</v>
      </c>
      <c r="B359" s="2" t="str">
        <f>TEXT(Table1[[#This Row],[Order Date]],"MMM")</f>
        <v>Jun</v>
      </c>
      <c r="C359" s="2" t="str">
        <f t="shared" si="5"/>
        <v>2014</v>
      </c>
      <c r="D359" s="1" t="s">
        <v>1130</v>
      </c>
      <c r="E359" s="1" t="s">
        <v>27</v>
      </c>
      <c r="F359" s="1" t="s">
        <v>33</v>
      </c>
      <c r="G359" s="1" t="s">
        <v>34</v>
      </c>
      <c r="H359" s="1" t="s">
        <v>633</v>
      </c>
      <c r="I359" s="1">
        <v>1348.7</v>
      </c>
      <c r="J359" s="1">
        <v>6</v>
      </c>
      <c r="K359" s="1">
        <v>-219.16</v>
      </c>
    </row>
    <row r="360" spans="1:11" ht="12.75" x14ac:dyDescent="0.2">
      <c r="A360" s="2">
        <v>42536</v>
      </c>
      <c r="B360" s="2" t="str">
        <f>TEXT(Table1[[#This Row],[Order Date]],"MMM")</f>
        <v>Jun</v>
      </c>
      <c r="C360" s="2" t="str">
        <f t="shared" si="5"/>
        <v>2016</v>
      </c>
      <c r="D360" s="1" t="s">
        <v>755</v>
      </c>
      <c r="E360" s="1" t="s">
        <v>27</v>
      </c>
      <c r="F360" s="1" t="s">
        <v>33</v>
      </c>
      <c r="G360" s="1" t="s">
        <v>65</v>
      </c>
      <c r="H360" s="1" t="s">
        <v>953</v>
      </c>
      <c r="I360" s="1">
        <v>195.47</v>
      </c>
      <c r="J360" s="1">
        <v>2</v>
      </c>
      <c r="K360" s="1">
        <v>-13.8</v>
      </c>
    </row>
    <row r="361" spans="1:11" ht="12.75" x14ac:dyDescent="0.2">
      <c r="A361" s="2">
        <v>42901</v>
      </c>
      <c r="B361" s="2" t="str">
        <f>TEXT(Table1[[#This Row],[Order Date]],"MMM")</f>
        <v>Jun</v>
      </c>
      <c r="C361" s="2" t="str">
        <f t="shared" si="5"/>
        <v>2017</v>
      </c>
      <c r="D361" s="1" t="s">
        <v>660</v>
      </c>
      <c r="E361" s="1" t="s">
        <v>27</v>
      </c>
      <c r="F361" s="1" t="s">
        <v>38</v>
      </c>
      <c r="G361" s="1" t="s">
        <v>48</v>
      </c>
      <c r="H361" s="1" t="s">
        <v>1118</v>
      </c>
      <c r="I361" s="1">
        <v>519.96</v>
      </c>
      <c r="J361" s="1">
        <v>4</v>
      </c>
      <c r="K361" s="1">
        <v>176.79</v>
      </c>
    </row>
    <row r="362" spans="1:11" ht="12.75" x14ac:dyDescent="0.2">
      <c r="A362" s="2">
        <v>41835</v>
      </c>
      <c r="B362" s="2" t="str">
        <f>TEXT(Table1[[#This Row],[Order Date]],"MMM")</f>
        <v>Jul</v>
      </c>
      <c r="C362" s="2" t="str">
        <f t="shared" si="5"/>
        <v>2014</v>
      </c>
      <c r="D362" s="1" t="s">
        <v>1162</v>
      </c>
      <c r="E362" s="1" t="s">
        <v>83</v>
      </c>
      <c r="F362" s="1" t="s">
        <v>11</v>
      </c>
      <c r="G362" s="1" t="s">
        <v>20</v>
      </c>
      <c r="H362" s="1" t="s">
        <v>1163</v>
      </c>
      <c r="I362" s="1">
        <v>2.0299999999999998</v>
      </c>
      <c r="J362" s="1">
        <v>1</v>
      </c>
      <c r="K362" s="1">
        <v>-1.35</v>
      </c>
    </row>
    <row r="363" spans="1:11" ht="12.75" x14ac:dyDescent="0.2">
      <c r="A363" s="2">
        <v>42566</v>
      </c>
      <c r="B363" s="2" t="str">
        <f>TEXT(Table1[[#This Row],[Order Date]],"MMM")</f>
        <v>Jul</v>
      </c>
      <c r="C363" s="2" t="str">
        <f t="shared" si="5"/>
        <v>2016</v>
      </c>
      <c r="D363" s="1" t="s">
        <v>1164</v>
      </c>
      <c r="E363" s="1" t="s">
        <v>107</v>
      </c>
      <c r="F363" s="1" t="s">
        <v>11</v>
      </c>
      <c r="G363" s="1" t="s">
        <v>18</v>
      </c>
      <c r="H363" s="1" t="s">
        <v>868</v>
      </c>
      <c r="I363" s="1">
        <v>34.76</v>
      </c>
      <c r="J363" s="1">
        <v>1</v>
      </c>
      <c r="K363" s="1">
        <v>9.73</v>
      </c>
    </row>
    <row r="364" spans="1:11" ht="12.75" x14ac:dyDescent="0.2">
      <c r="A364" s="2">
        <v>41866</v>
      </c>
      <c r="B364" s="2" t="str">
        <f>TEXT(Table1[[#This Row],[Order Date]],"MMM")</f>
        <v>Aug</v>
      </c>
      <c r="C364" s="2" t="str">
        <f t="shared" si="5"/>
        <v>2014</v>
      </c>
      <c r="D364" s="1" t="s">
        <v>485</v>
      </c>
      <c r="E364" s="1" t="s">
        <v>23</v>
      </c>
      <c r="F364" s="1" t="s">
        <v>11</v>
      </c>
      <c r="G364" s="1" t="s">
        <v>20</v>
      </c>
      <c r="H364" s="1" t="s">
        <v>637</v>
      </c>
      <c r="I364" s="1">
        <v>25.18</v>
      </c>
      <c r="J364" s="1">
        <v>4</v>
      </c>
      <c r="K364" s="1">
        <v>-18.46</v>
      </c>
    </row>
    <row r="365" spans="1:11" ht="12.75" x14ac:dyDescent="0.2">
      <c r="A365" s="2">
        <v>42231</v>
      </c>
      <c r="B365" s="2" t="str">
        <f>TEXT(Table1[[#This Row],[Order Date]],"MMM")</f>
        <v>Aug</v>
      </c>
      <c r="C365" s="2" t="str">
        <f t="shared" si="5"/>
        <v>2015</v>
      </c>
      <c r="D365" s="1" t="s">
        <v>541</v>
      </c>
      <c r="E365" s="1" t="s">
        <v>83</v>
      </c>
      <c r="F365" s="1" t="s">
        <v>33</v>
      </c>
      <c r="G365" s="1" t="s">
        <v>118</v>
      </c>
      <c r="H365" s="1" t="s">
        <v>905</v>
      </c>
      <c r="I365" s="1">
        <v>393.17</v>
      </c>
      <c r="J365" s="1">
        <v>3</v>
      </c>
      <c r="K365" s="1">
        <v>-204.45</v>
      </c>
    </row>
    <row r="366" spans="1:11" ht="12.75" x14ac:dyDescent="0.2">
      <c r="A366" s="2">
        <v>42597</v>
      </c>
      <c r="B366" s="2" t="str">
        <f>TEXT(Table1[[#This Row],[Order Date]],"MMM")</f>
        <v>Aug</v>
      </c>
      <c r="C366" s="2" t="str">
        <f t="shared" si="5"/>
        <v>2016</v>
      </c>
      <c r="D366" s="1" t="s">
        <v>411</v>
      </c>
      <c r="E366" s="1" t="s">
        <v>32</v>
      </c>
      <c r="F366" s="1" t="s">
        <v>38</v>
      </c>
      <c r="G366" s="1" t="s">
        <v>39</v>
      </c>
      <c r="H366" s="1" t="s">
        <v>1026</v>
      </c>
      <c r="I366" s="1">
        <v>29.97</v>
      </c>
      <c r="J366" s="1">
        <v>3</v>
      </c>
      <c r="K366" s="1">
        <v>0.3</v>
      </c>
    </row>
    <row r="367" spans="1:11" ht="12.75" x14ac:dyDescent="0.2">
      <c r="A367" s="2">
        <v>41897</v>
      </c>
      <c r="B367" s="2" t="str">
        <f>TEXT(Table1[[#This Row],[Order Date]],"MMM")</f>
        <v>Sep</v>
      </c>
      <c r="C367" s="2" t="str">
        <f t="shared" si="5"/>
        <v>2014</v>
      </c>
      <c r="D367" s="1" t="s">
        <v>698</v>
      </c>
      <c r="E367" s="1" t="s">
        <v>120</v>
      </c>
      <c r="F367" s="1" t="s">
        <v>38</v>
      </c>
      <c r="G367" s="1" t="s">
        <v>48</v>
      </c>
      <c r="H367" s="1" t="s">
        <v>991</v>
      </c>
      <c r="I367" s="1">
        <v>2309.65</v>
      </c>
      <c r="J367" s="1">
        <v>7</v>
      </c>
      <c r="K367" s="1">
        <v>762.18</v>
      </c>
    </row>
    <row r="368" spans="1:11" ht="12.75" x14ac:dyDescent="0.2">
      <c r="A368" s="2">
        <v>42628</v>
      </c>
      <c r="B368" s="2" t="str">
        <f>TEXT(Table1[[#This Row],[Order Date]],"MMM")</f>
        <v>Sep</v>
      </c>
      <c r="C368" s="2" t="str">
        <f t="shared" si="5"/>
        <v>2016</v>
      </c>
      <c r="D368" s="1" t="s">
        <v>328</v>
      </c>
      <c r="E368" s="1" t="s">
        <v>27</v>
      </c>
      <c r="F368" s="1" t="s">
        <v>11</v>
      </c>
      <c r="G368" s="1" t="s">
        <v>24</v>
      </c>
      <c r="H368" s="1" t="s">
        <v>351</v>
      </c>
      <c r="I368" s="1">
        <v>6.72</v>
      </c>
      <c r="J368" s="1">
        <v>4</v>
      </c>
      <c r="K368" s="1">
        <v>3.36</v>
      </c>
    </row>
    <row r="369" spans="1:11" ht="12.75" x14ac:dyDescent="0.2">
      <c r="A369" s="2">
        <v>42993</v>
      </c>
      <c r="B369" s="2" t="str">
        <f>TEXT(Table1[[#This Row],[Order Date]],"MMM")</f>
        <v>Sep</v>
      </c>
      <c r="C369" s="2" t="str">
        <f t="shared" si="5"/>
        <v>2017</v>
      </c>
      <c r="D369" s="1" t="s">
        <v>517</v>
      </c>
      <c r="E369" s="1" t="s">
        <v>134</v>
      </c>
      <c r="F369" s="1" t="s">
        <v>11</v>
      </c>
      <c r="G369" s="1" t="s">
        <v>20</v>
      </c>
      <c r="H369" s="1" t="s">
        <v>1165</v>
      </c>
      <c r="I369" s="1">
        <v>6.37</v>
      </c>
      <c r="J369" s="1">
        <v>2</v>
      </c>
      <c r="K369" s="1">
        <v>2.15</v>
      </c>
    </row>
    <row r="370" spans="1:11" ht="12.75" x14ac:dyDescent="0.2">
      <c r="A370" s="2">
        <v>41927</v>
      </c>
      <c r="B370" s="2" t="str">
        <f>TEXT(Table1[[#This Row],[Order Date]],"MMM")</f>
        <v>Oct</v>
      </c>
      <c r="C370" s="2" t="str">
        <f t="shared" si="5"/>
        <v>2014</v>
      </c>
      <c r="D370" s="1" t="s">
        <v>293</v>
      </c>
      <c r="E370" s="1" t="s">
        <v>10</v>
      </c>
      <c r="F370" s="1" t="s">
        <v>11</v>
      </c>
      <c r="G370" s="1" t="s">
        <v>18</v>
      </c>
      <c r="H370" s="1" t="s">
        <v>571</v>
      </c>
      <c r="I370" s="1">
        <v>33.49</v>
      </c>
      <c r="J370" s="1">
        <v>7</v>
      </c>
      <c r="K370" s="1">
        <v>-1.26</v>
      </c>
    </row>
    <row r="371" spans="1:11" ht="12.75" x14ac:dyDescent="0.2">
      <c r="A371" s="2">
        <v>42292</v>
      </c>
      <c r="B371" s="2" t="str">
        <f>TEXT(Table1[[#This Row],[Order Date]],"MMM")</f>
        <v>Oct</v>
      </c>
      <c r="C371" s="2" t="str">
        <f t="shared" si="5"/>
        <v>2015</v>
      </c>
      <c r="D371" s="1" t="s">
        <v>548</v>
      </c>
      <c r="E371" s="1" t="s">
        <v>10</v>
      </c>
      <c r="F371" s="1" t="s">
        <v>11</v>
      </c>
      <c r="G371" s="1" t="s">
        <v>12</v>
      </c>
      <c r="H371" s="1" t="s">
        <v>1136</v>
      </c>
      <c r="I371" s="1">
        <v>27.22</v>
      </c>
      <c r="J371" s="1">
        <v>3</v>
      </c>
      <c r="K371" s="1">
        <v>9.8699999999999992</v>
      </c>
    </row>
    <row r="372" spans="1:11" ht="12.75" x14ac:dyDescent="0.2">
      <c r="A372" s="2">
        <v>42658</v>
      </c>
      <c r="B372" s="2" t="str">
        <f>TEXT(Table1[[#This Row],[Order Date]],"MMM")</f>
        <v>Oct</v>
      </c>
      <c r="C372" s="2" t="str">
        <f t="shared" si="5"/>
        <v>2016</v>
      </c>
      <c r="D372" s="1" t="s">
        <v>789</v>
      </c>
      <c r="E372" s="1" t="s">
        <v>27</v>
      </c>
      <c r="F372" s="1" t="s">
        <v>11</v>
      </c>
      <c r="G372" s="1" t="s">
        <v>20</v>
      </c>
      <c r="H372" s="1" t="s">
        <v>362</v>
      </c>
      <c r="I372" s="1">
        <v>6.61</v>
      </c>
      <c r="J372" s="1">
        <v>2</v>
      </c>
      <c r="K372" s="1">
        <v>2.23</v>
      </c>
    </row>
    <row r="373" spans="1:11" ht="12.75" x14ac:dyDescent="0.2">
      <c r="A373" s="2">
        <v>43023</v>
      </c>
      <c r="B373" s="2" t="str">
        <f>TEXT(Table1[[#This Row],[Order Date]],"MMM")</f>
        <v>Oct</v>
      </c>
      <c r="C373" s="2" t="str">
        <f t="shared" si="5"/>
        <v>2017</v>
      </c>
      <c r="D373" s="1" t="s">
        <v>378</v>
      </c>
      <c r="E373" s="1" t="s">
        <v>94</v>
      </c>
      <c r="F373" s="1" t="s">
        <v>11</v>
      </c>
      <c r="G373" s="1" t="s">
        <v>24</v>
      </c>
      <c r="H373" s="1" t="s">
        <v>549</v>
      </c>
      <c r="I373" s="1">
        <v>2.2000000000000002</v>
      </c>
      <c r="J373" s="1">
        <v>1</v>
      </c>
      <c r="K373" s="1">
        <v>0.97</v>
      </c>
    </row>
    <row r="374" spans="1:11" ht="12.75" x14ac:dyDescent="0.2">
      <c r="A374" s="2">
        <v>41958</v>
      </c>
      <c r="B374" s="2" t="str">
        <f>TEXT(Table1[[#This Row],[Order Date]],"MMM")</f>
        <v>Nov</v>
      </c>
      <c r="C374" s="2" t="str">
        <f t="shared" si="5"/>
        <v>2014</v>
      </c>
      <c r="D374" s="1" t="s">
        <v>756</v>
      </c>
      <c r="E374" s="1" t="s">
        <v>27</v>
      </c>
      <c r="F374" s="1" t="s">
        <v>11</v>
      </c>
      <c r="G374" s="1" t="s">
        <v>24</v>
      </c>
      <c r="H374" s="1" t="s">
        <v>898</v>
      </c>
      <c r="I374" s="1">
        <v>50.8</v>
      </c>
      <c r="J374" s="1">
        <v>5</v>
      </c>
      <c r="K374" s="1">
        <v>13.21</v>
      </c>
    </row>
    <row r="375" spans="1:11" ht="12.75" x14ac:dyDescent="0.2">
      <c r="A375" s="2">
        <v>42689</v>
      </c>
      <c r="B375" s="2" t="str">
        <f>TEXT(Table1[[#This Row],[Order Date]],"MMM")</f>
        <v>Nov</v>
      </c>
      <c r="C375" s="2" t="str">
        <f t="shared" si="5"/>
        <v>2016</v>
      </c>
      <c r="D375" s="1" t="s">
        <v>1170</v>
      </c>
      <c r="E375" s="1" t="s">
        <v>27</v>
      </c>
      <c r="F375" s="1" t="s">
        <v>11</v>
      </c>
      <c r="G375" s="1" t="s">
        <v>18</v>
      </c>
      <c r="H375" s="1" t="s">
        <v>808</v>
      </c>
      <c r="I375" s="1">
        <v>323.10000000000002</v>
      </c>
      <c r="J375" s="1">
        <v>2</v>
      </c>
      <c r="K375" s="1">
        <v>61.39</v>
      </c>
    </row>
    <row r="376" spans="1:11" ht="12.75" x14ac:dyDescent="0.2">
      <c r="A376" s="2">
        <v>43054</v>
      </c>
      <c r="B376" s="2" t="str">
        <f>TEXT(Table1[[#This Row],[Order Date]],"MMM")</f>
        <v>Nov</v>
      </c>
      <c r="C376" s="2" t="str">
        <f t="shared" si="5"/>
        <v>2017</v>
      </c>
      <c r="D376" s="1" t="s">
        <v>931</v>
      </c>
      <c r="E376" s="1" t="s">
        <v>83</v>
      </c>
      <c r="F376" s="1" t="s">
        <v>11</v>
      </c>
      <c r="G376" s="1" t="s">
        <v>24</v>
      </c>
      <c r="H376" s="1" t="s">
        <v>1171</v>
      </c>
      <c r="I376" s="1">
        <v>2.2999999999999998</v>
      </c>
      <c r="J376" s="1">
        <v>1</v>
      </c>
      <c r="K376" s="1">
        <v>0.26</v>
      </c>
    </row>
    <row r="377" spans="1:11" ht="12.75" x14ac:dyDescent="0.2">
      <c r="A377" s="2">
        <v>41988</v>
      </c>
      <c r="B377" s="2" t="str">
        <f>TEXT(Table1[[#This Row],[Order Date]],"MMM")</f>
        <v>Dec</v>
      </c>
      <c r="C377" s="2" t="str">
        <f t="shared" si="5"/>
        <v>2014</v>
      </c>
      <c r="D377" s="1" t="s">
        <v>1175</v>
      </c>
      <c r="E377" s="1" t="s">
        <v>287</v>
      </c>
      <c r="F377" s="1" t="s">
        <v>11</v>
      </c>
      <c r="G377" s="1" t="s">
        <v>20</v>
      </c>
      <c r="H377" s="1" t="s">
        <v>1176</v>
      </c>
      <c r="I377" s="1">
        <v>52.2</v>
      </c>
      <c r="J377" s="1">
        <v>9</v>
      </c>
      <c r="K377" s="1">
        <v>23.49</v>
      </c>
    </row>
    <row r="378" spans="1:11" ht="12.75" x14ac:dyDescent="0.2">
      <c r="A378" s="2">
        <v>43084</v>
      </c>
      <c r="B378" s="2" t="str">
        <f>TEXT(Table1[[#This Row],[Order Date]],"MMM")</f>
        <v>Dec</v>
      </c>
      <c r="C378" s="2" t="str">
        <f t="shared" si="5"/>
        <v>2017</v>
      </c>
      <c r="D378" s="1" t="s">
        <v>646</v>
      </c>
      <c r="E378" s="1" t="s">
        <v>27</v>
      </c>
      <c r="F378" s="1" t="s">
        <v>33</v>
      </c>
      <c r="G378" s="1" t="s">
        <v>34</v>
      </c>
      <c r="H378" s="1" t="s">
        <v>657</v>
      </c>
      <c r="I378" s="1">
        <v>544.01</v>
      </c>
      <c r="J378" s="1">
        <v>3</v>
      </c>
      <c r="K378" s="1">
        <v>40.799999999999997</v>
      </c>
    </row>
    <row r="379" spans="1:11" ht="12.75" x14ac:dyDescent="0.2">
      <c r="A379" s="2">
        <v>41655</v>
      </c>
      <c r="B379" s="2" t="str">
        <f>TEXT(Table1[[#This Row],[Order Date]],"MMM")</f>
        <v>Jan</v>
      </c>
      <c r="C379" s="2" t="str">
        <f t="shared" si="5"/>
        <v>2014</v>
      </c>
      <c r="D379" s="1" t="s">
        <v>1177</v>
      </c>
      <c r="E379" s="1" t="s">
        <v>120</v>
      </c>
      <c r="F379" s="1" t="s">
        <v>11</v>
      </c>
      <c r="G379" s="1" t="s">
        <v>20</v>
      </c>
      <c r="H379" s="1" t="s">
        <v>596</v>
      </c>
      <c r="I379" s="1">
        <v>50.11</v>
      </c>
      <c r="J379" s="1">
        <v>6</v>
      </c>
      <c r="K379" s="1">
        <v>16.29</v>
      </c>
    </row>
    <row r="380" spans="1:11" ht="12.75" x14ac:dyDescent="0.2">
      <c r="A380" s="2">
        <v>41686</v>
      </c>
      <c r="B380" s="2" t="str">
        <f>TEXT(Table1[[#This Row],[Order Date]],"MMM")</f>
        <v>Feb</v>
      </c>
      <c r="C380" s="2" t="str">
        <f t="shared" si="5"/>
        <v>2014</v>
      </c>
      <c r="D380" s="1" t="s">
        <v>440</v>
      </c>
      <c r="E380" s="1" t="s">
        <v>15</v>
      </c>
      <c r="F380" s="1" t="s">
        <v>11</v>
      </c>
      <c r="G380" s="1" t="s">
        <v>158</v>
      </c>
      <c r="H380" s="1" t="s">
        <v>1179</v>
      </c>
      <c r="I380" s="1">
        <v>31.68</v>
      </c>
      <c r="J380" s="1">
        <v>4</v>
      </c>
      <c r="K380" s="1">
        <v>2.77</v>
      </c>
    </row>
    <row r="381" spans="1:11" ht="12.75" x14ac:dyDescent="0.2">
      <c r="A381" s="2">
        <v>42051</v>
      </c>
      <c r="B381" s="2" t="str">
        <f>TEXT(Table1[[#This Row],[Order Date]],"MMM")</f>
        <v>Feb</v>
      </c>
      <c r="C381" s="2" t="str">
        <f t="shared" si="5"/>
        <v>2015</v>
      </c>
      <c r="D381" s="1" t="s">
        <v>995</v>
      </c>
      <c r="E381" s="1" t="s">
        <v>94</v>
      </c>
      <c r="F381" s="1" t="s">
        <v>38</v>
      </c>
      <c r="G381" s="1" t="s">
        <v>39</v>
      </c>
      <c r="H381" s="1" t="s">
        <v>874</v>
      </c>
      <c r="I381" s="1">
        <v>131.97999999999999</v>
      </c>
      <c r="J381" s="1">
        <v>2</v>
      </c>
      <c r="K381" s="1">
        <v>35.630000000000003</v>
      </c>
    </row>
    <row r="382" spans="1:11" ht="12.75" x14ac:dyDescent="0.2">
      <c r="A382" s="2">
        <v>42416</v>
      </c>
      <c r="B382" s="2" t="str">
        <f>TEXT(Table1[[#This Row],[Order Date]],"MMM")</f>
        <v>Feb</v>
      </c>
      <c r="C382" s="2" t="str">
        <f t="shared" si="5"/>
        <v>2016</v>
      </c>
      <c r="D382" s="1" t="s">
        <v>810</v>
      </c>
      <c r="E382" s="1" t="s">
        <v>27</v>
      </c>
      <c r="F382" s="1" t="s">
        <v>11</v>
      </c>
      <c r="G382" s="1" t="s">
        <v>20</v>
      </c>
      <c r="H382" s="1" t="s">
        <v>97</v>
      </c>
      <c r="I382" s="1">
        <v>4.75</v>
      </c>
      <c r="J382" s="1">
        <v>1</v>
      </c>
      <c r="K382" s="1">
        <v>1.6</v>
      </c>
    </row>
    <row r="383" spans="1:11" ht="12.75" x14ac:dyDescent="0.2">
      <c r="A383" s="2">
        <v>42782</v>
      </c>
      <c r="B383" s="2" t="str">
        <f>TEXT(Table1[[#This Row],[Order Date]],"MMM")</f>
        <v>Feb</v>
      </c>
      <c r="C383" s="2" t="str">
        <f t="shared" si="5"/>
        <v>2017</v>
      </c>
      <c r="D383" s="1" t="s">
        <v>929</v>
      </c>
      <c r="E383" s="1" t="s">
        <v>187</v>
      </c>
      <c r="F383" s="1" t="s">
        <v>11</v>
      </c>
      <c r="G383" s="1" t="s">
        <v>58</v>
      </c>
      <c r="H383" s="1" t="s">
        <v>1112</v>
      </c>
      <c r="I383" s="1">
        <v>200.98</v>
      </c>
      <c r="J383" s="1">
        <v>7</v>
      </c>
      <c r="K383" s="1">
        <v>62.81</v>
      </c>
    </row>
    <row r="384" spans="1:11" ht="12.75" x14ac:dyDescent="0.2">
      <c r="A384" s="2">
        <v>41714</v>
      </c>
      <c r="B384" s="2" t="str">
        <f>TEXT(Table1[[#This Row],[Order Date]],"MMM")</f>
        <v>Mar</v>
      </c>
      <c r="C384" s="2" t="str">
        <f t="shared" si="5"/>
        <v>2014</v>
      </c>
      <c r="D384" s="1" t="s">
        <v>681</v>
      </c>
      <c r="E384" s="1" t="s">
        <v>30</v>
      </c>
      <c r="F384" s="1" t="s">
        <v>11</v>
      </c>
      <c r="G384" s="1" t="s">
        <v>12</v>
      </c>
      <c r="H384" s="1" t="s">
        <v>1182</v>
      </c>
      <c r="I384" s="1">
        <v>279.89999999999998</v>
      </c>
      <c r="J384" s="1">
        <v>5</v>
      </c>
      <c r="K384" s="1">
        <v>137.15</v>
      </c>
    </row>
    <row r="385" spans="1:11" ht="12.75" x14ac:dyDescent="0.2">
      <c r="A385" s="2">
        <v>42079</v>
      </c>
      <c r="B385" s="2" t="str">
        <f>TEXT(Table1[[#This Row],[Order Date]],"MMM")</f>
        <v>Mar</v>
      </c>
      <c r="C385" s="2" t="str">
        <f t="shared" si="5"/>
        <v>2015</v>
      </c>
      <c r="D385" s="1" t="s">
        <v>621</v>
      </c>
      <c r="E385" s="1" t="s">
        <v>27</v>
      </c>
      <c r="F385" s="1" t="s">
        <v>33</v>
      </c>
      <c r="G385" s="1" t="s">
        <v>65</v>
      </c>
      <c r="H385" s="1" t="s">
        <v>957</v>
      </c>
      <c r="I385" s="1">
        <v>411.33</v>
      </c>
      <c r="J385" s="1">
        <v>4</v>
      </c>
      <c r="K385" s="1">
        <v>-4.84</v>
      </c>
    </row>
    <row r="386" spans="1:11" ht="12.75" x14ac:dyDescent="0.2">
      <c r="A386" s="2">
        <v>42140</v>
      </c>
      <c r="B386" s="2" t="str">
        <f>TEXT(Table1[[#This Row],[Order Date]],"MMM")</f>
        <v>May</v>
      </c>
      <c r="C386" s="2" t="str">
        <f t="shared" ref="C386:C449" si="6">TEXT(A386,"YYY")</f>
        <v>2015</v>
      </c>
      <c r="D386" s="1" t="s">
        <v>1185</v>
      </c>
      <c r="E386" s="1" t="s">
        <v>27</v>
      </c>
      <c r="F386" s="1" t="s">
        <v>11</v>
      </c>
      <c r="G386" s="1" t="s">
        <v>12</v>
      </c>
      <c r="H386" s="1" t="s">
        <v>1126</v>
      </c>
      <c r="I386" s="1">
        <v>26.4</v>
      </c>
      <c r="J386" s="1">
        <v>5</v>
      </c>
      <c r="K386" s="1">
        <v>11.88</v>
      </c>
    </row>
    <row r="387" spans="1:11" ht="12.75" x14ac:dyDescent="0.2">
      <c r="A387" s="2">
        <v>42871</v>
      </c>
      <c r="B387" s="2" t="str">
        <f>TEXT(Table1[[#This Row],[Order Date]],"MMM")</f>
        <v>May</v>
      </c>
      <c r="C387" s="2" t="str">
        <f t="shared" si="6"/>
        <v>2017</v>
      </c>
      <c r="D387" s="1" t="s">
        <v>603</v>
      </c>
      <c r="E387" s="1" t="s">
        <v>27</v>
      </c>
      <c r="F387" s="1" t="s">
        <v>11</v>
      </c>
      <c r="G387" s="1" t="s">
        <v>158</v>
      </c>
      <c r="H387" s="1" t="s">
        <v>312</v>
      </c>
      <c r="I387" s="1">
        <v>51.52</v>
      </c>
      <c r="J387" s="1">
        <v>4</v>
      </c>
      <c r="K387" s="1">
        <v>1.55</v>
      </c>
    </row>
    <row r="388" spans="1:11" ht="12.75" x14ac:dyDescent="0.2">
      <c r="A388" s="2">
        <v>42171</v>
      </c>
      <c r="B388" s="2" t="str">
        <f>TEXT(Table1[[#This Row],[Order Date]],"MMM")</f>
        <v>Jun</v>
      </c>
      <c r="C388" s="2" t="str">
        <f t="shared" si="6"/>
        <v>2015</v>
      </c>
      <c r="D388" s="1" t="s">
        <v>484</v>
      </c>
      <c r="E388" s="1" t="s">
        <v>27</v>
      </c>
      <c r="F388" s="1" t="s">
        <v>11</v>
      </c>
      <c r="G388" s="1" t="s">
        <v>24</v>
      </c>
      <c r="H388" s="1" t="s">
        <v>1187</v>
      </c>
      <c r="I388" s="1">
        <v>181.35</v>
      </c>
      <c r="J388" s="1">
        <v>9</v>
      </c>
      <c r="K388" s="1">
        <v>48.96</v>
      </c>
    </row>
    <row r="389" spans="1:11" ht="12.75" x14ac:dyDescent="0.2">
      <c r="A389" s="2">
        <v>42537</v>
      </c>
      <c r="B389" s="2" t="str">
        <f>TEXT(Table1[[#This Row],[Order Date]],"MMM")</f>
        <v>Jun</v>
      </c>
      <c r="C389" s="2" t="str">
        <f t="shared" si="6"/>
        <v>2016</v>
      </c>
      <c r="D389" s="1" t="s">
        <v>417</v>
      </c>
      <c r="E389" s="1" t="s">
        <v>120</v>
      </c>
      <c r="F389" s="1" t="s">
        <v>38</v>
      </c>
      <c r="G389" s="1" t="s">
        <v>388</v>
      </c>
      <c r="H389" s="1" t="s">
        <v>1189</v>
      </c>
      <c r="I389" s="1">
        <v>479.98</v>
      </c>
      <c r="J389" s="1">
        <v>2</v>
      </c>
      <c r="K389" s="1">
        <v>60</v>
      </c>
    </row>
    <row r="390" spans="1:11" ht="12.75" x14ac:dyDescent="0.2">
      <c r="A390" s="2">
        <v>42201</v>
      </c>
      <c r="B390" s="2" t="str">
        <f>TEXT(Table1[[#This Row],[Order Date]],"MMM")</f>
        <v>Jul</v>
      </c>
      <c r="C390" s="2" t="str">
        <f t="shared" si="6"/>
        <v>2015</v>
      </c>
      <c r="D390" s="1" t="s">
        <v>256</v>
      </c>
      <c r="E390" s="1" t="s">
        <v>211</v>
      </c>
      <c r="F390" s="1" t="s">
        <v>33</v>
      </c>
      <c r="G390" s="1" t="s">
        <v>118</v>
      </c>
      <c r="H390" s="1" t="s">
        <v>850</v>
      </c>
      <c r="I390" s="1">
        <v>912.75</v>
      </c>
      <c r="J390" s="1">
        <v>5</v>
      </c>
      <c r="K390" s="1">
        <v>118.66</v>
      </c>
    </row>
    <row r="391" spans="1:11" ht="12.75" x14ac:dyDescent="0.2">
      <c r="A391" s="2">
        <v>41867</v>
      </c>
      <c r="B391" s="2" t="str">
        <f>TEXT(Table1[[#This Row],[Order Date]],"MMM")</f>
        <v>Aug</v>
      </c>
      <c r="C391" s="2" t="str">
        <f t="shared" si="6"/>
        <v>2014</v>
      </c>
      <c r="D391" s="1" t="s">
        <v>840</v>
      </c>
      <c r="E391" s="1" t="s">
        <v>23</v>
      </c>
      <c r="F391" s="1" t="s">
        <v>33</v>
      </c>
      <c r="G391" s="1" t="s">
        <v>65</v>
      </c>
      <c r="H391" s="1" t="s">
        <v>1193</v>
      </c>
      <c r="I391" s="1">
        <v>3083.43</v>
      </c>
      <c r="J391" s="1">
        <v>7</v>
      </c>
      <c r="K391" s="1">
        <v>-1665.05</v>
      </c>
    </row>
    <row r="392" spans="1:11" ht="12.75" x14ac:dyDescent="0.2">
      <c r="A392" s="2">
        <v>42232</v>
      </c>
      <c r="B392" s="2" t="str">
        <f>TEXT(Table1[[#This Row],[Order Date]],"MMM")</f>
        <v>Aug</v>
      </c>
      <c r="C392" s="2" t="str">
        <f t="shared" si="6"/>
        <v>2015</v>
      </c>
      <c r="D392" s="1" t="s">
        <v>284</v>
      </c>
      <c r="E392" s="1" t="s">
        <v>27</v>
      </c>
      <c r="F392" s="1" t="s">
        <v>11</v>
      </c>
      <c r="G392" s="1" t="s">
        <v>12</v>
      </c>
      <c r="H392" s="1" t="s">
        <v>700</v>
      </c>
      <c r="I392" s="1">
        <v>160.72</v>
      </c>
      <c r="J392" s="1">
        <v>14</v>
      </c>
      <c r="K392" s="1">
        <v>78.75</v>
      </c>
    </row>
    <row r="393" spans="1:11" ht="12.75" x14ac:dyDescent="0.2">
      <c r="A393" s="2">
        <v>41898</v>
      </c>
      <c r="B393" s="2" t="str">
        <f>TEXT(Table1[[#This Row],[Order Date]],"MMM")</f>
        <v>Sep</v>
      </c>
      <c r="C393" s="2" t="str">
        <f t="shared" si="6"/>
        <v>2014</v>
      </c>
      <c r="D393" s="1" t="s">
        <v>424</v>
      </c>
      <c r="E393" s="1" t="s">
        <v>287</v>
      </c>
      <c r="F393" s="1" t="s">
        <v>11</v>
      </c>
      <c r="G393" s="1" t="s">
        <v>20</v>
      </c>
      <c r="H393" s="1" t="s">
        <v>807</v>
      </c>
      <c r="I393" s="1">
        <v>37.68</v>
      </c>
      <c r="J393" s="1">
        <v>6</v>
      </c>
      <c r="K393" s="1">
        <v>16.96</v>
      </c>
    </row>
    <row r="394" spans="1:11" ht="12.75" x14ac:dyDescent="0.2">
      <c r="A394" s="2">
        <v>42994</v>
      </c>
      <c r="B394" s="2" t="str">
        <f>TEXT(Table1[[#This Row],[Order Date]],"MMM")</f>
        <v>Sep</v>
      </c>
      <c r="C394" s="2" t="str">
        <f t="shared" si="6"/>
        <v>2017</v>
      </c>
      <c r="D394" s="1" t="s">
        <v>1105</v>
      </c>
      <c r="E394" s="1" t="s">
        <v>10</v>
      </c>
      <c r="F394" s="1" t="s">
        <v>38</v>
      </c>
      <c r="G394" s="1" t="s">
        <v>39</v>
      </c>
      <c r="H394" s="1" t="s">
        <v>1104</v>
      </c>
      <c r="I394" s="1">
        <v>946.34</v>
      </c>
      <c r="J394" s="1">
        <v>7</v>
      </c>
      <c r="K394" s="1">
        <v>118.29</v>
      </c>
    </row>
    <row r="395" spans="1:11" ht="12.75" x14ac:dyDescent="0.2">
      <c r="A395" s="2">
        <v>41928</v>
      </c>
      <c r="B395" s="2" t="str">
        <f>TEXT(Table1[[#This Row],[Order Date]],"MMM")</f>
        <v>Oct</v>
      </c>
      <c r="C395" s="2" t="str">
        <f t="shared" si="6"/>
        <v>2014</v>
      </c>
      <c r="D395" s="1" t="s">
        <v>756</v>
      </c>
      <c r="E395" s="1" t="s">
        <v>23</v>
      </c>
      <c r="F395" s="1" t="s">
        <v>11</v>
      </c>
      <c r="G395" s="1" t="s">
        <v>24</v>
      </c>
      <c r="H395" s="1" t="s">
        <v>745</v>
      </c>
      <c r="I395" s="1">
        <v>6.85</v>
      </c>
      <c r="J395" s="1">
        <v>2</v>
      </c>
      <c r="K395" s="1">
        <v>0.6</v>
      </c>
    </row>
    <row r="396" spans="1:11" ht="12.75" x14ac:dyDescent="0.2">
      <c r="A396" s="2">
        <v>41959</v>
      </c>
      <c r="B396" s="2" t="str">
        <f>TEXT(Table1[[#This Row],[Order Date]],"MMM")</f>
        <v>Nov</v>
      </c>
      <c r="C396" s="2" t="str">
        <f t="shared" si="6"/>
        <v>2014</v>
      </c>
      <c r="D396" s="1" t="s">
        <v>400</v>
      </c>
      <c r="E396" s="1" t="s">
        <v>211</v>
      </c>
      <c r="F396" s="1" t="s">
        <v>33</v>
      </c>
      <c r="G396" s="1" t="s">
        <v>118</v>
      </c>
      <c r="H396" s="1" t="s">
        <v>952</v>
      </c>
      <c r="I396" s="1">
        <v>1044.6300000000001</v>
      </c>
      <c r="J396" s="1">
        <v>3</v>
      </c>
      <c r="K396" s="1">
        <v>240.26</v>
      </c>
    </row>
    <row r="397" spans="1:11" ht="12.75" x14ac:dyDescent="0.2">
      <c r="A397" s="2">
        <v>42324</v>
      </c>
      <c r="B397" s="2" t="str">
        <f>TEXT(Table1[[#This Row],[Order Date]],"MMM")</f>
        <v>Nov</v>
      </c>
      <c r="C397" s="2" t="str">
        <f t="shared" si="6"/>
        <v>2015</v>
      </c>
      <c r="D397" s="1" t="s">
        <v>484</v>
      </c>
      <c r="E397" s="1" t="s">
        <v>10</v>
      </c>
      <c r="F397" s="1" t="s">
        <v>11</v>
      </c>
      <c r="G397" s="1" t="s">
        <v>20</v>
      </c>
      <c r="H397" s="1" t="s">
        <v>1202</v>
      </c>
      <c r="I397" s="1">
        <v>2.08</v>
      </c>
      <c r="J397" s="1">
        <v>5</v>
      </c>
      <c r="K397" s="1">
        <v>-3.43</v>
      </c>
    </row>
    <row r="398" spans="1:11" ht="12.75" x14ac:dyDescent="0.2">
      <c r="A398" s="2">
        <v>41989</v>
      </c>
      <c r="B398" s="2" t="str">
        <f>TEXT(Table1[[#This Row],[Order Date]],"MMM")</f>
        <v>Dec</v>
      </c>
      <c r="C398" s="2" t="str">
        <f t="shared" si="6"/>
        <v>2014</v>
      </c>
      <c r="D398" s="1" t="s">
        <v>1175</v>
      </c>
      <c r="E398" s="1" t="s">
        <v>200</v>
      </c>
      <c r="F398" s="1" t="s">
        <v>11</v>
      </c>
      <c r="G398" s="1" t="s">
        <v>18</v>
      </c>
      <c r="H398" s="1" t="s">
        <v>877</v>
      </c>
      <c r="I398" s="1">
        <v>139.41999999999999</v>
      </c>
      <c r="J398" s="1">
        <v>4</v>
      </c>
      <c r="K398" s="1">
        <v>17.43</v>
      </c>
    </row>
    <row r="399" spans="1:11" ht="12.75" x14ac:dyDescent="0.2">
      <c r="A399" s="2">
        <v>42720</v>
      </c>
      <c r="B399" s="2" t="str">
        <f>TEXT(Table1[[#This Row],[Order Date]],"MMM")</f>
        <v>Dec</v>
      </c>
      <c r="C399" s="2" t="str">
        <f t="shared" si="6"/>
        <v>2016</v>
      </c>
      <c r="D399" s="1" t="s">
        <v>567</v>
      </c>
      <c r="E399" s="1" t="s">
        <v>27</v>
      </c>
      <c r="F399" s="1" t="s">
        <v>11</v>
      </c>
      <c r="G399" s="1" t="s">
        <v>20</v>
      </c>
      <c r="H399" s="1" t="s">
        <v>335</v>
      </c>
      <c r="I399" s="1">
        <v>57.5</v>
      </c>
      <c r="J399" s="1">
        <v>6</v>
      </c>
      <c r="K399" s="1">
        <v>20.13</v>
      </c>
    </row>
    <row r="400" spans="1:11" ht="12.75" x14ac:dyDescent="0.2">
      <c r="A400" s="2">
        <v>42021</v>
      </c>
      <c r="B400" s="2" t="str">
        <f>TEXT(Table1[[#This Row],[Order Date]],"MMM")</f>
        <v>Jan</v>
      </c>
      <c r="C400" s="2" t="str">
        <f t="shared" si="6"/>
        <v>2015</v>
      </c>
      <c r="D400" s="1" t="s">
        <v>983</v>
      </c>
      <c r="E400" s="1" t="s">
        <v>30</v>
      </c>
      <c r="F400" s="1" t="s">
        <v>33</v>
      </c>
      <c r="G400" s="1" t="s">
        <v>34</v>
      </c>
      <c r="H400" s="1" t="s">
        <v>247</v>
      </c>
      <c r="I400" s="1">
        <v>392.94</v>
      </c>
      <c r="J400" s="1">
        <v>3</v>
      </c>
      <c r="K400" s="1">
        <v>43.22</v>
      </c>
    </row>
    <row r="401" spans="1:11" ht="12.75" x14ac:dyDescent="0.2">
      <c r="A401" s="2">
        <v>42386</v>
      </c>
      <c r="B401" s="2" t="str">
        <f>TEXT(Table1[[#This Row],[Order Date]],"MMM")</f>
        <v>Jan</v>
      </c>
      <c r="C401" s="2" t="str">
        <f t="shared" si="6"/>
        <v>2016</v>
      </c>
      <c r="D401" s="1" t="s">
        <v>1208</v>
      </c>
      <c r="E401" s="1" t="s">
        <v>51</v>
      </c>
      <c r="F401" s="1" t="s">
        <v>11</v>
      </c>
      <c r="G401" s="1" t="s">
        <v>24</v>
      </c>
      <c r="H401" s="1" t="s">
        <v>622</v>
      </c>
      <c r="I401" s="1">
        <v>46.2</v>
      </c>
      <c r="J401" s="1">
        <v>4</v>
      </c>
      <c r="K401" s="1">
        <v>12.94</v>
      </c>
    </row>
    <row r="402" spans="1:11" ht="12.75" x14ac:dyDescent="0.2">
      <c r="A402" s="2">
        <v>41687</v>
      </c>
      <c r="B402" s="2" t="str">
        <f>TEXT(Table1[[#This Row],[Order Date]],"MMM")</f>
        <v>Feb</v>
      </c>
      <c r="C402" s="2" t="str">
        <f t="shared" si="6"/>
        <v>2014</v>
      </c>
      <c r="D402" s="1" t="s">
        <v>431</v>
      </c>
      <c r="E402" s="1" t="s">
        <v>15</v>
      </c>
      <c r="F402" s="1" t="s">
        <v>38</v>
      </c>
      <c r="G402" s="1" t="s">
        <v>48</v>
      </c>
      <c r="H402" s="1" t="s">
        <v>687</v>
      </c>
      <c r="I402" s="1">
        <v>339.96</v>
      </c>
      <c r="J402" s="1">
        <v>5</v>
      </c>
      <c r="K402" s="1">
        <v>67.989999999999995</v>
      </c>
    </row>
    <row r="403" spans="1:11" ht="12.75" x14ac:dyDescent="0.2">
      <c r="A403" s="2">
        <v>42783</v>
      </c>
      <c r="B403" s="2" t="str">
        <f>TEXT(Table1[[#This Row],[Order Date]],"MMM")</f>
        <v>Feb</v>
      </c>
      <c r="C403" s="2" t="str">
        <f t="shared" si="6"/>
        <v>2017</v>
      </c>
      <c r="D403" s="1" t="s">
        <v>1196</v>
      </c>
      <c r="E403" s="1" t="s">
        <v>27</v>
      </c>
      <c r="F403" s="1" t="s">
        <v>11</v>
      </c>
      <c r="G403" s="1" t="s">
        <v>18</v>
      </c>
      <c r="H403" s="1" t="s">
        <v>842</v>
      </c>
      <c r="I403" s="1">
        <v>77.88</v>
      </c>
      <c r="J403" s="1">
        <v>2</v>
      </c>
      <c r="K403" s="1">
        <v>3.89</v>
      </c>
    </row>
    <row r="404" spans="1:11" ht="12.75" x14ac:dyDescent="0.2">
      <c r="A404" s="2">
        <v>41715</v>
      </c>
      <c r="B404" s="2" t="str">
        <f>TEXT(Table1[[#This Row],[Order Date]],"MMM")</f>
        <v>Mar</v>
      </c>
      <c r="C404" s="2" t="str">
        <f t="shared" si="6"/>
        <v>2014</v>
      </c>
      <c r="D404" s="1" t="s">
        <v>184</v>
      </c>
      <c r="E404" s="1" t="s">
        <v>10</v>
      </c>
      <c r="F404" s="1" t="s">
        <v>38</v>
      </c>
      <c r="G404" s="1" t="s">
        <v>48</v>
      </c>
      <c r="H404" s="1" t="s">
        <v>1211</v>
      </c>
      <c r="I404" s="1">
        <v>27.7</v>
      </c>
      <c r="J404" s="1">
        <v>3</v>
      </c>
      <c r="K404" s="1">
        <v>3.46</v>
      </c>
    </row>
    <row r="405" spans="1:11" ht="12.75" x14ac:dyDescent="0.2">
      <c r="A405" s="2">
        <v>42080</v>
      </c>
      <c r="B405" s="2" t="str">
        <f>TEXT(Table1[[#This Row],[Order Date]],"MMM")</f>
        <v>Mar</v>
      </c>
      <c r="C405" s="2" t="str">
        <f t="shared" si="6"/>
        <v>2015</v>
      </c>
      <c r="D405" s="1" t="s">
        <v>840</v>
      </c>
      <c r="E405" s="1" t="s">
        <v>442</v>
      </c>
      <c r="F405" s="1" t="s">
        <v>11</v>
      </c>
      <c r="G405" s="1" t="s">
        <v>12</v>
      </c>
      <c r="H405" s="1" t="s">
        <v>922</v>
      </c>
      <c r="I405" s="1">
        <v>34.44</v>
      </c>
      <c r="J405" s="1">
        <v>3</v>
      </c>
      <c r="K405" s="1">
        <v>17.22</v>
      </c>
    </row>
    <row r="406" spans="1:11" ht="12.75" x14ac:dyDescent="0.2">
      <c r="A406" s="2">
        <v>42111</v>
      </c>
      <c r="B406" s="2" t="str">
        <f>TEXT(Table1[[#This Row],[Order Date]],"MMM")</f>
        <v>Apr</v>
      </c>
      <c r="C406" s="2" t="str">
        <f t="shared" si="6"/>
        <v>2015</v>
      </c>
      <c r="D406" s="1" t="s">
        <v>480</v>
      </c>
      <c r="E406" s="1" t="s">
        <v>15</v>
      </c>
      <c r="F406" s="1" t="s">
        <v>11</v>
      </c>
      <c r="G406" s="1" t="s">
        <v>20</v>
      </c>
      <c r="H406" s="1" t="s">
        <v>787</v>
      </c>
      <c r="I406" s="1">
        <v>5.18</v>
      </c>
      <c r="J406" s="1">
        <v>4</v>
      </c>
      <c r="K406" s="1">
        <v>-7.76</v>
      </c>
    </row>
    <row r="407" spans="1:11" ht="12.75" x14ac:dyDescent="0.2">
      <c r="A407" s="2">
        <v>42477</v>
      </c>
      <c r="B407" s="2" t="str">
        <f>TEXT(Table1[[#This Row],[Order Date]],"MMM")</f>
        <v>Apr</v>
      </c>
      <c r="C407" s="2" t="str">
        <f t="shared" si="6"/>
        <v>2016</v>
      </c>
      <c r="D407" s="1" t="s">
        <v>1215</v>
      </c>
      <c r="E407" s="1" t="s">
        <v>27</v>
      </c>
      <c r="F407" s="1" t="s">
        <v>11</v>
      </c>
      <c r="G407" s="1" t="s">
        <v>16</v>
      </c>
      <c r="H407" s="1" t="s">
        <v>1216</v>
      </c>
      <c r="I407" s="1">
        <v>5.76</v>
      </c>
      <c r="J407" s="1">
        <v>2</v>
      </c>
      <c r="K407" s="1">
        <v>2.65</v>
      </c>
    </row>
    <row r="408" spans="1:11" ht="12.75" x14ac:dyDescent="0.2">
      <c r="A408" s="2">
        <v>41776</v>
      </c>
      <c r="B408" s="2" t="str">
        <f>TEXT(Table1[[#This Row],[Order Date]],"MMM")</f>
        <v>May</v>
      </c>
      <c r="C408" s="2" t="str">
        <f t="shared" si="6"/>
        <v>2014</v>
      </c>
      <c r="D408" s="1" t="s">
        <v>290</v>
      </c>
      <c r="E408" s="1" t="s">
        <v>32</v>
      </c>
      <c r="F408" s="1" t="s">
        <v>11</v>
      </c>
      <c r="G408" s="1" t="s">
        <v>58</v>
      </c>
      <c r="H408" s="1" t="s">
        <v>960</v>
      </c>
      <c r="I408" s="1">
        <v>10.67</v>
      </c>
      <c r="J408" s="1">
        <v>1</v>
      </c>
      <c r="K408" s="1">
        <v>4.91</v>
      </c>
    </row>
    <row r="409" spans="1:11" ht="12.75" x14ac:dyDescent="0.2">
      <c r="A409" s="2">
        <v>42507</v>
      </c>
      <c r="B409" s="2" t="str">
        <f>TEXT(Table1[[#This Row],[Order Date]],"MMM")</f>
        <v>May</v>
      </c>
      <c r="C409" s="2" t="str">
        <f t="shared" si="6"/>
        <v>2016</v>
      </c>
      <c r="D409" s="1" t="s">
        <v>973</v>
      </c>
      <c r="E409" s="1" t="s">
        <v>27</v>
      </c>
      <c r="F409" s="1" t="s">
        <v>11</v>
      </c>
      <c r="G409" s="1" t="s">
        <v>12</v>
      </c>
      <c r="H409" s="1" t="s">
        <v>292</v>
      </c>
      <c r="I409" s="1">
        <v>33.4</v>
      </c>
      <c r="J409" s="1">
        <v>5</v>
      </c>
      <c r="K409" s="1">
        <v>16.03</v>
      </c>
    </row>
    <row r="410" spans="1:11" ht="12.75" x14ac:dyDescent="0.2">
      <c r="A410" s="2">
        <v>41807</v>
      </c>
      <c r="B410" s="2" t="str">
        <f>TEXT(Table1[[#This Row],[Order Date]],"MMM")</f>
        <v>Jun</v>
      </c>
      <c r="C410" s="2" t="str">
        <f t="shared" si="6"/>
        <v>2014</v>
      </c>
      <c r="D410" s="1" t="s">
        <v>1142</v>
      </c>
      <c r="E410" s="1" t="s">
        <v>94</v>
      </c>
      <c r="F410" s="1" t="s">
        <v>38</v>
      </c>
      <c r="G410" s="1" t="s">
        <v>39</v>
      </c>
      <c r="H410" s="1" t="s">
        <v>974</v>
      </c>
      <c r="I410" s="1">
        <v>299.89999999999998</v>
      </c>
      <c r="J410" s="1">
        <v>2</v>
      </c>
      <c r="K410" s="1">
        <v>74.98</v>
      </c>
    </row>
    <row r="411" spans="1:11" ht="12.75" x14ac:dyDescent="0.2">
      <c r="A411" s="2">
        <v>42202</v>
      </c>
      <c r="B411" s="2" t="str">
        <f>TEXT(Table1[[#This Row],[Order Date]],"MMM")</f>
        <v>Jul</v>
      </c>
      <c r="C411" s="2" t="str">
        <f t="shared" si="6"/>
        <v>2015</v>
      </c>
      <c r="D411" s="1" t="s">
        <v>280</v>
      </c>
      <c r="E411" s="1" t="s">
        <v>27</v>
      </c>
      <c r="F411" s="1" t="s">
        <v>33</v>
      </c>
      <c r="G411" s="1" t="s">
        <v>118</v>
      </c>
      <c r="H411" s="1" t="s">
        <v>833</v>
      </c>
      <c r="I411" s="1">
        <v>1038.8399999999999</v>
      </c>
      <c r="J411" s="1">
        <v>5</v>
      </c>
      <c r="K411" s="1">
        <v>51.94</v>
      </c>
    </row>
    <row r="412" spans="1:11" ht="12.75" x14ac:dyDescent="0.2">
      <c r="A412" s="2">
        <v>41868</v>
      </c>
      <c r="B412" s="2" t="str">
        <f>TEXT(Table1[[#This Row],[Order Date]],"MMM")</f>
        <v>Aug</v>
      </c>
      <c r="C412" s="2" t="str">
        <f t="shared" si="6"/>
        <v>2014</v>
      </c>
      <c r="D412" s="1" t="s">
        <v>1066</v>
      </c>
      <c r="E412" s="1" t="s">
        <v>27</v>
      </c>
      <c r="F412" s="1" t="s">
        <v>38</v>
      </c>
      <c r="G412" s="1" t="s">
        <v>39</v>
      </c>
      <c r="H412" s="1" t="s">
        <v>1173</v>
      </c>
      <c r="I412" s="1">
        <v>1212.8499999999999</v>
      </c>
      <c r="J412" s="1">
        <v>7</v>
      </c>
      <c r="K412" s="1">
        <v>106.12</v>
      </c>
    </row>
    <row r="413" spans="1:11" ht="12.75" x14ac:dyDescent="0.2">
      <c r="A413" s="2">
        <v>42233</v>
      </c>
      <c r="B413" s="2" t="str">
        <f>TEXT(Table1[[#This Row],[Order Date]],"MMM")</f>
        <v>Aug</v>
      </c>
      <c r="C413" s="2" t="str">
        <f t="shared" si="6"/>
        <v>2015</v>
      </c>
      <c r="D413" s="1" t="s">
        <v>374</v>
      </c>
      <c r="E413" s="1" t="s">
        <v>187</v>
      </c>
      <c r="F413" s="1" t="s">
        <v>33</v>
      </c>
      <c r="G413" s="1" t="s">
        <v>34</v>
      </c>
      <c r="H413" s="1" t="s">
        <v>182</v>
      </c>
      <c r="I413" s="1">
        <v>207</v>
      </c>
      <c r="J413" s="1">
        <v>3</v>
      </c>
      <c r="K413" s="1">
        <v>25.88</v>
      </c>
    </row>
    <row r="414" spans="1:11" ht="12.75" x14ac:dyDescent="0.2">
      <c r="A414" s="2">
        <v>41899</v>
      </c>
      <c r="B414" s="2" t="str">
        <f>TEXT(Table1[[#This Row],[Order Date]],"MMM")</f>
        <v>Sep</v>
      </c>
      <c r="C414" s="2" t="str">
        <f t="shared" si="6"/>
        <v>2014</v>
      </c>
      <c r="D414" s="1" t="s">
        <v>282</v>
      </c>
      <c r="E414" s="1" t="s">
        <v>27</v>
      </c>
      <c r="F414" s="1" t="s">
        <v>33</v>
      </c>
      <c r="G414" s="1" t="s">
        <v>34</v>
      </c>
      <c r="H414" s="1" t="s">
        <v>939</v>
      </c>
      <c r="I414" s="1">
        <v>190.72</v>
      </c>
      <c r="J414" s="1">
        <v>1</v>
      </c>
      <c r="K414" s="1">
        <v>11.92</v>
      </c>
    </row>
    <row r="415" spans="1:11" ht="12.75" x14ac:dyDescent="0.2">
      <c r="A415" s="2">
        <v>42264</v>
      </c>
      <c r="B415" s="2" t="str">
        <f>TEXT(Table1[[#This Row],[Order Date]],"MMM")</f>
        <v>Sep</v>
      </c>
      <c r="C415" s="2" t="str">
        <f t="shared" si="6"/>
        <v>2015</v>
      </c>
      <c r="D415" s="1" t="s">
        <v>545</v>
      </c>
      <c r="E415" s="1" t="s">
        <v>287</v>
      </c>
      <c r="F415" s="1" t="s">
        <v>11</v>
      </c>
      <c r="G415" s="1" t="s">
        <v>24</v>
      </c>
      <c r="H415" s="1" t="s">
        <v>242</v>
      </c>
      <c r="I415" s="1">
        <v>11.65</v>
      </c>
      <c r="J415" s="1">
        <v>5</v>
      </c>
      <c r="K415" s="1">
        <v>3.38</v>
      </c>
    </row>
    <row r="416" spans="1:11" ht="12.75" x14ac:dyDescent="0.2">
      <c r="A416" s="2">
        <v>42294</v>
      </c>
      <c r="B416" s="2" t="str">
        <f>TEXT(Table1[[#This Row],[Order Date]],"MMM")</f>
        <v>Oct</v>
      </c>
      <c r="C416" s="2" t="str">
        <f t="shared" si="6"/>
        <v>2015</v>
      </c>
      <c r="D416" s="1" t="s">
        <v>1196</v>
      </c>
      <c r="E416" s="1" t="s">
        <v>23</v>
      </c>
      <c r="F416" s="1" t="s">
        <v>11</v>
      </c>
      <c r="G416" s="1" t="s">
        <v>12</v>
      </c>
      <c r="H416" s="1" t="s">
        <v>783</v>
      </c>
      <c r="I416" s="1">
        <v>11.35</v>
      </c>
      <c r="J416" s="1">
        <v>3</v>
      </c>
      <c r="K416" s="1">
        <v>4.12</v>
      </c>
    </row>
    <row r="417" spans="1:11" ht="12.75" x14ac:dyDescent="0.2">
      <c r="A417" s="2">
        <v>42660</v>
      </c>
      <c r="B417" s="2" t="str">
        <f>TEXT(Table1[[#This Row],[Order Date]],"MMM")</f>
        <v>Oct</v>
      </c>
      <c r="C417" s="2" t="str">
        <f t="shared" si="6"/>
        <v>2016</v>
      </c>
      <c r="D417" s="1" t="s">
        <v>1034</v>
      </c>
      <c r="E417" s="1" t="s">
        <v>94</v>
      </c>
      <c r="F417" s="1" t="s">
        <v>11</v>
      </c>
      <c r="G417" s="1" t="s">
        <v>18</v>
      </c>
      <c r="H417" s="1" t="s">
        <v>1225</v>
      </c>
      <c r="I417" s="1">
        <v>418.32</v>
      </c>
      <c r="J417" s="1">
        <v>7</v>
      </c>
      <c r="K417" s="1">
        <v>117.13</v>
      </c>
    </row>
    <row r="418" spans="1:11" ht="12.75" x14ac:dyDescent="0.2">
      <c r="A418" s="2">
        <v>43025</v>
      </c>
      <c r="B418" s="2" t="str">
        <f>TEXT(Table1[[#This Row],[Order Date]],"MMM")</f>
        <v>Oct</v>
      </c>
      <c r="C418" s="2" t="str">
        <f t="shared" si="6"/>
        <v>2017</v>
      </c>
      <c r="D418" s="1" t="s">
        <v>1102</v>
      </c>
      <c r="E418" s="1" t="s">
        <v>200</v>
      </c>
      <c r="F418" s="1" t="s">
        <v>38</v>
      </c>
      <c r="G418" s="1" t="s">
        <v>48</v>
      </c>
      <c r="H418" s="1" t="s">
        <v>1220</v>
      </c>
      <c r="I418" s="1">
        <v>238.9</v>
      </c>
      <c r="J418" s="1">
        <v>6</v>
      </c>
      <c r="K418" s="1">
        <v>-26.88</v>
      </c>
    </row>
    <row r="419" spans="1:11" ht="12.75" x14ac:dyDescent="0.2">
      <c r="A419" s="2">
        <v>41960</v>
      </c>
      <c r="B419" s="2" t="str">
        <f>TEXT(Table1[[#This Row],[Order Date]],"MMM")</f>
        <v>Nov</v>
      </c>
      <c r="C419" s="2" t="str">
        <f t="shared" si="6"/>
        <v>2014</v>
      </c>
      <c r="D419" s="1" t="s">
        <v>469</v>
      </c>
      <c r="E419" s="1" t="s">
        <v>120</v>
      </c>
      <c r="F419" s="1" t="s">
        <v>38</v>
      </c>
      <c r="G419" s="1" t="s">
        <v>48</v>
      </c>
      <c r="H419" s="1" t="s">
        <v>430</v>
      </c>
      <c r="I419" s="1">
        <v>37.6</v>
      </c>
      <c r="J419" s="1">
        <v>2</v>
      </c>
      <c r="K419" s="1">
        <v>2.2599999999999998</v>
      </c>
    </row>
    <row r="420" spans="1:11" ht="12.75" x14ac:dyDescent="0.2">
      <c r="A420" s="2">
        <v>42325</v>
      </c>
      <c r="B420" s="2" t="str">
        <f>TEXT(Table1[[#This Row],[Order Date]],"MMM")</f>
        <v>Nov</v>
      </c>
      <c r="C420" s="2" t="str">
        <f t="shared" si="6"/>
        <v>2015</v>
      </c>
      <c r="D420" s="1" t="s">
        <v>1169</v>
      </c>
      <c r="E420" s="1" t="s">
        <v>120</v>
      </c>
      <c r="F420" s="1" t="s">
        <v>11</v>
      </c>
      <c r="G420" s="1" t="s">
        <v>80</v>
      </c>
      <c r="H420" s="1" t="s">
        <v>1229</v>
      </c>
      <c r="I420" s="1">
        <v>523.25</v>
      </c>
      <c r="J420" s="1">
        <v>5</v>
      </c>
      <c r="K420" s="1">
        <v>141.28</v>
      </c>
    </row>
    <row r="421" spans="1:11" ht="12.75" x14ac:dyDescent="0.2">
      <c r="A421" s="2">
        <v>43056</v>
      </c>
      <c r="B421" s="2" t="str">
        <f>TEXT(Table1[[#This Row],[Order Date]],"MMM")</f>
        <v>Nov</v>
      </c>
      <c r="C421" s="2" t="str">
        <f t="shared" si="6"/>
        <v>2017</v>
      </c>
      <c r="D421" s="1" t="s">
        <v>1231</v>
      </c>
      <c r="E421" s="1" t="s">
        <v>15</v>
      </c>
      <c r="F421" s="1" t="s">
        <v>11</v>
      </c>
      <c r="G421" s="1" t="s">
        <v>158</v>
      </c>
      <c r="H421" s="1" t="s">
        <v>648</v>
      </c>
      <c r="I421" s="1">
        <v>40.92</v>
      </c>
      <c r="J421" s="1">
        <v>5</v>
      </c>
      <c r="K421" s="1">
        <v>3.07</v>
      </c>
    </row>
    <row r="422" spans="1:11" ht="12.75" x14ac:dyDescent="0.2">
      <c r="A422" s="2">
        <v>41990</v>
      </c>
      <c r="B422" s="2" t="str">
        <f>TEXT(Table1[[#This Row],[Order Date]],"MMM")</f>
        <v>Dec</v>
      </c>
      <c r="C422" s="2" t="str">
        <f t="shared" si="6"/>
        <v>2014</v>
      </c>
      <c r="D422" s="1" t="s">
        <v>524</v>
      </c>
      <c r="E422" s="1" t="s">
        <v>68</v>
      </c>
      <c r="F422" s="1" t="s">
        <v>33</v>
      </c>
      <c r="G422" s="1" t="s">
        <v>34</v>
      </c>
      <c r="H422" s="1" t="s">
        <v>528</v>
      </c>
      <c r="I422" s="1">
        <v>396.8</v>
      </c>
      <c r="J422" s="1">
        <v>7</v>
      </c>
      <c r="K422" s="1">
        <v>-11.34</v>
      </c>
    </row>
    <row r="423" spans="1:11" ht="12.75" x14ac:dyDescent="0.2">
      <c r="A423" s="2">
        <v>42721</v>
      </c>
      <c r="B423" s="2" t="str">
        <f>TEXT(Table1[[#This Row],[Order Date]],"MMM")</f>
        <v>Dec</v>
      </c>
      <c r="C423" s="2" t="str">
        <f t="shared" si="6"/>
        <v>2016</v>
      </c>
      <c r="D423" s="1" t="s">
        <v>403</v>
      </c>
      <c r="E423" s="1" t="s">
        <v>10</v>
      </c>
      <c r="F423" s="1" t="s">
        <v>11</v>
      </c>
      <c r="G423" s="1" t="s">
        <v>80</v>
      </c>
      <c r="H423" s="1" t="s">
        <v>96</v>
      </c>
      <c r="I423" s="1">
        <v>68.81</v>
      </c>
      <c r="J423" s="1">
        <v>5</v>
      </c>
      <c r="K423" s="1">
        <v>-123.86</v>
      </c>
    </row>
    <row r="424" spans="1:11" ht="12.75" x14ac:dyDescent="0.2">
      <c r="A424" s="2">
        <v>43086</v>
      </c>
      <c r="B424" s="2" t="str">
        <f>TEXT(Table1[[#This Row],[Order Date]],"MMM")</f>
        <v>Dec</v>
      </c>
      <c r="C424" s="2" t="str">
        <f t="shared" si="6"/>
        <v>2017</v>
      </c>
      <c r="D424" s="1" t="s">
        <v>1160</v>
      </c>
      <c r="E424" s="1" t="s">
        <v>10</v>
      </c>
      <c r="F424" s="1" t="s">
        <v>11</v>
      </c>
      <c r="G424" s="1" t="s">
        <v>12</v>
      </c>
      <c r="H424" s="1" t="s">
        <v>1191</v>
      </c>
      <c r="I424" s="1">
        <v>335.52</v>
      </c>
      <c r="J424" s="1">
        <v>4</v>
      </c>
      <c r="K424" s="1">
        <v>117.43</v>
      </c>
    </row>
    <row r="425" spans="1:11" ht="12.75" x14ac:dyDescent="0.2">
      <c r="A425" s="2">
        <v>41657</v>
      </c>
      <c r="B425" s="2" t="str">
        <f>TEXT(Table1[[#This Row],[Order Date]],"MMM")</f>
        <v>Jan</v>
      </c>
      <c r="C425" s="2" t="str">
        <f t="shared" si="6"/>
        <v>2014</v>
      </c>
      <c r="D425" s="1" t="s">
        <v>270</v>
      </c>
      <c r="E425" s="1" t="s">
        <v>27</v>
      </c>
      <c r="F425" s="1" t="s">
        <v>38</v>
      </c>
      <c r="G425" s="1" t="s">
        <v>48</v>
      </c>
      <c r="H425" s="1" t="s">
        <v>768</v>
      </c>
      <c r="I425" s="1">
        <v>13.98</v>
      </c>
      <c r="J425" s="1">
        <v>2</v>
      </c>
      <c r="K425" s="1">
        <v>6.15</v>
      </c>
    </row>
    <row r="426" spans="1:11" ht="12.75" x14ac:dyDescent="0.2">
      <c r="A426" s="2">
        <v>41688</v>
      </c>
      <c r="B426" s="2" t="str">
        <f>TEXT(Table1[[#This Row],[Order Date]],"MMM")</f>
        <v>Feb</v>
      </c>
      <c r="C426" s="2" t="str">
        <f t="shared" si="6"/>
        <v>2014</v>
      </c>
      <c r="D426" s="1" t="s">
        <v>818</v>
      </c>
      <c r="E426" s="1" t="s">
        <v>101</v>
      </c>
      <c r="F426" s="1" t="s">
        <v>33</v>
      </c>
      <c r="G426" s="1" t="s">
        <v>118</v>
      </c>
      <c r="H426" s="1" t="s">
        <v>852</v>
      </c>
      <c r="I426" s="1">
        <v>375.46</v>
      </c>
      <c r="J426" s="1">
        <v>3</v>
      </c>
      <c r="K426" s="1">
        <v>-157.01</v>
      </c>
    </row>
    <row r="427" spans="1:11" ht="12.75" x14ac:dyDescent="0.2">
      <c r="A427" s="2">
        <v>42053</v>
      </c>
      <c r="B427" s="2" t="str">
        <f>TEXT(Table1[[#This Row],[Order Date]],"MMM")</f>
        <v>Feb</v>
      </c>
      <c r="C427" s="2" t="str">
        <f t="shared" si="6"/>
        <v>2015</v>
      </c>
      <c r="D427" s="1" t="s">
        <v>1200</v>
      </c>
      <c r="E427" s="1" t="s">
        <v>15</v>
      </c>
      <c r="F427" s="1" t="s">
        <v>33</v>
      </c>
      <c r="G427" s="1" t="s">
        <v>44</v>
      </c>
      <c r="H427" s="1" t="s">
        <v>912</v>
      </c>
      <c r="I427" s="1">
        <v>12.13</v>
      </c>
      <c r="J427" s="1">
        <v>9</v>
      </c>
      <c r="K427" s="1">
        <v>-8.49</v>
      </c>
    </row>
    <row r="428" spans="1:11" ht="12.75" x14ac:dyDescent="0.2">
      <c r="A428" s="2">
        <v>42784</v>
      </c>
      <c r="B428" s="2" t="str">
        <f>TEXT(Table1[[#This Row],[Order Date]],"MMM")</f>
        <v>Feb</v>
      </c>
      <c r="C428" s="2" t="str">
        <f t="shared" si="6"/>
        <v>2017</v>
      </c>
      <c r="D428" s="1" t="s">
        <v>853</v>
      </c>
      <c r="E428" s="1" t="s">
        <v>94</v>
      </c>
      <c r="F428" s="1" t="s">
        <v>33</v>
      </c>
      <c r="G428" s="1" t="s">
        <v>34</v>
      </c>
      <c r="H428" s="1" t="s">
        <v>1158</v>
      </c>
      <c r="I428" s="1">
        <v>301.95999999999998</v>
      </c>
      <c r="J428" s="1">
        <v>2</v>
      </c>
      <c r="K428" s="1">
        <v>87.57</v>
      </c>
    </row>
    <row r="429" spans="1:11" ht="12.75" x14ac:dyDescent="0.2">
      <c r="A429" s="2">
        <v>41716</v>
      </c>
      <c r="B429" s="2" t="str">
        <f>TEXT(Table1[[#This Row],[Order Date]],"MMM")</f>
        <v>Mar</v>
      </c>
      <c r="C429" s="2" t="str">
        <f t="shared" si="6"/>
        <v>2014</v>
      </c>
      <c r="D429" s="1" t="s">
        <v>879</v>
      </c>
      <c r="E429" s="1" t="s">
        <v>23</v>
      </c>
      <c r="F429" s="1" t="s">
        <v>11</v>
      </c>
      <c r="G429" s="1" t="s">
        <v>20</v>
      </c>
      <c r="H429" s="1" t="s">
        <v>342</v>
      </c>
      <c r="I429" s="1">
        <v>152.99</v>
      </c>
      <c r="J429" s="1">
        <v>3</v>
      </c>
      <c r="K429" s="1">
        <v>-122.39</v>
      </c>
    </row>
    <row r="430" spans="1:11" ht="12.75" x14ac:dyDescent="0.2">
      <c r="A430" s="2">
        <v>42447</v>
      </c>
      <c r="B430" s="2" t="str">
        <f>TEXT(Table1[[#This Row],[Order Date]],"MMM")</f>
        <v>Mar</v>
      </c>
      <c r="C430" s="2" t="str">
        <f t="shared" si="6"/>
        <v>2016</v>
      </c>
      <c r="D430" s="1" t="s">
        <v>744</v>
      </c>
      <c r="E430" s="1" t="s">
        <v>134</v>
      </c>
      <c r="F430" s="1" t="s">
        <v>11</v>
      </c>
      <c r="G430" s="1" t="s">
        <v>20</v>
      </c>
      <c r="H430" s="1" t="s">
        <v>481</v>
      </c>
      <c r="I430" s="1">
        <v>55.42</v>
      </c>
      <c r="J430" s="1">
        <v>2</v>
      </c>
      <c r="K430" s="1">
        <v>19.399999999999999</v>
      </c>
    </row>
    <row r="431" spans="1:11" ht="12.75" x14ac:dyDescent="0.2">
      <c r="A431" s="2">
        <v>41747</v>
      </c>
      <c r="B431" s="2" t="str">
        <f>TEXT(Table1[[#This Row],[Order Date]],"MMM")</f>
        <v>Apr</v>
      </c>
      <c r="C431" s="2" t="str">
        <f t="shared" si="6"/>
        <v>2014</v>
      </c>
      <c r="D431" s="1" t="s">
        <v>208</v>
      </c>
      <c r="E431" s="1" t="s">
        <v>23</v>
      </c>
      <c r="F431" s="1" t="s">
        <v>38</v>
      </c>
      <c r="G431" s="1" t="s">
        <v>214</v>
      </c>
      <c r="H431" s="1" t="s">
        <v>1239</v>
      </c>
      <c r="I431" s="1">
        <v>482.34</v>
      </c>
      <c r="J431" s="1">
        <v>4</v>
      </c>
      <c r="K431" s="1">
        <v>-337.64</v>
      </c>
    </row>
    <row r="432" spans="1:11" ht="12.75" x14ac:dyDescent="0.2">
      <c r="A432" s="2">
        <v>42478</v>
      </c>
      <c r="B432" s="2" t="str">
        <f>TEXT(Table1[[#This Row],[Order Date]],"MMM")</f>
        <v>Apr</v>
      </c>
      <c r="C432" s="2" t="str">
        <f t="shared" si="6"/>
        <v>2016</v>
      </c>
      <c r="D432" s="1" t="s">
        <v>1240</v>
      </c>
      <c r="E432" s="1" t="s">
        <v>101</v>
      </c>
      <c r="F432" s="1" t="s">
        <v>11</v>
      </c>
      <c r="G432" s="1" t="s">
        <v>20</v>
      </c>
      <c r="H432" s="1" t="s">
        <v>531</v>
      </c>
      <c r="I432" s="1">
        <v>8.23</v>
      </c>
      <c r="J432" s="1">
        <v>3</v>
      </c>
      <c r="K432" s="1">
        <v>-6.03</v>
      </c>
    </row>
    <row r="433" spans="1:11" ht="12.75" x14ac:dyDescent="0.2">
      <c r="A433" s="2">
        <v>41777</v>
      </c>
      <c r="B433" s="2" t="str">
        <f>TEXT(Table1[[#This Row],[Order Date]],"MMM")</f>
        <v>May</v>
      </c>
      <c r="C433" s="2" t="str">
        <f t="shared" si="6"/>
        <v>2014</v>
      </c>
      <c r="D433" s="1" t="s">
        <v>947</v>
      </c>
      <c r="E433" s="1" t="s">
        <v>32</v>
      </c>
      <c r="F433" s="1" t="s">
        <v>11</v>
      </c>
      <c r="G433" s="1" t="s">
        <v>80</v>
      </c>
      <c r="H433" s="1" t="s">
        <v>651</v>
      </c>
      <c r="I433" s="1">
        <v>152.94</v>
      </c>
      <c r="J433" s="1">
        <v>3</v>
      </c>
      <c r="K433" s="1">
        <v>41.29</v>
      </c>
    </row>
    <row r="434" spans="1:11" ht="12.75" x14ac:dyDescent="0.2">
      <c r="A434" s="2">
        <v>42142</v>
      </c>
      <c r="B434" s="2" t="str">
        <f>TEXT(Table1[[#This Row],[Order Date]],"MMM")</f>
        <v>May</v>
      </c>
      <c r="C434" s="2" t="str">
        <f t="shared" si="6"/>
        <v>2015</v>
      </c>
      <c r="D434" s="1" t="s">
        <v>1243</v>
      </c>
      <c r="E434" s="1" t="s">
        <v>10</v>
      </c>
      <c r="F434" s="1" t="s">
        <v>11</v>
      </c>
      <c r="G434" s="1" t="s">
        <v>12</v>
      </c>
      <c r="H434" s="1" t="s">
        <v>322</v>
      </c>
      <c r="I434" s="1">
        <v>360.71</v>
      </c>
      <c r="J434" s="1">
        <v>11</v>
      </c>
      <c r="K434" s="1">
        <v>130.76</v>
      </c>
    </row>
    <row r="435" spans="1:11" ht="12.75" x14ac:dyDescent="0.2">
      <c r="A435" s="2">
        <v>42508</v>
      </c>
      <c r="B435" s="2" t="str">
        <f>TEXT(Table1[[#This Row],[Order Date]],"MMM")</f>
        <v>May</v>
      </c>
      <c r="C435" s="2" t="str">
        <f t="shared" si="6"/>
        <v>2016</v>
      </c>
      <c r="D435" s="1" t="s">
        <v>800</v>
      </c>
      <c r="E435" s="1" t="s">
        <v>94</v>
      </c>
      <c r="F435" s="1" t="s">
        <v>11</v>
      </c>
      <c r="G435" s="1" t="s">
        <v>24</v>
      </c>
      <c r="H435" s="1" t="s">
        <v>893</v>
      </c>
      <c r="I435" s="1">
        <v>3.9</v>
      </c>
      <c r="J435" s="1">
        <v>2</v>
      </c>
      <c r="K435" s="1">
        <v>1.52</v>
      </c>
    </row>
    <row r="436" spans="1:11" ht="12.75" x14ac:dyDescent="0.2">
      <c r="A436" s="2">
        <v>41808</v>
      </c>
      <c r="B436" s="2" t="str">
        <f>TEXT(Table1[[#This Row],[Order Date]],"MMM")</f>
        <v>Jun</v>
      </c>
      <c r="C436" s="2" t="str">
        <f t="shared" si="6"/>
        <v>2014</v>
      </c>
      <c r="D436" s="1" t="s">
        <v>480</v>
      </c>
      <c r="E436" s="1" t="s">
        <v>27</v>
      </c>
      <c r="F436" s="1" t="s">
        <v>33</v>
      </c>
      <c r="G436" s="1" t="s">
        <v>34</v>
      </c>
      <c r="H436" s="1" t="s">
        <v>409</v>
      </c>
      <c r="I436" s="1">
        <v>348.93</v>
      </c>
      <c r="J436" s="1">
        <v>2</v>
      </c>
      <c r="K436" s="1">
        <v>34.89</v>
      </c>
    </row>
    <row r="437" spans="1:11" ht="12.75" x14ac:dyDescent="0.2">
      <c r="A437" s="2">
        <v>42539</v>
      </c>
      <c r="B437" s="2" t="str">
        <f>TEXT(Table1[[#This Row],[Order Date]],"MMM")</f>
        <v>Jun</v>
      </c>
      <c r="C437" s="2" t="str">
        <f t="shared" si="6"/>
        <v>2016</v>
      </c>
      <c r="D437" s="1" t="s">
        <v>540</v>
      </c>
      <c r="E437" s="1" t="s">
        <v>68</v>
      </c>
      <c r="F437" s="1" t="s">
        <v>11</v>
      </c>
      <c r="G437" s="1" t="s">
        <v>18</v>
      </c>
      <c r="H437" s="1" t="s">
        <v>467</v>
      </c>
      <c r="I437" s="1">
        <v>646.78</v>
      </c>
      <c r="J437" s="1">
        <v>9</v>
      </c>
      <c r="K437" s="1">
        <v>-145.52000000000001</v>
      </c>
    </row>
    <row r="438" spans="1:11" ht="12.75" x14ac:dyDescent="0.2">
      <c r="A438" s="2">
        <v>41838</v>
      </c>
      <c r="B438" s="2" t="str">
        <f>TEXT(Table1[[#This Row],[Order Date]],"MMM")</f>
        <v>Jul</v>
      </c>
      <c r="C438" s="2" t="str">
        <f t="shared" si="6"/>
        <v>2014</v>
      </c>
      <c r="D438" s="1" t="s">
        <v>330</v>
      </c>
      <c r="E438" s="1" t="s">
        <v>134</v>
      </c>
      <c r="F438" s="1" t="s">
        <v>33</v>
      </c>
      <c r="G438" s="1" t="s">
        <v>118</v>
      </c>
      <c r="H438" s="1" t="s">
        <v>329</v>
      </c>
      <c r="I438" s="1">
        <v>1618.37</v>
      </c>
      <c r="J438" s="1">
        <v>13</v>
      </c>
      <c r="K438" s="1">
        <v>356.04</v>
      </c>
    </row>
    <row r="439" spans="1:11" ht="12.75" x14ac:dyDescent="0.2">
      <c r="A439" s="2">
        <v>42203</v>
      </c>
      <c r="B439" s="2" t="str">
        <f>TEXT(Table1[[#This Row],[Order Date]],"MMM")</f>
        <v>Jul</v>
      </c>
      <c r="C439" s="2" t="str">
        <f t="shared" si="6"/>
        <v>2015</v>
      </c>
      <c r="D439" s="1" t="s">
        <v>126</v>
      </c>
      <c r="E439" s="1" t="s">
        <v>51</v>
      </c>
      <c r="F439" s="1" t="s">
        <v>11</v>
      </c>
      <c r="G439" s="1" t="s">
        <v>80</v>
      </c>
      <c r="H439" s="1" t="s">
        <v>1007</v>
      </c>
      <c r="I439" s="1">
        <v>194.32</v>
      </c>
      <c r="J439" s="1">
        <v>4</v>
      </c>
      <c r="K439" s="1">
        <v>56.35</v>
      </c>
    </row>
    <row r="440" spans="1:11" ht="12.75" x14ac:dyDescent="0.2">
      <c r="A440" s="2">
        <v>42600</v>
      </c>
      <c r="B440" s="2" t="str">
        <f>TEXT(Table1[[#This Row],[Order Date]],"MMM")</f>
        <v>Aug</v>
      </c>
      <c r="C440" s="2" t="str">
        <f t="shared" si="6"/>
        <v>2016</v>
      </c>
      <c r="D440" s="1" t="s">
        <v>976</v>
      </c>
      <c r="E440" s="1" t="s">
        <v>68</v>
      </c>
      <c r="F440" s="1" t="s">
        <v>11</v>
      </c>
      <c r="G440" s="1" t="s">
        <v>42</v>
      </c>
      <c r="H440" s="1" t="s">
        <v>878</v>
      </c>
      <c r="I440" s="1">
        <v>5.58</v>
      </c>
      <c r="J440" s="1">
        <v>2</v>
      </c>
      <c r="K440" s="1">
        <v>1.81</v>
      </c>
    </row>
    <row r="441" spans="1:11" ht="12.75" x14ac:dyDescent="0.2">
      <c r="A441" s="2">
        <v>42965</v>
      </c>
      <c r="B441" s="2" t="str">
        <f>TEXT(Table1[[#This Row],[Order Date]],"MMM")</f>
        <v>Aug</v>
      </c>
      <c r="C441" s="2" t="str">
        <f t="shared" si="6"/>
        <v>2017</v>
      </c>
      <c r="D441" s="1" t="s">
        <v>918</v>
      </c>
      <c r="E441" s="1" t="s">
        <v>23</v>
      </c>
      <c r="F441" s="1" t="s">
        <v>33</v>
      </c>
      <c r="G441" s="1" t="s">
        <v>44</v>
      </c>
      <c r="H441" s="1" t="s">
        <v>876</v>
      </c>
      <c r="I441" s="1">
        <v>547.14</v>
      </c>
      <c r="J441" s="1">
        <v>4</v>
      </c>
      <c r="K441" s="1">
        <v>-68.39</v>
      </c>
    </row>
    <row r="442" spans="1:11" ht="12.75" x14ac:dyDescent="0.2">
      <c r="A442" s="2">
        <v>42265</v>
      </c>
      <c r="B442" s="2" t="str">
        <f>TEXT(Table1[[#This Row],[Order Date]],"MMM")</f>
        <v>Sep</v>
      </c>
      <c r="C442" s="2" t="str">
        <f t="shared" si="6"/>
        <v>2015</v>
      </c>
      <c r="D442" s="1" t="s">
        <v>405</v>
      </c>
      <c r="E442" s="1" t="s">
        <v>10</v>
      </c>
      <c r="F442" s="1" t="s">
        <v>11</v>
      </c>
      <c r="G442" s="1" t="s">
        <v>58</v>
      </c>
      <c r="H442" s="1" t="s">
        <v>1252</v>
      </c>
      <c r="I442" s="1">
        <v>113.33</v>
      </c>
      <c r="J442" s="1">
        <v>9</v>
      </c>
      <c r="K442" s="1">
        <v>35.42</v>
      </c>
    </row>
    <row r="443" spans="1:11" ht="12.75" x14ac:dyDescent="0.2">
      <c r="A443" s="2">
        <v>42631</v>
      </c>
      <c r="B443" s="2" t="str">
        <f>TEXT(Table1[[#This Row],[Order Date]],"MMM")</f>
        <v>Sep</v>
      </c>
      <c r="C443" s="2" t="str">
        <f t="shared" si="6"/>
        <v>2016</v>
      </c>
      <c r="D443" s="1" t="s">
        <v>902</v>
      </c>
      <c r="E443" s="1" t="s">
        <v>120</v>
      </c>
      <c r="F443" s="1" t="s">
        <v>11</v>
      </c>
      <c r="G443" s="1" t="s">
        <v>158</v>
      </c>
      <c r="H443" s="1" t="s">
        <v>697</v>
      </c>
      <c r="I443" s="1">
        <v>6.36</v>
      </c>
      <c r="J443" s="1">
        <v>2</v>
      </c>
      <c r="K443" s="1">
        <v>0.06</v>
      </c>
    </row>
    <row r="444" spans="1:11" ht="12.75" x14ac:dyDescent="0.2">
      <c r="A444" s="2">
        <v>41930</v>
      </c>
      <c r="B444" s="2" t="str">
        <f>TEXT(Table1[[#This Row],[Order Date]],"MMM")</f>
        <v>Oct</v>
      </c>
      <c r="C444" s="2" t="str">
        <f t="shared" si="6"/>
        <v>2014</v>
      </c>
      <c r="D444" s="1" t="s">
        <v>190</v>
      </c>
      <c r="E444" s="1" t="s">
        <v>27</v>
      </c>
      <c r="F444" s="1" t="s">
        <v>11</v>
      </c>
      <c r="G444" s="1" t="s">
        <v>12</v>
      </c>
      <c r="H444" s="1" t="s">
        <v>686</v>
      </c>
      <c r="I444" s="1">
        <v>68.52</v>
      </c>
      <c r="J444" s="1">
        <v>3</v>
      </c>
      <c r="K444" s="1">
        <v>31.52</v>
      </c>
    </row>
    <row r="445" spans="1:11" ht="12.75" x14ac:dyDescent="0.2">
      <c r="A445" s="2">
        <v>42295</v>
      </c>
      <c r="B445" s="2" t="str">
        <f>TEXT(Table1[[#This Row],[Order Date]],"MMM")</f>
        <v>Oct</v>
      </c>
      <c r="C445" s="2" t="str">
        <f t="shared" si="6"/>
        <v>2015</v>
      </c>
      <c r="D445" s="1" t="s">
        <v>280</v>
      </c>
      <c r="E445" s="1" t="s">
        <v>337</v>
      </c>
      <c r="F445" s="1" t="s">
        <v>11</v>
      </c>
      <c r="G445" s="1" t="s">
        <v>20</v>
      </c>
      <c r="H445" s="1" t="s">
        <v>36</v>
      </c>
      <c r="I445" s="1">
        <v>487.98</v>
      </c>
      <c r="J445" s="1">
        <v>2</v>
      </c>
      <c r="K445" s="1">
        <v>152.5</v>
      </c>
    </row>
    <row r="446" spans="1:11" ht="12.75" x14ac:dyDescent="0.2">
      <c r="A446" s="2">
        <v>41961</v>
      </c>
      <c r="B446" s="2" t="str">
        <f>TEXT(Table1[[#This Row],[Order Date]],"MMM")</f>
        <v>Nov</v>
      </c>
      <c r="C446" s="2" t="str">
        <f t="shared" si="6"/>
        <v>2014</v>
      </c>
      <c r="D446" s="1" t="s">
        <v>1192</v>
      </c>
      <c r="E446" s="1" t="s">
        <v>344</v>
      </c>
      <c r="F446" s="1" t="s">
        <v>33</v>
      </c>
      <c r="G446" s="1" t="s">
        <v>65</v>
      </c>
      <c r="H446" s="1" t="s">
        <v>1159</v>
      </c>
      <c r="I446" s="1">
        <v>173.94</v>
      </c>
      <c r="J446" s="1">
        <v>3</v>
      </c>
      <c r="K446" s="1">
        <v>38.270000000000003</v>
      </c>
    </row>
    <row r="447" spans="1:11" ht="12.75" x14ac:dyDescent="0.2">
      <c r="A447" s="2">
        <v>42692</v>
      </c>
      <c r="B447" s="2" t="str">
        <f>TEXT(Table1[[#This Row],[Order Date]],"MMM")</f>
        <v>Nov</v>
      </c>
      <c r="C447" s="2" t="str">
        <f t="shared" si="6"/>
        <v>2016</v>
      </c>
      <c r="D447" s="1" t="s">
        <v>428</v>
      </c>
      <c r="E447" s="1" t="s">
        <v>101</v>
      </c>
      <c r="F447" s="1" t="s">
        <v>38</v>
      </c>
      <c r="G447" s="1" t="s">
        <v>48</v>
      </c>
      <c r="H447" s="1" t="s">
        <v>1254</v>
      </c>
      <c r="I447" s="1">
        <v>191.47</v>
      </c>
      <c r="J447" s="1">
        <v>6</v>
      </c>
      <c r="K447" s="1">
        <v>40.69</v>
      </c>
    </row>
    <row r="448" spans="1:11" ht="12.75" x14ac:dyDescent="0.2">
      <c r="A448" s="2">
        <v>42356</v>
      </c>
      <c r="B448" s="2" t="str">
        <f>TEXT(Table1[[#This Row],[Order Date]],"MMM")</f>
        <v>Dec</v>
      </c>
      <c r="C448" s="2" t="str">
        <f t="shared" si="6"/>
        <v>2015</v>
      </c>
      <c r="D448" s="1" t="s">
        <v>477</v>
      </c>
      <c r="E448" s="1" t="s">
        <v>27</v>
      </c>
      <c r="F448" s="1" t="s">
        <v>11</v>
      </c>
      <c r="G448" s="1" t="s">
        <v>24</v>
      </c>
      <c r="H448" s="1" t="s">
        <v>1053</v>
      </c>
      <c r="I448" s="1">
        <v>34.58</v>
      </c>
      <c r="J448" s="1">
        <v>1</v>
      </c>
      <c r="K448" s="1">
        <v>10.029999999999999</v>
      </c>
    </row>
    <row r="449" spans="1:11" ht="12.75" x14ac:dyDescent="0.2">
      <c r="A449" s="2">
        <v>42722</v>
      </c>
      <c r="B449" s="2" t="str">
        <f>TEXT(Table1[[#This Row],[Order Date]],"MMM")</f>
        <v>Dec</v>
      </c>
      <c r="C449" s="2" t="str">
        <f t="shared" si="6"/>
        <v>2016</v>
      </c>
      <c r="D449" s="1" t="s">
        <v>29</v>
      </c>
      <c r="E449" s="1" t="s">
        <v>127</v>
      </c>
      <c r="F449" s="1" t="s">
        <v>33</v>
      </c>
      <c r="G449" s="1" t="s">
        <v>65</v>
      </c>
      <c r="H449" s="1" t="s">
        <v>899</v>
      </c>
      <c r="I449" s="1">
        <v>1565.88</v>
      </c>
      <c r="J449" s="1">
        <v>6</v>
      </c>
      <c r="K449" s="1">
        <v>407.13</v>
      </c>
    </row>
    <row r="450" spans="1:11" ht="12.75" x14ac:dyDescent="0.2">
      <c r="A450" s="2">
        <v>41658</v>
      </c>
      <c r="B450" s="2" t="str">
        <f>TEXT(Table1[[#This Row],[Order Date]],"MMM")</f>
        <v>Jan</v>
      </c>
      <c r="C450" s="2" t="str">
        <f t="shared" ref="C450:C513" si="7">TEXT(A450,"YYY")</f>
        <v>2014</v>
      </c>
      <c r="D450" s="1" t="s">
        <v>381</v>
      </c>
      <c r="E450" s="1" t="s">
        <v>27</v>
      </c>
      <c r="F450" s="1" t="s">
        <v>38</v>
      </c>
      <c r="G450" s="1" t="s">
        <v>48</v>
      </c>
      <c r="H450" s="1" t="s">
        <v>1256</v>
      </c>
      <c r="I450" s="1">
        <v>349.95</v>
      </c>
      <c r="J450" s="1">
        <v>5</v>
      </c>
      <c r="K450" s="1">
        <v>118.98</v>
      </c>
    </row>
    <row r="451" spans="1:11" ht="12.75" x14ac:dyDescent="0.2">
      <c r="A451" s="2">
        <v>42754</v>
      </c>
      <c r="B451" s="2" t="str">
        <f>TEXT(Table1[[#This Row],[Order Date]],"MMM")</f>
        <v>Jan</v>
      </c>
      <c r="C451" s="2" t="str">
        <f t="shared" si="7"/>
        <v>2017</v>
      </c>
      <c r="D451" s="1" t="s">
        <v>300</v>
      </c>
      <c r="E451" s="1" t="s">
        <v>134</v>
      </c>
      <c r="F451" s="1" t="s">
        <v>33</v>
      </c>
      <c r="G451" s="1" t="s">
        <v>44</v>
      </c>
      <c r="H451" s="1" t="s">
        <v>444</v>
      </c>
      <c r="I451" s="1">
        <v>79.92</v>
      </c>
      <c r="J451" s="1">
        <v>4</v>
      </c>
      <c r="K451" s="1">
        <v>34.369999999999997</v>
      </c>
    </row>
    <row r="452" spans="1:11" ht="12.75" x14ac:dyDescent="0.2">
      <c r="A452" s="2">
        <v>42785</v>
      </c>
      <c r="B452" s="2" t="str">
        <f>TEXT(Table1[[#This Row],[Order Date]],"MMM")</f>
        <v>Feb</v>
      </c>
      <c r="C452" s="2" t="str">
        <f t="shared" si="7"/>
        <v>2017</v>
      </c>
      <c r="D452" s="1" t="s">
        <v>1106</v>
      </c>
      <c r="E452" s="1" t="s">
        <v>187</v>
      </c>
      <c r="F452" s="1" t="s">
        <v>11</v>
      </c>
      <c r="G452" s="1" t="s">
        <v>12</v>
      </c>
      <c r="H452" s="1" t="s">
        <v>901</v>
      </c>
      <c r="I452" s="1">
        <v>89.57</v>
      </c>
      <c r="J452" s="1">
        <v>2</v>
      </c>
      <c r="K452" s="1">
        <v>32.47</v>
      </c>
    </row>
    <row r="453" spans="1:11" ht="12.75" x14ac:dyDescent="0.2">
      <c r="A453" s="2">
        <v>41717</v>
      </c>
      <c r="B453" s="2" t="str">
        <f>TEXT(Table1[[#This Row],[Order Date]],"MMM")</f>
        <v>Mar</v>
      </c>
      <c r="C453" s="2" t="str">
        <f t="shared" si="7"/>
        <v>2014</v>
      </c>
      <c r="D453" s="1" t="s">
        <v>464</v>
      </c>
      <c r="E453" s="1" t="s">
        <v>142</v>
      </c>
      <c r="F453" s="1" t="s">
        <v>11</v>
      </c>
      <c r="G453" s="1" t="s">
        <v>58</v>
      </c>
      <c r="H453" s="1" t="s">
        <v>942</v>
      </c>
      <c r="I453" s="1">
        <v>52.34</v>
      </c>
      <c r="J453" s="1">
        <v>2</v>
      </c>
      <c r="K453" s="1">
        <v>24.6</v>
      </c>
    </row>
    <row r="454" spans="1:11" ht="12.75" x14ac:dyDescent="0.2">
      <c r="A454" s="2">
        <v>42082</v>
      </c>
      <c r="B454" s="2" t="str">
        <f>TEXT(Table1[[#This Row],[Order Date]],"MMM")</f>
        <v>Mar</v>
      </c>
      <c r="C454" s="2" t="str">
        <f t="shared" si="7"/>
        <v>2015</v>
      </c>
      <c r="D454" s="1" t="s">
        <v>1184</v>
      </c>
      <c r="E454" s="1" t="s">
        <v>442</v>
      </c>
      <c r="F454" s="1" t="s">
        <v>33</v>
      </c>
      <c r="G454" s="1" t="s">
        <v>44</v>
      </c>
      <c r="H454" s="1" t="s">
        <v>1237</v>
      </c>
      <c r="I454" s="1">
        <v>322.58999999999997</v>
      </c>
      <c r="J454" s="1">
        <v>3</v>
      </c>
      <c r="K454" s="1">
        <v>64.52</v>
      </c>
    </row>
    <row r="455" spans="1:11" ht="12.75" x14ac:dyDescent="0.2">
      <c r="A455" s="2">
        <v>42448</v>
      </c>
      <c r="B455" s="2" t="str">
        <f>TEXT(Table1[[#This Row],[Order Date]],"MMM")</f>
        <v>Mar</v>
      </c>
      <c r="C455" s="2" t="str">
        <f t="shared" si="7"/>
        <v>2016</v>
      </c>
      <c r="D455" s="1" t="s">
        <v>1223</v>
      </c>
      <c r="E455" s="1" t="s">
        <v>27</v>
      </c>
      <c r="F455" s="1" t="s">
        <v>33</v>
      </c>
      <c r="G455" s="1" t="s">
        <v>44</v>
      </c>
      <c r="H455" s="1" t="s">
        <v>635</v>
      </c>
      <c r="I455" s="1">
        <v>59.99</v>
      </c>
      <c r="J455" s="1">
        <v>7</v>
      </c>
      <c r="K455" s="1">
        <v>21.6</v>
      </c>
    </row>
    <row r="456" spans="1:11" ht="12.75" x14ac:dyDescent="0.2">
      <c r="A456" s="2">
        <v>42813</v>
      </c>
      <c r="B456" s="2" t="str">
        <f>TEXT(Table1[[#This Row],[Order Date]],"MMM")</f>
        <v>Mar</v>
      </c>
      <c r="C456" s="2" t="str">
        <f t="shared" si="7"/>
        <v>2017</v>
      </c>
      <c r="D456" s="1" t="s">
        <v>776</v>
      </c>
      <c r="E456" s="1" t="s">
        <v>227</v>
      </c>
      <c r="F456" s="1" t="s">
        <v>11</v>
      </c>
      <c r="G456" s="1" t="s">
        <v>20</v>
      </c>
      <c r="H456" s="1" t="s">
        <v>1073</v>
      </c>
      <c r="I456" s="1">
        <v>31.36</v>
      </c>
      <c r="J456" s="1">
        <v>4</v>
      </c>
      <c r="K456" s="1">
        <v>15.68</v>
      </c>
    </row>
    <row r="457" spans="1:11" ht="12.75" x14ac:dyDescent="0.2">
      <c r="A457" s="2">
        <v>41748</v>
      </c>
      <c r="B457" s="2" t="str">
        <f>TEXT(Table1[[#This Row],[Order Date]],"MMM")</f>
        <v>Apr</v>
      </c>
      <c r="C457" s="2" t="str">
        <f t="shared" si="7"/>
        <v>2014</v>
      </c>
      <c r="D457" s="1" t="s">
        <v>1258</v>
      </c>
      <c r="E457" s="1" t="s">
        <v>142</v>
      </c>
      <c r="F457" s="1" t="s">
        <v>11</v>
      </c>
      <c r="G457" s="1" t="s">
        <v>24</v>
      </c>
      <c r="H457" s="1" t="s">
        <v>1259</v>
      </c>
      <c r="I457" s="1">
        <v>9.2100000000000009</v>
      </c>
      <c r="J457" s="1">
        <v>3</v>
      </c>
      <c r="K457" s="1">
        <v>2.2999999999999998</v>
      </c>
    </row>
    <row r="458" spans="1:11" ht="12.75" x14ac:dyDescent="0.2">
      <c r="A458" s="2">
        <v>42113</v>
      </c>
      <c r="B458" s="2" t="str">
        <f>TEXT(Table1[[#This Row],[Order Date]],"MMM")</f>
        <v>Apr</v>
      </c>
      <c r="C458" s="2" t="str">
        <f t="shared" si="7"/>
        <v>2015</v>
      </c>
      <c r="D458" s="1" t="s">
        <v>234</v>
      </c>
      <c r="E458" s="1" t="s">
        <v>27</v>
      </c>
      <c r="F458" s="1" t="s">
        <v>38</v>
      </c>
      <c r="G458" s="1" t="s">
        <v>39</v>
      </c>
      <c r="H458" s="1" t="s">
        <v>1199</v>
      </c>
      <c r="I458" s="1">
        <v>109.59</v>
      </c>
      <c r="J458" s="1">
        <v>1</v>
      </c>
      <c r="K458" s="1">
        <v>8.2200000000000006</v>
      </c>
    </row>
    <row r="459" spans="1:11" ht="12.75" x14ac:dyDescent="0.2">
      <c r="A459" s="2">
        <v>42479</v>
      </c>
      <c r="B459" s="2" t="str">
        <f>TEXT(Table1[[#This Row],[Order Date]],"MMM")</f>
        <v>Apr</v>
      </c>
      <c r="C459" s="2" t="str">
        <f t="shared" si="7"/>
        <v>2016</v>
      </c>
      <c r="D459" s="1" t="s">
        <v>141</v>
      </c>
      <c r="E459" s="1" t="s">
        <v>51</v>
      </c>
      <c r="F459" s="1" t="s">
        <v>11</v>
      </c>
      <c r="G459" s="1" t="s">
        <v>18</v>
      </c>
      <c r="H459" s="1" t="s">
        <v>375</v>
      </c>
      <c r="I459" s="1">
        <v>56.45</v>
      </c>
      <c r="J459" s="1">
        <v>5</v>
      </c>
      <c r="K459" s="1">
        <v>14.68</v>
      </c>
    </row>
    <row r="460" spans="1:11" ht="12.75" x14ac:dyDescent="0.2">
      <c r="A460" s="2">
        <v>41778</v>
      </c>
      <c r="B460" s="2" t="str">
        <f>TEXT(Table1[[#This Row],[Order Date]],"MMM")</f>
        <v>May</v>
      </c>
      <c r="C460" s="2" t="str">
        <f t="shared" si="7"/>
        <v>2014</v>
      </c>
      <c r="D460" s="1" t="s">
        <v>1005</v>
      </c>
      <c r="E460" s="1" t="s">
        <v>120</v>
      </c>
      <c r="F460" s="1" t="s">
        <v>11</v>
      </c>
      <c r="G460" s="1" t="s">
        <v>18</v>
      </c>
      <c r="H460" s="1" t="s">
        <v>1186</v>
      </c>
      <c r="I460" s="1">
        <v>117.96</v>
      </c>
      <c r="J460" s="1">
        <v>2</v>
      </c>
      <c r="K460" s="1">
        <v>5.9</v>
      </c>
    </row>
    <row r="461" spans="1:11" ht="12.75" x14ac:dyDescent="0.2">
      <c r="A461" s="2">
        <v>42509</v>
      </c>
      <c r="B461" s="2" t="str">
        <f>TEXT(Table1[[#This Row],[Order Date]],"MMM")</f>
        <v>May</v>
      </c>
      <c r="C461" s="2" t="str">
        <f t="shared" si="7"/>
        <v>2016</v>
      </c>
      <c r="D461" s="1" t="s">
        <v>124</v>
      </c>
      <c r="E461" s="1" t="s">
        <v>32</v>
      </c>
      <c r="F461" s="1" t="s">
        <v>33</v>
      </c>
      <c r="G461" s="1" t="s">
        <v>34</v>
      </c>
      <c r="H461" s="1" t="s">
        <v>423</v>
      </c>
      <c r="I461" s="1">
        <v>866.4</v>
      </c>
      <c r="J461" s="1">
        <v>4</v>
      </c>
      <c r="K461" s="1">
        <v>225.26</v>
      </c>
    </row>
    <row r="462" spans="1:11" ht="12.75" x14ac:dyDescent="0.2">
      <c r="A462" s="2">
        <v>42174</v>
      </c>
      <c r="B462" s="2" t="str">
        <f>TEXT(Table1[[#This Row],[Order Date]],"MMM")</f>
        <v>Jun</v>
      </c>
      <c r="C462" s="2" t="str">
        <f t="shared" si="7"/>
        <v>2015</v>
      </c>
      <c r="D462" s="1" t="s">
        <v>840</v>
      </c>
      <c r="E462" s="1" t="s">
        <v>83</v>
      </c>
      <c r="F462" s="1" t="s">
        <v>33</v>
      </c>
      <c r="G462" s="1" t="s">
        <v>44</v>
      </c>
      <c r="H462" s="1" t="s">
        <v>668</v>
      </c>
      <c r="I462" s="1">
        <v>14.37</v>
      </c>
      <c r="J462" s="1">
        <v>2</v>
      </c>
      <c r="K462" s="1">
        <v>3.95</v>
      </c>
    </row>
    <row r="463" spans="1:11" ht="12.75" x14ac:dyDescent="0.2">
      <c r="A463" s="2">
        <v>42905</v>
      </c>
      <c r="B463" s="2" t="str">
        <f>TEXT(Table1[[#This Row],[Order Date]],"MMM")</f>
        <v>Jun</v>
      </c>
      <c r="C463" s="2" t="str">
        <f t="shared" si="7"/>
        <v>2017</v>
      </c>
      <c r="D463" s="1" t="s">
        <v>282</v>
      </c>
      <c r="E463" s="1" t="s">
        <v>98</v>
      </c>
      <c r="F463" s="1" t="s">
        <v>33</v>
      </c>
      <c r="G463" s="1" t="s">
        <v>44</v>
      </c>
      <c r="H463" s="1" t="s">
        <v>419</v>
      </c>
      <c r="I463" s="1">
        <v>132.22</v>
      </c>
      <c r="J463" s="1">
        <v>4</v>
      </c>
      <c r="K463" s="1">
        <v>-18.18</v>
      </c>
    </row>
    <row r="464" spans="1:11" ht="12.75" x14ac:dyDescent="0.2">
      <c r="A464" s="2">
        <v>41839</v>
      </c>
      <c r="B464" s="2" t="str">
        <f>TEXT(Table1[[#This Row],[Order Date]],"MMM")</f>
        <v>Jul</v>
      </c>
      <c r="C464" s="2" t="str">
        <f t="shared" si="7"/>
        <v>2014</v>
      </c>
      <c r="D464" s="1" t="s">
        <v>256</v>
      </c>
      <c r="E464" s="1" t="s">
        <v>51</v>
      </c>
      <c r="F464" s="1" t="s">
        <v>38</v>
      </c>
      <c r="G464" s="1" t="s">
        <v>48</v>
      </c>
      <c r="H464" s="1" t="s">
        <v>1246</v>
      </c>
      <c r="I464" s="1">
        <v>100</v>
      </c>
      <c r="J464" s="1">
        <v>4</v>
      </c>
      <c r="K464" s="1">
        <v>21</v>
      </c>
    </row>
    <row r="465" spans="1:11" ht="12.75" x14ac:dyDescent="0.2">
      <c r="A465" s="2">
        <v>42204</v>
      </c>
      <c r="B465" s="2" t="str">
        <f>TEXT(Table1[[#This Row],[Order Date]],"MMM")</f>
        <v>Jul</v>
      </c>
      <c r="C465" s="2" t="str">
        <f t="shared" si="7"/>
        <v>2015</v>
      </c>
      <c r="D465" s="1" t="s">
        <v>1142</v>
      </c>
      <c r="E465" s="1" t="s">
        <v>187</v>
      </c>
      <c r="F465" s="1" t="s">
        <v>38</v>
      </c>
      <c r="G465" s="1" t="s">
        <v>39</v>
      </c>
      <c r="H465" s="1" t="s">
        <v>1172</v>
      </c>
      <c r="I465" s="1">
        <v>1127.98</v>
      </c>
      <c r="J465" s="1">
        <v>3</v>
      </c>
      <c r="K465" s="1">
        <v>126.9</v>
      </c>
    </row>
    <row r="466" spans="1:11" ht="12.75" x14ac:dyDescent="0.2">
      <c r="A466" s="2">
        <v>42570</v>
      </c>
      <c r="B466" s="2" t="str">
        <f>TEXT(Table1[[#This Row],[Order Date]],"MMM")</f>
        <v>Jul</v>
      </c>
      <c r="C466" s="2" t="str">
        <f t="shared" si="7"/>
        <v>2016</v>
      </c>
      <c r="D466" s="1" t="s">
        <v>330</v>
      </c>
      <c r="E466" s="1" t="s">
        <v>30</v>
      </c>
      <c r="F466" s="1" t="s">
        <v>11</v>
      </c>
      <c r="G466" s="1" t="s">
        <v>18</v>
      </c>
      <c r="H466" s="1" t="s">
        <v>884</v>
      </c>
      <c r="I466" s="1">
        <v>1350.12</v>
      </c>
      <c r="J466" s="1">
        <v>6</v>
      </c>
      <c r="K466" s="1">
        <v>175.52</v>
      </c>
    </row>
    <row r="467" spans="1:11" ht="12.75" x14ac:dyDescent="0.2">
      <c r="A467" s="2">
        <v>41870</v>
      </c>
      <c r="B467" s="2" t="str">
        <f>TEXT(Table1[[#This Row],[Order Date]],"MMM")</f>
        <v>Aug</v>
      </c>
      <c r="C467" s="2" t="str">
        <f t="shared" si="7"/>
        <v>2014</v>
      </c>
      <c r="D467" s="1" t="s">
        <v>411</v>
      </c>
      <c r="E467" s="1" t="s">
        <v>120</v>
      </c>
      <c r="F467" s="1" t="s">
        <v>11</v>
      </c>
      <c r="G467" s="1" t="s">
        <v>20</v>
      </c>
      <c r="H467" s="1" t="s">
        <v>425</v>
      </c>
      <c r="I467" s="1">
        <v>398.35</v>
      </c>
      <c r="J467" s="1">
        <v>3</v>
      </c>
      <c r="K467" s="1">
        <v>124.49</v>
      </c>
    </row>
    <row r="468" spans="1:11" ht="12.75" x14ac:dyDescent="0.2">
      <c r="A468" s="2">
        <v>41901</v>
      </c>
      <c r="B468" s="2" t="str">
        <f>TEXT(Table1[[#This Row],[Order Date]],"MMM")</f>
        <v>Sep</v>
      </c>
      <c r="C468" s="2" t="str">
        <f t="shared" si="7"/>
        <v>2014</v>
      </c>
      <c r="D468" s="1" t="s">
        <v>754</v>
      </c>
      <c r="E468" s="1" t="s">
        <v>15</v>
      </c>
      <c r="F468" s="1" t="s">
        <v>11</v>
      </c>
      <c r="G468" s="1" t="s">
        <v>80</v>
      </c>
      <c r="H468" s="1" t="s">
        <v>1263</v>
      </c>
      <c r="I468" s="1">
        <v>92.06</v>
      </c>
      <c r="J468" s="1">
        <v>6</v>
      </c>
      <c r="K468" s="1">
        <v>-225.56</v>
      </c>
    </row>
    <row r="469" spans="1:11" ht="12.75" x14ac:dyDescent="0.2">
      <c r="A469" s="2">
        <v>42632</v>
      </c>
      <c r="B469" s="2" t="str">
        <f>TEXT(Table1[[#This Row],[Order Date]],"MMM")</f>
        <v>Sep</v>
      </c>
      <c r="C469" s="2" t="str">
        <f t="shared" si="7"/>
        <v>2016</v>
      </c>
      <c r="D469" s="1" t="s">
        <v>961</v>
      </c>
      <c r="E469" s="1" t="s">
        <v>98</v>
      </c>
      <c r="F469" s="1" t="s">
        <v>11</v>
      </c>
      <c r="G469" s="1" t="s">
        <v>12</v>
      </c>
      <c r="H469" s="1" t="s">
        <v>1036</v>
      </c>
      <c r="I469" s="1">
        <v>16.5</v>
      </c>
      <c r="J469" s="1">
        <v>2</v>
      </c>
      <c r="K469" s="1">
        <v>5.57</v>
      </c>
    </row>
    <row r="470" spans="1:11" ht="12.75" x14ac:dyDescent="0.2">
      <c r="A470" s="2">
        <v>41931</v>
      </c>
      <c r="B470" s="2" t="str">
        <f>TEXT(Table1[[#This Row],[Order Date]],"MMM")</f>
        <v>Oct</v>
      </c>
      <c r="C470" s="2" t="str">
        <f t="shared" si="7"/>
        <v>2014</v>
      </c>
      <c r="D470" s="1" t="s">
        <v>959</v>
      </c>
      <c r="E470" s="1" t="s">
        <v>27</v>
      </c>
      <c r="F470" s="1" t="s">
        <v>38</v>
      </c>
      <c r="G470" s="1" t="s">
        <v>48</v>
      </c>
      <c r="H470" s="1" t="s">
        <v>445</v>
      </c>
      <c r="I470" s="1">
        <v>12.99</v>
      </c>
      <c r="J470" s="1">
        <v>1</v>
      </c>
      <c r="K470" s="1">
        <v>0.78</v>
      </c>
    </row>
    <row r="471" spans="1:11" ht="12.75" x14ac:dyDescent="0.2">
      <c r="A471" s="2">
        <v>42296</v>
      </c>
      <c r="B471" s="2" t="str">
        <f>TEXT(Table1[[#This Row],[Order Date]],"MMM")</f>
        <v>Oct</v>
      </c>
      <c r="C471" s="2" t="str">
        <f t="shared" si="7"/>
        <v>2015</v>
      </c>
      <c r="D471" s="1" t="s">
        <v>582</v>
      </c>
      <c r="E471" s="1" t="s">
        <v>127</v>
      </c>
      <c r="F471" s="1" t="s">
        <v>11</v>
      </c>
      <c r="G471" s="1" t="s">
        <v>80</v>
      </c>
      <c r="H471" s="1" t="s">
        <v>1035</v>
      </c>
      <c r="I471" s="1">
        <v>490.32</v>
      </c>
      <c r="J471" s="1">
        <v>9</v>
      </c>
      <c r="K471" s="1">
        <v>137.29</v>
      </c>
    </row>
    <row r="472" spans="1:11" ht="12.75" x14ac:dyDescent="0.2">
      <c r="A472" s="2">
        <v>41962</v>
      </c>
      <c r="B472" s="2" t="str">
        <f>TEXT(Table1[[#This Row],[Order Date]],"MMM")</f>
        <v>Nov</v>
      </c>
      <c r="C472" s="2" t="str">
        <f t="shared" si="7"/>
        <v>2014</v>
      </c>
      <c r="D472" s="1" t="s">
        <v>579</v>
      </c>
      <c r="E472" s="1" t="s">
        <v>23</v>
      </c>
      <c r="F472" s="1" t="s">
        <v>11</v>
      </c>
      <c r="G472" s="1" t="s">
        <v>58</v>
      </c>
      <c r="H472" s="1" t="s">
        <v>1068</v>
      </c>
      <c r="I472" s="1">
        <v>57.58</v>
      </c>
      <c r="J472" s="1">
        <v>3</v>
      </c>
      <c r="K472" s="1">
        <v>21.59</v>
      </c>
    </row>
    <row r="473" spans="1:11" ht="12.75" x14ac:dyDescent="0.2">
      <c r="A473" s="2">
        <v>43058</v>
      </c>
      <c r="B473" s="2" t="str">
        <f>TEXT(Table1[[#This Row],[Order Date]],"MMM")</f>
        <v>Nov</v>
      </c>
      <c r="C473" s="2" t="str">
        <f t="shared" si="7"/>
        <v>2017</v>
      </c>
      <c r="D473" s="1" t="s">
        <v>543</v>
      </c>
      <c r="E473" s="1" t="s">
        <v>120</v>
      </c>
      <c r="F473" s="1" t="s">
        <v>11</v>
      </c>
      <c r="G473" s="1" t="s">
        <v>80</v>
      </c>
      <c r="H473" s="1" t="s">
        <v>941</v>
      </c>
      <c r="I473" s="1">
        <v>170.88</v>
      </c>
      <c r="J473" s="1">
        <v>3</v>
      </c>
      <c r="K473" s="1">
        <v>49.56</v>
      </c>
    </row>
    <row r="474" spans="1:11" ht="12.75" x14ac:dyDescent="0.2">
      <c r="A474" s="2">
        <v>41992</v>
      </c>
      <c r="B474" s="2" t="str">
        <f>TEXT(Table1[[#This Row],[Order Date]],"MMM")</f>
        <v>Dec</v>
      </c>
      <c r="C474" s="2" t="str">
        <f t="shared" si="7"/>
        <v>2014</v>
      </c>
      <c r="D474" s="1" t="s">
        <v>498</v>
      </c>
      <c r="E474" s="1" t="s">
        <v>54</v>
      </c>
      <c r="F474" s="1" t="s">
        <v>11</v>
      </c>
      <c r="G474" s="1" t="s">
        <v>20</v>
      </c>
      <c r="H474" s="1" t="s">
        <v>449</v>
      </c>
      <c r="I474" s="1">
        <v>447.86</v>
      </c>
      <c r="J474" s="1">
        <v>7</v>
      </c>
      <c r="K474" s="1">
        <v>219.45</v>
      </c>
    </row>
    <row r="475" spans="1:11" ht="12.75" x14ac:dyDescent="0.2">
      <c r="A475" s="2">
        <v>42723</v>
      </c>
      <c r="B475" s="2" t="str">
        <f>TEXT(Table1[[#This Row],[Order Date]],"MMM")</f>
        <v>Dec</v>
      </c>
      <c r="C475" s="2" t="str">
        <f t="shared" si="7"/>
        <v>2016</v>
      </c>
      <c r="D475" s="1" t="s">
        <v>1027</v>
      </c>
      <c r="E475" s="1" t="s">
        <v>27</v>
      </c>
      <c r="F475" s="1" t="s">
        <v>11</v>
      </c>
      <c r="G475" s="1" t="s">
        <v>24</v>
      </c>
      <c r="H475" s="1" t="s">
        <v>1266</v>
      </c>
      <c r="I475" s="1">
        <v>16.989999999999998</v>
      </c>
      <c r="J475" s="1">
        <v>1</v>
      </c>
      <c r="K475" s="1">
        <v>4.93</v>
      </c>
    </row>
    <row r="476" spans="1:11" ht="12.75" x14ac:dyDescent="0.2">
      <c r="A476" s="2">
        <v>43088</v>
      </c>
      <c r="B476" s="2" t="str">
        <f>TEXT(Table1[[#This Row],[Order Date]],"MMM")</f>
        <v>Dec</v>
      </c>
      <c r="C476" s="2" t="str">
        <f t="shared" si="7"/>
        <v>2017</v>
      </c>
      <c r="D476" s="1" t="s">
        <v>1101</v>
      </c>
      <c r="E476" s="1" t="s">
        <v>23</v>
      </c>
      <c r="F476" s="1" t="s">
        <v>38</v>
      </c>
      <c r="G476" s="1" t="s">
        <v>39</v>
      </c>
      <c r="H476" s="1" t="s">
        <v>551</v>
      </c>
      <c r="I476" s="1">
        <v>431.94</v>
      </c>
      <c r="J476" s="1">
        <v>2</v>
      </c>
      <c r="K476" s="1">
        <v>-71.989999999999995</v>
      </c>
    </row>
    <row r="477" spans="1:11" ht="12.75" x14ac:dyDescent="0.2">
      <c r="A477" s="2">
        <v>41659</v>
      </c>
      <c r="B477" s="2" t="str">
        <f>TEXT(Table1[[#This Row],[Order Date]],"MMM")</f>
        <v>Jan</v>
      </c>
      <c r="C477" s="2" t="str">
        <f t="shared" si="7"/>
        <v>2014</v>
      </c>
      <c r="D477" s="1" t="s">
        <v>567</v>
      </c>
      <c r="E477" s="1" t="s">
        <v>10</v>
      </c>
      <c r="F477" s="1" t="s">
        <v>38</v>
      </c>
      <c r="G477" s="1" t="s">
        <v>39</v>
      </c>
      <c r="H477" s="1" t="s">
        <v>1267</v>
      </c>
      <c r="I477" s="1">
        <v>21.07</v>
      </c>
      <c r="J477" s="1">
        <v>3</v>
      </c>
      <c r="K477" s="1">
        <v>1.58</v>
      </c>
    </row>
    <row r="478" spans="1:11" ht="12.75" x14ac:dyDescent="0.2">
      <c r="A478" s="2">
        <v>41690</v>
      </c>
      <c r="B478" s="2" t="str">
        <f>TEXT(Table1[[#This Row],[Order Date]],"MMM")</f>
        <v>Feb</v>
      </c>
      <c r="C478" s="2" t="str">
        <f t="shared" si="7"/>
        <v>2014</v>
      </c>
      <c r="D478" s="1" t="s">
        <v>832</v>
      </c>
      <c r="E478" s="1" t="s">
        <v>101</v>
      </c>
      <c r="F478" s="1" t="s">
        <v>38</v>
      </c>
      <c r="G478" s="1" t="s">
        <v>39</v>
      </c>
      <c r="H478" s="1" t="s">
        <v>670</v>
      </c>
      <c r="I478" s="1">
        <v>1363.96</v>
      </c>
      <c r="J478" s="1">
        <v>5</v>
      </c>
      <c r="K478" s="1">
        <v>85.25</v>
      </c>
    </row>
    <row r="479" spans="1:11" ht="12.75" x14ac:dyDescent="0.2">
      <c r="A479" s="2">
        <v>42055</v>
      </c>
      <c r="B479" s="2" t="str">
        <f>TEXT(Table1[[#This Row],[Order Date]],"MMM")</f>
        <v>Feb</v>
      </c>
      <c r="C479" s="2" t="str">
        <f t="shared" si="7"/>
        <v>2015</v>
      </c>
      <c r="D479" s="1" t="s">
        <v>1268</v>
      </c>
      <c r="E479" s="1" t="s">
        <v>120</v>
      </c>
      <c r="F479" s="1" t="s">
        <v>33</v>
      </c>
      <c r="G479" s="1" t="s">
        <v>65</v>
      </c>
      <c r="H479" s="1" t="s">
        <v>487</v>
      </c>
      <c r="I479" s="1">
        <v>176.78</v>
      </c>
      <c r="J479" s="1">
        <v>1</v>
      </c>
      <c r="K479" s="1">
        <v>-22.1</v>
      </c>
    </row>
    <row r="480" spans="1:11" ht="12.75" x14ac:dyDescent="0.2">
      <c r="A480" s="2">
        <v>42420</v>
      </c>
      <c r="B480" s="2" t="str">
        <f>TEXT(Table1[[#This Row],[Order Date]],"MMM")</f>
        <v>Feb</v>
      </c>
      <c r="C480" s="2" t="str">
        <f t="shared" si="7"/>
        <v>2016</v>
      </c>
      <c r="D480" s="1" t="s">
        <v>1011</v>
      </c>
      <c r="E480" s="1" t="s">
        <v>83</v>
      </c>
      <c r="F480" s="1" t="s">
        <v>11</v>
      </c>
      <c r="G480" s="1" t="s">
        <v>80</v>
      </c>
      <c r="H480" s="1" t="s">
        <v>1270</v>
      </c>
      <c r="I480" s="1">
        <v>157.91999999999999</v>
      </c>
      <c r="J480" s="1">
        <v>5</v>
      </c>
      <c r="K480" s="1">
        <v>17.77</v>
      </c>
    </row>
    <row r="481" spans="1:11" ht="12.75" x14ac:dyDescent="0.2">
      <c r="A481" s="2">
        <v>42083</v>
      </c>
      <c r="B481" s="2" t="str">
        <f>TEXT(Table1[[#This Row],[Order Date]],"MMM")</f>
        <v>Mar</v>
      </c>
      <c r="C481" s="2" t="str">
        <f t="shared" si="7"/>
        <v>2015</v>
      </c>
      <c r="D481" s="1" t="s">
        <v>1271</v>
      </c>
      <c r="E481" s="1" t="s">
        <v>68</v>
      </c>
      <c r="F481" s="1" t="s">
        <v>33</v>
      </c>
      <c r="G481" s="1" t="s">
        <v>44</v>
      </c>
      <c r="H481" s="1" t="s">
        <v>297</v>
      </c>
      <c r="I481" s="1">
        <v>21.88</v>
      </c>
      <c r="J481" s="1">
        <v>5</v>
      </c>
      <c r="K481" s="1">
        <v>6.29</v>
      </c>
    </row>
    <row r="482" spans="1:11" ht="12.75" x14ac:dyDescent="0.2">
      <c r="A482" s="2">
        <v>42449</v>
      </c>
      <c r="B482" s="2" t="str">
        <f>TEXT(Table1[[#This Row],[Order Date]],"MMM")</f>
        <v>Mar</v>
      </c>
      <c r="C482" s="2" t="str">
        <f t="shared" si="7"/>
        <v>2016</v>
      </c>
      <c r="D482" s="1" t="s">
        <v>869</v>
      </c>
      <c r="E482" s="1" t="s">
        <v>23</v>
      </c>
      <c r="F482" s="1" t="s">
        <v>38</v>
      </c>
      <c r="G482" s="1" t="s">
        <v>48</v>
      </c>
      <c r="H482" s="1" t="s">
        <v>1272</v>
      </c>
      <c r="I482" s="1">
        <v>83.98</v>
      </c>
      <c r="J482" s="1">
        <v>3</v>
      </c>
      <c r="K482" s="1">
        <v>-13.65</v>
      </c>
    </row>
    <row r="483" spans="1:11" ht="12.75" x14ac:dyDescent="0.2">
      <c r="A483" s="2">
        <v>42814</v>
      </c>
      <c r="B483" s="2" t="str">
        <f>TEXT(Table1[[#This Row],[Order Date]],"MMM")</f>
        <v>Mar</v>
      </c>
      <c r="C483" s="2" t="str">
        <f t="shared" si="7"/>
        <v>2017</v>
      </c>
      <c r="D483" s="1" t="s">
        <v>1111</v>
      </c>
      <c r="E483" s="1" t="s">
        <v>98</v>
      </c>
      <c r="F483" s="1" t="s">
        <v>33</v>
      </c>
      <c r="G483" s="1" t="s">
        <v>118</v>
      </c>
      <c r="H483" s="1" t="s">
        <v>715</v>
      </c>
      <c r="I483" s="1">
        <v>189.88</v>
      </c>
      <c r="J483" s="1">
        <v>3</v>
      </c>
      <c r="K483" s="1">
        <v>-94.94</v>
      </c>
    </row>
    <row r="484" spans="1:11" ht="12.75" x14ac:dyDescent="0.2">
      <c r="A484" s="2">
        <v>41749</v>
      </c>
      <c r="B484" s="2" t="str">
        <f>TEXT(Table1[[#This Row],[Order Date]],"MMM")</f>
        <v>Apr</v>
      </c>
      <c r="C484" s="2" t="str">
        <f t="shared" si="7"/>
        <v>2014</v>
      </c>
      <c r="D484" s="1" t="s">
        <v>486</v>
      </c>
      <c r="E484" s="1" t="s">
        <v>200</v>
      </c>
      <c r="F484" s="1" t="s">
        <v>33</v>
      </c>
      <c r="G484" s="1" t="s">
        <v>65</v>
      </c>
      <c r="H484" s="1" t="s">
        <v>1273</v>
      </c>
      <c r="I484" s="1">
        <v>72.290000000000006</v>
      </c>
      <c r="J484" s="1">
        <v>1</v>
      </c>
      <c r="K484" s="1">
        <v>-98.8</v>
      </c>
    </row>
    <row r="485" spans="1:11" ht="12.75" x14ac:dyDescent="0.2">
      <c r="A485" s="2">
        <v>41779</v>
      </c>
      <c r="B485" s="2" t="str">
        <f>TEXT(Table1[[#This Row],[Order Date]],"MMM")</f>
        <v>May</v>
      </c>
      <c r="C485" s="2" t="str">
        <f t="shared" si="7"/>
        <v>2014</v>
      </c>
      <c r="D485" s="1" t="s">
        <v>832</v>
      </c>
      <c r="E485" s="1" t="s">
        <v>79</v>
      </c>
      <c r="F485" s="1" t="s">
        <v>38</v>
      </c>
      <c r="G485" s="1" t="s">
        <v>39</v>
      </c>
      <c r="H485" s="1" t="s">
        <v>1051</v>
      </c>
      <c r="I485" s="1">
        <v>84.78</v>
      </c>
      <c r="J485" s="1">
        <v>2</v>
      </c>
      <c r="K485" s="1">
        <v>-20.14</v>
      </c>
    </row>
    <row r="486" spans="1:11" ht="12.75" x14ac:dyDescent="0.2">
      <c r="A486" s="2">
        <v>42144</v>
      </c>
      <c r="B486" s="2" t="str">
        <f>TEXT(Table1[[#This Row],[Order Date]],"MMM")</f>
        <v>May</v>
      </c>
      <c r="C486" s="2" t="str">
        <f t="shared" si="7"/>
        <v>2015</v>
      </c>
      <c r="D486" s="1" t="s">
        <v>739</v>
      </c>
      <c r="E486" s="1" t="s">
        <v>15</v>
      </c>
      <c r="F486" s="1" t="s">
        <v>11</v>
      </c>
      <c r="G486" s="1" t="s">
        <v>20</v>
      </c>
      <c r="H486" s="1" t="s">
        <v>1274</v>
      </c>
      <c r="I486" s="1">
        <v>3.17</v>
      </c>
      <c r="J486" s="1">
        <v>2</v>
      </c>
      <c r="K486" s="1">
        <v>-4.75</v>
      </c>
    </row>
    <row r="487" spans="1:11" ht="12.75" x14ac:dyDescent="0.2">
      <c r="A487" s="2">
        <v>42510</v>
      </c>
      <c r="B487" s="2" t="str">
        <f>TEXT(Table1[[#This Row],[Order Date]],"MMM")</f>
        <v>May</v>
      </c>
      <c r="C487" s="2" t="str">
        <f t="shared" si="7"/>
        <v>2016</v>
      </c>
      <c r="D487" s="1" t="s">
        <v>701</v>
      </c>
      <c r="E487" s="1" t="s">
        <v>104</v>
      </c>
      <c r="F487" s="1" t="s">
        <v>38</v>
      </c>
      <c r="G487" s="1" t="s">
        <v>48</v>
      </c>
      <c r="H487" s="1" t="s">
        <v>420</v>
      </c>
      <c r="I487" s="1">
        <v>58.58</v>
      </c>
      <c r="J487" s="1">
        <v>2</v>
      </c>
      <c r="K487" s="1">
        <v>19.329999999999998</v>
      </c>
    </row>
    <row r="488" spans="1:11" ht="12.75" x14ac:dyDescent="0.2">
      <c r="A488" s="2">
        <v>42875</v>
      </c>
      <c r="B488" s="2" t="str">
        <f>TEXT(Table1[[#This Row],[Order Date]],"MMM")</f>
        <v>May</v>
      </c>
      <c r="C488" s="2" t="str">
        <f t="shared" si="7"/>
        <v>2017</v>
      </c>
      <c r="D488" s="1" t="s">
        <v>1200</v>
      </c>
      <c r="E488" s="1" t="s">
        <v>79</v>
      </c>
      <c r="F488" s="1" t="s">
        <v>38</v>
      </c>
      <c r="G488" s="1" t="s">
        <v>39</v>
      </c>
      <c r="H488" s="1" t="s">
        <v>676</v>
      </c>
      <c r="I488" s="1">
        <v>403.17</v>
      </c>
      <c r="J488" s="1">
        <v>4</v>
      </c>
      <c r="K488" s="1">
        <v>25.2</v>
      </c>
    </row>
    <row r="489" spans="1:11" ht="12.75" x14ac:dyDescent="0.2">
      <c r="A489" s="2">
        <v>41810</v>
      </c>
      <c r="B489" s="2" t="str">
        <f>TEXT(Table1[[#This Row],[Order Date]],"MMM")</f>
        <v>Jun</v>
      </c>
      <c r="C489" s="2" t="str">
        <f t="shared" si="7"/>
        <v>2014</v>
      </c>
      <c r="D489" s="1" t="s">
        <v>523</v>
      </c>
      <c r="E489" s="1" t="s">
        <v>518</v>
      </c>
      <c r="F489" s="1" t="s">
        <v>38</v>
      </c>
      <c r="G489" s="1" t="s">
        <v>48</v>
      </c>
      <c r="H489" s="1" t="s">
        <v>913</v>
      </c>
      <c r="I489" s="1">
        <v>1287.45</v>
      </c>
      <c r="J489" s="1">
        <v>5</v>
      </c>
      <c r="K489" s="1">
        <v>244.62</v>
      </c>
    </row>
    <row r="490" spans="1:11" ht="12.75" x14ac:dyDescent="0.2">
      <c r="A490" s="2">
        <v>42175</v>
      </c>
      <c r="B490" s="2" t="str">
        <f>TEXT(Table1[[#This Row],[Order Date]],"MMM")</f>
        <v>Jun</v>
      </c>
      <c r="C490" s="2" t="str">
        <f t="shared" si="7"/>
        <v>2015</v>
      </c>
      <c r="D490" s="1" t="s">
        <v>378</v>
      </c>
      <c r="E490" s="1" t="s">
        <v>30</v>
      </c>
      <c r="F490" s="1" t="s">
        <v>33</v>
      </c>
      <c r="G490" s="1" t="s">
        <v>44</v>
      </c>
      <c r="H490" s="1" t="s">
        <v>1264</v>
      </c>
      <c r="I490" s="1">
        <v>20.239999999999998</v>
      </c>
      <c r="J490" s="1">
        <v>1</v>
      </c>
      <c r="K490" s="1">
        <v>8.6999999999999993</v>
      </c>
    </row>
    <row r="491" spans="1:11" ht="12.75" x14ac:dyDescent="0.2">
      <c r="A491" s="2">
        <v>42541</v>
      </c>
      <c r="B491" s="2" t="str">
        <f>TEXT(Table1[[#This Row],[Order Date]],"MMM")</f>
        <v>Jun</v>
      </c>
      <c r="C491" s="2" t="str">
        <f t="shared" si="7"/>
        <v>2016</v>
      </c>
      <c r="D491" s="1" t="s">
        <v>640</v>
      </c>
      <c r="E491" s="1" t="s">
        <v>51</v>
      </c>
      <c r="F491" s="1" t="s">
        <v>11</v>
      </c>
      <c r="G491" s="1" t="s">
        <v>18</v>
      </c>
      <c r="H491" s="1" t="s">
        <v>1222</v>
      </c>
      <c r="I491" s="1">
        <v>31.4</v>
      </c>
      <c r="J491" s="1">
        <v>2</v>
      </c>
      <c r="K491" s="1">
        <v>7.85</v>
      </c>
    </row>
    <row r="492" spans="1:11" ht="12.75" x14ac:dyDescent="0.2">
      <c r="A492" s="2">
        <v>41840</v>
      </c>
      <c r="B492" s="2" t="str">
        <f>TEXT(Table1[[#This Row],[Order Date]],"MMM")</f>
        <v>Jul</v>
      </c>
      <c r="C492" s="2" t="str">
        <f t="shared" si="7"/>
        <v>2014</v>
      </c>
      <c r="D492" s="1" t="s">
        <v>31</v>
      </c>
      <c r="E492" s="1" t="s">
        <v>15</v>
      </c>
      <c r="F492" s="1" t="s">
        <v>11</v>
      </c>
      <c r="G492" s="1" t="s">
        <v>12</v>
      </c>
      <c r="H492" s="1" t="s">
        <v>1017</v>
      </c>
      <c r="I492" s="1">
        <v>45.53</v>
      </c>
      <c r="J492" s="1">
        <v>3</v>
      </c>
      <c r="K492" s="1">
        <v>15.93</v>
      </c>
    </row>
    <row r="493" spans="1:11" ht="12.75" x14ac:dyDescent="0.2">
      <c r="A493" s="2">
        <v>42205</v>
      </c>
      <c r="B493" s="2" t="str">
        <f>TEXT(Table1[[#This Row],[Order Date]],"MMM")</f>
        <v>Jul</v>
      </c>
      <c r="C493" s="2" t="str">
        <f t="shared" si="7"/>
        <v>2015</v>
      </c>
      <c r="D493" s="1" t="s">
        <v>493</v>
      </c>
      <c r="E493" s="1" t="s">
        <v>23</v>
      </c>
      <c r="F493" s="1" t="s">
        <v>38</v>
      </c>
      <c r="G493" s="1" t="s">
        <v>39</v>
      </c>
      <c r="H493" s="1" t="s">
        <v>1236</v>
      </c>
      <c r="I493" s="1">
        <v>280.77999999999997</v>
      </c>
      <c r="J493" s="1">
        <v>3</v>
      </c>
      <c r="K493" s="1">
        <v>-60.84</v>
      </c>
    </row>
    <row r="494" spans="1:11" ht="12.75" x14ac:dyDescent="0.2">
      <c r="A494" s="2">
        <v>42571</v>
      </c>
      <c r="B494" s="2" t="str">
        <f>TEXT(Table1[[#This Row],[Order Date]],"MMM")</f>
        <v>Jul</v>
      </c>
      <c r="C494" s="2" t="str">
        <f t="shared" si="7"/>
        <v>2016</v>
      </c>
      <c r="D494" s="1" t="s">
        <v>983</v>
      </c>
      <c r="E494" s="1" t="s">
        <v>127</v>
      </c>
      <c r="F494" s="1" t="s">
        <v>33</v>
      </c>
      <c r="G494" s="1" t="s">
        <v>34</v>
      </c>
      <c r="H494" s="1" t="s">
        <v>946</v>
      </c>
      <c r="I494" s="1">
        <v>1454.9</v>
      </c>
      <c r="J494" s="1">
        <v>5</v>
      </c>
      <c r="K494" s="1">
        <v>378.27</v>
      </c>
    </row>
    <row r="495" spans="1:11" ht="12.75" x14ac:dyDescent="0.2">
      <c r="A495" s="2">
        <v>41871</v>
      </c>
      <c r="B495" s="2" t="str">
        <f>TEXT(Table1[[#This Row],[Order Date]],"MMM")</f>
        <v>Aug</v>
      </c>
      <c r="C495" s="2" t="str">
        <f t="shared" si="7"/>
        <v>2014</v>
      </c>
      <c r="D495" s="1" t="s">
        <v>493</v>
      </c>
      <c r="E495" s="1" t="s">
        <v>23</v>
      </c>
      <c r="F495" s="1" t="s">
        <v>11</v>
      </c>
      <c r="G495" s="1" t="s">
        <v>20</v>
      </c>
      <c r="H495" s="1" t="s">
        <v>1092</v>
      </c>
      <c r="I495" s="1">
        <v>99.85</v>
      </c>
      <c r="J495" s="1">
        <v>9</v>
      </c>
      <c r="K495" s="1">
        <v>-83.21</v>
      </c>
    </row>
    <row r="496" spans="1:11" ht="12.75" x14ac:dyDescent="0.2">
      <c r="A496" s="2">
        <v>42602</v>
      </c>
      <c r="B496" s="2" t="str">
        <f>TEXT(Table1[[#This Row],[Order Date]],"MMM")</f>
        <v>Aug</v>
      </c>
      <c r="C496" s="2" t="str">
        <f t="shared" si="7"/>
        <v>2016</v>
      </c>
      <c r="D496" s="1" t="s">
        <v>31</v>
      </c>
      <c r="E496" s="1" t="s">
        <v>51</v>
      </c>
      <c r="F496" s="1" t="s">
        <v>38</v>
      </c>
      <c r="G496" s="1" t="s">
        <v>39</v>
      </c>
      <c r="H496" s="1" t="s">
        <v>1262</v>
      </c>
      <c r="I496" s="1">
        <v>149.97</v>
      </c>
      <c r="J496" s="1">
        <v>3</v>
      </c>
      <c r="K496" s="1">
        <v>6</v>
      </c>
    </row>
    <row r="497" spans="1:11" ht="12.75" x14ac:dyDescent="0.2">
      <c r="A497" s="2">
        <v>41902</v>
      </c>
      <c r="B497" s="2" t="str">
        <f>TEXT(Table1[[#This Row],[Order Date]],"MMM")</f>
        <v>Sep</v>
      </c>
      <c r="C497" s="2" t="str">
        <f t="shared" si="7"/>
        <v>2014</v>
      </c>
      <c r="D497" s="1" t="s">
        <v>336</v>
      </c>
      <c r="E497" s="1" t="s">
        <v>10</v>
      </c>
      <c r="F497" s="1" t="s">
        <v>11</v>
      </c>
      <c r="G497" s="1" t="s">
        <v>18</v>
      </c>
      <c r="H497" s="1" t="s">
        <v>401</v>
      </c>
      <c r="I497" s="1">
        <v>158.37</v>
      </c>
      <c r="J497" s="1">
        <v>7</v>
      </c>
      <c r="K497" s="1">
        <v>13.86</v>
      </c>
    </row>
    <row r="498" spans="1:11" ht="12.75" x14ac:dyDescent="0.2">
      <c r="A498" s="2">
        <v>42267</v>
      </c>
      <c r="B498" s="2" t="str">
        <f>TEXT(Table1[[#This Row],[Order Date]],"MMM")</f>
        <v>Sep</v>
      </c>
      <c r="C498" s="2" t="str">
        <f t="shared" si="7"/>
        <v>2015</v>
      </c>
      <c r="D498" s="1" t="s">
        <v>323</v>
      </c>
      <c r="E498" s="1" t="s">
        <v>1224</v>
      </c>
      <c r="F498" s="1" t="s">
        <v>38</v>
      </c>
      <c r="G498" s="1" t="s">
        <v>39</v>
      </c>
      <c r="H498" s="1" t="s">
        <v>1042</v>
      </c>
      <c r="I498" s="1">
        <v>1294.75</v>
      </c>
      <c r="J498" s="1">
        <v>5</v>
      </c>
      <c r="K498" s="1">
        <v>336.64</v>
      </c>
    </row>
    <row r="499" spans="1:11" ht="12.75" x14ac:dyDescent="0.2">
      <c r="A499" s="2">
        <v>42633</v>
      </c>
      <c r="B499" s="2" t="str">
        <f>TEXT(Table1[[#This Row],[Order Date]],"MMM")</f>
        <v>Sep</v>
      </c>
      <c r="C499" s="2" t="str">
        <f t="shared" si="7"/>
        <v>2016</v>
      </c>
      <c r="D499" s="1" t="s">
        <v>920</v>
      </c>
      <c r="E499" s="1" t="s">
        <v>27</v>
      </c>
      <c r="F499" s="1" t="s">
        <v>38</v>
      </c>
      <c r="G499" s="1" t="s">
        <v>388</v>
      </c>
      <c r="H499" s="1" t="s">
        <v>837</v>
      </c>
      <c r="I499" s="1">
        <v>1199.98</v>
      </c>
      <c r="J499" s="1">
        <v>3</v>
      </c>
      <c r="K499" s="1">
        <v>374.99</v>
      </c>
    </row>
    <row r="500" spans="1:11" ht="12.75" x14ac:dyDescent="0.2">
      <c r="A500" s="2">
        <v>42998</v>
      </c>
      <c r="B500" s="2" t="str">
        <f>TEXT(Table1[[#This Row],[Order Date]],"MMM")</f>
        <v>Sep</v>
      </c>
      <c r="C500" s="2" t="str">
        <f t="shared" si="7"/>
        <v>2017</v>
      </c>
      <c r="D500" s="1" t="s">
        <v>908</v>
      </c>
      <c r="E500" s="1" t="s">
        <v>120</v>
      </c>
      <c r="F500" s="1" t="s">
        <v>33</v>
      </c>
      <c r="G500" s="1" t="s">
        <v>65</v>
      </c>
      <c r="H500" s="1" t="s">
        <v>1233</v>
      </c>
      <c r="I500" s="1">
        <v>388.7</v>
      </c>
      <c r="J500" s="1">
        <v>6</v>
      </c>
      <c r="K500" s="1">
        <v>-4.8600000000000003</v>
      </c>
    </row>
    <row r="501" spans="1:11" ht="12.75" x14ac:dyDescent="0.2">
      <c r="A501" s="2">
        <v>41963</v>
      </c>
      <c r="B501" s="2" t="str">
        <f>TEXT(Table1[[#This Row],[Order Date]],"MMM")</f>
        <v>Nov</v>
      </c>
      <c r="C501" s="2" t="str">
        <f t="shared" si="7"/>
        <v>2014</v>
      </c>
      <c r="D501" s="1" t="s">
        <v>1194</v>
      </c>
      <c r="E501" s="1" t="s">
        <v>68</v>
      </c>
      <c r="F501" s="1" t="s">
        <v>11</v>
      </c>
      <c r="G501" s="1" t="s">
        <v>20</v>
      </c>
      <c r="H501" s="1" t="s">
        <v>722</v>
      </c>
      <c r="I501" s="1">
        <v>8.9</v>
      </c>
      <c r="J501" s="1">
        <v>2</v>
      </c>
      <c r="K501" s="1">
        <v>-6.53</v>
      </c>
    </row>
    <row r="502" spans="1:11" ht="12.75" x14ac:dyDescent="0.2">
      <c r="A502" s="2">
        <v>41660</v>
      </c>
      <c r="B502" s="2" t="str">
        <f>TEXT(Table1[[#This Row],[Order Date]],"MMM")</f>
        <v>Jan</v>
      </c>
      <c r="C502" s="2" t="str">
        <f t="shared" si="7"/>
        <v>2014</v>
      </c>
      <c r="D502" s="1" t="s">
        <v>485</v>
      </c>
      <c r="E502" s="1" t="s">
        <v>187</v>
      </c>
      <c r="F502" s="1" t="s">
        <v>11</v>
      </c>
      <c r="G502" s="1" t="s">
        <v>20</v>
      </c>
      <c r="H502" s="1" t="s">
        <v>1280</v>
      </c>
      <c r="I502" s="1">
        <v>189.59</v>
      </c>
      <c r="J502" s="1">
        <v>2</v>
      </c>
      <c r="K502" s="1">
        <v>-145.35</v>
      </c>
    </row>
    <row r="503" spans="1:11" ht="12.75" x14ac:dyDescent="0.2">
      <c r="A503" s="2">
        <v>42756</v>
      </c>
      <c r="B503" s="2" t="str">
        <f>TEXT(Table1[[#This Row],[Order Date]],"MMM")</f>
        <v>Jan</v>
      </c>
      <c r="C503" s="2" t="str">
        <f t="shared" si="7"/>
        <v>2017</v>
      </c>
      <c r="D503" s="1" t="s">
        <v>343</v>
      </c>
      <c r="E503" s="1" t="s">
        <v>187</v>
      </c>
      <c r="F503" s="1" t="s">
        <v>38</v>
      </c>
      <c r="G503" s="1" t="s">
        <v>39</v>
      </c>
      <c r="H503" s="1" t="s">
        <v>455</v>
      </c>
      <c r="I503" s="1">
        <v>36.79</v>
      </c>
      <c r="J503" s="1">
        <v>1</v>
      </c>
      <c r="K503" s="1">
        <v>4.1399999999999997</v>
      </c>
    </row>
    <row r="504" spans="1:11" ht="12.75" x14ac:dyDescent="0.2">
      <c r="A504" s="2">
        <v>41691</v>
      </c>
      <c r="B504" s="2" t="str">
        <f>TEXT(Table1[[#This Row],[Order Date]],"MMM")</f>
        <v>Feb</v>
      </c>
      <c r="C504" s="2" t="str">
        <f t="shared" si="7"/>
        <v>2014</v>
      </c>
      <c r="D504" s="1" t="s">
        <v>1282</v>
      </c>
      <c r="E504" s="1" t="s">
        <v>15</v>
      </c>
      <c r="F504" s="1" t="s">
        <v>11</v>
      </c>
      <c r="G504" s="1" t="s">
        <v>18</v>
      </c>
      <c r="H504" s="1" t="s">
        <v>925</v>
      </c>
      <c r="I504" s="1">
        <v>230.38</v>
      </c>
      <c r="J504" s="1">
        <v>3</v>
      </c>
      <c r="K504" s="1">
        <v>-48.95</v>
      </c>
    </row>
    <row r="505" spans="1:11" ht="12.75" x14ac:dyDescent="0.2">
      <c r="A505" s="2">
        <v>42421</v>
      </c>
      <c r="B505" s="2" t="str">
        <f>TEXT(Table1[[#This Row],[Order Date]],"MMM")</f>
        <v>Feb</v>
      </c>
      <c r="C505" s="2" t="str">
        <f t="shared" si="7"/>
        <v>2016</v>
      </c>
      <c r="D505" s="1" t="s">
        <v>336</v>
      </c>
      <c r="E505" s="1" t="s">
        <v>68</v>
      </c>
      <c r="F505" s="1" t="s">
        <v>33</v>
      </c>
      <c r="G505" s="1" t="s">
        <v>118</v>
      </c>
      <c r="H505" s="1" t="s">
        <v>1247</v>
      </c>
      <c r="I505" s="1">
        <v>205.18</v>
      </c>
      <c r="J505" s="1">
        <v>2</v>
      </c>
      <c r="K505" s="1">
        <v>-58.13</v>
      </c>
    </row>
    <row r="506" spans="1:11" ht="12.75" x14ac:dyDescent="0.2">
      <c r="A506" s="2">
        <v>42787</v>
      </c>
      <c r="B506" s="2" t="str">
        <f>TEXT(Table1[[#This Row],[Order Date]],"MMM")</f>
        <v>Feb</v>
      </c>
      <c r="C506" s="2" t="str">
        <f t="shared" si="7"/>
        <v>2017</v>
      </c>
      <c r="D506" s="1" t="s">
        <v>835</v>
      </c>
      <c r="E506" s="1" t="s">
        <v>15</v>
      </c>
      <c r="F506" s="1" t="s">
        <v>11</v>
      </c>
      <c r="G506" s="1" t="s">
        <v>18</v>
      </c>
      <c r="H506" s="1" t="s">
        <v>560</v>
      </c>
      <c r="I506" s="1">
        <v>102.34</v>
      </c>
      <c r="J506" s="1">
        <v>4</v>
      </c>
      <c r="K506" s="1">
        <v>-12.79</v>
      </c>
    </row>
    <row r="507" spans="1:11" ht="12.75" x14ac:dyDescent="0.2">
      <c r="A507" s="2">
        <v>41719</v>
      </c>
      <c r="B507" s="2" t="str">
        <f>TEXT(Table1[[#This Row],[Order Date]],"MMM")</f>
        <v>Mar</v>
      </c>
      <c r="C507" s="2" t="str">
        <f t="shared" si="7"/>
        <v>2014</v>
      </c>
      <c r="D507" s="1" t="s">
        <v>1183</v>
      </c>
      <c r="E507" s="1" t="s">
        <v>10</v>
      </c>
      <c r="F507" s="1" t="s">
        <v>38</v>
      </c>
      <c r="G507" s="1" t="s">
        <v>48</v>
      </c>
      <c r="H507" s="1" t="s">
        <v>60</v>
      </c>
      <c r="I507" s="1">
        <v>258.7</v>
      </c>
      <c r="J507" s="1">
        <v>3</v>
      </c>
      <c r="K507" s="1">
        <v>64.67</v>
      </c>
    </row>
    <row r="508" spans="1:11" ht="12.75" x14ac:dyDescent="0.2">
      <c r="A508" s="2">
        <v>42084</v>
      </c>
      <c r="B508" s="2" t="str">
        <f>TEXT(Table1[[#This Row],[Order Date]],"MMM")</f>
        <v>Mar</v>
      </c>
      <c r="C508" s="2" t="str">
        <f t="shared" si="7"/>
        <v>2015</v>
      </c>
      <c r="D508" s="1" t="s">
        <v>620</v>
      </c>
      <c r="E508" s="1" t="s">
        <v>23</v>
      </c>
      <c r="F508" s="1" t="s">
        <v>38</v>
      </c>
      <c r="G508" s="1" t="s">
        <v>39</v>
      </c>
      <c r="H508" s="1" t="s">
        <v>76</v>
      </c>
      <c r="I508" s="1">
        <v>82.8</v>
      </c>
      <c r="J508" s="1">
        <v>2</v>
      </c>
      <c r="K508" s="1">
        <v>-20.7</v>
      </c>
    </row>
    <row r="509" spans="1:11" ht="12.75" x14ac:dyDescent="0.2">
      <c r="A509" s="2">
        <v>42450</v>
      </c>
      <c r="B509" s="2" t="str">
        <f>TEXT(Table1[[#This Row],[Order Date]],"MMM")</f>
        <v>Mar</v>
      </c>
      <c r="C509" s="2" t="str">
        <f t="shared" si="7"/>
        <v>2016</v>
      </c>
      <c r="D509" s="1" t="s">
        <v>932</v>
      </c>
      <c r="E509" s="1" t="s">
        <v>120</v>
      </c>
      <c r="F509" s="1" t="s">
        <v>33</v>
      </c>
      <c r="G509" s="1" t="s">
        <v>34</v>
      </c>
      <c r="H509" s="1" t="s">
        <v>786</v>
      </c>
      <c r="I509" s="1">
        <v>434.65</v>
      </c>
      <c r="J509" s="1">
        <v>3</v>
      </c>
      <c r="K509" s="1">
        <v>62.78</v>
      </c>
    </row>
    <row r="510" spans="1:11" ht="12.75" x14ac:dyDescent="0.2">
      <c r="A510" s="2">
        <v>42115</v>
      </c>
      <c r="B510" s="2" t="str">
        <f>TEXT(Table1[[#This Row],[Order Date]],"MMM")</f>
        <v>Apr</v>
      </c>
      <c r="C510" s="2" t="str">
        <f t="shared" si="7"/>
        <v>2015</v>
      </c>
      <c r="D510" s="1" t="s">
        <v>1269</v>
      </c>
      <c r="E510" s="1" t="s">
        <v>10</v>
      </c>
      <c r="F510" s="1" t="s">
        <v>11</v>
      </c>
      <c r="G510" s="1" t="s">
        <v>24</v>
      </c>
      <c r="H510" s="1" t="s">
        <v>1099</v>
      </c>
      <c r="I510" s="1">
        <v>86.35</v>
      </c>
      <c r="J510" s="1">
        <v>3</v>
      </c>
      <c r="K510" s="1">
        <v>5.4</v>
      </c>
    </row>
    <row r="511" spans="1:11" ht="12.75" x14ac:dyDescent="0.2">
      <c r="A511" s="2">
        <v>42481</v>
      </c>
      <c r="B511" s="2" t="str">
        <f>TEXT(Table1[[#This Row],[Order Date]],"MMM")</f>
        <v>Apr</v>
      </c>
      <c r="C511" s="2" t="str">
        <f t="shared" si="7"/>
        <v>2016</v>
      </c>
      <c r="D511" s="1" t="s">
        <v>1223</v>
      </c>
      <c r="E511" s="1" t="s">
        <v>15</v>
      </c>
      <c r="F511" s="1" t="s">
        <v>11</v>
      </c>
      <c r="G511" s="1" t="s">
        <v>20</v>
      </c>
      <c r="H511" s="1" t="s">
        <v>1190</v>
      </c>
      <c r="I511" s="1">
        <v>2.1800000000000002</v>
      </c>
      <c r="J511" s="1">
        <v>1</v>
      </c>
      <c r="K511" s="1">
        <v>-3.6</v>
      </c>
    </row>
    <row r="512" spans="1:11" ht="12.75" x14ac:dyDescent="0.2">
      <c r="A512" s="2">
        <v>42846</v>
      </c>
      <c r="B512" s="2" t="str">
        <f>TEXT(Table1[[#This Row],[Order Date]],"MMM")</f>
        <v>Apr</v>
      </c>
      <c r="C512" s="2" t="str">
        <f t="shared" si="7"/>
        <v>2017</v>
      </c>
      <c r="D512" s="1" t="s">
        <v>1166</v>
      </c>
      <c r="E512" s="1" t="s">
        <v>68</v>
      </c>
      <c r="F512" s="1" t="s">
        <v>11</v>
      </c>
      <c r="G512" s="1" t="s">
        <v>42</v>
      </c>
      <c r="H512" s="1" t="s">
        <v>1001</v>
      </c>
      <c r="I512" s="1">
        <v>7.22</v>
      </c>
      <c r="J512" s="1">
        <v>2</v>
      </c>
      <c r="K512" s="1">
        <v>1.71</v>
      </c>
    </row>
    <row r="513" spans="1:11" ht="12.75" x14ac:dyDescent="0.2">
      <c r="A513" s="2">
        <v>41780</v>
      </c>
      <c r="B513" s="2" t="str">
        <f>TEXT(Table1[[#This Row],[Order Date]],"MMM")</f>
        <v>May</v>
      </c>
      <c r="C513" s="2" t="str">
        <f t="shared" si="7"/>
        <v>2014</v>
      </c>
      <c r="D513" s="1" t="s">
        <v>1268</v>
      </c>
      <c r="E513" s="1" t="s">
        <v>120</v>
      </c>
      <c r="F513" s="1" t="s">
        <v>11</v>
      </c>
      <c r="G513" s="1" t="s">
        <v>20</v>
      </c>
      <c r="H513" s="1" t="s">
        <v>228</v>
      </c>
      <c r="I513" s="1">
        <v>85.23</v>
      </c>
      <c r="J513" s="1">
        <v>7</v>
      </c>
      <c r="K513" s="1">
        <v>30.9</v>
      </c>
    </row>
    <row r="514" spans="1:11" ht="12.75" x14ac:dyDescent="0.2">
      <c r="A514" s="2">
        <v>42145</v>
      </c>
      <c r="B514" s="2" t="str">
        <f>TEXT(Table1[[#This Row],[Order Date]],"MMM")</f>
        <v>May</v>
      </c>
      <c r="C514" s="2" t="str">
        <f t="shared" ref="C514:C577" si="8">TEXT(A514,"YYY")</f>
        <v>2015</v>
      </c>
      <c r="D514" s="1" t="s">
        <v>655</v>
      </c>
      <c r="E514" s="1" t="s">
        <v>134</v>
      </c>
      <c r="F514" s="1" t="s">
        <v>38</v>
      </c>
      <c r="G514" s="1" t="s">
        <v>48</v>
      </c>
      <c r="H514" s="1" t="s">
        <v>1285</v>
      </c>
      <c r="I514" s="1">
        <v>93.98</v>
      </c>
      <c r="J514" s="1">
        <v>2</v>
      </c>
      <c r="K514" s="1">
        <v>13.16</v>
      </c>
    </row>
    <row r="515" spans="1:11" ht="12.75" x14ac:dyDescent="0.2">
      <c r="A515" s="2">
        <v>42511</v>
      </c>
      <c r="B515" s="2" t="str">
        <f>TEXT(Table1[[#This Row],[Order Date]],"MMM")</f>
        <v>May</v>
      </c>
      <c r="C515" s="2" t="str">
        <f t="shared" si="8"/>
        <v>2016</v>
      </c>
      <c r="D515" s="1" t="s">
        <v>606</v>
      </c>
      <c r="E515" s="1" t="s">
        <v>134</v>
      </c>
      <c r="F515" s="1" t="s">
        <v>11</v>
      </c>
      <c r="G515" s="1" t="s">
        <v>12</v>
      </c>
      <c r="H515" s="1" t="s">
        <v>610</v>
      </c>
      <c r="I515" s="1">
        <v>11.96</v>
      </c>
      <c r="J515" s="1">
        <v>2</v>
      </c>
      <c r="K515" s="1">
        <v>5.86</v>
      </c>
    </row>
    <row r="516" spans="1:11" ht="12.75" x14ac:dyDescent="0.2">
      <c r="A516" s="2">
        <v>41811</v>
      </c>
      <c r="B516" s="2" t="str">
        <f>TEXT(Table1[[#This Row],[Order Date]],"MMM")</f>
        <v>Jun</v>
      </c>
      <c r="C516" s="2" t="str">
        <f t="shared" si="8"/>
        <v>2014</v>
      </c>
      <c r="D516" s="1" t="s">
        <v>988</v>
      </c>
      <c r="E516" s="1" t="s">
        <v>68</v>
      </c>
      <c r="F516" s="1" t="s">
        <v>33</v>
      </c>
      <c r="G516" s="1" t="s">
        <v>44</v>
      </c>
      <c r="H516" s="1" t="s">
        <v>1094</v>
      </c>
      <c r="I516" s="1">
        <v>79.38</v>
      </c>
      <c r="J516" s="1">
        <v>1</v>
      </c>
      <c r="K516" s="1">
        <v>29.77</v>
      </c>
    </row>
    <row r="517" spans="1:11" ht="12.75" x14ac:dyDescent="0.2">
      <c r="A517" s="2">
        <v>41841</v>
      </c>
      <c r="B517" s="2" t="str">
        <f>TEXT(Table1[[#This Row],[Order Date]],"MMM")</f>
        <v>Jul</v>
      </c>
      <c r="C517" s="2" t="str">
        <f t="shared" si="8"/>
        <v>2014</v>
      </c>
      <c r="D517" s="1" t="s">
        <v>405</v>
      </c>
      <c r="E517" s="1" t="s">
        <v>227</v>
      </c>
      <c r="F517" s="1" t="s">
        <v>11</v>
      </c>
      <c r="G517" s="1" t="s">
        <v>20</v>
      </c>
      <c r="H517" s="1" t="s">
        <v>689</v>
      </c>
      <c r="I517" s="1">
        <v>511.84</v>
      </c>
      <c r="J517" s="1">
        <v>8</v>
      </c>
      <c r="K517" s="1">
        <v>240.56</v>
      </c>
    </row>
    <row r="518" spans="1:11" ht="12.75" x14ac:dyDescent="0.2">
      <c r="A518" s="2">
        <v>42237</v>
      </c>
      <c r="B518" s="2" t="str">
        <f>TEXT(Table1[[#This Row],[Order Date]],"MMM")</f>
        <v>Aug</v>
      </c>
      <c r="C518" s="2" t="str">
        <f t="shared" si="8"/>
        <v>2015</v>
      </c>
      <c r="D518" s="1" t="s">
        <v>309</v>
      </c>
      <c r="E518" s="1" t="s">
        <v>101</v>
      </c>
      <c r="F518" s="1" t="s">
        <v>11</v>
      </c>
      <c r="G518" s="1" t="s">
        <v>20</v>
      </c>
      <c r="H518" s="1" t="s">
        <v>927</v>
      </c>
      <c r="I518" s="1">
        <v>2.95</v>
      </c>
      <c r="J518" s="1">
        <v>2</v>
      </c>
      <c r="K518" s="1">
        <v>-2.16</v>
      </c>
    </row>
    <row r="519" spans="1:11" ht="12.75" x14ac:dyDescent="0.2">
      <c r="A519" s="2">
        <v>42603</v>
      </c>
      <c r="B519" s="2" t="str">
        <f>TEXT(Table1[[#This Row],[Order Date]],"MMM")</f>
        <v>Aug</v>
      </c>
      <c r="C519" s="2" t="str">
        <f t="shared" si="8"/>
        <v>2016</v>
      </c>
      <c r="D519" s="1" t="s">
        <v>131</v>
      </c>
      <c r="E519" s="1" t="s">
        <v>27</v>
      </c>
      <c r="F519" s="1" t="s">
        <v>11</v>
      </c>
      <c r="G519" s="1" t="s">
        <v>18</v>
      </c>
      <c r="H519" s="1" t="s">
        <v>1227</v>
      </c>
      <c r="I519" s="1">
        <v>104.28</v>
      </c>
      <c r="J519" s="1">
        <v>3</v>
      </c>
      <c r="K519" s="1">
        <v>26.07</v>
      </c>
    </row>
    <row r="520" spans="1:11" ht="12.75" x14ac:dyDescent="0.2">
      <c r="A520" s="2">
        <v>41903</v>
      </c>
      <c r="B520" s="2" t="str">
        <f>TEXT(Table1[[#This Row],[Order Date]],"MMM")</f>
        <v>Sep</v>
      </c>
      <c r="C520" s="2" t="str">
        <f t="shared" si="8"/>
        <v>2014</v>
      </c>
      <c r="D520" s="1" t="s">
        <v>468</v>
      </c>
      <c r="E520" s="1" t="s">
        <v>51</v>
      </c>
      <c r="F520" s="1" t="s">
        <v>33</v>
      </c>
      <c r="G520" s="1" t="s">
        <v>34</v>
      </c>
      <c r="H520" s="1" t="s">
        <v>964</v>
      </c>
      <c r="I520" s="1">
        <v>641.96</v>
      </c>
      <c r="J520" s="1">
        <v>2</v>
      </c>
      <c r="K520" s="1">
        <v>179.75</v>
      </c>
    </row>
    <row r="521" spans="1:11" ht="12.75" x14ac:dyDescent="0.2">
      <c r="A521" s="2">
        <v>42268</v>
      </c>
      <c r="B521" s="2" t="str">
        <f>TEXT(Table1[[#This Row],[Order Date]],"MMM")</f>
        <v>Sep</v>
      </c>
      <c r="C521" s="2" t="str">
        <f t="shared" si="8"/>
        <v>2015</v>
      </c>
      <c r="D521" s="1" t="s">
        <v>213</v>
      </c>
      <c r="E521" s="1" t="s">
        <v>27</v>
      </c>
      <c r="F521" s="1" t="s">
        <v>33</v>
      </c>
      <c r="G521" s="1" t="s">
        <v>44</v>
      </c>
      <c r="H521" s="1" t="s">
        <v>1238</v>
      </c>
      <c r="I521" s="1">
        <v>1049.2</v>
      </c>
      <c r="J521" s="1">
        <v>5</v>
      </c>
      <c r="K521" s="1">
        <v>272.79000000000002</v>
      </c>
    </row>
    <row r="522" spans="1:11" ht="12.75" x14ac:dyDescent="0.2">
      <c r="A522" s="2">
        <v>42999</v>
      </c>
      <c r="B522" s="2" t="str">
        <f>TEXT(Table1[[#This Row],[Order Date]],"MMM")</f>
        <v>Sep</v>
      </c>
      <c r="C522" s="2" t="str">
        <f t="shared" si="8"/>
        <v>2017</v>
      </c>
      <c r="D522" s="1" t="s">
        <v>988</v>
      </c>
      <c r="E522" s="1" t="s">
        <v>27</v>
      </c>
      <c r="F522" s="1" t="s">
        <v>38</v>
      </c>
      <c r="G522" s="1" t="s">
        <v>39</v>
      </c>
      <c r="H522" s="1" t="s">
        <v>1206</v>
      </c>
      <c r="I522" s="1">
        <v>55.18</v>
      </c>
      <c r="J522" s="1">
        <v>3</v>
      </c>
      <c r="K522" s="1">
        <v>-12.41</v>
      </c>
    </row>
    <row r="523" spans="1:11" ht="12.75" x14ac:dyDescent="0.2">
      <c r="A523" s="2">
        <v>43029</v>
      </c>
      <c r="B523" s="2" t="str">
        <f>TEXT(Table1[[#This Row],[Order Date]],"MMM")</f>
        <v>Oct</v>
      </c>
      <c r="C523" s="2" t="str">
        <f t="shared" si="8"/>
        <v>2017</v>
      </c>
      <c r="D523" s="1" t="s">
        <v>804</v>
      </c>
      <c r="E523" s="1" t="s">
        <v>27</v>
      </c>
      <c r="F523" s="1" t="s">
        <v>33</v>
      </c>
      <c r="G523" s="1" t="s">
        <v>44</v>
      </c>
      <c r="H523" s="1" t="s">
        <v>673</v>
      </c>
      <c r="I523" s="1">
        <v>37.049999999999997</v>
      </c>
      <c r="J523" s="1">
        <v>3</v>
      </c>
      <c r="K523" s="1">
        <v>16.3</v>
      </c>
    </row>
    <row r="524" spans="1:11" ht="12.75" x14ac:dyDescent="0.2">
      <c r="A524" s="2">
        <v>42329</v>
      </c>
      <c r="B524" s="2" t="str">
        <f>TEXT(Table1[[#This Row],[Order Date]],"MMM")</f>
        <v>Nov</v>
      </c>
      <c r="C524" s="2" t="str">
        <f t="shared" si="8"/>
        <v>2015</v>
      </c>
      <c r="D524" s="1" t="s">
        <v>1101</v>
      </c>
      <c r="E524" s="1" t="s">
        <v>30</v>
      </c>
      <c r="F524" s="1" t="s">
        <v>33</v>
      </c>
      <c r="G524" s="1" t="s">
        <v>44</v>
      </c>
      <c r="H524" s="1" t="s">
        <v>1288</v>
      </c>
      <c r="I524" s="1">
        <v>24.96</v>
      </c>
      <c r="J524" s="1">
        <v>4</v>
      </c>
      <c r="K524" s="1">
        <v>6.24</v>
      </c>
    </row>
    <row r="525" spans="1:11" ht="12.75" x14ac:dyDescent="0.2">
      <c r="A525" s="2">
        <v>42695</v>
      </c>
      <c r="B525" s="2" t="str">
        <f>TEXT(Table1[[#This Row],[Order Date]],"MMM")</f>
        <v>Nov</v>
      </c>
      <c r="C525" s="2" t="str">
        <f t="shared" si="8"/>
        <v>2016</v>
      </c>
      <c r="D525" s="1" t="s">
        <v>381</v>
      </c>
      <c r="E525" s="1" t="s">
        <v>94</v>
      </c>
      <c r="F525" s="1" t="s">
        <v>33</v>
      </c>
      <c r="G525" s="1" t="s">
        <v>34</v>
      </c>
      <c r="H525" s="1" t="s">
        <v>601</v>
      </c>
      <c r="I525" s="1">
        <v>3504.9</v>
      </c>
      <c r="J525" s="1">
        <v>5</v>
      </c>
      <c r="K525" s="1">
        <v>700.98</v>
      </c>
    </row>
    <row r="526" spans="1:11" ht="12.75" x14ac:dyDescent="0.2">
      <c r="A526" s="2">
        <v>41994</v>
      </c>
      <c r="B526" s="2" t="str">
        <f>TEXT(Table1[[#This Row],[Order Date]],"MMM")</f>
        <v>Dec</v>
      </c>
      <c r="C526" s="2" t="str">
        <f t="shared" si="8"/>
        <v>2014</v>
      </c>
      <c r="D526" s="1" t="s">
        <v>975</v>
      </c>
      <c r="E526" s="1" t="s">
        <v>320</v>
      </c>
      <c r="F526" s="1" t="s">
        <v>38</v>
      </c>
      <c r="G526" s="1" t="s">
        <v>39</v>
      </c>
      <c r="H526" s="1" t="s">
        <v>206</v>
      </c>
      <c r="I526" s="1">
        <v>979.95</v>
      </c>
      <c r="J526" s="1">
        <v>5</v>
      </c>
      <c r="K526" s="1">
        <v>274.39</v>
      </c>
    </row>
    <row r="527" spans="1:11" ht="12.75" x14ac:dyDescent="0.2">
      <c r="A527" s="2">
        <v>42359</v>
      </c>
      <c r="B527" s="2" t="str">
        <f>TEXT(Table1[[#This Row],[Order Date]],"MMM")</f>
        <v>Dec</v>
      </c>
      <c r="C527" s="2" t="str">
        <f t="shared" si="8"/>
        <v>2015</v>
      </c>
      <c r="D527" s="1" t="s">
        <v>815</v>
      </c>
      <c r="E527" s="1" t="s">
        <v>15</v>
      </c>
      <c r="F527" s="1" t="s">
        <v>33</v>
      </c>
      <c r="G527" s="1" t="s">
        <v>44</v>
      </c>
      <c r="H527" s="1" t="s">
        <v>1291</v>
      </c>
      <c r="I527" s="1">
        <v>32.06</v>
      </c>
      <c r="J527" s="1">
        <v>3</v>
      </c>
      <c r="K527" s="1">
        <v>-12.83</v>
      </c>
    </row>
    <row r="528" spans="1:11" ht="12.75" x14ac:dyDescent="0.2">
      <c r="A528" s="2">
        <v>42757</v>
      </c>
      <c r="B528" s="2" t="str">
        <f>TEXT(Table1[[#This Row],[Order Date]],"MMM")</f>
        <v>Jan</v>
      </c>
      <c r="C528" s="2" t="str">
        <f t="shared" si="8"/>
        <v>2017</v>
      </c>
      <c r="D528" s="1" t="s">
        <v>224</v>
      </c>
      <c r="E528" s="1" t="s">
        <v>27</v>
      </c>
      <c r="F528" s="1" t="s">
        <v>33</v>
      </c>
      <c r="G528" s="1" t="s">
        <v>118</v>
      </c>
      <c r="H528" s="1" t="s">
        <v>1015</v>
      </c>
      <c r="I528" s="1">
        <v>71.09</v>
      </c>
      <c r="J528" s="1">
        <v>2</v>
      </c>
      <c r="K528" s="1">
        <v>-1.78</v>
      </c>
    </row>
    <row r="529" spans="1:11" ht="12.75" x14ac:dyDescent="0.2">
      <c r="A529" s="2">
        <v>42057</v>
      </c>
      <c r="B529" s="2" t="str">
        <f>TEXT(Table1[[#This Row],[Order Date]],"MMM")</f>
        <v>Feb</v>
      </c>
      <c r="C529" s="2" t="str">
        <f t="shared" si="8"/>
        <v>2015</v>
      </c>
      <c r="D529" s="1" t="s">
        <v>897</v>
      </c>
      <c r="E529" s="1" t="s">
        <v>51</v>
      </c>
      <c r="F529" s="1" t="s">
        <v>11</v>
      </c>
      <c r="G529" s="1" t="s">
        <v>12</v>
      </c>
      <c r="H529" s="1" t="s">
        <v>740</v>
      </c>
      <c r="I529" s="1">
        <v>75.88</v>
      </c>
      <c r="J529" s="1">
        <v>2</v>
      </c>
      <c r="K529" s="1">
        <v>35.659999999999997</v>
      </c>
    </row>
    <row r="530" spans="1:11" ht="12.75" x14ac:dyDescent="0.2">
      <c r="A530" s="2">
        <v>42422</v>
      </c>
      <c r="B530" s="2" t="str">
        <f>TEXT(Table1[[#This Row],[Order Date]],"MMM")</f>
        <v>Feb</v>
      </c>
      <c r="C530" s="2" t="str">
        <f t="shared" si="8"/>
        <v>2016</v>
      </c>
      <c r="D530" s="1" t="s">
        <v>972</v>
      </c>
      <c r="E530" s="1" t="s">
        <v>15</v>
      </c>
      <c r="F530" s="1" t="s">
        <v>38</v>
      </c>
      <c r="G530" s="1" t="s">
        <v>39</v>
      </c>
      <c r="H530" s="1" t="s">
        <v>1248</v>
      </c>
      <c r="I530" s="1">
        <v>328.22</v>
      </c>
      <c r="J530" s="1">
        <v>4</v>
      </c>
      <c r="K530" s="1">
        <v>28.72</v>
      </c>
    </row>
    <row r="531" spans="1:11" ht="12.75" x14ac:dyDescent="0.2">
      <c r="A531" s="2">
        <v>41720</v>
      </c>
      <c r="B531" s="2" t="str">
        <f>TEXT(Table1[[#This Row],[Order Date]],"MMM")</f>
        <v>Mar</v>
      </c>
      <c r="C531" s="2" t="str">
        <f t="shared" si="8"/>
        <v>2014</v>
      </c>
      <c r="D531" s="1" t="s">
        <v>1095</v>
      </c>
      <c r="E531" s="1" t="s">
        <v>27</v>
      </c>
      <c r="F531" s="1" t="s">
        <v>11</v>
      </c>
      <c r="G531" s="1" t="s">
        <v>16</v>
      </c>
      <c r="H531" s="1" t="s">
        <v>1277</v>
      </c>
      <c r="I531" s="1">
        <v>20.7</v>
      </c>
      <c r="J531" s="1">
        <v>2</v>
      </c>
      <c r="K531" s="1">
        <v>9.94</v>
      </c>
    </row>
    <row r="532" spans="1:11" ht="12.75" x14ac:dyDescent="0.2">
      <c r="A532" s="2">
        <v>42085</v>
      </c>
      <c r="B532" s="2" t="str">
        <f>TEXT(Table1[[#This Row],[Order Date]],"MMM")</f>
        <v>Mar</v>
      </c>
      <c r="C532" s="2" t="str">
        <f t="shared" si="8"/>
        <v>2015</v>
      </c>
      <c r="D532" s="1" t="s">
        <v>298</v>
      </c>
      <c r="E532" s="1" t="s">
        <v>10</v>
      </c>
      <c r="F532" s="1" t="s">
        <v>11</v>
      </c>
      <c r="G532" s="1" t="s">
        <v>20</v>
      </c>
      <c r="H532" s="1" t="s">
        <v>844</v>
      </c>
      <c r="I532" s="1">
        <v>1.34</v>
      </c>
      <c r="J532" s="1">
        <v>4</v>
      </c>
      <c r="K532" s="1">
        <v>-2.15</v>
      </c>
    </row>
    <row r="533" spans="1:11" ht="12.75" x14ac:dyDescent="0.2">
      <c r="A533" s="2">
        <v>42451</v>
      </c>
      <c r="B533" s="2" t="str">
        <f>TEXT(Table1[[#This Row],[Order Date]],"MMM")</f>
        <v>Mar</v>
      </c>
      <c r="C533" s="2" t="str">
        <f t="shared" si="8"/>
        <v>2016</v>
      </c>
      <c r="D533" s="1" t="s">
        <v>234</v>
      </c>
      <c r="E533" s="1" t="s">
        <v>94</v>
      </c>
      <c r="F533" s="1" t="s">
        <v>38</v>
      </c>
      <c r="G533" s="1" t="s">
        <v>39</v>
      </c>
      <c r="H533" s="1" t="s">
        <v>250</v>
      </c>
      <c r="I533" s="1">
        <v>377.97</v>
      </c>
      <c r="J533" s="1">
        <v>3</v>
      </c>
      <c r="K533" s="1">
        <v>94.49</v>
      </c>
    </row>
    <row r="534" spans="1:11" ht="12.75" x14ac:dyDescent="0.2">
      <c r="A534" s="2">
        <v>41781</v>
      </c>
      <c r="B534" s="2" t="str">
        <f>TEXT(Table1[[#This Row],[Order Date]],"MMM")</f>
        <v>May</v>
      </c>
      <c r="C534" s="2" t="str">
        <f t="shared" si="8"/>
        <v>2014</v>
      </c>
      <c r="D534" s="1" t="s">
        <v>582</v>
      </c>
      <c r="E534" s="1" t="s">
        <v>27</v>
      </c>
      <c r="F534" s="1" t="s">
        <v>11</v>
      </c>
      <c r="G534" s="1" t="s">
        <v>24</v>
      </c>
      <c r="H534" s="1" t="s">
        <v>1244</v>
      </c>
      <c r="I534" s="1">
        <v>7.04</v>
      </c>
      <c r="J534" s="1">
        <v>4</v>
      </c>
      <c r="K534" s="1">
        <v>2.04</v>
      </c>
    </row>
    <row r="535" spans="1:11" ht="12.75" x14ac:dyDescent="0.2">
      <c r="A535" s="2">
        <v>42146</v>
      </c>
      <c r="B535" s="2" t="str">
        <f>TEXT(Table1[[#This Row],[Order Date]],"MMM")</f>
        <v>May</v>
      </c>
      <c r="C535" s="2" t="str">
        <f t="shared" si="8"/>
        <v>2015</v>
      </c>
      <c r="D535" s="1" t="s">
        <v>838</v>
      </c>
      <c r="E535" s="1" t="s">
        <v>10</v>
      </c>
      <c r="F535" s="1" t="s">
        <v>11</v>
      </c>
      <c r="G535" s="1" t="s">
        <v>12</v>
      </c>
      <c r="H535" s="1" t="s">
        <v>1093</v>
      </c>
      <c r="I535" s="1">
        <v>173.49</v>
      </c>
      <c r="J535" s="1">
        <v>7</v>
      </c>
      <c r="K535" s="1">
        <v>54.22</v>
      </c>
    </row>
    <row r="536" spans="1:11" ht="12.75" x14ac:dyDescent="0.2">
      <c r="A536" s="2">
        <v>41812</v>
      </c>
      <c r="B536" s="2" t="str">
        <f>TEXT(Table1[[#This Row],[Order Date]],"MMM")</f>
        <v>Jun</v>
      </c>
      <c r="C536" s="2" t="str">
        <f t="shared" si="8"/>
        <v>2014</v>
      </c>
      <c r="D536" s="1" t="s">
        <v>1125</v>
      </c>
      <c r="E536" s="1" t="s">
        <v>27</v>
      </c>
      <c r="F536" s="1" t="s">
        <v>11</v>
      </c>
      <c r="G536" s="1" t="s">
        <v>12</v>
      </c>
      <c r="H536" s="1" t="s">
        <v>900</v>
      </c>
      <c r="I536" s="1">
        <v>46.35</v>
      </c>
      <c r="J536" s="1">
        <v>5</v>
      </c>
      <c r="K536" s="1">
        <v>21.78</v>
      </c>
    </row>
    <row r="537" spans="1:11" ht="12.75" x14ac:dyDescent="0.2">
      <c r="A537" s="2">
        <v>42908</v>
      </c>
      <c r="B537" s="2" t="str">
        <f>TEXT(Table1[[#This Row],[Order Date]],"MMM")</f>
        <v>Jun</v>
      </c>
      <c r="C537" s="2" t="str">
        <f t="shared" si="8"/>
        <v>2017</v>
      </c>
      <c r="D537" s="1" t="s">
        <v>486</v>
      </c>
      <c r="E537" s="1" t="s">
        <v>15</v>
      </c>
      <c r="F537" s="1" t="s">
        <v>11</v>
      </c>
      <c r="G537" s="1" t="s">
        <v>12</v>
      </c>
      <c r="H537" s="1" t="s">
        <v>1119</v>
      </c>
      <c r="I537" s="1">
        <v>76.86</v>
      </c>
      <c r="J537" s="1">
        <v>2</v>
      </c>
      <c r="K537" s="1">
        <v>26.9</v>
      </c>
    </row>
    <row r="538" spans="1:11" ht="12.75" x14ac:dyDescent="0.2">
      <c r="A538" s="2">
        <v>41842</v>
      </c>
      <c r="B538" s="2" t="str">
        <f>TEXT(Table1[[#This Row],[Order Date]],"MMM")</f>
        <v>Jul</v>
      </c>
      <c r="C538" s="2" t="str">
        <f t="shared" si="8"/>
        <v>2014</v>
      </c>
      <c r="D538" s="1" t="s">
        <v>690</v>
      </c>
      <c r="E538" s="1" t="s">
        <v>54</v>
      </c>
      <c r="F538" s="1" t="s">
        <v>38</v>
      </c>
      <c r="G538" s="1" t="s">
        <v>48</v>
      </c>
      <c r="H538" s="1" t="s">
        <v>626</v>
      </c>
      <c r="I538" s="1">
        <v>45</v>
      </c>
      <c r="J538" s="1">
        <v>3</v>
      </c>
      <c r="K538" s="1">
        <v>4.95</v>
      </c>
    </row>
    <row r="539" spans="1:11" ht="12.75" x14ac:dyDescent="0.2">
      <c r="A539" s="2">
        <v>42573</v>
      </c>
      <c r="B539" s="2" t="str">
        <f>TEXT(Table1[[#This Row],[Order Date]],"MMM")</f>
        <v>Jul</v>
      </c>
      <c r="C539" s="2" t="str">
        <f t="shared" si="8"/>
        <v>2016</v>
      </c>
      <c r="D539" s="1" t="s">
        <v>998</v>
      </c>
      <c r="E539" s="1" t="s">
        <v>120</v>
      </c>
      <c r="F539" s="1" t="s">
        <v>11</v>
      </c>
      <c r="G539" s="1" t="s">
        <v>16</v>
      </c>
      <c r="H539" s="1" t="s">
        <v>851</v>
      </c>
      <c r="I539" s="1">
        <v>122.12</v>
      </c>
      <c r="J539" s="1">
        <v>4</v>
      </c>
      <c r="K539" s="1">
        <v>56.18</v>
      </c>
    </row>
    <row r="540" spans="1:11" ht="12.75" x14ac:dyDescent="0.2">
      <c r="A540" s="2">
        <v>41873</v>
      </c>
      <c r="B540" s="2" t="str">
        <f>TEXT(Table1[[#This Row],[Order Date]],"MMM")</f>
        <v>Aug</v>
      </c>
      <c r="C540" s="2" t="str">
        <f t="shared" si="8"/>
        <v>2014</v>
      </c>
      <c r="D540" s="1" t="s">
        <v>1125</v>
      </c>
      <c r="E540" s="1" t="s">
        <v>27</v>
      </c>
      <c r="F540" s="1" t="s">
        <v>38</v>
      </c>
      <c r="G540" s="1" t="s">
        <v>39</v>
      </c>
      <c r="H540" s="1" t="s">
        <v>111</v>
      </c>
      <c r="I540" s="1">
        <v>38.24</v>
      </c>
      <c r="J540" s="1">
        <v>4</v>
      </c>
      <c r="K540" s="1">
        <v>-9.56</v>
      </c>
    </row>
    <row r="541" spans="1:11" ht="12.75" x14ac:dyDescent="0.2">
      <c r="A541" s="2">
        <v>42238</v>
      </c>
      <c r="B541" s="2" t="str">
        <f>TEXT(Table1[[#This Row],[Order Date]],"MMM")</f>
        <v>Aug</v>
      </c>
      <c r="C541" s="2" t="str">
        <f t="shared" si="8"/>
        <v>2015</v>
      </c>
      <c r="D541" s="1" t="s">
        <v>363</v>
      </c>
      <c r="E541" s="1" t="s">
        <v>23</v>
      </c>
      <c r="F541" s="1" t="s">
        <v>33</v>
      </c>
      <c r="G541" s="1" t="s">
        <v>34</v>
      </c>
      <c r="H541" s="1" t="s">
        <v>285</v>
      </c>
      <c r="I541" s="1">
        <v>422.06</v>
      </c>
      <c r="J541" s="1">
        <v>3</v>
      </c>
      <c r="K541" s="1">
        <v>-18.09</v>
      </c>
    </row>
    <row r="542" spans="1:11" ht="12.75" x14ac:dyDescent="0.2">
      <c r="A542" s="2">
        <v>41934</v>
      </c>
      <c r="B542" s="2" t="str">
        <f>TEXT(Table1[[#This Row],[Order Date]],"MMM")</f>
        <v>Oct</v>
      </c>
      <c r="C542" s="2" t="str">
        <f t="shared" si="8"/>
        <v>2014</v>
      </c>
      <c r="D542" s="1" t="s">
        <v>305</v>
      </c>
      <c r="E542" s="1" t="s">
        <v>120</v>
      </c>
      <c r="F542" s="1" t="s">
        <v>11</v>
      </c>
      <c r="G542" s="1" t="s">
        <v>24</v>
      </c>
      <c r="H542" s="1" t="s">
        <v>737</v>
      </c>
      <c r="I542" s="1">
        <v>14.7</v>
      </c>
      <c r="J542" s="1">
        <v>5</v>
      </c>
      <c r="K542" s="1">
        <v>6.62</v>
      </c>
    </row>
    <row r="543" spans="1:11" ht="12.75" x14ac:dyDescent="0.2">
      <c r="A543" s="2">
        <v>42299</v>
      </c>
      <c r="B543" s="2" t="str">
        <f>TEXT(Table1[[#This Row],[Order Date]],"MMM")</f>
        <v>Oct</v>
      </c>
      <c r="C543" s="2" t="str">
        <f t="shared" si="8"/>
        <v>2015</v>
      </c>
      <c r="D543" s="1" t="s">
        <v>286</v>
      </c>
      <c r="E543" s="1" t="s">
        <v>15</v>
      </c>
      <c r="F543" s="1" t="s">
        <v>11</v>
      </c>
      <c r="G543" s="1" t="s">
        <v>12</v>
      </c>
      <c r="H543" s="1" t="s">
        <v>951</v>
      </c>
      <c r="I543" s="1">
        <v>37.46</v>
      </c>
      <c r="J543" s="1">
        <v>7</v>
      </c>
      <c r="K543" s="1">
        <v>12.18</v>
      </c>
    </row>
    <row r="544" spans="1:11" ht="12.75" x14ac:dyDescent="0.2">
      <c r="A544" s="2">
        <v>43030</v>
      </c>
      <c r="B544" s="2" t="str">
        <f>TEXT(Table1[[#This Row],[Order Date]],"MMM")</f>
        <v>Oct</v>
      </c>
      <c r="C544" s="2" t="str">
        <f t="shared" si="8"/>
        <v>2017</v>
      </c>
      <c r="D544" s="1" t="s">
        <v>772</v>
      </c>
      <c r="E544" s="1" t="s">
        <v>30</v>
      </c>
      <c r="F544" s="1" t="s">
        <v>11</v>
      </c>
      <c r="G544" s="1" t="s">
        <v>24</v>
      </c>
      <c r="H544" s="1" t="s">
        <v>677</v>
      </c>
      <c r="I544" s="1">
        <v>35.97</v>
      </c>
      <c r="J544" s="1">
        <v>3</v>
      </c>
      <c r="K544" s="1">
        <v>9.7100000000000009</v>
      </c>
    </row>
    <row r="545" spans="1:11" ht="12.75" x14ac:dyDescent="0.2">
      <c r="A545" s="2">
        <v>41965</v>
      </c>
      <c r="B545" s="2" t="str">
        <f>TEXT(Table1[[#This Row],[Order Date]],"MMM")</f>
        <v>Nov</v>
      </c>
      <c r="C545" s="2" t="str">
        <f t="shared" si="8"/>
        <v>2014</v>
      </c>
      <c r="D545" s="1" t="s">
        <v>1213</v>
      </c>
      <c r="E545" s="1" t="s">
        <v>63</v>
      </c>
      <c r="F545" s="1" t="s">
        <v>11</v>
      </c>
      <c r="G545" s="1" t="s">
        <v>20</v>
      </c>
      <c r="H545" s="1" t="s">
        <v>712</v>
      </c>
      <c r="I545" s="1">
        <v>14.2</v>
      </c>
      <c r="J545" s="1">
        <v>2</v>
      </c>
      <c r="K545" s="1">
        <v>6.53</v>
      </c>
    </row>
    <row r="546" spans="1:11" ht="12.75" x14ac:dyDescent="0.2">
      <c r="A546" s="2">
        <v>42330</v>
      </c>
      <c r="B546" s="2" t="str">
        <f>TEXT(Table1[[#This Row],[Order Date]],"MMM")</f>
        <v>Nov</v>
      </c>
      <c r="C546" s="2" t="str">
        <f t="shared" si="8"/>
        <v>2015</v>
      </c>
      <c r="D546" s="1" t="s">
        <v>374</v>
      </c>
      <c r="E546" s="1" t="s">
        <v>27</v>
      </c>
      <c r="F546" s="1" t="s">
        <v>33</v>
      </c>
      <c r="G546" s="1" t="s">
        <v>34</v>
      </c>
      <c r="H546" s="1" t="s">
        <v>583</v>
      </c>
      <c r="I546" s="1">
        <v>195.18</v>
      </c>
      <c r="J546" s="1">
        <v>1</v>
      </c>
      <c r="K546" s="1">
        <v>19.52</v>
      </c>
    </row>
    <row r="547" spans="1:11" ht="12.75" x14ac:dyDescent="0.2">
      <c r="A547" s="2">
        <v>42696</v>
      </c>
      <c r="B547" s="2" t="str">
        <f>TEXT(Table1[[#This Row],[Order Date]],"MMM")</f>
        <v>Nov</v>
      </c>
      <c r="C547" s="2" t="str">
        <f t="shared" si="8"/>
        <v>2016</v>
      </c>
      <c r="D547" s="1" t="s">
        <v>527</v>
      </c>
      <c r="E547" s="1" t="s">
        <v>27</v>
      </c>
      <c r="F547" s="1" t="s">
        <v>33</v>
      </c>
      <c r="G547" s="1" t="s">
        <v>44</v>
      </c>
      <c r="H547" s="1" t="s">
        <v>171</v>
      </c>
      <c r="I547" s="1">
        <v>25.4</v>
      </c>
      <c r="J547" s="1">
        <v>5</v>
      </c>
      <c r="K547" s="1">
        <v>8.64</v>
      </c>
    </row>
    <row r="548" spans="1:11" ht="12.75" x14ac:dyDescent="0.2">
      <c r="A548" s="2">
        <v>41995</v>
      </c>
      <c r="B548" s="2" t="str">
        <f>TEXT(Table1[[#This Row],[Order Date]],"MMM")</f>
        <v>Dec</v>
      </c>
      <c r="C548" s="2" t="str">
        <f t="shared" si="8"/>
        <v>2014</v>
      </c>
      <c r="D548" s="1" t="s">
        <v>996</v>
      </c>
      <c r="E548" s="1" t="s">
        <v>101</v>
      </c>
      <c r="F548" s="1" t="s">
        <v>11</v>
      </c>
      <c r="G548" s="1" t="s">
        <v>158</v>
      </c>
      <c r="H548" s="1" t="s">
        <v>625</v>
      </c>
      <c r="I548" s="1">
        <v>45.58</v>
      </c>
      <c r="J548" s="1">
        <v>7</v>
      </c>
      <c r="K548" s="1">
        <v>5.13</v>
      </c>
    </row>
    <row r="549" spans="1:11" ht="12.75" x14ac:dyDescent="0.2">
      <c r="A549" s="2">
        <v>43091</v>
      </c>
      <c r="B549" s="2" t="str">
        <f>TEXT(Table1[[#This Row],[Order Date]],"MMM")</f>
        <v>Dec</v>
      </c>
      <c r="C549" s="2" t="str">
        <f t="shared" si="8"/>
        <v>2017</v>
      </c>
      <c r="D549" s="1" t="s">
        <v>1292</v>
      </c>
      <c r="E549" s="1" t="s">
        <v>10</v>
      </c>
      <c r="F549" s="1" t="s">
        <v>38</v>
      </c>
      <c r="G549" s="1" t="s">
        <v>39</v>
      </c>
      <c r="H549" s="1" t="s">
        <v>1253</v>
      </c>
      <c r="I549" s="1">
        <v>863.64</v>
      </c>
      <c r="J549" s="1">
        <v>9</v>
      </c>
      <c r="K549" s="1">
        <v>107.96</v>
      </c>
    </row>
    <row r="550" spans="1:11" ht="12.75" x14ac:dyDescent="0.2">
      <c r="A550" s="2">
        <v>41662</v>
      </c>
      <c r="B550" s="2" t="str">
        <f>TEXT(Table1[[#This Row],[Order Date]],"MMM")</f>
        <v>Jan</v>
      </c>
      <c r="C550" s="2" t="str">
        <f t="shared" si="8"/>
        <v>2014</v>
      </c>
      <c r="D550" s="1" t="s">
        <v>359</v>
      </c>
      <c r="E550" s="1" t="s">
        <v>83</v>
      </c>
      <c r="F550" s="1" t="s">
        <v>11</v>
      </c>
      <c r="G550" s="1" t="s">
        <v>18</v>
      </c>
      <c r="H550" s="1" t="s">
        <v>1181</v>
      </c>
      <c r="I550" s="1">
        <v>16.77</v>
      </c>
      <c r="J550" s="1">
        <v>2</v>
      </c>
      <c r="K550" s="1">
        <v>1.47</v>
      </c>
    </row>
    <row r="551" spans="1:11" ht="12.75" x14ac:dyDescent="0.2">
      <c r="A551" s="2">
        <v>42027</v>
      </c>
      <c r="B551" s="2" t="str">
        <f>TEXT(Table1[[#This Row],[Order Date]],"MMM")</f>
        <v>Jan</v>
      </c>
      <c r="C551" s="2" t="str">
        <f t="shared" si="8"/>
        <v>2015</v>
      </c>
      <c r="D551" s="1" t="s">
        <v>241</v>
      </c>
      <c r="E551" s="1" t="s">
        <v>27</v>
      </c>
      <c r="F551" s="1" t="s">
        <v>38</v>
      </c>
      <c r="G551" s="1" t="s">
        <v>39</v>
      </c>
      <c r="H551" s="1" t="s">
        <v>703</v>
      </c>
      <c r="I551" s="1">
        <v>95.76</v>
      </c>
      <c r="J551" s="1">
        <v>6</v>
      </c>
      <c r="K551" s="1">
        <v>7.18</v>
      </c>
    </row>
    <row r="552" spans="1:11" ht="12.75" x14ac:dyDescent="0.2">
      <c r="A552" s="2">
        <v>42392</v>
      </c>
      <c r="B552" s="2" t="str">
        <f>TEXT(Table1[[#This Row],[Order Date]],"MMM")</f>
        <v>Jan</v>
      </c>
      <c r="C552" s="2" t="str">
        <f t="shared" si="8"/>
        <v>2016</v>
      </c>
      <c r="D552" s="1" t="s">
        <v>812</v>
      </c>
      <c r="E552" s="1" t="s">
        <v>83</v>
      </c>
      <c r="F552" s="1" t="s">
        <v>38</v>
      </c>
      <c r="G552" s="1" t="s">
        <v>39</v>
      </c>
      <c r="H552" s="1" t="s">
        <v>1038</v>
      </c>
      <c r="I552" s="1">
        <v>380.86</v>
      </c>
      <c r="J552" s="1">
        <v>8</v>
      </c>
      <c r="K552" s="1">
        <v>38.090000000000003</v>
      </c>
    </row>
    <row r="553" spans="1:11" ht="12.75" x14ac:dyDescent="0.2">
      <c r="A553" s="2">
        <v>41693</v>
      </c>
      <c r="B553" s="2" t="str">
        <f>TEXT(Table1[[#This Row],[Order Date]],"MMM")</f>
        <v>Feb</v>
      </c>
      <c r="C553" s="2" t="str">
        <f t="shared" si="8"/>
        <v>2014</v>
      </c>
      <c r="D553" s="1" t="s">
        <v>914</v>
      </c>
      <c r="E553" s="1" t="s">
        <v>211</v>
      </c>
      <c r="F553" s="1" t="s">
        <v>11</v>
      </c>
      <c r="G553" s="1" t="s">
        <v>158</v>
      </c>
      <c r="H553" s="1" t="s">
        <v>1296</v>
      </c>
      <c r="I553" s="1">
        <v>44.4</v>
      </c>
      <c r="J553" s="1">
        <v>5</v>
      </c>
      <c r="K553" s="1">
        <v>12.43</v>
      </c>
    </row>
    <row r="554" spans="1:11" ht="12.75" x14ac:dyDescent="0.2">
      <c r="A554" s="2">
        <v>42058</v>
      </c>
      <c r="B554" s="2" t="str">
        <f>TEXT(Table1[[#This Row],[Order Date]],"MMM")</f>
        <v>Feb</v>
      </c>
      <c r="C554" s="2" t="str">
        <f t="shared" si="8"/>
        <v>2015</v>
      </c>
      <c r="D554" s="1" t="s">
        <v>178</v>
      </c>
      <c r="E554" s="1" t="s">
        <v>227</v>
      </c>
      <c r="F554" s="1" t="s">
        <v>33</v>
      </c>
      <c r="G554" s="1" t="s">
        <v>44</v>
      </c>
      <c r="H554" s="1" t="s">
        <v>1131</v>
      </c>
      <c r="I554" s="1">
        <v>185.58</v>
      </c>
      <c r="J554" s="1">
        <v>6</v>
      </c>
      <c r="K554" s="1">
        <v>76.09</v>
      </c>
    </row>
    <row r="555" spans="1:11" ht="12.75" x14ac:dyDescent="0.2">
      <c r="A555" s="2">
        <v>42423</v>
      </c>
      <c r="B555" s="2" t="str">
        <f>TEXT(Table1[[#This Row],[Order Date]],"MMM")</f>
        <v>Feb</v>
      </c>
      <c r="C555" s="2" t="str">
        <f t="shared" si="8"/>
        <v>2016</v>
      </c>
      <c r="D555" s="1" t="s">
        <v>319</v>
      </c>
      <c r="E555" s="1" t="s">
        <v>120</v>
      </c>
      <c r="F555" s="1" t="s">
        <v>38</v>
      </c>
      <c r="G555" s="1" t="s">
        <v>39</v>
      </c>
      <c r="H555" s="1" t="s">
        <v>726</v>
      </c>
      <c r="I555" s="1">
        <v>89.95</v>
      </c>
      <c r="J555" s="1">
        <v>5</v>
      </c>
      <c r="K555" s="1">
        <v>43.18</v>
      </c>
    </row>
    <row r="556" spans="1:11" ht="12.75" x14ac:dyDescent="0.2">
      <c r="A556" s="2">
        <v>42789</v>
      </c>
      <c r="B556" s="2" t="str">
        <f>TEXT(Table1[[#This Row],[Order Date]],"MMM")</f>
        <v>Feb</v>
      </c>
      <c r="C556" s="2" t="str">
        <f t="shared" si="8"/>
        <v>2017</v>
      </c>
      <c r="D556" s="1" t="s">
        <v>1251</v>
      </c>
      <c r="E556" s="1" t="s">
        <v>27</v>
      </c>
      <c r="F556" s="1" t="s">
        <v>11</v>
      </c>
      <c r="G556" s="1" t="s">
        <v>16</v>
      </c>
      <c r="H556" s="1" t="s">
        <v>1116</v>
      </c>
      <c r="I556" s="1">
        <v>6.3</v>
      </c>
      <c r="J556" s="1">
        <v>2</v>
      </c>
      <c r="K556" s="1">
        <v>3.02</v>
      </c>
    </row>
    <row r="557" spans="1:11" ht="12.75" x14ac:dyDescent="0.2">
      <c r="A557" s="2">
        <v>41721</v>
      </c>
      <c r="B557" s="2" t="str">
        <f>TEXT(Table1[[#This Row],[Order Date]],"MMM")</f>
        <v>Mar</v>
      </c>
      <c r="C557" s="2" t="str">
        <f t="shared" si="8"/>
        <v>2014</v>
      </c>
      <c r="D557" s="1" t="s">
        <v>153</v>
      </c>
      <c r="E557" s="1" t="s">
        <v>27</v>
      </c>
      <c r="F557" s="1" t="s">
        <v>11</v>
      </c>
      <c r="G557" s="1" t="s">
        <v>20</v>
      </c>
      <c r="H557" s="1" t="s">
        <v>607</v>
      </c>
      <c r="I557" s="1">
        <v>119.62</v>
      </c>
      <c r="J557" s="1">
        <v>8</v>
      </c>
      <c r="K557" s="1">
        <v>40.369999999999997</v>
      </c>
    </row>
    <row r="558" spans="1:11" ht="12.75" x14ac:dyDescent="0.2">
      <c r="A558" s="2">
        <v>42817</v>
      </c>
      <c r="B558" s="2" t="str">
        <f>TEXT(Table1[[#This Row],[Order Date]],"MMM")</f>
        <v>Mar</v>
      </c>
      <c r="C558" s="2" t="str">
        <f t="shared" si="8"/>
        <v>2017</v>
      </c>
      <c r="D558" s="1" t="s">
        <v>627</v>
      </c>
      <c r="E558" s="1" t="s">
        <v>94</v>
      </c>
      <c r="F558" s="1" t="s">
        <v>11</v>
      </c>
      <c r="G558" s="1" t="s">
        <v>80</v>
      </c>
      <c r="H558" s="1" t="s">
        <v>474</v>
      </c>
      <c r="I558" s="1">
        <v>283.14</v>
      </c>
      <c r="J558" s="1">
        <v>4</v>
      </c>
      <c r="K558" s="1">
        <v>72.36</v>
      </c>
    </row>
    <row r="559" spans="1:11" ht="12.75" x14ac:dyDescent="0.2">
      <c r="A559" s="2">
        <v>41752</v>
      </c>
      <c r="B559" s="2" t="str">
        <f>TEXT(Table1[[#This Row],[Order Date]],"MMM")</f>
        <v>Apr</v>
      </c>
      <c r="C559" s="2" t="str">
        <f t="shared" si="8"/>
        <v>2014</v>
      </c>
      <c r="D559" s="1" t="s">
        <v>160</v>
      </c>
      <c r="E559" s="1" t="s">
        <v>27</v>
      </c>
      <c r="F559" s="1" t="s">
        <v>33</v>
      </c>
      <c r="G559" s="1" t="s">
        <v>118</v>
      </c>
      <c r="H559" s="1" t="s">
        <v>1300</v>
      </c>
      <c r="I559" s="1">
        <v>136.46</v>
      </c>
      <c r="J559" s="1">
        <v>2</v>
      </c>
      <c r="K559" s="1">
        <v>15.35</v>
      </c>
    </row>
    <row r="560" spans="1:11" ht="12.75" x14ac:dyDescent="0.2">
      <c r="A560" s="2">
        <v>42848</v>
      </c>
      <c r="B560" s="2" t="str">
        <f>TEXT(Table1[[#This Row],[Order Date]],"MMM")</f>
        <v>Apr</v>
      </c>
      <c r="C560" s="2" t="str">
        <f t="shared" si="8"/>
        <v>2017</v>
      </c>
      <c r="D560" s="1" t="s">
        <v>1301</v>
      </c>
      <c r="E560" s="1" t="s">
        <v>518</v>
      </c>
      <c r="F560" s="1" t="s">
        <v>11</v>
      </c>
      <c r="G560" s="1" t="s">
        <v>58</v>
      </c>
      <c r="H560" s="1" t="s">
        <v>85</v>
      </c>
      <c r="I560" s="1">
        <v>81.540000000000006</v>
      </c>
      <c r="J560" s="1">
        <v>3</v>
      </c>
      <c r="K560" s="1">
        <v>38.32</v>
      </c>
    </row>
    <row r="561" spans="1:11" ht="12.75" x14ac:dyDescent="0.2">
      <c r="A561" s="2">
        <v>41782</v>
      </c>
      <c r="B561" s="2" t="str">
        <f>TEXT(Table1[[#This Row],[Order Date]],"MMM")</f>
        <v>May</v>
      </c>
      <c r="C561" s="2" t="str">
        <f t="shared" si="8"/>
        <v>2014</v>
      </c>
      <c r="D561" s="1" t="s">
        <v>1302</v>
      </c>
      <c r="E561" s="1" t="s">
        <v>51</v>
      </c>
      <c r="F561" s="1" t="s">
        <v>11</v>
      </c>
      <c r="G561" s="1" t="s">
        <v>158</v>
      </c>
      <c r="H561" s="1" t="s">
        <v>1100</v>
      </c>
      <c r="I561" s="1">
        <v>35.06</v>
      </c>
      <c r="J561" s="1">
        <v>2</v>
      </c>
      <c r="K561" s="1">
        <v>10.52</v>
      </c>
    </row>
    <row r="562" spans="1:11" ht="12.75" x14ac:dyDescent="0.2">
      <c r="A562" s="2">
        <v>42513</v>
      </c>
      <c r="B562" s="2" t="str">
        <f>TEXT(Table1[[#This Row],[Order Date]],"MMM")</f>
        <v>May</v>
      </c>
      <c r="C562" s="2" t="str">
        <f t="shared" si="8"/>
        <v>2016</v>
      </c>
      <c r="D562" s="1" t="s">
        <v>1029</v>
      </c>
      <c r="E562" s="1" t="s">
        <v>320</v>
      </c>
      <c r="F562" s="1" t="s">
        <v>11</v>
      </c>
      <c r="G562" s="1" t="s">
        <v>24</v>
      </c>
      <c r="H562" s="1" t="s">
        <v>1146</v>
      </c>
      <c r="I562" s="1">
        <v>197.05</v>
      </c>
      <c r="J562" s="1">
        <v>7</v>
      </c>
      <c r="K562" s="1">
        <v>59.12</v>
      </c>
    </row>
    <row r="563" spans="1:11" ht="12.75" x14ac:dyDescent="0.2">
      <c r="A563" s="2">
        <v>41813</v>
      </c>
      <c r="B563" s="2" t="str">
        <f>TEXT(Table1[[#This Row],[Order Date]],"MMM")</f>
        <v>Jun</v>
      </c>
      <c r="C563" s="2" t="str">
        <f t="shared" si="8"/>
        <v>2014</v>
      </c>
      <c r="D563" s="1" t="s">
        <v>706</v>
      </c>
      <c r="E563" s="1" t="s">
        <v>134</v>
      </c>
      <c r="F563" s="1" t="s">
        <v>38</v>
      </c>
      <c r="G563" s="1" t="s">
        <v>48</v>
      </c>
      <c r="H563" s="1" t="s">
        <v>839</v>
      </c>
      <c r="I563" s="1">
        <v>179.97</v>
      </c>
      <c r="J563" s="1">
        <v>3</v>
      </c>
      <c r="K563" s="1">
        <v>86.39</v>
      </c>
    </row>
    <row r="564" spans="1:11" ht="12.75" x14ac:dyDescent="0.2">
      <c r="A564" s="2">
        <v>42178</v>
      </c>
      <c r="B564" s="2" t="str">
        <f>TEXT(Table1[[#This Row],[Order Date]],"MMM")</f>
        <v>Jun</v>
      </c>
      <c r="C564" s="2" t="str">
        <f t="shared" si="8"/>
        <v>2015</v>
      </c>
      <c r="D564" s="1" t="s">
        <v>831</v>
      </c>
      <c r="E564" s="1" t="s">
        <v>187</v>
      </c>
      <c r="F564" s="1" t="s">
        <v>11</v>
      </c>
      <c r="G564" s="1" t="s">
        <v>12</v>
      </c>
      <c r="H564" s="1" t="s">
        <v>894</v>
      </c>
      <c r="I564" s="1">
        <v>30.82</v>
      </c>
      <c r="J564" s="1">
        <v>9</v>
      </c>
      <c r="K564" s="1">
        <v>9.6300000000000008</v>
      </c>
    </row>
    <row r="565" spans="1:11" ht="12.75" x14ac:dyDescent="0.2">
      <c r="A565" s="2">
        <v>42544</v>
      </c>
      <c r="B565" s="2" t="str">
        <f>TEXT(Table1[[#This Row],[Order Date]],"MMM")</f>
        <v>Jun</v>
      </c>
      <c r="C565" s="2" t="str">
        <f t="shared" si="8"/>
        <v>2016</v>
      </c>
      <c r="D565" s="1" t="s">
        <v>1102</v>
      </c>
      <c r="E565" s="1" t="s">
        <v>262</v>
      </c>
      <c r="F565" s="1" t="s">
        <v>11</v>
      </c>
      <c r="G565" s="1" t="s">
        <v>12</v>
      </c>
      <c r="H565" s="1" t="s">
        <v>333</v>
      </c>
      <c r="I565" s="1">
        <v>6.48</v>
      </c>
      <c r="J565" s="1">
        <v>1</v>
      </c>
      <c r="K565" s="1">
        <v>3.11</v>
      </c>
    </row>
    <row r="566" spans="1:11" ht="12.75" x14ac:dyDescent="0.2">
      <c r="A566" s="2">
        <v>41843</v>
      </c>
      <c r="B566" s="2" t="str">
        <f>TEXT(Table1[[#This Row],[Order Date]],"MMM")</f>
        <v>Jul</v>
      </c>
      <c r="C566" s="2" t="str">
        <f t="shared" si="8"/>
        <v>2014</v>
      </c>
      <c r="D566" s="1" t="s">
        <v>617</v>
      </c>
      <c r="E566" s="1" t="s">
        <v>187</v>
      </c>
      <c r="F566" s="1" t="s">
        <v>11</v>
      </c>
      <c r="G566" s="1" t="s">
        <v>20</v>
      </c>
      <c r="H566" s="1" t="s">
        <v>679</v>
      </c>
      <c r="I566" s="1">
        <v>11.23</v>
      </c>
      <c r="J566" s="1">
        <v>8</v>
      </c>
      <c r="K566" s="1">
        <v>-8.24</v>
      </c>
    </row>
    <row r="567" spans="1:11" ht="12.75" x14ac:dyDescent="0.2">
      <c r="A567" s="2">
        <v>41874</v>
      </c>
      <c r="B567" s="2" t="str">
        <f>TEXT(Table1[[#This Row],[Order Date]],"MMM")</f>
        <v>Aug</v>
      </c>
      <c r="C567" s="2" t="str">
        <f t="shared" si="8"/>
        <v>2014</v>
      </c>
      <c r="D567" s="1" t="s">
        <v>1279</v>
      </c>
      <c r="E567" s="1" t="s">
        <v>27</v>
      </c>
      <c r="F567" s="1" t="s">
        <v>11</v>
      </c>
      <c r="G567" s="1" t="s">
        <v>12</v>
      </c>
      <c r="H567" s="1" t="s">
        <v>1303</v>
      </c>
      <c r="I567" s="1">
        <v>15.54</v>
      </c>
      <c r="J567" s="1">
        <v>3</v>
      </c>
      <c r="K567" s="1">
        <v>7.61</v>
      </c>
    </row>
    <row r="568" spans="1:11" ht="12.75" x14ac:dyDescent="0.2">
      <c r="A568" s="2">
        <v>42239</v>
      </c>
      <c r="B568" s="2" t="str">
        <f>TEXT(Table1[[#This Row],[Order Date]],"MMM")</f>
        <v>Aug</v>
      </c>
      <c r="C568" s="2" t="str">
        <f t="shared" si="8"/>
        <v>2015</v>
      </c>
      <c r="D568" s="1" t="s">
        <v>581</v>
      </c>
      <c r="E568" s="1" t="s">
        <v>200</v>
      </c>
      <c r="F568" s="1" t="s">
        <v>11</v>
      </c>
      <c r="G568" s="1" t="s">
        <v>20</v>
      </c>
      <c r="H568" s="1" t="s">
        <v>682</v>
      </c>
      <c r="I568" s="1">
        <v>18.88</v>
      </c>
      <c r="J568" s="1">
        <v>3</v>
      </c>
      <c r="K568" s="1">
        <v>-13.85</v>
      </c>
    </row>
    <row r="569" spans="1:11" ht="12.75" x14ac:dyDescent="0.2">
      <c r="A569" s="2">
        <v>42970</v>
      </c>
      <c r="B569" s="2" t="str">
        <f>TEXT(Table1[[#This Row],[Order Date]],"MMM")</f>
        <v>Aug</v>
      </c>
      <c r="C569" s="2" t="str">
        <f t="shared" si="8"/>
        <v>2017</v>
      </c>
      <c r="D569" s="1" t="s">
        <v>1205</v>
      </c>
      <c r="E569" s="1" t="s">
        <v>120</v>
      </c>
      <c r="F569" s="1" t="s">
        <v>11</v>
      </c>
      <c r="G569" s="1" t="s">
        <v>80</v>
      </c>
      <c r="H569" s="1" t="s">
        <v>589</v>
      </c>
      <c r="I569" s="1">
        <v>355.32</v>
      </c>
      <c r="J569" s="1">
        <v>9</v>
      </c>
      <c r="K569" s="1">
        <v>99.49</v>
      </c>
    </row>
    <row r="570" spans="1:11" ht="12.75" x14ac:dyDescent="0.2">
      <c r="A570" s="2">
        <v>42636</v>
      </c>
      <c r="B570" s="2" t="str">
        <f>TEXT(Table1[[#This Row],[Order Date]],"MMM")</f>
        <v>Sep</v>
      </c>
      <c r="C570" s="2" t="str">
        <f t="shared" si="8"/>
        <v>2016</v>
      </c>
      <c r="D570" s="1" t="s">
        <v>477</v>
      </c>
      <c r="E570" s="1" t="s">
        <v>94</v>
      </c>
      <c r="F570" s="1" t="s">
        <v>38</v>
      </c>
      <c r="G570" s="1" t="s">
        <v>39</v>
      </c>
      <c r="H570" s="1" t="s">
        <v>1214</v>
      </c>
      <c r="I570" s="1">
        <v>14.78</v>
      </c>
      <c r="J570" s="1">
        <v>2</v>
      </c>
      <c r="K570" s="1">
        <v>3.99</v>
      </c>
    </row>
    <row r="571" spans="1:11" ht="12.75" x14ac:dyDescent="0.2">
      <c r="A571" s="2">
        <v>41966</v>
      </c>
      <c r="B571" s="2" t="str">
        <f>TEXT(Table1[[#This Row],[Order Date]],"MMM")</f>
        <v>Nov</v>
      </c>
      <c r="C571" s="2" t="str">
        <f t="shared" si="8"/>
        <v>2014</v>
      </c>
      <c r="D571" s="1" t="s">
        <v>1242</v>
      </c>
      <c r="E571" s="1" t="s">
        <v>187</v>
      </c>
      <c r="F571" s="1" t="s">
        <v>11</v>
      </c>
      <c r="G571" s="1" t="s">
        <v>16</v>
      </c>
      <c r="H571" s="1" t="s">
        <v>570</v>
      </c>
      <c r="I571" s="1">
        <v>9.2200000000000006</v>
      </c>
      <c r="J571" s="1">
        <v>4</v>
      </c>
      <c r="K571" s="1">
        <v>3.34</v>
      </c>
    </row>
    <row r="572" spans="1:11" ht="12.75" x14ac:dyDescent="0.2">
      <c r="A572" s="2">
        <v>42331</v>
      </c>
      <c r="B572" s="2" t="str">
        <f>TEXT(Table1[[#This Row],[Order Date]],"MMM")</f>
        <v>Nov</v>
      </c>
      <c r="C572" s="2" t="str">
        <f t="shared" si="8"/>
        <v>2015</v>
      </c>
      <c r="D572" s="1" t="s">
        <v>653</v>
      </c>
      <c r="E572" s="1" t="s">
        <v>200</v>
      </c>
      <c r="F572" s="1" t="s">
        <v>11</v>
      </c>
      <c r="G572" s="1" t="s">
        <v>12</v>
      </c>
      <c r="H572" s="1" t="s">
        <v>782</v>
      </c>
      <c r="I572" s="1">
        <v>15.48</v>
      </c>
      <c r="J572" s="1">
        <v>3</v>
      </c>
      <c r="K572" s="1">
        <v>5.61</v>
      </c>
    </row>
    <row r="573" spans="1:11" ht="12.75" x14ac:dyDescent="0.2">
      <c r="A573" s="2">
        <v>42697</v>
      </c>
      <c r="B573" s="2" t="str">
        <f>TEXT(Table1[[#This Row],[Order Date]],"MMM")</f>
        <v>Nov</v>
      </c>
      <c r="C573" s="2" t="str">
        <f t="shared" si="8"/>
        <v>2016</v>
      </c>
      <c r="D573" s="1" t="s">
        <v>213</v>
      </c>
      <c r="E573" s="1" t="s">
        <v>15</v>
      </c>
      <c r="F573" s="1" t="s">
        <v>11</v>
      </c>
      <c r="G573" s="1" t="s">
        <v>12</v>
      </c>
      <c r="H573" s="1" t="s">
        <v>1245</v>
      </c>
      <c r="I573" s="1">
        <v>64.62</v>
      </c>
      <c r="J573" s="1">
        <v>7</v>
      </c>
      <c r="K573" s="1">
        <v>22.62</v>
      </c>
    </row>
    <row r="574" spans="1:11" ht="12.75" x14ac:dyDescent="0.2">
      <c r="A574" s="2">
        <v>43062</v>
      </c>
      <c r="B574" s="2" t="str">
        <f>TEXT(Table1[[#This Row],[Order Date]],"MMM")</f>
        <v>Nov</v>
      </c>
      <c r="C574" s="2" t="str">
        <f t="shared" si="8"/>
        <v>2017</v>
      </c>
      <c r="D574" s="1" t="s">
        <v>871</v>
      </c>
      <c r="E574" s="1" t="s">
        <v>23</v>
      </c>
      <c r="F574" s="1" t="s">
        <v>38</v>
      </c>
      <c r="G574" s="1" t="s">
        <v>39</v>
      </c>
      <c r="H574" s="1" t="s">
        <v>140</v>
      </c>
      <c r="I574" s="1">
        <v>290.89999999999998</v>
      </c>
      <c r="J574" s="1">
        <v>3</v>
      </c>
      <c r="K574" s="1">
        <v>-67.88</v>
      </c>
    </row>
    <row r="575" spans="1:11" ht="12.75" x14ac:dyDescent="0.2">
      <c r="A575" s="2">
        <v>41996</v>
      </c>
      <c r="B575" s="2" t="str">
        <f>TEXT(Table1[[#This Row],[Order Date]],"MMM")</f>
        <v>Dec</v>
      </c>
      <c r="C575" s="2" t="str">
        <f t="shared" si="8"/>
        <v>2014</v>
      </c>
      <c r="D575" s="1" t="s">
        <v>1195</v>
      </c>
      <c r="E575" s="1" t="s">
        <v>120</v>
      </c>
      <c r="F575" s="1" t="s">
        <v>38</v>
      </c>
      <c r="G575" s="1" t="s">
        <v>48</v>
      </c>
      <c r="H575" s="1" t="s">
        <v>1032</v>
      </c>
      <c r="I575" s="1">
        <v>6.79</v>
      </c>
      <c r="J575" s="1">
        <v>1</v>
      </c>
      <c r="K575" s="1">
        <v>2.31</v>
      </c>
    </row>
    <row r="576" spans="1:11" ht="12.75" x14ac:dyDescent="0.2">
      <c r="A576" s="2">
        <v>42361</v>
      </c>
      <c r="B576" s="2" t="str">
        <f>TEXT(Table1[[#This Row],[Order Date]],"MMM")</f>
        <v>Dec</v>
      </c>
      <c r="C576" s="2" t="str">
        <f t="shared" si="8"/>
        <v>2015</v>
      </c>
      <c r="D576" s="1" t="s">
        <v>897</v>
      </c>
      <c r="E576" s="1" t="s">
        <v>120</v>
      </c>
      <c r="F576" s="1" t="s">
        <v>11</v>
      </c>
      <c r="G576" s="1" t="s">
        <v>24</v>
      </c>
      <c r="H576" s="1" t="s">
        <v>887</v>
      </c>
      <c r="I576" s="1">
        <v>75.48</v>
      </c>
      <c r="J576" s="1">
        <v>2</v>
      </c>
      <c r="K576" s="1">
        <v>19.62</v>
      </c>
    </row>
    <row r="577" spans="1:11" ht="12.75" x14ac:dyDescent="0.2">
      <c r="A577" s="2">
        <v>42727</v>
      </c>
      <c r="B577" s="2" t="str">
        <f>TEXT(Table1[[#This Row],[Order Date]],"MMM")</f>
        <v>Dec</v>
      </c>
      <c r="C577" s="2" t="str">
        <f t="shared" si="8"/>
        <v>2016</v>
      </c>
      <c r="D577" s="1" t="s">
        <v>295</v>
      </c>
      <c r="E577" s="1" t="s">
        <v>23</v>
      </c>
      <c r="F577" s="1" t="s">
        <v>11</v>
      </c>
      <c r="G577" s="1" t="s">
        <v>20</v>
      </c>
      <c r="H577" s="1" t="s">
        <v>1140</v>
      </c>
      <c r="I577" s="1">
        <v>1141.47</v>
      </c>
      <c r="J577" s="1">
        <v>5</v>
      </c>
      <c r="K577" s="1">
        <v>-760.98</v>
      </c>
    </row>
    <row r="578" spans="1:11" ht="12.75" x14ac:dyDescent="0.2">
      <c r="A578" s="2">
        <v>43092</v>
      </c>
      <c r="B578" s="2" t="str">
        <f>TEXT(Table1[[#This Row],[Order Date]],"MMM")</f>
        <v>Dec</v>
      </c>
      <c r="C578" s="2" t="str">
        <f t="shared" ref="C578:C641" si="9">TEXT(A578,"YYY")</f>
        <v>2017</v>
      </c>
      <c r="D578" s="1" t="s">
        <v>1106</v>
      </c>
      <c r="E578" s="1" t="s">
        <v>10</v>
      </c>
      <c r="F578" s="1" t="s">
        <v>11</v>
      </c>
      <c r="G578" s="1" t="s">
        <v>18</v>
      </c>
      <c r="H578" s="1" t="s">
        <v>1283</v>
      </c>
      <c r="I578" s="1">
        <v>35.950000000000003</v>
      </c>
      <c r="J578" s="1">
        <v>3</v>
      </c>
      <c r="K578" s="1">
        <v>3.6</v>
      </c>
    </row>
    <row r="579" spans="1:11" ht="12.75" x14ac:dyDescent="0.2">
      <c r="A579" s="2">
        <v>42393</v>
      </c>
      <c r="B579" s="2" t="str">
        <f>TEXT(Table1[[#This Row],[Order Date]],"MMM")</f>
        <v>Jan</v>
      </c>
      <c r="C579" s="2" t="str">
        <f t="shared" si="9"/>
        <v>2016</v>
      </c>
      <c r="D579" s="1" t="s">
        <v>1167</v>
      </c>
      <c r="E579" s="1" t="s">
        <v>120</v>
      </c>
      <c r="F579" s="1" t="s">
        <v>11</v>
      </c>
      <c r="G579" s="1" t="s">
        <v>18</v>
      </c>
      <c r="H579" s="1" t="s">
        <v>1307</v>
      </c>
      <c r="I579" s="1">
        <v>59.48</v>
      </c>
      <c r="J579" s="1">
        <v>2</v>
      </c>
      <c r="K579" s="1">
        <v>8.92</v>
      </c>
    </row>
    <row r="580" spans="1:11" ht="12.75" x14ac:dyDescent="0.2">
      <c r="A580" s="2">
        <v>42759</v>
      </c>
      <c r="B580" s="2" t="str">
        <f>TEXT(Table1[[#This Row],[Order Date]],"MMM")</f>
        <v>Jan</v>
      </c>
      <c r="C580" s="2" t="str">
        <f t="shared" si="9"/>
        <v>2017</v>
      </c>
      <c r="D580" s="1" t="s">
        <v>1219</v>
      </c>
      <c r="E580" s="1" t="s">
        <v>27</v>
      </c>
      <c r="F580" s="1" t="s">
        <v>11</v>
      </c>
      <c r="G580" s="1" t="s">
        <v>12</v>
      </c>
      <c r="H580" s="1" t="s">
        <v>608</v>
      </c>
      <c r="I580" s="1">
        <v>7.61</v>
      </c>
      <c r="J580" s="1">
        <v>1</v>
      </c>
      <c r="K580" s="1">
        <v>3.58</v>
      </c>
    </row>
    <row r="581" spans="1:11" ht="12.75" x14ac:dyDescent="0.2">
      <c r="A581" s="2">
        <v>41722</v>
      </c>
      <c r="B581" s="2" t="str">
        <f>TEXT(Table1[[#This Row],[Order Date]],"MMM")</f>
        <v>Mar</v>
      </c>
      <c r="C581" s="2" t="str">
        <f t="shared" si="9"/>
        <v>2014</v>
      </c>
      <c r="D581" s="1" t="s">
        <v>1074</v>
      </c>
      <c r="E581" s="1" t="s">
        <v>200</v>
      </c>
      <c r="F581" s="1" t="s">
        <v>33</v>
      </c>
      <c r="G581" s="1" t="s">
        <v>44</v>
      </c>
      <c r="H581" s="1" t="s">
        <v>316</v>
      </c>
      <c r="I581" s="1">
        <v>15.14</v>
      </c>
      <c r="J581" s="1">
        <v>4</v>
      </c>
      <c r="K581" s="1">
        <v>3.59</v>
      </c>
    </row>
    <row r="582" spans="1:11" ht="12.75" x14ac:dyDescent="0.2">
      <c r="A582" s="2">
        <v>42087</v>
      </c>
      <c r="B582" s="2" t="str">
        <f>TEXT(Table1[[#This Row],[Order Date]],"MMM")</f>
        <v>Mar</v>
      </c>
      <c r="C582" s="2" t="str">
        <f t="shared" si="9"/>
        <v>2015</v>
      </c>
      <c r="D582" s="1" t="s">
        <v>1071</v>
      </c>
      <c r="E582" s="1" t="s">
        <v>23</v>
      </c>
      <c r="F582" s="1" t="s">
        <v>11</v>
      </c>
      <c r="G582" s="1" t="s">
        <v>12</v>
      </c>
      <c r="H582" s="1" t="s">
        <v>1309</v>
      </c>
      <c r="I582" s="1">
        <v>5.34</v>
      </c>
      <c r="J582" s="1">
        <v>1</v>
      </c>
      <c r="K582" s="1">
        <v>1.87</v>
      </c>
    </row>
    <row r="583" spans="1:11" ht="12.75" x14ac:dyDescent="0.2">
      <c r="A583" s="2">
        <v>42453</v>
      </c>
      <c r="B583" s="2" t="str">
        <f>TEXT(Table1[[#This Row],[Order Date]],"MMM")</f>
        <v>Mar</v>
      </c>
      <c r="C583" s="2" t="str">
        <f t="shared" si="9"/>
        <v>2016</v>
      </c>
      <c r="D583" s="1" t="s">
        <v>1207</v>
      </c>
      <c r="E583" s="1" t="s">
        <v>120</v>
      </c>
      <c r="F583" s="1" t="s">
        <v>11</v>
      </c>
      <c r="G583" s="1" t="s">
        <v>20</v>
      </c>
      <c r="H583" s="1" t="s">
        <v>788</v>
      </c>
      <c r="I583" s="1">
        <v>4.62</v>
      </c>
      <c r="J583" s="1">
        <v>1</v>
      </c>
      <c r="K583" s="1">
        <v>1.73</v>
      </c>
    </row>
    <row r="584" spans="1:11" ht="12.75" x14ac:dyDescent="0.2">
      <c r="A584" s="2">
        <v>42818</v>
      </c>
      <c r="B584" s="2" t="str">
        <f>TEXT(Table1[[#This Row],[Order Date]],"MMM")</f>
        <v>Mar</v>
      </c>
      <c r="C584" s="2" t="str">
        <f t="shared" si="9"/>
        <v>2017</v>
      </c>
      <c r="D584" s="1" t="s">
        <v>849</v>
      </c>
      <c r="E584" s="1" t="s">
        <v>15</v>
      </c>
      <c r="F584" s="1" t="s">
        <v>33</v>
      </c>
      <c r="G584" s="1" t="s">
        <v>34</v>
      </c>
      <c r="H584" s="1" t="s">
        <v>613</v>
      </c>
      <c r="I584" s="1">
        <v>701.37</v>
      </c>
      <c r="J584" s="1">
        <v>2</v>
      </c>
      <c r="K584" s="1">
        <v>-50.1</v>
      </c>
    </row>
    <row r="585" spans="1:11" ht="12.75" x14ac:dyDescent="0.2">
      <c r="A585" s="2">
        <v>42118</v>
      </c>
      <c r="B585" s="2" t="str">
        <f>TEXT(Table1[[#This Row],[Order Date]],"MMM")</f>
        <v>Apr</v>
      </c>
      <c r="C585" s="2" t="str">
        <f t="shared" si="9"/>
        <v>2015</v>
      </c>
      <c r="D585" s="1" t="s">
        <v>303</v>
      </c>
      <c r="E585" s="1" t="s">
        <v>27</v>
      </c>
      <c r="F585" s="1" t="s">
        <v>11</v>
      </c>
      <c r="G585" s="1" t="s">
        <v>12</v>
      </c>
      <c r="H585" s="1" t="s">
        <v>461</v>
      </c>
      <c r="I585" s="1">
        <v>65.790000000000006</v>
      </c>
      <c r="J585" s="1">
        <v>9</v>
      </c>
      <c r="K585" s="1">
        <v>30.26</v>
      </c>
    </row>
    <row r="586" spans="1:11" ht="12.75" x14ac:dyDescent="0.2">
      <c r="A586" s="2">
        <v>42484</v>
      </c>
      <c r="B586" s="2" t="str">
        <f>TEXT(Table1[[#This Row],[Order Date]],"MMM")</f>
        <v>Apr</v>
      </c>
      <c r="C586" s="2" t="str">
        <f t="shared" si="9"/>
        <v>2016</v>
      </c>
      <c r="D586" s="1" t="s">
        <v>510</v>
      </c>
      <c r="E586" s="1" t="s">
        <v>68</v>
      </c>
      <c r="F586" s="1" t="s">
        <v>33</v>
      </c>
      <c r="G586" s="1" t="s">
        <v>44</v>
      </c>
      <c r="H586" s="1" t="s">
        <v>152</v>
      </c>
      <c r="I586" s="1">
        <v>532.70000000000005</v>
      </c>
      <c r="J586" s="1">
        <v>6</v>
      </c>
      <c r="K586" s="1">
        <v>-26.64</v>
      </c>
    </row>
    <row r="587" spans="1:11" ht="12.75" x14ac:dyDescent="0.2">
      <c r="A587" s="2">
        <v>42849</v>
      </c>
      <c r="B587" s="2" t="str">
        <f>TEXT(Table1[[#This Row],[Order Date]],"MMM")</f>
        <v>Apr</v>
      </c>
      <c r="C587" s="2" t="str">
        <f t="shared" si="9"/>
        <v>2017</v>
      </c>
      <c r="D587" s="1" t="s">
        <v>895</v>
      </c>
      <c r="E587" s="1" t="s">
        <v>68</v>
      </c>
      <c r="F587" s="1" t="s">
        <v>33</v>
      </c>
      <c r="G587" s="1" t="s">
        <v>34</v>
      </c>
      <c r="H587" s="1" t="s">
        <v>1143</v>
      </c>
      <c r="I587" s="1">
        <v>155.37</v>
      </c>
      <c r="J587" s="1">
        <v>2</v>
      </c>
      <c r="K587" s="1">
        <v>-13.32</v>
      </c>
    </row>
    <row r="588" spans="1:11" ht="12.75" x14ac:dyDescent="0.2">
      <c r="A588" s="2">
        <v>41783</v>
      </c>
      <c r="B588" s="2" t="str">
        <f>TEXT(Table1[[#This Row],[Order Date]],"MMM")</f>
        <v>May</v>
      </c>
      <c r="C588" s="2" t="str">
        <f t="shared" si="9"/>
        <v>2014</v>
      </c>
      <c r="D588" s="1" t="s">
        <v>146</v>
      </c>
      <c r="E588" s="1" t="s">
        <v>15</v>
      </c>
      <c r="F588" s="1" t="s">
        <v>33</v>
      </c>
      <c r="G588" s="1" t="s">
        <v>34</v>
      </c>
      <c r="H588" s="1" t="s">
        <v>90</v>
      </c>
      <c r="I588" s="1">
        <v>747.56</v>
      </c>
      <c r="J588" s="1">
        <v>3</v>
      </c>
      <c r="K588" s="1">
        <v>-96.11</v>
      </c>
    </row>
    <row r="589" spans="1:11" ht="12.75" x14ac:dyDescent="0.2">
      <c r="A589" s="2">
        <v>41814</v>
      </c>
      <c r="B589" s="2" t="str">
        <f>TEXT(Table1[[#This Row],[Order Date]],"MMM")</f>
        <v>Jun</v>
      </c>
      <c r="C589" s="2" t="str">
        <f t="shared" si="9"/>
        <v>2014</v>
      </c>
      <c r="D589" s="1" t="s">
        <v>614</v>
      </c>
      <c r="E589" s="1" t="s">
        <v>10</v>
      </c>
      <c r="F589" s="1" t="s">
        <v>33</v>
      </c>
      <c r="G589" s="1" t="s">
        <v>65</v>
      </c>
      <c r="H589" s="1" t="s">
        <v>1174</v>
      </c>
      <c r="I589" s="1">
        <v>956.66</v>
      </c>
      <c r="J589" s="1">
        <v>7</v>
      </c>
      <c r="K589" s="1">
        <v>-225.1</v>
      </c>
    </row>
    <row r="590" spans="1:11" ht="12.75" x14ac:dyDescent="0.2">
      <c r="A590" s="2">
        <v>42545</v>
      </c>
      <c r="B590" s="2" t="str">
        <f>TEXT(Table1[[#This Row],[Order Date]],"MMM")</f>
        <v>Jun</v>
      </c>
      <c r="C590" s="2" t="str">
        <f t="shared" si="9"/>
        <v>2016</v>
      </c>
      <c r="D590" s="1" t="s">
        <v>1097</v>
      </c>
      <c r="E590" s="1" t="s">
        <v>23</v>
      </c>
      <c r="F590" s="1" t="s">
        <v>11</v>
      </c>
      <c r="G590" s="1" t="s">
        <v>16</v>
      </c>
      <c r="H590" s="1" t="s">
        <v>150</v>
      </c>
      <c r="I590" s="1">
        <v>15.94</v>
      </c>
      <c r="J590" s="1">
        <v>4</v>
      </c>
      <c r="K590" s="1">
        <v>5.18</v>
      </c>
    </row>
    <row r="591" spans="1:11" ht="12.75" x14ac:dyDescent="0.2">
      <c r="A591" s="2">
        <v>41875</v>
      </c>
      <c r="B591" s="2" t="str">
        <f>TEXT(Table1[[#This Row],[Order Date]],"MMM")</f>
        <v>Aug</v>
      </c>
      <c r="C591" s="2" t="str">
        <f t="shared" si="9"/>
        <v>2014</v>
      </c>
      <c r="D591" s="1" t="s">
        <v>1170</v>
      </c>
      <c r="E591" s="1" t="s">
        <v>120</v>
      </c>
      <c r="F591" s="1" t="s">
        <v>11</v>
      </c>
      <c r="G591" s="1" t="s">
        <v>80</v>
      </c>
      <c r="H591" s="1" t="s">
        <v>747</v>
      </c>
      <c r="I591" s="1">
        <v>61.44</v>
      </c>
      <c r="J591" s="1">
        <v>3</v>
      </c>
      <c r="K591" s="1">
        <v>16.59</v>
      </c>
    </row>
    <row r="592" spans="1:11" ht="12.75" x14ac:dyDescent="0.2">
      <c r="A592" s="2">
        <v>42971</v>
      </c>
      <c r="B592" s="2" t="str">
        <f>TEXT(Table1[[#This Row],[Order Date]],"MMM")</f>
        <v>Aug</v>
      </c>
      <c r="C592" s="2" t="str">
        <f t="shared" si="9"/>
        <v>2017</v>
      </c>
      <c r="D592" s="1" t="s">
        <v>982</v>
      </c>
      <c r="E592" s="1" t="s">
        <v>27</v>
      </c>
      <c r="F592" s="1" t="s">
        <v>11</v>
      </c>
      <c r="G592" s="1" t="s">
        <v>20</v>
      </c>
      <c r="H592" s="1" t="s">
        <v>864</v>
      </c>
      <c r="I592" s="1">
        <v>27.26</v>
      </c>
      <c r="J592" s="1">
        <v>2</v>
      </c>
      <c r="K592" s="1">
        <v>8.86</v>
      </c>
    </row>
    <row r="593" spans="1:11" ht="12.75" x14ac:dyDescent="0.2">
      <c r="A593" s="2">
        <v>41906</v>
      </c>
      <c r="B593" s="2" t="str">
        <f>TEXT(Table1[[#This Row],[Order Date]],"MMM")</f>
        <v>Sep</v>
      </c>
      <c r="C593" s="2" t="str">
        <f t="shared" si="9"/>
        <v>2014</v>
      </c>
      <c r="D593" s="1" t="s">
        <v>1067</v>
      </c>
      <c r="E593" s="1" t="s">
        <v>10</v>
      </c>
      <c r="F593" s="1" t="s">
        <v>33</v>
      </c>
      <c r="G593" s="1" t="s">
        <v>44</v>
      </c>
      <c r="H593" s="1" t="s">
        <v>1221</v>
      </c>
      <c r="I593" s="1">
        <v>51.71</v>
      </c>
      <c r="J593" s="1">
        <v>8</v>
      </c>
      <c r="K593" s="1">
        <v>-32.32</v>
      </c>
    </row>
    <row r="594" spans="1:11" ht="12.75" x14ac:dyDescent="0.2">
      <c r="A594" s="2">
        <v>42271</v>
      </c>
      <c r="B594" s="2" t="str">
        <f>TEXT(Table1[[#This Row],[Order Date]],"MMM")</f>
        <v>Sep</v>
      </c>
      <c r="C594" s="2" t="str">
        <f t="shared" si="9"/>
        <v>2015</v>
      </c>
      <c r="D594" s="1" t="s">
        <v>224</v>
      </c>
      <c r="E594" s="1" t="s">
        <v>134</v>
      </c>
      <c r="F594" s="1" t="s">
        <v>38</v>
      </c>
      <c r="G594" s="1" t="s">
        <v>48</v>
      </c>
      <c r="H594" s="1" t="s">
        <v>758</v>
      </c>
      <c r="I594" s="1">
        <v>177</v>
      </c>
      <c r="J594" s="1">
        <v>3</v>
      </c>
      <c r="K594" s="1">
        <v>30.09</v>
      </c>
    </row>
    <row r="595" spans="1:11" ht="12.75" x14ac:dyDescent="0.2">
      <c r="A595" s="2">
        <v>42637</v>
      </c>
      <c r="B595" s="2" t="str">
        <f>TEXT(Table1[[#This Row],[Order Date]],"MMM")</f>
        <v>Sep</v>
      </c>
      <c r="C595" s="2" t="str">
        <f t="shared" si="9"/>
        <v>2016</v>
      </c>
      <c r="D595" s="1" t="s">
        <v>1232</v>
      </c>
      <c r="E595" s="1" t="s">
        <v>211</v>
      </c>
      <c r="F595" s="1" t="s">
        <v>11</v>
      </c>
      <c r="G595" s="1" t="s">
        <v>12</v>
      </c>
      <c r="H595" s="1" t="s">
        <v>1312</v>
      </c>
      <c r="I595" s="1">
        <v>45.68</v>
      </c>
      <c r="J595" s="1">
        <v>2</v>
      </c>
      <c r="K595" s="1">
        <v>21.01</v>
      </c>
    </row>
    <row r="596" spans="1:11" ht="12.75" x14ac:dyDescent="0.2">
      <c r="A596" s="2">
        <v>43032</v>
      </c>
      <c r="B596" s="2" t="str">
        <f>TEXT(Table1[[#This Row],[Order Date]],"MMM")</f>
        <v>Oct</v>
      </c>
      <c r="C596" s="2" t="str">
        <f t="shared" si="9"/>
        <v>2017</v>
      </c>
      <c r="D596" s="1" t="s">
        <v>1120</v>
      </c>
      <c r="E596" s="1" t="s">
        <v>27</v>
      </c>
      <c r="F596" s="1" t="s">
        <v>11</v>
      </c>
      <c r="G596" s="1" t="s">
        <v>20</v>
      </c>
      <c r="H596" s="1" t="s">
        <v>391</v>
      </c>
      <c r="I596" s="1">
        <v>18.16</v>
      </c>
      <c r="J596" s="1">
        <v>5</v>
      </c>
      <c r="K596" s="1">
        <v>6.58</v>
      </c>
    </row>
    <row r="597" spans="1:11" ht="12.75" x14ac:dyDescent="0.2">
      <c r="A597" s="2">
        <v>41967</v>
      </c>
      <c r="B597" s="2" t="str">
        <f>TEXT(Table1[[#This Row],[Order Date]],"MMM")</f>
        <v>Nov</v>
      </c>
      <c r="C597" s="2" t="str">
        <f t="shared" si="9"/>
        <v>2014</v>
      </c>
      <c r="D597" s="1" t="s">
        <v>1125</v>
      </c>
      <c r="E597" s="1" t="s">
        <v>23</v>
      </c>
      <c r="F597" s="1" t="s">
        <v>33</v>
      </c>
      <c r="G597" s="1" t="s">
        <v>34</v>
      </c>
      <c r="H597" s="1" t="s">
        <v>463</v>
      </c>
      <c r="I597" s="1">
        <v>492.84</v>
      </c>
      <c r="J597" s="1">
        <v>5</v>
      </c>
      <c r="K597" s="1">
        <v>-14.08</v>
      </c>
    </row>
    <row r="598" spans="1:11" ht="12.75" x14ac:dyDescent="0.2">
      <c r="A598" s="2">
        <v>42332</v>
      </c>
      <c r="B598" s="2" t="str">
        <f>TEXT(Table1[[#This Row],[Order Date]],"MMM")</f>
        <v>Nov</v>
      </c>
      <c r="C598" s="2" t="str">
        <f t="shared" si="9"/>
        <v>2015</v>
      </c>
      <c r="D598" s="1" t="s">
        <v>599</v>
      </c>
      <c r="E598" s="1" t="s">
        <v>51</v>
      </c>
      <c r="F598" s="1" t="s">
        <v>38</v>
      </c>
      <c r="G598" s="1" t="s">
        <v>39</v>
      </c>
      <c r="H598" s="1" t="s">
        <v>416</v>
      </c>
      <c r="I598" s="1">
        <v>21.8</v>
      </c>
      <c r="J598" s="1">
        <v>2</v>
      </c>
      <c r="K598" s="1">
        <v>6.1</v>
      </c>
    </row>
    <row r="599" spans="1:11" ht="12.75" x14ac:dyDescent="0.2">
      <c r="A599" s="2">
        <v>41997</v>
      </c>
      <c r="B599" s="2" t="str">
        <f>TEXT(Table1[[#This Row],[Order Date]],"MMM")</f>
        <v>Dec</v>
      </c>
      <c r="C599" s="2" t="str">
        <f t="shared" si="9"/>
        <v>2014</v>
      </c>
      <c r="D599" s="1" t="s">
        <v>190</v>
      </c>
      <c r="E599" s="1" t="s">
        <v>262</v>
      </c>
      <c r="F599" s="1" t="s">
        <v>11</v>
      </c>
      <c r="G599" s="1" t="s">
        <v>24</v>
      </c>
      <c r="H599" s="1" t="s">
        <v>738</v>
      </c>
      <c r="I599" s="1">
        <v>75.959999999999994</v>
      </c>
      <c r="J599" s="1">
        <v>2</v>
      </c>
      <c r="K599" s="1">
        <v>22.79</v>
      </c>
    </row>
    <row r="600" spans="1:11" ht="12.75" x14ac:dyDescent="0.2">
      <c r="A600" s="2">
        <v>42362</v>
      </c>
      <c r="B600" s="2" t="str">
        <f>TEXT(Table1[[#This Row],[Order Date]],"MMM")</f>
        <v>Dec</v>
      </c>
      <c r="C600" s="2" t="str">
        <f t="shared" si="9"/>
        <v>2015</v>
      </c>
      <c r="D600" s="1" t="s">
        <v>794</v>
      </c>
      <c r="E600" s="1" t="s">
        <v>27</v>
      </c>
      <c r="F600" s="1" t="s">
        <v>11</v>
      </c>
      <c r="G600" s="1" t="s">
        <v>20</v>
      </c>
      <c r="H600" s="1" t="s">
        <v>1228</v>
      </c>
      <c r="I600" s="1">
        <v>29.12</v>
      </c>
      <c r="J600" s="1">
        <v>5</v>
      </c>
      <c r="K600" s="1">
        <v>9.83</v>
      </c>
    </row>
    <row r="601" spans="1:11" ht="12.75" x14ac:dyDescent="0.2">
      <c r="A601" s="2">
        <v>42728</v>
      </c>
      <c r="B601" s="2" t="str">
        <f>TEXT(Table1[[#This Row],[Order Date]],"MMM")</f>
        <v>Dec</v>
      </c>
      <c r="C601" s="2" t="str">
        <f t="shared" si="9"/>
        <v>2016</v>
      </c>
      <c r="D601" s="1" t="s">
        <v>1132</v>
      </c>
      <c r="E601" s="1" t="s">
        <v>134</v>
      </c>
      <c r="F601" s="1" t="s">
        <v>11</v>
      </c>
      <c r="G601" s="1" t="s">
        <v>20</v>
      </c>
      <c r="H601" s="1" t="s">
        <v>1137</v>
      </c>
      <c r="I601" s="1">
        <v>27.68</v>
      </c>
      <c r="J601" s="1">
        <v>2</v>
      </c>
      <c r="K601" s="1">
        <v>9.69</v>
      </c>
    </row>
    <row r="602" spans="1:11" ht="12.75" x14ac:dyDescent="0.2">
      <c r="A602" s="2">
        <v>43093</v>
      </c>
      <c r="B602" s="2" t="str">
        <f>TEXT(Table1[[#This Row],[Order Date]],"MMM")</f>
        <v>Dec</v>
      </c>
      <c r="C602" s="2" t="str">
        <f t="shared" si="9"/>
        <v>2017</v>
      </c>
      <c r="D602" s="1" t="s">
        <v>1210</v>
      </c>
      <c r="E602" s="1" t="s">
        <v>32</v>
      </c>
      <c r="F602" s="1" t="s">
        <v>33</v>
      </c>
      <c r="G602" s="1" t="s">
        <v>65</v>
      </c>
      <c r="H602" s="1" t="s">
        <v>1278</v>
      </c>
      <c r="I602" s="1">
        <v>261.95999999999998</v>
      </c>
      <c r="J602" s="1">
        <v>2</v>
      </c>
      <c r="K602" s="1">
        <v>41.91</v>
      </c>
    </row>
    <row r="603" spans="1:11" ht="12.75" x14ac:dyDescent="0.2">
      <c r="A603" s="2">
        <v>42394</v>
      </c>
      <c r="B603" s="2" t="str">
        <f>TEXT(Table1[[#This Row],[Order Date]],"MMM")</f>
        <v>Jan</v>
      </c>
      <c r="C603" s="2" t="str">
        <f t="shared" si="9"/>
        <v>2016</v>
      </c>
      <c r="D603" s="1" t="s">
        <v>1030</v>
      </c>
      <c r="E603" s="1" t="s">
        <v>27</v>
      </c>
      <c r="F603" s="1" t="s">
        <v>11</v>
      </c>
      <c r="G603" s="1" t="s">
        <v>18</v>
      </c>
      <c r="H603" s="1" t="s">
        <v>977</v>
      </c>
      <c r="I603" s="1">
        <v>155.82</v>
      </c>
      <c r="J603" s="1">
        <v>7</v>
      </c>
      <c r="K603" s="1">
        <v>42.07</v>
      </c>
    </row>
    <row r="604" spans="1:11" ht="12.75" x14ac:dyDescent="0.2">
      <c r="A604" s="2">
        <v>42791</v>
      </c>
      <c r="B604" s="2" t="str">
        <f>TEXT(Table1[[#This Row],[Order Date]],"MMM")</f>
        <v>Feb</v>
      </c>
      <c r="C604" s="2" t="str">
        <f t="shared" si="9"/>
        <v>2017</v>
      </c>
      <c r="D604" s="1" t="s">
        <v>1269</v>
      </c>
      <c r="E604" s="1" t="s">
        <v>120</v>
      </c>
      <c r="F604" s="1" t="s">
        <v>38</v>
      </c>
      <c r="G604" s="1" t="s">
        <v>48</v>
      </c>
      <c r="H604" s="1" t="s">
        <v>958</v>
      </c>
      <c r="I604" s="1">
        <v>59.97</v>
      </c>
      <c r="J604" s="1">
        <v>3</v>
      </c>
      <c r="K604" s="1">
        <v>14.99</v>
      </c>
    </row>
    <row r="605" spans="1:11" ht="12.75" x14ac:dyDescent="0.2">
      <c r="A605" s="2">
        <v>41723</v>
      </c>
      <c r="B605" s="2" t="str">
        <f>TEXT(Table1[[#This Row],[Order Date]],"MMM")</f>
        <v>Mar</v>
      </c>
      <c r="C605" s="2" t="str">
        <f t="shared" si="9"/>
        <v>2014</v>
      </c>
      <c r="D605" s="1" t="s">
        <v>254</v>
      </c>
      <c r="E605" s="1" t="s">
        <v>83</v>
      </c>
      <c r="F605" s="1" t="s">
        <v>11</v>
      </c>
      <c r="G605" s="1" t="s">
        <v>20</v>
      </c>
      <c r="H605" s="1" t="s">
        <v>848</v>
      </c>
      <c r="I605" s="1">
        <v>6.27</v>
      </c>
      <c r="J605" s="1">
        <v>5</v>
      </c>
      <c r="K605" s="1">
        <v>-4.5999999999999996</v>
      </c>
    </row>
    <row r="606" spans="1:11" ht="12.75" x14ac:dyDescent="0.2">
      <c r="A606" s="2">
        <v>42454</v>
      </c>
      <c r="B606" s="2" t="str">
        <f>TEXT(Table1[[#This Row],[Order Date]],"MMM")</f>
        <v>Mar</v>
      </c>
      <c r="C606" s="2" t="str">
        <f t="shared" si="9"/>
        <v>2016</v>
      </c>
      <c r="D606" s="1" t="s">
        <v>708</v>
      </c>
      <c r="E606" s="1" t="s">
        <v>134</v>
      </c>
      <c r="F606" s="1" t="s">
        <v>11</v>
      </c>
      <c r="G606" s="1" t="s">
        <v>24</v>
      </c>
      <c r="H606" s="1" t="s">
        <v>785</v>
      </c>
      <c r="I606" s="1">
        <v>44.02</v>
      </c>
      <c r="J606" s="1">
        <v>2</v>
      </c>
      <c r="K606" s="1">
        <v>11.45</v>
      </c>
    </row>
    <row r="607" spans="1:11" ht="12.75" x14ac:dyDescent="0.2">
      <c r="A607" s="2">
        <v>41754</v>
      </c>
      <c r="B607" s="2" t="str">
        <f>TEXT(Table1[[#This Row],[Order Date]],"MMM")</f>
        <v>Apr</v>
      </c>
      <c r="C607" s="2" t="str">
        <f t="shared" si="9"/>
        <v>2014</v>
      </c>
      <c r="D607" s="1" t="s">
        <v>359</v>
      </c>
      <c r="E607" s="1" t="s">
        <v>30</v>
      </c>
      <c r="F607" s="1" t="s">
        <v>38</v>
      </c>
      <c r="G607" s="1" t="s">
        <v>48</v>
      </c>
      <c r="H607" s="1" t="s">
        <v>1230</v>
      </c>
      <c r="I607" s="1">
        <v>499.98</v>
      </c>
      <c r="J607" s="1">
        <v>2</v>
      </c>
      <c r="K607" s="1">
        <v>115</v>
      </c>
    </row>
    <row r="608" spans="1:11" ht="12.75" x14ac:dyDescent="0.2">
      <c r="A608" s="2">
        <v>42119</v>
      </c>
      <c r="B608" s="2" t="str">
        <f>TEXT(Table1[[#This Row],[Order Date]],"MMM")</f>
        <v>Apr</v>
      </c>
      <c r="C608" s="2" t="str">
        <f t="shared" si="9"/>
        <v>2015</v>
      </c>
      <c r="D608" s="1" t="s">
        <v>1139</v>
      </c>
      <c r="E608" s="1" t="s">
        <v>27</v>
      </c>
      <c r="F608" s="1" t="s">
        <v>38</v>
      </c>
      <c r="G608" s="1" t="s">
        <v>48</v>
      </c>
      <c r="H608" s="1" t="s">
        <v>906</v>
      </c>
      <c r="I608" s="1">
        <v>99.39</v>
      </c>
      <c r="J608" s="1">
        <v>3</v>
      </c>
      <c r="K608" s="1">
        <v>40.75</v>
      </c>
    </row>
    <row r="609" spans="1:11" ht="12.75" x14ac:dyDescent="0.2">
      <c r="A609" s="2">
        <v>42485</v>
      </c>
      <c r="B609" s="2" t="str">
        <f>TEXT(Table1[[#This Row],[Order Date]],"MMM")</f>
        <v>Apr</v>
      </c>
      <c r="C609" s="2" t="str">
        <f t="shared" si="9"/>
        <v>2016</v>
      </c>
      <c r="D609" s="1" t="s">
        <v>586</v>
      </c>
      <c r="E609" s="1" t="s">
        <v>518</v>
      </c>
      <c r="F609" s="1" t="s">
        <v>11</v>
      </c>
      <c r="G609" s="1" t="s">
        <v>18</v>
      </c>
      <c r="H609" s="1" t="s">
        <v>497</v>
      </c>
      <c r="I609" s="1">
        <v>1117.92</v>
      </c>
      <c r="J609" s="1">
        <v>4</v>
      </c>
      <c r="K609" s="1">
        <v>55.9</v>
      </c>
    </row>
    <row r="610" spans="1:11" ht="12.75" x14ac:dyDescent="0.2">
      <c r="A610" s="2">
        <v>41784</v>
      </c>
      <c r="B610" s="2" t="str">
        <f>TEXT(Table1[[#This Row],[Order Date]],"MMM")</f>
        <v>May</v>
      </c>
      <c r="C610" s="2" t="str">
        <f t="shared" si="9"/>
        <v>2014</v>
      </c>
      <c r="D610" s="1" t="s">
        <v>1117</v>
      </c>
      <c r="E610" s="1" t="s">
        <v>79</v>
      </c>
      <c r="F610" s="1" t="s">
        <v>33</v>
      </c>
      <c r="G610" s="1" t="s">
        <v>34</v>
      </c>
      <c r="H610" s="1" t="s">
        <v>683</v>
      </c>
      <c r="I610" s="1">
        <v>195.14</v>
      </c>
      <c r="J610" s="1">
        <v>4</v>
      </c>
      <c r="K610" s="1">
        <v>-12.2</v>
      </c>
    </row>
    <row r="611" spans="1:11" ht="12.75" x14ac:dyDescent="0.2">
      <c r="A611" s="2">
        <v>42149</v>
      </c>
      <c r="B611" s="2" t="str">
        <f>TEXT(Table1[[#This Row],[Order Date]],"MMM")</f>
        <v>May</v>
      </c>
      <c r="C611" s="2" t="str">
        <f t="shared" si="9"/>
        <v>2015</v>
      </c>
      <c r="D611" s="1" t="s">
        <v>1258</v>
      </c>
      <c r="E611" s="1" t="s">
        <v>120</v>
      </c>
      <c r="F611" s="1" t="s">
        <v>33</v>
      </c>
      <c r="G611" s="1" t="s">
        <v>44</v>
      </c>
      <c r="H611" s="1" t="s">
        <v>891</v>
      </c>
      <c r="I611" s="1">
        <v>39.880000000000003</v>
      </c>
      <c r="J611" s="1">
        <v>2</v>
      </c>
      <c r="K611" s="1">
        <v>11.17</v>
      </c>
    </row>
    <row r="612" spans="1:11" ht="12.75" x14ac:dyDescent="0.2">
      <c r="A612" s="2">
        <v>42515</v>
      </c>
      <c r="B612" s="2" t="str">
        <f>TEXT(Table1[[#This Row],[Order Date]],"MMM")</f>
        <v>May</v>
      </c>
      <c r="C612" s="2" t="str">
        <f t="shared" si="9"/>
        <v>2016</v>
      </c>
      <c r="D612" s="1" t="s">
        <v>843</v>
      </c>
      <c r="E612" s="1" t="s">
        <v>23</v>
      </c>
      <c r="F612" s="1" t="s">
        <v>11</v>
      </c>
      <c r="G612" s="1" t="s">
        <v>42</v>
      </c>
      <c r="H612" s="1" t="s">
        <v>855</v>
      </c>
      <c r="I612" s="1">
        <v>15.8</v>
      </c>
      <c r="J612" s="1">
        <v>5</v>
      </c>
      <c r="K612" s="1">
        <v>2.37</v>
      </c>
    </row>
    <row r="613" spans="1:11" ht="12.75" x14ac:dyDescent="0.2">
      <c r="A613" s="2">
        <v>42880</v>
      </c>
      <c r="B613" s="2" t="str">
        <f>TEXT(Table1[[#This Row],[Order Date]],"MMM")</f>
        <v>May</v>
      </c>
      <c r="C613" s="2" t="str">
        <f t="shared" si="9"/>
        <v>2017</v>
      </c>
      <c r="D613" s="1" t="s">
        <v>1090</v>
      </c>
      <c r="E613" s="1" t="s">
        <v>101</v>
      </c>
      <c r="F613" s="1" t="s">
        <v>11</v>
      </c>
      <c r="G613" s="1" t="s">
        <v>12</v>
      </c>
      <c r="H613" s="1" t="s">
        <v>1289</v>
      </c>
      <c r="I613" s="1">
        <v>5.08</v>
      </c>
      <c r="J613" s="1">
        <v>1</v>
      </c>
      <c r="K613" s="1">
        <v>1.65</v>
      </c>
    </row>
    <row r="614" spans="1:11" ht="12.75" x14ac:dyDescent="0.2">
      <c r="A614" s="2">
        <v>41815</v>
      </c>
      <c r="B614" s="2" t="str">
        <f>TEXT(Table1[[#This Row],[Order Date]],"MMM")</f>
        <v>Jun</v>
      </c>
      <c r="C614" s="2" t="str">
        <f t="shared" si="9"/>
        <v>2014</v>
      </c>
      <c r="D614" s="1" t="s">
        <v>624</v>
      </c>
      <c r="E614" s="1" t="s">
        <v>10</v>
      </c>
      <c r="F614" s="1" t="s">
        <v>38</v>
      </c>
      <c r="G614" s="1" t="s">
        <v>48</v>
      </c>
      <c r="H614" s="1" t="s">
        <v>885</v>
      </c>
      <c r="I614" s="1">
        <v>58.42</v>
      </c>
      <c r="J614" s="1">
        <v>2</v>
      </c>
      <c r="K614" s="1">
        <v>16.79</v>
      </c>
    </row>
    <row r="615" spans="1:11" ht="12.75" x14ac:dyDescent="0.2">
      <c r="A615" s="2">
        <v>42180</v>
      </c>
      <c r="B615" s="2" t="str">
        <f>TEXT(Table1[[#This Row],[Order Date]],"MMM")</f>
        <v>Jun</v>
      </c>
      <c r="C615" s="2" t="str">
        <f t="shared" si="9"/>
        <v>2015</v>
      </c>
      <c r="D615" s="1" t="s">
        <v>1071</v>
      </c>
      <c r="E615" s="1" t="s">
        <v>187</v>
      </c>
      <c r="F615" s="1" t="s">
        <v>38</v>
      </c>
      <c r="G615" s="1" t="s">
        <v>39</v>
      </c>
      <c r="H615" s="1" t="s">
        <v>133</v>
      </c>
      <c r="I615" s="1">
        <v>36.19</v>
      </c>
      <c r="J615" s="1">
        <v>1</v>
      </c>
      <c r="K615" s="1">
        <v>2.71</v>
      </c>
    </row>
    <row r="616" spans="1:11" ht="12.75" x14ac:dyDescent="0.2">
      <c r="A616" s="2">
        <v>42546</v>
      </c>
      <c r="B616" s="2" t="str">
        <f>TEXT(Table1[[#This Row],[Order Date]],"MMM")</f>
        <v>Jun</v>
      </c>
      <c r="C616" s="2" t="str">
        <f t="shared" si="9"/>
        <v>2016</v>
      </c>
      <c r="D616" s="1" t="s">
        <v>658</v>
      </c>
      <c r="E616" s="1" t="s">
        <v>221</v>
      </c>
      <c r="F616" s="1" t="s">
        <v>11</v>
      </c>
      <c r="G616" s="1" t="s">
        <v>12</v>
      </c>
      <c r="H616" s="1" t="s">
        <v>1144</v>
      </c>
      <c r="I616" s="1">
        <v>23.92</v>
      </c>
      <c r="J616" s="1">
        <v>4</v>
      </c>
      <c r="K616" s="1">
        <v>11.72</v>
      </c>
    </row>
    <row r="617" spans="1:11" ht="12.75" x14ac:dyDescent="0.2">
      <c r="A617" s="2">
        <v>41845</v>
      </c>
      <c r="B617" s="2" t="str">
        <f>TEXT(Table1[[#This Row],[Order Date]],"MMM")</f>
        <v>Jul</v>
      </c>
      <c r="C617" s="2" t="str">
        <f t="shared" si="9"/>
        <v>2014</v>
      </c>
      <c r="D617" s="1" t="s">
        <v>729</v>
      </c>
      <c r="E617" s="1" t="s">
        <v>120</v>
      </c>
      <c r="F617" s="1" t="s">
        <v>33</v>
      </c>
      <c r="G617" s="1" t="s">
        <v>44</v>
      </c>
      <c r="H617" s="1" t="s">
        <v>665</v>
      </c>
      <c r="I617" s="1">
        <v>113.79</v>
      </c>
      <c r="J617" s="1">
        <v>3</v>
      </c>
      <c r="K617" s="1">
        <v>20.48</v>
      </c>
    </row>
    <row r="618" spans="1:11" ht="12.75" x14ac:dyDescent="0.2">
      <c r="A618" s="2">
        <v>42210</v>
      </c>
      <c r="B618" s="2" t="str">
        <f>TEXT(Table1[[#This Row],[Order Date]],"MMM")</f>
        <v>Jul</v>
      </c>
      <c r="C618" s="2" t="str">
        <f t="shared" si="9"/>
        <v>2015</v>
      </c>
      <c r="D618" s="1" t="s">
        <v>1209</v>
      </c>
      <c r="E618" s="1" t="s">
        <v>10</v>
      </c>
      <c r="F618" s="1" t="s">
        <v>38</v>
      </c>
      <c r="G618" s="1" t="s">
        <v>39</v>
      </c>
      <c r="H618" s="1" t="s">
        <v>40</v>
      </c>
      <c r="I618" s="1">
        <v>1097.54</v>
      </c>
      <c r="J618" s="1">
        <v>7</v>
      </c>
      <c r="K618" s="1">
        <v>123.47</v>
      </c>
    </row>
    <row r="619" spans="1:11" ht="12.75" x14ac:dyDescent="0.2">
      <c r="A619" s="2">
        <v>42576</v>
      </c>
      <c r="B619" s="2" t="str">
        <f>TEXT(Table1[[#This Row],[Order Date]],"MMM")</f>
        <v>Jul</v>
      </c>
      <c r="C619" s="2" t="str">
        <f t="shared" si="9"/>
        <v>2016</v>
      </c>
      <c r="D619" s="1" t="s">
        <v>707</v>
      </c>
      <c r="E619" s="1" t="s">
        <v>120</v>
      </c>
      <c r="F619" s="1" t="s">
        <v>11</v>
      </c>
      <c r="G619" s="1" t="s">
        <v>42</v>
      </c>
      <c r="H619" s="1" t="s">
        <v>592</v>
      </c>
      <c r="I619" s="1">
        <v>15.26</v>
      </c>
      <c r="J619" s="1">
        <v>7</v>
      </c>
      <c r="K619" s="1">
        <v>6.26</v>
      </c>
    </row>
    <row r="620" spans="1:11" ht="12.75" x14ac:dyDescent="0.2">
      <c r="A620" s="2">
        <v>42941</v>
      </c>
      <c r="B620" s="2" t="str">
        <f>TEXT(Table1[[#This Row],[Order Date]],"MMM")</f>
        <v>Jul</v>
      </c>
      <c r="C620" s="2" t="str">
        <f t="shared" si="9"/>
        <v>2017</v>
      </c>
      <c r="D620" s="1" t="s">
        <v>556</v>
      </c>
      <c r="E620" s="1" t="s">
        <v>227</v>
      </c>
      <c r="F620" s="1" t="s">
        <v>33</v>
      </c>
      <c r="G620" s="1" t="s">
        <v>44</v>
      </c>
      <c r="H620" s="1" t="s">
        <v>950</v>
      </c>
      <c r="I620" s="1">
        <v>133.38</v>
      </c>
      <c r="J620" s="1">
        <v>6</v>
      </c>
      <c r="K620" s="1">
        <v>58.69</v>
      </c>
    </row>
    <row r="621" spans="1:11" ht="12.75" x14ac:dyDescent="0.2">
      <c r="A621" s="2">
        <v>42972</v>
      </c>
      <c r="B621" s="2" t="str">
        <f>TEXT(Table1[[#This Row],[Order Date]],"MMM")</f>
        <v>Aug</v>
      </c>
      <c r="C621" s="2" t="str">
        <f t="shared" si="9"/>
        <v>2017</v>
      </c>
      <c r="D621" s="1" t="s">
        <v>1016</v>
      </c>
      <c r="E621" s="1" t="s">
        <v>15</v>
      </c>
      <c r="F621" s="1" t="s">
        <v>11</v>
      </c>
      <c r="G621" s="1" t="s">
        <v>20</v>
      </c>
      <c r="H621" s="1" t="s">
        <v>1168</v>
      </c>
      <c r="I621" s="1">
        <v>4.79</v>
      </c>
      <c r="J621" s="1">
        <v>3</v>
      </c>
      <c r="K621" s="1">
        <v>-7.9</v>
      </c>
    </row>
    <row r="622" spans="1:11" ht="12.75" x14ac:dyDescent="0.2">
      <c r="A622" s="2">
        <v>41907</v>
      </c>
      <c r="B622" s="2" t="str">
        <f>TEXT(Table1[[#This Row],[Order Date]],"MMM")</f>
        <v>Sep</v>
      </c>
      <c r="C622" s="2" t="str">
        <f t="shared" si="9"/>
        <v>2014</v>
      </c>
      <c r="D622" s="1" t="s">
        <v>1313</v>
      </c>
      <c r="E622" s="1" t="s">
        <v>27</v>
      </c>
      <c r="F622" s="1" t="s">
        <v>33</v>
      </c>
      <c r="G622" s="1" t="s">
        <v>118</v>
      </c>
      <c r="H622" s="1" t="s">
        <v>1260</v>
      </c>
      <c r="I622" s="1">
        <v>2003.52</v>
      </c>
      <c r="J622" s="1">
        <v>6</v>
      </c>
      <c r="K622" s="1">
        <v>-325.57</v>
      </c>
    </row>
    <row r="623" spans="1:11" ht="12.75" x14ac:dyDescent="0.2">
      <c r="A623" s="2">
        <v>42272</v>
      </c>
      <c r="B623" s="2" t="str">
        <f>TEXT(Table1[[#This Row],[Order Date]],"MMM")</f>
        <v>Sep</v>
      </c>
      <c r="C623" s="2" t="str">
        <f t="shared" si="9"/>
        <v>2015</v>
      </c>
      <c r="D623" s="1" t="s">
        <v>1055</v>
      </c>
      <c r="E623" s="1" t="s">
        <v>101</v>
      </c>
      <c r="F623" s="1" t="s">
        <v>11</v>
      </c>
      <c r="G623" s="1" t="s">
        <v>20</v>
      </c>
      <c r="H623" s="1" t="s">
        <v>1203</v>
      </c>
      <c r="I623" s="1">
        <v>254.06</v>
      </c>
      <c r="J623" s="1">
        <v>7</v>
      </c>
      <c r="K623" s="1">
        <v>-169.37</v>
      </c>
    </row>
    <row r="624" spans="1:11" ht="12.75" x14ac:dyDescent="0.2">
      <c r="A624" s="2">
        <v>41937</v>
      </c>
      <c r="B624" s="2" t="str">
        <f>TEXT(Table1[[#This Row],[Order Date]],"MMM")</f>
        <v>Oct</v>
      </c>
      <c r="C624" s="2" t="str">
        <f t="shared" si="9"/>
        <v>2014</v>
      </c>
      <c r="D624" s="1" t="s">
        <v>812</v>
      </c>
      <c r="E624" s="1" t="s">
        <v>83</v>
      </c>
      <c r="F624" s="1" t="s">
        <v>33</v>
      </c>
      <c r="G624" s="1" t="s">
        <v>118</v>
      </c>
      <c r="H624" s="1" t="s">
        <v>327</v>
      </c>
      <c r="I624" s="1">
        <v>455.97</v>
      </c>
      <c r="J624" s="1">
        <v>6</v>
      </c>
      <c r="K624" s="1">
        <v>-218.87</v>
      </c>
    </row>
    <row r="625" spans="1:11" ht="12.75" x14ac:dyDescent="0.2">
      <c r="A625" s="2">
        <v>42699</v>
      </c>
      <c r="B625" s="2" t="str">
        <f>TEXT(Table1[[#This Row],[Order Date]],"MMM")</f>
        <v>Nov</v>
      </c>
      <c r="C625" s="2" t="str">
        <f t="shared" si="9"/>
        <v>2016</v>
      </c>
      <c r="D625" s="1" t="s">
        <v>744</v>
      </c>
      <c r="E625" s="1" t="s">
        <v>51</v>
      </c>
      <c r="F625" s="1" t="s">
        <v>33</v>
      </c>
      <c r="G625" s="1" t="s">
        <v>44</v>
      </c>
      <c r="H625" s="1" t="s">
        <v>1308</v>
      </c>
      <c r="I625" s="1">
        <v>572.76</v>
      </c>
      <c r="J625" s="1">
        <v>6</v>
      </c>
      <c r="K625" s="1">
        <v>166.1</v>
      </c>
    </row>
    <row r="626" spans="1:11" ht="12.75" x14ac:dyDescent="0.2">
      <c r="A626" s="2">
        <v>42363</v>
      </c>
      <c r="B626" s="2" t="str">
        <f>TEXT(Table1[[#This Row],[Order Date]],"MMM")</f>
        <v>Dec</v>
      </c>
      <c r="C626" s="2" t="str">
        <f t="shared" si="9"/>
        <v>2015</v>
      </c>
      <c r="D626" s="1" t="s">
        <v>485</v>
      </c>
      <c r="E626" s="1" t="s">
        <v>187</v>
      </c>
      <c r="F626" s="1" t="s">
        <v>11</v>
      </c>
      <c r="G626" s="1" t="s">
        <v>20</v>
      </c>
      <c r="H626" s="1" t="s">
        <v>77</v>
      </c>
      <c r="I626" s="1">
        <v>27.88</v>
      </c>
      <c r="J626" s="1">
        <v>3</v>
      </c>
      <c r="K626" s="1">
        <v>-20.45</v>
      </c>
    </row>
    <row r="627" spans="1:11" ht="12.75" x14ac:dyDescent="0.2">
      <c r="A627" s="2">
        <v>42729</v>
      </c>
      <c r="B627" s="2" t="str">
        <f>TEXT(Table1[[#This Row],[Order Date]],"MMM")</f>
        <v>Dec</v>
      </c>
      <c r="C627" s="2" t="str">
        <f t="shared" si="9"/>
        <v>2016</v>
      </c>
      <c r="D627" s="1" t="s">
        <v>539</v>
      </c>
      <c r="E627" s="1" t="s">
        <v>27</v>
      </c>
      <c r="F627" s="1" t="s">
        <v>38</v>
      </c>
      <c r="G627" s="1" t="s">
        <v>39</v>
      </c>
      <c r="H627" s="1" t="s">
        <v>1317</v>
      </c>
      <c r="I627" s="1">
        <v>2575.94</v>
      </c>
      <c r="J627" s="1">
        <v>7</v>
      </c>
      <c r="K627" s="1">
        <v>257.58999999999997</v>
      </c>
    </row>
    <row r="628" spans="1:11" ht="12.75" x14ac:dyDescent="0.2">
      <c r="A628" s="2">
        <v>41665</v>
      </c>
      <c r="B628" s="2" t="str">
        <f>TEXT(Table1[[#This Row],[Order Date]],"MMM")</f>
        <v>Jan</v>
      </c>
      <c r="C628" s="2" t="str">
        <f t="shared" si="9"/>
        <v>2014</v>
      </c>
      <c r="D628" s="1" t="s">
        <v>979</v>
      </c>
      <c r="E628" s="1" t="s">
        <v>134</v>
      </c>
      <c r="F628" s="1" t="s">
        <v>11</v>
      </c>
      <c r="G628" s="1" t="s">
        <v>12</v>
      </c>
      <c r="H628" s="1" t="s">
        <v>1316</v>
      </c>
      <c r="I628" s="1">
        <v>33.9</v>
      </c>
      <c r="J628" s="1">
        <v>5</v>
      </c>
      <c r="K628" s="1">
        <v>15.59</v>
      </c>
    </row>
    <row r="629" spans="1:11" ht="12.75" x14ac:dyDescent="0.2">
      <c r="A629" s="2">
        <v>42030</v>
      </c>
      <c r="B629" s="2" t="str">
        <f>TEXT(Table1[[#This Row],[Order Date]],"MMM")</f>
        <v>Jan</v>
      </c>
      <c r="C629" s="2" t="str">
        <f t="shared" si="9"/>
        <v>2015</v>
      </c>
      <c r="D629" s="1" t="s">
        <v>166</v>
      </c>
      <c r="E629" s="1" t="s">
        <v>127</v>
      </c>
      <c r="F629" s="1" t="s">
        <v>33</v>
      </c>
      <c r="G629" s="1" t="s">
        <v>34</v>
      </c>
      <c r="H629" s="1" t="s">
        <v>945</v>
      </c>
      <c r="I629" s="1">
        <v>754.45</v>
      </c>
      <c r="J629" s="1">
        <v>5</v>
      </c>
      <c r="K629" s="1">
        <v>60.36</v>
      </c>
    </row>
    <row r="630" spans="1:11" ht="12.75" x14ac:dyDescent="0.2">
      <c r="A630" s="2">
        <v>41724</v>
      </c>
      <c r="B630" s="2" t="str">
        <f>TEXT(Table1[[#This Row],[Order Date]],"MMM")</f>
        <v>Mar</v>
      </c>
      <c r="C630" s="2" t="str">
        <f t="shared" si="9"/>
        <v>2014</v>
      </c>
      <c r="D630" s="1" t="s">
        <v>510</v>
      </c>
      <c r="E630" s="1" t="s">
        <v>104</v>
      </c>
      <c r="F630" s="1" t="s">
        <v>11</v>
      </c>
      <c r="G630" s="1" t="s">
        <v>24</v>
      </c>
      <c r="H630" s="1" t="s">
        <v>1234</v>
      </c>
      <c r="I630" s="1">
        <v>3.64</v>
      </c>
      <c r="J630" s="1">
        <v>2</v>
      </c>
      <c r="K630" s="1">
        <v>1.64</v>
      </c>
    </row>
    <row r="631" spans="1:11" ht="12.75" x14ac:dyDescent="0.2">
      <c r="A631" s="2">
        <v>42089</v>
      </c>
      <c r="B631" s="2" t="str">
        <f>TEXT(Table1[[#This Row],[Order Date]],"MMM")</f>
        <v>Mar</v>
      </c>
      <c r="C631" s="2" t="str">
        <f t="shared" si="9"/>
        <v>2015</v>
      </c>
      <c r="D631" s="1" t="s">
        <v>147</v>
      </c>
      <c r="E631" s="1" t="s">
        <v>68</v>
      </c>
      <c r="F631" s="1" t="s">
        <v>33</v>
      </c>
      <c r="G631" s="1" t="s">
        <v>44</v>
      </c>
      <c r="H631" s="1" t="s">
        <v>965</v>
      </c>
      <c r="I631" s="1">
        <v>48.9</v>
      </c>
      <c r="J631" s="1">
        <v>4</v>
      </c>
      <c r="K631" s="1">
        <v>8.56</v>
      </c>
    </row>
    <row r="632" spans="1:11" ht="12.75" x14ac:dyDescent="0.2">
      <c r="A632" s="2">
        <v>42820</v>
      </c>
      <c r="B632" s="2" t="str">
        <f>TEXT(Table1[[#This Row],[Order Date]],"MMM")</f>
        <v>Mar</v>
      </c>
      <c r="C632" s="2" t="str">
        <f t="shared" si="9"/>
        <v>2017</v>
      </c>
      <c r="D632" s="1" t="s">
        <v>640</v>
      </c>
      <c r="E632" s="1" t="s">
        <v>187</v>
      </c>
      <c r="F632" s="1" t="s">
        <v>38</v>
      </c>
      <c r="G632" s="1" t="s">
        <v>214</v>
      </c>
      <c r="H632" s="1" t="s">
        <v>1294</v>
      </c>
      <c r="I632" s="1">
        <v>695.7</v>
      </c>
      <c r="J632" s="1">
        <v>2</v>
      </c>
      <c r="K632" s="1">
        <v>-27.83</v>
      </c>
    </row>
    <row r="633" spans="1:11" ht="12.75" x14ac:dyDescent="0.2">
      <c r="A633" s="2">
        <v>41755</v>
      </c>
      <c r="B633" s="2" t="str">
        <f>TEXT(Table1[[#This Row],[Order Date]],"MMM")</f>
        <v>Apr</v>
      </c>
      <c r="C633" s="2" t="str">
        <f t="shared" si="9"/>
        <v>2014</v>
      </c>
      <c r="D633" s="1" t="s">
        <v>74</v>
      </c>
      <c r="E633" s="1" t="s">
        <v>27</v>
      </c>
      <c r="F633" s="1" t="s">
        <v>11</v>
      </c>
      <c r="G633" s="1" t="s">
        <v>12</v>
      </c>
      <c r="H633" s="1" t="s">
        <v>1311</v>
      </c>
      <c r="I633" s="1">
        <v>38.880000000000003</v>
      </c>
      <c r="J633" s="1">
        <v>6</v>
      </c>
      <c r="K633" s="1">
        <v>18.66</v>
      </c>
    </row>
    <row r="634" spans="1:11" ht="12.75" x14ac:dyDescent="0.2">
      <c r="A634" s="2">
        <v>42486</v>
      </c>
      <c r="B634" s="2" t="str">
        <f>TEXT(Table1[[#This Row],[Order Date]],"MMM")</f>
        <v>Apr</v>
      </c>
      <c r="C634" s="2" t="str">
        <f t="shared" si="9"/>
        <v>2016</v>
      </c>
      <c r="D634" s="1" t="s">
        <v>561</v>
      </c>
      <c r="E634" s="1" t="s">
        <v>320</v>
      </c>
      <c r="F634" s="1" t="s">
        <v>11</v>
      </c>
      <c r="G634" s="1" t="s">
        <v>20</v>
      </c>
      <c r="H634" s="1" t="s">
        <v>151</v>
      </c>
      <c r="I634" s="1">
        <v>33.74</v>
      </c>
      <c r="J634" s="1">
        <v>7</v>
      </c>
      <c r="K634" s="1">
        <v>15.52</v>
      </c>
    </row>
    <row r="635" spans="1:11" ht="12.75" x14ac:dyDescent="0.2">
      <c r="A635" s="2">
        <v>42881</v>
      </c>
      <c r="B635" s="2" t="str">
        <f>TEXT(Table1[[#This Row],[Order Date]],"MMM")</f>
        <v>May</v>
      </c>
      <c r="C635" s="2" t="str">
        <f t="shared" si="9"/>
        <v>2017</v>
      </c>
      <c r="D635" s="1" t="s">
        <v>656</v>
      </c>
      <c r="E635" s="1" t="s">
        <v>134</v>
      </c>
      <c r="F635" s="1" t="s">
        <v>33</v>
      </c>
      <c r="G635" s="1" t="s">
        <v>118</v>
      </c>
      <c r="H635" s="1" t="s">
        <v>225</v>
      </c>
      <c r="I635" s="1">
        <v>892.98</v>
      </c>
      <c r="J635" s="1">
        <v>2</v>
      </c>
      <c r="K635" s="1">
        <v>80.37</v>
      </c>
    </row>
    <row r="636" spans="1:11" ht="12.75" x14ac:dyDescent="0.2">
      <c r="A636" s="2">
        <v>42181</v>
      </c>
      <c r="B636" s="2" t="str">
        <f>TEXT(Table1[[#This Row],[Order Date]],"MMM")</f>
        <v>Jun</v>
      </c>
      <c r="C636" s="2" t="str">
        <f t="shared" si="9"/>
        <v>2015</v>
      </c>
      <c r="D636" s="1" t="s">
        <v>1290</v>
      </c>
      <c r="E636" s="1" t="s">
        <v>23</v>
      </c>
      <c r="F636" s="1" t="s">
        <v>11</v>
      </c>
      <c r="G636" s="1" t="s">
        <v>80</v>
      </c>
      <c r="H636" s="1" t="s">
        <v>1306</v>
      </c>
      <c r="I636" s="1">
        <v>34.380000000000003</v>
      </c>
      <c r="J636" s="1">
        <v>1</v>
      </c>
      <c r="K636" s="1">
        <v>3.87</v>
      </c>
    </row>
    <row r="637" spans="1:11" ht="12.75" x14ac:dyDescent="0.2">
      <c r="A637" s="2">
        <v>42547</v>
      </c>
      <c r="B637" s="2" t="str">
        <f>TEXT(Table1[[#This Row],[Order Date]],"MMM")</f>
        <v>Jun</v>
      </c>
      <c r="C637" s="2" t="str">
        <f t="shared" si="9"/>
        <v>2016</v>
      </c>
      <c r="D637" s="1" t="s">
        <v>543</v>
      </c>
      <c r="E637" s="1" t="s">
        <v>10</v>
      </c>
      <c r="F637" s="1" t="s">
        <v>11</v>
      </c>
      <c r="G637" s="1" t="s">
        <v>16</v>
      </c>
      <c r="H637" s="1" t="s">
        <v>1198</v>
      </c>
      <c r="I637" s="1">
        <v>6</v>
      </c>
      <c r="J637" s="1">
        <v>2</v>
      </c>
      <c r="K637" s="1">
        <v>2.1</v>
      </c>
    </row>
    <row r="638" spans="1:11" ht="12.75" x14ac:dyDescent="0.2">
      <c r="A638" s="2">
        <v>41846</v>
      </c>
      <c r="B638" s="2" t="str">
        <f>TEXT(Table1[[#This Row],[Order Date]],"MMM")</f>
        <v>Jul</v>
      </c>
      <c r="C638" s="2" t="str">
        <f t="shared" si="9"/>
        <v>2014</v>
      </c>
      <c r="D638" s="1" t="s">
        <v>572</v>
      </c>
      <c r="E638" s="1" t="s">
        <v>134</v>
      </c>
      <c r="F638" s="1" t="s">
        <v>11</v>
      </c>
      <c r="G638" s="1" t="s">
        <v>18</v>
      </c>
      <c r="H638" s="1" t="s">
        <v>212</v>
      </c>
      <c r="I638" s="1">
        <v>242.94</v>
      </c>
      <c r="J638" s="1">
        <v>3</v>
      </c>
      <c r="K638" s="1">
        <v>9.7200000000000006</v>
      </c>
    </row>
    <row r="639" spans="1:11" ht="12.75" x14ac:dyDescent="0.2">
      <c r="A639" s="2">
        <v>42211</v>
      </c>
      <c r="B639" s="2" t="str">
        <f>TEXT(Table1[[#This Row],[Order Date]],"MMM")</f>
        <v>Jul</v>
      </c>
      <c r="C639" s="2" t="str">
        <f t="shared" si="9"/>
        <v>2015</v>
      </c>
      <c r="D639" s="1" t="s">
        <v>934</v>
      </c>
      <c r="E639" s="1" t="s">
        <v>337</v>
      </c>
      <c r="F639" s="1" t="s">
        <v>38</v>
      </c>
      <c r="G639" s="1" t="s">
        <v>388</v>
      </c>
      <c r="H639" s="1" t="s">
        <v>1318</v>
      </c>
      <c r="I639" s="1">
        <v>2999.95</v>
      </c>
      <c r="J639" s="1">
        <v>5</v>
      </c>
      <c r="K639" s="1">
        <v>1379.98</v>
      </c>
    </row>
    <row r="640" spans="1:11" ht="12.75" x14ac:dyDescent="0.2">
      <c r="A640" s="2">
        <v>42942</v>
      </c>
      <c r="B640" s="2" t="str">
        <f>TEXT(Table1[[#This Row],[Order Date]],"MMM")</f>
        <v>Jul</v>
      </c>
      <c r="C640" s="2" t="str">
        <f t="shared" si="9"/>
        <v>2017</v>
      </c>
      <c r="D640" s="1" t="s">
        <v>1091</v>
      </c>
      <c r="E640" s="1" t="s">
        <v>30</v>
      </c>
      <c r="F640" s="1" t="s">
        <v>11</v>
      </c>
      <c r="G640" s="1" t="s">
        <v>42</v>
      </c>
      <c r="H640" s="1" t="s">
        <v>762</v>
      </c>
      <c r="I640" s="1">
        <v>5.67</v>
      </c>
      <c r="J640" s="1">
        <v>3</v>
      </c>
      <c r="K640" s="1">
        <v>0.11</v>
      </c>
    </row>
    <row r="641" spans="1:11" ht="12.75" x14ac:dyDescent="0.2">
      <c r="A641" s="2">
        <v>42273</v>
      </c>
      <c r="B641" s="2" t="str">
        <f>TEXT(Table1[[#This Row],[Order Date]],"MMM")</f>
        <v>Sep</v>
      </c>
      <c r="C641" s="2" t="str">
        <f t="shared" si="9"/>
        <v>2015</v>
      </c>
      <c r="D641" s="1" t="s">
        <v>1076</v>
      </c>
      <c r="E641" s="1" t="s">
        <v>262</v>
      </c>
      <c r="F641" s="1" t="s">
        <v>11</v>
      </c>
      <c r="G641" s="1" t="s">
        <v>20</v>
      </c>
      <c r="H641" s="1" t="s">
        <v>881</v>
      </c>
      <c r="I641" s="1">
        <v>18.28</v>
      </c>
      <c r="J641" s="1">
        <v>2</v>
      </c>
      <c r="K641" s="1">
        <v>9.14</v>
      </c>
    </row>
    <row r="642" spans="1:11" ht="12.75" x14ac:dyDescent="0.2">
      <c r="A642" s="2">
        <v>42639</v>
      </c>
      <c r="B642" s="2" t="str">
        <f>TEXT(Table1[[#This Row],[Order Date]],"MMM")</f>
        <v>Sep</v>
      </c>
      <c r="C642" s="2" t="str">
        <f t="shared" ref="C642:C705" si="10">TEXT(A642,"YYY")</f>
        <v>2016</v>
      </c>
      <c r="D642" s="1" t="s">
        <v>91</v>
      </c>
      <c r="E642" s="1" t="s">
        <v>51</v>
      </c>
      <c r="F642" s="1" t="s">
        <v>33</v>
      </c>
      <c r="G642" s="1" t="s">
        <v>65</v>
      </c>
      <c r="H642" s="1" t="s">
        <v>919</v>
      </c>
      <c r="I642" s="1">
        <v>359.97</v>
      </c>
      <c r="J642" s="1">
        <v>3</v>
      </c>
      <c r="K642" s="1">
        <v>79.19</v>
      </c>
    </row>
    <row r="643" spans="1:11" ht="12.75" x14ac:dyDescent="0.2">
      <c r="A643" s="2">
        <v>43004</v>
      </c>
      <c r="B643" s="2" t="str">
        <f>TEXT(Table1[[#This Row],[Order Date]],"MMM")</f>
        <v>Sep</v>
      </c>
      <c r="C643" s="2" t="str">
        <f t="shared" si="10"/>
        <v>2017</v>
      </c>
      <c r="D643" s="1" t="s">
        <v>422</v>
      </c>
      <c r="E643" s="1" t="s">
        <v>27</v>
      </c>
      <c r="F643" s="1" t="s">
        <v>11</v>
      </c>
      <c r="G643" s="1" t="s">
        <v>20</v>
      </c>
      <c r="H643" s="1" t="s">
        <v>598</v>
      </c>
      <c r="I643" s="1">
        <v>21.34</v>
      </c>
      <c r="J643" s="1">
        <v>7</v>
      </c>
      <c r="K643" s="1">
        <v>7.73</v>
      </c>
    </row>
    <row r="644" spans="1:11" ht="12.75" x14ac:dyDescent="0.2">
      <c r="A644" s="2">
        <v>41938</v>
      </c>
      <c r="B644" s="2" t="str">
        <f>TEXT(Table1[[#This Row],[Order Date]],"MMM")</f>
        <v>Oct</v>
      </c>
      <c r="C644" s="2" t="str">
        <f t="shared" si="10"/>
        <v>2014</v>
      </c>
      <c r="D644" s="1" t="s">
        <v>636</v>
      </c>
      <c r="E644" s="1" t="s">
        <v>120</v>
      </c>
      <c r="F644" s="1" t="s">
        <v>11</v>
      </c>
      <c r="G644" s="1" t="s">
        <v>12</v>
      </c>
      <c r="H644" s="1" t="s">
        <v>890</v>
      </c>
      <c r="I644" s="1">
        <v>37.94</v>
      </c>
      <c r="J644" s="1">
        <v>2</v>
      </c>
      <c r="K644" s="1">
        <v>18.21</v>
      </c>
    </row>
    <row r="645" spans="1:11" ht="12.75" x14ac:dyDescent="0.2">
      <c r="A645" s="2">
        <v>42303</v>
      </c>
      <c r="B645" s="2" t="str">
        <f>TEXT(Table1[[#This Row],[Order Date]],"MMM")</f>
        <v>Oct</v>
      </c>
      <c r="C645" s="2" t="str">
        <f t="shared" si="10"/>
        <v>2015</v>
      </c>
      <c r="D645" s="1" t="s">
        <v>872</v>
      </c>
      <c r="E645" s="1" t="s">
        <v>15</v>
      </c>
      <c r="F645" s="1" t="s">
        <v>33</v>
      </c>
      <c r="G645" s="1" t="s">
        <v>118</v>
      </c>
      <c r="H645" s="1" t="s">
        <v>1004</v>
      </c>
      <c r="I645" s="1">
        <v>480.96</v>
      </c>
      <c r="J645" s="1">
        <v>3</v>
      </c>
      <c r="K645" s="1">
        <v>-269.33999999999997</v>
      </c>
    </row>
    <row r="646" spans="1:11" ht="12.75" x14ac:dyDescent="0.2">
      <c r="A646" s="2">
        <v>43034</v>
      </c>
      <c r="B646" s="2" t="str">
        <f>TEXT(Table1[[#This Row],[Order Date]],"MMM")</f>
        <v>Oct</v>
      </c>
      <c r="C646" s="2" t="str">
        <f t="shared" si="10"/>
        <v>2017</v>
      </c>
      <c r="D646" s="1" t="s">
        <v>1286</v>
      </c>
      <c r="E646" s="1" t="s">
        <v>27</v>
      </c>
      <c r="F646" s="1" t="s">
        <v>38</v>
      </c>
      <c r="G646" s="1" t="s">
        <v>39</v>
      </c>
      <c r="H646" s="1" t="s">
        <v>1298</v>
      </c>
      <c r="I646" s="1">
        <v>167.98</v>
      </c>
      <c r="J646" s="1">
        <v>3</v>
      </c>
      <c r="K646" s="1">
        <v>10.5</v>
      </c>
    </row>
    <row r="647" spans="1:11" ht="12.75" x14ac:dyDescent="0.2">
      <c r="A647" s="2">
        <v>41969</v>
      </c>
      <c r="B647" s="2" t="str">
        <f>TEXT(Table1[[#This Row],[Order Date]],"MMM")</f>
        <v>Nov</v>
      </c>
      <c r="C647" s="2" t="str">
        <f t="shared" si="10"/>
        <v>2014</v>
      </c>
      <c r="D647" s="1" t="s">
        <v>186</v>
      </c>
      <c r="E647" s="1" t="s">
        <v>30</v>
      </c>
      <c r="F647" s="1" t="s">
        <v>11</v>
      </c>
      <c r="G647" s="1" t="s">
        <v>80</v>
      </c>
      <c r="H647" s="1" t="s">
        <v>732</v>
      </c>
      <c r="I647" s="1">
        <v>1245.8599999999999</v>
      </c>
      <c r="J647" s="1">
        <v>7</v>
      </c>
      <c r="K647" s="1">
        <v>361.3</v>
      </c>
    </row>
    <row r="648" spans="1:11" ht="12.75" x14ac:dyDescent="0.2">
      <c r="A648" s="2">
        <v>43065</v>
      </c>
      <c r="B648" s="2" t="str">
        <f>TEXT(Table1[[#This Row],[Order Date]],"MMM")</f>
        <v>Nov</v>
      </c>
      <c r="C648" s="2" t="str">
        <f t="shared" si="10"/>
        <v>2017</v>
      </c>
      <c r="D648" s="1" t="s">
        <v>1054</v>
      </c>
      <c r="E648" s="1" t="s">
        <v>10</v>
      </c>
      <c r="F648" s="1" t="s">
        <v>38</v>
      </c>
      <c r="G648" s="1" t="s">
        <v>48</v>
      </c>
      <c r="H648" s="1" t="s">
        <v>623</v>
      </c>
      <c r="I648" s="1">
        <v>47.9</v>
      </c>
      <c r="J648" s="1">
        <v>1</v>
      </c>
      <c r="K648" s="1">
        <v>-2.99</v>
      </c>
    </row>
    <row r="649" spans="1:11" ht="12.75" x14ac:dyDescent="0.2">
      <c r="A649" s="2">
        <v>42730</v>
      </c>
      <c r="B649" s="2" t="str">
        <f>TEXT(Table1[[#This Row],[Order Date]],"MMM")</f>
        <v>Dec</v>
      </c>
      <c r="C649" s="2" t="str">
        <f t="shared" si="10"/>
        <v>2016</v>
      </c>
      <c r="D649" s="1" t="s">
        <v>1022</v>
      </c>
      <c r="E649" s="1" t="s">
        <v>27</v>
      </c>
      <c r="F649" s="1" t="s">
        <v>11</v>
      </c>
      <c r="G649" s="1" t="s">
        <v>12</v>
      </c>
      <c r="H649" s="1" t="s">
        <v>1147</v>
      </c>
      <c r="I649" s="1">
        <v>37.44</v>
      </c>
      <c r="J649" s="1">
        <v>6</v>
      </c>
      <c r="K649" s="1">
        <v>16.850000000000001</v>
      </c>
    </row>
    <row r="650" spans="1:11" ht="12.75" x14ac:dyDescent="0.2">
      <c r="A650" s="2">
        <v>43095</v>
      </c>
      <c r="B650" s="2" t="str">
        <f>TEXT(Table1[[#This Row],[Order Date]],"MMM")</f>
        <v>Dec</v>
      </c>
      <c r="C650" s="2" t="str">
        <f t="shared" si="10"/>
        <v>2017</v>
      </c>
      <c r="D650" s="1" t="s">
        <v>566</v>
      </c>
      <c r="E650" s="1" t="s">
        <v>15</v>
      </c>
      <c r="F650" s="1" t="s">
        <v>11</v>
      </c>
      <c r="G650" s="1" t="s">
        <v>20</v>
      </c>
      <c r="H650" s="1" t="s">
        <v>573</v>
      </c>
      <c r="I650" s="1">
        <v>1.79</v>
      </c>
      <c r="J650" s="1">
        <v>3</v>
      </c>
      <c r="K650" s="1">
        <v>-3.04</v>
      </c>
    </row>
    <row r="651" spans="1:11" ht="12.75" x14ac:dyDescent="0.2">
      <c r="A651" s="2">
        <v>41666</v>
      </c>
      <c r="B651" s="2" t="str">
        <f>TEXT(Table1[[#This Row],[Order Date]],"MMM")</f>
        <v>Jan</v>
      </c>
      <c r="C651" s="2" t="str">
        <f t="shared" si="10"/>
        <v>2014</v>
      </c>
      <c r="D651" s="1" t="s">
        <v>1139</v>
      </c>
      <c r="E651" s="1" t="s">
        <v>10</v>
      </c>
      <c r="F651" s="1" t="s">
        <v>11</v>
      </c>
      <c r="G651" s="1" t="s">
        <v>158</v>
      </c>
      <c r="H651" s="1" t="s">
        <v>504</v>
      </c>
      <c r="I651" s="1">
        <v>6.98</v>
      </c>
      <c r="J651" s="1">
        <v>4</v>
      </c>
      <c r="K651" s="1">
        <v>-1.4</v>
      </c>
    </row>
    <row r="652" spans="1:11" ht="12.75" x14ac:dyDescent="0.2">
      <c r="A652" s="2">
        <v>42031</v>
      </c>
      <c r="B652" s="2" t="str">
        <f>TEXT(Table1[[#This Row],[Order Date]],"MMM")</f>
        <v>Jan</v>
      </c>
      <c r="C652" s="2" t="str">
        <f t="shared" si="10"/>
        <v>2015</v>
      </c>
      <c r="D652" s="1" t="s">
        <v>1293</v>
      </c>
      <c r="E652" s="1" t="s">
        <v>32</v>
      </c>
      <c r="F652" s="1" t="s">
        <v>11</v>
      </c>
      <c r="G652" s="1" t="s">
        <v>80</v>
      </c>
      <c r="H652" s="1" t="s">
        <v>482</v>
      </c>
      <c r="I652" s="1">
        <v>72.8</v>
      </c>
      <c r="J652" s="1">
        <v>5</v>
      </c>
      <c r="K652" s="1">
        <v>19.66</v>
      </c>
    </row>
    <row r="653" spans="1:11" ht="12.75" x14ac:dyDescent="0.2">
      <c r="A653" s="2">
        <v>41697</v>
      </c>
      <c r="B653" s="2" t="str">
        <f>TEXT(Table1[[#This Row],[Order Date]],"MMM")</f>
        <v>Feb</v>
      </c>
      <c r="C653" s="2" t="str">
        <f t="shared" si="10"/>
        <v>2014</v>
      </c>
      <c r="D653" s="1" t="s">
        <v>895</v>
      </c>
      <c r="E653" s="1" t="s">
        <v>127</v>
      </c>
      <c r="F653" s="1" t="s">
        <v>11</v>
      </c>
      <c r="G653" s="1" t="s">
        <v>16</v>
      </c>
      <c r="H653" s="1" t="s">
        <v>1305</v>
      </c>
      <c r="I653" s="1">
        <v>25.06</v>
      </c>
      <c r="J653" s="1">
        <v>2</v>
      </c>
      <c r="K653" s="1">
        <v>11.78</v>
      </c>
    </row>
    <row r="654" spans="1:11" ht="12.75" x14ac:dyDescent="0.2">
      <c r="A654" s="2">
        <v>42427</v>
      </c>
      <c r="B654" s="2" t="str">
        <f>TEXT(Table1[[#This Row],[Order Date]],"MMM")</f>
        <v>Feb</v>
      </c>
      <c r="C654" s="2" t="str">
        <f t="shared" si="10"/>
        <v>2016</v>
      </c>
      <c r="D654" s="1" t="s">
        <v>1319</v>
      </c>
      <c r="E654" s="1" t="s">
        <v>120</v>
      </c>
      <c r="F654" s="1" t="s">
        <v>11</v>
      </c>
      <c r="G654" s="1" t="s">
        <v>12</v>
      </c>
      <c r="H654" s="1" t="s">
        <v>1070</v>
      </c>
      <c r="I654" s="1">
        <v>26.38</v>
      </c>
      <c r="J654" s="1">
        <v>1</v>
      </c>
      <c r="K654" s="1">
        <v>12.13</v>
      </c>
    </row>
    <row r="655" spans="1:11" ht="12.75" x14ac:dyDescent="0.2">
      <c r="A655" s="2">
        <v>42090</v>
      </c>
      <c r="B655" s="2" t="str">
        <f>TEXT(Table1[[#This Row],[Order Date]],"MMM")</f>
        <v>Mar</v>
      </c>
      <c r="C655" s="2" t="str">
        <f t="shared" si="10"/>
        <v>2015</v>
      </c>
      <c r="D655" s="1" t="s">
        <v>1304</v>
      </c>
      <c r="E655" s="1" t="s">
        <v>23</v>
      </c>
      <c r="F655" s="1" t="s">
        <v>11</v>
      </c>
      <c r="G655" s="1" t="s">
        <v>24</v>
      </c>
      <c r="H655" s="1" t="s">
        <v>1255</v>
      </c>
      <c r="I655" s="1">
        <v>5.25</v>
      </c>
      <c r="J655" s="1">
        <v>2</v>
      </c>
      <c r="K655" s="1">
        <v>0.59</v>
      </c>
    </row>
    <row r="656" spans="1:11" ht="12.75" x14ac:dyDescent="0.2">
      <c r="A656" s="2">
        <v>42456</v>
      </c>
      <c r="B656" s="2" t="str">
        <f>TEXT(Table1[[#This Row],[Order Date]],"MMM")</f>
        <v>Mar</v>
      </c>
      <c r="C656" s="2" t="str">
        <f t="shared" si="10"/>
        <v>2016</v>
      </c>
      <c r="D656" s="1" t="s">
        <v>1132</v>
      </c>
      <c r="E656" s="1" t="s">
        <v>94</v>
      </c>
      <c r="F656" s="1" t="s">
        <v>11</v>
      </c>
      <c r="G656" s="1" t="s">
        <v>20</v>
      </c>
      <c r="H656" s="1" t="s">
        <v>99</v>
      </c>
      <c r="I656" s="1">
        <v>895.92</v>
      </c>
      <c r="J656" s="1">
        <v>4</v>
      </c>
      <c r="K656" s="1">
        <v>421.08</v>
      </c>
    </row>
    <row r="657" spans="1:11" ht="12.75" x14ac:dyDescent="0.2">
      <c r="A657" s="2">
        <v>42821</v>
      </c>
      <c r="B657" s="2" t="str">
        <f>TEXT(Table1[[#This Row],[Order Date]],"MMM")</f>
        <v>Mar</v>
      </c>
      <c r="C657" s="2" t="str">
        <f t="shared" si="10"/>
        <v>2017</v>
      </c>
      <c r="D657" s="1" t="s">
        <v>796</v>
      </c>
      <c r="E657" s="1" t="s">
        <v>27</v>
      </c>
      <c r="F657" s="1" t="s">
        <v>11</v>
      </c>
      <c r="G657" s="1" t="s">
        <v>12</v>
      </c>
      <c r="H657" s="1" t="s">
        <v>936</v>
      </c>
      <c r="I657" s="1">
        <v>314.55</v>
      </c>
      <c r="J657" s="1">
        <v>3</v>
      </c>
      <c r="K657" s="1">
        <v>150.97999999999999</v>
      </c>
    </row>
    <row r="658" spans="1:11" ht="12.75" x14ac:dyDescent="0.2">
      <c r="A658" s="2">
        <v>42852</v>
      </c>
      <c r="B658" s="2" t="str">
        <f>TEXT(Table1[[#This Row],[Order Date]],"MMM")</f>
        <v>Apr</v>
      </c>
      <c r="C658" s="2" t="str">
        <f t="shared" si="10"/>
        <v>2017</v>
      </c>
      <c r="D658" s="1" t="s">
        <v>1127</v>
      </c>
      <c r="E658" s="1" t="s">
        <v>120</v>
      </c>
      <c r="F658" s="1" t="s">
        <v>11</v>
      </c>
      <c r="G658" s="1" t="s">
        <v>16</v>
      </c>
      <c r="H658" s="1" t="s">
        <v>414</v>
      </c>
      <c r="I658" s="1">
        <v>28.91</v>
      </c>
      <c r="J658" s="1">
        <v>7</v>
      </c>
      <c r="K658" s="1">
        <v>13.3</v>
      </c>
    </row>
    <row r="659" spans="1:11" ht="12.75" x14ac:dyDescent="0.2">
      <c r="A659" s="2">
        <v>41786</v>
      </c>
      <c r="B659" s="2" t="str">
        <f>TEXT(Table1[[#This Row],[Order Date]],"MMM")</f>
        <v>May</v>
      </c>
      <c r="C659" s="2" t="str">
        <f t="shared" si="10"/>
        <v>2014</v>
      </c>
      <c r="D659" s="1" t="s">
        <v>166</v>
      </c>
      <c r="E659" s="1" t="s">
        <v>107</v>
      </c>
      <c r="F659" s="1" t="s">
        <v>33</v>
      </c>
      <c r="G659" s="1" t="s">
        <v>44</v>
      </c>
      <c r="H659" s="1" t="s">
        <v>1281</v>
      </c>
      <c r="I659" s="1">
        <v>2.91</v>
      </c>
      <c r="J659" s="1">
        <v>1</v>
      </c>
      <c r="K659" s="1">
        <v>1.37</v>
      </c>
    </row>
    <row r="660" spans="1:11" ht="12.75" x14ac:dyDescent="0.2">
      <c r="A660" s="2">
        <v>42517</v>
      </c>
      <c r="B660" s="2" t="str">
        <f>TEXT(Table1[[#This Row],[Order Date]],"MMM")</f>
        <v>May</v>
      </c>
      <c r="C660" s="2" t="str">
        <f t="shared" si="10"/>
        <v>2016</v>
      </c>
      <c r="D660" s="1" t="s">
        <v>1257</v>
      </c>
      <c r="E660" s="1" t="s">
        <v>27</v>
      </c>
      <c r="F660" s="1" t="s">
        <v>33</v>
      </c>
      <c r="G660" s="1" t="s">
        <v>44</v>
      </c>
      <c r="H660" s="1" t="s">
        <v>727</v>
      </c>
      <c r="I660" s="1">
        <v>211.84</v>
      </c>
      <c r="J660" s="1">
        <v>8</v>
      </c>
      <c r="K660" s="1">
        <v>76.260000000000005</v>
      </c>
    </row>
    <row r="661" spans="1:11" ht="12.75" x14ac:dyDescent="0.2">
      <c r="A661" s="2">
        <v>41817</v>
      </c>
      <c r="B661" s="2" t="str">
        <f>TEXT(Table1[[#This Row],[Order Date]],"MMM")</f>
        <v>Jun</v>
      </c>
      <c r="C661" s="2" t="str">
        <f t="shared" si="10"/>
        <v>2014</v>
      </c>
      <c r="D661" s="1" t="s">
        <v>568</v>
      </c>
      <c r="E661" s="1" t="s">
        <v>120</v>
      </c>
      <c r="F661" s="1" t="s">
        <v>11</v>
      </c>
      <c r="G661" s="1" t="s">
        <v>12</v>
      </c>
      <c r="H661" s="1" t="s">
        <v>933</v>
      </c>
      <c r="I661" s="1">
        <v>221.92</v>
      </c>
      <c r="J661" s="1">
        <v>4</v>
      </c>
      <c r="K661" s="1">
        <v>106.52</v>
      </c>
    </row>
    <row r="662" spans="1:11" ht="12.75" x14ac:dyDescent="0.2">
      <c r="A662" s="2">
        <v>42548</v>
      </c>
      <c r="B662" s="2" t="str">
        <f>TEXT(Table1[[#This Row],[Order Date]],"MMM")</f>
        <v>Jun</v>
      </c>
      <c r="C662" s="2" t="str">
        <f t="shared" si="10"/>
        <v>2016</v>
      </c>
      <c r="D662" s="1" t="s">
        <v>243</v>
      </c>
      <c r="E662" s="1" t="s">
        <v>120</v>
      </c>
      <c r="F662" s="1" t="s">
        <v>33</v>
      </c>
      <c r="G662" s="1" t="s">
        <v>65</v>
      </c>
      <c r="H662" s="1" t="s">
        <v>1145</v>
      </c>
      <c r="I662" s="1">
        <v>257.57</v>
      </c>
      <c r="J662" s="1">
        <v>2</v>
      </c>
      <c r="K662" s="1">
        <v>-28.98</v>
      </c>
    </row>
    <row r="663" spans="1:11" ht="12.75" x14ac:dyDescent="0.2">
      <c r="A663" s="2">
        <v>41847</v>
      </c>
      <c r="B663" s="2" t="str">
        <f>TEXT(Table1[[#This Row],[Order Date]],"MMM")</f>
        <v>Jul</v>
      </c>
      <c r="C663" s="2" t="str">
        <f t="shared" si="10"/>
        <v>2014</v>
      </c>
      <c r="D663" s="1" t="s">
        <v>424</v>
      </c>
      <c r="E663" s="1" t="s">
        <v>23</v>
      </c>
      <c r="F663" s="1" t="s">
        <v>33</v>
      </c>
      <c r="G663" s="1" t="s">
        <v>44</v>
      </c>
      <c r="H663" s="1" t="s">
        <v>1075</v>
      </c>
      <c r="I663" s="1">
        <v>15.01</v>
      </c>
      <c r="J663" s="1">
        <v>2</v>
      </c>
      <c r="K663" s="1">
        <v>1.5</v>
      </c>
    </row>
    <row r="664" spans="1:11" ht="12.75" x14ac:dyDescent="0.2">
      <c r="A664" s="2">
        <v>42212</v>
      </c>
      <c r="B664" s="2" t="str">
        <f>TEXT(Table1[[#This Row],[Order Date]],"MMM")</f>
        <v>Jul</v>
      </c>
      <c r="C664" s="2" t="str">
        <f t="shared" si="10"/>
        <v>2015</v>
      </c>
      <c r="D664" s="1" t="s">
        <v>141</v>
      </c>
      <c r="E664" s="1" t="s">
        <v>101</v>
      </c>
      <c r="F664" s="1" t="s">
        <v>11</v>
      </c>
      <c r="G664" s="1" t="s">
        <v>20</v>
      </c>
      <c r="H664" s="1" t="s">
        <v>999</v>
      </c>
      <c r="I664" s="1">
        <v>68.739999999999995</v>
      </c>
      <c r="J664" s="1">
        <v>9</v>
      </c>
      <c r="K664" s="1">
        <v>-48.12</v>
      </c>
    </row>
    <row r="665" spans="1:11" ht="12.75" x14ac:dyDescent="0.2">
      <c r="A665" s="2">
        <v>41878</v>
      </c>
      <c r="B665" s="2" t="str">
        <f>TEXT(Table1[[#This Row],[Order Date]],"MMM")</f>
        <v>Aug</v>
      </c>
      <c r="C665" s="2" t="str">
        <f t="shared" si="10"/>
        <v>2014</v>
      </c>
      <c r="D665" s="1" t="s">
        <v>606</v>
      </c>
      <c r="E665" s="1" t="s">
        <v>107</v>
      </c>
      <c r="F665" s="1" t="s">
        <v>11</v>
      </c>
      <c r="G665" s="1" t="s">
        <v>18</v>
      </c>
      <c r="H665" s="1" t="s">
        <v>306</v>
      </c>
      <c r="I665" s="1">
        <v>81.400000000000006</v>
      </c>
      <c r="J665" s="1">
        <v>5</v>
      </c>
      <c r="K665" s="1">
        <v>21.16</v>
      </c>
    </row>
    <row r="666" spans="1:11" ht="12.75" x14ac:dyDescent="0.2">
      <c r="A666" s="2">
        <v>42974</v>
      </c>
      <c r="B666" s="2" t="str">
        <f>TEXT(Table1[[#This Row],[Order Date]],"MMM")</f>
        <v>Aug</v>
      </c>
      <c r="C666" s="2" t="str">
        <f t="shared" si="10"/>
        <v>2017</v>
      </c>
      <c r="D666" s="1" t="s">
        <v>1320</v>
      </c>
      <c r="E666" s="1" t="s">
        <v>518</v>
      </c>
      <c r="F666" s="1" t="s">
        <v>11</v>
      </c>
      <c r="G666" s="1" t="s">
        <v>58</v>
      </c>
      <c r="H666" s="1" t="s">
        <v>1321</v>
      </c>
      <c r="I666" s="1">
        <v>325.86</v>
      </c>
      <c r="J666" s="1">
        <v>2</v>
      </c>
      <c r="K666" s="1">
        <v>149.9</v>
      </c>
    </row>
    <row r="667" spans="1:11" ht="12.75" x14ac:dyDescent="0.2">
      <c r="A667" s="2">
        <v>41909</v>
      </c>
      <c r="B667" s="2" t="str">
        <f>TEXT(Table1[[#This Row],[Order Date]],"MMM")</f>
        <v>Sep</v>
      </c>
      <c r="C667" s="2" t="str">
        <f t="shared" si="10"/>
        <v>2014</v>
      </c>
      <c r="D667" s="1" t="s">
        <v>378</v>
      </c>
      <c r="E667" s="1" t="s">
        <v>10</v>
      </c>
      <c r="F667" s="1" t="s">
        <v>33</v>
      </c>
      <c r="G667" s="1" t="s">
        <v>65</v>
      </c>
      <c r="H667" s="1" t="s">
        <v>1153</v>
      </c>
      <c r="I667" s="1">
        <v>205.33</v>
      </c>
      <c r="J667" s="1">
        <v>2</v>
      </c>
      <c r="K667" s="1">
        <v>-36.24</v>
      </c>
    </row>
    <row r="668" spans="1:11" ht="12.75" x14ac:dyDescent="0.2">
      <c r="A668" s="2">
        <v>42640</v>
      </c>
      <c r="B668" s="2" t="str">
        <f>TEXT(Table1[[#This Row],[Order Date]],"MMM")</f>
        <v>Sep</v>
      </c>
      <c r="C668" s="2" t="str">
        <f t="shared" si="10"/>
        <v>2016</v>
      </c>
      <c r="D668" s="1" t="s">
        <v>383</v>
      </c>
      <c r="E668" s="1" t="s">
        <v>23</v>
      </c>
      <c r="F668" s="1" t="s">
        <v>33</v>
      </c>
      <c r="G668" s="1" t="s">
        <v>44</v>
      </c>
      <c r="H668" s="1" t="s">
        <v>629</v>
      </c>
      <c r="I668" s="1">
        <v>25.47</v>
      </c>
      <c r="J668" s="1">
        <v>4</v>
      </c>
      <c r="K668" s="1">
        <v>7.64</v>
      </c>
    </row>
    <row r="669" spans="1:11" ht="12.75" x14ac:dyDescent="0.2">
      <c r="A669" s="2">
        <v>42335</v>
      </c>
      <c r="B669" s="2" t="str">
        <f>TEXT(Table1[[#This Row],[Order Date]],"MMM")</f>
        <v>Nov</v>
      </c>
      <c r="C669" s="2" t="str">
        <f t="shared" si="10"/>
        <v>2015</v>
      </c>
      <c r="D669" s="1" t="s">
        <v>1204</v>
      </c>
      <c r="E669" s="1" t="s">
        <v>120</v>
      </c>
      <c r="F669" s="1" t="s">
        <v>11</v>
      </c>
      <c r="G669" s="1" t="s">
        <v>16</v>
      </c>
      <c r="H669" s="1" t="s">
        <v>1322</v>
      </c>
      <c r="I669" s="1">
        <v>9.82</v>
      </c>
      <c r="J669" s="1">
        <v>2</v>
      </c>
      <c r="K669" s="1">
        <v>4.8099999999999996</v>
      </c>
    </row>
    <row r="670" spans="1:11" ht="12.75" x14ac:dyDescent="0.2">
      <c r="A670" s="2">
        <v>43066</v>
      </c>
      <c r="B670" s="2" t="str">
        <f>TEXT(Table1[[#This Row],[Order Date]],"MMM")</f>
        <v>Nov</v>
      </c>
      <c r="C670" s="2" t="str">
        <f t="shared" si="10"/>
        <v>2017</v>
      </c>
      <c r="D670" s="1" t="s">
        <v>753</v>
      </c>
      <c r="E670" s="1" t="s">
        <v>27</v>
      </c>
      <c r="F670" s="1" t="s">
        <v>38</v>
      </c>
      <c r="G670" s="1" t="s">
        <v>48</v>
      </c>
      <c r="H670" s="1" t="s">
        <v>666</v>
      </c>
      <c r="I670" s="1">
        <v>199.95</v>
      </c>
      <c r="J670" s="1">
        <v>5</v>
      </c>
      <c r="K670" s="1">
        <v>21.99</v>
      </c>
    </row>
    <row r="671" spans="1:11" ht="12.75" x14ac:dyDescent="0.2">
      <c r="A671" s="2">
        <v>42365</v>
      </c>
      <c r="B671" s="2" t="str">
        <f>TEXT(Table1[[#This Row],[Order Date]],"MMM")</f>
        <v>Dec</v>
      </c>
      <c r="C671" s="2" t="str">
        <f t="shared" si="10"/>
        <v>2015</v>
      </c>
      <c r="D671" s="1" t="s">
        <v>718</v>
      </c>
      <c r="E671" s="1" t="s">
        <v>10</v>
      </c>
      <c r="F671" s="1" t="s">
        <v>11</v>
      </c>
      <c r="G671" s="1" t="s">
        <v>80</v>
      </c>
      <c r="H671" s="1" t="s">
        <v>1154</v>
      </c>
      <c r="I671" s="1">
        <v>97.26</v>
      </c>
      <c r="J671" s="1">
        <v>4</v>
      </c>
      <c r="K671" s="1">
        <v>-243.16</v>
      </c>
    </row>
    <row r="672" spans="1:11" ht="12.75" x14ac:dyDescent="0.2">
      <c r="A672" s="2">
        <v>43096</v>
      </c>
      <c r="B672" s="2" t="str">
        <f>TEXT(Table1[[#This Row],[Order Date]],"MMM")</f>
        <v>Dec</v>
      </c>
      <c r="C672" s="2" t="str">
        <f t="shared" si="10"/>
        <v>2017</v>
      </c>
      <c r="D672" s="1" t="s">
        <v>1314</v>
      </c>
      <c r="E672" s="1" t="s">
        <v>120</v>
      </c>
      <c r="F672" s="1" t="s">
        <v>11</v>
      </c>
      <c r="G672" s="1" t="s">
        <v>80</v>
      </c>
      <c r="H672" s="1" t="s">
        <v>1212</v>
      </c>
      <c r="I672" s="1">
        <v>121.94</v>
      </c>
      <c r="J672" s="1">
        <v>2</v>
      </c>
      <c r="K672" s="1">
        <v>35.36</v>
      </c>
    </row>
    <row r="673" spans="1:11" ht="12.75" x14ac:dyDescent="0.2">
      <c r="A673" s="2">
        <v>41667</v>
      </c>
      <c r="B673" s="2" t="str">
        <f>TEXT(Table1[[#This Row],[Order Date]],"MMM")</f>
        <v>Jan</v>
      </c>
      <c r="C673" s="2" t="str">
        <f t="shared" si="10"/>
        <v>2014</v>
      </c>
      <c r="D673" s="1" t="s">
        <v>259</v>
      </c>
      <c r="E673" s="1" t="s">
        <v>23</v>
      </c>
      <c r="F673" s="1" t="s">
        <v>11</v>
      </c>
      <c r="G673" s="1" t="s">
        <v>80</v>
      </c>
      <c r="H673" s="1" t="s">
        <v>667</v>
      </c>
      <c r="I673" s="1">
        <v>99.28</v>
      </c>
      <c r="J673" s="1">
        <v>2</v>
      </c>
      <c r="K673" s="1">
        <v>12.41</v>
      </c>
    </row>
    <row r="674" spans="1:11" ht="12.75" x14ac:dyDescent="0.2">
      <c r="A674" s="2">
        <v>42032</v>
      </c>
      <c r="B674" s="2" t="str">
        <f>TEXT(Table1[[#This Row],[Order Date]],"MMM")</f>
        <v>Jan</v>
      </c>
      <c r="C674" s="2" t="str">
        <f t="shared" si="10"/>
        <v>2015</v>
      </c>
      <c r="D674" s="1" t="s">
        <v>1286</v>
      </c>
      <c r="E674" s="1" t="s">
        <v>10</v>
      </c>
      <c r="F674" s="1" t="s">
        <v>11</v>
      </c>
      <c r="G674" s="1" t="s">
        <v>16</v>
      </c>
      <c r="H674" s="1" t="s">
        <v>954</v>
      </c>
      <c r="I674" s="1">
        <v>33.119999999999997</v>
      </c>
      <c r="J674" s="1">
        <v>4</v>
      </c>
      <c r="K674" s="1">
        <v>11.59</v>
      </c>
    </row>
    <row r="675" spans="1:11" ht="12.75" x14ac:dyDescent="0.2">
      <c r="A675" s="2">
        <v>42063</v>
      </c>
      <c r="B675" s="2" t="str">
        <f>TEXT(Table1[[#This Row],[Order Date]],"MMM")</f>
        <v>Feb</v>
      </c>
      <c r="C675" s="2" t="str">
        <f t="shared" si="10"/>
        <v>2015</v>
      </c>
      <c r="D675" s="1" t="s">
        <v>204</v>
      </c>
      <c r="E675" s="1" t="s">
        <v>68</v>
      </c>
      <c r="F675" s="1" t="s">
        <v>33</v>
      </c>
      <c r="G675" s="1" t="s">
        <v>118</v>
      </c>
      <c r="H675" s="1" t="s">
        <v>659</v>
      </c>
      <c r="I675" s="1">
        <v>1048.3499999999999</v>
      </c>
      <c r="J675" s="1">
        <v>5</v>
      </c>
      <c r="K675" s="1">
        <v>-69.89</v>
      </c>
    </row>
    <row r="676" spans="1:11" ht="12.75" x14ac:dyDescent="0.2">
      <c r="A676" s="2">
        <v>41726</v>
      </c>
      <c r="B676" s="2" t="str">
        <f>TEXT(Table1[[#This Row],[Order Date]],"MMM")</f>
        <v>Mar</v>
      </c>
      <c r="C676" s="2" t="str">
        <f t="shared" si="10"/>
        <v>2014</v>
      </c>
      <c r="D676" s="1" t="s">
        <v>706</v>
      </c>
      <c r="E676" s="1" t="s">
        <v>142</v>
      </c>
      <c r="F676" s="1" t="s">
        <v>33</v>
      </c>
      <c r="G676" s="1" t="s">
        <v>44</v>
      </c>
      <c r="H676" s="1" t="s">
        <v>986</v>
      </c>
      <c r="I676" s="1">
        <v>129.93</v>
      </c>
      <c r="J676" s="1">
        <v>3</v>
      </c>
      <c r="K676" s="1">
        <v>12.99</v>
      </c>
    </row>
    <row r="677" spans="1:11" ht="12.75" x14ac:dyDescent="0.2">
      <c r="A677" s="2">
        <v>42091</v>
      </c>
      <c r="B677" s="2" t="str">
        <f>TEXT(Table1[[#This Row],[Order Date]],"MMM")</f>
        <v>Mar</v>
      </c>
      <c r="C677" s="2" t="str">
        <f t="shared" si="10"/>
        <v>2015</v>
      </c>
      <c r="D677" s="1" t="s">
        <v>1302</v>
      </c>
      <c r="E677" s="1" t="s">
        <v>15</v>
      </c>
      <c r="F677" s="1" t="s">
        <v>11</v>
      </c>
      <c r="G677" s="1" t="s">
        <v>24</v>
      </c>
      <c r="H677" s="1" t="s">
        <v>372</v>
      </c>
      <c r="I677" s="1">
        <v>6.41</v>
      </c>
      <c r="J677" s="1">
        <v>3</v>
      </c>
      <c r="K677" s="1">
        <v>0.64</v>
      </c>
    </row>
    <row r="678" spans="1:11" ht="12.75" x14ac:dyDescent="0.2">
      <c r="A678" s="2">
        <v>42457</v>
      </c>
      <c r="B678" s="2" t="str">
        <f>TEXT(Table1[[#This Row],[Order Date]],"MMM")</f>
        <v>Mar</v>
      </c>
      <c r="C678" s="2" t="str">
        <f t="shared" si="10"/>
        <v>2016</v>
      </c>
      <c r="D678" s="1" t="s">
        <v>931</v>
      </c>
      <c r="E678" s="1" t="s">
        <v>68</v>
      </c>
      <c r="F678" s="1" t="s">
        <v>11</v>
      </c>
      <c r="G678" s="1" t="s">
        <v>18</v>
      </c>
      <c r="H678" s="1" t="s">
        <v>360</v>
      </c>
      <c r="I678" s="1">
        <v>221.02</v>
      </c>
      <c r="J678" s="1">
        <v>2</v>
      </c>
      <c r="K678" s="1">
        <v>-55.26</v>
      </c>
    </row>
    <row r="679" spans="1:11" ht="12.75" x14ac:dyDescent="0.2">
      <c r="A679" s="2">
        <v>42822</v>
      </c>
      <c r="B679" s="2" t="str">
        <f>TEXT(Table1[[#This Row],[Order Date]],"MMM")</f>
        <v>Mar</v>
      </c>
      <c r="C679" s="2" t="str">
        <f t="shared" si="10"/>
        <v>2017</v>
      </c>
      <c r="D679" s="1" t="s">
        <v>277</v>
      </c>
      <c r="E679" s="1" t="s">
        <v>1323</v>
      </c>
      <c r="F679" s="1" t="s">
        <v>11</v>
      </c>
      <c r="G679" s="1" t="s">
        <v>24</v>
      </c>
      <c r="H679" s="1" t="s">
        <v>503</v>
      </c>
      <c r="I679" s="1">
        <v>131.94</v>
      </c>
      <c r="J679" s="1">
        <v>3</v>
      </c>
      <c r="K679" s="1">
        <v>35.619999999999997</v>
      </c>
    </row>
    <row r="680" spans="1:11" ht="12.75" x14ac:dyDescent="0.2">
      <c r="A680" s="2">
        <v>41757</v>
      </c>
      <c r="B680" s="2" t="str">
        <f>TEXT(Table1[[#This Row],[Order Date]],"MMM")</f>
        <v>Apr</v>
      </c>
      <c r="C680" s="2" t="str">
        <f>TEXT(A680,"YYY")</f>
        <v>2014</v>
      </c>
      <c r="D680" s="1" t="s">
        <v>1304</v>
      </c>
      <c r="E680" s="1" t="s">
        <v>30</v>
      </c>
      <c r="F680" s="1" t="s">
        <v>11</v>
      </c>
      <c r="G680" s="1" t="s">
        <v>20</v>
      </c>
      <c r="H680" s="1" t="s">
        <v>1010</v>
      </c>
      <c r="I680" s="1">
        <v>29.84</v>
      </c>
      <c r="J680" s="1">
        <v>2</v>
      </c>
      <c r="K680" s="1">
        <v>13.43</v>
      </c>
    </row>
    <row r="681" spans="1:11" ht="12.75" x14ac:dyDescent="0.2">
      <c r="A681" s="2">
        <v>42122</v>
      </c>
      <c r="B681" s="2" t="str">
        <f>TEXT(Table1[[#This Row],[Order Date]],"MMM")</f>
        <v>Apr</v>
      </c>
      <c r="C681" s="2" t="str">
        <f t="shared" si="10"/>
        <v>2015</v>
      </c>
      <c r="D681" s="1" t="s">
        <v>990</v>
      </c>
      <c r="E681" s="1" t="s">
        <v>32</v>
      </c>
      <c r="F681" s="1" t="s">
        <v>11</v>
      </c>
      <c r="G681" s="1" t="s">
        <v>80</v>
      </c>
      <c r="H681" s="1" t="s">
        <v>1324</v>
      </c>
      <c r="I681" s="1">
        <v>208.44</v>
      </c>
      <c r="J681" s="1">
        <v>3</v>
      </c>
      <c r="K681" s="1">
        <v>62.53</v>
      </c>
    </row>
    <row r="682" spans="1:11" ht="12.75" x14ac:dyDescent="0.2">
      <c r="A682" s="2">
        <v>41787</v>
      </c>
      <c r="B682" s="2" t="str">
        <f>TEXT(Table1[[#This Row],[Order Date]],"MMM")</f>
        <v>May</v>
      </c>
      <c r="C682" s="2" t="str">
        <f t="shared" si="10"/>
        <v>2014</v>
      </c>
      <c r="D682" s="1" t="s">
        <v>506</v>
      </c>
      <c r="E682" s="1" t="s">
        <v>98</v>
      </c>
      <c r="F682" s="1" t="s">
        <v>33</v>
      </c>
      <c r="G682" s="1" t="s">
        <v>44</v>
      </c>
      <c r="H682" s="1" t="s">
        <v>948</v>
      </c>
      <c r="I682" s="1">
        <v>35.17</v>
      </c>
      <c r="J682" s="1">
        <v>7</v>
      </c>
      <c r="K682" s="1">
        <v>9.67</v>
      </c>
    </row>
    <row r="683" spans="1:11" ht="12.75" x14ac:dyDescent="0.2">
      <c r="A683" s="2">
        <v>42152</v>
      </c>
      <c r="B683" s="2" t="str">
        <f>TEXT(Table1[[#This Row],[Order Date]],"MMM")</f>
        <v>May</v>
      </c>
      <c r="C683" s="2" t="str">
        <f t="shared" si="10"/>
        <v>2015</v>
      </c>
      <c r="D683" s="1" t="s">
        <v>1284</v>
      </c>
      <c r="E683" s="1" t="s">
        <v>187</v>
      </c>
      <c r="F683" s="1" t="s">
        <v>33</v>
      </c>
      <c r="G683" s="1" t="s">
        <v>44</v>
      </c>
      <c r="H683" s="1" t="s">
        <v>725</v>
      </c>
      <c r="I683" s="1">
        <v>31.98</v>
      </c>
      <c r="J683" s="1">
        <v>2</v>
      </c>
      <c r="K683" s="1">
        <v>2</v>
      </c>
    </row>
    <row r="684" spans="1:11" ht="12.75" x14ac:dyDescent="0.2">
      <c r="A684" s="2">
        <v>41818</v>
      </c>
      <c r="B684" s="2" t="str">
        <f>TEXT(Table1[[#This Row],[Order Date]],"MMM")</f>
        <v>Jun</v>
      </c>
      <c r="C684" s="2" t="str">
        <f t="shared" si="10"/>
        <v>2014</v>
      </c>
      <c r="D684" s="1" t="s">
        <v>569</v>
      </c>
      <c r="E684" s="1" t="s">
        <v>27</v>
      </c>
      <c r="F684" s="1" t="s">
        <v>33</v>
      </c>
      <c r="G684" s="1" t="s">
        <v>44</v>
      </c>
      <c r="H684" s="1" t="s">
        <v>1297</v>
      </c>
      <c r="I684" s="1">
        <v>4.95</v>
      </c>
      <c r="J684" s="1">
        <v>1</v>
      </c>
      <c r="K684" s="1">
        <v>2.1800000000000002</v>
      </c>
    </row>
    <row r="685" spans="1:11" ht="12.75" x14ac:dyDescent="0.2">
      <c r="A685" s="2">
        <v>41848</v>
      </c>
      <c r="B685" s="2" t="str">
        <f>TEXT(Table1[[#This Row],[Order Date]],"MMM")</f>
        <v>Jul</v>
      </c>
      <c r="C685" s="2" t="str">
        <f t="shared" si="10"/>
        <v>2014</v>
      </c>
      <c r="D685" s="1" t="s">
        <v>272</v>
      </c>
      <c r="E685" s="1" t="s">
        <v>10</v>
      </c>
      <c r="F685" s="1" t="s">
        <v>11</v>
      </c>
      <c r="G685" s="1" t="s">
        <v>80</v>
      </c>
      <c r="H685" s="1" t="s">
        <v>1325</v>
      </c>
      <c r="I685" s="1">
        <v>1.62</v>
      </c>
      <c r="J685" s="1">
        <v>2</v>
      </c>
      <c r="K685" s="1">
        <v>-4.47</v>
      </c>
    </row>
    <row r="686" spans="1:11" ht="12.75" x14ac:dyDescent="0.2">
      <c r="A686" s="2">
        <v>42944</v>
      </c>
      <c r="B686" s="2" t="str">
        <f>TEXT(Table1[[#This Row],[Order Date]],"MMM")</f>
        <v>Jul</v>
      </c>
      <c r="C686" s="2" t="str">
        <f t="shared" si="10"/>
        <v>2017</v>
      </c>
      <c r="D686" s="1" t="s">
        <v>526</v>
      </c>
      <c r="E686" s="1" t="s">
        <v>27</v>
      </c>
      <c r="F686" s="1" t="s">
        <v>11</v>
      </c>
      <c r="G686" s="1" t="s">
        <v>12</v>
      </c>
      <c r="H686" s="1" t="s">
        <v>1082</v>
      </c>
      <c r="I686" s="1">
        <v>122.97</v>
      </c>
      <c r="J686" s="1">
        <v>3</v>
      </c>
      <c r="K686" s="1">
        <v>60.26</v>
      </c>
    </row>
    <row r="687" spans="1:11" ht="12.75" x14ac:dyDescent="0.2">
      <c r="A687" s="2">
        <v>42610</v>
      </c>
      <c r="B687" s="2" t="str">
        <f>TEXT(Table1[[#This Row],[Order Date]],"MMM")</f>
        <v>Aug</v>
      </c>
      <c r="C687" s="2" t="str">
        <f t="shared" si="10"/>
        <v>2016</v>
      </c>
      <c r="D687" s="1" t="s">
        <v>31</v>
      </c>
      <c r="E687" s="1" t="s">
        <v>30</v>
      </c>
      <c r="F687" s="1" t="s">
        <v>11</v>
      </c>
      <c r="G687" s="1" t="s">
        <v>20</v>
      </c>
      <c r="H687" s="1" t="s">
        <v>451</v>
      </c>
      <c r="I687" s="1">
        <v>91.2</v>
      </c>
      <c r="J687" s="1">
        <v>3</v>
      </c>
      <c r="K687" s="1">
        <v>41.95</v>
      </c>
    </row>
    <row r="688" spans="1:11" ht="12.75" x14ac:dyDescent="0.2">
      <c r="A688" s="2">
        <v>41910</v>
      </c>
      <c r="B688" s="2" t="str">
        <f>TEXT(Table1[[#This Row],[Order Date]],"MMM")</f>
        <v>Sep</v>
      </c>
      <c r="C688" s="2" t="str">
        <f t="shared" si="10"/>
        <v>2014</v>
      </c>
      <c r="D688" s="1" t="s">
        <v>1326</v>
      </c>
      <c r="E688" s="1" t="s">
        <v>27</v>
      </c>
      <c r="F688" s="1" t="s">
        <v>38</v>
      </c>
      <c r="G688" s="1" t="s">
        <v>39</v>
      </c>
      <c r="H688" s="1" t="s">
        <v>1250</v>
      </c>
      <c r="I688" s="1">
        <v>47.98</v>
      </c>
      <c r="J688" s="1">
        <v>3</v>
      </c>
      <c r="K688" s="1">
        <v>4.8</v>
      </c>
    </row>
    <row r="689" spans="1:11" ht="12.75" x14ac:dyDescent="0.2">
      <c r="A689" s="2">
        <v>41940</v>
      </c>
      <c r="B689" s="2" t="str">
        <f>TEXT(Table1[[#This Row],[Order Date]],"MMM")</f>
        <v>Oct</v>
      </c>
      <c r="C689" s="2" t="str">
        <f t="shared" si="10"/>
        <v>2014</v>
      </c>
      <c r="D689" s="1" t="s">
        <v>816</v>
      </c>
      <c r="E689" s="1" t="s">
        <v>120</v>
      </c>
      <c r="F689" s="1" t="s">
        <v>11</v>
      </c>
      <c r="G689" s="1" t="s">
        <v>12</v>
      </c>
      <c r="H689" s="1" t="s">
        <v>1235</v>
      </c>
      <c r="I689" s="1">
        <v>97.82</v>
      </c>
      <c r="J689" s="1">
        <v>2</v>
      </c>
      <c r="K689" s="1">
        <v>45.98</v>
      </c>
    </row>
    <row r="690" spans="1:11" ht="12.75" x14ac:dyDescent="0.2">
      <c r="A690" s="2">
        <v>42305</v>
      </c>
      <c r="B690" s="2" t="str">
        <f>TEXT(Table1[[#This Row],[Order Date]],"MMM")</f>
        <v>Oct</v>
      </c>
      <c r="C690" s="2" t="str">
        <f t="shared" si="10"/>
        <v>2015</v>
      </c>
      <c r="D690" s="1" t="s">
        <v>558</v>
      </c>
      <c r="E690" s="1" t="s">
        <v>101</v>
      </c>
      <c r="F690" s="1" t="s">
        <v>11</v>
      </c>
      <c r="G690" s="1" t="s">
        <v>58</v>
      </c>
      <c r="H690" s="1" t="s">
        <v>780</v>
      </c>
      <c r="I690" s="1">
        <v>37.61</v>
      </c>
      <c r="J690" s="1">
        <v>3</v>
      </c>
      <c r="K690" s="1">
        <v>12.69</v>
      </c>
    </row>
    <row r="691" spans="1:11" ht="12.75" x14ac:dyDescent="0.2">
      <c r="A691" s="2">
        <v>41971</v>
      </c>
      <c r="B691" s="2" t="str">
        <f>TEXT(Table1[[#This Row],[Order Date]],"MMM")</f>
        <v>Nov</v>
      </c>
      <c r="C691" s="2" t="str">
        <f t="shared" si="10"/>
        <v>2014</v>
      </c>
      <c r="D691" s="1" t="s">
        <v>208</v>
      </c>
      <c r="E691" s="1" t="s">
        <v>27</v>
      </c>
      <c r="F691" s="1" t="s">
        <v>11</v>
      </c>
      <c r="G691" s="1" t="s">
        <v>18</v>
      </c>
      <c r="H691" s="1" t="s">
        <v>1134</v>
      </c>
      <c r="I691" s="1">
        <v>1295.78</v>
      </c>
      <c r="J691" s="1">
        <v>2</v>
      </c>
      <c r="K691" s="1">
        <v>310.99</v>
      </c>
    </row>
    <row r="692" spans="1:11" ht="12.75" x14ac:dyDescent="0.2">
      <c r="A692" s="2">
        <v>42336</v>
      </c>
      <c r="B692" s="2" t="str">
        <f>TEXT(Table1[[#This Row],[Order Date]],"MMM")</f>
        <v>Nov</v>
      </c>
      <c r="C692" s="2" t="str">
        <f t="shared" si="10"/>
        <v>2015</v>
      </c>
      <c r="D692" s="1" t="s">
        <v>1151</v>
      </c>
      <c r="E692" s="1" t="s">
        <v>104</v>
      </c>
      <c r="F692" s="1" t="s">
        <v>11</v>
      </c>
      <c r="G692" s="1" t="s">
        <v>20</v>
      </c>
      <c r="H692" s="1" t="s">
        <v>1156</v>
      </c>
      <c r="I692" s="1">
        <v>75.790000000000006</v>
      </c>
      <c r="J692" s="1">
        <v>3</v>
      </c>
      <c r="K692" s="1">
        <v>25.58</v>
      </c>
    </row>
    <row r="693" spans="1:11" ht="12.75" x14ac:dyDescent="0.2">
      <c r="A693" s="2">
        <v>42001</v>
      </c>
      <c r="B693" s="2" t="str">
        <f>TEXT(Table1[[#This Row],[Order Date]],"MMM")</f>
        <v>Dec</v>
      </c>
      <c r="C693" s="2" t="str">
        <f t="shared" si="10"/>
        <v>2014</v>
      </c>
      <c r="D693" s="1" t="s">
        <v>1327</v>
      </c>
      <c r="E693" s="1" t="s">
        <v>30</v>
      </c>
      <c r="F693" s="1" t="s">
        <v>33</v>
      </c>
      <c r="G693" s="1" t="s">
        <v>44</v>
      </c>
      <c r="H693" s="1" t="s">
        <v>1020</v>
      </c>
      <c r="I693" s="1">
        <v>23.99</v>
      </c>
      <c r="J693" s="1">
        <v>1</v>
      </c>
      <c r="K693" s="1">
        <v>5.52</v>
      </c>
    </row>
    <row r="694" spans="1:11" ht="12.75" x14ac:dyDescent="0.2">
      <c r="A694" s="2">
        <v>43097</v>
      </c>
      <c r="B694" s="2" t="str">
        <f>TEXT(Table1[[#This Row],[Order Date]],"MMM")</f>
        <v>Dec</v>
      </c>
      <c r="C694" s="2" t="str">
        <f t="shared" si="10"/>
        <v>2017</v>
      </c>
      <c r="D694" s="1" t="s">
        <v>1097</v>
      </c>
      <c r="E694" s="1" t="s">
        <v>10</v>
      </c>
      <c r="F694" s="1" t="s">
        <v>33</v>
      </c>
      <c r="G694" s="1" t="s">
        <v>44</v>
      </c>
      <c r="H694" s="1" t="s">
        <v>1261</v>
      </c>
      <c r="I694" s="1">
        <v>332.03</v>
      </c>
      <c r="J694" s="1">
        <v>9</v>
      </c>
      <c r="K694" s="1">
        <v>-348.63</v>
      </c>
    </row>
    <row r="695" spans="1:11" ht="12.75" x14ac:dyDescent="0.2">
      <c r="A695" s="2">
        <v>41727</v>
      </c>
      <c r="B695" s="2" t="str">
        <f>TEXT(Table1[[#This Row],[Order Date]],"MMM")</f>
        <v>Mar</v>
      </c>
      <c r="C695" s="2" t="str">
        <f t="shared" si="10"/>
        <v>2014</v>
      </c>
      <c r="D695" s="1" t="s">
        <v>681</v>
      </c>
      <c r="E695" s="1" t="s">
        <v>120</v>
      </c>
      <c r="F695" s="1" t="s">
        <v>11</v>
      </c>
      <c r="G695" s="1" t="s">
        <v>20</v>
      </c>
      <c r="H695" s="1" t="s">
        <v>915</v>
      </c>
      <c r="I695" s="1">
        <v>17.47</v>
      </c>
      <c r="J695" s="1">
        <v>3</v>
      </c>
      <c r="K695" s="1">
        <v>6.33</v>
      </c>
    </row>
    <row r="696" spans="1:11" ht="12.75" x14ac:dyDescent="0.2">
      <c r="A696" s="2">
        <v>42092</v>
      </c>
      <c r="B696" s="2" t="str">
        <f>TEXT(Table1[[#This Row],[Order Date]],"MMM")</f>
        <v>Mar</v>
      </c>
      <c r="C696" s="2" t="str">
        <f t="shared" si="10"/>
        <v>2015</v>
      </c>
      <c r="D696" s="1" t="s">
        <v>387</v>
      </c>
      <c r="E696" s="1" t="s">
        <v>68</v>
      </c>
      <c r="F696" s="1" t="s">
        <v>11</v>
      </c>
      <c r="G696" s="1" t="s">
        <v>12</v>
      </c>
      <c r="H696" s="1" t="s">
        <v>1047</v>
      </c>
      <c r="I696" s="1">
        <v>3.82</v>
      </c>
      <c r="J696" s="1">
        <v>1</v>
      </c>
      <c r="K696" s="1">
        <v>1.19</v>
      </c>
    </row>
    <row r="697" spans="1:11" ht="12.75" x14ac:dyDescent="0.2">
      <c r="A697" s="2">
        <v>42458</v>
      </c>
      <c r="B697" s="2" t="str">
        <f>TEXT(Table1[[#This Row],[Order Date]],"MMM")</f>
        <v>Mar</v>
      </c>
      <c r="C697" s="2" t="str">
        <f t="shared" si="10"/>
        <v>2016</v>
      </c>
      <c r="D697" s="1" t="s">
        <v>578</v>
      </c>
      <c r="E697" s="1" t="s">
        <v>23</v>
      </c>
      <c r="F697" s="1" t="s">
        <v>38</v>
      </c>
      <c r="G697" s="1" t="s">
        <v>39</v>
      </c>
      <c r="H697" s="1" t="s">
        <v>574</v>
      </c>
      <c r="I697" s="1">
        <v>39.590000000000003</v>
      </c>
      <c r="J697" s="1">
        <v>1</v>
      </c>
      <c r="K697" s="1">
        <v>-7.26</v>
      </c>
    </row>
    <row r="698" spans="1:11" ht="12.75" x14ac:dyDescent="0.2">
      <c r="A698" s="2">
        <v>42823</v>
      </c>
      <c r="B698" s="2" t="str">
        <f>TEXT(Table1[[#This Row],[Order Date]],"MMM")</f>
        <v>Mar</v>
      </c>
      <c r="C698" s="2" t="str">
        <f t="shared" si="10"/>
        <v>2017</v>
      </c>
      <c r="D698" s="1" t="s">
        <v>1276</v>
      </c>
      <c r="E698" s="1" t="s">
        <v>113</v>
      </c>
      <c r="F698" s="1" t="s">
        <v>11</v>
      </c>
      <c r="G698" s="1" t="s">
        <v>16</v>
      </c>
      <c r="H698" s="1" t="s">
        <v>1299</v>
      </c>
      <c r="I698" s="1">
        <v>20.23</v>
      </c>
      <c r="J698" s="1">
        <v>7</v>
      </c>
      <c r="K698" s="1">
        <v>9.51</v>
      </c>
    </row>
    <row r="699" spans="1:11" ht="12.75" x14ac:dyDescent="0.2">
      <c r="A699" s="2">
        <v>41758</v>
      </c>
      <c r="B699" s="2" t="str">
        <f>TEXT(Table1[[#This Row],[Order Date]],"MMM")</f>
        <v>Apr</v>
      </c>
      <c r="C699" s="2" t="str">
        <f t="shared" si="10"/>
        <v>2014</v>
      </c>
      <c r="D699" s="1" t="s">
        <v>799</v>
      </c>
      <c r="E699" s="1" t="s">
        <v>27</v>
      </c>
      <c r="F699" s="1" t="s">
        <v>38</v>
      </c>
      <c r="G699" s="1" t="s">
        <v>48</v>
      </c>
      <c r="H699" s="1" t="s">
        <v>1128</v>
      </c>
      <c r="I699" s="1">
        <v>1649.95</v>
      </c>
      <c r="J699" s="1">
        <v>5</v>
      </c>
      <c r="K699" s="1">
        <v>659.98</v>
      </c>
    </row>
    <row r="700" spans="1:11" ht="12.75" x14ac:dyDescent="0.2">
      <c r="A700" s="2">
        <v>42123</v>
      </c>
      <c r="B700" s="2" t="str">
        <f>TEXT(Table1[[#This Row],[Order Date]],"MMM")</f>
        <v>Apr</v>
      </c>
      <c r="C700" s="2" t="str">
        <f t="shared" si="10"/>
        <v>2015</v>
      </c>
      <c r="D700" s="1" t="s">
        <v>1241</v>
      </c>
      <c r="E700" s="1" t="s">
        <v>27</v>
      </c>
      <c r="F700" s="1" t="s">
        <v>11</v>
      </c>
      <c r="G700" s="1" t="s">
        <v>20</v>
      </c>
      <c r="H700" s="1" t="s">
        <v>289</v>
      </c>
      <c r="I700" s="1">
        <v>9.98</v>
      </c>
      <c r="J700" s="1">
        <v>4</v>
      </c>
      <c r="K700" s="1">
        <v>3.62</v>
      </c>
    </row>
    <row r="701" spans="1:11" ht="12.75" x14ac:dyDescent="0.2">
      <c r="A701" s="2">
        <v>42854</v>
      </c>
      <c r="B701" s="2" t="str">
        <f>TEXT(Table1[[#This Row],[Order Date]],"MMM")</f>
        <v>Apr</v>
      </c>
      <c r="C701" s="2" t="str">
        <f t="shared" si="10"/>
        <v>2017</v>
      </c>
      <c r="D701" s="1" t="s">
        <v>1196</v>
      </c>
      <c r="E701" s="1" t="s">
        <v>15</v>
      </c>
      <c r="F701" s="1" t="s">
        <v>33</v>
      </c>
      <c r="G701" s="1" t="s">
        <v>65</v>
      </c>
      <c r="H701" s="1" t="s">
        <v>66</v>
      </c>
      <c r="I701" s="1">
        <v>183.37</v>
      </c>
      <c r="J701" s="1">
        <v>2</v>
      </c>
      <c r="K701" s="1">
        <v>-36.67</v>
      </c>
    </row>
    <row r="702" spans="1:11" ht="12.75" x14ac:dyDescent="0.2">
      <c r="A702" s="2">
        <v>42153</v>
      </c>
      <c r="B702" s="2" t="str">
        <f>TEXT(Table1[[#This Row],[Order Date]],"MMM")</f>
        <v>May</v>
      </c>
      <c r="C702" s="2" t="str">
        <f t="shared" si="10"/>
        <v>2015</v>
      </c>
      <c r="D702" s="1" t="s">
        <v>1157</v>
      </c>
      <c r="E702" s="1" t="s">
        <v>187</v>
      </c>
      <c r="F702" s="1" t="s">
        <v>38</v>
      </c>
      <c r="G702" s="1" t="s">
        <v>48</v>
      </c>
      <c r="H702" s="1" t="s">
        <v>661</v>
      </c>
      <c r="I702" s="1">
        <v>79.989999999999995</v>
      </c>
      <c r="J702" s="1">
        <v>1</v>
      </c>
      <c r="K702" s="1">
        <v>22</v>
      </c>
    </row>
    <row r="703" spans="1:11" ht="12.75" x14ac:dyDescent="0.2">
      <c r="A703" s="2">
        <v>42519</v>
      </c>
      <c r="B703" s="2" t="str">
        <f>TEXT(Table1[[#This Row],[Order Date]],"MMM")</f>
        <v>May</v>
      </c>
      <c r="C703" s="2" t="str">
        <f t="shared" si="10"/>
        <v>2016</v>
      </c>
      <c r="D703" s="1" t="s">
        <v>949</v>
      </c>
      <c r="E703" s="1" t="s">
        <v>120</v>
      </c>
      <c r="F703" s="1" t="s">
        <v>33</v>
      </c>
      <c r="G703" s="1" t="s">
        <v>44</v>
      </c>
      <c r="H703" s="1" t="s">
        <v>967</v>
      </c>
      <c r="I703" s="1">
        <v>40.479999999999997</v>
      </c>
      <c r="J703" s="1">
        <v>2</v>
      </c>
      <c r="K703" s="1">
        <v>15.79</v>
      </c>
    </row>
    <row r="704" spans="1:11" ht="12.75" x14ac:dyDescent="0.2">
      <c r="A704" s="2">
        <v>41819</v>
      </c>
      <c r="B704" s="2" t="str">
        <f>TEXT(Table1[[#This Row],[Order Date]],"MMM")</f>
        <v>Jun</v>
      </c>
      <c r="C704" s="2" t="str">
        <f t="shared" si="10"/>
        <v>2014</v>
      </c>
      <c r="D704" s="1" t="s">
        <v>871</v>
      </c>
      <c r="E704" s="1" t="s">
        <v>101</v>
      </c>
      <c r="F704" s="1" t="s">
        <v>38</v>
      </c>
      <c r="G704" s="1" t="s">
        <v>39</v>
      </c>
      <c r="H704" s="1" t="s">
        <v>377</v>
      </c>
      <c r="I704" s="1">
        <v>4367.8999999999996</v>
      </c>
      <c r="J704" s="1">
        <v>13</v>
      </c>
      <c r="K704" s="1">
        <v>327.58999999999997</v>
      </c>
    </row>
    <row r="705" spans="1:11" ht="12.75" x14ac:dyDescent="0.2">
      <c r="A705" s="2">
        <v>42915</v>
      </c>
      <c r="B705" s="2" t="str">
        <f>TEXT(Table1[[#This Row],[Order Date]],"MMM")</f>
        <v>Jun</v>
      </c>
      <c r="C705" s="2" t="str">
        <f t="shared" si="10"/>
        <v>2017</v>
      </c>
      <c r="D705" s="1" t="s">
        <v>1055</v>
      </c>
      <c r="E705" s="1" t="s">
        <v>120</v>
      </c>
      <c r="F705" s="1" t="s">
        <v>11</v>
      </c>
      <c r="G705" s="1" t="s">
        <v>20</v>
      </c>
      <c r="H705" s="1" t="s">
        <v>500</v>
      </c>
      <c r="I705" s="1">
        <v>24.67</v>
      </c>
      <c r="J705" s="1">
        <v>4</v>
      </c>
      <c r="K705" s="1">
        <v>7.71</v>
      </c>
    </row>
    <row r="706" spans="1:11" ht="12.75" x14ac:dyDescent="0.2">
      <c r="A706" s="2">
        <v>41880</v>
      </c>
      <c r="B706" s="2" t="str">
        <f>TEXT(Table1[[#This Row],[Order Date]],"MMM")</f>
        <v>Aug</v>
      </c>
      <c r="C706" s="2" t="str">
        <f t="shared" ref="C706:C760" si="11">TEXT(A706,"YYY")</f>
        <v>2014</v>
      </c>
      <c r="D706" s="1" t="s">
        <v>147</v>
      </c>
      <c r="E706" s="1" t="s">
        <v>187</v>
      </c>
      <c r="F706" s="1" t="s">
        <v>11</v>
      </c>
      <c r="G706" s="1" t="s">
        <v>12</v>
      </c>
      <c r="H706" s="1" t="s">
        <v>1226</v>
      </c>
      <c r="I706" s="1">
        <v>192.16</v>
      </c>
      <c r="J706" s="1">
        <v>5</v>
      </c>
      <c r="K706" s="1">
        <v>67.260000000000005</v>
      </c>
    </row>
    <row r="707" spans="1:11" ht="12.75" x14ac:dyDescent="0.2">
      <c r="A707" s="2">
        <v>42245</v>
      </c>
      <c r="B707" s="2" t="str">
        <f>TEXT(Table1[[#This Row],[Order Date]],"MMM")</f>
        <v>Aug</v>
      </c>
      <c r="C707" s="2" t="str">
        <f t="shared" si="11"/>
        <v>2015</v>
      </c>
      <c r="D707" s="1" t="s">
        <v>816</v>
      </c>
      <c r="E707" s="1" t="s">
        <v>287</v>
      </c>
      <c r="F707" s="1" t="s">
        <v>33</v>
      </c>
      <c r="G707" s="1" t="s">
        <v>118</v>
      </c>
      <c r="H707" s="1" t="s">
        <v>1265</v>
      </c>
      <c r="I707" s="1">
        <v>1488.42</v>
      </c>
      <c r="J707" s="1">
        <v>7</v>
      </c>
      <c r="K707" s="1">
        <v>-297.68</v>
      </c>
    </row>
    <row r="708" spans="1:11" ht="12.75" x14ac:dyDescent="0.2">
      <c r="A708" s="2">
        <v>42611</v>
      </c>
      <c r="B708" s="2" t="str">
        <f>TEXT(Table1[[#This Row],[Order Date]],"MMM")</f>
        <v>Aug</v>
      </c>
      <c r="C708" s="2" t="str">
        <f t="shared" si="11"/>
        <v>2016</v>
      </c>
      <c r="D708" s="1" t="s">
        <v>220</v>
      </c>
      <c r="E708" s="1" t="s">
        <v>120</v>
      </c>
      <c r="F708" s="1" t="s">
        <v>33</v>
      </c>
      <c r="G708" s="1" t="s">
        <v>44</v>
      </c>
      <c r="H708" s="1" t="s">
        <v>1315</v>
      </c>
      <c r="I708" s="1">
        <v>114.9</v>
      </c>
      <c r="J708" s="1">
        <v>5</v>
      </c>
      <c r="K708" s="1">
        <v>39.07</v>
      </c>
    </row>
    <row r="709" spans="1:11" ht="12.75" x14ac:dyDescent="0.2">
      <c r="A709" s="2">
        <v>41911</v>
      </c>
      <c r="B709" s="2" t="str">
        <f>TEXT(Table1[[#This Row],[Order Date]],"MMM")</f>
        <v>Sep</v>
      </c>
      <c r="C709" s="2" t="str">
        <f t="shared" si="11"/>
        <v>2014</v>
      </c>
      <c r="D709" s="1" t="s">
        <v>563</v>
      </c>
      <c r="E709" s="1" t="s">
        <v>15</v>
      </c>
      <c r="F709" s="1" t="s">
        <v>11</v>
      </c>
      <c r="G709" s="1" t="s">
        <v>20</v>
      </c>
      <c r="H709" s="1" t="s">
        <v>750</v>
      </c>
      <c r="I709" s="1">
        <v>42.62</v>
      </c>
      <c r="J709" s="1">
        <v>7</v>
      </c>
      <c r="K709" s="1">
        <v>-68.19</v>
      </c>
    </row>
    <row r="710" spans="1:11" ht="12.75" x14ac:dyDescent="0.2">
      <c r="A710" s="2">
        <v>42642</v>
      </c>
      <c r="B710" s="2" t="str">
        <f>TEXT(Table1[[#This Row],[Order Date]],"MMM")</f>
        <v>Sep</v>
      </c>
      <c r="C710" s="2" t="str">
        <f t="shared" si="11"/>
        <v>2016</v>
      </c>
      <c r="D710" s="1" t="s">
        <v>169</v>
      </c>
      <c r="E710" s="1" t="s">
        <v>15</v>
      </c>
      <c r="F710" s="1" t="s">
        <v>38</v>
      </c>
      <c r="G710" s="1" t="s">
        <v>39</v>
      </c>
      <c r="H710" s="1" t="s">
        <v>529</v>
      </c>
      <c r="I710" s="1">
        <v>147.16999999999999</v>
      </c>
      <c r="J710" s="1">
        <v>4</v>
      </c>
      <c r="K710" s="1">
        <v>16.559999999999999</v>
      </c>
    </row>
    <row r="711" spans="1:11" ht="12.75" x14ac:dyDescent="0.2">
      <c r="A711" s="2">
        <v>41941</v>
      </c>
      <c r="B711" s="2" t="str">
        <f>TEXT(Table1[[#This Row],[Order Date]],"MMM")</f>
        <v>Oct</v>
      </c>
      <c r="C711" s="2" t="str">
        <f t="shared" si="11"/>
        <v>2014</v>
      </c>
      <c r="D711" s="1" t="s">
        <v>755</v>
      </c>
      <c r="E711" s="1" t="s">
        <v>27</v>
      </c>
      <c r="F711" s="1" t="s">
        <v>33</v>
      </c>
      <c r="G711" s="1" t="s">
        <v>44</v>
      </c>
      <c r="H711" s="1" t="s">
        <v>989</v>
      </c>
      <c r="I711" s="1">
        <v>8.36</v>
      </c>
      <c r="J711" s="1">
        <v>2</v>
      </c>
      <c r="K711" s="1">
        <v>3.01</v>
      </c>
    </row>
    <row r="712" spans="1:11" ht="12.75" x14ac:dyDescent="0.2">
      <c r="A712" s="2">
        <v>42306</v>
      </c>
      <c r="B712" s="2" t="str">
        <f>TEXT(Table1[[#This Row],[Order Date]],"MMM")</f>
        <v>Oct</v>
      </c>
      <c r="C712" s="2" t="str">
        <f t="shared" si="11"/>
        <v>2015</v>
      </c>
      <c r="D712" s="1" t="s">
        <v>106</v>
      </c>
      <c r="E712" s="1" t="s">
        <v>187</v>
      </c>
      <c r="F712" s="1" t="s">
        <v>11</v>
      </c>
      <c r="G712" s="1" t="s">
        <v>24</v>
      </c>
      <c r="H712" s="1" t="s">
        <v>584</v>
      </c>
      <c r="I712" s="1">
        <v>15.92</v>
      </c>
      <c r="J712" s="1">
        <v>5</v>
      </c>
      <c r="K712" s="1">
        <v>2.79</v>
      </c>
    </row>
    <row r="713" spans="1:11" ht="12.75" x14ac:dyDescent="0.2">
      <c r="A713" s="2">
        <v>43037</v>
      </c>
      <c r="B713" s="2" t="str">
        <f>TEXT(Table1[[#This Row],[Order Date]],"MMM")</f>
        <v>Oct</v>
      </c>
      <c r="C713" s="2" t="str">
        <f t="shared" si="11"/>
        <v>2017</v>
      </c>
      <c r="D713" s="1" t="s">
        <v>1129</v>
      </c>
      <c r="E713" s="1" t="s">
        <v>10</v>
      </c>
      <c r="F713" s="1" t="s">
        <v>11</v>
      </c>
      <c r="G713" s="1" t="s">
        <v>12</v>
      </c>
      <c r="H713" s="1" t="s">
        <v>605</v>
      </c>
      <c r="I713" s="1">
        <v>31.87</v>
      </c>
      <c r="J713" s="1">
        <v>8</v>
      </c>
      <c r="K713" s="1">
        <v>11.55</v>
      </c>
    </row>
    <row r="714" spans="1:11" ht="12.75" x14ac:dyDescent="0.2">
      <c r="A714" s="2">
        <v>41972</v>
      </c>
      <c r="B714" s="2" t="str">
        <f>TEXT(Table1[[#This Row],[Order Date]],"MMM")</f>
        <v>Nov</v>
      </c>
      <c r="C714" s="2" t="str">
        <f t="shared" si="11"/>
        <v>2014</v>
      </c>
      <c r="D714" s="1" t="s">
        <v>641</v>
      </c>
      <c r="E714" s="1" t="s">
        <v>27</v>
      </c>
      <c r="F714" s="1" t="s">
        <v>11</v>
      </c>
      <c r="G714" s="1" t="s">
        <v>12</v>
      </c>
      <c r="H714" s="1" t="s">
        <v>1080</v>
      </c>
      <c r="I714" s="1">
        <v>8.82</v>
      </c>
      <c r="J714" s="1">
        <v>2</v>
      </c>
      <c r="K714" s="1">
        <v>4.0599999999999996</v>
      </c>
    </row>
    <row r="715" spans="1:11" ht="12.75" x14ac:dyDescent="0.2">
      <c r="A715" s="2">
        <v>42337</v>
      </c>
      <c r="B715" s="2" t="str">
        <f>TEXT(Table1[[#This Row],[Order Date]],"MMM")</f>
        <v>Nov</v>
      </c>
      <c r="C715" s="2" t="str">
        <f t="shared" si="11"/>
        <v>2015</v>
      </c>
      <c r="D715" s="1" t="s">
        <v>53</v>
      </c>
      <c r="E715" s="1" t="s">
        <v>120</v>
      </c>
      <c r="F715" s="1" t="s">
        <v>33</v>
      </c>
      <c r="G715" s="1" t="s">
        <v>34</v>
      </c>
      <c r="H715" s="1" t="s">
        <v>1249</v>
      </c>
      <c r="I715" s="1">
        <v>272.64999999999998</v>
      </c>
      <c r="J715" s="1">
        <v>3</v>
      </c>
      <c r="K715" s="1">
        <v>18.18</v>
      </c>
    </row>
    <row r="716" spans="1:11" ht="12.75" x14ac:dyDescent="0.2">
      <c r="A716" s="2">
        <v>42703</v>
      </c>
      <c r="B716" s="2" t="str">
        <f>TEXT(Table1[[#This Row],[Order Date]],"MMM")</f>
        <v>Nov</v>
      </c>
      <c r="C716" s="2" t="str">
        <f t="shared" si="11"/>
        <v>2016</v>
      </c>
      <c r="D716" s="1" t="s">
        <v>698</v>
      </c>
      <c r="E716" s="1" t="s">
        <v>221</v>
      </c>
      <c r="F716" s="1" t="s">
        <v>11</v>
      </c>
      <c r="G716" s="1" t="s">
        <v>20</v>
      </c>
      <c r="H716" s="1" t="s">
        <v>552</v>
      </c>
      <c r="I716" s="1">
        <v>20.16</v>
      </c>
      <c r="J716" s="1">
        <v>7</v>
      </c>
      <c r="K716" s="1">
        <v>9.8800000000000008</v>
      </c>
    </row>
    <row r="717" spans="1:11" ht="12.75" x14ac:dyDescent="0.2">
      <c r="A717" s="2">
        <v>43068</v>
      </c>
      <c r="B717" s="2" t="str">
        <f>TEXT(Table1[[#This Row],[Order Date]],"MMM")</f>
        <v>Nov</v>
      </c>
      <c r="C717" s="2" t="str">
        <f t="shared" si="11"/>
        <v>2017</v>
      </c>
      <c r="D717" s="1" t="s">
        <v>1197</v>
      </c>
      <c r="E717" s="1" t="s">
        <v>101</v>
      </c>
      <c r="F717" s="1" t="s">
        <v>33</v>
      </c>
      <c r="G717" s="1" t="s">
        <v>34</v>
      </c>
      <c r="H717" s="1" t="s">
        <v>823</v>
      </c>
      <c r="I717" s="1">
        <v>419.14</v>
      </c>
      <c r="J717" s="1">
        <v>4</v>
      </c>
      <c r="K717" s="1">
        <v>-57.63</v>
      </c>
    </row>
    <row r="718" spans="1:11" ht="12.75" x14ac:dyDescent="0.2">
      <c r="A718" s="2">
        <v>42002</v>
      </c>
      <c r="B718" s="2" t="str">
        <f>TEXT(Table1[[#This Row],[Order Date]],"MMM")</f>
        <v>Dec</v>
      </c>
      <c r="C718" s="2" t="str">
        <f t="shared" si="11"/>
        <v>2014</v>
      </c>
      <c r="D718" s="1" t="s">
        <v>867</v>
      </c>
      <c r="E718" s="1" t="s">
        <v>10</v>
      </c>
      <c r="F718" s="1" t="s">
        <v>11</v>
      </c>
      <c r="G718" s="1" t="s">
        <v>24</v>
      </c>
      <c r="H718" s="1" t="s">
        <v>1217</v>
      </c>
      <c r="I718" s="1">
        <v>6.67</v>
      </c>
      <c r="J718" s="1">
        <v>6</v>
      </c>
      <c r="K718" s="1">
        <v>0.5</v>
      </c>
    </row>
    <row r="719" spans="1:11" ht="12.75" x14ac:dyDescent="0.2">
      <c r="A719" s="2">
        <v>42367</v>
      </c>
      <c r="B719" s="2" t="str">
        <f>TEXT(Table1[[#This Row],[Order Date]],"MMM")</f>
        <v>Dec</v>
      </c>
      <c r="C719" s="2" t="str">
        <f t="shared" si="11"/>
        <v>2015</v>
      </c>
      <c r="D719" s="1" t="s">
        <v>865</v>
      </c>
      <c r="E719" s="1" t="s">
        <v>221</v>
      </c>
      <c r="F719" s="1" t="s">
        <v>11</v>
      </c>
      <c r="G719" s="1" t="s">
        <v>20</v>
      </c>
      <c r="H719" s="1" t="s">
        <v>693</v>
      </c>
      <c r="I719" s="1">
        <v>1793.98</v>
      </c>
      <c r="J719" s="1">
        <v>2</v>
      </c>
      <c r="K719" s="1">
        <v>843.17</v>
      </c>
    </row>
    <row r="720" spans="1:11" ht="12.75" x14ac:dyDescent="0.2">
      <c r="A720" s="2">
        <v>42733</v>
      </c>
      <c r="B720" s="2" t="str">
        <f>TEXT(Table1[[#This Row],[Order Date]],"MMM")</f>
        <v>Dec</v>
      </c>
      <c r="C720" s="2" t="str">
        <f t="shared" si="11"/>
        <v>2016</v>
      </c>
      <c r="D720" s="1" t="s">
        <v>646</v>
      </c>
      <c r="E720" s="1" t="s">
        <v>334</v>
      </c>
      <c r="F720" s="1" t="s">
        <v>33</v>
      </c>
      <c r="G720" s="1" t="s">
        <v>44</v>
      </c>
      <c r="H720" s="1" t="s">
        <v>1056</v>
      </c>
      <c r="I720" s="1">
        <v>41.96</v>
      </c>
      <c r="J720" s="1">
        <v>2</v>
      </c>
      <c r="K720" s="1">
        <v>2.94</v>
      </c>
    </row>
    <row r="721" spans="1:11" ht="12.75" x14ac:dyDescent="0.2">
      <c r="A721" s="2">
        <v>41669</v>
      </c>
      <c r="B721" s="2" t="str">
        <f>TEXT(Table1[[#This Row],[Order Date]],"MMM")</f>
        <v>Jan</v>
      </c>
      <c r="C721" s="2" t="str">
        <f t="shared" si="11"/>
        <v>2014</v>
      </c>
      <c r="D721" s="1" t="s">
        <v>56</v>
      </c>
      <c r="E721" s="1" t="s">
        <v>27</v>
      </c>
      <c r="F721" s="1" t="s">
        <v>38</v>
      </c>
      <c r="G721" s="1" t="s">
        <v>39</v>
      </c>
      <c r="H721" s="1" t="s">
        <v>860</v>
      </c>
      <c r="I721" s="1">
        <v>103.19</v>
      </c>
      <c r="J721" s="1">
        <v>1</v>
      </c>
      <c r="K721" s="1">
        <v>11.61</v>
      </c>
    </row>
    <row r="722" spans="1:11" ht="12.75" x14ac:dyDescent="0.2">
      <c r="A722" s="2">
        <v>42034</v>
      </c>
      <c r="B722" s="2" t="str">
        <f>TEXT(Table1[[#This Row],[Order Date]],"MMM")</f>
        <v>Jan</v>
      </c>
      <c r="C722" s="2" t="str">
        <f t="shared" si="11"/>
        <v>2015</v>
      </c>
      <c r="D722" s="1" t="s">
        <v>806</v>
      </c>
      <c r="E722" s="1" t="s">
        <v>187</v>
      </c>
      <c r="F722" s="1" t="s">
        <v>11</v>
      </c>
      <c r="G722" s="1" t="s">
        <v>12</v>
      </c>
      <c r="H722" s="1" t="s">
        <v>710</v>
      </c>
      <c r="I722" s="1">
        <v>10.82</v>
      </c>
      <c r="J722" s="1">
        <v>4</v>
      </c>
      <c r="K722" s="1">
        <v>3.52</v>
      </c>
    </row>
    <row r="723" spans="1:11" ht="12.75" x14ac:dyDescent="0.2">
      <c r="A723" s="2">
        <v>42765</v>
      </c>
      <c r="B723" s="2" t="str">
        <f>TEXT(Table1[[#This Row],[Order Date]],"MMM")</f>
        <v>Jan</v>
      </c>
      <c r="C723" s="2" t="str">
        <f t="shared" si="11"/>
        <v>2017</v>
      </c>
      <c r="D723" s="1" t="s">
        <v>602</v>
      </c>
      <c r="E723" s="1" t="s">
        <v>15</v>
      </c>
      <c r="F723" s="1" t="s">
        <v>33</v>
      </c>
      <c r="G723" s="1" t="s">
        <v>34</v>
      </c>
      <c r="H723" s="1" t="s">
        <v>1201</v>
      </c>
      <c r="I723" s="1">
        <v>239.36</v>
      </c>
      <c r="J723" s="1">
        <v>3</v>
      </c>
      <c r="K723" s="1">
        <v>-47.87</v>
      </c>
    </row>
    <row r="724" spans="1:11" ht="12.75" x14ac:dyDescent="0.2">
      <c r="A724" s="2">
        <v>41728</v>
      </c>
      <c r="B724" s="2" t="str">
        <f>TEXT(Table1[[#This Row],[Order Date]],"MMM")</f>
        <v>Mar</v>
      </c>
      <c r="C724" s="2" t="str">
        <f t="shared" si="11"/>
        <v>2014</v>
      </c>
      <c r="D724" s="1" t="s">
        <v>405</v>
      </c>
      <c r="E724" s="1" t="s">
        <v>15</v>
      </c>
      <c r="F724" s="1" t="s">
        <v>33</v>
      </c>
      <c r="G724" s="1" t="s">
        <v>34</v>
      </c>
      <c r="H724" s="1" t="s">
        <v>276</v>
      </c>
      <c r="I724" s="1">
        <v>254.6</v>
      </c>
      <c r="J724" s="1">
        <v>14</v>
      </c>
      <c r="K724" s="1">
        <v>-18.190000000000001</v>
      </c>
    </row>
    <row r="725" spans="1:11" ht="12.75" x14ac:dyDescent="0.2">
      <c r="A725" s="2">
        <v>42824</v>
      </c>
      <c r="B725" s="2" t="str">
        <f>TEXT(Table1[[#This Row],[Order Date]],"MMM")</f>
        <v>Mar</v>
      </c>
      <c r="C725" s="2" t="str">
        <f t="shared" si="11"/>
        <v>2017</v>
      </c>
      <c r="D725" s="1" t="s">
        <v>448</v>
      </c>
      <c r="E725" s="1" t="s">
        <v>27</v>
      </c>
      <c r="F725" s="1" t="s">
        <v>11</v>
      </c>
      <c r="G725" s="1" t="s">
        <v>24</v>
      </c>
      <c r="H725" s="1" t="s">
        <v>1328</v>
      </c>
      <c r="I725" s="1">
        <v>87.92</v>
      </c>
      <c r="J725" s="1">
        <v>4</v>
      </c>
      <c r="K725" s="1">
        <v>26.38</v>
      </c>
    </row>
    <row r="726" spans="1:11" ht="12.75" x14ac:dyDescent="0.2">
      <c r="A726" s="2">
        <v>41759</v>
      </c>
      <c r="B726" s="2" t="str">
        <f>TEXT(Table1[[#This Row],[Order Date]],"MMM")</f>
        <v>Apr</v>
      </c>
      <c r="C726" s="2" t="str">
        <f t="shared" si="11"/>
        <v>2014</v>
      </c>
      <c r="D726" s="1" t="s">
        <v>940</v>
      </c>
      <c r="E726" s="1" t="s">
        <v>863</v>
      </c>
      <c r="F726" s="1" t="s">
        <v>11</v>
      </c>
      <c r="G726" s="1" t="s">
        <v>18</v>
      </c>
      <c r="H726" s="1" t="s">
        <v>382</v>
      </c>
      <c r="I726" s="1">
        <v>49.96</v>
      </c>
      <c r="J726" s="1">
        <v>2</v>
      </c>
      <c r="K726" s="1">
        <v>9.49</v>
      </c>
    </row>
    <row r="727" spans="1:11" ht="12.75" x14ac:dyDescent="0.2">
      <c r="A727" s="2">
        <v>42124</v>
      </c>
      <c r="B727" s="2" t="str">
        <f>TEXT(Table1[[#This Row],[Order Date]],"MMM")</f>
        <v>Apr</v>
      </c>
      <c r="C727" s="2" t="str">
        <f t="shared" si="11"/>
        <v>2015</v>
      </c>
      <c r="D727" s="1" t="s">
        <v>1329</v>
      </c>
      <c r="E727" s="1" t="s">
        <v>101</v>
      </c>
      <c r="F727" s="1" t="s">
        <v>33</v>
      </c>
      <c r="G727" s="1" t="s">
        <v>34</v>
      </c>
      <c r="H727" s="1" t="s">
        <v>210</v>
      </c>
      <c r="I727" s="1">
        <v>683.95</v>
      </c>
      <c r="J727" s="1">
        <v>3</v>
      </c>
      <c r="K727" s="1">
        <v>42.75</v>
      </c>
    </row>
    <row r="728" spans="1:11" ht="12.75" x14ac:dyDescent="0.2">
      <c r="A728" s="2">
        <v>41789</v>
      </c>
      <c r="B728" s="2" t="str">
        <f>TEXT(Table1[[#This Row],[Order Date]],"MMM")</f>
        <v>May</v>
      </c>
      <c r="C728" s="2" t="str">
        <f t="shared" si="11"/>
        <v>2014</v>
      </c>
      <c r="D728" s="1" t="s">
        <v>751</v>
      </c>
      <c r="E728" s="1" t="s">
        <v>120</v>
      </c>
      <c r="F728" s="1" t="s">
        <v>38</v>
      </c>
      <c r="G728" s="1" t="s">
        <v>388</v>
      </c>
      <c r="H728" s="1" t="s">
        <v>1287</v>
      </c>
      <c r="I728" s="1">
        <v>11199.97</v>
      </c>
      <c r="J728" s="1">
        <v>4</v>
      </c>
      <c r="K728" s="1">
        <v>3919.99</v>
      </c>
    </row>
    <row r="729" spans="1:11" ht="12.75" x14ac:dyDescent="0.2">
      <c r="A729" s="2">
        <v>42154</v>
      </c>
      <c r="B729" s="2" t="str">
        <f>TEXT(Table1[[#This Row],[Order Date]],"MMM")</f>
        <v>May</v>
      </c>
      <c r="C729" s="2" t="str">
        <f t="shared" si="11"/>
        <v>2015</v>
      </c>
      <c r="D729" s="1" t="s">
        <v>871</v>
      </c>
      <c r="E729" s="1" t="s">
        <v>10</v>
      </c>
      <c r="F729" s="1" t="s">
        <v>33</v>
      </c>
      <c r="G729" s="1" t="s">
        <v>118</v>
      </c>
      <c r="H729" s="1" t="s">
        <v>771</v>
      </c>
      <c r="I729" s="1">
        <v>517.41</v>
      </c>
      <c r="J729" s="1">
        <v>5</v>
      </c>
      <c r="K729" s="1">
        <v>-81.31</v>
      </c>
    </row>
    <row r="730" spans="1:11" ht="12.75" x14ac:dyDescent="0.2">
      <c r="A730" s="2">
        <v>41820</v>
      </c>
      <c r="B730" s="2" t="str">
        <f>TEXT(Table1[[#This Row],[Order Date]],"MMM")</f>
        <v>Jun</v>
      </c>
      <c r="C730" s="2" t="str">
        <f t="shared" si="11"/>
        <v>2014</v>
      </c>
      <c r="D730" s="1" t="s">
        <v>417</v>
      </c>
      <c r="E730" s="1" t="s">
        <v>221</v>
      </c>
      <c r="F730" s="1" t="s">
        <v>38</v>
      </c>
      <c r="G730" s="1" t="s">
        <v>48</v>
      </c>
      <c r="H730" s="1" t="s">
        <v>1188</v>
      </c>
      <c r="I730" s="1">
        <v>19.989999999999998</v>
      </c>
      <c r="J730" s="1">
        <v>1</v>
      </c>
      <c r="K730" s="1">
        <v>6.8</v>
      </c>
    </row>
    <row r="731" spans="1:11" ht="12.75" x14ac:dyDescent="0.2">
      <c r="A731" s="2">
        <v>42551</v>
      </c>
      <c r="B731" s="2" t="str">
        <f>TEXT(Table1[[#This Row],[Order Date]],"MMM")</f>
        <v>Jun</v>
      </c>
      <c r="C731" s="2" t="str">
        <f t="shared" si="11"/>
        <v>2016</v>
      </c>
      <c r="D731" s="1" t="s">
        <v>374</v>
      </c>
      <c r="E731" s="1" t="s">
        <v>120</v>
      </c>
      <c r="F731" s="1" t="s">
        <v>11</v>
      </c>
      <c r="G731" s="1" t="s">
        <v>12</v>
      </c>
      <c r="H731" s="1" t="s">
        <v>1115</v>
      </c>
      <c r="I731" s="1">
        <v>46.96</v>
      </c>
      <c r="J731" s="1">
        <v>8</v>
      </c>
      <c r="K731" s="1">
        <v>22.54</v>
      </c>
    </row>
    <row r="732" spans="1:11" ht="12.75" x14ac:dyDescent="0.2">
      <c r="A732" s="2">
        <v>42916</v>
      </c>
      <c r="B732" s="2" t="str">
        <f>TEXT(Table1[[#This Row],[Order Date]],"MMM")</f>
        <v>Jun</v>
      </c>
      <c r="C732" s="2" t="str">
        <f t="shared" si="11"/>
        <v>2017</v>
      </c>
      <c r="D732" s="1" t="s">
        <v>490</v>
      </c>
      <c r="E732" s="1" t="s">
        <v>187</v>
      </c>
      <c r="F732" s="1" t="s">
        <v>38</v>
      </c>
      <c r="G732" s="1" t="s">
        <v>214</v>
      </c>
      <c r="H732" s="1" t="s">
        <v>1330</v>
      </c>
      <c r="I732" s="1">
        <v>7999.98</v>
      </c>
      <c r="J732" s="1">
        <v>4</v>
      </c>
      <c r="K732" s="1">
        <v>-3839.99</v>
      </c>
    </row>
    <row r="733" spans="1:11" ht="12.75" x14ac:dyDescent="0.2">
      <c r="A733" s="2">
        <v>41850</v>
      </c>
      <c r="B733" s="2" t="str">
        <f>TEXT(Table1[[#This Row],[Order Date]],"MMM")</f>
        <v>Jul</v>
      </c>
      <c r="C733" s="2" t="str">
        <f t="shared" si="11"/>
        <v>2014</v>
      </c>
      <c r="D733" s="1" t="s">
        <v>684</v>
      </c>
      <c r="E733" s="1" t="s">
        <v>83</v>
      </c>
      <c r="F733" s="1" t="s">
        <v>11</v>
      </c>
      <c r="G733" s="1" t="s">
        <v>20</v>
      </c>
      <c r="H733" s="1" t="s">
        <v>797</v>
      </c>
      <c r="I733" s="1">
        <v>2.39</v>
      </c>
      <c r="J733" s="1">
        <v>2</v>
      </c>
      <c r="K733" s="1">
        <v>-1.83</v>
      </c>
    </row>
    <row r="734" spans="1:11" ht="12.75" x14ac:dyDescent="0.2">
      <c r="A734" s="2">
        <v>41881</v>
      </c>
      <c r="B734" s="2" t="str">
        <f>TEXT(Table1[[#This Row],[Order Date]],"MMM")</f>
        <v>Aug</v>
      </c>
      <c r="C734" s="2" t="str">
        <f t="shared" si="11"/>
        <v>2014</v>
      </c>
      <c r="D734" s="1" t="s">
        <v>1178</v>
      </c>
      <c r="E734" s="1" t="s">
        <v>79</v>
      </c>
      <c r="F734" s="1" t="s">
        <v>11</v>
      </c>
      <c r="G734" s="1" t="s">
        <v>20</v>
      </c>
      <c r="H734" s="1" t="s">
        <v>834</v>
      </c>
      <c r="I734" s="1">
        <v>5.68</v>
      </c>
      <c r="J734" s="1">
        <v>1</v>
      </c>
      <c r="K734" s="1">
        <v>-3.79</v>
      </c>
    </row>
    <row r="735" spans="1:11" ht="12.75" x14ac:dyDescent="0.2">
      <c r="A735" s="2">
        <v>42612</v>
      </c>
      <c r="B735" s="2" t="str">
        <f>TEXT(Table1[[#This Row],[Order Date]],"MMM")</f>
        <v>Aug</v>
      </c>
      <c r="C735" s="2" t="str">
        <f t="shared" si="11"/>
        <v>2016</v>
      </c>
      <c r="D735" s="1" t="s">
        <v>1167</v>
      </c>
      <c r="E735" s="1" t="s">
        <v>120</v>
      </c>
      <c r="F735" s="1" t="s">
        <v>33</v>
      </c>
      <c r="G735" s="1" t="s">
        <v>44</v>
      </c>
      <c r="H735" s="1" t="s">
        <v>575</v>
      </c>
      <c r="I735" s="1">
        <v>96.53</v>
      </c>
      <c r="J735" s="1">
        <v>7</v>
      </c>
      <c r="K735" s="1">
        <v>40.54</v>
      </c>
    </row>
    <row r="736" spans="1:11" ht="12.75" x14ac:dyDescent="0.2">
      <c r="A736" s="2">
        <v>41912</v>
      </c>
      <c r="B736" s="2" t="str">
        <f>TEXT(Table1[[#This Row],[Order Date]],"MMM")</f>
        <v>Sep</v>
      </c>
      <c r="C736" s="2" t="str">
        <f t="shared" si="11"/>
        <v>2014</v>
      </c>
      <c r="D736" s="1" t="s">
        <v>440</v>
      </c>
      <c r="E736" s="1" t="s">
        <v>10</v>
      </c>
      <c r="F736" s="1" t="s">
        <v>11</v>
      </c>
      <c r="G736" s="1" t="s">
        <v>16</v>
      </c>
      <c r="H736" s="1" t="s">
        <v>916</v>
      </c>
      <c r="I736" s="1">
        <v>10.44</v>
      </c>
      <c r="J736" s="1">
        <v>5</v>
      </c>
      <c r="K736" s="1">
        <v>3.39</v>
      </c>
    </row>
    <row r="737" spans="1:11" ht="12.75" x14ac:dyDescent="0.2">
      <c r="A737" s="2">
        <v>42307</v>
      </c>
      <c r="B737" s="2" t="str">
        <f>TEXT(Table1[[#This Row],[Order Date]],"MMM")</f>
        <v>Oct</v>
      </c>
      <c r="C737" s="2" t="str">
        <f t="shared" si="11"/>
        <v>2015</v>
      </c>
      <c r="D737" s="1" t="s">
        <v>1059</v>
      </c>
      <c r="E737" s="1" t="s">
        <v>101</v>
      </c>
      <c r="F737" s="1" t="s">
        <v>33</v>
      </c>
      <c r="G737" s="1" t="s">
        <v>44</v>
      </c>
      <c r="H737" s="1" t="s">
        <v>930</v>
      </c>
      <c r="I737" s="1">
        <v>220.06</v>
      </c>
      <c r="J737" s="1">
        <v>4</v>
      </c>
      <c r="K737" s="1">
        <v>55.02</v>
      </c>
    </row>
    <row r="738" spans="1:11" ht="12.75" x14ac:dyDescent="0.2">
      <c r="A738" s="2">
        <v>41973</v>
      </c>
      <c r="B738" s="2" t="str">
        <f>TEXT(Table1[[#This Row],[Order Date]],"MMM")</f>
        <v>Nov</v>
      </c>
      <c r="C738" s="2" t="str">
        <f t="shared" si="11"/>
        <v>2014</v>
      </c>
      <c r="D738" s="1" t="s">
        <v>681</v>
      </c>
      <c r="E738" s="1" t="s">
        <v>51</v>
      </c>
      <c r="F738" s="1" t="s">
        <v>11</v>
      </c>
      <c r="G738" s="1" t="s">
        <v>80</v>
      </c>
      <c r="H738" s="1" t="s">
        <v>978</v>
      </c>
      <c r="I738" s="1">
        <v>35.04</v>
      </c>
      <c r="J738" s="1">
        <v>2</v>
      </c>
      <c r="K738" s="1">
        <v>12.26</v>
      </c>
    </row>
    <row r="739" spans="1:11" ht="12.75" x14ac:dyDescent="0.2">
      <c r="A739" s="2">
        <v>42338</v>
      </c>
      <c r="B739" s="2" t="str">
        <f>TEXT(Table1[[#This Row],[Order Date]],"MMM")</f>
        <v>Nov</v>
      </c>
      <c r="C739" s="2" t="str">
        <f t="shared" si="11"/>
        <v>2015</v>
      </c>
      <c r="D739" s="1" t="s">
        <v>1135</v>
      </c>
      <c r="E739" s="1" t="s">
        <v>15</v>
      </c>
      <c r="F739" s="1" t="s">
        <v>33</v>
      </c>
      <c r="G739" s="1" t="s">
        <v>118</v>
      </c>
      <c r="H739" s="1" t="s">
        <v>928</v>
      </c>
      <c r="I739" s="1">
        <v>219.08</v>
      </c>
      <c r="J739" s="1">
        <v>3</v>
      </c>
      <c r="K739" s="1">
        <v>-131.44999999999999</v>
      </c>
    </row>
    <row r="740" spans="1:11" ht="12.75" x14ac:dyDescent="0.2">
      <c r="A740" s="2">
        <v>42704</v>
      </c>
      <c r="B740" s="2" t="str">
        <f>TEXT(Table1[[#This Row],[Order Date]],"MMM")</f>
        <v>Nov</v>
      </c>
      <c r="C740" s="2" t="str">
        <f t="shared" si="11"/>
        <v>2016</v>
      </c>
      <c r="D740" s="1" t="s">
        <v>1275</v>
      </c>
      <c r="E740" s="1" t="s">
        <v>187</v>
      </c>
      <c r="F740" s="1" t="s">
        <v>38</v>
      </c>
      <c r="G740" s="1" t="s">
        <v>48</v>
      </c>
      <c r="H740" s="1" t="s">
        <v>1045</v>
      </c>
      <c r="I740" s="1">
        <v>74.11</v>
      </c>
      <c r="J740" s="1">
        <v>8</v>
      </c>
      <c r="K740" s="1">
        <v>17.600000000000001</v>
      </c>
    </row>
    <row r="741" spans="1:11" ht="12.75" x14ac:dyDescent="0.2">
      <c r="A741" s="2">
        <v>43069</v>
      </c>
      <c r="B741" s="2" t="str">
        <f>TEXT(Table1[[#This Row],[Order Date]],"MMM")</f>
        <v>Nov</v>
      </c>
      <c r="C741" s="2" t="str">
        <f t="shared" si="11"/>
        <v>2017</v>
      </c>
      <c r="D741" s="1" t="s">
        <v>838</v>
      </c>
      <c r="E741" s="1" t="s">
        <v>148</v>
      </c>
      <c r="F741" s="1" t="s">
        <v>33</v>
      </c>
      <c r="G741" s="1" t="s">
        <v>44</v>
      </c>
      <c r="H741" s="1" t="s">
        <v>1088</v>
      </c>
      <c r="I741" s="1">
        <v>126.3</v>
      </c>
      <c r="J741" s="1">
        <v>3</v>
      </c>
      <c r="K741" s="1">
        <v>40.42</v>
      </c>
    </row>
    <row r="742" spans="1:11" ht="12.75" x14ac:dyDescent="0.2">
      <c r="A742" s="2">
        <v>42003</v>
      </c>
      <c r="B742" s="2" t="str">
        <f>TEXT(Table1[[#This Row],[Order Date]],"MMM")</f>
        <v>Dec</v>
      </c>
      <c r="C742" s="2" t="str">
        <f t="shared" si="11"/>
        <v>2014</v>
      </c>
      <c r="D742" s="1" t="s">
        <v>568</v>
      </c>
      <c r="E742" s="1" t="s">
        <v>127</v>
      </c>
      <c r="F742" s="1" t="s">
        <v>33</v>
      </c>
      <c r="G742" s="1" t="s">
        <v>44</v>
      </c>
      <c r="H742" s="1" t="s">
        <v>347</v>
      </c>
      <c r="I742" s="1">
        <v>46.94</v>
      </c>
      <c r="J742" s="1">
        <v>1</v>
      </c>
      <c r="K742" s="1">
        <v>19.25</v>
      </c>
    </row>
    <row r="743" spans="1:11" ht="12.75" x14ac:dyDescent="0.2">
      <c r="A743" s="2">
        <v>42368</v>
      </c>
      <c r="B743" s="2" t="str">
        <f>TEXT(Table1[[#This Row],[Order Date]],"MMM")</f>
        <v>Dec</v>
      </c>
      <c r="C743" s="2" t="str">
        <f t="shared" si="11"/>
        <v>2015</v>
      </c>
      <c r="D743" s="1" t="s">
        <v>434</v>
      </c>
      <c r="E743" s="1" t="s">
        <v>98</v>
      </c>
      <c r="F743" s="1" t="s">
        <v>33</v>
      </c>
      <c r="G743" s="1" t="s">
        <v>34</v>
      </c>
      <c r="H743" s="1" t="s">
        <v>530</v>
      </c>
      <c r="I743" s="1">
        <v>390.37</v>
      </c>
      <c r="J743" s="1">
        <v>2</v>
      </c>
      <c r="K743" s="1">
        <v>48.8</v>
      </c>
    </row>
    <row r="744" spans="1:11" ht="12.75" x14ac:dyDescent="0.2">
      <c r="A744" s="2">
        <v>41670</v>
      </c>
      <c r="B744" s="2" t="str">
        <f>TEXT(Table1[[#This Row],[Order Date]],"MMM")</f>
        <v>Jan</v>
      </c>
      <c r="C744" s="2" t="str">
        <f t="shared" si="11"/>
        <v>2014</v>
      </c>
      <c r="D744" s="1" t="s">
        <v>403</v>
      </c>
      <c r="E744" s="1" t="s">
        <v>120</v>
      </c>
      <c r="F744" s="1" t="s">
        <v>11</v>
      </c>
      <c r="G744" s="1" t="s">
        <v>20</v>
      </c>
      <c r="H744" s="1" t="s">
        <v>1012</v>
      </c>
      <c r="I744" s="1">
        <v>68.47</v>
      </c>
      <c r="J744" s="1">
        <v>3</v>
      </c>
      <c r="K744" s="1">
        <v>23.11</v>
      </c>
    </row>
    <row r="745" spans="1:11" ht="12.75" x14ac:dyDescent="0.2">
      <c r="A745" s="2">
        <v>42035</v>
      </c>
      <c r="B745" s="2" t="str">
        <f>TEXT(Table1[[#This Row],[Order Date]],"MMM")</f>
        <v>Jan</v>
      </c>
      <c r="C745" s="2" t="str">
        <f t="shared" si="11"/>
        <v>2015</v>
      </c>
      <c r="D745" s="1" t="s">
        <v>672</v>
      </c>
      <c r="E745" s="1" t="s">
        <v>94</v>
      </c>
      <c r="F745" s="1" t="s">
        <v>11</v>
      </c>
      <c r="G745" s="1" t="s">
        <v>18</v>
      </c>
      <c r="H745" s="1" t="s">
        <v>826</v>
      </c>
      <c r="I745" s="1">
        <v>83.92</v>
      </c>
      <c r="J745" s="1">
        <v>4</v>
      </c>
      <c r="K745" s="1">
        <v>5.87</v>
      </c>
    </row>
    <row r="746" spans="1:11" ht="12.75" x14ac:dyDescent="0.2">
      <c r="A746" s="2">
        <v>42400</v>
      </c>
      <c r="B746" s="2" t="str">
        <f>TEXT(Table1[[#This Row],[Order Date]],"MMM")</f>
        <v>Jan</v>
      </c>
      <c r="C746" s="2" t="str">
        <f t="shared" si="11"/>
        <v>2016</v>
      </c>
      <c r="D746" s="1" t="s">
        <v>422</v>
      </c>
      <c r="E746" s="1" t="s">
        <v>27</v>
      </c>
      <c r="F746" s="1" t="s">
        <v>11</v>
      </c>
      <c r="G746" s="1" t="s">
        <v>18</v>
      </c>
      <c r="H746" s="1" t="s">
        <v>803</v>
      </c>
      <c r="I746" s="1">
        <v>559.62</v>
      </c>
      <c r="J746" s="1">
        <v>9</v>
      </c>
      <c r="K746" s="1">
        <v>151.1</v>
      </c>
    </row>
    <row r="747" spans="1:11" ht="12.75" x14ac:dyDescent="0.2">
      <c r="A747" s="2">
        <v>41729</v>
      </c>
      <c r="B747" s="2" t="str">
        <f>TEXT(Table1[[#This Row],[Order Date]],"MMM")</f>
        <v>Mar</v>
      </c>
      <c r="C747" s="2" t="str">
        <f t="shared" si="11"/>
        <v>2014</v>
      </c>
      <c r="D747" s="1" t="s">
        <v>979</v>
      </c>
      <c r="E747" s="1" t="s">
        <v>27</v>
      </c>
      <c r="F747" s="1" t="s">
        <v>38</v>
      </c>
      <c r="G747" s="1" t="s">
        <v>39</v>
      </c>
      <c r="H747" s="1" t="s">
        <v>1133</v>
      </c>
      <c r="I747" s="1">
        <v>374.38</v>
      </c>
      <c r="J747" s="1">
        <v>3</v>
      </c>
      <c r="K747" s="1">
        <v>46.8</v>
      </c>
    </row>
    <row r="748" spans="1:11" ht="12.75" x14ac:dyDescent="0.2">
      <c r="A748" s="2">
        <v>42094</v>
      </c>
      <c r="B748" s="2" t="str">
        <f>TEXT(Table1[[#This Row],[Order Date]],"MMM")</f>
        <v>Mar</v>
      </c>
      <c r="C748" s="2" t="str">
        <f t="shared" si="11"/>
        <v>2015</v>
      </c>
      <c r="D748" s="1" t="s">
        <v>1028</v>
      </c>
      <c r="E748" s="1" t="s">
        <v>10</v>
      </c>
      <c r="F748" s="1" t="s">
        <v>11</v>
      </c>
      <c r="G748" s="1" t="s">
        <v>20</v>
      </c>
      <c r="H748" s="1" t="s">
        <v>1161</v>
      </c>
      <c r="I748" s="1">
        <v>1.25</v>
      </c>
      <c r="J748" s="1">
        <v>3</v>
      </c>
      <c r="K748" s="1">
        <v>-1.93</v>
      </c>
    </row>
    <row r="749" spans="1:11" ht="12.75" x14ac:dyDescent="0.2">
      <c r="A749" s="2">
        <v>42460</v>
      </c>
      <c r="B749" s="2" t="str">
        <f>TEXT(Table1[[#This Row],[Order Date]],"MMM")</f>
        <v>Mar</v>
      </c>
      <c r="C749" s="2" t="str">
        <f t="shared" si="11"/>
        <v>2016</v>
      </c>
      <c r="D749" s="1" t="s">
        <v>1074</v>
      </c>
      <c r="E749" s="1" t="s">
        <v>27</v>
      </c>
      <c r="F749" s="1" t="s">
        <v>11</v>
      </c>
      <c r="G749" s="1" t="s">
        <v>20</v>
      </c>
      <c r="H749" s="1" t="s">
        <v>283</v>
      </c>
      <c r="I749" s="1">
        <v>19.940000000000001</v>
      </c>
      <c r="J749" s="1">
        <v>4</v>
      </c>
      <c r="K749" s="1">
        <v>7.23</v>
      </c>
    </row>
    <row r="750" spans="1:11" ht="12.75" x14ac:dyDescent="0.2">
      <c r="A750" s="2">
        <v>42825</v>
      </c>
      <c r="B750" s="2" t="str">
        <f>TEXT(Table1[[#This Row],[Order Date]],"MMM")</f>
        <v>Mar</v>
      </c>
      <c r="C750" s="2" t="str">
        <f t="shared" si="11"/>
        <v>2017</v>
      </c>
      <c r="D750" s="1" t="s">
        <v>122</v>
      </c>
      <c r="E750" s="1" t="s">
        <v>120</v>
      </c>
      <c r="F750" s="1" t="s">
        <v>11</v>
      </c>
      <c r="G750" s="1" t="s">
        <v>20</v>
      </c>
      <c r="H750" s="1" t="s">
        <v>728</v>
      </c>
      <c r="I750" s="1">
        <v>23.36</v>
      </c>
      <c r="J750" s="1">
        <v>4</v>
      </c>
      <c r="K750" s="1">
        <v>7.88</v>
      </c>
    </row>
    <row r="751" spans="1:11" ht="12.75" x14ac:dyDescent="0.2">
      <c r="A751" s="2">
        <v>41790</v>
      </c>
      <c r="B751" s="2" t="str">
        <f>TEXT(Table1[[#This Row],[Order Date]],"MMM")</f>
        <v>May</v>
      </c>
      <c r="C751" s="2" t="str">
        <f t="shared" si="11"/>
        <v>2014</v>
      </c>
      <c r="D751" s="1" t="s">
        <v>266</v>
      </c>
      <c r="E751" s="1" t="s">
        <v>27</v>
      </c>
      <c r="F751" s="1" t="s">
        <v>33</v>
      </c>
      <c r="G751" s="1" t="s">
        <v>44</v>
      </c>
      <c r="H751" s="1" t="s">
        <v>1310</v>
      </c>
      <c r="I751" s="1">
        <v>26.25</v>
      </c>
      <c r="J751" s="1">
        <v>3</v>
      </c>
      <c r="K751" s="1">
        <v>11.03</v>
      </c>
    </row>
    <row r="752" spans="1:11" ht="12.75" x14ac:dyDescent="0.2">
      <c r="A752" s="2">
        <v>42155</v>
      </c>
      <c r="B752" s="2" t="str">
        <f>TEXT(Table1[[#This Row],[Order Date]],"MMM")</f>
        <v>May</v>
      </c>
      <c r="C752" s="2" t="str">
        <f t="shared" si="11"/>
        <v>2015</v>
      </c>
      <c r="D752" s="1" t="s">
        <v>869</v>
      </c>
      <c r="E752" s="1" t="s">
        <v>134</v>
      </c>
      <c r="F752" s="1" t="s">
        <v>33</v>
      </c>
      <c r="G752" s="1" t="s">
        <v>44</v>
      </c>
      <c r="H752" s="1" t="s">
        <v>1018</v>
      </c>
      <c r="I752" s="1">
        <v>22.77</v>
      </c>
      <c r="J752" s="1">
        <v>3</v>
      </c>
      <c r="K752" s="1">
        <v>9.7899999999999991</v>
      </c>
    </row>
    <row r="753" spans="1:11" ht="12.75" x14ac:dyDescent="0.2">
      <c r="A753" s="2">
        <v>42521</v>
      </c>
      <c r="B753" s="2" t="str">
        <f>TEXT(Table1[[#This Row],[Order Date]],"MMM")</f>
        <v>May</v>
      </c>
      <c r="C753" s="2" t="str">
        <f t="shared" si="11"/>
        <v>2016</v>
      </c>
      <c r="D753" s="1" t="s">
        <v>744</v>
      </c>
      <c r="E753" s="1" t="s">
        <v>10</v>
      </c>
      <c r="F753" s="1" t="s">
        <v>11</v>
      </c>
      <c r="G753" s="1" t="s">
        <v>80</v>
      </c>
      <c r="H753" s="1" t="s">
        <v>811</v>
      </c>
      <c r="I753" s="1">
        <v>66.28</v>
      </c>
      <c r="J753" s="1">
        <v>2</v>
      </c>
      <c r="K753" s="1">
        <v>-178.97</v>
      </c>
    </row>
    <row r="754" spans="1:11" ht="12.75" x14ac:dyDescent="0.2">
      <c r="A754" s="2">
        <v>42216</v>
      </c>
      <c r="B754" s="2" t="str">
        <f>TEXT(Table1[[#This Row],[Order Date]],"MMM")</f>
        <v>Jul</v>
      </c>
      <c r="C754" s="2" t="str">
        <f t="shared" si="11"/>
        <v>2015</v>
      </c>
      <c r="D754" s="1" t="s">
        <v>67</v>
      </c>
      <c r="E754" s="1" t="s">
        <v>27</v>
      </c>
      <c r="F754" s="1" t="s">
        <v>11</v>
      </c>
      <c r="G754" s="1" t="s">
        <v>20</v>
      </c>
      <c r="H754" s="1" t="s">
        <v>1180</v>
      </c>
      <c r="I754" s="1">
        <v>36.67</v>
      </c>
      <c r="J754" s="1">
        <v>2</v>
      </c>
      <c r="K754" s="1">
        <v>11.46</v>
      </c>
    </row>
    <row r="755" spans="1:11" ht="12.75" x14ac:dyDescent="0.2">
      <c r="A755" s="2">
        <v>42582</v>
      </c>
      <c r="B755" s="2" t="str">
        <f>TEXT(Table1[[#This Row],[Order Date]],"MMM")</f>
        <v>Jul</v>
      </c>
      <c r="C755" s="2" t="str">
        <f t="shared" si="11"/>
        <v>2016</v>
      </c>
      <c r="D755" s="1" t="s">
        <v>1218</v>
      </c>
      <c r="E755" s="1" t="s">
        <v>148</v>
      </c>
      <c r="F755" s="1" t="s">
        <v>11</v>
      </c>
      <c r="G755" s="1" t="s">
        <v>80</v>
      </c>
      <c r="H755" s="1" t="s">
        <v>1295</v>
      </c>
      <c r="I755" s="1">
        <v>839.43</v>
      </c>
      <c r="J755" s="1">
        <v>3</v>
      </c>
      <c r="K755" s="1">
        <v>218.25</v>
      </c>
    </row>
    <row r="756" spans="1:11" ht="12.75" x14ac:dyDescent="0.2">
      <c r="A756" s="2">
        <v>41882</v>
      </c>
      <c r="B756" s="2" t="str">
        <f>TEXT(Table1[[#This Row],[Order Date]],"MMM")</f>
        <v>Aug</v>
      </c>
      <c r="C756" s="2" t="str">
        <f t="shared" si="11"/>
        <v>2014</v>
      </c>
      <c r="D756" s="1" t="s">
        <v>658</v>
      </c>
      <c r="E756" s="1" t="s">
        <v>27</v>
      </c>
      <c r="F756" s="1" t="s">
        <v>11</v>
      </c>
      <c r="G756" s="1" t="s">
        <v>24</v>
      </c>
      <c r="H756" s="1" t="s">
        <v>1113</v>
      </c>
      <c r="I756" s="1">
        <v>13.48</v>
      </c>
      <c r="J756" s="1">
        <v>4</v>
      </c>
      <c r="K756" s="1">
        <v>5.93</v>
      </c>
    </row>
    <row r="757" spans="1:11" ht="12.75" x14ac:dyDescent="0.2">
      <c r="A757" s="2">
        <v>42674</v>
      </c>
      <c r="B757" s="2" t="str">
        <f>TEXT(Table1[[#This Row],[Order Date]],"MMM")</f>
        <v>Oct</v>
      </c>
      <c r="C757" s="2" t="str">
        <f t="shared" si="11"/>
        <v>2016</v>
      </c>
      <c r="D757" s="1" t="s">
        <v>902</v>
      </c>
      <c r="E757" s="1" t="s">
        <v>120</v>
      </c>
      <c r="F757" s="1" t="s">
        <v>11</v>
      </c>
      <c r="G757" s="1" t="s">
        <v>80</v>
      </c>
      <c r="H757" s="1" t="s">
        <v>421</v>
      </c>
      <c r="I757" s="1">
        <v>35.909999999999997</v>
      </c>
      <c r="J757" s="1">
        <v>3</v>
      </c>
      <c r="K757" s="1">
        <v>9.6999999999999993</v>
      </c>
    </row>
    <row r="758" spans="1:11" ht="12.75" x14ac:dyDescent="0.2">
      <c r="A758" s="2">
        <v>42004</v>
      </c>
      <c r="B758" s="2" t="str">
        <f>TEXT(Table1[[#This Row],[Order Date]],"MMM")</f>
        <v>Dec</v>
      </c>
      <c r="C758" s="2" t="str">
        <f t="shared" si="11"/>
        <v>2014</v>
      </c>
      <c r="D758" s="1" t="s">
        <v>871</v>
      </c>
      <c r="E758" s="1" t="s">
        <v>262</v>
      </c>
      <c r="F758" s="1" t="s">
        <v>11</v>
      </c>
      <c r="G758" s="1" t="s">
        <v>12</v>
      </c>
      <c r="H758" s="1" t="s">
        <v>889</v>
      </c>
      <c r="I758" s="1">
        <v>44.75</v>
      </c>
      <c r="J758" s="1">
        <v>5</v>
      </c>
      <c r="K758" s="1">
        <v>20.59</v>
      </c>
    </row>
    <row r="759" spans="1:11" ht="12.75" x14ac:dyDescent="0.2">
      <c r="A759" s="2">
        <v>42369</v>
      </c>
      <c r="B759" s="2" t="str">
        <f>TEXT(Table1[[#This Row],[Order Date]],"MMM")</f>
        <v>Dec</v>
      </c>
      <c r="C759" s="2" t="str">
        <f t="shared" si="11"/>
        <v>2015</v>
      </c>
      <c r="D759" s="1" t="s">
        <v>1200</v>
      </c>
      <c r="E759" s="1" t="s">
        <v>68</v>
      </c>
      <c r="F759" s="1" t="s">
        <v>38</v>
      </c>
      <c r="G759" s="1" t="s">
        <v>39</v>
      </c>
      <c r="H759" s="1" t="s">
        <v>340</v>
      </c>
      <c r="I759" s="1">
        <v>164.39</v>
      </c>
      <c r="J759" s="1">
        <v>2</v>
      </c>
      <c r="K759" s="1">
        <v>-35.619999999999997</v>
      </c>
    </row>
    <row r="760" spans="1:11" ht="12.75" x14ac:dyDescent="0.2">
      <c r="A760" s="2">
        <v>42735</v>
      </c>
      <c r="B760" s="2" t="str">
        <f>TEXT(Table1[[#This Row],[Order Date]],"MMM")</f>
        <v>Dec</v>
      </c>
      <c r="C760" s="2" t="str">
        <f t="shared" si="11"/>
        <v>2016</v>
      </c>
      <c r="D760" s="1" t="s">
        <v>241</v>
      </c>
      <c r="E760" s="1" t="s">
        <v>27</v>
      </c>
      <c r="F760" s="1" t="s">
        <v>11</v>
      </c>
      <c r="G760" s="1" t="s">
        <v>18</v>
      </c>
      <c r="H760" s="1" t="s">
        <v>873</v>
      </c>
      <c r="I760" s="1">
        <v>725.84</v>
      </c>
      <c r="J760" s="1">
        <v>4</v>
      </c>
      <c r="K760" s="1">
        <v>210.49</v>
      </c>
    </row>
    <row r="761" spans="1:11" ht="12.75" x14ac:dyDescent="0.2"/>
    <row r="762" spans="1:11" ht="12.75" x14ac:dyDescent="0.2"/>
    <row r="763" spans="1:11" ht="12.75" x14ac:dyDescent="0.2"/>
    <row r="764" spans="1:11" ht="12.75" x14ac:dyDescent="0.2"/>
    <row r="765" spans="1:11" ht="12.75" x14ac:dyDescent="0.2"/>
    <row r="766" spans="1:11" ht="12.75" x14ac:dyDescent="0.2"/>
    <row r="767" spans="1:11" ht="12.75" x14ac:dyDescent="0.2"/>
    <row r="768" spans="1:11" ht="12.75" x14ac:dyDescent="0.2"/>
    <row r="769" ht="12.75" x14ac:dyDescent="0.2"/>
    <row r="770" ht="12.75" x14ac:dyDescent="0.2"/>
    <row r="771" ht="12.75" x14ac:dyDescent="0.2"/>
    <row r="772" ht="12.75" x14ac:dyDescent="0.2"/>
    <row r="773" ht="12.75" x14ac:dyDescent="0.2"/>
    <row r="774" ht="12.75" x14ac:dyDescent="0.2"/>
    <row r="775" ht="12.75" x14ac:dyDescent="0.2"/>
    <row r="776" ht="12.75" x14ac:dyDescent="0.2"/>
    <row r="777" ht="12.75" x14ac:dyDescent="0.2"/>
    <row r="778" ht="12.75" x14ac:dyDescent="0.2"/>
    <row r="779" ht="12.75" x14ac:dyDescent="0.2"/>
    <row r="780" ht="12.75" x14ac:dyDescent="0.2"/>
    <row r="781" ht="12.75" x14ac:dyDescent="0.2"/>
    <row r="782" ht="12.75" x14ac:dyDescent="0.2"/>
    <row r="783" ht="12.75" x14ac:dyDescent="0.2"/>
    <row r="784" ht="12.75" x14ac:dyDescent="0.2"/>
    <row r="785" ht="12.75" x14ac:dyDescent="0.2"/>
    <row r="786" ht="12.75" x14ac:dyDescent="0.2"/>
    <row r="787" ht="12.75" x14ac:dyDescent="0.2"/>
    <row r="788" ht="12.75" x14ac:dyDescent="0.2"/>
    <row r="789" ht="12.75" x14ac:dyDescent="0.2"/>
    <row r="790" ht="12.75" x14ac:dyDescent="0.2"/>
    <row r="791" ht="12.75" x14ac:dyDescent="0.2"/>
    <row r="792" ht="12.75" x14ac:dyDescent="0.2"/>
    <row r="793" ht="12.75" x14ac:dyDescent="0.2"/>
    <row r="794" ht="12.75" x14ac:dyDescent="0.2"/>
    <row r="795" ht="12.75" x14ac:dyDescent="0.2"/>
    <row r="796" ht="12.75" x14ac:dyDescent="0.2"/>
    <row r="797" ht="12.75" x14ac:dyDescent="0.2"/>
    <row r="798" ht="12.75" x14ac:dyDescent="0.2"/>
    <row r="799" ht="12.75" x14ac:dyDescent="0.2"/>
    <row r="800" ht="12.75" x14ac:dyDescent="0.2"/>
    <row r="801" ht="12.75" x14ac:dyDescent="0.2"/>
    <row r="802" ht="12.75" x14ac:dyDescent="0.2"/>
    <row r="803" ht="12.75" x14ac:dyDescent="0.2"/>
    <row r="804" ht="12.75" x14ac:dyDescent="0.2"/>
    <row r="805" ht="12.75" x14ac:dyDescent="0.2"/>
    <row r="806" ht="12.75" x14ac:dyDescent="0.2"/>
    <row r="807" ht="12.75" x14ac:dyDescent="0.2"/>
    <row r="808" ht="12.75" x14ac:dyDescent="0.2"/>
    <row r="809" ht="12.75" x14ac:dyDescent="0.2"/>
    <row r="810" ht="12.75" x14ac:dyDescent="0.2"/>
    <row r="811" ht="12.75" x14ac:dyDescent="0.2"/>
    <row r="812" ht="12.75" x14ac:dyDescent="0.2"/>
    <row r="813" ht="12.75" x14ac:dyDescent="0.2"/>
    <row r="814" ht="12.75" x14ac:dyDescent="0.2"/>
    <row r="815" ht="12.75" x14ac:dyDescent="0.2"/>
    <row r="816" ht="12.75" x14ac:dyDescent="0.2"/>
    <row r="817" ht="12.75" x14ac:dyDescent="0.2"/>
    <row r="818" ht="12.75" x14ac:dyDescent="0.2"/>
    <row r="819" ht="12.75" x14ac:dyDescent="0.2"/>
    <row r="820" ht="12.75" x14ac:dyDescent="0.2"/>
    <row r="821" ht="12.75" x14ac:dyDescent="0.2"/>
    <row r="822" ht="12.75" x14ac:dyDescent="0.2"/>
    <row r="823" ht="12.75" x14ac:dyDescent="0.2"/>
    <row r="824" ht="12.75" x14ac:dyDescent="0.2"/>
    <row r="825" ht="12.75" x14ac:dyDescent="0.2"/>
    <row r="826" ht="12.75" x14ac:dyDescent="0.2"/>
    <row r="827" ht="12.75" x14ac:dyDescent="0.2"/>
    <row r="828" ht="12.75" x14ac:dyDescent="0.2"/>
    <row r="829" ht="12.75" x14ac:dyDescent="0.2"/>
    <row r="830" ht="12.75" x14ac:dyDescent="0.2"/>
    <row r="831" ht="12.75" x14ac:dyDescent="0.2"/>
    <row r="832" ht="12.75" x14ac:dyDescent="0.2"/>
    <row r="833" ht="12.75" x14ac:dyDescent="0.2"/>
    <row r="834" ht="12.75" x14ac:dyDescent="0.2"/>
    <row r="835" ht="12.75" x14ac:dyDescent="0.2"/>
    <row r="836" ht="12.75" x14ac:dyDescent="0.2"/>
    <row r="837" ht="12.75" x14ac:dyDescent="0.2"/>
    <row r="838" ht="12.75" x14ac:dyDescent="0.2"/>
    <row r="839" ht="12.75" x14ac:dyDescent="0.2"/>
    <row r="840" ht="12.75" x14ac:dyDescent="0.2"/>
    <row r="841" ht="12.75" x14ac:dyDescent="0.2"/>
    <row r="842" ht="12.75" x14ac:dyDescent="0.2"/>
    <row r="843" ht="12.75" x14ac:dyDescent="0.2"/>
    <row r="844" ht="12.75" x14ac:dyDescent="0.2"/>
    <row r="845" ht="12.75" x14ac:dyDescent="0.2"/>
    <row r="846" ht="12.75" x14ac:dyDescent="0.2"/>
    <row r="847" ht="12.75" x14ac:dyDescent="0.2"/>
    <row r="848" ht="12.75" x14ac:dyDescent="0.2"/>
    <row r="849" ht="12.75" x14ac:dyDescent="0.2"/>
    <row r="850" ht="12.75" x14ac:dyDescent="0.2"/>
    <row r="851" ht="12.75" x14ac:dyDescent="0.2"/>
    <row r="852" ht="12.75" x14ac:dyDescent="0.2"/>
    <row r="853" ht="12.75" x14ac:dyDescent="0.2"/>
    <row r="854" ht="12.75" x14ac:dyDescent="0.2"/>
    <row r="855" ht="12.75" x14ac:dyDescent="0.2"/>
    <row r="856" ht="12.75" x14ac:dyDescent="0.2"/>
    <row r="857" ht="12.75" x14ac:dyDescent="0.2"/>
    <row r="858" ht="12.75" x14ac:dyDescent="0.2"/>
    <row r="859" ht="12.75" x14ac:dyDescent="0.2"/>
    <row r="860" ht="12.75" x14ac:dyDescent="0.2"/>
    <row r="861" ht="12.75" x14ac:dyDescent="0.2"/>
    <row r="862" ht="12.75" x14ac:dyDescent="0.2"/>
    <row r="863" ht="12.75" x14ac:dyDescent="0.2"/>
    <row r="864" ht="12.75" x14ac:dyDescent="0.2"/>
    <row r="865" ht="12.75" x14ac:dyDescent="0.2"/>
    <row r="866" ht="12.75" x14ac:dyDescent="0.2"/>
    <row r="867" ht="12.75" x14ac:dyDescent="0.2"/>
    <row r="868" ht="12.75" x14ac:dyDescent="0.2"/>
    <row r="869" ht="12.75" x14ac:dyDescent="0.2"/>
    <row r="870" ht="12.75" x14ac:dyDescent="0.2"/>
    <row r="871" ht="12.75" x14ac:dyDescent="0.2"/>
    <row r="872" ht="12.75" x14ac:dyDescent="0.2"/>
    <row r="873" ht="12.75" x14ac:dyDescent="0.2"/>
    <row r="874" ht="12.75" x14ac:dyDescent="0.2"/>
    <row r="875" ht="12.75" x14ac:dyDescent="0.2"/>
    <row r="876" ht="12.75" x14ac:dyDescent="0.2"/>
    <row r="877" ht="12.75" x14ac:dyDescent="0.2"/>
    <row r="878" ht="12.75" x14ac:dyDescent="0.2"/>
    <row r="879" ht="12.75" x14ac:dyDescent="0.2"/>
    <row r="880" ht="12.75" x14ac:dyDescent="0.2"/>
    <row r="881" ht="12.75" x14ac:dyDescent="0.2"/>
    <row r="882" ht="12.75" x14ac:dyDescent="0.2"/>
    <row r="883" ht="12.75" x14ac:dyDescent="0.2"/>
    <row r="884" ht="12.75" x14ac:dyDescent="0.2"/>
    <row r="885" ht="12.75" x14ac:dyDescent="0.2"/>
    <row r="886" ht="12.75" x14ac:dyDescent="0.2"/>
    <row r="887" ht="12.75" x14ac:dyDescent="0.2"/>
    <row r="888" ht="12.75" x14ac:dyDescent="0.2"/>
    <row r="889" ht="12.75" x14ac:dyDescent="0.2"/>
    <row r="890" ht="12.75" x14ac:dyDescent="0.2"/>
    <row r="891" ht="12.75" x14ac:dyDescent="0.2"/>
    <row r="892" ht="12.75" x14ac:dyDescent="0.2"/>
    <row r="893" ht="12.75" x14ac:dyDescent="0.2"/>
    <row r="894" ht="12.75" x14ac:dyDescent="0.2"/>
    <row r="895" ht="12.75" x14ac:dyDescent="0.2"/>
    <row r="896" ht="12.75" x14ac:dyDescent="0.2"/>
    <row r="897" ht="12.75" x14ac:dyDescent="0.2"/>
    <row r="898" ht="12.75" x14ac:dyDescent="0.2"/>
    <row r="899" ht="12.75" x14ac:dyDescent="0.2"/>
    <row r="900" ht="12.75" x14ac:dyDescent="0.2"/>
    <row r="901" ht="12.75" x14ac:dyDescent="0.2"/>
    <row r="902" ht="12.75" x14ac:dyDescent="0.2"/>
    <row r="903" ht="12.75" x14ac:dyDescent="0.2"/>
    <row r="904" ht="12.75" x14ac:dyDescent="0.2"/>
    <row r="905" ht="12.75" x14ac:dyDescent="0.2"/>
    <row r="906" ht="12.75" x14ac:dyDescent="0.2"/>
    <row r="907" ht="12.75" x14ac:dyDescent="0.2"/>
    <row r="908" ht="12.75" x14ac:dyDescent="0.2"/>
    <row r="909" ht="12.75" x14ac:dyDescent="0.2"/>
    <row r="910" ht="12.75" x14ac:dyDescent="0.2"/>
    <row r="911" ht="12.75" x14ac:dyDescent="0.2"/>
    <row r="912" ht="12.75" x14ac:dyDescent="0.2"/>
    <row r="913" ht="12.75" x14ac:dyDescent="0.2"/>
    <row r="914" ht="12.75" x14ac:dyDescent="0.2"/>
    <row r="915" ht="12.75" x14ac:dyDescent="0.2"/>
    <row r="916" ht="12.75" x14ac:dyDescent="0.2"/>
    <row r="917" ht="12.75" x14ac:dyDescent="0.2"/>
    <row r="918" ht="12.75" x14ac:dyDescent="0.2"/>
    <row r="919" ht="12.75" x14ac:dyDescent="0.2"/>
    <row r="920" ht="12.75" x14ac:dyDescent="0.2"/>
    <row r="921" ht="12.75" x14ac:dyDescent="0.2"/>
    <row r="922" ht="12.75" x14ac:dyDescent="0.2"/>
    <row r="923" ht="12.75" x14ac:dyDescent="0.2"/>
    <row r="924" ht="12.75" x14ac:dyDescent="0.2"/>
    <row r="925" ht="12.75" x14ac:dyDescent="0.2"/>
    <row r="926" ht="12.75" x14ac:dyDescent="0.2"/>
    <row r="927" ht="12.75" x14ac:dyDescent="0.2"/>
    <row r="928" ht="12.75" x14ac:dyDescent="0.2"/>
    <row r="929" ht="12.75" x14ac:dyDescent="0.2"/>
    <row r="930" ht="12.75" x14ac:dyDescent="0.2"/>
    <row r="931" ht="12.75" x14ac:dyDescent="0.2"/>
    <row r="932" ht="12.75" x14ac:dyDescent="0.2"/>
    <row r="933" ht="12.75" x14ac:dyDescent="0.2"/>
    <row r="934" ht="12.75" x14ac:dyDescent="0.2"/>
    <row r="935" ht="12.75" x14ac:dyDescent="0.2"/>
    <row r="936" ht="12.75" x14ac:dyDescent="0.2"/>
    <row r="937" ht="12.75" x14ac:dyDescent="0.2"/>
    <row r="938" ht="12.75" x14ac:dyDescent="0.2"/>
    <row r="939" ht="12.75" x14ac:dyDescent="0.2"/>
    <row r="940" ht="12.75" x14ac:dyDescent="0.2"/>
    <row r="941" ht="12.75" x14ac:dyDescent="0.2"/>
    <row r="942" ht="12.75" x14ac:dyDescent="0.2"/>
    <row r="943" ht="12.75" x14ac:dyDescent="0.2"/>
    <row r="944" ht="12.75" x14ac:dyDescent="0.2"/>
    <row r="945" ht="12.75" x14ac:dyDescent="0.2"/>
    <row r="946" ht="12.75" x14ac:dyDescent="0.2"/>
    <row r="947" ht="12.75" x14ac:dyDescent="0.2"/>
    <row r="948" ht="12.75" x14ac:dyDescent="0.2"/>
    <row r="949" ht="12.75" x14ac:dyDescent="0.2"/>
    <row r="950" ht="12.75" x14ac:dyDescent="0.2"/>
    <row r="951" ht="12.75" x14ac:dyDescent="0.2"/>
    <row r="952" ht="12.75" x14ac:dyDescent="0.2"/>
    <row r="953" ht="12.75" x14ac:dyDescent="0.2"/>
    <row r="954" ht="12.75" x14ac:dyDescent="0.2"/>
    <row r="955" ht="12.75" x14ac:dyDescent="0.2"/>
    <row r="956" ht="12.75" x14ac:dyDescent="0.2"/>
    <row r="957" ht="12.75" x14ac:dyDescent="0.2"/>
    <row r="958" ht="12.75" x14ac:dyDescent="0.2"/>
    <row r="959" ht="12.75" x14ac:dyDescent="0.2"/>
    <row r="960" ht="12.75" x14ac:dyDescent="0.2"/>
    <row r="961" ht="12.75" x14ac:dyDescent="0.2"/>
    <row r="962" ht="12.75" x14ac:dyDescent="0.2"/>
    <row r="963" ht="12.75" x14ac:dyDescent="0.2"/>
    <row r="964" ht="12.75" x14ac:dyDescent="0.2"/>
    <row r="965" ht="12.75" x14ac:dyDescent="0.2"/>
    <row r="966" ht="12.75" x14ac:dyDescent="0.2"/>
    <row r="967" ht="12.75" x14ac:dyDescent="0.2"/>
    <row r="968" ht="12.75" x14ac:dyDescent="0.2"/>
    <row r="969" ht="12.75" x14ac:dyDescent="0.2"/>
    <row r="970" ht="12.75" x14ac:dyDescent="0.2"/>
    <row r="971" ht="12.75" x14ac:dyDescent="0.2"/>
    <row r="972" ht="12.75" x14ac:dyDescent="0.2"/>
    <row r="973" ht="12.75" x14ac:dyDescent="0.2"/>
    <row r="974" ht="12.75" x14ac:dyDescent="0.2"/>
    <row r="975" ht="12.75" x14ac:dyDescent="0.2"/>
    <row r="976" ht="12.75" x14ac:dyDescent="0.2"/>
    <row r="977" ht="12.75" x14ac:dyDescent="0.2"/>
    <row r="978" ht="12.75" x14ac:dyDescent="0.2"/>
    <row r="979" ht="12.75" x14ac:dyDescent="0.2"/>
    <row r="980" ht="12.75" x14ac:dyDescent="0.2"/>
    <row r="981" ht="12.75" x14ac:dyDescent="0.2"/>
    <row r="982" ht="12.75" x14ac:dyDescent="0.2"/>
    <row r="983" ht="12.75" x14ac:dyDescent="0.2"/>
    <row r="984" ht="12.75" x14ac:dyDescent="0.2"/>
    <row r="985" ht="12.75" x14ac:dyDescent="0.2"/>
    <row r="986" ht="12.75" x14ac:dyDescent="0.2"/>
    <row r="987" ht="12.75" x14ac:dyDescent="0.2"/>
    <row r="988" ht="12.75" x14ac:dyDescent="0.2"/>
    <row r="989" ht="12.75" x14ac:dyDescent="0.2"/>
    <row r="990" ht="12.75" x14ac:dyDescent="0.2"/>
    <row r="991" ht="12.75" x14ac:dyDescent="0.2"/>
    <row r="992" ht="12.75" x14ac:dyDescent="0.2"/>
    <row r="993" ht="12.75" x14ac:dyDescent="0.2"/>
    <row r="994" ht="12.75" x14ac:dyDescent="0.2"/>
    <row r="995" ht="12.75" x14ac:dyDescent="0.2"/>
    <row r="996" ht="12.75" x14ac:dyDescent="0.2"/>
    <row r="997" ht="12.75" x14ac:dyDescent="0.2"/>
    <row r="998" ht="12.75" x14ac:dyDescent="0.2"/>
    <row r="999" ht="12.75" x14ac:dyDescent="0.2"/>
    <row r="1000" ht="12.75" x14ac:dyDescent="0.2"/>
    <row r="1001" ht="12.75" x14ac:dyDescent="0.2"/>
    <row r="1002" ht="12.75" x14ac:dyDescent="0.2"/>
    <row r="1003" ht="12.75" x14ac:dyDescent="0.2"/>
    <row r="1004" ht="12.75" x14ac:dyDescent="0.2"/>
    <row r="1005" ht="12.75" x14ac:dyDescent="0.2"/>
    <row r="1006" ht="12.75" x14ac:dyDescent="0.2"/>
    <row r="1007" ht="12.75" x14ac:dyDescent="0.2"/>
    <row r="1008" ht="12.75" x14ac:dyDescent="0.2"/>
    <row r="1009" ht="12.75" x14ac:dyDescent="0.2"/>
    <row r="1010" ht="12.75" x14ac:dyDescent="0.2"/>
    <row r="1011" ht="12.75" x14ac:dyDescent="0.2"/>
    <row r="1012" ht="12.75" x14ac:dyDescent="0.2"/>
    <row r="1013" ht="12.75" x14ac:dyDescent="0.2"/>
    <row r="1014" ht="12.75" x14ac:dyDescent="0.2"/>
    <row r="1015" ht="12.75" x14ac:dyDescent="0.2"/>
    <row r="1016" ht="12.75" x14ac:dyDescent="0.2"/>
    <row r="1017" ht="12.75" x14ac:dyDescent="0.2"/>
    <row r="1018" ht="12.75" x14ac:dyDescent="0.2"/>
    <row r="1019" ht="12.75" x14ac:dyDescent="0.2"/>
    <row r="1020" ht="12.75" x14ac:dyDescent="0.2"/>
    <row r="1021" ht="12.75" x14ac:dyDescent="0.2"/>
    <row r="1022" ht="12.75" x14ac:dyDescent="0.2"/>
    <row r="1023" ht="12.75" x14ac:dyDescent="0.2"/>
    <row r="1024" ht="12.75" x14ac:dyDescent="0.2"/>
    <row r="1025" ht="12.75" x14ac:dyDescent="0.2"/>
    <row r="1026" ht="12.75" x14ac:dyDescent="0.2"/>
    <row r="1027" ht="12.75" x14ac:dyDescent="0.2"/>
    <row r="1028" ht="12.75" x14ac:dyDescent="0.2"/>
    <row r="1029" ht="12.75" x14ac:dyDescent="0.2"/>
    <row r="1030" ht="12.75" x14ac:dyDescent="0.2"/>
    <row r="1031" ht="12.75" x14ac:dyDescent="0.2"/>
    <row r="1032" ht="12.75" x14ac:dyDescent="0.2"/>
    <row r="1033" ht="12.75" x14ac:dyDescent="0.2"/>
    <row r="1034" ht="12.75" x14ac:dyDescent="0.2"/>
    <row r="1035" ht="12.75" x14ac:dyDescent="0.2"/>
    <row r="1036" ht="12.75" x14ac:dyDescent="0.2"/>
    <row r="1037" ht="12.75" x14ac:dyDescent="0.2"/>
    <row r="1038" ht="12.75" x14ac:dyDescent="0.2"/>
    <row r="1039" ht="12.75" x14ac:dyDescent="0.2"/>
    <row r="1040" ht="12.75" x14ac:dyDescent="0.2"/>
    <row r="1041" ht="12.75" x14ac:dyDescent="0.2"/>
    <row r="1042" ht="12.75" x14ac:dyDescent="0.2"/>
    <row r="1043" ht="12.75" x14ac:dyDescent="0.2"/>
    <row r="1044" ht="12.75" x14ac:dyDescent="0.2"/>
    <row r="1045" ht="12.75" x14ac:dyDescent="0.2"/>
    <row r="1046" ht="12.75" x14ac:dyDescent="0.2"/>
    <row r="1047" ht="12.75" x14ac:dyDescent="0.2"/>
    <row r="1048" ht="12.75" x14ac:dyDescent="0.2"/>
    <row r="1049" ht="12.75" x14ac:dyDescent="0.2"/>
    <row r="1050" ht="12.75" x14ac:dyDescent="0.2"/>
    <row r="1051" ht="12.75" x14ac:dyDescent="0.2"/>
    <row r="1052" ht="12.75" x14ac:dyDescent="0.2"/>
    <row r="1053" ht="12.75" x14ac:dyDescent="0.2"/>
    <row r="1054" ht="12.75" x14ac:dyDescent="0.2"/>
    <row r="1055" ht="12.75" x14ac:dyDescent="0.2"/>
    <row r="1056" ht="12.75" x14ac:dyDescent="0.2"/>
    <row r="1057" ht="12.75" x14ac:dyDescent="0.2"/>
    <row r="1058" ht="12.75" x14ac:dyDescent="0.2"/>
    <row r="1059" ht="12.75" x14ac:dyDescent="0.2"/>
    <row r="1060" ht="12.75" x14ac:dyDescent="0.2"/>
    <row r="1061" ht="12.75" x14ac:dyDescent="0.2"/>
    <row r="1062" ht="12.75" x14ac:dyDescent="0.2"/>
    <row r="1063" ht="12.75" x14ac:dyDescent="0.2"/>
    <row r="1064" ht="12.75" x14ac:dyDescent="0.2"/>
    <row r="1065" ht="12.75" x14ac:dyDescent="0.2"/>
    <row r="1066" ht="12.75" x14ac:dyDescent="0.2"/>
    <row r="1067" ht="12.75" x14ac:dyDescent="0.2"/>
    <row r="1068" ht="12.75" x14ac:dyDescent="0.2"/>
    <row r="1069" ht="12.75" x14ac:dyDescent="0.2"/>
    <row r="1070" ht="12.75" x14ac:dyDescent="0.2"/>
    <row r="1071" ht="12.75" x14ac:dyDescent="0.2"/>
    <row r="1072" ht="12.75" x14ac:dyDescent="0.2"/>
    <row r="1073" ht="12.75" x14ac:dyDescent="0.2"/>
    <row r="1074" ht="12.75" x14ac:dyDescent="0.2"/>
    <row r="1075" ht="12.75" x14ac:dyDescent="0.2"/>
    <row r="1076" ht="12.75" x14ac:dyDescent="0.2"/>
    <row r="1077" ht="12.75" x14ac:dyDescent="0.2"/>
    <row r="1078" ht="12.75" x14ac:dyDescent="0.2"/>
    <row r="1079" ht="12.75" x14ac:dyDescent="0.2"/>
    <row r="1080" ht="12.75" x14ac:dyDescent="0.2"/>
    <row r="1081" ht="12.75" x14ac:dyDescent="0.2"/>
    <row r="1082" ht="12.75" x14ac:dyDescent="0.2"/>
    <row r="1083" ht="12.75" x14ac:dyDescent="0.2"/>
    <row r="1084" ht="12.75" x14ac:dyDescent="0.2"/>
    <row r="1085" ht="12.75" x14ac:dyDescent="0.2"/>
    <row r="1086" ht="12.75" x14ac:dyDescent="0.2"/>
    <row r="1087" ht="12.75" x14ac:dyDescent="0.2"/>
    <row r="1088" ht="12.75" x14ac:dyDescent="0.2"/>
    <row r="1089" ht="12.75" x14ac:dyDescent="0.2"/>
    <row r="1090" ht="12.75" x14ac:dyDescent="0.2"/>
    <row r="1091" ht="12.75" x14ac:dyDescent="0.2"/>
    <row r="1092" ht="12.75" x14ac:dyDescent="0.2"/>
    <row r="1093" ht="12.75" x14ac:dyDescent="0.2"/>
    <row r="1094" ht="12.75" x14ac:dyDescent="0.2"/>
    <row r="1095" ht="12.75" x14ac:dyDescent="0.2"/>
    <row r="1096" ht="12.75" x14ac:dyDescent="0.2"/>
    <row r="1097" ht="12.75" x14ac:dyDescent="0.2"/>
    <row r="1098" ht="12.75" x14ac:dyDescent="0.2"/>
    <row r="1099" ht="12.75" x14ac:dyDescent="0.2"/>
    <row r="1100" ht="12.75" x14ac:dyDescent="0.2"/>
    <row r="1101" ht="12.75" x14ac:dyDescent="0.2"/>
    <row r="1102" ht="12.75" x14ac:dyDescent="0.2"/>
    <row r="1103" ht="12.75" x14ac:dyDescent="0.2"/>
    <row r="1104" ht="12.75" x14ac:dyDescent="0.2"/>
    <row r="1105" ht="12.75" x14ac:dyDescent="0.2"/>
    <row r="1106" ht="12.75" x14ac:dyDescent="0.2"/>
    <row r="1107" ht="12.75" x14ac:dyDescent="0.2"/>
    <row r="1108" ht="12.75" x14ac:dyDescent="0.2"/>
    <row r="1109" ht="12.75" x14ac:dyDescent="0.2"/>
    <row r="1110" ht="12.75" x14ac:dyDescent="0.2"/>
    <row r="1111" ht="12.75" x14ac:dyDescent="0.2"/>
    <row r="1112" ht="12.75" x14ac:dyDescent="0.2"/>
    <row r="1113" ht="12.75" x14ac:dyDescent="0.2"/>
    <row r="1114" ht="12.75" x14ac:dyDescent="0.2"/>
    <row r="1115" ht="12.75" x14ac:dyDescent="0.2"/>
    <row r="1116" ht="12.75" x14ac:dyDescent="0.2"/>
    <row r="1117" ht="12.75" x14ac:dyDescent="0.2"/>
    <row r="1118" ht="12.75" x14ac:dyDescent="0.2"/>
    <row r="1119" ht="12.75" x14ac:dyDescent="0.2"/>
    <row r="1120" ht="12.75" x14ac:dyDescent="0.2"/>
    <row r="1121" ht="12.75" x14ac:dyDescent="0.2"/>
    <row r="1122" ht="12.75" x14ac:dyDescent="0.2"/>
    <row r="1123" ht="12.75" x14ac:dyDescent="0.2"/>
    <row r="1124" ht="12.75" x14ac:dyDescent="0.2"/>
    <row r="1125" ht="12.75" x14ac:dyDescent="0.2"/>
    <row r="1126" ht="12.75" x14ac:dyDescent="0.2"/>
    <row r="1127" ht="12.75" x14ac:dyDescent="0.2"/>
    <row r="1128" ht="12.75" x14ac:dyDescent="0.2"/>
    <row r="1129" ht="12.75" x14ac:dyDescent="0.2"/>
    <row r="1130" ht="12.75" x14ac:dyDescent="0.2"/>
    <row r="1131" ht="12.75" x14ac:dyDescent="0.2"/>
    <row r="1132" ht="12.75" x14ac:dyDescent="0.2"/>
    <row r="1133" ht="12.75" x14ac:dyDescent="0.2"/>
    <row r="1134" ht="12.75" x14ac:dyDescent="0.2"/>
    <row r="1135" ht="12.75" x14ac:dyDescent="0.2"/>
    <row r="1136" ht="12.75" x14ac:dyDescent="0.2"/>
    <row r="1137" ht="12.75" x14ac:dyDescent="0.2"/>
    <row r="1138" ht="12.75" x14ac:dyDescent="0.2"/>
    <row r="1139" ht="12.75" x14ac:dyDescent="0.2"/>
    <row r="1140" ht="12.75" x14ac:dyDescent="0.2"/>
    <row r="1141" ht="12.75" x14ac:dyDescent="0.2"/>
    <row r="1142" ht="12.75" x14ac:dyDescent="0.2"/>
    <row r="1143" ht="12.75" x14ac:dyDescent="0.2"/>
    <row r="1144" ht="12.75" x14ac:dyDescent="0.2"/>
    <row r="1145" ht="12.75" x14ac:dyDescent="0.2"/>
    <row r="1146" ht="12.75" x14ac:dyDescent="0.2"/>
    <row r="1147" ht="12.75" x14ac:dyDescent="0.2"/>
    <row r="1148" ht="12.75" x14ac:dyDescent="0.2"/>
    <row r="1149" ht="12.75" x14ac:dyDescent="0.2"/>
    <row r="1150" ht="12.75" x14ac:dyDescent="0.2"/>
    <row r="1151" ht="12.75" x14ac:dyDescent="0.2"/>
    <row r="1152" ht="12.75" x14ac:dyDescent="0.2"/>
    <row r="1153" ht="12.75" x14ac:dyDescent="0.2"/>
    <row r="1154" ht="12.75" x14ac:dyDescent="0.2"/>
    <row r="1155" ht="12.75" x14ac:dyDescent="0.2"/>
    <row r="1156" ht="12.75" x14ac:dyDescent="0.2"/>
    <row r="1157" ht="12.75" x14ac:dyDescent="0.2"/>
    <row r="1158" ht="12.75" x14ac:dyDescent="0.2"/>
    <row r="1159" ht="12.75" x14ac:dyDescent="0.2"/>
    <row r="1160" ht="12.75" x14ac:dyDescent="0.2"/>
    <row r="1161" ht="12.75" x14ac:dyDescent="0.2"/>
    <row r="1162" ht="12.75" x14ac:dyDescent="0.2"/>
    <row r="1163" ht="12.75" x14ac:dyDescent="0.2"/>
    <row r="1164" ht="12.75" x14ac:dyDescent="0.2"/>
    <row r="1165" ht="12.75" x14ac:dyDescent="0.2"/>
    <row r="1166" ht="12.75" x14ac:dyDescent="0.2"/>
    <row r="1167" ht="12.75" x14ac:dyDescent="0.2"/>
    <row r="1168" ht="12.75" x14ac:dyDescent="0.2"/>
    <row r="1169" ht="12.75" x14ac:dyDescent="0.2"/>
    <row r="1170" ht="12.75" x14ac:dyDescent="0.2"/>
    <row r="1171" ht="12.75" x14ac:dyDescent="0.2"/>
    <row r="1172" ht="12.75" x14ac:dyDescent="0.2"/>
    <row r="1173" ht="12.75" x14ac:dyDescent="0.2"/>
    <row r="1174" ht="12.75" x14ac:dyDescent="0.2"/>
    <row r="1175" ht="12.75" x14ac:dyDescent="0.2"/>
    <row r="1176" ht="12.75" x14ac:dyDescent="0.2"/>
    <row r="1177" ht="12.75" x14ac:dyDescent="0.2"/>
    <row r="1178" ht="12.75" x14ac:dyDescent="0.2"/>
    <row r="1179" ht="12.75" x14ac:dyDescent="0.2"/>
    <row r="1180" ht="12.75" x14ac:dyDescent="0.2"/>
    <row r="1181" ht="12.75" x14ac:dyDescent="0.2"/>
    <row r="1182" ht="12.75" x14ac:dyDescent="0.2"/>
    <row r="1183" ht="12.75" x14ac:dyDescent="0.2"/>
    <row r="1184" ht="12.75" x14ac:dyDescent="0.2"/>
    <row r="1185" ht="12.75" x14ac:dyDescent="0.2"/>
    <row r="1186" ht="12.75" x14ac:dyDescent="0.2"/>
    <row r="1187" ht="12.75" x14ac:dyDescent="0.2"/>
    <row r="1188" ht="12.75" x14ac:dyDescent="0.2"/>
    <row r="1189" ht="12.75" x14ac:dyDescent="0.2"/>
    <row r="1190" ht="12.75" x14ac:dyDescent="0.2"/>
    <row r="1191" ht="12.75" x14ac:dyDescent="0.2"/>
    <row r="1192" ht="12.75" x14ac:dyDescent="0.2"/>
    <row r="1193" ht="12.75" x14ac:dyDescent="0.2"/>
    <row r="1194" ht="12.75" x14ac:dyDescent="0.2"/>
    <row r="1195" ht="12.75" x14ac:dyDescent="0.2"/>
    <row r="1196" ht="12.75" x14ac:dyDescent="0.2"/>
    <row r="1197" ht="12.75" x14ac:dyDescent="0.2"/>
    <row r="1198" ht="12.75" x14ac:dyDescent="0.2"/>
    <row r="1199" ht="12.75" x14ac:dyDescent="0.2"/>
    <row r="1200" ht="12.75" x14ac:dyDescent="0.2"/>
    <row r="1201" ht="12.75" x14ac:dyDescent="0.2"/>
    <row r="1202" ht="12.75" x14ac:dyDescent="0.2"/>
    <row r="1203" ht="12.75" x14ac:dyDescent="0.2"/>
    <row r="1204" ht="12.75" x14ac:dyDescent="0.2"/>
    <row r="1205" ht="12.75" x14ac:dyDescent="0.2"/>
    <row r="1206" ht="12.75" x14ac:dyDescent="0.2"/>
    <row r="1207" ht="12.75" x14ac:dyDescent="0.2"/>
    <row r="1208" ht="12.75" x14ac:dyDescent="0.2"/>
    <row r="1209" ht="12.75" x14ac:dyDescent="0.2"/>
    <row r="1210" ht="12.75" x14ac:dyDescent="0.2"/>
    <row r="1211" ht="12.75" x14ac:dyDescent="0.2"/>
    <row r="1212" ht="12.75" x14ac:dyDescent="0.2"/>
    <row r="1213" ht="12.75" x14ac:dyDescent="0.2"/>
    <row r="1214" ht="12.75" x14ac:dyDescent="0.2"/>
    <row r="1215" ht="12.75" x14ac:dyDescent="0.2"/>
    <row r="1216" ht="12.75" x14ac:dyDescent="0.2"/>
    <row r="1217" ht="12.75" x14ac:dyDescent="0.2"/>
    <row r="1218" ht="12.75" x14ac:dyDescent="0.2"/>
    <row r="1219" ht="12.75" x14ac:dyDescent="0.2"/>
    <row r="1220" ht="12.75" x14ac:dyDescent="0.2"/>
    <row r="1221" ht="12.75" x14ac:dyDescent="0.2"/>
    <row r="1222" ht="12.75" x14ac:dyDescent="0.2"/>
    <row r="1223" ht="12.75" x14ac:dyDescent="0.2"/>
    <row r="1224" ht="12.75" x14ac:dyDescent="0.2"/>
    <row r="1225" ht="12.75" x14ac:dyDescent="0.2"/>
    <row r="1226" ht="12.75" x14ac:dyDescent="0.2"/>
    <row r="1227" ht="12.75" x14ac:dyDescent="0.2"/>
    <row r="1228" ht="12.75" x14ac:dyDescent="0.2"/>
    <row r="1229" ht="12.75" x14ac:dyDescent="0.2"/>
    <row r="1230" ht="12.75" x14ac:dyDescent="0.2"/>
    <row r="1231" ht="12.75" x14ac:dyDescent="0.2"/>
    <row r="1232" ht="12.75" x14ac:dyDescent="0.2"/>
    <row r="1233" ht="12.75" x14ac:dyDescent="0.2"/>
    <row r="1234" ht="12.75" x14ac:dyDescent="0.2"/>
    <row r="1235" ht="12.75" x14ac:dyDescent="0.2"/>
    <row r="1236" ht="12.75" x14ac:dyDescent="0.2"/>
    <row r="1237" ht="12.75" x14ac:dyDescent="0.2"/>
    <row r="1238" ht="12.75" x14ac:dyDescent="0.2"/>
    <row r="1239" ht="12.75" x14ac:dyDescent="0.2"/>
    <row r="1240" ht="12.75" x14ac:dyDescent="0.2"/>
    <row r="1241" ht="12.75" x14ac:dyDescent="0.2"/>
    <row r="1242" ht="12.75" x14ac:dyDescent="0.2"/>
    <row r="1243" ht="12.75" x14ac:dyDescent="0.2"/>
    <row r="1244" ht="12.75" x14ac:dyDescent="0.2"/>
    <row r="1245" ht="12.75" x14ac:dyDescent="0.2"/>
    <row r="1246" ht="12.75" x14ac:dyDescent="0.2"/>
    <row r="1247" ht="12.75" x14ac:dyDescent="0.2"/>
    <row r="1248" ht="12.75" x14ac:dyDescent="0.2"/>
    <row r="1249" ht="12.75" x14ac:dyDescent="0.2"/>
    <row r="1250" ht="12.75" x14ac:dyDescent="0.2"/>
    <row r="1251" ht="12.75" x14ac:dyDescent="0.2"/>
    <row r="1252" ht="12.75" x14ac:dyDescent="0.2"/>
    <row r="1253" ht="12.75" x14ac:dyDescent="0.2"/>
    <row r="1254" ht="12.75" x14ac:dyDescent="0.2"/>
    <row r="1255" ht="12.75" x14ac:dyDescent="0.2"/>
    <row r="1256" ht="12.75" x14ac:dyDescent="0.2"/>
    <row r="1257" ht="12.75" x14ac:dyDescent="0.2"/>
    <row r="1258" ht="12.75" x14ac:dyDescent="0.2"/>
    <row r="1259" ht="12.75" x14ac:dyDescent="0.2"/>
    <row r="1260" ht="12.75" x14ac:dyDescent="0.2"/>
    <row r="1261" ht="12.75" x14ac:dyDescent="0.2"/>
    <row r="1262" ht="12.75" x14ac:dyDescent="0.2"/>
    <row r="1263" ht="12.75" x14ac:dyDescent="0.2"/>
    <row r="1264" ht="12.75" x14ac:dyDescent="0.2"/>
    <row r="1265" ht="12.75" x14ac:dyDescent="0.2"/>
    <row r="1266" ht="12.75" x14ac:dyDescent="0.2"/>
    <row r="1267" ht="12.75" x14ac:dyDescent="0.2"/>
    <row r="1268" ht="12.75" x14ac:dyDescent="0.2"/>
    <row r="1269" ht="12.75" x14ac:dyDescent="0.2"/>
    <row r="1270" ht="12.75" x14ac:dyDescent="0.2"/>
    <row r="1271" ht="12.75" x14ac:dyDescent="0.2"/>
    <row r="1272" ht="12.75" x14ac:dyDescent="0.2"/>
    <row r="1273" ht="12.75" x14ac:dyDescent="0.2"/>
    <row r="1274" ht="12.75" x14ac:dyDescent="0.2"/>
    <row r="1275" ht="12.75" x14ac:dyDescent="0.2"/>
    <row r="1276" ht="12.75" x14ac:dyDescent="0.2"/>
    <row r="1277" ht="12.75" x14ac:dyDescent="0.2"/>
    <row r="1278" ht="12.75" x14ac:dyDescent="0.2"/>
    <row r="1279" ht="12.75" x14ac:dyDescent="0.2"/>
    <row r="1280" ht="12.75" x14ac:dyDescent="0.2"/>
    <row r="1281" ht="12.75" x14ac:dyDescent="0.2"/>
    <row r="1282" ht="12.75" x14ac:dyDescent="0.2"/>
    <row r="1283" ht="12.75" x14ac:dyDescent="0.2"/>
    <row r="1284" ht="12.75" x14ac:dyDescent="0.2"/>
    <row r="1285" ht="12.75" x14ac:dyDescent="0.2"/>
    <row r="1286" ht="12.75" x14ac:dyDescent="0.2"/>
    <row r="1287" ht="12.75" x14ac:dyDescent="0.2"/>
    <row r="1288" ht="12.75" x14ac:dyDescent="0.2"/>
    <row r="1289" ht="12.75" x14ac:dyDescent="0.2"/>
    <row r="1290" ht="12.75" x14ac:dyDescent="0.2"/>
    <row r="1291" ht="12.75" x14ac:dyDescent="0.2"/>
    <row r="1292" ht="12.75" x14ac:dyDescent="0.2"/>
    <row r="1293" ht="12.75" x14ac:dyDescent="0.2"/>
    <row r="1294" ht="12.75" x14ac:dyDescent="0.2"/>
    <row r="1295" ht="12.75" x14ac:dyDescent="0.2"/>
    <row r="1296" ht="12.75" x14ac:dyDescent="0.2"/>
    <row r="1297" ht="12.75" x14ac:dyDescent="0.2"/>
    <row r="1298" ht="12.75" x14ac:dyDescent="0.2"/>
    <row r="1299" ht="12.75" x14ac:dyDescent="0.2"/>
    <row r="1300" ht="12.75" x14ac:dyDescent="0.2"/>
    <row r="1301" ht="12.75" x14ac:dyDescent="0.2"/>
    <row r="1302" ht="12.75" x14ac:dyDescent="0.2"/>
    <row r="1303" ht="12.75" x14ac:dyDescent="0.2"/>
    <row r="1304" ht="12.75" x14ac:dyDescent="0.2"/>
    <row r="1305" ht="12.75" x14ac:dyDescent="0.2"/>
    <row r="1306" ht="12.75" x14ac:dyDescent="0.2"/>
    <row r="1307" ht="12.75" x14ac:dyDescent="0.2"/>
    <row r="1308" ht="12.75" x14ac:dyDescent="0.2"/>
    <row r="1309" ht="12.75" x14ac:dyDescent="0.2"/>
    <row r="1310" ht="12.75" x14ac:dyDescent="0.2"/>
    <row r="1311" ht="12.75" x14ac:dyDescent="0.2"/>
    <row r="1312" ht="12.75" x14ac:dyDescent="0.2"/>
    <row r="1313" ht="12.75" x14ac:dyDescent="0.2"/>
    <row r="1314" ht="12.75" x14ac:dyDescent="0.2"/>
    <row r="1315" ht="12.75" x14ac:dyDescent="0.2"/>
    <row r="1316" ht="12.75" x14ac:dyDescent="0.2"/>
    <row r="1317" ht="12.75" x14ac:dyDescent="0.2"/>
    <row r="1318" ht="12.75" x14ac:dyDescent="0.2"/>
    <row r="1319" ht="12.75" x14ac:dyDescent="0.2"/>
    <row r="1320" ht="12.75" x14ac:dyDescent="0.2"/>
    <row r="1321" ht="12.75" x14ac:dyDescent="0.2"/>
    <row r="1322" ht="12.75" x14ac:dyDescent="0.2"/>
    <row r="1323" ht="12.75" x14ac:dyDescent="0.2"/>
    <row r="1324" ht="12.75" x14ac:dyDescent="0.2"/>
    <row r="1325" ht="12.75" x14ac:dyDescent="0.2"/>
    <row r="1326" ht="12.75" x14ac:dyDescent="0.2"/>
    <row r="1327" ht="12.75" x14ac:dyDescent="0.2"/>
    <row r="1328" ht="12.75" x14ac:dyDescent="0.2"/>
    <row r="1329" ht="12.75" x14ac:dyDescent="0.2"/>
    <row r="1330" ht="12.75" x14ac:dyDescent="0.2"/>
    <row r="1331" ht="12.75" x14ac:dyDescent="0.2"/>
    <row r="1332" ht="12.75" x14ac:dyDescent="0.2"/>
    <row r="1333" ht="12.75" x14ac:dyDescent="0.2"/>
    <row r="1334" ht="12.75" x14ac:dyDescent="0.2"/>
    <row r="1335" ht="12.75" x14ac:dyDescent="0.2"/>
    <row r="1336" ht="12.75" x14ac:dyDescent="0.2"/>
    <row r="1337" ht="12.75" x14ac:dyDescent="0.2"/>
    <row r="1338" ht="12.75" x14ac:dyDescent="0.2"/>
    <row r="1339" ht="12.75" x14ac:dyDescent="0.2"/>
    <row r="1340" ht="12.75" x14ac:dyDescent="0.2"/>
    <row r="1341" ht="12.75" x14ac:dyDescent="0.2"/>
    <row r="1342" ht="12.75" x14ac:dyDescent="0.2"/>
    <row r="1343" ht="12.75" x14ac:dyDescent="0.2"/>
    <row r="1344" ht="12.75" x14ac:dyDescent="0.2"/>
    <row r="1345" ht="12.75" x14ac:dyDescent="0.2"/>
    <row r="1346" ht="12.75" x14ac:dyDescent="0.2"/>
    <row r="1347" ht="12.75" x14ac:dyDescent="0.2"/>
    <row r="1348" ht="12.75" x14ac:dyDescent="0.2"/>
    <row r="1349" ht="12.75" x14ac:dyDescent="0.2"/>
    <row r="1350" ht="12.75" x14ac:dyDescent="0.2"/>
    <row r="1351" ht="12.75" x14ac:dyDescent="0.2"/>
    <row r="1352" ht="12.75" x14ac:dyDescent="0.2"/>
    <row r="1353" ht="12.75" x14ac:dyDescent="0.2"/>
    <row r="1354" ht="12.75" x14ac:dyDescent="0.2"/>
    <row r="1355" ht="12.75" x14ac:dyDescent="0.2"/>
    <row r="1356" ht="12.75" x14ac:dyDescent="0.2"/>
    <row r="1357" ht="12.75" x14ac:dyDescent="0.2"/>
    <row r="1358" ht="12.75" x14ac:dyDescent="0.2"/>
    <row r="1359" ht="12.75" x14ac:dyDescent="0.2"/>
    <row r="1360" ht="12.75" x14ac:dyDescent="0.2"/>
    <row r="1361" ht="12.75" x14ac:dyDescent="0.2"/>
    <row r="1362" ht="12.75" x14ac:dyDescent="0.2"/>
    <row r="1363" ht="12.75" x14ac:dyDescent="0.2"/>
    <row r="1364" ht="12.75" x14ac:dyDescent="0.2"/>
    <row r="1365" ht="12.75" x14ac:dyDescent="0.2"/>
    <row r="1366" ht="12.75" x14ac:dyDescent="0.2"/>
    <row r="1367" ht="12.75" x14ac:dyDescent="0.2"/>
    <row r="1368" ht="12.75" x14ac:dyDescent="0.2"/>
    <row r="1369" ht="12.75" x14ac:dyDescent="0.2"/>
    <row r="1370" ht="12.75" x14ac:dyDescent="0.2"/>
    <row r="1371" ht="12.75" x14ac:dyDescent="0.2"/>
    <row r="1372" ht="12.75" x14ac:dyDescent="0.2"/>
    <row r="1373" ht="12.75" x14ac:dyDescent="0.2"/>
    <row r="1374" ht="12.75" x14ac:dyDescent="0.2"/>
    <row r="1375" ht="12.75" x14ac:dyDescent="0.2"/>
    <row r="1376" ht="12.75" x14ac:dyDescent="0.2"/>
    <row r="1377" ht="12.75" x14ac:dyDescent="0.2"/>
    <row r="1378" ht="12.75" x14ac:dyDescent="0.2"/>
    <row r="1379" ht="12.75" x14ac:dyDescent="0.2"/>
    <row r="1380" ht="12.75" x14ac:dyDescent="0.2"/>
    <row r="1381" ht="12.75" x14ac:dyDescent="0.2"/>
    <row r="1382" ht="12.75" x14ac:dyDescent="0.2"/>
    <row r="1383" ht="12.75" x14ac:dyDescent="0.2"/>
    <row r="1384" ht="12.75" x14ac:dyDescent="0.2"/>
    <row r="1385" ht="12.75" x14ac:dyDescent="0.2"/>
    <row r="1386" ht="12.75" x14ac:dyDescent="0.2"/>
    <row r="1387" ht="12.75" x14ac:dyDescent="0.2"/>
    <row r="1388" ht="12.75" x14ac:dyDescent="0.2"/>
    <row r="1389" ht="12.75" x14ac:dyDescent="0.2"/>
    <row r="1390" ht="12.75" x14ac:dyDescent="0.2"/>
    <row r="1391" ht="12.75" x14ac:dyDescent="0.2"/>
    <row r="1392" ht="12.75" x14ac:dyDescent="0.2"/>
    <row r="1393" ht="12.75" x14ac:dyDescent="0.2"/>
    <row r="1394" ht="12.75" x14ac:dyDescent="0.2"/>
    <row r="1395" ht="12.75" x14ac:dyDescent="0.2"/>
    <row r="1396" ht="12.75" x14ac:dyDescent="0.2"/>
    <row r="1397" ht="12.75" x14ac:dyDescent="0.2"/>
    <row r="1398" ht="12.75" x14ac:dyDescent="0.2"/>
    <row r="1399" ht="12.75" x14ac:dyDescent="0.2"/>
    <row r="1400" ht="12.75" x14ac:dyDescent="0.2"/>
    <row r="1401" ht="12.75" x14ac:dyDescent="0.2"/>
    <row r="1402" ht="12.75" x14ac:dyDescent="0.2"/>
    <row r="1403" ht="12.75" x14ac:dyDescent="0.2"/>
    <row r="1404" ht="12.75" x14ac:dyDescent="0.2"/>
    <row r="1405" ht="12.75" x14ac:dyDescent="0.2"/>
    <row r="1406" ht="12.75" x14ac:dyDescent="0.2"/>
    <row r="1407" ht="12.75" x14ac:dyDescent="0.2"/>
    <row r="1408" ht="12.75" x14ac:dyDescent="0.2"/>
    <row r="1409" ht="12.75" x14ac:dyDescent="0.2"/>
    <row r="1410" ht="12.75" x14ac:dyDescent="0.2"/>
    <row r="1411" ht="12.75" x14ac:dyDescent="0.2"/>
    <row r="1412" ht="12.75" x14ac:dyDescent="0.2"/>
    <row r="1413" ht="12.75" x14ac:dyDescent="0.2"/>
    <row r="1414" ht="12.75" x14ac:dyDescent="0.2"/>
    <row r="1415" ht="12.75" x14ac:dyDescent="0.2"/>
    <row r="1416" ht="12.75" x14ac:dyDescent="0.2"/>
    <row r="1417" ht="12.75" x14ac:dyDescent="0.2"/>
    <row r="1418" ht="12.75" x14ac:dyDescent="0.2"/>
    <row r="1419" ht="12.75" x14ac:dyDescent="0.2"/>
    <row r="1420" ht="12.75" x14ac:dyDescent="0.2"/>
    <row r="1421" ht="12.75" x14ac:dyDescent="0.2"/>
    <row r="1422" ht="12.75" x14ac:dyDescent="0.2"/>
    <row r="1423" ht="12.75" x14ac:dyDescent="0.2"/>
    <row r="1424" ht="12.75" x14ac:dyDescent="0.2"/>
    <row r="1425" ht="12.75" x14ac:dyDescent="0.2"/>
    <row r="1426" ht="12.75" x14ac:dyDescent="0.2"/>
    <row r="1427" ht="12.75" x14ac:dyDescent="0.2"/>
    <row r="1428" ht="12.75" x14ac:dyDescent="0.2"/>
    <row r="1429" ht="12.75" x14ac:dyDescent="0.2"/>
    <row r="1430" ht="12.75" x14ac:dyDescent="0.2"/>
    <row r="1431" ht="12.75" x14ac:dyDescent="0.2"/>
    <row r="1432" ht="12.75" x14ac:dyDescent="0.2"/>
    <row r="1433" ht="12.75" x14ac:dyDescent="0.2"/>
    <row r="1434" ht="12.75" x14ac:dyDescent="0.2"/>
    <row r="1435" ht="12.75" x14ac:dyDescent="0.2"/>
    <row r="1436" ht="12.75" x14ac:dyDescent="0.2"/>
    <row r="1437" ht="12.75" x14ac:dyDescent="0.2"/>
    <row r="1438" ht="12.75" x14ac:dyDescent="0.2"/>
    <row r="1439" ht="12.75" x14ac:dyDescent="0.2"/>
    <row r="1440" ht="12.75" x14ac:dyDescent="0.2"/>
    <row r="1441" ht="12.75" x14ac:dyDescent="0.2"/>
    <row r="1442" ht="12.75" x14ac:dyDescent="0.2"/>
    <row r="1443" ht="12.75" x14ac:dyDescent="0.2"/>
    <row r="1444" ht="12.75" x14ac:dyDescent="0.2"/>
    <row r="1445" ht="12.75" x14ac:dyDescent="0.2"/>
    <row r="1446" ht="12.75" x14ac:dyDescent="0.2"/>
    <row r="1447" ht="12.75" x14ac:dyDescent="0.2"/>
    <row r="1448" ht="12.75" x14ac:dyDescent="0.2"/>
    <row r="1449" ht="12.75" x14ac:dyDescent="0.2"/>
    <row r="1450" ht="12.75" x14ac:dyDescent="0.2"/>
    <row r="1451" ht="12.75" x14ac:dyDescent="0.2"/>
    <row r="1452" ht="12.75" x14ac:dyDescent="0.2"/>
    <row r="1453" ht="12.75" x14ac:dyDescent="0.2"/>
    <row r="1454" ht="12.75" x14ac:dyDescent="0.2"/>
    <row r="1455" ht="12.75" x14ac:dyDescent="0.2"/>
    <row r="1456" ht="12.75" x14ac:dyDescent="0.2"/>
    <row r="1457" ht="12.75" x14ac:dyDescent="0.2"/>
    <row r="1458" ht="12.75" x14ac:dyDescent="0.2"/>
    <row r="1459" ht="12.75" x14ac:dyDescent="0.2"/>
    <row r="1460" ht="12.75" x14ac:dyDescent="0.2"/>
    <row r="1461" ht="12.75" x14ac:dyDescent="0.2"/>
    <row r="1462" ht="12.75" x14ac:dyDescent="0.2"/>
    <row r="1463" ht="12.75" x14ac:dyDescent="0.2"/>
    <row r="1464" ht="12.75" x14ac:dyDescent="0.2"/>
    <row r="1465" ht="12.75" x14ac:dyDescent="0.2"/>
    <row r="1466" ht="12.75" x14ac:dyDescent="0.2"/>
    <row r="1467" ht="12.75" x14ac:dyDescent="0.2"/>
    <row r="1468" ht="12.75" x14ac:dyDescent="0.2"/>
    <row r="1469" ht="12.75" x14ac:dyDescent="0.2"/>
    <row r="1470" ht="12.75" x14ac:dyDescent="0.2"/>
    <row r="1471" ht="12.75" x14ac:dyDescent="0.2"/>
    <row r="1472" ht="12.75" x14ac:dyDescent="0.2"/>
    <row r="1473" ht="12.75" x14ac:dyDescent="0.2"/>
    <row r="1474" ht="12.75" x14ac:dyDescent="0.2"/>
    <row r="1475" ht="12.75" x14ac:dyDescent="0.2"/>
    <row r="1476" ht="12.75" x14ac:dyDescent="0.2"/>
    <row r="1477" ht="12.75" x14ac:dyDescent="0.2"/>
    <row r="1478" ht="12.75" x14ac:dyDescent="0.2"/>
    <row r="1479" ht="12.75" x14ac:dyDescent="0.2"/>
    <row r="1480" ht="12.75" x14ac:dyDescent="0.2"/>
    <row r="1481" ht="12.75" x14ac:dyDescent="0.2"/>
    <row r="1482" ht="12.75" x14ac:dyDescent="0.2"/>
    <row r="1483" ht="12.75" x14ac:dyDescent="0.2"/>
    <row r="1484" ht="12.75" x14ac:dyDescent="0.2"/>
    <row r="1485" ht="12.75" x14ac:dyDescent="0.2"/>
    <row r="1486" ht="12.75" x14ac:dyDescent="0.2"/>
    <row r="1487" ht="12.75" x14ac:dyDescent="0.2"/>
    <row r="1488" ht="12.75" x14ac:dyDescent="0.2"/>
    <row r="1489" ht="12.75" x14ac:dyDescent="0.2"/>
    <row r="1490" ht="12.75" x14ac:dyDescent="0.2"/>
    <row r="1491" ht="12.75" x14ac:dyDescent="0.2"/>
    <row r="1492" ht="12.75" x14ac:dyDescent="0.2"/>
    <row r="1493" ht="12.75" x14ac:dyDescent="0.2"/>
    <row r="1494" ht="12.75" x14ac:dyDescent="0.2"/>
    <row r="1495" ht="12.75" x14ac:dyDescent="0.2"/>
    <row r="1496" ht="12.75" x14ac:dyDescent="0.2"/>
    <row r="1497" ht="12.75" x14ac:dyDescent="0.2"/>
    <row r="1498" ht="12.75" x14ac:dyDescent="0.2"/>
    <row r="1499" ht="12.75" x14ac:dyDescent="0.2"/>
    <row r="1500" ht="12.75" x14ac:dyDescent="0.2"/>
    <row r="1501" ht="12.75" x14ac:dyDescent="0.2"/>
    <row r="1502" ht="12.75" x14ac:dyDescent="0.2"/>
    <row r="1503" ht="12.75" x14ac:dyDescent="0.2"/>
    <row r="1504" ht="12.75" x14ac:dyDescent="0.2"/>
    <row r="1505" ht="12.75" x14ac:dyDescent="0.2"/>
    <row r="1506" ht="12.75" x14ac:dyDescent="0.2"/>
    <row r="1507" ht="12.75" x14ac:dyDescent="0.2"/>
    <row r="1508" ht="12.75" x14ac:dyDescent="0.2"/>
    <row r="1509" ht="12.75" x14ac:dyDescent="0.2"/>
    <row r="1510" ht="12.75" x14ac:dyDescent="0.2"/>
    <row r="1511" ht="12.75" x14ac:dyDescent="0.2"/>
    <row r="1512" ht="12.75" x14ac:dyDescent="0.2"/>
    <row r="1513" ht="12.75" x14ac:dyDescent="0.2"/>
    <row r="1514" ht="12.75" x14ac:dyDescent="0.2"/>
    <row r="1515" ht="12.75" x14ac:dyDescent="0.2"/>
    <row r="1516" ht="12.75" x14ac:dyDescent="0.2"/>
    <row r="1517" ht="12.75" x14ac:dyDescent="0.2"/>
    <row r="1518" ht="12.75" x14ac:dyDescent="0.2"/>
    <row r="1519" ht="12.75" x14ac:dyDescent="0.2"/>
    <row r="1520" ht="12.75" x14ac:dyDescent="0.2"/>
    <row r="1521" ht="12.75" x14ac:dyDescent="0.2"/>
    <row r="1522" ht="12.75" x14ac:dyDescent="0.2"/>
    <row r="1523" ht="12.75" x14ac:dyDescent="0.2"/>
    <row r="1524" ht="12.75" x14ac:dyDescent="0.2"/>
    <row r="1525" ht="12.75" x14ac:dyDescent="0.2"/>
    <row r="1526" ht="12.75" x14ac:dyDescent="0.2"/>
    <row r="1527" ht="12.75" x14ac:dyDescent="0.2"/>
    <row r="1528" ht="12.75" x14ac:dyDescent="0.2"/>
    <row r="1529" ht="12.75" x14ac:dyDescent="0.2"/>
    <row r="1530" ht="12.75" x14ac:dyDescent="0.2"/>
    <row r="1531" ht="12.75" x14ac:dyDescent="0.2"/>
    <row r="1532" ht="12.75" x14ac:dyDescent="0.2"/>
    <row r="1533" ht="12.75" x14ac:dyDescent="0.2"/>
    <row r="1534" ht="12.75" x14ac:dyDescent="0.2"/>
    <row r="1535" ht="12.75" x14ac:dyDescent="0.2"/>
    <row r="1536" ht="12.75" x14ac:dyDescent="0.2"/>
    <row r="1537" ht="12.75" x14ac:dyDescent="0.2"/>
    <row r="1538" ht="12.75" x14ac:dyDescent="0.2"/>
    <row r="1539" ht="12.75" x14ac:dyDescent="0.2"/>
    <row r="1540" ht="12.75" x14ac:dyDescent="0.2"/>
    <row r="1541" ht="12.75" x14ac:dyDescent="0.2"/>
    <row r="1542" ht="12.75" x14ac:dyDescent="0.2"/>
    <row r="1543" ht="12.75" x14ac:dyDescent="0.2"/>
    <row r="1544" ht="12.75" x14ac:dyDescent="0.2"/>
    <row r="1545" ht="12.75" x14ac:dyDescent="0.2"/>
    <row r="1546" ht="12.75" x14ac:dyDescent="0.2"/>
    <row r="1547" ht="12.75" x14ac:dyDescent="0.2"/>
    <row r="1548" ht="12.75" x14ac:dyDescent="0.2"/>
    <row r="1549" ht="12.75" x14ac:dyDescent="0.2"/>
    <row r="1550" ht="12.75" x14ac:dyDescent="0.2"/>
    <row r="1551" ht="12.75" x14ac:dyDescent="0.2"/>
    <row r="1552" ht="12.75" x14ac:dyDescent="0.2"/>
    <row r="1553" ht="12.75" x14ac:dyDescent="0.2"/>
    <row r="1554" ht="12.75" x14ac:dyDescent="0.2"/>
    <row r="1555" ht="12.75" x14ac:dyDescent="0.2"/>
    <row r="1556" ht="12.75" x14ac:dyDescent="0.2"/>
    <row r="1557" ht="12.75" x14ac:dyDescent="0.2"/>
    <row r="1558" ht="12.75" x14ac:dyDescent="0.2"/>
    <row r="1559" ht="12.75" x14ac:dyDescent="0.2"/>
    <row r="1560" ht="12.75" x14ac:dyDescent="0.2"/>
    <row r="1561" ht="12.75" x14ac:dyDescent="0.2"/>
    <row r="1562" ht="12.75" x14ac:dyDescent="0.2"/>
    <row r="1563" ht="12.75" x14ac:dyDescent="0.2"/>
    <row r="1564" ht="12.75" x14ac:dyDescent="0.2"/>
    <row r="1565" ht="12.75" x14ac:dyDescent="0.2"/>
    <row r="1566" ht="12.75" x14ac:dyDescent="0.2"/>
    <row r="1567" ht="12.75" x14ac:dyDescent="0.2"/>
    <row r="1568" ht="12.75" x14ac:dyDescent="0.2"/>
    <row r="1569" ht="12.75" x14ac:dyDescent="0.2"/>
    <row r="1570" ht="12.75" x14ac:dyDescent="0.2"/>
    <row r="1571" ht="12.75" x14ac:dyDescent="0.2"/>
    <row r="1572" ht="12.75" x14ac:dyDescent="0.2"/>
    <row r="1573" ht="12.75" x14ac:dyDescent="0.2"/>
    <row r="1574" ht="12.75" x14ac:dyDescent="0.2"/>
    <row r="1575" ht="12.75" x14ac:dyDescent="0.2"/>
    <row r="1576" ht="12.75" x14ac:dyDescent="0.2"/>
    <row r="1577" ht="12.75" x14ac:dyDescent="0.2"/>
    <row r="1578" ht="12.75" x14ac:dyDescent="0.2"/>
    <row r="1579" ht="12.75" x14ac:dyDescent="0.2"/>
    <row r="1580" ht="12.75" x14ac:dyDescent="0.2"/>
    <row r="1581" ht="12.75" x14ac:dyDescent="0.2"/>
    <row r="1582" ht="12.75" x14ac:dyDescent="0.2"/>
    <row r="1583" ht="12.75" x14ac:dyDescent="0.2"/>
    <row r="1584" ht="12.75" x14ac:dyDescent="0.2"/>
    <row r="1585" ht="12.75" x14ac:dyDescent="0.2"/>
    <row r="1586" ht="12.75" x14ac:dyDescent="0.2"/>
    <row r="1587" ht="12.75" x14ac:dyDescent="0.2"/>
    <row r="1588" ht="12.75" x14ac:dyDescent="0.2"/>
    <row r="1589" ht="12.75" x14ac:dyDescent="0.2"/>
    <row r="1590" ht="12.75" x14ac:dyDescent="0.2"/>
    <row r="1591" ht="12.75" x14ac:dyDescent="0.2"/>
    <row r="1592" ht="12.75" x14ac:dyDescent="0.2"/>
    <row r="1593" ht="12.75" x14ac:dyDescent="0.2"/>
    <row r="1594" ht="12.75" x14ac:dyDescent="0.2"/>
    <row r="1595" ht="12.75" x14ac:dyDescent="0.2"/>
    <row r="1596" ht="12.75" x14ac:dyDescent="0.2"/>
    <row r="1597" ht="12.75" x14ac:dyDescent="0.2"/>
    <row r="1598" ht="12.75" x14ac:dyDescent="0.2"/>
    <row r="1599" ht="12.75" x14ac:dyDescent="0.2"/>
    <row r="1600" ht="12.75" x14ac:dyDescent="0.2"/>
    <row r="1601" ht="12.75" x14ac:dyDescent="0.2"/>
    <row r="1602" ht="12.75" x14ac:dyDescent="0.2"/>
    <row r="1603" ht="12.75" x14ac:dyDescent="0.2"/>
    <row r="1604" ht="12.75" x14ac:dyDescent="0.2"/>
    <row r="1605" ht="12.75" x14ac:dyDescent="0.2"/>
    <row r="1606" ht="12.75" x14ac:dyDescent="0.2"/>
    <row r="1607" ht="12.75" x14ac:dyDescent="0.2"/>
    <row r="1608" ht="12.75" x14ac:dyDescent="0.2"/>
    <row r="1609" ht="12.75" x14ac:dyDescent="0.2"/>
    <row r="1610" ht="12.75" x14ac:dyDescent="0.2"/>
    <row r="1611" ht="12.75" x14ac:dyDescent="0.2"/>
    <row r="1612" ht="12.75" x14ac:dyDescent="0.2"/>
    <row r="1613" ht="12.75" x14ac:dyDescent="0.2"/>
    <row r="1614" ht="12.75" x14ac:dyDescent="0.2"/>
    <row r="1615" ht="12.75" x14ac:dyDescent="0.2"/>
    <row r="1616" ht="12.75" x14ac:dyDescent="0.2"/>
    <row r="1617" ht="12.75" x14ac:dyDescent="0.2"/>
    <row r="1618" ht="12.75" x14ac:dyDescent="0.2"/>
    <row r="1619" ht="12.75" x14ac:dyDescent="0.2"/>
    <row r="1620" ht="12.75" x14ac:dyDescent="0.2"/>
    <row r="1621" ht="12.75" x14ac:dyDescent="0.2"/>
    <row r="1622" ht="12.75" x14ac:dyDescent="0.2"/>
    <row r="1623" ht="12.75" x14ac:dyDescent="0.2"/>
    <row r="1624" ht="12.75" x14ac:dyDescent="0.2"/>
    <row r="1625" ht="12.75" x14ac:dyDescent="0.2"/>
    <row r="1626" ht="12.75" x14ac:dyDescent="0.2"/>
    <row r="1627" ht="12.75" x14ac:dyDescent="0.2"/>
    <row r="1628" ht="12.75" x14ac:dyDescent="0.2"/>
    <row r="1629" ht="12.75" x14ac:dyDescent="0.2"/>
    <row r="1630" ht="12.75" x14ac:dyDescent="0.2"/>
    <row r="1631" ht="12.75" x14ac:dyDescent="0.2"/>
    <row r="1632" ht="12.75" x14ac:dyDescent="0.2"/>
    <row r="1633" ht="12.75" x14ac:dyDescent="0.2"/>
    <row r="1634" ht="12.75" x14ac:dyDescent="0.2"/>
    <row r="1635" ht="12.75" x14ac:dyDescent="0.2"/>
    <row r="1636" ht="12.75" x14ac:dyDescent="0.2"/>
    <row r="1637" ht="12.75" x14ac:dyDescent="0.2"/>
    <row r="1638" ht="12.75" x14ac:dyDescent="0.2"/>
    <row r="1639" ht="12.75" x14ac:dyDescent="0.2"/>
    <row r="1640" ht="12.75" x14ac:dyDescent="0.2"/>
    <row r="1641" ht="12.75" x14ac:dyDescent="0.2"/>
    <row r="1642" ht="12.75" x14ac:dyDescent="0.2"/>
    <row r="1643" ht="12.75" x14ac:dyDescent="0.2"/>
    <row r="1644" ht="12.75" x14ac:dyDescent="0.2"/>
    <row r="1645" ht="12.75" x14ac:dyDescent="0.2"/>
    <row r="1646" ht="12.75" x14ac:dyDescent="0.2"/>
    <row r="1647" ht="12.75" x14ac:dyDescent="0.2"/>
    <row r="1648" ht="12.75" x14ac:dyDescent="0.2"/>
    <row r="1649" ht="12.75" x14ac:dyDescent="0.2"/>
    <row r="1650" ht="12.75" x14ac:dyDescent="0.2"/>
    <row r="1651" ht="12.75" x14ac:dyDescent="0.2"/>
    <row r="1652" ht="12.75" x14ac:dyDescent="0.2"/>
    <row r="1653" ht="12.75" x14ac:dyDescent="0.2"/>
    <row r="1654" ht="12.75" x14ac:dyDescent="0.2"/>
    <row r="1655" ht="12.75" x14ac:dyDescent="0.2"/>
    <row r="1656" ht="12.75" x14ac:dyDescent="0.2"/>
    <row r="1657" ht="12.75" x14ac:dyDescent="0.2"/>
    <row r="1658" ht="12.75" x14ac:dyDescent="0.2"/>
    <row r="1659" ht="12.75" x14ac:dyDescent="0.2"/>
    <row r="1660" ht="12.75" x14ac:dyDescent="0.2"/>
    <row r="1661" ht="12.75" x14ac:dyDescent="0.2"/>
    <row r="1662" ht="12.75" x14ac:dyDescent="0.2"/>
    <row r="1663" ht="12.75" x14ac:dyDescent="0.2"/>
    <row r="1664" ht="12.75" x14ac:dyDescent="0.2"/>
    <row r="1665" ht="12.75" x14ac:dyDescent="0.2"/>
    <row r="1666" ht="12.75" x14ac:dyDescent="0.2"/>
    <row r="1667" ht="12.75" x14ac:dyDescent="0.2"/>
    <row r="1668" ht="12.75" x14ac:dyDescent="0.2"/>
    <row r="1669" ht="12.75" x14ac:dyDescent="0.2"/>
    <row r="1670" ht="12.75" x14ac:dyDescent="0.2"/>
    <row r="1671" ht="12.75" x14ac:dyDescent="0.2"/>
    <row r="1672" ht="12.75" x14ac:dyDescent="0.2"/>
    <row r="1673" ht="12.75" x14ac:dyDescent="0.2"/>
    <row r="1674" ht="12.75" x14ac:dyDescent="0.2"/>
    <row r="1675" ht="12.75" x14ac:dyDescent="0.2"/>
    <row r="1676" ht="12.75" x14ac:dyDescent="0.2"/>
    <row r="1677" ht="12.75" x14ac:dyDescent="0.2"/>
    <row r="1678" ht="12.75" x14ac:dyDescent="0.2"/>
    <row r="1679" ht="12.75" x14ac:dyDescent="0.2"/>
    <row r="1680" ht="12.75" x14ac:dyDescent="0.2"/>
    <row r="1681" ht="12.75" x14ac:dyDescent="0.2"/>
    <row r="1682" ht="12.75" x14ac:dyDescent="0.2"/>
    <row r="1683" ht="12.75" x14ac:dyDescent="0.2"/>
    <row r="1684" ht="12.75" x14ac:dyDescent="0.2"/>
    <row r="1685" ht="12.75" x14ac:dyDescent="0.2"/>
    <row r="1686" ht="12.75" x14ac:dyDescent="0.2"/>
    <row r="1687" ht="12.75" x14ac:dyDescent="0.2"/>
    <row r="1688" ht="12.75" x14ac:dyDescent="0.2"/>
    <row r="1689" ht="12.75" x14ac:dyDescent="0.2"/>
    <row r="1690" ht="12.75" x14ac:dyDescent="0.2"/>
    <row r="1691" ht="12.75" x14ac:dyDescent="0.2"/>
    <row r="1692" ht="12.75" x14ac:dyDescent="0.2"/>
    <row r="1693" ht="12.75" x14ac:dyDescent="0.2"/>
    <row r="1694" ht="12.75" x14ac:dyDescent="0.2"/>
    <row r="1695" ht="12.75" x14ac:dyDescent="0.2"/>
    <row r="1696" ht="12.75" x14ac:dyDescent="0.2"/>
    <row r="1697" ht="12.75" x14ac:dyDescent="0.2"/>
    <row r="1698" ht="12.75" x14ac:dyDescent="0.2"/>
    <row r="1699" ht="12.75" x14ac:dyDescent="0.2"/>
    <row r="1700" ht="12.75" x14ac:dyDescent="0.2"/>
    <row r="1701" ht="12.75" x14ac:dyDescent="0.2"/>
    <row r="1702" ht="12.75" x14ac:dyDescent="0.2"/>
    <row r="1703" ht="12.75" x14ac:dyDescent="0.2"/>
    <row r="1704" ht="12.75" x14ac:dyDescent="0.2"/>
    <row r="1705" ht="12.75" x14ac:dyDescent="0.2"/>
    <row r="1706" ht="12.75" x14ac:dyDescent="0.2"/>
    <row r="1707" ht="12.75" x14ac:dyDescent="0.2"/>
    <row r="1708" ht="12.75" x14ac:dyDescent="0.2"/>
    <row r="1709" ht="12.75" x14ac:dyDescent="0.2"/>
    <row r="1710" ht="12.75" x14ac:dyDescent="0.2"/>
    <row r="1711" ht="12.75" x14ac:dyDescent="0.2"/>
    <row r="1712" ht="12.75" x14ac:dyDescent="0.2"/>
    <row r="1713" ht="12.75" x14ac:dyDescent="0.2"/>
    <row r="1714" ht="12.75" x14ac:dyDescent="0.2"/>
    <row r="1715" ht="12.75" x14ac:dyDescent="0.2"/>
    <row r="1716" ht="12.75" x14ac:dyDescent="0.2"/>
    <row r="1717" ht="12.75" x14ac:dyDescent="0.2"/>
    <row r="1718" ht="12.75" x14ac:dyDescent="0.2"/>
    <row r="1719" ht="12.75" x14ac:dyDescent="0.2"/>
    <row r="1720" ht="12.75" x14ac:dyDescent="0.2"/>
    <row r="1721" ht="12.75" x14ac:dyDescent="0.2"/>
    <row r="1722" ht="12.75" x14ac:dyDescent="0.2"/>
    <row r="1723" ht="12.75" x14ac:dyDescent="0.2"/>
    <row r="1724" ht="12.75" x14ac:dyDescent="0.2"/>
    <row r="1725" ht="12.75" x14ac:dyDescent="0.2"/>
    <row r="1726" ht="12.75" x14ac:dyDescent="0.2"/>
    <row r="1727" ht="12.75" x14ac:dyDescent="0.2"/>
    <row r="1728" ht="12.75" x14ac:dyDescent="0.2"/>
    <row r="1729" ht="12.75" x14ac:dyDescent="0.2"/>
    <row r="1730" ht="12.75" x14ac:dyDescent="0.2"/>
    <row r="1731" ht="12.75" x14ac:dyDescent="0.2"/>
    <row r="1732" ht="12.75" x14ac:dyDescent="0.2"/>
    <row r="1733" ht="12.75" x14ac:dyDescent="0.2"/>
    <row r="1734" ht="12.75" x14ac:dyDescent="0.2"/>
    <row r="1735" ht="12.75" x14ac:dyDescent="0.2"/>
    <row r="1736" ht="12.75" x14ac:dyDescent="0.2"/>
    <row r="1737" ht="12.75" x14ac:dyDescent="0.2"/>
    <row r="1738" ht="12.75" x14ac:dyDescent="0.2"/>
    <row r="1739" ht="12.75" x14ac:dyDescent="0.2"/>
    <row r="1740" ht="12.75" x14ac:dyDescent="0.2"/>
    <row r="1741" ht="12.75" x14ac:dyDescent="0.2"/>
    <row r="1742" ht="12.75" x14ac:dyDescent="0.2"/>
    <row r="1743" ht="12.75" x14ac:dyDescent="0.2"/>
    <row r="1744" ht="12.75" x14ac:dyDescent="0.2"/>
    <row r="1745" ht="12.75" x14ac:dyDescent="0.2"/>
    <row r="1746" ht="12.75" x14ac:dyDescent="0.2"/>
    <row r="1747" ht="12.75" x14ac:dyDescent="0.2"/>
    <row r="1748" ht="12.75" x14ac:dyDescent="0.2"/>
    <row r="1749" ht="12.75" x14ac:dyDescent="0.2"/>
    <row r="1750" ht="12.75" x14ac:dyDescent="0.2"/>
    <row r="1751" ht="12.75" x14ac:dyDescent="0.2"/>
    <row r="1752" ht="12.75" x14ac:dyDescent="0.2"/>
    <row r="1753" ht="12.75" x14ac:dyDescent="0.2"/>
    <row r="1754" ht="12.75" x14ac:dyDescent="0.2"/>
    <row r="1755" ht="12.75" x14ac:dyDescent="0.2"/>
    <row r="1756" ht="12.75" x14ac:dyDescent="0.2"/>
    <row r="1757" ht="12.75" x14ac:dyDescent="0.2"/>
    <row r="1758" ht="12.75" x14ac:dyDescent="0.2"/>
    <row r="1759" ht="12.75" x14ac:dyDescent="0.2"/>
    <row r="1760" ht="12.75" x14ac:dyDescent="0.2"/>
    <row r="1761" ht="12.75" x14ac:dyDescent="0.2"/>
    <row r="1762" ht="12.75" x14ac:dyDescent="0.2"/>
    <row r="1763" ht="12.75" x14ac:dyDescent="0.2"/>
    <row r="1764" ht="12.75" x14ac:dyDescent="0.2"/>
    <row r="1765" ht="12.75" x14ac:dyDescent="0.2"/>
    <row r="1766" ht="12.75" x14ac:dyDescent="0.2"/>
    <row r="1767" ht="12.75" x14ac:dyDescent="0.2"/>
    <row r="1768" ht="12.75" x14ac:dyDescent="0.2"/>
    <row r="1769" ht="12.75" x14ac:dyDescent="0.2"/>
    <row r="1770" ht="12.75" x14ac:dyDescent="0.2"/>
    <row r="1771" ht="12.75" x14ac:dyDescent="0.2"/>
    <row r="1772" ht="12.75" x14ac:dyDescent="0.2"/>
    <row r="1773" ht="12.75" x14ac:dyDescent="0.2"/>
    <row r="1774" ht="12.75" x14ac:dyDescent="0.2"/>
    <row r="1775" ht="12.75" x14ac:dyDescent="0.2"/>
    <row r="1776" ht="12.75" x14ac:dyDescent="0.2"/>
    <row r="1777" ht="12.75" x14ac:dyDescent="0.2"/>
    <row r="1778" ht="12.75" x14ac:dyDescent="0.2"/>
    <row r="1779" ht="12.75" x14ac:dyDescent="0.2"/>
    <row r="1780" ht="12.75" x14ac:dyDescent="0.2"/>
    <row r="1781" ht="12.75" x14ac:dyDescent="0.2"/>
    <row r="1782" ht="12.75" x14ac:dyDescent="0.2"/>
    <row r="1783" ht="12.75" x14ac:dyDescent="0.2"/>
    <row r="1784" ht="12.75" x14ac:dyDescent="0.2"/>
    <row r="1785" ht="12.75" x14ac:dyDescent="0.2"/>
    <row r="1786" ht="12.75" x14ac:dyDescent="0.2"/>
    <row r="1787" ht="12.75" x14ac:dyDescent="0.2"/>
    <row r="1788" ht="12.75" x14ac:dyDescent="0.2"/>
    <row r="1789" ht="12.75" x14ac:dyDescent="0.2"/>
    <row r="1790" ht="12.75" x14ac:dyDescent="0.2"/>
    <row r="1791" ht="12.75" x14ac:dyDescent="0.2"/>
    <row r="1792" ht="12.75" x14ac:dyDescent="0.2"/>
    <row r="1793" ht="12.75" x14ac:dyDescent="0.2"/>
    <row r="1794" ht="12.75" x14ac:dyDescent="0.2"/>
    <row r="1795" ht="12.75" x14ac:dyDescent="0.2"/>
    <row r="1796" ht="12.75" x14ac:dyDescent="0.2"/>
    <row r="1797" ht="12.75" x14ac:dyDescent="0.2"/>
    <row r="1798" ht="12.75" x14ac:dyDescent="0.2"/>
    <row r="1799" ht="12.75" x14ac:dyDescent="0.2"/>
    <row r="1800" ht="12.75" x14ac:dyDescent="0.2"/>
    <row r="1801" ht="12.75" x14ac:dyDescent="0.2"/>
    <row r="1802" ht="12.75" x14ac:dyDescent="0.2"/>
    <row r="1803" ht="12.75" x14ac:dyDescent="0.2"/>
    <row r="1804" ht="12.75" x14ac:dyDescent="0.2"/>
    <row r="1805" ht="12.75" x14ac:dyDescent="0.2"/>
    <row r="1806" ht="12.75" x14ac:dyDescent="0.2"/>
    <row r="1807" ht="12.75" x14ac:dyDescent="0.2"/>
    <row r="1808" ht="12.75" x14ac:dyDescent="0.2"/>
    <row r="1809" ht="12.75" x14ac:dyDescent="0.2"/>
    <row r="1810" ht="12.75" x14ac:dyDescent="0.2"/>
    <row r="1811" ht="12.75" x14ac:dyDescent="0.2"/>
    <row r="1812" ht="12.75" x14ac:dyDescent="0.2"/>
    <row r="1813" ht="12.75" x14ac:dyDescent="0.2"/>
    <row r="1814" ht="12.75" x14ac:dyDescent="0.2"/>
    <row r="1815" ht="12.75" x14ac:dyDescent="0.2"/>
    <row r="1816" ht="12.75" x14ac:dyDescent="0.2"/>
    <row r="1817" ht="12.75" x14ac:dyDescent="0.2"/>
    <row r="1818" ht="12.75" x14ac:dyDescent="0.2"/>
    <row r="1819" ht="12.75" x14ac:dyDescent="0.2"/>
    <row r="1820" ht="12.75" x14ac:dyDescent="0.2"/>
    <row r="1821" ht="12.75" x14ac:dyDescent="0.2"/>
    <row r="1822" ht="12.75" x14ac:dyDescent="0.2"/>
    <row r="1823" ht="12.75" x14ac:dyDescent="0.2"/>
    <row r="1824" ht="12.75" x14ac:dyDescent="0.2"/>
    <row r="1825" ht="12.75" x14ac:dyDescent="0.2"/>
    <row r="1826" ht="12.75" x14ac:dyDescent="0.2"/>
    <row r="1827" ht="12.75" x14ac:dyDescent="0.2"/>
    <row r="1828" ht="12.75" x14ac:dyDescent="0.2"/>
    <row r="1829" ht="12.75" x14ac:dyDescent="0.2"/>
    <row r="1830" ht="12.75" x14ac:dyDescent="0.2"/>
    <row r="1831" ht="12.75" x14ac:dyDescent="0.2"/>
    <row r="1832" ht="12.75" x14ac:dyDescent="0.2"/>
    <row r="1833" ht="12.75" x14ac:dyDescent="0.2"/>
    <row r="1834" ht="12.75" x14ac:dyDescent="0.2"/>
    <row r="1835" ht="12.75" x14ac:dyDescent="0.2"/>
    <row r="1836" ht="12.75" x14ac:dyDescent="0.2"/>
    <row r="1837" ht="12.75" x14ac:dyDescent="0.2"/>
    <row r="1838" ht="12.75" x14ac:dyDescent="0.2"/>
    <row r="1839" ht="12.75" x14ac:dyDescent="0.2"/>
    <row r="1840" ht="12.75" x14ac:dyDescent="0.2"/>
    <row r="1841" ht="12.75" x14ac:dyDescent="0.2"/>
    <row r="1842" ht="12.75" x14ac:dyDescent="0.2"/>
    <row r="1843" ht="12.75" x14ac:dyDescent="0.2"/>
    <row r="1844" ht="12.75" x14ac:dyDescent="0.2"/>
    <row r="1845" ht="12.75" x14ac:dyDescent="0.2"/>
    <row r="1846" ht="12.75" x14ac:dyDescent="0.2"/>
    <row r="1847" ht="12.75" x14ac:dyDescent="0.2"/>
    <row r="1848" ht="12.75" x14ac:dyDescent="0.2"/>
    <row r="1849" ht="12.75" x14ac:dyDescent="0.2"/>
    <row r="1850" ht="12.75" x14ac:dyDescent="0.2"/>
    <row r="1851" ht="12.75" x14ac:dyDescent="0.2"/>
    <row r="1852" ht="12.75" x14ac:dyDescent="0.2"/>
    <row r="1853" ht="12.75" x14ac:dyDescent="0.2"/>
    <row r="1854" ht="12.75" x14ac:dyDescent="0.2"/>
    <row r="1855" ht="12.75" x14ac:dyDescent="0.2"/>
    <row r="1856" ht="12.75" x14ac:dyDescent="0.2"/>
    <row r="1857" ht="12.75" x14ac:dyDescent="0.2"/>
    <row r="1858" ht="12.75" x14ac:dyDescent="0.2"/>
    <row r="1859" ht="12.75" x14ac:dyDescent="0.2"/>
    <row r="1860" ht="12.75" x14ac:dyDescent="0.2"/>
    <row r="1861" ht="12.75" x14ac:dyDescent="0.2"/>
    <row r="1862" ht="12.75" x14ac:dyDescent="0.2"/>
    <row r="1863" ht="12.75" x14ac:dyDescent="0.2"/>
    <row r="1864" ht="12.75" x14ac:dyDescent="0.2"/>
    <row r="1865" ht="12.75" x14ac:dyDescent="0.2"/>
    <row r="1866" ht="12.75" x14ac:dyDescent="0.2"/>
    <row r="1867" ht="12.75" x14ac:dyDescent="0.2"/>
    <row r="1868" ht="12.75" x14ac:dyDescent="0.2"/>
    <row r="1869" ht="12.75" x14ac:dyDescent="0.2"/>
    <row r="1870" ht="12.75" x14ac:dyDescent="0.2"/>
    <row r="1871" ht="12.75" x14ac:dyDescent="0.2"/>
    <row r="1872" ht="12.75" x14ac:dyDescent="0.2"/>
    <row r="1873" ht="12.75" x14ac:dyDescent="0.2"/>
    <row r="1874" ht="12.75" x14ac:dyDescent="0.2"/>
    <row r="1875" ht="12.75" x14ac:dyDescent="0.2"/>
    <row r="1876" ht="12.75" x14ac:dyDescent="0.2"/>
    <row r="1877" ht="12.75" x14ac:dyDescent="0.2"/>
    <row r="1878" ht="12.75" x14ac:dyDescent="0.2"/>
    <row r="1879" ht="12.75" x14ac:dyDescent="0.2"/>
    <row r="1880" ht="12.75" x14ac:dyDescent="0.2"/>
    <row r="1881" ht="12.75" x14ac:dyDescent="0.2"/>
    <row r="1882" ht="12.75" x14ac:dyDescent="0.2"/>
    <row r="1883" ht="12.75" x14ac:dyDescent="0.2"/>
    <row r="1884" ht="12.75" x14ac:dyDescent="0.2"/>
    <row r="1885" ht="12.75" x14ac:dyDescent="0.2"/>
    <row r="1886" ht="12.75" x14ac:dyDescent="0.2"/>
    <row r="1887" ht="12.75" x14ac:dyDescent="0.2"/>
    <row r="1888" ht="12.75" x14ac:dyDescent="0.2"/>
    <row r="1889" ht="12.75" x14ac:dyDescent="0.2"/>
    <row r="1890" ht="12.75" x14ac:dyDescent="0.2"/>
    <row r="1891" ht="12.75" x14ac:dyDescent="0.2"/>
    <row r="1892" ht="12.75" x14ac:dyDescent="0.2"/>
    <row r="1893" ht="12.75" x14ac:dyDescent="0.2"/>
    <row r="1894" ht="12.75" x14ac:dyDescent="0.2"/>
    <row r="1895" ht="12.75" x14ac:dyDescent="0.2"/>
    <row r="1896" ht="12.75" x14ac:dyDescent="0.2"/>
    <row r="1897" ht="12.75" x14ac:dyDescent="0.2"/>
    <row r="1898" ht="12.75" x14ac:dyDescent="0.2"/>
    <row r="1899" ht="12.75" x14ac:dyDescent="0.2"/>
    <row r="1900" ht="12.75" x14ac:dyDescent="0.2"/>
    <row r="1901" ht="12.75" x14ac:dyDescent="0.2"/>
    <row r="1902" ht="12.75" x14ac:dyDescent="0.2"/>
    <row r="1903" ht="12.75" x14ac:dyDescent="0.2"/>
    <row r="1904" ht="12.75" x14ac:dyDescent="0.2"/>
    <row r="1905" ht="12.75" x14ac:dyDescent="0.2"/>
    <row r="1906" ht="12.75" x14ac:dyDescent="0.2"/>
    <row r="1907" ht="12.75" x14ac:dyDescent="0.2"/>
    <row r="1908" ht="12.75" x14ac:dyDescent="0.2"/>
    <row r="1909" ht="12.75" x14ac:dyDescent="0.2"/>
    <row r="1910" ht="12.75" x14ac:dyDescent="0.2"/>
    <row r="1911" ht="12.75" x14ac:dyDescent="0.2"/>
    <row r="1912" ht="12.75" x14ac:dyDescent="0.2"/>
    <row r="1913" ht="12.75" x14ac:dyDescent="0.2"/>
    <row r="1914" ht="12.75" x14ac:dyDescent="0.2"/>
    <row r="1915" ht="12.75" x14ac:dyDescent="0.2"/>
    <row r="1916" ht="12.75" x14ac:dyDescent="0.2"/>
    <row r="1917" ht="12.75" x14ac:dyDescent="0.2"/>
    <row r="1918" ht="12.75" x14ac:dyDescent="0.2"/>
    <row r="1919" ht="12.75" x14ac:dyDescent="0.2"/>
    <row r="1920" ht="12.75" x14ac:dyDescent="0.2"/>
    <row r="1921" ht="12.75" x14ac:dyDescent="0.2"/>
    <row r="1922" ht="12.75" x14ac:dyDescent="0.2"/>
    <row r="1923" ht="12.75" x14ac:dyDescent="0.2"/>
    <row r="1924" ht="12.75" x14ac:dyDescent="0.2"/>
    <row r="1925" ht="12.75" x14ac:dyDescent="0.2"/>
    <row r="1926" ht="12.75" x14ac:dyDescent="0.2"/>
    <row r="1927" ht="12.75" x14ac:dyDescent="0.2"/>
    <row r="1928" ht="12.75" x14ac:dyDescent="0.2"/>
    <row r="1929" ht="12.75" x14ac:dyDescent="0.2"/>
    <row r="1930" ht="12.75" x14ac:dyDescent="0.2"/>
    <row r="1931" ht="12.75" x14ac:dyDescent="0.2"/>
    <row r="1932" ht="12.75" x14ac:dyDescent="0.2"/>
    <row r="1933" ht="12.75" x14ac:dyDescent="0.2"/>
    <row r="1934" ht="12.75" x14ac:dyDescent="0.2"/>
    <row r="1935" ht="12.75" x14ac:dyDescent="0.2"/>
    <row r="1936" ht="12.75" x14ac:dyDescent="0.2"/>
    <row r="1937" ht="12.75" x14ac:dyDescent="0.2"/>
    <row r="1938" ht="12.75" x14ac:dyDescent="0.2"/>
    <row r="1939" ht="12.75" x14ac:dyDescent="0.2"/>
    <row r="1940" ht="12.75" x14ac:dyDescent="0.2"/>
    <row r="1941" ht="12.75" x14ac:dyDescent="0.2"/>
    <row r="1942" ht="12.75" x14ac:dyDescent="0.2"/>
    <row r="1943" ht="12.75" x14ac:dyDescent="0.2"/>
    <row r="1944" ht="12.75" x14ac:dyDescent="0.2"/>
    <row r="1945" ht="12.75" x14ac:dyDescent="0.2"/>
    <row r="1946" ht="12.75" x14ac:dyDescent="0.2"/>
    <row r="1947" ht="12.75" x14ac:dyDescent="0.2"/>
    <row r="1948" ht="12.75" x14ac:dyDescent="0.2"/>
    <row r="1949" ht="12.75" x14ac:dyDescent="0.2"/>
    <row r="1950" ht="12.75" x14ac:dyDescent="0.2"/>
    <row r="1951" ht="12.75" x14ac:dyDescent="0.2"/>
    <row r="1952" ht="12.75" x14ac:dyDescent="0.2"/>
    <row r="1953" ht="12.75" x14ac:dyDescent="0.2"/>
    <row r="1954" ht="12.75" x14ac:dyDescent="0.2"/>
    <row r="1955" ht="12.75" x14ac:dyDescent="0.2"/>
    <row r="1956" ht="12.75" x14ac:dyDescent="0.2"/>
    <row r="1957" ht="12.75" x14ac:dyDescent="0.2"/>
    <row r="1958" ht="12.75" x14ac:dyDescent="0.2"/>
    <row r="1959" ht="12.75" x14ac:dyDescent="0.2"/>
    <row r="1960" ht="12.75" x14ac:dyDescent="0.2"/>
    <row r="1961" ht="12.75" x14ac:dyDescent="0.2"/>
    <row r="1962" ht="12.75" x14ac:dyDescent="0.2"/>
    <row r="1963" ht="12.75" x14ac:dyDescent="0.2"/>
    <row r="1964" ht="12.75" x14ac:dyDescent="0.2"/>
    <row r="1965" ht="12.75" x14ac:dyDescent="0.2"/>
    <row r="1966" ht="12.75" x14ac:dyDescent="0.2"/>
    <row r="1967" ht="12.75" x14ac:dyDescent="0.2"/>
    <row r="1968" ht="12.75" x14ac:dyDescent="0.2"/>
    <row r="1969" ht="12.75" x14ac:dyDescent="0.2"/>
    <row r="1970" ht="12.75" x14ac:dyDescent="0.2"/>
    <row r="1971" ht="12.75" x14ac:dyDescent="0.2"/>
    <row r="1972" ht="12.75" x14ac:dyDescent="0.2"/>
    <row r="1973" ht="12.75" x14ac:dyDescent="0.2"/>
    <row r="1974" ht="12.75" x14ac:dyDescent="0.2"/>
    <row r="1975" ht="12.75" x14ac:dyDescent="0.2"/>
    <row r="1976" ht="12.75" x14ac:dyDescent="0.2"/>
    <row r="1977" ht="12.75" x14ac:dyDescent="0.2"/>
    <row r="1978" ht="12.75" x14ac:dyDescent="0.2"/>
    <row r="1979" ht="12.75" x14ac:dyDescent="0.2"/>
    <row r="1980" ht="12.75" x14ac:dyDescent="0.2"/>
    <row r="1981" ht="12.75" x14ac:dyDescent="0.2"/>
    <row r="1982" ht="12.75" x14ac:dyDescent="0.2"/>
    <row r="1983" ht="12.75" x14ac:dyDescent="0.2"/>
    <row r="1984" ht="12.75" x14ac:dyDescent="0.2"/>
    <row r="1985" ht="12.75" x14ac:dyDescent="0.2"/>
    <row r="1986" ht="12.75" x14ac:dyDescent="0.2"/>
    <row r="1987" ht="12.75" x14ac:dyDescent="0.2"/>
    <row r="1988" ht="12.75" x14ac:dyDescent="0.2"/>
    <row r="1989" ht="12.75" x14ac:dyDescent="0.2"/>
    <row r="1990" ht="12.75" x14ac:dyDescent="0.2"/>
    <row r="1991" ht="12.75" x14ac:dyDescent="0.2"/>
    <row r="1992" ht="12.75" x14ac:dyDescent="0.2"/>
    <row r="1993" ht="12.75" x14ac:dyDescent="0.2"/>
    <row r="1994" ht="12.75" x14ac:dyDescent="0.2"/>
    <row r="1995" ht="12.75" x14ac:dyDescent="0.2"/>
    <row r="1996" ht="12.75" x14ac:dyDescent="0.2"/>
    <row r="1997" ht="12.75" x14ac:dyDescent="0.2"/>
    <row r="1998" ht="12.75" x14ac:dyDescent="0.2"/>
    <row r="1999" ht="12.75" x14ac:dyDescent="0.2"/>
    <row r="2000" ht="12.75" x14ac:dyDescent="0.2"/>
    <row r="2001" ht="12.75" x14ac:dyDescent="0.2"/>
    <row r="2002" ht="12.75" x14ac:dyDescent="0.2"/>
    <row r="2003" ht="12.75" x14ac:dyDescent="0.2"/>
    <row r="2004" ht="12.75" x14ac:dyDescent="0.2"/>
    <row r="2005" ht="12.75" x14ac:dyDescent="0.2"/>
    <row r="2006" ht="12.75" x14ac:dyDescent="0.2"/>
    <row r="2007" ht="12.75" x14ac:dyDescent="0.2"/>
    <row r="2008" ht="12.75" x14ac:dyDescent="0.2"/>
    <row r="2009" ht="12.75" x14ac:dyDescent="0.2"/>
    <row r="2010" ht="12.75" x14ac:dyDescent="0.2"/>
    <row r="2011" ht="12.75" x14ac:dyDescent="0.2"/>
    <row r="2012" ht="12.75" x14ac:dyDescent="0.2"/>
    <row r="2013" ht="12.75" x14ac:dyDescent="0.2"/>
    <row r="2014" ht="12.75" x14ac:dyDescent="0.2"/>
    <row r="2015" ht="12.75" x14ac:dyDescent="0.2"/>
    <row r="2016" ht="12.75" x14ac:dyDescent="0.2"/>
    <row r="2017" ht="12.75" x14ac:dyDescent="0.2"/>
    <row r="2018" ht="12.75" x14ac:dyDescent="0.2"/>
    <row r="2019" ht="12.75" x14ac:dyDescent="0.2"/>
    <row r="2020" ht="12.75" x14ac:dyDescent="0.2"/>
    <row r="2021" ht="12.75" x14ac:dyDescent="0.2"/>
    <row r="2022" ht="12.75" x14ac:dyDescent="0.2"/>
    <row r="2023" ht="12.75" x14ac:dyDescent="0.2"/>
    <row r="2024" ht="12.75" x14ac:dyDescent="0.2"/>
    <row r="2025" ht="12.75" x14ac:dyDescent="0.2"/>
    <row r="2026" ht="12.75" x14ac:dyDescent="0.2"/>
    <row r="2027" ht="12.75" x14ac:dyDescent="0.2"/>
    <row r="2028" ht="12.75" x14ac:dyDescent="0.2"/>
    <row r="2029" ht="12.75" x14ac:dyDescent="0.2"/>
    <row r="2030" ht="12.75" x14ac:dyDescent="0.2"/>
    <row r="2031" ht="12.75" x14ac:dyDescent="0.2"/>
    <row r="2032" ht="12.75" x14ac:dyDescent="0.2"/>
    <row r="2033" ht="12.75" x14ac:dyDescent="0.2"/>
    <row r="2034" ht="12.75" x14ac:dyDescent="0.2"/>
    <row r="2035" ht="12.75" x14ac:dyDescent="0.2"/>
    <row r="2036" ht="12.75" x14ac:dyDescent="0.2"/>
    <row r="2037" ht="12.75" x14ac:dyDescent="0.2"/>
    <row r="2038" ht="12.75" x14ac:dyDescent="0.2"/>
    <row r="2039" ht="12.75" x14ac:dyDescent="0.2"/>
    <row r="2040" ht="12.75" x14ac:dyDescent="0.2"/>
    <row r="2041" ht="12.75" x14ac:dyDescent="0.2"/>
    <row r="2042" ht="12.75" x14ac:dyDescent="0.2"/>
    <row r="2043" ht="12.75" x14ac:dyDescent="0.2"/>
    <row r="2044" ht="12.75" x14ac:dyDescent="0.2"/>
    <row r="2045" ht="12.75" x14ac:dyDescent="0.2"/>
    <row r="2046" ht="12.75" x14ac:dyDescent="0.2"/>
    <row r="2047" ht="12.75" x14ac:dyDescent="0.2"/>
    <row r="2048" ht="12.75" x14ac:dyDescent="0.2"/>
    <row r="2049" ht="12.75" x14ac:dyDescent="0.2"/>
    <row r="2050" ht="12.75" x14ac:dyDescent="0.2"/>
    <row r="2051" ht="12.75" x14ac:dyDescent="0.2"/>
    <row r="2052" ht="12.75" x14ac:dyDescent="0.2"/>
    <row r="2053" ht="12.75" x14ac:dyDescent="0.2"/>
    <row r="2054" ht="12.75" x14ac:dyDescent="0.2"/>
    <row r="2055" ht="12.75" x14ac:dyDescent="0.2"/>
    <row r="2056" ht="12.75" x14ac:dyDescent="0.2"/>
    <row r="2057" ht="12.75" x14ac:dyDescent="0.2"/>
    <row r="2058" ht="12.75" x14ac:dyDescent="0.2"/>
    <row r="2059" ht="12.75" x14ac:dyDescent="0.2"/>
    <row r="2060" ht="12.75" x14ac:dyDescent="0.2"/>
    <row r="2061" ht="12.75" x14ac:dyDescent="0.2"/>
    <row r="2062" ht="12.75" x14ac:dyDescent="0.2"/>
    <row r="2063" ht="12.75" x14ac:dyDescent="0.2"/>
    <row r="2064" ht="12.75" x14ac:dyDescent="0.2"/>
    <row r="2065" ht="12.75" x14ac:dyDescent="0.2"/>
    <row r="2066" ht="12.75" x14ac:dyDescent="0.2"/>
    <row r="2067" ht="12.75" x14ac:dyDescent="0.2"/>
    <row r="2068" ht="12.75" x14ac:dyDescent="0.2"/>
    <row r="2069" ht="12.75" x14ac:dyDescent="0.2"/>
    <row r="2070" ht="12.75" x14ac:dyDescent="0.2"/>
    <row r="2071" ht="12.75" x14ac:dyDescent="0.2"/>
    <row r="2072" ht="12.75" x14ac:dyDescent="0.2"/>
    <row r="2073" ht="12.75" x14ac:dyDescent="0.2"/>
    <row r="2074" ht="12.75" x14ac:dyDescent="0.2"/>
    <row r="2075" ht="12.75" x14ac:dyDescent="0.2"/>
    <row r="2076" ht="12.75" x14ac:dyDescent="0.2"/>
    <row r="2077" ht="12.75" x14ac:dyDescent="0.2"/>
    <row r="2078" ht="12.75" x14ac:dyDescent="0.2"/>
    <row r="2079" ht="12.75" x14ac:dyDescent="0.2"/>
    <row r="2080" ht="12.75" x14ac:dyDescent="0.2"/>
    <row r="2081" ht="12.75" x14ac:dyDescent="0.2"/>
    <row r="2082" ht="12.75" x14ac:dyDescent="0.2"/>
    <row r="2083" ht="12.75" x14ac:dyDescent="0.2"/>
    <row r="2084" ht="12.75" x14ac:dyDescent="0.2"/>
    <row r="2085" ht="12.75" x14ac:dyDescent="0.2"/>
    <row r="2086" ht="12.75" x14ac:dyDescent="0.2"/>
    <row r="2087" ht="12.75" x14ac:dyDescent="0.2"/>
    <row r="2088" ht="12.75" x14ac:dyDescent="0.2"/>
    <row r="2089" ht="12.75" x14ac:dyDescent="0.2"/>
    <row r="2090" ht="12.75" x14ac:dyDescent="0.2"/>
    <row r="2091" ht="12.75" x14ac:dyDescent="0.2"/>
    <row r="2092" ht="12.75" x14ac:dyDescent="0.2"/>
    <row r="2093" ht="12.75" x14ac:dyDescent="0.2"/>
    <row r="2094" ht="12.75" x14ac:dyDescent="0.2"/>
    <row r="2095" ht="12.75" x14ac:dyDescent="0.2"/>
    <row r="2096" ht="12.75" x14ac:dyDescent="0.2"/>
    <row r="2097" ht="12.75" x14ac:dyDescent="0.2"/>
    <row r="2098" ht="12.75" x14ac:dyDescent="0.2"/>
    <row r="2099" ht="12.75" x14ac:dyDescent="0.2"/>
    <row r="2100" ht="12.75" x14ac:dyDescent="0.2"/>
    <row r="2101" ht="12.75" x14ac:dyDescent="0.2"/>
    <row r="2102" ht="12.75" x14ac:dyDescent="0.2"/>
    <row r="2103" ht="12.75" x14ac:dyDescent="0.2"/>
    <row r="2104" ht="12.75" x14ac:dyDescent="0.2"/>
    <row r="2105" ht="12.75" x14ac:dyDescent="0.2"/>
    <row r="2106" ht="12.75" x14ac:dyDescent="0.2"/>
    <row r="2107" ht="12.75" x14ac:dyDescent="0.2"/>
    <row r="2108" ht="12.75" x14ac:dyDescent="0.2"/>
    <row r="2109" ht="12.75" x14ac:dyDescent="0.2"/>
    <row r="2110" ht="12.75" x14ac:dyDescent="0.2"/>
    <row r="2111" ht="12.75" x14ac:dyDescent="0.2"/>
    <row r="2112" ht="12.75" x14ac:dyDescent="0.2"/>
    <row r="2113" ht="12.75" x14ac:dyDescent="0.2"/>
    <row r="2114" ht="12.75" x14ac:dyDescent="0.2"/>
    <row r="2115" ht="12.75" x14ac:dyDescent="0.2"/>
    <row r="2116" ht="12.75" x14ac:dyDescent="0.2"/>
    <row r="2117" ht="12.75" x14ac:dyDescent="0.2"/>
    <row r="2118" ht="12.75" x14ac:dyDescent="0.2"/>
    <row r="2119" ht="12.75" x14ac:dyDescent="0.2"/>
    <row r="2120" ht="12.75" x14ac:dyDescent="0.2"/>
    <row r="2121" ht="12.75" x14ac:dyDescent="0.2"/>
    <row r="2122" ht="12.75" x14ac:dyDescent="0.2"/>
    <row r="2123" ht="12.75" x14ac:dyDescent="0.2"/>
    <row r="2124" ht="12.75" x14ac:dyDescent="0.2"/>
    <row r="2125" ht="12.75" x14ac:dyDescent="0.2"/>
    <row r="2126" ht="12.75" x14ac:dyDescent="0.2"/>
    <row r="2127" ht="12.75" x14ac:dyDescent="0.2"/>
    <row r="2128" ht="12.75" x14ac:dyDescent="0.2"/>
    <row r="2129" ht="12.75" x14ac:dyDescent="0.2"/>
    <row r="2130" ht="12.75" x14ac:dyDescent="0.2"/>
    <row r="2131" ht="12.75" x14ac:dyDescent="0.2"/>
    <row r="2132" ht="12.75" x14ac:dyDescent="0.2"/>
    <row r="2133" ht="12.75" x14ac:dyDescent="0.2"/>
    <row r="2134" ht="12.75" x14ac:dyDescent="0.2"/>
    <row r="2135" ht="12.75" x14ac:dyDescent="0.2"/>
    <row r="2136" ht="12.75" x14ac:dyDescent="0.2"/>
    <row r="2137" ht="12.75" x14ac:dyDescent="0.2"/>
    <row r="2138" ht="12.75" x14ac:dyDescent="0.2"/>
    <row r="2139" ht="12.75" x14ac:dyDescent="0.2"/>
    <row r="2140" ht="12.75" x14ac:dyDescent="0.2"/>
    <row r="2141" ht="12.75" x14ac:dyDescent="0.2"/>
    <row r="2142" ht="12.75" x14ac:dyDescent="0.2"/>
    <row r="2143" ht="12.75" x14ac:dyDescent="0.2"/>
    <row r="2144" ht="12.75" x14ac:dyDescent="0.2"/>
    <row r="2145" ht="12.75" x14ac:dyDescent="0.2"/>
    <row r="2146" ht="12.75" x14ac:dyDescent="0.2"/>
    <row r="2147" ht="12.75" x14ac:dyDescent="0.2"/>
    <row r="2148" ht="12.75" x14ac:dyDescent="0.2"/>
    <row r="2149" ht="12.75" x14ac:dyDescent="0.2"/>
    <row r="2150" ht="12.75" x14ac:dyDescent="0.2"/>
    <row r="2151" ht="12.75" x14ac:dyDescent="0.2"/>
    <row r="2152" ht="12.75" x14ac:dyDescent="0.2"/>
    <row r="2153" ht="12.75" x14ac:dyDescent="0.2"/>
    <row r="2154" ht="12.75" x14ac:dyDescent="0.2"/>
    <row r="2155" ht="12.75" x14ac:dyDescent="0.2"/>
    <row r="2156" ht="12.75" x14ac:dyDescent="0.2"/>
    <row r="2157" ht="12.75" x14ac:dyDescent="0.2"/>
    <row r="2158" ht="12.75" x14ac:dyDescent="0.2"/>
    <row r="2159" ht="12.75" x14ac:dyDescent="0.2"/>
    <row r="2160" ht="12.75" x14ac:dyDescent="0.2"/>
    <row r="2161" ht="12.75" x14ac:dyDescent="0.2"/>
    <row r="2162" ht="12.75" x14ac:dyDescent="0.2"/>
    <row r="2163" ht="12.75" x14ac:dyDescent="0.2"/>
    <row r="2164" ht="12.75" x14ac:dyDescent="0.2"/>
    <row r="2165" ht="12.75" x14ac:dyDescent="0.2"/>
    <row r="2166" ht="12.75" x14ac:dyDescent="0.2"/>
    <row r="2167" ht="12.75" x14ac:dyDescent="0.2"/>
    <row r="2168" ht="12.75" x14ac:dyDescent="0.2"/>
    <row r="2169" ht="12.75" x14ac:dyDescent="0.2"/>
    <row r="2170" ht="12.75" x14ac:dyDescent="0.2"/>
    <row r="2171" ht="12.75" x14ac:dyDescent="0.2"/>
    <row r="2172" ht="12.75" x14ac:dyDescent="0.2"/>
    <row r="2173" ht="12.75" x14ac:dyDescent="0.2"/>
    <row r="2174" ht="12.75" x14ac:dyDescent="0.2"/>
    <row r="2175" ht="12.75" x14ac:dyDescent="0.2"/>
    <row r="2176" ht="12.75" x14ac:dyDescent="0.2"/>
    <row r="2177" ht="12.75" x14ac:dyDescent="0.2"/>
    <row r="2178" ht="12.75" x14ac:dyDescent="0.2"/>
    <row r="2179" ht="12.75" x14ac:dyDescent="0.2"/>
    <row r="2180" ht="12.75" x14ac:dyDescent="0.2"/>
    <row r="2181" ht="12.75" x14ac:dyDescent="0.2"/>
    <row r="2182" ht="12.75" x14ac:dyDescent="0.2"/>
    <row r="2183" ht="12.75" x14ac:dyDescent="0.2"/>
    <row r="2184" ht="12.75" x14ac:dyDescent="0.2"/>
    <row r="2185" ht="12.75" x14ac:dyDescent="0.2"/>
    <row r="2186" ht="12.75" x14ac:dyDescent="0.2"/>
    <row r="2187" ht="12.75" x14ac:dyDescent="0.2"/>
    <row r="2188" ht="12.75" x14ac:dyDescent="0.2"/>
    <row r="2189" ht="12.75" x14ac:dyDescent="0.2"/>
    <row r="2190" ht="12.75" x14ac:dyDescent="0.2"/>
    <row r="2191" ht="12.75" x14ac:dyDescent="0.2"/>
    <row r="2192" ht="12.75" x14ac:dyDescent="0.2"/>
    <row r="2193" ht="12.75" x14ac:dyDescent="0.2"/>
    <row r="2194" ht="12.75" x14ac:dyDescent="0.2"/>
    <row r="2195" ht="12.75" x14ac:dyDescent="0.2"/>
    <row r="2196" ht="12.75" x14ac:dyDescent="0.2"/>
    <row r="2197" ht="12.75" x14ac:dyDescent="0.2"/>
    <row r="2198" ht="12.75" x14ac:dyDescent="0.2"/>
    <row r="2199" ht="12.75" x14ac:dyDescent="0.2"/>
    <row r="2200" ht="12.75" x14ac:dyDescent="0.2"/>
    <row r="2201" ht="12.75" x14ac:dyDescent="0.2"/>
    <row r="2202" ht="12.75" x14ac:dyDescent="0.2"/>
    <row r="2203" ht="12.75" x14ac:dyDescent="0.2"/>
    <row r="2204" ht="12.75" x14ac:dyDescent="0.2"/>
    <row r="2205" ht="12.75" x14ac:dyDescent="0.2"/>
    <row r="2206" ht="12.75" x14ac:dyDescent="0.2"/>
    <row r="2207" ht="12.75" x14ac:dyDescent="0.2"/>
    <row r="2208" ht="12.75" x14ac:dyDescent="0.2"/>
    <row r="2209" ht="12.75" x14ac:dyDescent="0.2"/>
    <row r="2210" ht="12.75" x14ac:dyDescent="0.2"/>
    <row r="2211" ht="12.75" x14ac:dyDescent="0.2"/>
    <row r="2212" ht="12.75" x14ac:dyDescent="0.2"/>
    <row r="2213" ht="12.75" x14ac:dyDescent="0.2"/>
    <row r="2214" ht="12.75" x14ac:dyDescent="0.2"/>
    <row r="2215" ht="12.75" x14ac:dyDescent="0.2"/>
    <row r="2216" ht="12.75" x14ac:dyDescent="0.2"/>
    <row r="2217" ht="12.75" x14ac:dyDescent="0.2"/>
    <row r="2218" ht="12.75" x14ac:dyDescent="0.2"/>
    <row r="2219" ht="12.75" x14ac:dyDescent="0.2"/>
    <row r="2220" ht="12.75" x14ac:dyDescent="0.2"/>
    <row r="2221" ht="12.75" x14ac:dyDescent="0.2"/>
    <row r="2222" ht="12.75" x14ac:dyDescent="0.2"/>
    <row r="2223" ht="12.75" x14ac:dyDescent="0.2"/>
    <row r="2224" ht="12.75" x14ac:dyDescent="0.2"/>
    <row r="2225" ht="12.75" x14ac:dyDescent="0.2"/>
    <row r="2226" ht="12.75" x14ac:dyDescent="0.2"/>
    <row r="2227" ht="12.75" x14ac:dyDescent="0.2"/>
    <row r="2228" ht="12.75" x14ac:dyDescent="0.2"/>
    <row r="2229" ht="12.75" x14ac:dyDescent="0.2"/>
    <row r="2230" ht="12.75" x14ac:dyDescent="0.2"/>
    <row r="2231" ht="12.75" x14ac:dyDescent="0.2"/>
    <row r="2232" ht="12.75" x14ac:dyDescent="0.2"/>
    <row r="2233" ht="12.75" x14ac:dyDescent="0.2"/>
    <row r="2234" ht="12.75" x14ac:dyDescent="0.2"/>
    <row r="2235" ht="12.75" x14ac:dyDescent="0.2"/>
    <row r="2236" ht="12.75" x14ac:dyDescent="0.2"/>
    <row r="2237" ht="12.75" x14ac:dyDescent="0.2"/>
    <row r="2238" ht="12.75" x14ac:dyDescent="0.2"/>
    <row r="2239" ht="12.75" x14ac:dyDescent="0.2"/>
    <row r="2240" ht="12.75" x14ac:dyDescent="0.2"/>
    <row r="2241" ht="12.75" x14ac:dyDescent="0.2"/>
    <row r="2242" ht="12.75" x14ac:dyDescent="0.2"/>
    <row r="2243" ht="12.75" x14ac:dyDescent="0.2"/>
    <row r="2244" ht="12.75" x14ac:dyDescent="0.2"/>
    <row r="2245" ht="12.75" x14ac:dyDescent="0.2"/>
    <row r="2246" ht="12.75" x14ac:dyDescent="0.2"/>
    <row r="2247" ht="12.75" x14ac:dyDescent="0.2"/>
    <row r="2248" ht="12.75" x14ac:dyDescent="0.2"/>
    <row r="2249" ht="12.75" x14ac:dyDescent="0.2"/>
    <row r="2250" ht="12.75" x14ac:dyDescent="0.2"/>
    <row r="2251" ht="12.75" x14ac:dyDescent="0.2"/>
    <row r="2252" ht="12.75" x14ac:dyDescent="0.2"/>
    <row r="2253" ht="12.75" x14ac:dyDescent="0.2"/>
    <row r="2254" ht="12.75" x14ac:dyDescent="0.2"/>
    <row r="2255" ht="12.75" x14ac:dyDescent="0.2"/>
    <row r="2256" ht="12.75" x14ac:dyDescent="0.2"/>
    <row r="2257" ht="12.75" x14ac:dyDescent="0.2"/>
    <row r="2258" ht="12.75" x14ac:dyDescent="0.2"/>
    <row r="2259" ht="12.75" x14ac:dyDescent="0.2"/>
    <row r="2260" ht="12.75" x14ac:dyDescent="0.2"/>
    <row r="2261" ht="12.75" x14ac:dyDescent="0.2"/>
    <row r="2262" ht="12.75" x14ac:dyDescent="0.2"/>
    <row r="2263" ht="12.75" x14ac:dyDescent="0.2"/>
    <row r="2264" ht="12.75" x14ac:dyDescent="0.2"/>
    <row r="2265" ht="12.75" x14ac:dyDescent="0.2"/>
    <row r="2266" ht="12.75" x14ac:dyDescent="0.2"/>
    <row r="2267" ht="12.75" x14ac:dyDescent="0.2"/>
    <row r="2268" ht="12.75" x14ac:dyDescent="0.2"/>
    <row r="2269" ht="12.75" x14ac:dyDescent="0.2"/>
    <row r="2270" ht="12.75" x14ac:dyDescent="0.2"/>
    <row r="2271" ht="12.75" x14ac:dyDescent="0.2"/>
    <row r="2272" ht="12.75" x14ac:dyDescent="0.2"/>
    <row r="2273" ht="12.75" x14ac:dyDescent="0.2"/>
    <row r="2274" ht="12.75" x14ac:dyDescent="0.2"/>
    <row r="2275" ht="12.75" x14ac:dyDescent="0.2"/>
    <row r="2276" ht="12.75" x14ac:dyDescent="0.2"/>
    <row r="2277" ht="12.75" x14ac:dyDescent="0.2"/>
    <row r="2278" ht="12.75" x14ac:dyDescent="0.2"/>
    <row r="2279" ht="12.75" x14ac:dyDescent="0.2"/>
    <row r="2280" ht="12.75" x14ac:dyDescent="0.2"/>
    <row r="2281" ht="12.75" x14ac:dyDescent="0.2"/>
    <row r="2282" ht="12.75" x14ac:dyDescent="0.2"/>
    <row r="2283" ht="12.75" x14ac:dyDescent="0.2"/>
    <row r="2284" ht="12.75" x14ac:dyDescent="0.2"/>
    <row r="2285" ht="12.75" x14ac:dyDescent="0.2"/>
    <row r="2286" ht="12.75" x14ac:dyDescent="0.2"/>
    <row r="2287" ht="12.75" x14ac:dyDescent="0.2"/>
    <row r="2288" ht="12.75" x14ac:dyDescent="0.2"/>
    <row r="2289" ht="12.75" x14ac:dyDescent="0.2"/>
    <row r="2290" ht="12.75" x14ac:dyDescent="0.2"/>
    <row r="2291" ht="12.75" x14ac:dyDescent="0.2"/>
    <row r="2292" ht="12.75" x14ac:dyDescent="0.2"/>
    <row r="2293" ht="12.75" x14ac:dyDescent="0.2"/>
    <row r="2294" ht="12.75" x14ac:dyDescent="0.2"/>
    <row r="2295" ht="12.75" x14ac:dyDescent="0.2"/>
    <row r="2296" ht="12.75" x14ac:dyDescent="0.2"/>
    <row r="2297" ht="12.75" x14ac:dyDescent="0.2"/>
    <row r="2298" ht="12.75" x14ac:dyDescent="0.2"/>
    <row r="2299" ht="12.75" x14ac:dyDescent="0.2"/>
    <row r="2300" ht="12.75" x14ac:dyDescent="0.2"/>
    <row r="2301" ht="12.75" x14ac:dyDescent="0.2"/>
    <row r="2302" ht="12.75" x14ac:dyDescent="0.2"/>
    <row r="2303" ht="12.75" x14ac:dyDescent="0.2"/>
    <row r="2304" ht="12.75" x14ac:dyDescent="0.2"/>
    <row r="2305" ht="12.75" x14ac:dyDescent="0.2"/>
    <row r="2306" ht="12.75" x14ac:dyDescent="0.2"/>
    <row r="2307" ht="12.75" x14ac:dyDescent="0.2"/>
    <row r="2308" ht="12.75" x14ac:dyDescent="0.2"/>
    <row r="2309" ht="12.75" x14ac:dyDescent="0.2"/>
    <row r="2310" ht="12.75" x14ac:dyDescent="0.2"/>
    <row r="2311" ht="12.75" x14ac:dyDescent="0.2"/>
    <row r="2312" ht="12.75" x14ac:dyDescent="0.2"/>
    <row r="2313" ht="12.75" x14ac:dyDescent="0.2"/>
    <row r="2314" ht="12.75" x14ac:dyDescent="0.2"/>
    <row r="2315" ht="12.75" x14ac:dyDescent="0.2"/>
    <row r="2316" ht="12.75" x14ac:dyDescent="0.2"/>
    <row r="2317" ht="12.75" x14ac:dyDescent="0.2"/>
    <row r="2318" ht="12.75" x14ac:dyDescent="0.2"/>
    <row r="2319" ht="12.75" x14ac:dyDescent="0.2"/>
    <row r="2320" ht="12.75" x14ac:dyDescent="0.2"/>
    <row r="2321" ht="12.75" x14ac:dyDescent="0.2"/>
    <row r="2322" ht="12.75" x14ac:dyDescent="0.2"/>
    <row r="2323" ht="12.75" x14ac:dyDescent="0.2"/>
    <row r="2324" ht="12.75" x14ac:dyDescent="0.2"/>
    <row r="2325" ht="12.75" x14ac:dyDescent="0.2"/>
    <row r="2326" ht="12.75" x14ac:dyDescent="0.2"/>
    <row r="2327" ht="12.75" x14ac:dyDescent="0.2"/>
    <row r="2328" ht="12.75" x14ac:dyDescent="0.2"/>
    <row r="2329" ht="12.75" x14ac:dyDescent="0.2"/>
    <row r="2330" ht="12.75" x14ac:dyDescent="0.2"/>
    <row r="2331" ht="12.75" x14ac:dyDescent="0.2"/>
    <row r="2332" ht="12.75" x14ac:dyDescent="0.2"/>
    <row r="2333" ht="12.75" x14ac:dyDescent="0.2"/>
    <row r="2334" ht="12.75" x14ac:dyDescent="0.2"/>
    <row r="2335" ht="12.75" x14ac:dyDescent="0.2"/>
    <row r="2336" ht="12.75" x14ac:dyDescent="0.2"/>
    <row r="2337" ht="12.75" x14ac:dyDescent="0.2"/>
    <row r="2338" ht="12.75" x14ac:dyDescent="0.2"/>
    <row r="2339" ht="12.75" x14ac:dyDescent="0.2"/>
    <row r="2340" ht="12.75" x14ac:dyDescent="0.2"/>
    <row r="2341" ht="12.75" x14ac:dyDescent="0.2"/>
    <row r="2342" ht="12.75" x14ac:dyDescent="0.2"/>
    <row r="2343" ht="12.75" x14ac:dyDescent="0.2"/>
    <row r="2344" ht="12.75" x14ac:dyDescent="0.2"/>
    <row r="2345" ht="12.75" x14ac:dyDescent="0.2"/>
    <row r="2346" ht="12.75" x14ac:dyDescent="0.2"/>
    <row r="2347" ht="12.75" x14ac:dyDescent="0.2"/>
    <row r="2348" ht="12.75" x14ac:dyDescent="0.2"/>
    <row r="2349" ht="12.75" x14ac:dyDescent="0.2"/>
    <row r="2350" ht="12.75" x14ac:dyDescent="0.2"/>
    <row r="2351" ht="12.75" x14ac:dyDescent="0.2"/>
    <row r="2352" ht="12.75" x14ac:dyDescent="0.2"/>
    <row r="2353" ht="12.75" x14ac:dyDescent="0.2"/>
    <row r="2354" ht="12.75" x14ac:dyDescent="0.2"/>
    <row r="2355" ht="12.75" x14ac:dyDescent="0.2"/>
    <row r="2356" ht="12.75" x14ac:dyDescent="0.2"/>
    <row r="2357" ht="12.75" x14ac:dyDescent="0.2"/>
    <row r="2358" ht="12.75" x14ac:dyDescent="0.2"/>
    <row r="2359" ht="12.75" x14ac:dyDescent="0.2"/>
    <row r="2360" ht="12.75" x14ac:dyDescent="0.2"/>
    <row r="2361" ht="12.75" x14ac:dyDescent="0.2"/>
    <row r="2362" ht="12.75" x14ac:dyDescent="0.2"/>
    <row r="2363" ht="12.75" x14ac:dyDescent="0.2"/>
    <row r="2364" ht="12.75" x14ac:dyDescent="0.2"/>
    <row r="2365" ht="12.75" x14ac:dyDescent="0.2"/>
    <row r="2366" ht="12.75" x14ac:dyDescent="0.2"/>
    <row r="2367" ht="12.75" x14ac:dyDescent="0.2"/>
    <row r="2368" ht="12.75" x14ac:dyDescent="0.2"/>
    <row r="2369" ht="12.75" x14ac:dyDescent="0.2"/>
    <row r="2370" ht="12.75" x14ac:dyDescent="0.2"/>
    <row r="2371" ht="12.75" x14ac:dyDescent="0.2"/>
    <row r="2372" ht="12.75" x14ac:dyDescent="0.2"/>
    <row r="2373" ht="12.75" x14ac:dyDescent="0.2"/>
    <row r="2374" ht="12.75" x14ac:dyDescent="0.2"/>
    <row r="2375" ht="12.75" x14ac:dyDescent="0.2"/>
    <row r="2376" ht="12.75" x14ac:dyDescent="0.2"/>
    <row r="2377" ht="12.75" x14ac:dyDescent="0.2"/>
    <row r="2378" ht="12.75" x14ac:dyDescent="0.2"/>
    <row r="2379" ht="12.75" x14ac:dyDescent="0.2"/>
    <row r="2380" ht="12.75" x14ac:dyDescent="0.2"/>
    <row r="2381" ht="12.75" x14ac:dyDescent="0.2"/>
    <row r="2382" ht="12.75" x14ac:dyDescent="0.2"/>
    <row r="2383" ht="12.75" x14ac:dyDescent="0.2"/>
    <row r="2384" ht="12.75" x14ac:dyDescent="0.2"/>
    <row r="2385" ht="12.75" x14ac:dyDescent="0.2"/>
    <row r="2386" ht="12.75" x14ac:dyDescent="0.2"/>
    <row r="2387" ht="12.75" x14ac:dyDescent="0.2"/>
    <row r="2388" ht="12.75" x14ac:dyDescent="0.2"/>
    <row r="2389" ht="12.75" x14ac:dyDescent="0.2"/>
    <row r="2390" ht="12.75" x14ac:dyDescent="0.2"/>
    <row r="2391" ht="12.75" x14ac:dyDescent="0.2"/>
    <row r="2392" ht="12.75" x14ac:dyDescent="0.2"/>
    <row r="2393" ht="12.75" x14ac:dyDescent="0.2"/>
    <row r="2394" ht="12.75" x14ac:dyDescent="0.2"/>
    <row r="2395" ht="12.75" x14ac:dyDescent="0.2"/>
    <row r="2396" ht="12.75" x14ac:dyDescent="0.2"/>
    <row r="2397" ht="12.75" x14ac:dyDescent="0.2"/>
    <row r="2398" ht="12.75" x14ac:dyDescent="0.2"/>
    <row r="2399" ht="12.75" x14ac:dyDescent="0.2"/>
    <row r="2400" ht="12.75" x14ac:dyDescent="0.2"/>
    <row r="2401" ht="12.75" x14ac:dyDescent="0.2"/>
    <row r="2402" ht="12.75" x14ac:dyDescent="0.2"/>
    <row r="2403" ht="12.75" x14ac:dyDescent="0.2"/>
    <row r="2404" ht="12.75" x14ac:dyDescent="0.2"/>
    <row r="2405" ht="12.75" x14ac:dyDescent="0.2"/>
    <row r="2406" ht="12.75" x14ac:dyDescent="0.2"/>
    <row r="2407" ht="12.75" x14ac:dyDescent="0.2"/>
    <row r="2408" ht="12.75" x14ac:dyDescent="0.2"/>
    <row r="2409" ht="12.75" x14ac:dyDescent="0.2"/>
    <row r="2410" ht="12.75" x14ac:dyDescent="0.2"/>
    <row r="2411" ht="12.75" x14ac:dyDescent="0.2"/>
    <row r="2412" ht="12.75" x14ac:dyDescent="0.2"/>
    <row r="2413" ht="12.75" x14ac:dyDescent="0.2"/>
    <row r="2414" ht="12.75" x14ac:dyDescent="0.2"/>
    <row r="2415" ht="12.75" x14ac:dyDescent="0.2"/>
    <row r="2416" ht="12.75" x14ac:dyDescent="0.2"/>
    <row r="2417" ht="12.75" x14ac:dyDescent="0.2"/>
    <row r="2418" ht="12.75" x14ac:dyDescent="0.2"/>
    <row r="2419" ht="12.75" x14ac:dyDescent="0.2"/>
    <row r="2420" ht="12.75" x14ac:dyDescent="0.2"/>
    <row r="2421" ht="12.75" x14ac:dyDescent="0.2"/>
    <row r="2422" ht="12.75" x14ac:dyDescent="0.2"/>
    <row r="2423" ht="12.75" x14ac:dyDescent="0.2"/>
    <row r="2424" ht="12.75" x14ac:dyDescent="0.2"/>
    <row r="2425" ht="12.75" x14ac:dyDescent="0.2"/>
    <row r="2426" ht="12.75" x14ac:dyDescent="0.2"/>
    <row r="2427" ht="12.75" x14ac:dyDescent="0.2"/>
    <row r="2428" ht="12.75" x14ac:dyDescent="0.2"/>
    <row r="2429" ht="12.75" x14ac:dyDescent="0.2"/>
    <row r="2430" ht="12.75" x14ac:dyDescent="0.2"/>
    <row r="2431" ht="12.75" x14ac:dyDescent="0.2"/>
    <row r="2432" ht="12.75" x14ac:dyDescent="0.2"/>
    <row r="2433" ht="12.75" x14ac:dyDescent="0.2"/>
    <row r="2434" ht="12.75" x14ac:dyDescent="0.2"/>
    <row r="2435" ht="12.75" x14ac:dyDescent="0.2"/>
    <row r="2436" ht="12.75" x14ac:dyDescent="0.2"/>
    <row r="2437" ht="12.75" x14ac:dyDescent="0.2"/>
    <row r="2438" ht="12.75" x14ac:dyDescent="0.2"/>
    <row r="2439" ht="12.75" x14ac:dyDescent="0.2"/>
    <row r="2440" ht="12.75" x14ac:dyDescent="0.2"/>
    <row r="2441" ht="12.75" x14ac:dyDescent="0.2"/>
    <row r="2442" ht="12.75" x14ac:dyDescent="0.2"/>
    <row r="2443" ht="12.75" x14ac:dyDescent="0.2"/>
    <row r="2444" ht="12.75" x14ac:dyDescent="0.2"/>
    <row r="2445" ht="12.75" x14ac:dyDescent="0.2"/>
    <row r="2446" ht="12.75" x14ac:dyDescent="0.2"/>
    <row r="2447" ht="12.75" x14ac:dyDescent="0.2"/>
    <row r="2448" ht="12.75" x14ac:dyDescent="0.2"/>
    <row r="2449" ht="12.75" x14ac:dyDescent="0.2"/>
    <row r="2450" ht="12.75" x14ac:dyDescent="0.2"/>
    <row r="2451" ht="12.75" x14ac:dyDescent="0.2"/>
    <row r="2452" ht="12.75" x14ac:dyDescent="0.2"/>
    <row r="2453" ht="12.75" x14ac:dyDescent="0.2"/>
    <row r="2454" ht="12.75" x14ac:dyDescent="0.2"/>
    <row r="2455" ht="12.75" x14ac:dyDescent="0.2"/>
    <row r="2456" ht="12.75" x14ac:dyDescent="0.2"/>
    <row r="2457" ht="12.75" x14ac:dyDescent="0.2"/>
    <row r="2458" ht="12.75" x14ac:dyDescent="0.2"/>
    <row r="2459" ht="12.75" x14ac:dyDescent="0.2"/>
    <row r="2460" ht="12.75" x14ac:dyDescent="0.2"/>
    <row r="2461" ht="12.75" x14ac:dyDescent="0.2"/>
    <row r="2462" ht="12.75" x14ac:dyDescent="0.2"/>
    <row r="2463" ht="12.75" x14ac:dyDescent="0.2"/>
    <row r="2464" ht="12.75" x14ac:dyDescent="0.2"/>
    <row r="2465" ht="12.75" x14ac:dyDescent="0.2"/>
    <row r="2466" ht="12.75" x14ac:dyDescent="0.2"/>
    <row r="2467" ht="12.75" x14ac:dyDescent="0.2"/>
    <row r="2468" ht="12.75" x14ac:dyDescent="0.2"/>
    <row r="2469" ht="12.75" x14ac:dyDescent="0.2"/>
    <row r="2470" ht="12.75" x14ac:dyDescent="0.2"/>
    <row r="2471" ht="12.75" x14ac:dyDescent="0.2"/>
    <row r="2472" ht="12.75" x14ac:dyDescent="0.2"/>
    <row r="2473" ht="12.75" x14ac:dyDescent="0.2"/>
    <row r="2474" ht="12.75" x14ac:dyDescent="0.2"/>
    <row r="2475" ht="12.75" x14ac:dyDescent="0.2"/>
    <row r="2476" ht="12.75" x14ac:dyDescent="0.2"/>
    <row r="2477" ht="12.75" x14ac:dyDescent="0.2"/>
    <row r="2478" ht="12.75" x14ac:dyDescent="0.2"/>
    <row r="2479" ht="12.75" x14ac:dyDescent="0.2"/>
    <row r="2480" ht="12.75" x14ac:dyDescent="0.2"/>
    <row r="2481" ht="12.75" x14ac:dyDescent="0.2"/>
    <row r="2482" ht="12.75" x14ac:dyDescent="0.2"/>
    <row r="2483" ht="12.75" x14ac:dyDescent="0.2"/>
    <row r="2484" ht="12.75" x14ac:dyDescent="0.2"/>
    <row r="2485" ht="12.75" x14ac:dyDescent="0.2"/>
    <row r="2486" ht="12.75" x14ac:dyDescent="0.2"/>
    <row r="2487" ht="12.75" x14ac:dyDescent="0.2"/>
    <row r="2488" ht="12.75" x14ac:dyDescent="0.2"/>
    <row r="2489" ht="12.75" x14ac:dyDescent="0.2"/>
    <row r="2490" ht="12.75" x14ac:dyDescent="0.2"/>
    <row r="2491" ht="12.75" x14ac:dyDescent="0.2"/>
    <row r="2492" ht="12.75" x14ac:dyDescent="0.2"/>
    <row r="2493" ht="12.75" x14ac:dyDescent="0.2"/>
    <row r="2494" ht="12.75" x14ac:dyDescent="0.2"/>
    <row r="2495" ht="12.75" x14ac:dyDescent="0.2"/>
    <row r="2496" ht="12.75" x14ac:dyDescent="0.2"/>
    <row r="2497" ht="12.75" x14ac:dyDescent="0.2"/>
    <row r="2498" ht="12.75" x14ac:dyDescent="0.2"/>
    <row r="2499" ht="12.75" x14ac:dyDescent="0.2"/>
    <row r="2500" ht="12.75" x14ac:dyDescent="0.2"/>
    <row r="2501" ht="12.75" x14ac:dyDescent="0.2"/>
    <row r="2502" ht="12.75" x14ac:dyDescent="0.2"/>
    <row r="2503" ht="12.75" x14ac:dyDescent="0.2"/>
    <row r="2504" ht="12.75" x14ac:dyDescent="0.2"/>
    <row r="2505" ht="12.75" x14ac:dyDescent="0.2"/>
    <row r="2506" ht="12.75" x14ac:dyDescent="0.2"/>
    <row r="2507" ht="12.75" x14ac:dyDescent="0.2"/>
    <row r="2508" ht="12.75" x14ac:dyDescent="0.2"/>
    <row r="2509" ht="12.75" x14ac:dyDescent="0.2"/>
    <row r="2510" ht="12.75" x14ac:dyDescent="0.2"/>
    <row r="2511" ht="12.75" x14ac:dyDescent="0.2"/>
    <row r="2512" ht="12.75" x14ac:dyDescent="0.2"/>
    <row r="2513" ht="12.75" x14ac:dyDescent="0.2"/>
    <row r="2514" ht="12.75" x14ac:dyDescent="0.2"/>
    <row r="2515" ht="12.75" x14ac:dyDescent="0.2"/>
    <row r="2516" ht="12.75" x14ac:dyDescent="0.2"/>
    <row r="2517" ht="12.75" x14ac:dyDescent="0.2"/>
    <row r="2518" ht="12.75" x14ac:dyDescent="0.2"/>
    <row r="2519" ht="12.75" x14ac:dyDescent="0.2"/>
    <row r="2520" ht="12.75" x14ac:dyDescent="0.2"/>
    <row r="2521" ht="12.75" x14ac:dyDescent="0.2"/>
    <row r="2522" ht="12.75" x14ac:dyDescent="0.2"/>
    <row r="2523" ht="12.75" x14ac:dyDescent="0.2"/>
    <row r="2524" ht="12.75" x14ac:dyDescent="0.2"/>
    <row r="2525" ht="12.75" x14ac:dyDescent="0.2"/>
    <row r="2526" ht="12.75" x14ac:dyDescent="0.2"/>
    <row r="2527" ht="12.75" x14ac:dyDescent="0.2"/>
    <row r="2528" ht="12.75" x14ac:dyDescent="0.2"/>
    <row r="2529" ht="12.75" x14ac:dyDescent="0.2"/>
    <row r="2530" ht="12.75" x14ac:dyDescent="0.2"/>
    <row r="2531" ht="12.75" x14ac:dyDescent="0.2"/>
    <row r="2532" ht="12.75" x14ac:dyDescent="0.2"/>
    <row r="2533" ht="12.75" x14ac:dyDescent="0.2"/>
    <row r="2534" ht="12.75" x14ac:dyDescent="0.2"/>
    <row r="2535" ht="12.75" x14ac:dyDescent="0.2"/>
    <row r="2536" ht="12.75" x14ac:dyDescent="0.2"/>
    <row r="2537" ht="12.75" x14ac:dyDescent="0.2"/>
    <row r="2538" ht="12.75" x14ac:dyDescent="0.2"/>
    <row r="2539" ht="12.75" x14ac:dyDescent="0.2"/>
    <row r="2540" ht="12.75" x14ac:dyDescent="0.2"/>
    <row r="2541" ht="12.75" x14ac:dyDescent="0.2"/>
    <row r="2542" ht="12.75" x14ac:dyDescent="0.2"/>
    <row r="2543" ht="12.75" x14ac:dyDescent="0.2"/>
    <row r="2544" ht="12.75" x14ac:dyDescent="0.2"/>
    <row r="2545" ht="12.75" x14ac:dyDescent="0.2"/>
    <row r="2546" ht="12.75" x14ac:dyDescent="0.2"/>
    <row r="2547" ht="12.75" x14ac:dyDescent="0.2"/>
    <row r="2548" ht="12.75" x14ac:dyDescent="0.2"/>
    <row r="2549" ht="12.75" x14ac:dyDescent="0.2"/>
    <row r="2550" ht="12.75" x14ac:dyDescent="0.2"/>
    <row r="2551" ht="12.75" x14ac:dyDescent="0.2"/>
    <row r="2552" ht="12.75" x14ac:dyDescent="0.2"/>
    <row r="2553" ht="12.75" x14ac:dyDescent="0.2"/>
    <row r="2554" ht="12.75" x14ac:dyDescent="0.2"/>
    <row r="2555" ht="12.75" x14ac:dyDescent="0.2"/>
    <row r="2556" ht="12.75" x14ac:dyDescent="0.2"/>
    <row r="2557" ht="12.75" x14ac:dyDescent="0.2"/>
    <row r="2558" ht="12.75" x14ac:dyDescent="0.2"/>
    <row r="2559" ht="12.75" x14ac:dyDescent="0.2"/>
    <row r="2560" ht="12.75" x14ac:dyDescent="0.2"/>
    <row r="2561" ht="12.75" x14ac:dyDescent="0.2"/>
    <row r="2562" ht="12.75" x14ac:dyDescent="0.2"/>
    <row r="2563" ht="12.75" x14ac:dyDescent="0.2"/>
    <row r="2564" ht="12.75" x14ac:dyDescent="0.2"/>
    <row r="2565" ht="12.75" x14ac:dyDescent="0.2"/>
    <row r="2566" ht="12.75" x14ac:dyDescent="0.2"/>
    <row r="2567" ht="12.75" x14ac:dyDescent="0.2"/>
    <row r="2568" ht="12.75" x14ac:dyDescent="0.2"/>
    <row r="2569" ht="12.75" x14ac:dyDescent="0.2"/>
    <row r="2570" ht="12.75" x14ac:dyDescent="0.2"/>
    <row r="2571" ht="12.75" x14ac:dyDescent="0.2"/>
    <row r="2572" ht="12.75" x14ac:dyDescent="0.2"/>
    <row r="2573" ht="12.75" x14ac:dyDescent="0.2"/>
    <row r="2574" ht="12.75" x14ac:dyDescent="0.2"/>
    <row r="2575" ht="12.75" x14ac:dyDescent="0.2"/>
    <row r="2576" ht="12.75" x14ac:dyDescent="0.2"/>
    <row r="2577" ht="12.75" x14ac:dyDescent="0.2"/>
    <row r="2578" ht="12.75" x14ac:dyDescent="0.2"/>
    <row r="2579" ht="12.75" x14ac:dyDescent="0.2"/>
    <row r="2580" ht="12.75" x14ac:dyDescent="0.2"/>
    <row r="2581" ht="12.75" x14ac:dyDescent="0.2"/>
    <row r="2582" ht="12.75" x14ac:dyDescent="0.2"/>
    <row r="2583" ht="12.75" x14ac:dyDescent="0.2"/>
    <row r="2584" ht="12.75" x14ac:dyDescent="0.2"/>
    <row r="2585" ht="12.75" x14ac:dyDescent="0.2"/>
    <row r="2586" ht="12.75" x14ac:dyDescent="0.2"/>
    <row r="2587" ht="12.75" x14ac:dyDescent="0.2"/>
    <row r="2588" ht="12.75" x14ac:dyDescent="0.2"/>
    <row r="2589" ht="12.75" x14ac:dyDescent="0.2"/>
    <row r="2590" ht="12.75" x14ac:dyDescent="0.2"/>
    <row r="2591" ht="12.75" x14ac:dyDescent="0.2"/>
    <row r="2592" ht="12.75" x14ac:dyDescent="0.2"/>
    <row r="2593" ht="12.75" x14ac:dyDescent="0.2"/>
    <row r="2594" ht="12.75" x14ac:dyDescent="0.2"/>
    <row r="2595" ht="12.75" x14ac:dyDescent="0.2"/>
    <row r="2596" ht="12.75" x14ac:dyDescent="0.2"/>
    <row r="2597" ht="12.75" x14ac:dyDescent="0.2"/>
    <row r="2598" ht="12.75" x14ac:dyDescent="0.2"/>
    <row r="2599" ht="12.75" x14ac:dyDescent="0.2"/>
    <row r="2600" ht="12.75" x14ac:dyDescent="0.2"/>
    <row r="2601" ht="12.75" x14ac:dyDescent="0.2"/>
    <row r="2602" ht="12.75" x14ac:dyDescent="0.2"/>
    <row r="2603" ht="12.75" x14ac:dyDescent="0.2"/>
    <row r="2604" ht="12.75" x14ac:dyDescent="0.2"/>
    <row r="2605" ht="12.75" x14ac:dyDescent="0.2"/>
    <row r="2606" ht="12.75" x14ac:dyDescent="0.2"/>
    <row r="2607" ht="12.75" x14ac:dyDescent="0.2"/>
    <row r="2608" ht="12.75" x14ac:dyDescent="0.2"/>
    <row r="2609" ht="12.75" x14ac:dyDescent="0.2"/>
    <row r="2610" ht="12.75" x14ac:dyDescent="0.2"/>
    <row r="2611" ht="12.75" x14ac:dyDescent="0.2"/>
    <row r="2612" ht="12.75" x14ac:dyDescent="0.2"/>
    <row r="2613" ht="12.75" x14ac:dyDescent="0.2"/>
    <row r="2614" ht="12.75" x14ac:dyDescent="0.2"/>
    <row r="2615" ht="12.75" x14ac:dyDescent="0.2"/>
    <row r="2616" ht="12.75" x14ac:dyDescent="0.2"/>
    <row r="2617" ht="12.75" x14ac:dyDescent="0.2"/>
    <row r="2618" ht="12.75" x14ac:dyDescent="0.2"/>
    <row r="2619" ht="12.75" x14ac:dyDescent="0.2"/>
    <row r="2620" ht="12.75" x14ac:dyDescent="0.2"/>
    <row r="2621" ht="12.75" x14ac:dyDescent="0.2"/>
    <row r="2622" ht="12.75" x14ac:dyDescent="0.2"/>
    <row r="2623" ht="12.75" x14ac:dyDescent="0.2"/>
    <row r="2624" ht="12.75" x14ac:dyDescent="0.2"/>
    <row r="2625" ht="12.75" x14ac:dyDescent="0.2"/>
    <row r="2626" ht="12.75" x14ac:dyDescent="0.2"/>
    <row r="2627" ht="12.75" x14ac:dyDescent="0.2"/>
    <row r="2628" ht="12.75" x14ac:dyDescent="0.2"/>
    <row r="2629" ht="12.75" x14ac:dyDescent="0.2"/>
    <row r="2630" ht="12.75" x14ac:dyDescent="0.2"/>
    <row r="2631" ht="12.75" x14ac:dyDescent="0.2"/>
    <row r="2632" ht="12.75" x14ac:dyDescent="0.2"/>
    <row r="2633" ht="12.75" x14ac:dyDescent="0.2"/>
    <row r="2634" ht="12.75" x14ac:dyDescent="0.2"/>
    <row r="2635" ht="12.75" x14ac:dyDescent="0.2"/>
    <row r="2636" ht="12.75" x14ac:dyDescent="0.2"/>
    <row r="2637" ht="12.75" x14ac:dyDescent="0.2"/>
    <row r="2638" ht="12.75" x14ac:dyDescent="0.2"/>
    <row r="2639" ht="12.75" x14ac:dyDescent="0.2"/>
    <row r="2640" ht="12.75" x14ac:dyDescent="0.2"/>
    <row r="2641" ht="12.75" x14ac:dyDescent="0.2"/>
    <row r="2642" ht="12.75" x14ac:dyDescent="0.2"/>
    <row r="2643" ht="12.75" x14ac:dyDescent="0.2"/>
    <row r="2644" ht="12.75" x14ac:dyDescent="0.2"/>
    <row r="2645" ht="12.75" x14ac:dyDescent="0.2"/>
    <row r="2646" ht="12.75" x14ac:dyDescent="0.2"/>
    <row r="2647" ht="12.75" x14ac:dyDescent="0.2"/>
    <row r="2648" ht="12.75" x14ac:dyDescent="0.2"/>
    <row r="2649" ht="12.75" x14ac:dyDescent="0.2"/>
    <row r="2650" ht="12.75" x14ac:dyDescent="0.2"/>
    <row r="2651" ht="12.75" x14ac:dyDescent="0.2"/>
    <row r="2652" ht="12.75" x14ac:dyDescent="0.2"/>
    <row r="2653" ht="12.75" x14ac:dyDescent="0.2"/>
    <row r="2654" ht="12.75" x14ac:dyDescent="0.2"/>
    <row r="2655" ht="12.75" x14ac:dyDescent="0.2"/>
    <row r="2656" ht="12.75" x14ac:dyDescent="0.2"/>
    <row r="2657" ht="12.75" x14ac:dyDescent="0.2"/>
    <row r="2658" ht="12.75" x14ac:dyDescent="0.2"/>
    <row r="2659" ht="12.75" x14ac:dyDescent="0.2"/>
    <row r="2660" ht="12.75" x14ac:dyDescent="0.2"/>
    <row r="2661" ht="12.75" x14ac:dyDescent="0.2"/>
    <row r="2662" ht="12.75" x14ac:dyDescent="0.2"/>
    <row r="2663" ht="12.75" x14ac:dyDescent="0.2"/>
    <row r="2664" ht="12.75" x14ac:dyDescent="0.2"/>
    <row r="2665" ht="12.75" x14ac:dyDescent="0.2"/>
    <row r="2666" ht="12.75" x14ac:dyDescent="0.2"/>
    <row r="2667" ht="12.75" x14ac:dyDescent="0.2"/>
    <row r="2668" ht="12.75" x14ac:dyDescent="0.2"/>
    <row r="2669" ht="12.75" x14ac:dyDescent="0.2"/>
    <row r="2670" ht="12.75" x14ac:dyDescent="0.2"/>
    <row r="2671" ht="12.75" x14ac:dyDescent="0.2"/>
    <row r="2672" ht="12.75" x14ac:dyDescent="0.2"/>
    <row r="2673" ht="12.75" x14ac:dyDescent="0.2"/>
    <row r="2674" ht="12.75" x14ac:dyDescent="0.2"/>
    <row r="2675" ht="12.75" x14ac:dyDescent="0.2"/>
    <row r="2676" ht="12.75" x14ac:dyDescent="0.2"/>
    <row r="2677" ht="12.75" x14ac:dyDescent="0.2"/>
    <row r="2678" ht="12.75" x14ac:dyDescent="0.2"/>
    <row r="2679" ht="12.75" x14ac:dyDescent="0.2"/>
    <row r="2680" ht="12.75" x14ac:dyDescent="0.2"/>
    <row r="2681" ht="12.75" x14ac:dyDescent="0.2"/>
    <row r="2682" ht="12.75" x14ac:dyDescent="0.2"/>
    <row r="2683" ht="12.75" x14ac:dyDescent="0.2"/>
    <row r="2684" ht="12.75" x14ac:dyDescent="0.2"/>
    <row r="2685" ht="12.75" x14ac:dyDescent="0.2"/>
    <row r="2686" ht="12.75" x14ac:dyDescent="0.2"/>
    <row r="2687" ht="12.75" x14ac:dyDescent="0.2"/>
    <row r="2688" ht="12.75" x14ac:dyDescent="0.2"/>
    <row r="2689" ht="12.75" x14ac:dyDescent="0.2"/>
    <row r="2690" ht="12.75" x14ac:dyDescent="0.2"/>
    <row r="2691" ht="12.75" x14ac:dyDescent="0.2"/>
    <row r="2692" ht="12.75" x14ac:dyDescent="0.2"/>
    <row r="2693" ht="12.75" x14ac:dyDescent="0.2"/>
    <row r="2694" ht="12.75" x14ac:dyDescent="0.2"/>
    <row r="2695" ht="12.75" x14ac:dyDescent="0.2"/>
    <row r="2696" ht="12.75" x14ac:dyDescent="0.2"/>
    <row r="2697" ht="12.75" x14ac:dyDescent="0.2"/>
    <row r="2698" ht="12.75" x14ac:dyDescent="0.2"/>
    <row r="2699" ht="12.75" x14ac:dyDescent="0.2"/>
    <row r="2700" ht="12.75" x14ac:dyDescent="0.2"/>
    <row r="2701" ht="12.75" x14ac:dyDescent="0.2"/>
    <row r="2702" ht="12.75" x14ac:dyDescent="0.2"/>
    <row r="2703" ht="12.75" x14ac:dyDescent="0.2"/>
    <row r="2704" ht="12.75" x14ac:dyDescent="0.2"/>
    <row r="2705" ht="12.75" x14ac:dyDescent="0.2"/>
    <row r="2706" ht="12.75" x14ac:dyDescent="0.2"/>
    <row r="2707" ht="12.75" x14ac:dyDescent="0.2"/>
    <row r="2708" ht="12.75" x14ac:dyDescent="0.2"/>
    <row r="2709" ht="12.75" x14ac:dyDescent="0.2"/>
    <row r="2710" ht="12.75" x14ac:dyDescent="0.2"/>
    <row r="2711" ht="12.75" x14ac:dyDescent="0.2"/>
    <row r="2712" ht="12.75" x14ac:dyDescent="0.2"/>
    <row r="2713" ht="12.75" x14ac:dyDescent="0.2"/>
    <row r="2714" ht="12.75" x14ac:dyDescent="0.2"/>
    <row r="2715" ht="12.75" x14ac:dyDescent="0.2"/>
    <row r="2716" ht="12.75" x14ac:dyDescent="0.2"/>
    <row r="2717" ht="12.75" x14ac:dyDescent="0.2"/>
    <row r="2718" ht="12.75" x14ac:dyDescent="0.2"/>
    <row r="2719" ht="12.75" x14ac:dyDescent="0.2"/>
    <row r="2720" ht="12.75" x14ac:dyDescent="0.2"/>
    <row r="2721" ht="12.75" x14ac:dyDescent="0.2"/>
    <row r="2722" ht="12.75" x14ac:dyDescent="0.2"/>
    <row r="2723" ht="12.75" x14ac:dyDescent="0.2"/>
    <row r="2724" ht="12.75" x14ac:dyDescent="0.2"/>
    <row r="2725" ht="12.75" x14ac:dyDescent="0.2"/>
    <row r="2726" ht="12.75" x14ac:dyDescent="0.2"/>
    <row r="2727" ht="12.75" x14ac:dyDescent="0.2"/>
    <row r="2728" ht="12.75" x14ac:dyDescent="0.2"/>
    <row r="2729" ht="12.75" x14ac:dyDescent="0.2"/>
    <row r="2730" ht="12.75" x14ac:dyDescent="0.2"/>
    <row r="2731" ht="12.75" x14ac:dyDescent="0.2"/>
    <row r="2732" ht="12.75" x14ac:dyDescent="0.2"/>
    <row r="2733" ht="12.75" x14ac:dyDescent="0.2"/>
    <row r="2734" ht="12.75" x14ac:dyDescent="0.2"/>
    <row r="2735" ht="12.75" x14ac:dyDescent="0.2"/>
    <row r="2736" ht="12.75" x14ac:dyDescent="0.2"/>
    <row r="2737" ht="12.75" x14ac:dyDescent="0.2"/>
    <row r="2738" ht="12.75" x14ac:dyDescent="0.2"/>
    <row r="2739" ht="12.75" x14ac:dyDescent="0.2"/>
    <row r="2740" ht="12.75" x14ac:dyDescent="0.2"/>
    <row r="2741" ht="12.75" x14ac:dyDescent="0.2"/>
    <row r="2742" ht="12.75" x14ac:dyDescent="0.2"/>
    <row r="2743" ht="12.75" x14ac:dyDescent="0.2"/>
    <row r="2744" ht="12.75" x14ac:dyDescent="0.2"/>
    <row r="2745" ht="12.75" x14ac:dyDescent="0.2"/>
    <row r="2746" ht="12.75" x14ac:dyDescent="0.2"/>
    <row r="2747" ht="12.75" x14ac:dyDescent="0.2"/>
    <row r="2748" ht="12.75" x14ac:dyDescent="0.2"/>
    <row r="2749" ht="12.75" x14ac:dyDescent="0.2"/>
    <row r="2750" ht="12.75" x14ac:dyDescent="0.2"/>
    <row r="2751" ht="12.75" x14ac:dyDescent="0.2"/>
    <row r="2752" ht="12.75" x14ac:dyDescent="0.2"/>
    <row r="2753" ht="12.75" x14ac:dyDescent="0.2"/>
    <row r="2754" ht="12.75" x14ac:dyDescent="0.2"/>
    <row r="2755" ht="12.75" x14ac:dyDescent="0.2"/>
    <row r="2756" ht="12.75" x14ac:dyDescent="0.2"/>
    <row r="2757" ht="12.75" x14ac:dyDescent="0.2"/>
    <row r="2758" ht="12.75" x14ac:dyDescent="0.2"/>
    <row r="2759" ht="12.75" x14ac:dyDescent="0.2"/>
    <row r="2760" ht="12.75" x14ac:dyDescent="0.2"/>
    <row r="2761" ht="12.75" x14ac:dyDescent="0.2"/>
    <row r="2762" ht="12.75" x14ac:dyDescent="0.2"/>
    <row r="2763" ht="12.75" x14ac:dyDescent="0.2"/>
    <row r="2764" ht="12.75" x14ac:dyDescent="0.2"/>
    <row r="2765" ht="12.75" x14ac:dyDescent="0.2"/>
    <row r="2766" ht="12.75" x14ac:dyDescent="0.2"/>
    <row r="2767" ht="12.75" x14ac:dyDescent="0.2"/>
    <row r="2768" ht="12.75" x14ac:dyDescent="0.2"/>
    <row r="2769" ht="12.75" x14ac:dyDescent="0.2"/>
    <row r="2770" ht="12.75" x14ac:dyDescent="0.2"/>
    <row r="2771" ht="12.75" x14ac:dyDescent="0.2"/>
    <row r="2772" ht="12.75" x14ac:dyDescent="0.2"/>
    <row r="2773" ht="12.75" x14ac:dyDescent="0.2"/>
    <row r="2774" ht="12.75" x14ac:dyDescent="0.2"/>
    <row r="2775" ht="12.75" x14ac:dyDescent="0.2"/>
    <row r="2776" ht="12.75" x14ac:dyDescent="0.2"/>
    <row r="2777" ht="12.75" x14ac:dyDescent="0.2"/>
    <row r="2778" ht="12.75" x14ac:dyDescent="0.2"/>
    <row r="2779" ht="12.75" x14ac:dyDescent="0.2"/>
    <row r="2780" ht="12.75" x14ac:dyDescent="0.2"/>
    <row r="2781" ht="12.75" x14ac:dyDescent="0.2"/>
    <row r="2782" ht="12.75" x14ac:dyDescent="0.2"/>
    <row r="2783" ht="12.75" x14ac:dyDescent="0.2"/>
    <row r="2784" ht="12.75" x14ac:dyDescent="0.2"/>
    <row r="2785" ht="12.75" x14ac:dyDescent="0.2"/>
    <row r="2786" ht="12.75" x14ac:dyDescent="0.2"/>
    <row r="2787" ht="12.75" x14ac:dyDescent="0.2"/>
    <row r="2788" ht="12.75" x14ac:dyDescent="0.2"/>
    <row r="2789" ht="12.75" x14ac:dyDescent="0.2"/>
    <row r="2790" ht="12.75" x14ac:dyDescent="0.2"/>
    <row r="2791" ht="12.75" x14ac:dyDescent="0.2"/>
    <row r="2792" ht="12.75" x14ac:dyDescent="0.2"/>
    <row r="2793" ht="12.75" x14ac:dyDescent="0.2"/>
    <row r="2794" ht="12.75" x14ac:dyDescent="0.2"/>
    <row r="2795" ht="12.75" x14ac:dyDescent="0.2"/>
    <row r="2796" ht="12.75" x14ac:dyDescent="0.2"/>
    <row r="2797" ht="12.75" x14ac:dyDescent="0.2"/>
    <row r="2798" ht="12.75" x14ac:dyDescent="0.2"/>
    <row r="2799" ht="12.75" x14ac:dyDescent="0.2"/>
    <row r="2800" ht="12.75" x14ac:dyDescent="0.2"/>
    <row r="2801" ht="12.75" x14ac:dyDescent="0.2"/>
    <row r="2802" ht="12.75" x14ac:dyDescent="0.2"/>
    <row r="2803" ht="12.75" x14ac:dyDescent="0.2"/>
    <row r="2804" ht="12.75" x14ac:dyDescent="0.2"/>
    <row r="2805" ht="12.75" x14ac:dyDescent="0.2"/>
    <row r="2806" ht="12.75" x14ac:dyDescent="0.2"/>
    <row r="2807" ht="12.75" x14ac:dyDescent="0.2"/>
    <row r="2808" ht="12.75" x14ac:dyDescent="0.2"/>
    <row r="2809" ht="12.75" x14ac:dyDescent="0.2"/>
    <row r="2810" ht="12.75" x14ac:dyDescent="0.2"/>
    <row r="2811" ht="12.75" x14ac:dyDescent="0.2"/>
    <row r="2812" ht="12.75" x14ac:dyDescent="0.2"/>
    <row r="2813" ht="12.75" x14ac:dyDescent="0.2"/>
    <row r="2814" ht="12.75" x14ac:dyDescent="0.2"/>
    <row r="2815" ht="12.75" x14ac:dyDescent="0.2"/>
    <row r="2816" ht="12.75" x14ac:dyDescent="0.2"/>
    <row r="2817" ht="12.75" x14ac:dyDescent="0.2"/>
    <row r="2818" ht="12.75" x14ac:dyDescent="0.2"/>
    <row r="2819" ht="12.75" x14ac:dyDescent="0.2"/>
    <row r="2820" ht="12.75" x14ac:dyDescent="0.2"/>
    <row r="2821" ht="12.75" x14ac:dyDescent="0.2"/>
    <row r="2822" ht="12.75" x14ac:dyDescent="0.2"/>
    <row r="2823" ht="12.75" x14ac:dyDescent="0.2"/>
    <row r="2824" ht="12.75" x14ac:dyDescent="0.2"/>
    <row r="2825" ht="12.75" x14ac:dyDescent="0.2"/>
    <row r="2826" ht="12.75" x14ac:dyDescent="0.2"/>
    <row r="2827" ht="12.75" x14ac:dyDescent="0.2"/>
    <row r="2828" ht="12.75" x14ac:dyDescent="0.2"/>
    <row r="2829" ht="12.75" x14ac:dyDescent="0.2"/>
    <row r="2830" ht="12.75" x14ac:dyDescent="0.2"/>
    <row r="2831" ht="12.75" x14ac:dyDescent="0.2"/>
    <row r="2832" ht="12.75" x14ac:dyDescent="0.2"/>
    <row r="2833" ht="12.75" x14ac:dyDescent="0.2"/>
    <row r="2834" ht="12.75" x14ac:dyDescent="0.2"/>
    <row r="2835" ht="12.75" x14ac:dyDescent="0.2"/>
    <row r="2836" ht="12.75" x14ac:dyDescent="0.2"/>
    <row r="2837" ht="12.75" x14ac:dyDescent="0.2"/>
    <row r="2838" ht="12.75" x14ac:dyDescent="0.2"/>
    <row r="2839" ht="12.75" x14ac:dyDescent="0.2"/>
    <row r="2840" ht="12.75" x14ac:dyDescent="0.2"/>
    <row r="2841" ht="12.75" x14ac:dyDescent="0.2"/>
    <row r="2842" ht="12.75" x14ac:dyDescent="0.2"/>
    <row r="2843" ht="12.75" x14ac:dyDescent="0.2"/>
    <row r="2844" ht="12.75" x14ac:dyDescent="0.2"/>
    <row r="2845" ht="12.75" x14ac:dyDescent="0.2"/>
    <row r="2846" ht="12.75" x14ac:dyDescent="0.2"/>
    <row r="2847" ht="12.75" x14ac:dyDescent="0.2"/>
    <row r="2848" ht="12.75" x14ac:dyDescent="0.2"/>
    <row r="2849" ht="12.75" x14ac:dyDescent="0.2"/>
    <row r="2850" ht="12.75" x14ac:dyDescent="0.2"/>
    <row r="2851" ht="12.75" x14ac:dyDescent="0.2"/>
    <row r="2852" ht="12.75" x14ac:dyDescent="0.2"/>
    <row r="2853" ht="12.75" x14ac:dyDescent="0.2"/>
    <row r="2854" ht="12.75" x14ac:dyDescent="0.2"/>
    <row r="2855" ht="12.75" x14ac:dyDescent="0.2"/>
    <row r="2856" ht="12.75" x14ac:dyDescent="0.2"/>
    <row r="2857" ht="12.75" x14ac:dyDescent="0.2"/>
    <row r="2858" ht="12.75" x14ac:dyDescent="0.2"/>
    <row r="2859" ht="12.75" x14ac:dyDescent="0.2"/>
    <row r="2860" ht="12.75" x14ac:dyDescent="0.2"/>
    <row r="2861" ht="12.75" x14ac:dyDescent="0.2"/>
    <row r="2862" ht="12.75" x14ac:dyDescent="0.2"/>
    <row r="2863" ht="12.75" x14ac:dyDescent="0.2"/>
    <row r="2864" ht="12.75" x14ac:dyDescent="0.2"/>
    <row r="2865" ht="12.75" x14ac:dyDescent="0.2"/>
    <row r="2866" ht="12.75" x14ac:dyDescent="0.2"/>
    <row r="2867" ht="12.75" x14ac:dyDescent="0.2"/>
    <row r="2868" ht="12.75" x14ac:dyDescent="0.2"/>
    <row r="2869" ht="12.75" x14ac:dyDescent="0.2"/>
    <row r="2870" ht="12.75" x14ac:dyDescent="0.2"/>
    <row r="2871" ht="12.75" x14ac:dyDescent="0.2"/>
    <row r="2872" ht="12.75" x14ac:dyDescent="0.2"/>
    <row r="2873" ht="12.75" x14ac:dyDescent="0.2"/>
    <row r="2874" ht="12.75" x14ac:dyDescent="0.2"/>
    <row r="2875" ht="12.75" x14ac:dyDescent="0.2"/>
    <row r="2876" ht="12.75" x14ac:dyDescent="0.2"/>
    <row r="2877" ht="12.75" x14ac:dyDescent="0.2"/>
    <row r="2878" ht="12.75" x14ac:dyDescent="0.2"/>
    <row r="2879" ht="12.75" x14ac:dyDescent="0.2"/>
    <row r="2880" ht="12.75" x14ac:dyDescent="0.2"/>
    <row r="2881" ht="12.75" x14ac:dyDescent="0.2"/>
    <row r="2882" ht="12.75" x14ac:dyDescent="0.2"/>
    <row r="2883" ht="12.75" x14ac:dyDescent="0.2"/>
    <row r="2884" ht="12.75" x14ac:dyDescent="0.2"/>
    <row r="2885" ht="12.75" x14ac:dyDescent="0.2"/>
    <row r="2886" ht="12.75" x14ac:dyDescent="0.2"/>
    <row r="2887" ht="12.75" x14ac:dyDescent="0.2"/>
    <row r="2888" ht="12.75" x14ac:dyDescent="0.2"/>
    <row r="2889" ht="12.75" x14ac:dyDescent="0.2"/>
    <row r="2890" ht="12.75" x14ac:dyDescent="0.2"/>
    <row r="2891" ht="12.75" x14ac:dyDescent="0.2"/>
    <row r="2892" ht="12.75" x14ac:dyDescent="0.2"/>
    <row r="2893" ht="12.75" x14ac:dyDescent="0.2"/>
    <row r="2894" ht="12.75" x14ac:dyDescent="0.2"/>
    <row r="2895" ht="12.75" x14ac:dyDescent="0.2"/>
    <row r="2896" ht="12.75" x14ac:dyDescent="0.2"/>
    <row r="2897" ht="12.75" x14ac:dyDescent="0.2"/>
    <row r="2898" ht="12.75" x14ac:dyDescent="0.2"/>
    <row r="2899" ht="12.75" x14ac:dyDescent="0.2"/>
    <row r="2900" ht="12.75" x14ac:dyDescent="0.2"/>
    <row r="2901" ht="12.75" x14ac:dyDescent="0.2"/>
    <row r="2902" ht="12.75" x14ac:dyDescent="0.2"/>
    <row r="2903" ht="12.75" x14ac:dyDescent="0.2"/>
    <row r="2904" ht="12.75" x14ac:dyDescent="0.2"/>
    <row r="2905" ht="12.75" x14ac:dyDescent="0.2"/>
    <row r="2906" ht="12.75" x14ac:dyDescent="0.2"/>
    <row r="2907" ht="12.75" x14ac:dyDescent="0.2"/>
    <row r="2908" ht="12.75" x14ac:dyDescent="0.2"/>
    <row r="2909" ht="12.75" x14ac:dyDescent="0.2"/>
    <row r="2910" ht="12.75" x14ac:dyDescent="0.2"/>
    <row r="2911" ht="12.75" x14ac:dyDescent="0.2"/>
    <row r="2912" ht="12.75" x14ac:dyDescent="0.2"/>
    <row r="2913" ht="12.75" x14ac:dyDescent="0.2"/>
    <row r="2914" ht="12.75" x14ac:dyDescent="0.2"/>
    <row r="2915" ht="12.75" x14ac:dyDescent="0.2"/>
    <row r="2916" ht="12.75" x14ac:dyDescent="0.2"/>
    <row r="2917" ht="12.75" x14ac:dyDescent="0.2"/>
    <row r="2918" ht="12.75" x14ac:dyDescent="0.2"/>
    <row r="2919" ht="12.75" x14ac:dyDescent="0.2"/>
    <row r="2920" ht="12.75" x14ac:dyDescent="0.2"/>
    <row r="2921" ht="12.75" x14ac:dyDescent="0.2"/>
    <row r="2922" ht="12.75" x14ac:dyDescent="0.2"/>
    <row r="2923" ht="12.75" x14ac:dyDescent="0.2"/>
    <row r="2924" ht="12.75" x14ac:dyDescent="0.2"/>
    <row r="2925" ht="12.75" x14ac:dyDescent="0.2"/>
    <row r="2926" ht="12.75" x14ac:dyDescent="0.2"/>
    <row r="2927" ht="12.75" x14ac:dyDescent="0.2"/>
    <row r="2928" ht="12.75" x14ac:dyDescent="0.2"/>
    <row r="2929" ht="12.75" x14ac:dyDescent="0.2"/>
    <row r="2930" ht="12.75" x14ac:dyDescent="0.2"/>
    <row r="2931" ht="12.75" x14ac:dyDescent="0.2"/>
    <row r="2932" ht="12.75" x14ac:dyDescent="0.2"/>
    <row r="2933" ht="12.75" x14ac:dyDescent="0.2"/>
    <row r="2934" ht="12.75" x14ac:dyDescent="0.2"/>
    <row r="2935" ht="12.75" x14ac:dyDescent="0.2"/>
    <row r="2936" ht="12.75" x14ac:dyDescent="0.2"/>
    <row r="2937" ht="12.75" x14ac:dyDescent="0.2"/>
    <row r="2938" ht="12.75" x14ac:dyDescent="0.2"/>
    <row r="2939" ht="12.75" x14ac:dyDescent="0.2"/>
    <row r="2940" ht="12.75" x14ac:dyDescent="0.2"/>
    <row r="2941" ht="12.75" x14ac:dyDescent="0.2"/>
    <row r="2942" ht="12.75" x14ac:dyDescent="0.2"/>
    <row r="2943" ht="12.75" x14ac:dyDescent="0.2"/>
    <row r="2944" ht="12.75" x14ac:dyDescent="0.2"/>
    <row r="2945" ht="12.75" x14ac:dyDescent="0.2"/>
    <row r="2946" ht="12.75" x14ac:dyDescent="0.2"/>
    <row r="2947" ht="12.75" x14ac:dyDescent="0.2"/>
    <row r="2948" ht="12.75" x14ac:dyDescent="0.2"/>
    <row r="2949" ht="12.75" x14ac:dyDescent="0.2"/>
    <row r="2950" ht="12.75" x14ac:dyDescent="0.2"/>
    <row r="2951" ht="12.75" x14ac:dyDescent="0.2"/>
    <row r="2952" ht="12.75" x14ac:dyDescent="0.2"/>
    <row r="2953" ht="12.75" x14ac:dyDescent="0.2"/>
    <row r="2954" ht="12.75" x14ac:dyDescent="0.2"/>
    <row r="2955" ht="12.75" x14ac:dyDescent="0.2"/>
    <row r="2956" ht="12.75" x14ac:dyDescent="0.2"/>
    <row r="2957" ht="12.75" x14ac:dyDescent="0.2"/>
    <row r="2958" ht="12.75" x14ac:dyDescent="0.2"/>
    <row r="2959" ht="12.75" x14ac:dyDescent="0.2"/>
    <row r="2960" ht="12.75" x14ac:dyDescent="0.2"/>
    <row r="2961" ht="12.75" x14ac:dyDescent="0.2"/>
    <row r="2962" ht="12.75" x14ac:dyDescent="0.2"/>
    <row r="2963" ht="12.75" x14ac:dyDescent="0.2"/>
    <row r="2964" ht="12.75" x14ac:dyDescent="0.2"/>
    <row r="2965" ht="12.75" x14ac:dyDescent="0.2"/>
    <row r="2966" ht="12.75" x14ac:dyDescent="0.2"/>
    <row r="2967" ht="12.75" x14ac:dyDescent="0.2"/>
    <row r="2968" ht="12.75" x14ac:dyDescent="0.2"/>
    <row r="2969" ht="12.75" x14ac:dyDescent="0.2"/>
    <row r="2970" ht="12.75" x14ac:dyDescent="0.2"/>
    <row r="2971" ht="12.75" x14ac:dyDescent="0.2"/>
    <row r="2972" ht="12.75" x14ac:dyDescent="0.2"/>
    <row r="2973" ht="12.75" x14ac:dyDescent="0.2"/>
    <row r="2974" ht="12.75" x14ac:dyDescent="0.2"/>
    <row r="2975" ht="12.75" x14ac:dyDescent="0.2"/>
    <row r="2976" ht="12.75" x14ac:dyDescent="0.2"/>
    <row r="2977" ht="12.75" x14ac:dyDescent="0.2"/>
    <row r="2978" ht="12.75" x14ac:dyDescent="0.2"/>
    <row r="2979" ht="12.75" x14ac:dyDescent="0.2"/>
    <row r="2980" ht="12.75" x14ac:dyDescent="0.2"/>
    <row r="2981" ht="12.75" x14ac:dyDescent="0.2"/>
    <row r="2982" ht="12.75" x14ac:dyDescent="0.2"/>
    <row r="2983" ht="12.75" x14ac:dyDescent="0.2"/>
    <row r="2984" ht="12.75" x14ac:dyDescent="0.2"/>
    <row r="2985" ht="12.75" x14ac:dyDescent="0.2"/>
    <row r="2986" ht="12.75" x14ac:dyDescent="0.2"/>
    <row r="2987" ht="12.75" x14ac:dyDescent="0.2"/>
    <row r="2988" ht="12.75" x14ac:dyDescent="0.2"/>
    <row r="2989" ht="12.75" x14ac:dyDescent="0.2"/>
    <row r="2990" ht="12.75" x14ac:dyDescent="0.2"/>
    <row r="2991" ht="12.75" x14ac:dyDescent="0.2"/>
    <row r="2992" ht="12.75" x14ac:dyDescent="0.2"/>
    <row r="2993" ht="12.75" x14ac:dyDescent="0.2"/>
    <row r="2994" ht="12.75" x14ac:dyDescent="0.2"/>
    <row r="2995" ht="12.75" x14ac:dyDescent="0.2"/>
    <row r="2996" ht="12.75" x14ac:dyDescent="0.2"/>
    <row r="2997" ht="12.75" x14ac:dyDescent="0.2"/>
    <row r="2998" ht="12.75" x14ac:dyDescent="0.2"/>
    <row r="2999" ht="12.75" x14ac:dyDescent="0.2"/>
    <row r="3000" ht="12.75" x14ac:dyDescent="0.2"/>
    <row r="3001" ht="12.75" x14ac:dyDescent="0.2"/>
    <row r="3002" ht="12.75" x14ac:dyDescent="0.2"/>
    <row r="3003" ht="12.75" x14ac:dyDescent="0.2"/>
    <row r="3004" ht="12.75" x14ac:dyDescent="0.2"/>
    <row r="3005" ht="12.75" x14ac:dyDescent="0.2"/>
    <row r="3006" ht="12.75" x14ac:dyDescent="0.2"/>
    <row r="3007" ht="12.75" x14ac:dyDescent="0.2"/>
    <row r="3008" ht="12.75" x14ac:dyDescent="0.2"/>
    <row r="3009" ht="12.75" x14ac:dyDescent="0.2"/>
    <row r="3010" ht="12.75" x14ac:dyDescent="0.2"/>
    <row r="3011" ht="12.75" x14ac:dyDescent="0.2"/>
    <row r="3012" ht="12.75" x14ac:dyDescent="0.2"/>
    <row r="3013" ht="12.75" x14ac:dyDescent="0.2"/>
    <row r="3014" ht="12.75" x14ac:dyDescent="0.2"/>
    <row r="3015" ht="12.75" x14ac:dyDescent="0.2"/>
    <row r="3016" ht="12.75" x14ac:dyDescent="0.2"/>
    <row r="3017" ht="12.75" x14ac:dyDescent="0.2"/>
    <row r="3018" ht="12.75" x14ac:dyDescent="0.2"/>
    <row r="3019" ht="12.75" x14ac:dyDescent="0.2"/>
    <row r="3020" ht="12.75" x14ac:dyDescent="0.2"/>
    <row r="3021" ht="12.75" x14ac:dyDescent="0.2"/>
    <row r="3022" ht="12.75" x14ac:dyDescent="0.2"/>
    <row r="3023" ht="12.75" x14ac:dyDescent="0.2"/>
    <row r="3024" ht="12.75" x14ac:dyDescent="0.2"/>
    <row r="3025" ht="12.75" x14ac:dyDescent="0.2"/>
    <row r="3026" ht="12.75" x14ac:dyDescent="0.2"/>
    <row r="3027" ht="12.75" x14ac:dyDescent="0.2"/>
    <row r="3028" ht="12.75" x14ac:dyDescent="0.2"/>
    <row r="3029" ht="12.75" x14ac:dyDescent="0.2"/>
    <row r="3030" ht="12.75" x14ac:dyDescent="0.2"/>
    <row r="3031" ht="12.75" x14ac:dyDescent="0.2"/>
    <row r="3032" ht="12.75" x14ac:dyDescent="0.2"/>
    <row r="3033" ht="12.75" x14ac:dyDescent="0.2"/>
    <row r="3034" ht="12.75" x14ac:dyDescent="0.2"/>
    <row r="3035" ht="12.75" x14ac:dyDescent="0.2"/>
    <row r="3036" ht="12.75" x14ac:dyDescent="0.2"/>
    <row r="3037" ht="12.75" x14ac:dyDescent="0.2"/>
    <row r="3038" ht="12.75" x14ac:dyDescent="0.2"/>
    <row r="3039" ht="12.75" x14ac:dyDescent="0.2"/>
    <row r="3040" ht="12.75" x14ac:dyDescent="0.2"/>
    <row r="3041" ht="12.75" x14ac:dyDescent="0.2"/>
    <row r="3042" ht="12.75" x14ac:dyDescent="0.2"/>
    <row r="3043" ht="12.75" x14ac:dyDescent="0.2"/>
    <row r="3044" ht="12.75" x14ac:dyDescent="0.2"/>
    <row r="3045" ht="12.75" x14ac:dyDescent="0.2"/>
    <row r="3046" ht="12.75" x14ac:dyDescent="0.2"/>
    <row r="3047" ht="12.75" x14ac:dyDescent="0.2"/>
    <row r="3048" ht="12.75" x14ac:dyDescent="0.2"/>
    <row r="3049" ht="12.75" x14ac:dyDescent="0.2"/>
    <row r="3050" ht="12.75" x14ac:dyDescent="0.2"/>
    <row r="3051" ht="12.75" x14ac:dyDescent="0.2"/>
    <row r="3052" ht="12.75" x14ac:dyDescent="0.2"/>
    <row r="3053" ht="12.75" x14ac:dyDescent="0.2"/>
    <row r="3054" ht="12.75" x14ac:dyDescent="0.2"/>
    <row r="3055" ht="12.75" x14ac:dyDescent="0.2"/>
    <row r="3056" ht="12.75" x14ac:dyDescent="0.2"/>
    <row r="3057" ht="12.75" x14ac:dyDescent="0.2"/>
    <row r="3058" ht="12.75" x14ac:dyDescent="0.2"/>
    <row r="3059" ht="12.75" x14ac:dyDescent="0.2"/>
    <row r="3060" ht="12.75" x14ac:dyDescent="0.2"/>
    <row r="3061" ht="12.75" x14ac:dyDescent="0.2"/>
    <row r="3062" ht="12.75" x14ac:dyDescent="0.2"/>
    <row r="3063" ht="12.75" x14ac:dyDescent="0.2"/>
    <row r="3064" ht="12.75" x14ac:dyDescent="0.2"/>
    <row r="3065" ht="12.75" x14ac:dyDescent="0.2"/>
    <row r="3066" ht="12.75" x14ac:dyDescent="0.2"/>
    <row r="3067" ht="12.75" x14ac:dyDescent="0.2"/>
    <row r="3068" ht="12.75" x14ac:dyDescent="0.2"/>
    <row r="3069" ht="12.75" x14ac:dyDescent="0.2"/>
    <row r="3070" ht="12.75" x14ac:dyDescent="0.2"/>
    <row r="3071" ht="12.75" x14ac:dyDescent="0.2"/>
    <row r="3072" ht="12.75" x14ac:dyDescent="0.2"/>
    <row r="3073" ht="12.75" x14ac:dyDescent="0.2"/>
    <row r="3074" ht="12.75" x14ac:dyDescent="0.2"/>
    <row r="3075" ht="12.75" x14ac:dyDescent="0.2"/>
    <row r="3076" ht="12.75" x14ac:dyDescent="0.2"/>
    <row r="3077" ht="12.75" x14ac:dyDescent="0.2"/>
    <row r="3078" ht="12.75" x14ac:dyDescent="0.2"/>
    <row r="3079" ht="12.75" x14ac:dyDescent="0.2"/>
    <row r="3080" ht="12.75" x14ac:dyDescent="0.2"/>
    <row r="3081" ht="12.75" x14ac:dyDescent="0.2"/>
    <row r="3082" ht="12.75" x14ac:dyDescent="0.2"/>
    <row r="3083" ht="12.75" x14ac:dyDescent="0.2"/>
    <row r="3084" ht="12.75" x14ac:dyDescent="0.2"/>
    <row r="3085" ht="12.75" x14ac:dyDescent="0.2"/>
    <row r="3086" ht="12.75" x14ac:dyDescent="0.2"/>
    <row r="3087" ht="12.75" x14ac:dyDescent="0.2"/>
    <row r="3088" ht="12.75" x14ac:dyDescent="0.2"/>
    <row r="3089" ht="12.75" x14ac:dyDescent="0.2"/>
    <row r="3090" ht="12.75" x14ac:dyDescent="0.2"/>
    <row r="3091" ht="12.75" x14ac:dyDescent="0.2"/>
    <row r="3092" ht="12.75" x14ac:dyDescent="0.2"/>
    <row r="3093" ht="12.75" x14ac:dyDescent="0.2"/>
    <row r="3094" ht="12.75" x14ac:dyDescent="0.2"/>
    <row r="3095" ht="12.75" x14ac:dyDescent="0.2"/>
    <row r="3096" ht="12.75" x14ac:dyDescent="0.2"/>
    <row r="3097" ht="12.75" x14ac:dyDescent="0.2"/>
    <row r="3098" ht="12.75" x14ac:dyDescent="0.2"/>
    <row r="3099" ht="12.75" x14ac:dyDescent="0.2"/>
    <row r="3100" ht="12.75" x14ac:dyDescent="0.2"/>
    <row r="3101" ht="12.75" x14ac:dyDescent="0.2"/>
    <row r="3102" ht="12.75" x14ac:dyDescent="0.2"/>
    <row r="3103" ht="12.75" x14ac:dyDescent="0.2"/>
    <row r="3104" ht="12.75" x14ac:dyDescent="0.2"/>
    <row r="3105" ht="12.75" x14ac:dyDescent="0.2"/>
    <row r="3106" ht="12.75" x14ac:dyDescent="0.2"/>
    <row r="3107" ht="12.75" x14ac:dyDescent="0.2"/>
    <row r="3108" ht="12.75" x14ac:dyDescent="0.2"/>
    <row r="3109" ht="12.75" x14ac:dyDescent="0.2"/>
    <row r="3110" ht="12.75" x14ac:dyDescent="0.2"/>
    <row r="3111" ht="12.75" x14ac:dyDescent="0.2"/>
    <row r="3112" ht="12.75" x14ac:dyDescent="0.2"/>
    <row r="3113" ht="12.75" x14ac:dyDescent="0.2"/>
    <row r="3114" ht="12.75" x14ac:dyDescent="0.2"/>
    <row r="3115" ht="12.75" x14ac:dyDescent="0.2"/>
    <row r="3116" ht="12.75" x14ac:dyDescent="0.2"/>
    <row r="3117" ht="12.75" x14ac:dyDescent="0.2"/>
    <row r="3118" ht="12.75" x14ac:dyDescent="0.2"/>
    <row r="3119" ht="12.75" x14ac:dyDescent="0.2"/>
    <row r="3120" ht="12.75" x14ac:dyDescent="0.2"/>
    <row r="3121" ht="12.75" x14ac:dyDescent="0.2"/>
    <row r="3122" ht="12.75" x14ac:dyDescent="0.2"/>
    <row r="3123" ht="12.75" x14ac:dyDescent="0.2"/>
    <row r="3124" ht="12.75" x14ac:dyDescent="0.2"/>
    <row r="3125" ht="12.75" x14ac:dyDescent="0.2"/>
    <row r="3126" ht="12.75" x14ac:dyDescent="0.2"/>
    <row r="3127" ht="12.75" x14ac:dyDescent="0.2"/>
    <row r="3128" ht="12.75" x14ac:dyDescent="0.2"/>
    <row r="3129" ht="12.75" x14ac:dyDescent="0.2"/>
    <row r="3130" ht="12.75" x14ac:dyDescent="0.2"/>
    <row r="3131" ht="12.75" x14ac:dyDescent="0.2"/>
    <row r="3132" ht="12.75" x14ac:dyDescent="0.2"/>
    <row r="3133" ht="12.75" x14ac:dyDescent="0.2"/>
    <row r="3134" ht="12.75" x14ac:dyDescent="0.2"/>
    <row r="3135" ht="12.75" x14ac:dyDescent="0.2"/>
    <row r="3136" ht="12.75" x14ac:dyDescent="0.2"/>
    <row r="3137" ht="12.75" x14ac:dyDescent="0.2"/>
    <row r="3138" ht="12.75" x14ac:dyDescent="0.2"/>
    <row r="3139" ht="12.75" x14ac:dyDescent="0.2"/>
    <row r="3140" ht="12.75" x14ac:dyDescent="0.2"/>
    <row r="3141" ht="12.75" x14ac:dyDescent="0.2"/>
    <row r="3142" ht="12.75" x14ac:dyDescent="0.2"/>
    <row r="3143" ht="12.75" x14ac:dyDescent="0.2"/>
    <row r="3144" ht="12.75" x14ac:dyDescent="0.2"/>
    <row r="3145" ht="12.75" x14ac:dyDescent="0.2"/>
    <row r="3146" ht="12.75" x14ac:dyDescent="0.2"/>
    <row r="3147" ht="12.75" x14ac:dyDescent="0.2"/>
    <row r="3148" ht="12.75" x14ac:dyDescent="0.2"/>
    <row r="3149" ht="12.75" x14ac:dyDescent="0.2"/>
    <row r="3150" ht="12.75" x14ac:dyDescent="0.2"/>
    <row r="3151" ht="12.75" x14ac:dyDescent="0.2"/>
    <row r="3152" ht="12.75" x14ac:dyDescent="0.2"/>
    <row r="3153" ht="12.75" x14ac:dyDescent="0.2"/>
    <row r="3154" ht="12.75" x14ac:dyDescent="0.2"/>
    <row r="3155" ht="12.75" x14ac:dyDescent="0.2"/>
    <row r="3156" ht="12.75" x14ac:dyDescent="0.2"/>
    <row r="3157" ht="12.75" x14ac:dyDescent="0.2"/>
    <row r="3158" ht="12.75" x14ac:dyDescent="0.2"/>
    <row r="3159" ht="12.75" x14ac:dyDescent="0.2"/>
    <row r="3160" ht="12.75" x14ac:dyDescent="0.2"/>
    <row r="3161" ht="12.75" x14ac:dyDescent="0.2"/>
    <row r="3162" ht="12.75" x14ac:dyDescent="0.2"/>
    <row r="3163" ht="12.75" x14ac:dyDescent="0.2"/>
    <row r="3164" ht="12.75" x14ac:dyDescent="0.2"/>
    <row r="3165" ht="12.75" x14ac:dyDescent="0.2"/>
    <row r="3166" ht="12.75" x14ac:dyDescent="0.2"/>
    <row r="3167" ht="12.75" x14ac:dyDescent="0.2"/>
    <row r="3168" ht="12.75" x14ac:dyDescent="0.2"/>
    <row r="3169" ht="12.75" x14ac:dyDescent="0.2"/>
    <row r="3170" ht="12.75" x14ac:dyDescent="0.2"/>
    <row r="3171" ht="12.75" x14ac:dyDescent="0.2"/>
    <row r="3172" ht="12.75" x14ac:dyDescent="0.2"/>
    <row r="3173" ht="12.75" x14ac:dyDescent="0.2"/>
    <row r="3174" ht="12.75" x14ac:dyDescent="0.2"/>
    <row r="3175" ht="12.75" x14ac:dyDescent="0.2"/>
    <row r="3176" ht="12.75" x14ac:dyDescent="0.2"/>
    <row r="3177" ht="12.75" x14ac:dyDescent="0.2"/>
    <row r="3178" ht="12.75" x14ac:dyDescent="0.2"/>
    <row r="3179" ht="12.75" x14ac:dyDescent="0.2"/>
    <row r="3180" ht="12.75" x14ac:dyDescent="0.2"/>
    <row r="3181" ht="12.75" x14ac:dyDescent="0.2"/>
    <row r="3182" ht="12.75" x14ac:dyDescent="0.2"/>
    <row r="3183" ht="12.75" x14ac:dyDescent="0.2"/>
    <row r="3184" ht="12.75" x14ac:dyDescent="0.2"/>
    <row r="3185" ht="12.75" x14ac:dyDescent="0.2"/>
    <row r="3186" ht="12.75" x14ac:dyDescent="0.2"/>
    <row r="3187" ht="12.75" x14ac:dyDescent="0.2"/>
    <row r="3188" ht="12.75" x14ac:dyDescent="0.2"/>
    <row r="3189" ht="12.75" x14ac:dyDescent="0.2"/>
    <row r="3190" ht="12.75" x14ac:dyDescent="0.2"/>
    <row r="3191" ht="12.75" x14ac:dyDescent="0.2"/>
    <row r="3192" ht="12.75" x14ac:dyDescent="0.2"/>
    <row r="3193" ht="12.75" x14ac:dyDescent="0.2"/>
    <row r="3194" ht="12.75" x14ac:dyDescent="0.2"/>
    <row r="3195" ht="12.75" x14ac:dyDescent="0.2"/>
    <row r="3196" ht="12.75" x14ac:dyDescent="0.2"/>
    <row r="3197" ht="12.75" x14ac:dyDescent="0.2"/>
    <row r="3198" ht="12.75" x14ac:dyDescent="0.2"/>
    <row r="3199" ht="12.75" x14ac:dyDescent="0.2"/>
    <row r="3200" ht="12.75" x14ac:dyDescent="0.2"/>
    <row r="3201" ht="12.75" x14ac:dyDescent="0.2"/>
    <row r="3202" ht="12.75" x14ac:dyDescent="0.2"/>
    <row r="3203" ht="12.75" x14ac:dyDescent="0.2"/>
    <row r="3204" ht="12.75" x14ac:dyDescent="0.2"/>
    <row r="3205" ht="12.75" x14ac:dyDescent="0.2"/>
    <row r="3206" ht="12.75" x14ac:dyDescent="0.2"/>
    <row r="3207" ht="12.75" x14ac:dyDescent="0.2"/>
    <row r="3208" ht="12.75" x14ac:dyDescent="0.2"/>
    <row r="3209" ht="12.75" x14ac:dyDescent="0.2"/>
    <row r="3210" ht="12.75" x14ac:dyDescent="0.2"/>
    <row r="3211" ht="12.75" x14ac:dyDescent="0.2"/>
    <row r="3212" ht="12.75" x14ac:dyDescent="0.2"/>
    <row r="3213" ht="12.75" x14ac:dyDescent="0.2"/>
    <row r="3214" ht="12.75" x14ac:dyDescent="0.2"/>
    <row r="3215" ht="12.75" x14ac:dyDescent="0.2"/>
    <row r="3216" ht="12.75" x14ac:dyDescent="0.2"/>
    <row r="3217" ht="12.75" x14ac:dyDescent="0.2"/>
    <row r="3218" ht="12.75" x14ac:dyDescent="0.2"/>
    <row r="3219" ht="12.75" x14ac:dyDescent="0.2"/>
    <row r="3220" ht="12.75" x14ac:dyDescent="0.2"/>
    <row r="3221" ht="12.75" x14ac:dyDescent="0.2"/>
    <row r="3222" ht="12.75" x14ac:dyDescent="0.2"/>
    <row r="3223" ht="12.75" x14ac:dyDescent="0.2"/>
    <row r="3224" ht="12.75" x14ac:dyDescent="0.2"/>
    <row r="3225" ht="12.75" x14ac:dyDescent="0.2"/>
    <row r="3226" ht="12.75" x14ac:dyDescent="0.2"/>
    <row r="3227" ht="12.75" x14ac:dyDescent="0.2"/>
    <row r="3228" ht="12.75" x14ac:dyDescent="0.2"/>
    <row r="3229" ht="12.75" x14ac:dyDescent="0.2"/>
    <row r="3230" ht="12.75" x14ac:dyDescent="0.2"/>
    <row r="3231" ht="12.75" x14ac:dyDescent="0.2"/>
    <row r="3232" ht="12.75" x14ac:dyDescent="0.2"/>
    <row r="3233" ht="12.75" x14ac:dyDescent="0.2"/>
    <row r="3234" ht="12.75" x14ac:dyDescent="0.2"/>
    <row r="3235" ht="12.75" x14ac:dyDescent="0.2"/>
    <row r="3236" ht="12.75" x14ac:dyDescent="0.2"/>
    <row r="3237" ht="12.75" x14ac:dyDescent="0.2"/>
    <row r="3238" ht="12.75" x14ac:dyDescent="0.2"/>
    <row r="3239" ht="12.75" x14ac:dyDescent="0.2"/>
    <row r="3240" ht="12.75" x14ac:dyDescent="0.2"/>
    <row r="3241" ht="12.75" x14ac:dyDescent="0.2"/>
    <row r="3242" ht="12.75" x14ac:dyDescent="0.2"/>
    <row r="3243" ht="12.75" x14ac:dyDescent="0.2"/>
    <row r="3244" ht="12.75" x14ac:dyDescent="0.2"/>
    <row r="3245" ht="12.75" x14ac:dyDescent="0.2"/>
    <row r="3246" ht="12.75" x14ac:dyDescent="0.2"/>
    <row r="3247" ht="12.75" x14ac:dyDescent="0.2"/>
    <row r="3248" ht="12.75" x14ac:dyDescent="0.2"/>
    <row r="3249" ht="12.75" x14ac:dyDescent="0.2"/>
    <row r="3250" ht="12.75" x14ac:dyDescent="0.2"/>
    <row r="3251" ht="12.75" x14ac:dyDescent="0.2"/>
    <row r="3252" ht="12.75" x14ac:dyDescent="0.2"/>
    <row r="3253" ht="12.75" x14ac:dyDescent="0.2"/>
    <row r="3254" ht="12.75" x14ac:dyDescent="0.2"/>
    <row r="3255" ht="12.75" x14ac:dyDescent="0.2"/>
    <row r="3256" ht="12.75" x14ac:dyDescent="0.2"/>
    <row r="3257" ht="12.75" x14ac:dyDescent="0.2"/>
    <row r="3258" ht="12.75" x14ac:dyDescent="0.2"/>
    <row r="3259" ht="12.75" x14ac:dyDescent="0.2"/>
    <row r="3260" ht="12.75" x14ac:dyDescent="0.2"/>
    <row r="3261" ht="12.75" x14ac:dyDescent="0.2"/>
    <row r="3262" ht="12.75" x14ac:dyDescent="0.2"/>
    <row r="3263" ht="12.75" x14ac:dyDescent="0.2"/>
    <row r="3264" ht="12.75" x14ac:dyDescent="0.2"/>
    <row r="3265" ht="12.75" x14ac:dyDescent="0.2"/>
    <row r="3266" ht="12.75" x14ac:dyDescent="0.2"/>
    <row r="3267" ht="12.75" x14ac:dyDescent="0.2"/>
    <row r="3268" ht="12.75" x14ac:dyDescent="0.2"/>
    <row r="3269" ht="12.75" x14ac:dyDescent="0.2"/>
    <row r="3270" ht="12.75" x14ac:dyDescent="0.2"/>
    <row r="3271" ht="12.75" x14ac:dyDescent="0.2"/>
    <row r="3272" ht="12.75" x14ac:dyDescent="0.2"/>
    <row r="3273" ht="12.75" x14ac:dyDescent="0.2"/>
    <row r="3274" ht="12.75" x14ac:dyDescent="0.2"/>
    <row r="3275" ht="12.75" x14ac:dyDescent="0.2"/>
    <row r="3276" ht="12.75" x14ac:dyDescent="0.2"/>
    <row r="3277" ht="12.75" x14ac:dyDescent="0.2"/>
    <row r="3278" ht="12.75" x14ac:dyDescent="0.2"/>
    <row r="3279" ht="12.75" x14ac:dyDescent="0.2"/>
    <row r="3280" ht="12.75" x14ac:dyDescent="0.2"/>
    <row r="3281" ht="12.75" x14ac:dyDescent="0.2"/>
    <row r="3282" ht="12.75" x14ac:dyDescent="0.2"/>
    <row r="3283" ht="12.75" x14ac:dyDescent="0.2"/>
    <row r="3284" ht="12.75" x14ac:dyDescent="0.2"/>
    <row r="3285" ht="12.75" x14ac:dyDescent="0.2"/>
    <row r="3286" ht="12.75" x14ac:dyDescent="0.2"/>
    <row r="3287" ht="12.75" x14ac:dyDescent="0.2"/>
    <row r="3288" ht="12.75" x14ac:dyDescent="0.2"/>
    <row r="3289" ht="12.75" x14ac:dyDescent="0.2"/>
    <row r="3290" ht="12.75" x14ac:dyDescent="0.2"/>
    <row r="3291" ht="12.75" x14ac:dyDescent="0.2"/>
    <row r="3292" ht="12.75" x14ac:dyDescent="0.2"/>
    <row r="3293" ht="12.75" x14ac:dyDescent="0.2"/>
    <row r="3294" ht="12.75" x14ac:dyDescent="0.2"/>
    <row r="3295" ht="12.75" x14ac:dyDescent="0.2"/>
    <row r="3296" ht="12.75" x14ac:dyDescent="0.2"/>
    <row r="3297" ht="12.75" x14ac:dyDescent="0.2"/>
    <row r="3298" ht="12.75" x14ac:dyDescent="0.2"/>
    <row r="3299" ht="12.75" x14ac:dyDescent="0.2"/>
    <row r="3300" ht="12.75" x14ac:dyDescent="0.2"/>
    <row r="3301" ht="12.75" x14ac:dyDescent="0.2"/>
    <row r="3302" ht="12.75" x14ac:dyDescent="0.2"/>
    <row r="3303" ht="12.75" x14ac:dyDescent="0.2"/>
    <row r="3304" ht="12.75" x14ac:dyDescent="0.2"/>
    <row r="3305" ht="12.75" x14ac:dyDescent="0.2"/>
    <row r="3306" ht="12.75" x14ac:dyDescent="0.2"/>
    <row r="3307" ht="12.75" x14ac:dyDescent="0.2"/>
    <row r="3308" ht="12.75" x14ac:dyDescent="0.2"/>
    <row r="3309" ht="12.75" x14ac:dyDescent="0.2"/>
    <row r="3310" ht="12.75" x14ac:dyDescent="0.2"/>
    <row r="3311" ht="12.75" x14ac:dyDescent="0.2"/>
    <row r="3312" ht="12.75" x14ac:dyDescent="0.2"/>
    <row r="3313" ht="12.75" x14ac:dyDescent="0.2"/>
    <row r="3314" ht="12.75" x14ac:dyDescent="0.2"/>
    <row r="3315" ht="12.75" x14ac:dyDescent="0.2"/>
    <row r="3316" ht="12.75" x14ac:dyDescent="0.2"/>
    <row r="3317" ht="12.75" x14ac:dyDescent="0.2"/>
    <row r="3318" ht="12.75" x14ac:dyDescent="0.2"/>
    <row r="3319" ht="12.75" x14ac:dyDescent="0.2"/>
    <row r="3320" ht="12.75" x14ac:dyDescent="0.2"/>
    <row r="3321" ht="12.75" x14ac:dyDescent="0.2"/>
    <row r="3322" ht="12.75" x14ac:dyDescent="0.2"/>
    <row r="3323" ht="12.75" x14ac:dyDescent="0.2"/>
    <row r="3324" ht="12.75" x14ac:dyDescent="0.2"/>
    <row r="3325" ht="12.75" x14ac:dyDescent="0.2"/>
    <row r="3326" ht="12.75" x14ac:dyDescent="0.2"/>
    <row r="3327" ht="12.75" x14ac:dyDescent="0.2"/>
    <row r="3328" ht="12.75" x14ac:dyDescent="0.2"/>
    <row r="3329" ht="12.75" x14ac:dyDescent="0.2"/>
    <row r="3330" ht="12.75" x14ac:dyDescent="0.2"/>
    <row r="3331" ht="12.75" x14ac:dyDescent="0.2"/>
    <row r="3332" ht="12.75" x14ac:dyDescent="0.2"/>
    <row r="3333" ht="12.75" x14ac:dyDescent="0.2"/>
    <row r="3334" ht="12.75" x14ac:dyDescent="0.2"/>
    <row r="3335" ht="12.75" x14ac:dyDescent="0.2"/>
    <row r="3336" ht="12.75" x14ac:dyDescent="0.2"/>
    <row r="3337" ht="12.75" x14ac:dyDescent="0.2"/>
    <row r="3338" ht="12.75" x14ac:dyDescent="0.2"/>
    <row r="3339" ht="12.75" x14ac:dyDescent="0.2"/>
    <row r="3340" ht="12.75" x14ac:dyDescent="0.2"/>
    <row r="3341" ht="12.75" x14ac:dyDescent="0.2"/>
    <row r="3342" ht="12.75" x14ac:dyDescent="0.2"/>
    <row r="3343" ht="12.75" x14ac:dyDescent="0.2"/>
    <row r="3344" ht="12.75" x14ac:dyDescent="0.2"/>
    <row r="3345" ht="12.75" x14ac:dyDescent="0.2"/>
    <row r="3346" ht="12.75" x14ac:dyDescent="0.2"/>
    <row r="3347" ht="12.75" x14ac:dyDescent="0.2"/>
    <row r="3348" ht="12.75" x14ac:dyDescent="0.2"/>
    <row r="3349" ht="12.75" x14ac:dyDescent="0.2"/>
    <row r="3350" ht="12.75" x14ac:dyDescent="0.2"/>
    <row r="3351" ht="12.75" x14ac:dyDescent="0.2"/>
    <row r="3352" ht="12.75" x14ac:dyDescent="0.2"/>
    <row r="3353" ht="12.75" x14ac:dyDescent="0.2"/>
    <row r="3354" ht="12.75" x14ac:dyDescent="0.2"/>
    <row r="3355" ht="12.75" x14ac:dyDescent="0.2"/>
    <row r="3356" ht="12.75" x14ac:dyDescent="0.2"/>
    <row r="3357" ht="12.75" x14ac:dyDescent="0.2"/>
    <row r="3358" ht="12.75" x14ac:dyDescent="0.2"/>
    <row r="3359" ht="12.75" x14ac:dyDescent="0.2"/>
    <row r="3360" ht="12.75" x14ac:dyDescent="0.2"/>
    <row r="3361" ht="12.75" x14ac:dyDescent="0.2"/>
    <row r="3362" ht="12.75" x14ac:dyDescent="0.2"/>
    <row r="3363" ht="12.75" x14ac:dyDescent="0.2"/>
    <row r="3364" ht="12.75" x14ac:dyDescent="0.2"/>
    <row r="3365" ht="12.75" x14ac:dyDescent="0.2"/>
    <row r="3366" ht="12.75" x14ac:dyDescent="0.2"/>
    <row r="3367" ht="12.75" x14ac:dyDescent="0.2"/>
    <row r="3368" ht="12.75" x14ac:dyDescent="0.2"/>
    <row r="3369" ht="12.75" x14ac:dyDescent="0.2"/>
    <row r="3370" ht="12.75" x14ac:dyDescent="0.2"/>
    <row r="3371" ht="12.75" x14ac:dyDescent="0.2"/>
    <row r="3372" ht="12.75" x14ac:dyDescent="0.2"/>
    <row r="3373" ht="12.75" x14ac:dyDescent="0.2"/>
    <row r="3374" ht="12.75" x14ac:dyDescent="0.2"/>
    <row r="3375" ht="12.75" x14ac:dyDescent="0.2"/>
    <row r="3376" ht="12.75" x14ac:dyDescent="0.2"/>
    <row r="3377" ht="12.75" x14ac:dyDescent="0.2"/>
    <row r="3378" ht="12.75" x14ac:dyDescent="0.2"/>
    <row r="3379" ht="12.75" x14ac:dyDescent="0.2"/>
    <row r="3380" ht="12.75" x14ac:dyDescent="0.2"/>
    <row r="3381" ht="12.75" x14ac:dyDescent="0.2"/>
    <row r="3382" ht="12.75" x14ac:dyDescent="0.2"/>
    <row r="3383" ht="12.75" x14ac:dyDescent="0.2"/>
    <row r="3384" ht="12.75" x14ac:dyDescent="0.2"/>
    <row r="3385" ht="12.75" x14ac:dyDescent="0.2"/>
    <row r="3386" ht="12.75" x14ac:dyDescent="0.2"/>
    <row r="3387" ht="12.75" x14ac:dyDescent="0.2"/>
    <row r="3388" ht="12.75" x14ac:dyDescent="0.2"/>
    <row r="3389" ht="12.75" x14ac:dyDescent="0.2"/>
    <row r="3390" ht="12.75" x14ac:dyDescent="0.2"/>
    <row r="3391" ht="12.75" x14ac:dyDescent="0.2"/>
    <row r="3392" ht="12.75" x14ac:dyDescent="0.2"/>
    <row r="3393" ht="12.75" x14ac:dyDescent="0.2"/>
    <row r="3394" ht="12.75" x14ac:dyDescent="0.2"/>
    <row r="3395" ht="12.75" x14ac:dyDescent="0.2"/>
    <row r="3396" ht="12.75" x14ac:dyDescent="0.2"/>
    <row r="3397" ht="12.75" x14ac:dyDescent="0.2"/>
    <row r="3398" ht="12.75" x14ac:dyDescent="0.2"/>
    <row r="3399" ht="12.75" x14ac:dyDescent="0.2"/>
    <row r="3400" ht="12.75" x14ac:dyDescent="0.2"/>
    <row r="3401" ht="12.75" x14ac:dyDescent="0.2"/>
    <row r="3402" ht="12.75" x14ac:dyDescent="0.2"/>
    <row r="3403" ht="12.75" x14ac:dyDescent="0.2"/>
    <row r="3404" ht="12.75" x14ac:dyDescent="0.2"/>
    <row r="3405" ht="12.75" x14ac:dyDescent="0.2"/>
    <row r="3406" ht="12.75" x14ac:dyDescent="0.2"/>
    <row r="3407" ht="12.75" x14ac:dyDescent="0.2"/>
    <row r="3408" ht="12.75" x14ac:dyDescent="0.2"/>
    <row r="3409" ht="12.75" x14ac:dyDescent="0.2"/>
    <row r="3410" ht="12.75" x14ac:dyDescent="0.2"/>
    <row r="3411" ht="12.75" x14ac:dyDescent="0.2"/>
    <row r="3412" ht="12.75" x14ac:dyDescent="0.2"/>
    <row r="3413" ht="12.75" x14ac:dyDescent="0.2"/>
    <row r="3414" ht="12.75" x14ac:dyDescent="0.2"/>
    <row r="3415" ht="12.75" x14ac:dyDescent="0.2"/>
    <row r="3416" ht="12.75" x14ac:dyDescent="0.2"/>
    <row r="3417" ht="12.75" x14ac:dyDescent="0.2"/>
    <row r="3418" ht="12.75" x14ac:dyDescent="0.2"/>
    <row r="3419" ht="12.75" x14ac:dyDescent="0.2"/>
    <row r="3420" ht="12.75" x14ac:dyDescent="0.2"/>
    <row r="3421" ht="12.75" x14ac:dyDescent="0.2"/>
    <row r="3422" ht="12.75" x14ac:dyDescent="0.2"/>
    <row r="3423" ht="12.75" x14ac:dyDescent="0.2"/>
    <row r="3424" ht="12.75" x14ac:dyDescent="0.2"/>
    <row r="3425" ht="12.75" x14ac:dyDescent="0.2"/>
    <row r="3426" ht="12.75" x14ac:dyDescent="0.2"/>
    <row r="3427" ht="12.75" x14ac:dyDescent="0.2"/>
    <row r="3428" ht="12.75" x14ac:dyDescent="0.2"/>
    <row r="3429" ht="12.75" x14ac:dyDescent="0.2"/>
    <row r="3430" ht="12.75" x14ac:dyDescent="0.2"/>
    <row r="3431" ht="12.75" x14ac:dyDescent="0.2"/>
    <row r="3432" ht="12.75" x14ac:dyDescent="0.2"/>
    <row r="3433" ht="12.75" x14ac:dyDescent="0.2"/>
    <row r="3434" ht="12.75" x14ac:dyDescent="0.2"/>
    <row r="3435" ht="12.75" x14ac:dyDescent="0.2"/>
    <row r="3436" ht="12.75" x14ac:dyDescent="0.2"/>
    <row r="3437" ht="12.75" x14ac:dyDescent="0.2"/>
    <row r="3438" ht="12.75" x14ac:dyDescent="0.2"/>
    <row r="3439" ht="12.75" x14ac:dyDescent="0.2"/>
    <row r="3440" ht="12.75" x14ac:dyDescent="0.2"/>
    <row r="3441" ht="12.75" x14ac:dyDescent="0.2"/>
    <row r="3442" ht="12.75" x14ac:dyDescent="0.2"/>
    <row r="3443" ht="12.75" x14ac:dyDescent="0.2"/>
    <row r="3444" ht="12.75" x14ac:dyDescent="0.2"/>
    <row r="3445" ht="12.75" x14ac:dyDescent="0.2"/>
    <row r="3446" ht="12.75" x14ac:dyDescent="0.2"/>
    <row r="3447" ht="12.75" x14ac:dyDescent="0.2"/>
    <row r="3448" ht="12.75" x14ac:dyDescent="0.2"/>
    <row r="3449" ht="12.75" x14ac:dyDescent="0.2"/>
    <row r="3450" ht="12.75" x14ac:dyDescent="0.2"/>
    <row r="3451" ht="12.75" x14ac:dyDescent="0.2"/>
    <row r="3452" ht="12.75" x14ac:dyDescent="0.2"/>
    <row r="3453" ht="12.75" x14ac:dyDescent="0.2"/>
    <row r="3454" ht="12.75" x14ac:dyDescent="0.2"/>
    <row r="3455" ht="12.75" x14ac:dyDescent="0.2"/>
    <row r="3456" ht="12.75" x14ac:dyDescent="0.2"/>
    <row r="3457" ht="12.75" x14ac:dyDescent="0.2"/>
    <row r="3458" ht="12.75" x14ac:dyDescent="0.2"/>
    <row r="3459" ht="12.75" x14ac:dyDescent="0.2"/>
    <row r="3460" ht="12.75" x14ac:dyDescent="0.2"/>
    <row r="3461" ht="12.75" x14ac:dyDescent="0.2"/>
    <row r="3462" ht="12.75" x14ac:dyDescent="0.2"/>
    <row r="3463" ht="12.75" x14ac:dyDescent="0.2"/>
    <row r="3464" ht="12.75" x14ac:dyDescent="0.2"/>
    <row r="3465" ht="12.75" x14ac:dyDescent="0.2"/>
    <row r="3466" ht="12.75" x14ac:dyDescent="0.2"/>
    <row r="3467" ht="12.75" x14ac:dyDescent="0.2"/>
    <row r="3468" ht="12.75" x14ac:dyDescent="0.2"/>
    <row r="3469" ht="12.75" x14ac:dyDescent="0.2"/>
    <row r="3470" ht="12.75" x14ac:dyDescent="0.2"/>
    <row r="3471" ht="12.75" x14ac:dyDescent="0.2"/>
    <row r="3472" ht="12.75" x14ac:dyDescent="0.2"/>
    <row r="3473" ht="12.75" x14ac:dyDescent="0.2"/>
    <row r="3474" ht="12.75" x14ac:dyDescent="0.2"/>
    <row r="3475" ht="12.75" x14ac:dyDescent="0.2"/>
    <row r="3476" ht="12.75" x14ac:dyDescent="0.2"/>
    <row r="3477" ht="12.75" x14ac:dyDescent="0.2"/>
    <row r="3478" ht="12.75" x14ac:dyDescent="0.2"/>
    <row r="3479" ht="12.75" x14ac:dyDescent="0.2"/>
    <row r="3480" ht="12.75" x14ac:dyDescent="0.2"/>
    <row r="3481" ht="12.75" x14ac:dyDescent="0.2"/>
    <row r="3482" ht="12.75" x14ac:dyDescent="0.2"/>
    <row r="3483" ht="12.75" x14ac:dyDescent="0.2"/>
    <row r="3484" ht="12.75" x14ac:dyDescent="0.2"/>
    <row r="3485" ht="12.75" x14ac:dyDescent="0.2"/>
    <row r="3486" ht="12.75" x14ac:dyDescent="0.2"/>
    <row r="3487" ht="12.75" x14ac:dyDescent="0.2"/>
    <row r="3488" ht="12.75" x14ac:dyDescent="0.2"/>
    <row r="3489" ht="12.75" x14ac:dyDescent="0.2"/>
    <row r="3490" ht="12.75" x14ac:dyDescent="0.2"/>
    <row r="3491" ht="12.75" x14ac:dyDescent="0.2"/>
    <row r="3492" ht="12.75" x14ac:dyDescent="0.2"/>
    <row r="3493" ht="12.75" x14ac:dyDescent="0.2"/>
    <row r="3494" ht="12.75" x14ac:dyDescent="0.2"/>
    <row r="3495" ht="12.75" x14ac:dyDescent="0.2"/>
    <row r="3496" ht="12.75" x14ac:dyDescent="0.2"/>
    <row r="3497" ht="12.75" x14ac:dyDescent="0.2"/>
    <row r="3498" ht="12.75" x14ac:dyDescent="0.2"/>
    <row r="3499" ht="12.75" x14ac:dyDescent="0.2"/>
    <row r="3500" ht="12.75" x14ac:dyDescent="0.2"/>
    <row r="3501" ht="12.75" x14ac:dyDescent="0.2"/>
    <row r="3502" ht="12.75" x14ac:dyDescent="0.2"/>
    <row r="3503" ht="12.75" x14ac:dyDescent="0.2"/>
    <row r="3504" ht="12.75" x14ac:dyDescent="0.2"/>
    <row r="3505" ht="12.75" x14ac:dyDescent="0.2"/>
    <row r="3506" ht="12.75" x14ac:dyDescent="0.2"/>
    <row r="3507" ht="12.75" x14ac:dyDescent="0.2"/>
    <row r="3508" ht="12.75" x14ac:dyDescent="0.2"/>
    <row r="3509" ht="12.75" x14ac:dyDescent="0.2"/>
    <row r="3510" ht="12.75" x14ac:dyDescent="0.2"/>
    <row r="3511" ht="12.75" x14ac:dyDescent="0.2"/>
    <row r="3512" ht="12.75" x14ac:dyDescent="0.2"/>
    <row r="3513" ht="12.75" x14ac:dyDescent="0.2"/>
    <row r="3514" ht="12.75" x14ac:dyDescent="0.2"/>
    <row r="3515" ht="12.75" x14ac:dyDescent="0.2"/>
    <row r="3516" ht="12.75" x14ac:dyDescent="0.2"/>
    <row r="3517" ht="12.75" x14ac:dyDescent="0.2"/>
    <row r="3518" ht="12.75" x14ac:dyDescent="0.2"/>
    <row r="3519" ht="12.75" x14ac:dyDescent="0.2"/>
    <row r="3520" ht="12.75" x14ac:dyDescent="0.2"/>
    <row r="3521" ht="12.75" x14ac:dyDescent="0.2"/>
    <row r="3522" ht="12.75" x14ac:dyDescent="0.2"/>
    <row r="3523" ht="12.75" x14ac:dyDescent="0.2"/>
    <row r="3524" ht="12.75" x14ac:dyDescent="0.2"/>
    <row r="3525" ht="12.75" x14ac:dyDescent="0.2"/>
    <row r="3526" ht="12.75" x14ac:dyDescent="0.2"/>
    <row r="3527" ht="12.75" x14ac:dyDescent="0.2"/>
    <row r="3528" ht="12.75" x14ac:dyDescent="0.2"/>
    <row r="3529" ht="12.75" x14ac:dyDescent="0.2"/>
    <row r="3530" ht="12.75" x14ac:dyDescent="0.2"/>
    <row r="3531" ht="12.75" x14ac:dyDescent="0.2"/>
    <row r="3532" ht="12.75" x14ac:dyDescent="0.2"/>
    <row r="3533" ht="12.75" x14ac:dyDescent="0.2"/>
    <row r="3534" ht="12.75" x14ac:dyDescent="0.2"/>
    <row r="3535" ht="12.75" x14ac:dyDescent="0.2"/>
    <row r="3536" ht="12.75" x14ac:dyDescent="0.2"/>
    <row r="3537" ht="12.75" x14ac:dyDescent="0.2"/>
    <row r="3538" ht="12.75" x14ac:dyDescent="0.2"/>
    <row r="3539" ht="12.75" x14ac:dyDescent="0.2"/>
    <row r="3540" ht="12.75" x14ac:dyDescent="0.2"/>
    <row r="3541" ht="12.75" x14ac:dyDescent="0.2"/>
    <row r="3542" ht="12.75" x14ac:dyDescent="0.2"/>
    <row r="3543" ht="12.75" x14ac:dyDescent="0.2"/>
    <row r="3544" ht="12.75" x14ac:dyDescent="0.2"/>
    <row r="3545" ht="12.75" x14ac:dyDescent="0.2"/>
    <row r="3546" ht="12.75" x14ac:dyDescent="0.2"/>
    <row r="3547" ht="12.75" x14ac:dyDescent="0.2"/>
    <row r="3548" ht="12.75" x14ac:dyDescent="0.2"/>
    <row r="3549" ht="12.75" x14ac:dyDescent="0.2"/>
    <row r="3550" ht="12.75" x14ac:dyDescent="0.2"/>
    <row r="3551" ht="12.75" x14ac:dyDescent="0.2"/>
    <row r="3552" ht="12.75" x14ac:dyDescent="0.2"/>
    <row r="3553" ht="12.75" x14ac:dyDescent="0.2"/>
    <row r="3554" ht="12.75" x14ac:dyDescent="0.2"/>
    <row r="3555" ht="12.75" x14ac:dyDescent="0.2"/>
    <row r="3556" ht="12.75" x14ac:dyDescent="0.2"/>
    <row r="3557" ht="12.75" x14ac:dyDescent="0.2"/>
    <row r="3558" ht="12.75" x14ac:dyDescent="0.2"/>
    <row r="3559" ht="12.75" x14ac:dyDescent="0.2"/>
    <row r="3560" ht="12.75" x14ac:dyDescent="0.2"/>
    <row r="3561" ht="12.75" x14ac:dyDescent="0.2"/>
    <row r="3562" ht="12.75" x14ac:dyDescent="0.2"/>
    <row r="3563" ht="12.75" x14ac:dyDescent="0.2"/>
    <row r="3564" ht="12.75" x14ac:dyDescent="0.2"/>
    <row r="3565" ht="12.75" x14ac:dyDescent="0.2"/>
    <row r="3566" ht="12.75" x14ac:dyDescent="0.2"/>
    <row r="3567" ht="12.75" x14ac:dyDescent="0.2"/>
    <row r="3568" ht="12.75" x14ac:dyDescent="0.2"/>
    <row r="3569" ht="12.75" x14ac:dyDescent="0.2"/>
    <row r="3570" ht="12.75" x14ac:dyDescent="0.2"/>
    <row r="3571" ht="12.75" x14ac:dyDescent="0.2"/>
    <row r="3572" ht="12.75" x14ac:dyDescent="0.2"/>
    <row r="3573" ht="12.75" x14ac:dyDescent="0.2"/>
    <row r="3574" ht="12.75" x14ac:dyDescent="0.2"/>
    <row r="3575" ht="12.75" x14ac:dyDescent="0.2"/>
    <row r="3576" ht="12.75" x14ac:dyDescent="0.2"/>
    <row r="3577" ht="12.75" x14ac:dyDescent="0.2"/>
    <row r="3578" ht="12.75" x14ac:dyDescent="0.2"/>
    <row r="3579" ht="12.75" x14ac:dyDescent="0.2"/>
    <row r="3580" ht="12.75" x14ac:dyDescent="0.2"/>
    <row r="3581" ht="12.75" x14ac:dyDescent="0.2"/>
    <row r="3582" ht="12.75" x14ac:dyDescent="0.2"/>
    <row r="3583" ht="12.75" x14ac:dyDescent="0.2"/>
    <row r="3584" ht="12.75" x14ac:dyDescent="0.2"/>
    <row r="3585" ht="12.75" x14ac:dyDescent="0.2"/>
    <row r="3586" ht="12.75" x14ac:dyDescent="0.2"/>
    <row r="3587" ht="12.75" x14ac:dyDescent="0.2"/>
    <row r="3588" ht="12.75" x14ac:dyDescent="0.2"/>
    <row r="3589" ht="12.75" x14ac:dyDescent="0.2"/>
    <row r="3590" ht="12.75" x14ac:dyDescent="0.2"/>
    <row r="3591" ht="12.75" x14ac:dyDescent="0.2"/>
    <row r="3592" ht="12.75" x14ac:dyDescent="0.2"/>
    <row r="3593" ht="12.75" x14ac:dyDescent="0.2"/>
    <row r="3594" ht="12.75" x14ac:dyDescent="0.2"/>
    <row r="3595" ht="12.75" x14ac:dyDescent="0.2"/>
    <row r="3596" ht="12.75" x14ac:dyDescent="0.2"/>
    <row r="3597" ht="12.75" x14ac:dyDescent="0.2"/>
    <row r="3598" ht="12.75" x14ac:dyDescent="0.2"/>
    <row r="3599" ht="12.75" x14ac:dyDescent="0.2"/>
    <row r="3600" ht="12.75" x14ac:dyDescent="0.2"/>
    <row r="3601" ht="12.75" x14ac:dyDescent="0.2"/>
    <row r="3602" ht="12.75" x14ac:dyDescent="0.2"/>
    <row r="3603" ht="12.75" x14ac:dyDescent="0.2"/>
    <row r="3604" ht="12.75" x14ac:dyDescent="0.2"/>
    <row r="3605" ht="12.75" x14ac:dyDescent="0.2"/>
    <row r="3606" ht="12.75" x14ac:dyDescent="0.2"/>
    <row r="3607" ht="12.75" x14ac:dyDescent="0.2"/>
    <row r="3608" ht="12.75" x14ac:dyDescent="0.2"/>
    <row r="3609" ht="12.75" x14ac:dyDescent="0.2"/>
    <row r="3610" ht="12.75" x14ac:dyDescent="0.2"/>
    <row r="3611" ht="12.75" x14ac:dyDescent="0.2"/>
    <row r="3612" ht="12.75" x14ac:dyDescent="0.2"/>
    <row r="3613" ht="12.75" x14ac:dyDescent="0.2"/>
    <row r="3614" ht="12.75" x14ac:dyDescent="0.2"/>
    <row r="3615" ht="12.75" x14ac:dyDescent="0.2"/>
    <row r="3616" ht="12.75" x14ac:dyDescent="0.2"/>
    <row r="3617" ht="12.75" x14ac:dyDescent="0.2"/>
    <row r="3618" ht="12.75" x14ac:dyDescent="0.2"/>
    <row r="3619" ht="12.75" x14ac:dyDescent="0.2"/>
    <row r="3620" ht="12.75" x14ac:dyDescent="0.2"/>
    <row r="3621" ht="12.75" x14ac:dyDescent="0.2"/>
    <row r="3622" ht="12.75" x14ac:dyDescent="0.2"/>
    <row r="3623" ht="12.75" x14ac:dyDescent="0.2"/>
    <row r="3624" ht="12.75" x14ac:dyDescent="0.2"/>
    <row r="3625" ht="12.75" x14ac:dyDescent="0.2"/>
    <row r="3626" ht="12.75" x14ac:dyDescent="0.2"/>
    <row r="3627" ht="12.75" x14ac:dyDescent="0.2"/>
    <row r="3628" ht="12.75" x14ac:dyDescent="0.2"/>
    <row r="3629" ht="12.75" x14ac:dyDescent="0.2"/>
    <row r="3630" ht="12.75" x14ac:dyDescent="0.2"/>
    <row r="3631" ht="12.75" x14ac:dyDescent="0.2"/>
    <row r="3632" ht="12.75" x14ac:dyDescent="0.2"/>
    <row r="3633" ht="12.75" x14ac:dyDescent="0.2"/>
    <row r="3634" ht="12.75" x14ac:dyDescent="0.2"/>
    <row r="3635" ht="12.75" x14ac:dyDescent="0.2"/>
    <row r="3636" ht="12.75" x14ac:dyDescent="0.2"/>
    <row r="3637" ht="12.75" x14ac:dyDescent="0.2"/>
    <row r="3638" ht="12.75" x14ac:dyDescent="0.2"/>
    <row r="3639" ht="12.75" x14ac:dyDescent="0.2"/>
    <row r="3640" ht="12.75" x14ac:dyDescent="0.2"/>
    <row r="3641" ht="12.75" x14ac:dyDescent="0.2"/>
    <row r="3642" ht="12.75" x14ac:dyDescent="0.2"/>
    <row r="3643" ht="12.75" x14ac:dyDescent="0.2"/>
    <row r="3644" ht="12.75" x14ac:dyDescent="0.2"/>
    <row r="3645" ht="12.75" x14ac:dyDescent="0.2"/>
    <row r="3646" ht="12.75" x14ac:dyDescent="0.2"/>
    <row r="3647" ht="12.75" x14ac:dyDescent="0.2"/>
    <row r="3648" ht="12.75" x14ac:dyDescent="0.2"/>
    <row r="3649" ht="12.75" x14ac:dyDescent="0.2"/>
    <row r="3650" ht="12.75" x14ac:dyDescent="0.2"/>
    <row r="3651" ht="12.75" x14ac:dyDescent="0.2"/>
    <row r="3652" ht="12.75" x14ac:dyDescent="0.2"/>
    <row r="3653" ht="12.75" x14ac:dyDescent="0.2"/>
    <row r="3654" ht="12.75" x14ac:dyDescent="0.2"/>
    <row r="3655" ht="12.75" x14ac:dyDescent="0.2"/>
    <row r="3656" ht="12.75" x14ac:dyDescent="0.2"/>
    <row r="3657" ht="12.75" x14ac:dyDescent="0.2"/>
    <row r="3658" ht="12.75" x14ac:dyDescent="0.2"/>
    <row r="3659" ht="12.75" x14ac:dyDescent="0.2"/>
    <row r="3660" ht="12.75" x14ac:dyDescent="0.2"/>
    <row r="3661" ht="12.75" x14ac:dyDescent="0.2"/>
    <row r="3662" ht="12.75" x14ac:dyDescent="0.2"/>
    <row r="3663" ht="12.75" x14ac:dyDescent="0.2"/>
    <row r="3664" ht="12.75" x14ac:dyDescent="0.2"/>
    <row r="3665" ht="12.75" x14ac:dyDescent="0.2"/>
    <row r="3666" ht="12.75" x14ac:dyDescent="0.2"/>
    <row r="3667" ht="12.75" x14ac:dyDescent="0.2"/>
    <row r="3668" ht="12.75" x14ac:dyDescent="0.2"/>
    <row r="3669" ht="12.75" x14ac:dyDescent="0.2"/>
    <row r="3670" ht="12.75" x14ac:dyDescent="0.2"/>
    <row r="3671" ht="12.75" x14ac:dyDescent="0.2"/>
    <row r="3672" ht="12.75" x14ac:dyDescent="0.2"/>
    <row r="3673" ht="12.75" x14ac:dyDescent="0.2"/>
    <row r="3674" ht="12.75" x14ac:dyDescent="0.2"/>
    <row r="3675" ht="12.75" x14ac:dyDescent="0.2"/>
    <row r="3676" ht="12.75" x14ac:dyDescent="0.2"/>
    <row r="3677" ht="12.75" x14ac:dyDescent="0.2"/>
    <row r="3678" ht="12.75" x14ac:dyDescent="0.2"/>
    <row r="3679" ht="12.75" x14ac:dyDescent="0.2"/>
    <row r="3680" ht="12.75" x14ac:dyDescent="0.2"/>
    <row r="3681" ht="12.75" x14ac:dyDescent="0.2"/>
    <row r="3682" ht="12.75" x14ac:dyDescent="0.2"/>
    <row r="3683" ht="12.75" x14ac:dyDescent="0.2"/>
    <row r="3684" ht="12.75" x14ac:dyDescent="0.2"/>
    <row r="3685" ht="12.75" x14ac:dyDescent="0.2"/>
    <row r="3686" ht="12.75" x14ac:dyDescent="0.2"/>
    <row r="3687" ht="12.75" x14ac:dyDescent="0.2"/>
    <row r="3688" ht="12.75" x14ac:dyDescent="0.2"/>
    <row r="3689" ht="12.75" x14ac:dyDescent="0.2"/>
    <row r="3690" ht="12.75" x14ac:dyDescent="0.2"/>
    <row r="3691" ht="12.75" x14ac:dyDescent="0.2"/>
    <row r="3692" ht="12.75" x14ac:dyDescent="0.2"/>
    <row r="3693" ht="12.75" x14ac:dyDescent="0.2"/>
    <row r="3694" ht="12.75" x14ac:dyDescent="0.2"/>
    <row r="3695" ht="12.75" x14ac:dyDescent="0.2"/>
    <row r="3696" ht="12.75" x14ac:dyDescent="0.2"/>
    <row r="3697" ht="12.75" x14ac:dyDescent="0.2"/>
    <row r="3698" ht="12.75" x14ac:dyDescent="0.2"/>
    <row r="3699" ht="12.75" x14ac:dyDescent="0.2"/>
    <row r="3700" ht="12.75" x14ac:dyDescent="0.2"/>
    <row r="3701" ht="12.75" x14ac:dyDescent="0.2"/>
    <row r="3702" ht="12.75" x14ac:dyDescent="0.2"/>
    <row r="3703" ht="12.75" x14ac:dyDescent="0.2"/>
    <row r="3704" ht="12.75" x14ac:dyDescent="0.2"/>
    <row r="3705" ht="12.75" x14ac:dyDescent="0.2"/>
    <row r="3706" ht="12.75" x14ac:dyDescent="0.2"/>
    <row r="3707" ht="12.75" x14ac:dyDescent="0.2"/>
    <row r="3708" ht="12.75" x14ac:dyDescent="0.2"/>
    <row r="3709" ht="12.75" x14ac:dyDescent="0.2"/>
    <row r="3710" ht="12.75" x14ac:dyDescent="0.2"/>
    <row r="3711" ht="12.75" x14ac:dyDescent="0.2"/>
    <row r="3712" ht="12.75" x14ac:dyDescent="0.2"/>
    <row r="3713" ht="12.75" x14ac:dyDescent="0.2"/>
    <row r="3714" ht="12.75" x14ac:dyDescent="0.2"/>
    <row r="3715" ht="12.75" x14ac:dyDescent="0.2"/>
    <row r="3716" ht="12.75" x14ac:dyDescent="0.2"/>
    <row r="3717" ht="12.75" x14ac:dyDescent="0.2"/>
    <row r="3718" ht="12.75" x14ac:dyDescent="0.2"/>
    <row r="3719" ht="12.75" x14ac:dyDescent="0.2"/>
    <row r="3720" ht="12.75" x14ac:dyDescent="0.2"/>
    <row r="3721" ht="12.75" x14ac:dyDescent="0.2"/>
    <row r="3722" ht="12.75" x14ac:dyDescent="0.2"/>
    <row r="3723" ht="12.75" x14ac:dyDescent="0.2"/>
    <row r="3724" ht="12.75" x14ac:dyDescent="0.2"/>
    <row r="3725" ht="12.75" x14ac:dyDescent="0.2"/>
    <row r="3726" ht="12.75" x14ac:dyDescent="0.2"/>
    <row r="3727" ht="12.75" x14ac:dyDescent="0.2"/>
    <row r="3728" ht="12.75" x14ac:dyDescent="0.2"/>
    <row r="3729" ht="12.75" x14ac:dyDescent="0.2"/>
    <row r="3730" ht="12.75" x14ac:dyDescent="0.2"/>
    <row r="3731" ht="12.75" x14ac:dyDescent="0.2"/>
    <row r="3732" ht="12.75" x14ac:dyDescent="0.2"/>
    <row r="3733" ht="12.75" x14ac:dyDescent="0.2"/>
    <row r="3734" ht="12.75" x14ac:dyDescent="0.2"/>
    <row r="3735" ht="12.75" x14ac:dyDescent="0.2"/>
    <row r="3736" ht="12.75" x14ac:dyDescent="0.2"/>
    <row r="3737" ht="12.75" x14ac:dyDescent="0.2"/>
    <row r="3738" ht="12.75" x14ac:dyDescent="0.2"/>
    <row r="3739" ht="12.75" x14ac:dyDescent="0.2"/>
    <row r="3740" ht="12.75" x14ac:dyDescent="0.2"/>
    <row r="3741" ht="12.75" x14ac:dyDescent="0.2"/>
    <row r="3742" ht="12.75" x14ac:dyDescent="0.2"/>
    <row r="3743" ht="12.75" x14ac:dyDescent="0.2"/>
    <row r="3744" ht="12.75" x14ac:dyDescent="0.2"/>
    <row r="3745" ht="12.75" x14ac:dyDescent="0.2"/>
    <row r="3746" ht="12.75" x14ac:dyDescent="0.2"/>
    <row r="3747" ht="12.75" x14ac:dyDescent="0.2"/>
    <row r="3748" ht="12.75" x14ac:dyDescent="0.2"/>
    <row r="3749" ht="12.75" x14ac:dyDescent="0.2"/>
    <row r="3750" ht="12.75" x14ac:dyDescent="0.2"/>
    <row r="3751" ht="12.75" x14ac:dyDescent="0.2"/>
    <row r="3752" ht="12.75" x14ac:dyDescent="0.2"/>
    <row r="3753" ht="12.75" x14ac:dyDescent="0.2"/>
    <row r="3754" ht="12.75" x14ac:dyDescent="0.2"/>
    <row r="3755" ht="12.75" x14ac:dyDescent="0.2"/>
    <row r="3756" ht="12.75" x14ac:dyDescent="0.2"/>
    <row r="3757" ht="12.75" x14ac:dyDescent="0.2"/>
    <row r="3758" ht="12.75" x14ac:dyDescent="0.2"/>
    <row r="3759" ht="12.75" x14ac:dyDescent="0.2"/>
    <row r="3760" ht="12.75" x14ac:dyDescent="0.2"/>
    <row r="3761" ht="12.75" x14ac:dyDescent="0.2"/>
    <row r="3762" ht="12.75" x14ac:dyDescent="0.2"/>
    <row r="3763" ht="12.75" x14ac:dyDescent="0.2"/>
    <row r="3764" ht="12.75" x14ac:dyDescent="0.2"/>
    <row r="3765" ht="12.75" x14ac:dyDescent="0.2"/>
    <row r="3766" ht="12.75" x14ac:dyDescent="0.2"/>
    <row r="3767" ht="12.75" x14ac:dyDescent="0.2"/>
    <row r="3768" ht="12.75" x14ac:dyDescent="0.2"/>
    <row r="3769" ht="12.75" x14ac:dyDescent="0.2"/>
    <row r="3770" ht="12.75" x14ac:dyDescent="0.2"/>
    <row r="3771" ht="12.75" x14ac:dyDescent="0.2"/>
    <row r="3772" ht="12.75" x14ac:dyDescent="0.2"/>
    <row r="3773" ht="12.75" x14ac:dyDescent="0.2"/>
    <row r="3774" ht="12.75" x14ac:dyDescent="0.2"/>
    <row r="3775" ht="12.75" x14ac:dyDescent="0.2"/>
    <row r="3776" ht="12.75" x14ac:dyDescent="0.2"/>
    <row r="3777" ht="12.75" x14ac:dyDescent="0.2"/>
    <row r="3778" ht="12.75" x14ac:dyDescent="0.2"/>
    <row r="3779" ht="12.75" x14ac:dyDescent="0.2"/>
    <row r="3780" ht="12.75" x14ac:dyDescent="0.2"/>
    <row r="3781" ht="12.75" x14ac:dyDescent="0.2"/>
    <row r="3782" ht="12.75" x14ac:dyDescent="0.2"/>
    <row r="3783" ht="12.75" x14ac:dyDescent="0.2"/>
    <row r="3784" ht="12.75" x14ac:dyDescent="0.2"/>
    <row r="3785" ht="12.75" x14ac:dyDescent="0.2"/>
    <row r="3786" ht="12.75" x14ac:dyDescent="0.2"/>
    <row r="3787" ht="12.75" x14ac:dyDescent="0.2"/>
    <row r="3788" ht="12.75" x14ac:dyDescent="0.2"/>
    <row r="3789" ht="12.75" x14ac:dyDescent="0.2"/>
    <row r="3790" ht="12.75" x14ac:dyDescent="0.2"/>
    <row r="3791" ht="12.75" x14ac:dyDescent="0.2"/>
    <row r="3792" ht="12.75" x14ac:dyDescent="0.2"/>
    <row r="3793" ht="12.75" x14ac:dyDescent="0.2"/>
    <row r="3794" ht="12.75" x14ac:dyDescent="0.2"/>
    <row r="3795" ht="12.75" x14ac:dyDescent="0.2"/>
    <row r="3796" ht="12.75" x14ac:dyDescent="0.2"/>
    <row r="3797" ht="12.75" x14ac:dyDescent="0.2"/>
    <row r="3798" ht="12.75" x14ac:dyDescent="0.2"/>
    <row r="3799" ht="12.75" x14ac:dyDescent="0.2"/>
    <row r="3800" ht="12.75" x14ac:dyDescent="0.2"/>
    <row r="3801" ht="12.75" x14ac:dyDescent="0.2"/>
    <row r="3802" ht="12.75" x14ac:dyDescent="0.2"/>
    <row r="3803" ht="12.75" x14ac:dyDescent="0.2"/>
    <row r="3804" ht="12.75" x14ac:dyDescent="0.2"/>
    <row r="3805" ht="12.75" x14ac:dyDescent="0.2"/>
    <row r="3806" ht="12.75" x14ac:dyDescent="0.2"/>
    <row r="3807" ht="12.75" x14ac:dyDescent="0.2"/>
    <row r="3808" ht="12.75" x14ac:dyDescent="0.2"/>
    <row r="3809" ht="12.75" x14ac:dyDescent="0.2"/>
    <row r="3810" ht="12.75" x14ac:dyDescent="0.2"/>
    <row r="3811" ht="12.75" x14ac:dyDescent="0.2"/>
    <row r="3812" ht="12.75" x14ac:dyDescent="0.2"/>
    <row r="3813" ht="12.75" x14ac:dyDescent="0.2"/>
    <row r="3814" ht="12.75" x14ac:dyDescent="0.2"/>
    <row r="3815" ht="12.75" x14ac:dyDescent="0.2"/>
    <row r="3816" ht="12.75" x14ac:dyDescent="0.2"/>
    <row r="3817" ht="12.75" x14ac:dyDescent="0.2"/>
    <row r="3818" ht="12.75" x14ac:dyDescent="0.2"/>
    <row r="3819" ht="12.75" x14ac:dyDescent="0.2"/>
    <row r="3820" ht="12.75" x14ac:dyDescent="0.2"/>
    <row r="3821" ht="12.75" x14ac:dyDescent="0.2"/>
    <row r="3822" ht="12.75" x14ac:dyDescent="0.2"/>
    <row r="3823" ht="12.75" x14ac:dyDescent="0.2"/>
    <row r="3824" ht="12.75" x14ac:dyDescent="0.2"/>
    <row r="3825" ht="12.75" x14ac:dyDescent="0.2"/>
    <row r="3826" ht="12.75" x14ac:dyDescent="0.2"/>
    <row r="3827" ht="12.75" x14ac:dyDescent="0.2"/>
    <row r="3828" ht="12.75" x14ac:dyDescent="0.2"/>
    <row r="3829" ht="12.75" x14ac:dyDescent="0.2"/>
    <row r="3830" ht="12.75" x14ac:dyDescent="0.2"/>
    <row r="3831" ht="12.75" x14ac:dyDescent="0.2"/>
    <row r="3832" ht="12.75" x14ac:dyDescent="0.2"/>
    <row r="3833" ht="12.75" x14ac:dyDescent="0.2"/>
    <row r="3834" ht="12.75" x14ac:dyDescent="0.2"/>
    <row r="3835" ht="12.75" x14ac:dyDescent="0.2"/>
    <row r="3836" ht="12.75" x14ac:dyDescent="0.2"/>
    <row r="3837" ht="12.75" x14ac:dyDescent="0.2"/>
    <row r="3838" ht="12.75" x14ac:dyDescent="0.2"/>
    <row r="3839" ht="12.75" x14ac:dyDescent="0.2"/>
    <row r="3840" ht="12.75" x14ac:dyDescent="0.2"/>
    <row r="3841" ht="12.75" x14ac:dyDescent="0.2"/>
    <row r="3842" ht="12.75" x14ac:dyDescent="0.2"/>
    <row r="3843" ht="12.75" x14ac:dyDescent="0.2"/>
    <row r="3844" ht="12.75" x14ac:dyDescent="0.2"/>
    <row r="3845" ht="12.75" x14ac:dyDescent="0.2"/>
    <row r="3846" ht="12.75" x14ac:dyDescent="0.2"/>
    <row r="3847" ht="12.75" x14ac:dyDescent="0.2"/>
    <row r="3848" ht="12.75" x14ac:dyDescent="0.2"/>
    <row r="3849" ht="12.75" x14ac:dyDescent="0.2"/>
    <row r="3850" ht="12.75" x14ac:dyDescent="0.2"/>
    <row r="3851" ht="12.75" x14ac:dyDescent="0.2"/>
    <row r="3852" ht="12.75" x14ac:dyDescent="0.2"/>
    <row r="3853" ht="12.75" x14ac:dyDescent="0.2"/>
    <row r="3854" ht="12.75" x14ac:dyDescent="0.2"/>
    <row r="3855" ht="12.75" x14ac:dyDescent="0.2"/>
    <row r="3856" ht="12.75" x14ac:dyDescent="0.2"/>
    <row r="3857" ht="12.75" x14ac:dyDescent="0.2"/>
    <row r="3858" ht="12.75" x14ac:dyDescent="0.2"/>
    <row r="3859" ht="12.75" x14ac:dyDescent="0.2"/>
    <row r="3860" ht="12.75" x14ac:dyDescent="0.2"/>
    <row r="3861" ht="12.75" x14ac:dyDescent="0.2"/>
    <row r="3862" ht="12.75" x14ac:dyDescent="0.2"/>
    <row r="3863" ht="12.75" x14ac:dyDescent="0.2"/>
    <row r="3864" ht="12.75" x14ac:dyDescent="0.2"/>
    <row r="3865" ht="12.75" x14ac:dyDescent="0.2"/>
    <row r="3866" ht="12.75" x14ac:dyDescent="0.2"/>
    <row r="3867" ht="12.75" x14ac:dyDescent="0.2"/>
    <row r="3868" ht="12.75" x14ac:dyDescent="0.2"/>
    <row r="3869" ht="12.75" x14ac:dyDescent="0.2"/>
    <row r="3870" ht="12.75" x14ac:dyDescent="0.2"/>
    <row r="3871" ht="12.75" x14ac:dyDescent="0.2"/>
    <row r="3872" ht="12.75" x14ac:dyDescent="0.2"/>
    <row r="3873" ht="12.75" x14ac:dyDescent="0.2"/>
    <row r="3874" ht="12.75" x14ac:dyDescent="0.2"/>
    <row r="3875" ht="12.75" x14ac:dyDescent="0.2"/>
    <row r="3876" ht="12.75" x14ac:dyDescent="0.2"/>
    <row r="3877" ht="12.75" x14ac:dyDescent="0.2"/>
    <row r="3878" ht="12.75" x14ac:dyDescent="0.2"/>
    <row r="3879" ht="12.75" x14ac:dyDescent="0.2"/>
    <row r="3880" ht="12.75" x14ac:dyDescent="0.2"/>
    <row r="3881" ht="12.75" x14ac:dyDescent="0.2"/>
    <row r="3882" ht="12.75" x14ac:dyDescent="0.2"/>
    <row r="3883" ht="12.75" x14ac:dyDescent="0.2"/>
    <row r="3884" ht="12.75" x14ac:dyDescent="0.2"/>
    <row r="3885" ht="12.75" x14ac:dyDescent="0.2"/>
    <row r="3886" ht="12.75" x14ac:dyDescent="0.2"/>
    <row r="3887" ht="12.75" x14ac:dyDescent="0.2"/>
    <row r="3888" ht="12.75" x14ac:dyDescent="0.2"/>
    <row r="3889" ht="12.75" x14ac:dyDescent="0.2"/>
    <row r="3890" ht="12.75" x14ac:dyDescent="0.2"/>
    <row r="3891" ht="12.75" x14ac:dyDescent="0.2"/>
    <row r="3892" ht="12.75" x14ac:dyDescent="0.2"/>
    <row r="3893" ht="12.75" x14ac:dyDescent="0.2"/>
    <row r="3894" ht="12.75" x14ac:dyDescent="0.2"/>
    <row r="3895" ht="12.75" x14ac:dyDescent="0.2"/>
    <row r="3896" ht="12.75" x14ac:dyDescent="0.2"/>
    <row r="3897" ht="12.75" x14ac:dyDescent="0.2"/>
    <row r="3898" ht="12.75" x14ac:dyDescent="0.2"/>
    <row r="3899" ht="12.75" x14ac:dyDescent="0.2"/>
    <row r="3900" ht="12.75" x14ac:dyDescent="0.2"/>
    <row r="3901" ht="12.75" x14ac:dyDescent="0.2"/>
    <row r="3902" ht="12.75" x14ac:dyDescent="0.2"/>
    <row r="3903" ht="12.75" x14ac:dyDescent="0.2"/>
    <row r="3904" ht="12.75" x14ac:dyDescent="0.2"/>
    <row r="3905" ht="12.75" x14ac:dyDescent="0.2"/>
    <row r="3906" ht="12.75" x14ac:dyDescent="0.2"/>
    <row r="3907" ht="12.75" x14ac:dyDescent="0.2"/>
    <row r="3908" ht="12.75" x14ac:dyDescent="0.2"/>
    <row r="3909" ht="12.75" x14ac:dyDescent="0.2"/>
    <row r="3910" ht="12.75" x14ac:dyDescent="0.2"/>
    <row r="3911" ht="12.75" x14ac:dyDescent="0.2"/>
    <row r="3912" ht="12.75" x14ac:dyDescent="0.2"/>
    <row r="3913" ht="12.75" x14ac:dyDescent="0.2"/>
    <row r="3914" ht="12.75" x14ac:dyDescent="0.2"/>
    <row r="3915" ht="12.75" x14ac:dyDescent="0.2"/>
    <row r="3916" ht="12.75" x14ac:dyDescent="0.2"/>
    <row r="3917" ht="12.75" x14ac:dyDescent="0.2"/>
    <row r="3918" ht="12.75" x14ac:dyDescent="0.2"/>
    <row r="3919" ht="12.75" x14ac:dyDescent="0.2"/>
    <row r="3920" ht="12.75" x14ac:dyDescent="0.2"/>
    <row r="3921" ht="12.75" x14ac:dyDescent="0.2"/>
    <row r="3922" ht="12.75" x14ac:dyDescent="0.2"/>
    <row r="3923" ht="12.75" x14ac:dyDescent="0.2"/>
    <row r="3924" ht="12.75" x14ac:dyDescent="0.2"/>
    <row r="3925" ht="12.75" x14ac:dyDescent="0.2"/>
    <row r="3926" ht="12.75" x14ac:dyDescent="0.2"/>
    <row r="3927" ht="12.75" x14ac:dyDescent="0.2"/>
    <row r="3928" ht="12.75" x14ac:dyDescent="0.2"/>
    <row r="3929" ht="12.75" x14ac:dyDescent="0.2"/>
    <row r="3930" ht="12.75" x14ac:dyDescent="0.2"/>
    <row r="3931" ht="12.75" x14ac:dyDescent="0.2"/>
    <row r="3932" ht="12.75" x14ac:dyDescent="0.2"/>
    <row r="3933" ht="12.75" x14ac:dyDescent="0.2"/>
    <row r="3934" ht="12.75" x14ac:dyDescent="0.2"/>
    <row r="3935" ht="12.75" x14ac:dyDescent="0.2"/>
    <row r="3936" ht="12.75" x14ac:dyDescent="0.2"/>
    <row r="3937" ht="12.75" x14ac:dyDescent="0.2"/>
    <row r="3938" ht="12.75" x14ac:dyDescent="0.2"/>
    <row r="3939" ht="12.75" x14ac:dyDescent="0.2"/>
    <row r="3940" ht="12.75" x14ac:dyDescent="0.2"/>
    <row r="3941" ht="12.75" x14ac:dyDescent="0.2"/>
    <row r="3942" ht="12.75" x14ac:dyDescent="0.2"/>
    <row r="3943" ht="12.75" x14ac:dyDescent="0.2"/>
    <row r="3944" ht="12.75" x14ac:dyDescent="0.2"/>
    <row r="3945" ht="12.75" x14ac:dyDescent="0.2"/>
    <row r="3946" ht="12.75" x14ac:dyDescent="0.2"/>
    <row r="3947" ht="12.75" x14ac:dyDescent="0.2"/>
    <row r="3948" ht="12.75" x14ac:dyDescent="0.2"/>
    <row r="3949" ht="12.75" x14ac:dyDescent="0.2"/>
    <row r="3950" ht="12.75" x14ac:dyDescent="0.2"/>
    <row r="3951" ht="12.75" x14ac:dyDescent="0.2"/>
    <row r="3952" ht="12.75" x14ac:dyDescent="0.2"/>
    <row r="3953" ht="12.75" x14ac:dyDescent="0.2"/>
    <row r="3954" ht="12.75" x14ac:dyDescent="0.2"/>
    <row r="3955" ht="12.75" x14ac:dyDescent="0.2"/>
    <row r="3956" ht="12.75" x14ac:dyDescent="0.2"/>
    <row r="3957" ht="12.75" x14ac:dyDescent="0.2"/>
    <row r="3958" ht="12.75" x14ac:dyDescent="0.2"/>
    <row r="3959" ht="12.75" x14ac:dyDescent="0.2"/>
    <row r="3960" ht="12.75" x14ac:dyDescent="0.2"/>
    <row r="3961" ht="12.75" x14ac:dyDescent="0.2"/>
    <row r="3962" ht="12.75" x14ac:dyDescent="0.2"/>
    <row r="3963" ht="12.75" x14ac:dyDescent="0.2"/>
    <row r="3964" ht="12.75" x14ac:dyDescent="0.2"/>
    <row r="3965" ht="12.75" x14ac:dyDescent="0.2"/>
    <row r="3966" ht="12.75" x14ac:dyDescent="0.2"/>
    <row r="3967" ht="12.75" x14ac:dyDescent="0.2"/>
    <row r="3968" ht="12.75" x14ac:dyDescent="0.2"/>
    <row r="3969" ht="12.75" x14ac:dyDescent="0.2"/>
    <row r="3970" ht="12.75" x14ac:dyDescent="0.2"/>
    <row r="3971" ht="12.75" x14ac:dyDescent="0.2"/>
    <row r="3972" ht="12.75" x14ac:dyDescent="0.2"/>
    <row r="3973" ht="12.75" x14ac:dyDescent="0.2"/>
    <row r="3974" ht="12.75" x14ac:dyDescent="0.2"/>
    <row r="3975" ht="12.75" x14ac:dyDescent="0.2"/>
    <row r="3976" ht="12.75" x14ac:dyDescent="0.2"/>
    <row r="3977" ht="12.75" x14ac:dyDescent="0.2"/>
    <row r="3978" ht="12.75" x14ac:dyDescent="0.2"/>
    <row r="3979" ht="12.75" x14ac:dyDescent="0.2"/>
    <row r="3980" ht="12.75" x14ac:dyDescent="0.2"/>
    <row r="3981" ht="12.75" x14ac:dyDescent="0.2"/>
    <row r="3982" ht="12.75" x14ac:dyDescent="0.2"/>
    <row r="3983" ht="12.75" x14ac:dyDescent="0.2"/>
    <row r="3984" ht="12.75" x14ac:dyDescent="0.2"/>
    <row r="3985" ht="12.75" x14ac:dyDescent="0.2"/>
    <row r="3986" ht="12.75" x14ac:dyDescent="0.2"/>
    <row r="3987" ht="12.75" x14ac:dyDescent="0.2"/>
    <row r="3988" ht="12.75" x14ac:dyDescent="0.2"/>
    <row r="3989" ht="12.75" x14ac:dyDescent="0.2"/>
    <row r="3990" ht="12.75" x14ac:dyDescent="0.2"/>
    <row r="3991" ht="12.75" x14ac:dyDescent="0.2"/>
    <row r="3992" ht="12.75" x14ac:dyDescent="0.2"/>
    <row r="3993" ht="12.75" x14ac:dyDescent="0.2"/>
    <row r="3994" ht="12.75" x14ac:dyDescent="0.2"/>
    <row r="3995" ht="12.75" x14ac:dyDescent="0.2"/>
    <row r="3996" ht="12.75" x14ac:dyDescent="0.2"/>
    <row r="3997" ht="12.75" x14ac:dyDescent="0.2"/>
    <row r="3998" ht="12.75" x14ac:dyDescent="0.2"/>
    <row r="3999" ht="12.75" x14ac:dyDescent="0.2"/>
    <row r="4000" ht="12.75" x14ac:dyDescent="0.2"/>
    <row r="4001" ht="12.75" x14ac:dyDescent="0.2"/>
    <row r="4002" ht="12.75" x14ac:dyDescent="0.2"/>
    <row r="4003" ht="12.75" x14ac:dyDescent="0.2"/>
    <row r="4004" ht="12.75" x14ac:dyDescent="0.2"/>
    <row r="4005" ht="12.75" x14ac:dyDescent="0.2"/>
    <row r="4006" ht="12.75" x14ac:dyDescent="0.2"/>
    <row r="4007" ht="12.75" x14ac:dyDescent="0.2"/>
    <row r="4008" ht="12.75" x14ac:dyDescent="0.2"/>
    <row r="4009" ht="12.75" x14ac:dyDescent="0.2"/>
    <row r="4010" ht="12.75" x14ac:dyDescent="0.2"/>
    <row r="4011" ht="12.75" x14ac:dyDescent="0.2"/>
    <row r="4012" ht="12.75" x14ac:dyDescent="0.2"/>
    <row r="4013" ht="12.75" x14ac:dyDescent="0.2"/>
    <row r="4014" ht="12.75" x14ac:dyDescent="0.2"/>
    <row r="4015" ht="12.75" x14ac:dyDescent="0.2"/>
    <row r="4016" ht="12.75" x14ac:dyDescent="0.2"/>
    <row r="4017" ht="12.75" x14ac:dyDescent="0.2"/>
    <row r="4018" ht="12.75" x14ac:dyDescent="0.2"/>
    <row r="4019" ht="12.75" x14ac:dyDescent="0.2"/>
    <row r="4020" ht="12.75" x14ac:dyDescent="0.2"/>
    <row r="4021" ht="12.75" x14ac:dyDescent="0.2"/>
    <row r="4022" ht="12.75" x14ac:dyDescent="0.2"/>
    <row r="4023" ht="12.75" x14ac:dyDescent="0.2"/>
    <row r="4024" ht="12.75" x14ac:dyDescent="0.2"/>
    <row r="4025" ht="12.75" x14ac:dyDescent="0.2"/>
    <row r="4026" ht="12.75" x14ac:dyDescent="0.2"/>
    <row r="4027" ht="12.75" x14ac:dyDescent="0.2"/>
    <row r="4028" ht="12.75" x14ac:dyDescent="0.2"/>
    <row r="4029" ht="12.75" x14ac:dyDescent="0.2"/>
    <row r="4030" ht="12.75" x14ac:dyDescent="0.2"/>
    <row r="4031" ht="12.75" x14ac:dyDescent="0.2"/>
    <row r="4032" ht="12.75" x14ac:dyDescent="0.2"/>
    <row r="4033" ht="12.75" x14ac:dyDescent="0.2"/>
    <row r="4034" ht="12.75" x14ac:dyDescent="0.2"/>
    <row r="4035" ht="12.75" x14ac:dyDescent="0.2"/>
    <row r="4036" ht="12.75" x14ac:dyDescent="0.2"/>
    <row r="4037" ht="12.75" x14ac:dyDescent="0.2"/>
    <row r="4038" ht="12.75" x14ac:dyDescent="0.2"/>
    <row r="4039" ht="12.75" x14ac:dyDescent="0.2"/>
    <row r="4040" ht="12.75" x14ac:dyDescent="0.2"/>
    <row r="4041" ht="12.75" x14ac:dyDescent="0.2"/>
    <row r="4042" ht="12.75" x14ac:dyDescent="0.2"/>
    <row r="4043" ht="12.75" x14ac:dyDescent="0.2"/>
    <row r="4044" ht="12.75" x14ac:dyDescent="0.2"/>
    <row r="4045" ht="12.75" x14ac:dyDescent="0.2"/>
    <row r="4046" ht="12.75" x14ac:dyDescent="0.2"/>
    <row r="4047" ht="12.75" x14ac:dyDescent="0.2"/>
    <row r="4048" ht="12.75" x14ac:dyDescent="0.2"/>
    <row r="4049" ht="12.75" x14ac:dyDescent="0.2"/>
    <row r="4050" ht="12.75" x14ac:dyDescent="0.2"/>
    <row r="4051" ht="12.75" x14ac:dyDescent="0.2"/>
    <row r="4052" ht="12.75" x14ac:dyDescent="0.2"/>
    <row r="4053" ht="12.75" x14ac:dyDescent="0.2"/>
    <row r="4054" ht="12.75" x14ac:dyDescent="0.2"/>
    <row r="4055" ht="12.75" x14ac:dyDescent="0.2"/>
    <row r="4056" ht="12.75" x14ac:dyDescent="0.2"/>
    <row r="4057" ht="12.75" x14ac:dyDescent="0.2"/>
    <row r="4058" ht="12.75" x14ac:dyDescent="0.2"/>
    <row r="4059" ht="12.75" x14ac:dyDescent="0.2"/>
    <row r="4060" ht="12.75" x14ac:dyDescent="0.2"/>
    <row r="4061" ht="12.75" x14ac:dyDescent="0.2"/>
    <row r="4062" ht="12.75" x14ac:dyDescent="0.2"/>
    <row r="4063" ht="12.75" x14ac:dyDescent="0.2"/>
    <row r="4064" ht="12.75" x14ac:dyDescent="0.2"/>
    <row r="4065" ht="12.75" x14ac:dyDescent="0.2"/>
    <row r="4066" ht="12.75" x14ac:dyDescent="0.2"/>
    <row r="4067" ht="12.75" x14ac:dyDescent="0.2"/>
    <row r="4068" ht="12.75" x14ac:dyDescent="0.2"/>
    <row r="4069" ht="12.75" x14ac:dyDescent="0.2"/>
    <row r="4070" ht="12.75" x14ac:dyDescent="0.2"/>
    <row r="4071" ht="12.75" x14ac:dyDescent="0.2"/>
    <row r="4072" ht="12.75" x14ac:dyDescent="0.2"/>
    <row r="4073" ht="12.75" x14ac:dyDescent="0.2"/>
    <row r="4074" ht="12.75" x14ac:dyDescent="0.2"/>
    <row r="4075" ht="12.75" x14ac:dyDescent="0.2"/>
    <row r="4076" ht="12.75" x14ac:dyDescent="0.2"/>
    <row r="4077" ht="12.75" x14ac:dyDescent="0.2"/>
    <row r="4078" ht="12.75" x14ac:dyDescent="0.2"/>
    <row r="4079" ht="12.75" x14ac:dyDescent="0.2"/>
    <row r="4080" ht="12.75" x14ac:dyDescent="0.2"/>
    <row r="4081" ht="12.75" x14ac:dyDescent="0.2"/>
    <row r="4082" ht="12.75" x14ac:dyDescent="0.2"/>
    <row r="4083" ht="12.75" x14ac:dyDescent="0.2"/>
    <row r="4084" ht="12.75" x14ac:dyDescent="0.2"/>
    <row r="4085" ht="12.75" x14ac:dyDescent="0.2"/>
    <row r="4086" ht="12.75" x14ac:dyDescent="0.2"/>
    <row r="4087" ht="12.75" x14ac:dyDescent="0.2"/>
    <row r="4088" ht="12.75" x14ac:dyDescent="0.2"/>
    <row r="4089" ht="12.75" x14ac:dyDescent="0.2"/>
    <row r="4090" ht="12.75" x14ac:dyDescent="0.2"/>
    <row r="4091" ht="12.75" x14ac:dyDescent="0.2"/>
    <row r="4092" ht="12.75" x14ac:dyDescent="0.2"/>
    <row r="4093" ht="12.75" x14ac:dyDescent="0.2"/>
    <row r="4094" ht="12.75" x14ac:dyDescent="0.2"/>
    <row r="4095" ht="12.75" x14ac:dyDescent="0.2"/>
    <row r="4096" ht="12.75" x14ac:dyDescent="0.2"/>
    <row r="4097" ht="12.75" x14ac:dyDescent="0.2"/>
    <row r="4098" ht="12.75" x14ac:dyDescent="0.2"/>
    <row r="4099" ht="12.75" x14ac:dyDescent="0.2"/>
    <row r="4100" ht="12.75" x14ac:dyDescent="0.2"/>
    <row r="4101" ht="12.75" x14ac:dyDescent="0.2"/>
    <row r="4102" ht="12.75" x14ac:dyDescent="0.2"/>
    <row r="4103" ht="12.75" x14ac:dyDescent="0.2"/>
    <row r="4104" ht="12.75" x14ac:dyDescent="0.2"/>
    <row r="4105" ht="12.75" x14ac:dyDescent="0.2"/>
    <row r="4106" ht="12.75" x14ac:dyDescent="0.2"/>
    <row r="4107" ht="12.75" x14ac:dyDescent="0.2"/>
    <row r="4108" ht="12.75" x14ac:dyDescent="0.2"/>
    <row r="4109" ht="12.75" x14ac:dyDescent="0.2"/>
    <row r="4110" ht="12.75" x14ac:dyDescent="0.2"/>
    <row r="4111" ht="12.75" x14ac:dyDescent="0.2"/>
    <row r="4112" ht="12.75" x14ac:dyDescent="0.2"/>
    <row r="4113" ht="12.75" x14ac:dyDescent="0.2"/>
    <row r="4114" ht="12.75" x14ac:dyDescent="0.2"/>
    <row r="4115" ht="12.75" x14ac:dyDescent="0.2"/>
    <row r="4116" ht="12.75" x14ac:dyDescent="0.2"/>
    <row r="4117" ht="12.75" x14ac:dyDescent="0.2"/>
    <row r="4118" ht="12.75" x14ac:dyDescent="0.2"/>
    <row r="4119" ht="12.75" x14ac:dyDescent="0.2"/>
    <row r="4120" ht="12.75" x14ac:dyDescent="0.2"/>
    <row r="4121" ht="12.75" x14ac:dyDescent="0.2"/>
    <row r="4122" ht="12.75" x14ac:dyDescent="0.2"/>
    <row r="4123" ht="12.75" x14ac:dyDescent="0.2"/>
    <row r="4124" ht="12.75" x14ac:dyDescent="0.2"/>
    <row r="4125" ht="12.75" x14ac:dyDescent="0.2"/>
    <row r="4126" ht="12.75" x14ac:dyDescent="0.2"/>
    <row r="4127" ht="12.75" x14ac:dyDescent="0.2"/>
    <row r="4128" ht="12.75" x14ac:dyDescent="0.2"/>
    <row r="4129" ht="12.75" x14ac:dyDescent="0.2"/>
    <row r="4130" ht="12.75" x14ac:dyDescent="0.2"/>
    <row r="4131" ht="12.75" x14ac:dyDescent="0.2"/>
    <row r="4132" ht="12.75" x14ac:dyDescent="0.2"/>
    <row r="4133" ht="12.75" x14ac:dyDescent="0.2"/>
    <row r="4134" ht="12.75" x14ac:dyDescent="0.2"/>
    <row r="4135" ht="12.75" x14ac:dyDescent="0.2"/>
    <row r="4136" ht="12.75" x14ac:dyDescent="0.2"/>
    <row r="4137" ht="12.75" x14ac:dyDescent="0.2"/>
    <row r="4138" ht="12.75" x14ac:dyDescent="0.2"/>
    <row r="4139" ht="12.75" x14ac:dyDescent="0.2"/>
    <row r="4140" ht="12.75" x14ac:dyDescent="0.2"/>
    <row r="4141" ht="12.75" x14ac:dyDescent="0.2"/>
    <row r="4142" ht="12.75" x14ac:dyDescent="0.2"/>
    <row r="4143" ht="12.75" x14ac:dyDescent="0.2"/>
    <row r="4144" ht="12.75" x14ac:dyDescent="0.2"/>
    <row r="4145" ht="12.75" x14ac:dyDescent="0.2"/>
    <row r="4146" ht="12.75" x14ac:dyDescent="0.2"/>
    <row r="4147" ht="12.75" x14ac:dyDescent="0.2"/>
    <row r="4148" ht="12.75" x14ac:dyDescent="0.2"/>
    <row r="4149" ht="12.75" x14ac:dyDescent="0.2"/>
    <row r="4150" ht="12.75" x14ac:dyDescent="0.2"/>
    <row r="4151" ht="12.75" x14ac:dyDescent="0.2"/>
    <row r="4152" ht="12.75" x14ac:dyDescent="0.2"/>
    <row r="4153" ht="12.75" x14ac:dyDescent="0.2"/>
    <row r="4154" ht="12.75" x14ac:dyDescent="0.2"/>
    <row r="4155" ht="12.75" x14ac:dyDescent="0.2"/>
    <row r="4156" ht="12.75" x14ac:dyDescent="0.2"/>
    <row r="4157" ht="12.75" x14ac:dyDescent="0.2"/>
    <row r="4158" ht="12.75" x14ac:dyDescent="0.2"/>
    <row r="4159" ht="12.75" x14ac:dyDescent="0.2"/>
    <row r="4160" ht="12.75" x14ac:dyDescent="0.2"/>
    <row r="4161" ht="12.75" x14ac:dyDescent="0.2"/>
    <row r="4162" ht="12.75" x14ac:dyDescent="0.2"/>
    <row r="4163" ht="12.75" x14ac:dyDescent="0.2"/>
    <row r="4164" ht="12.75" x14ac:dyDescent="0.2"/>
    <row r="4165" ht="12.75" x14ac:dyDescent="0.2"/>
    <row r="4166" ht="12.75" x14ac:dyDescent="0.2"/>
    <row r="4167" ht="12.75" x14ac:dyDescent="0.2"/>
    <row r="4168" ht="12.75" x14ac:dyDescent="0.2"/>
    <row r="4169" ht="12.75" x14ac:dyDescent="0.2"/>
    <row r="4170" ht="12.75" x14ac:dyDescent="0.2"/>
    <row r="4171" ht="12.75" x14ac:dyDescent="0.2"/>
    <row r="4172" ht="12.75" x14ac:dyDescent="0.2"/>
    <row r="4173" ht="12.75" x14ac:dyDescent="0.2"/>
    <row r="4174" ht="12.75" x14ac:dyDescent="0.2"/>
    <row r="4175" ht="12.75" x14ac:dyDescent="0.2"/>
    <row r="4176" ht="12.75" x14ac:dyDescent="0.2"/>
    <row r="4177" ht="12.75" x14ac:dyDescent="0.2"/>
    <row r="4178" ht="12.75" x14ac:dyDescent="0.2"/>
    <row r="4179" ht="12.75" x14ac:dyDescent="0.2"/>
    <row r="4180" ht="12.75" x14ac:dyDescent="0.2"/>
    <row r="4181" ht="12.75" x14ac:dyDescent="0.2"/>
    <row r="4182" ht="12.75" x14ac:dyDescent="0.2"/>
    <row r="4183" ht="12.75" x14ac:dyDescent="0.2"/>
    <row r="4184" ht="12.75" x14ac:dyDescent="0.2"/>
    <row r="4185" ht="12.75" x14ac:dyDescent="0.2"/>
    <row r="4186" ht="12.75" x14ac:dyDescent="0.2"/>
    <row r="4187" ht="12.75" x14ac:dyDescent="0.2"/>
    <row r="4188" ht="12.75" x14ac:dyDescent="0.2"/>
    <row r="4189" ht="12.75" x14ac:dyDescent="0.2"/>
    <row r="4190" ht="12.75" x14ac:dyDescent="0.2"/>
    <row r="4191" ht="12.75" x14ac:dyDescent="0.2"/>
    <row r="4192" ht="12.75" x14ac:dyDescent="0.2"/>
    <row r="4193" ht="12.75" x14ac:dyDescent="0.2"/>
    <row r="4194" ht="12.75" x14ac:dyDescent="0.2"/>
    <row r="4195" ht="12.75" x14ac:dyDescent="0.2"/>
    <row r="4196" ht="12.75" x14ac:dyDescent="0.2"/>
    <row r="4197" ht="12.75" x14ac:dyDescent="0.2"/>
    <row r="4198" ht="12.75" x14ac:dyDescent="0.2"/>
    <row r="4199" ht="12.75" x14ac:dyDescent="0.2"/>
    <row r="4200" ht="12.75" x14ac:dyDescent="0.2"/>
    <row r="4201" ht="12.75" x14ac:dyDescent="0.2"/>
    <row r="4202" ht="12.75" x14ac:dyDescent="0.2"/>
    <row r="4203" ht="12.75" x14ac:dyDescent="0.2"/>
    <row r="4204" ht="12.75" x14ac:dyDescent="0.2"/>
    <row r="4205" ht="12.75" x14ac:dyDescent="0.2"/>
    <row r="4206" ht="12.75" x14ac:dyDescent="0.2"/>
    <row r="4207" ht="12.75" x14ac:dyDescent="0.2"/>
    <row r="4208" ht="12.75" x14ac:dyDescent="0.2"/>
    <row r="4209" ht="12.75" x14ac:dyDescent="0.2"/>
    <row r="4210" ht="12.75" x14ac:dyDescent="0.2"/>
    <row r="4211" ht="12.75" x14ac:dyDescent="0.2"/>
    <row r="4212" ht="12.75" x14ac:dyDescent="0.2"/>
    <row r="4213" ht="12.75" x14ac:dyDescent="0.2"/>
    <row r="4214" ht="12.75" x14ac:dyDescent="0.2"/>
    <row r="4215" ht="12.75" x14ac:dyDescent="0.2"/>
    <row r="4216" ht="12.75" x14ac:dyDescent="0.2"/>
    <row r="4217" ht="12.75" x14ac:dyDescent="0.2"/>
    <row r="4218" ht="12.75" x14ac:dyDescent="0.2"/>
    <row r="4219" ht="12.75" x14ac:dyDescent="0.2"/>
    <row r="4220" ht="12.75" x14ac:dyDescent="0.2"/>
    <row r="4221" ht="12.75" x14ac:dyDescent="0.2"/>
    <row r="4222" ht="12.75" x14ac:dyDescent="0.2"/>
    <row r="4223" ht="12.75" x14ac:dyDescent="0.2"/>
    <row r="4224" ht="12.75" x14ac:dyDescent="0.2"/>
    <row r="4225" ht="12.75" x14ac:dyDescent="0.2"/>
    <row r="4226" ht="12.75" x14ac:dyDescent="0.2"/>
    <row r="4227" ht="12.75" x14ac:dyDescent="0.2"/>
    <row r="4228" ht="12.75" x14ac:dyDescent="0.2"/>
    <row r="4229" ht="12.75" x14ac:dyDescent="0.2"/>
    <row r="4230" ht="12.75" x14ac:dyDescent="0.2"/>
    <row r="4231" ht="12.75" x14ac:dyDescent="0.2"/>
    <row r="4232" ht="12.75" x14ac:dyDescent="0.2"/>
    <row r="4233" ht="12.75" x14ac:dyDescent="0.2"/>
    <row r="4234" ht="12.75" x14ac:dyDescent="0.2"/>
    <row r="4235" ht="12.75" x14ac:dyDescent="0.2"/>
    <row r="4236" ht="12.75" x14ac:dyDescent="0.2"/>
    <row r="4237" ht="12.75" x14ac:dyDescent="0.2"/>
    <row r="4238" ht="12.75" x14ac:dyDescent="0.2"/>
    <row r="4239" ht="12.75" x14ac:dyDescent="0.2"/>
    <row r="4240" ht="12.75" x14ac:dyDescent="0.2"/>
    <row r="4241" ht="12.75" x14ac:dyDescent="0.2"/>
    <row r="4242" ht="12.75" x14ac:dyDescent="0.2"/>
    <row r="4243" ht="12.75" x14ac:dyDescent="0.2"/>
    <row r="4244" ht="12.75" x14ac:dyDescent="0.2"/>
    <row r="4245" ht="12.75" x14ac:dyDescent="0.2"/>
    <row r="4246" ht="12.75" x14ac:dyDescent="0.2"/>
    <row r="4247" ht="12.75" x14ac:dyDescent="0.2"/>
    <row r="4248" ht="12.75" x14ac:dyDescent="0.2"/>
    <row r="4249" ht="12.75" x14ac:dyDescent="0.2"/>
    <row r="4250" ht="12.75" x14ac:dyDescent="0.2"/>
    <row r="4251" ht="12.75" x14ac:dyDescent="0.2"/>
    <row r="4252" ht="12.75" x14ac:dyDescent="0.2"/>
    <row r="4253" ht="12.75" x14ac:dyDescent="0.2"/>
    <row r="4254" ht="12.75" x14ac:dyDescent="0.2"/>
    <row r="4255" ht="12.75" x14ac:dyDescent="0.2"/>
    <row r="4256" ht="12.75" x14ac:dyDescent="0.2"/>
    <row r="4257" ht="12.75" x14ac:dyDescent="0.2"/>
    <row r="4258" ht="12.75" x14ac:dyDescent="0.2"/>
    <row r="4259" ht="12.75" x14ac:dyDescent="0.2"/>
    <row r="4260" ht="12.75" x14ac:dyDescent="0.2"/>
    <row r="4261" ht="12.75" x14ac:dyDescent="0.2"/>
    <row r="4262" ht="12.75" x14ac:dyDescent="0.2"/>
    <row r="4263" ht="12.75" x14ac:dyDescent="0.2"/>
    <row r="4264" ht="12.75" x14ac:dyDescent="0.2"/>
    <row r="4265" ht="12.75" x14ac:dyDescent="0.2"/>
    <row r="4266" ht="12.75" x14ac:dyDescent="0.2"/>
    <row r="4267" ht="12.75" x14ac:dyDescent="0.2"/>
    <row r="4268" ht="12.75" x14ac:dyDescent="0.2"/>
    <row r="4269" ht="12.75" x14ac:dyDescent="0.2"/>
    <row r="4270" ht="12.75" x14ac:dyDescent="0.2"/>
    <row r="4271" ht="12.75" x14ac:dyDescent="0.2"/>
    <row r="4272" ht="12.75" x14ac:dyDescent="0.2"/>
    <row r="4273" ht="12.75" x14ac:dyDescent="0.2"/>
    <row r="4274" ht="12.75" x14ac:dyDescent="0.2"/>
    <row r="4275" ht="12.75" x14ac:dyDescent="0.2"/>
    <row r="4276" ht="12.75" x14ac:dyDescent="0.2"/>
    <row r="4277" ht="12.75" x14ac:dyDescent="0.2"/>
    <row r="4278" ht="12.75" x14ac:dyDescent="0.2"/>
    <row r="4279" ht="12.75" x14ac:dyDescent="0.2"/>
    <row r="4280" ht="12.75" x14ac:dyDescent="0.2"/>
    <row r="4281" ht="12.75" x14ac:dyDescent="0.2"/>
    <row r="4282" ht="12.75" x14ac:dyDescent="0.2"/>
    <row r="4283" ht="12.75" x14ac:dyDescent="0.2"/>
    <row r="4284" ht="12.75" x14ac:dyDescent="0.2"/>
    <row r="4285" ht="12.75" x14ac:dyDescent="0.2"/>
    <row r="4286" ht="12.75" x14ac:dyDescent="0.2"/>
    <row r="4287" ht="12.75" x14ac:dyDescent="0.2"/>
    <row r="4288" ht="12.75" x14ac:dyDescent="0.2"/>
    <row r="4289" ht="12.75" x14ac:dyDescent="0.2"/>
    <row r="4290" ht="12.75" x14ac:dyDescent="0.2"/>
    <row r="4291" ht="12.75" x14ac:dyDescent="0.2"/>
    <row r="4292" ht="12.75" x14ac:dyDescent="0.2"/>
    <row r="4293" ht="12.75" x14ac:dyDescent="0.2"/>
    <row r="4294" ht="12.75" x14ac:dyDescent="0.2"/>
    <row r="4295" ht="12.75" x14ac:dyDescent="0.2"/>
    <row r="4296" ht="12.75" x14ac:dyDescent="0.2"/>
    <row r="4297" ht="12.75" x14ac:dyDescent="0.2"/>
    <row r="4298" ht="12.75" x14ac:dyDescent="0.2"/>
    <row r="4299" ht="12.75" x14ac:dyDescent="0.2"/>
    <row r="4300" ht="12.75" x14ac:dyDescent="0.2"/>
    <row r="4301" ht="12.75" x14ac:dyDescent="0.2"/>
    <row r="4302" ht="12.75" x14ac:dyDescent="0.2"/>
    <row r="4303" ht="12.75" x14ac:dyDescent="0.2"/>
    <row r="4304" ht="12.75" x14ac:dyDescent="0.2"/>
    <row r="4305" ht="12.75" x14ac:dyDescent="0.2"/>
    <row r="4306" ht="12.75" x14ac:dyDescent="0.2"/>
    <row r="4307" ht="12.75" x14ac:dyDescent="0.2"/>
    <row r="4308" ht="12.75" x14ac:dyDescent="0.2"/>
    <row r="4309" ht="12.75" x14ac:dyDescent="0.2"/>
    <row r="4310" ht="12.75" x14ac:dyDescent="0.2"/>
    <row r="4311" ht="12.75" x14ac:dyDescent="0.2"/>
    <row r="4312" ht="12.75" x14ac:dyDescent="0.2"/>
    <row r="4313" ht="12.75" x14ac:dyDescent="0.2"/>
    <row r="4314" ht="12.75" x14ac:dyDescent="0.2"/>
    <row r="4315" ht="12.75" x14ac:dyDescent="0.2"/>
    <row r="4316" ht="12.75" x14ac:dyDescent="0.2"/>
    <row r="4317" ht="12.75" x14ac:dyDescent="0.2"/>
    <row r="4318" ht="12.75" x14ac:dyDescent="0.2"/>
    <row r="4319" ht="12.75" x14ac:dyDescent="0.2"/>
    <row r="4320" ht="12.75" x14ac:dyDescent="0.2"/>
    <row r="4321" ht="12.75" x14ac:dyDescent="0.2"/>
    <row r="4322" ht="12.75" x14ac:dyDescent="0.2"/>
    <row r="4323" ht="12.75" x14ac:dyDescent="0.2"/>
    <row r="4324" ht="12.75" x14ac:dyDescent="0.2"/>
    <row r="4325" ht="12.75" x14ac:dyDescent="0.2"/>
    <row r="4326" ht="12.75" x14ac:dyDescent="0.2"/>
    <row r="4327" ht="12.75" x14ac:dyDescent="0.2"/>
    <row r="4328" ht="12.75" x14ac:dyDescent="0.2"/>
    <row r="4329" ht="12.75" x14ac:dyDescent="0.2"/>
    <row r="4330" ht="12.75" x14ac:dyDescent="0.2"/>
    <row r="4331" ht="12.75" x14ac:dyDescent="0.2"/>
    <row r="4332" ht="12.75" x14ac:dyDescent="0.2"/>
    <row r="4333" ht="12.75" x14ac:dyDescent="0.2"/>
    <row r="4334" ht="12.75" x14ac:dyDescent="0.2"/>
    <row r="4335" ht="12.75" x14ac:dyDescent="0.2"/>
    <row r="4336" ht="12.75" x14ac:dyDescent="0.2"/>
    <row r="4337" ht="12.75" x14ac:dyDescent="0.2"/>
    <row r="4338" ht="12.75" x14ac:dyDescent="0.2"/>
    <row r="4339" ht="12.75" x14ac:dyDescent="0.2"/>
    <row r="4340" ht="12.75" x14ac:dyDescent="0.2"/>
    <row r="4341" ht="12.75" x14ac:dyDescent="0.2"/>
    <row r="4342" ht="12.75" x14ac:dyDescent="0.2"/>
    <row r="4343" ht="12.75" x14ac:dyDescent="0.2"/>
    <row r="4344" ht="12.75" x14ac:dyDescent="0.2"/>
    <row r="4345" ht="12.75" x14ac:dyDescent="0.2"/>
    <row r="4346" ht="12.75" x14ac:dyDescent="0.2"/>
    <row r="4347" ht="12.75" x14ac:dyDescent="0.2"/>
    <row r="4348" ht="12.75" x14ac:dyDescent="0.2"/>
    <row r="4349" ht="12.75" x14ac:dyDescent="0.2"/>
    <row r="4350" ht="12.75" x14ac:dyDescent="0.2"/>
    <row r="4351" ht="12.75" x14ac:dyDescent="0.2"/>
    <row r="4352" ht="12.75" x14ac:dyDescent="0.2"/>
    <row r="4353" ht="12.75" x14ac:dyDescent="0.2"/>
    <row r="4354" ht="12.75" x14ac:dyDescent="0.2"/>
    <row r="4355" ht="12.75" x14ac:dyDescent="0.2"/>
    <row r="4356" ht="12.75" x14ac:dyDescent="0.2"/>
    <row r="4357" ht="12.75" x14ac:dyDescent="0.2"/>
    <row r="4358" ht="12.75" x14ac:dyDescent="0.2"/>
    <row r="4359" ht="12.75" x14ac:dyDescent="0.2"/>
    <row r="4360" ht="12.75" x14ac:dyDescent="0.2"/>
    <row r="4361" ht="12.75" x14ac:dyDescent="0.2"/>
    <row r="4362" ht="12.75" x14ac:dyDescent="0.2"/>
    <row r="4363" ht="12.75" x14ac:dyDescent="0.2"/>
    <row r="4364" ht="12.75" x14ac:dyDescent="0.2"/>
    <row r="4365" ht="12.75" x14ac:dyDescent="0.2"/>
    <row r="4366" ht="12.75" x14ac:dyDescent="0.2"/>
    <row r="4367" ht="12.75" x14ac:dyDescent="0.2"/>
    <row r="4368" ht="12.75" x14ac:dyDescent="0.2"/>
    <row r="4369" ht="12.75" x14ac:dyDescent="0.2"/>
    <row r="4370" ht="12.75" x14ac:dyDescent="0.2"/>
    <row r="4371" ht="12.75" x14ac:dyDescent="0.2"/>
    <row r="4372" ht="12.75" x14ac:dyDescent="0.2"/>
    <row r="4373" ht="12.75" x14ac:dyDescent="0.2"/>
    <row r="4374" ht="12.75" x14ac:dyDescent="0.2"/>
    <row r="4375" ht="12.75" x14ac:dyDescent="0.2"/>
    <row r="4376" ht="12.75" x14ac:dyDescent="0.2"/>
    <row r="4377" ht="12.75" x14ac:dyDescent="0.2"/>
    <row r="4378" ht="12.75" x14ac:dyDescent="0.2"/>
    <row r="4379" ht="12.75" x14ac:dyDescent="0.2"/>
    <row r="4380" ht="12.75" x14ac:dyDescent="0.2"/>
    <row r="4381" ht="12.75" x14ac:dyDescent="0.2"/>
    <row r="4382" ht="12.75" x14ac:dyDescent="0.2"/>
    <row r="4383" ht="12.75" x14ac:dyDescent="0.2"/>
    <row r="4384" ht="12.75" x14ac:dyDescent="0.2"/>
    <row r="4385" ht="12.75" x14ac:dyDescent="0.2"/>
    <row r="4386" ht="12.75" x14ac:dyDescent="0.2"/>
    <row r="4387" ht="12.75" x14ac:dyDescent="0.2"/>
    <row r="4388" ht="12.75" x14ac:dyDescent="0.2"/>
    <row r="4389" ht="12.75" x14ac:dyDescent="0.2"/>
    <row r="4390" ht="12.75" x14ac:dyDescent="0.2"/>
    <row r="4391" ht="12.75" x14ac:dyDescent="0.2"/>
    <row r="4392" ht="12.75" x14ac:dyDescent="0.2"/>
    <row r="4393" ht="12.75" x14ac:dyDescent="0.2"/>
    <row r="4394" ht="12.75" x14ac:dyDescent="0.2"/>
    <row r="4395" ht="12.75" x14ac:dyDescent="0.2"/>
    <row r="4396" ht="12.75" x14ac:dyDescent="0.2"/>
    <row r="4397" ht="12.75" x14ac:dyDescent="0.2"/>
    <row r="4398" ht="12.75" x14ac:dyDescent="0.2"/>
    <row r="4399" ht="12.75" x14ac:dyDescent="0.2"/>
    <row r="4400" ht="12.75" x14ac:dyDescent="0.2"/>
    <row r="4401" ht="12.75" x14ac:dyDescent="0.2"/>
    <row r="4402" ht="12.75" x14ac:dyDescent="0.2"/>
    <row r="4403" ht="12.75" x14ac:dyDescent="0.2"/>
    <row r="4404" ht="12.75" x14ac:dyDescent="0.2"/>
    <row r="4405" ht="12.75" x14ac:dyDescent="0.2"/>
    <row r="4406" ht="12.75" x14ac:dyDescent="0.2"/>
    <row r="4407" ht="12.75" x14ac:dyDescent="0.2"/>
    <row r="4408" ht="12.75" x14ac:dyDescent="0.2"/>
    <row r="4409" ht="12.75" x14ac:dyDescent="0.2"/>
    <row r="4410" ht="12.75" x14ac:dyDescent="0.2"/>
    <row r="4411" ht="12.75" x14ac:dyDescent="0.2"/>
    <row r="4412" ht="12.75" x14ac:dyDescent="0.2"/>
    <row r="4413" ht="12.75" x14ac:dyDescent="0.2"/>
    <row r="4414" ht="12.75" x14ac:dyDescent="0.2"/>
    <row r="4415" ht="12.75" x14ac:dyDescent="0.2"/>
    <row r="4416" ht="12.75" x14ac:dyDescent="0.2"/>
    <row r="4417" ht="12.75" x14ac:dyDescent="0.2"/>
    <row r="4418" ht="12.75" x14ac:dyDescent="0.2"/>
    <row r="4419" ht="12.75" x14ac:dyDescent="0.2"/>
    <row r="4420" ht="12.75" x14ac:dyDescent="0.2"/>
    <row r="4421" ht="12.75" x14ac:dyDescent="0.2"/>
    <row r="4422" ht="12.75" x14ac:dyDescent="0.2"/>
    <row r="4423" ht="12.75" x14ac:dyDescent="0.2"/>
    <row r="4424" ht="12.75" x14ac:dyDescent="0.2"/>
    <row r="4425" ht="12.75" x14ac:dyDescent="0.2"/>
    <row r="4426" ht="12.75" x14ac:dyDescent="0.2"/>
    <row r="4427" ht="12.75" x14ac:dyDescent="0.2"/>
    <row r="4428" ht="12.75" x14ac:dyDescent="0.2"/>
    <row r="4429" ht="12.75" x14ac:dyDescent="0.2"/>
    <row r="4430" ht="12.75" x14ac:dyDescent="0.2"/>
    <row r="4431" ht="12.75" x14ac:dyDescent="0.2"/>
    <row r="4432" ht="12.75" x14ac:dyDescent="0.2"/>
    <row r="4433" ht="12.75" x14ac:dyDescent="0.2"/>
    <row r="4434" ht="12.75" x14ac:dyDescent="0.2"/>
    <row r="4435" ht="12.75" x14ac:dyDescent="0.2"/>
    <row r="4436" ht="12.75" x14ac:dyDescent="0.2"/>
    <row r="4437" ht="12.75" x14ac:dyDescent="0.2"/>
    <row r="4438" ht="12.75" x14ac:dyDescent="0.2"/>
    <row r="4439" ht="12.75" x14ac:dyDescent="0.2"/>
    <row r="4440" ht="12.75" x14ac:dyDescent="0.2"/>
    <row r="4441" ht="12.75" x14ac:dyDescent="0.2"/>
    <row r="4442" ht="12.75" x14ac:dyDescent="0.2"/>
    <row r="4443" ht="12.75" x14ac:dyDescent="0.2"/>
    <row r="4444" ht="12.75" x14ac:dyDescent="0.2"/>
    <row r="4445" ht="12.75" x14ac:dyDescent="0.2"/>
    <row r="4446" ht="12.75" x14ac:dyDescent="0.2"/>
    <row r="4447" ht="12.75" x14ac:dyDescent="0.2"/>
    <row r="4448" ht="12.75" x14ac:dyDescent="0.2"/>
    <row r="4449" ht="12.75" x14ac:dyDescent="0.2"/>
    <row r="4450" ht="12.75" x14ac:dyDescent="0.2"/>
    <row r="4451" ht="12.75" x14ac:dyDescent="0.2"/>
    <row r="4452" ht="12.75" x14ac:dyDescent="0.2"/>
    <row r="4453" ht="12.75" x14ac:dyDescent="0.2"/>
    <row r="4454" ht="12.75" x14ac:dyDescent="0.2"/>
    <row r="4455" ht="12.75" x14ac:dyDescent="0.2"/>
    <row r="4456" ht="12.75" x14ac:dyDescent="0.2"/>
    <row r="4457" ht="12.75" x14ac:dyDescent="0.2"/>
    <row r="4458" ht="12.75" x14ac:dyDescent="0.2"/>
    <row r="4459" ht="12.75" x14ac:dyDescent="0.2"/>
    <row r="4460" ht="12.75" x14ac:dyDescent="0.2"/>
    <row r="4461" ht="12.75" x14ac:dyDescent="0.2"/>
    <row r="4462" ht="12.75" x14ac:dyDescent="0.2"/>
    <row r="4463" ht="12.75" x14ac:dyDescent="0.2"/>
    <row r="4464" ht="12.75" x14ac:dyDescent="0.2"/>
    <row r="4465" ht="12.75" x14ac:dyDescent="0.2"/>
    <row r="4466" ht="12.75" x14ac:dyDescent="0.2"/>
    <row r="4467" ht="12.75" x14ac:dyDescent="0.2"/>
    <row r="4468" ht="12.75" x14ac:dyDescent="0.2"/>
    <row r="4469" ht="12.75" x14ac:dyDescent="0.2"/>
    <row r="4470" ht="12.75" x14ac:dyDescent="0.2"/>
    <row r="4471" ht="12.75" x14ac:dyDescent="0.2"/>
    <row r="4472" ht="12.75" x14ac:dyDescent="0.2"/>
    <row r="4473" ht="12.75" x14ac:dyDescent="0.2"/>
    <row r="4474" ht="12.75" x14ac:dyDescent="0.2"/>
    <row r="4475" ht="12.75" x14ac:dyDescent="0.2"/>
    <row r="4476" ht="12.75" x14ac:dyDescent="0.2"/>
    <row r="4477" ht="12.75" x14ac:dyDescent="0.2"/>
    <row r="4478" ht="12.75" x14ac:dyDescent="0.2"/>
    <row r="4479" ht="12.75" x14ac:dyDescent="0.2"/>
    <row r="4480" ht="12.75" x14ac:dyDescent="0.2"/>
    <row r="4481" ht="12.75" x14ac:dyDescent="0.2"/>
    <row r="4482" ht="12.75" x14ac:dyDescent="0.2"/>
    <row r="4483" ht="12.75" x14ac:dyDescent="0.2"/>
    <row r="4484" ht="12.75" x14ac:dyDescent="0.2"/>
    <row r="4485" ht="12.75" x14ac:dyDescent="0.2"/>
    <row r="4486" ht="12.75" x14ac:dyDescent="0.2"/>
    <row r="4487" ht="12.75" x14ac:dyDescent="0.2"/>
    <row r="4488" ht="12.75" x14ac:dyDescent="0.2"/>
    <row r="4489" ht="12.75" x14ac:dyDescent="0.2"/>
    <row r="4490" ht="12.75" x14ac:dyDescent="0.2"/>
    <row r="4491" ht="12.75" x14ac:dyDescent="0.2"/>
    <row r="4492" ht="12.75" x14ac:dyDescent="0.2"/>
    <row r="4493" ht="12.75" x14ac:dyDescent="0.2"/>
    <row r="4494" ht="12.75" x14ac:dyDescent="0.2"/>
    <row r="4495" ht="12.75" x14ac:dyDescent="0.2"/>
    <row r="4496" ht="12.75" x14ac:dyDescent="0.2"/>
    <row r="4497" ht="12.75" x14ac:dyDescent="0.2"/>
    <row r="4498" ht="12.75" x14ac:dyDescent="0.2"/>
    <row r="4499" ht="12.75" x14ac:dyDescent="0.2"/>
    <row r="4500" ht="12.75" x14ac:dyDescent="0.2"/>
    <row r="4501" ht="12.75" x14ac:dyDescent="0.2"/>
    <row r="4502" ht="12.75" x14ac:dyDescent="0.2"/>
    <row r="4503" ht="12.75" x14ac:dyDescent="0.2"/>
    <row r="4504" ht="12.75" x14ac:dyDescent="0.2"/>
    <row r="4505" ht="12.75" x14ac:dyDescent="0.2"/>
    <row r="4506" ht="12.75" x14ac:dyDescent="0.2"/>
    <row r="4507" ht="12.75" x14ac:dyDescent="0.2"/>
    <row r="4508" ht="12.75" x14ac:dyDescent="0.2"/>
    <row r="4509" ht="12.75" x14ac:dyDescent="0.2"/>
    <row r="4510" ht="12.75" x14ac:dyDescent="0.2"/>
    <row r="4511" ht="12.75" x14ac:dyDescent="0.2"/>
    <row r="4512" ht="12.75" x14ac:dyDescent="0.2"/>
    <row r="4513" ht="12.75" x14ac:dyDescent="0.2"/>
    <row r="4514" ht="12.75" x14ac:dyDescent="0.2"/>
    <row r="4515" ht="12.75" x14ac:dyDescent="0.2"/>
    <row r="4516" ht="12.75" x14ac:dyDescent="0.2"/>
    <row r="4517" ht="12.75" x14ac:dyDescent="0.2"/>
    <row r="4518" ht="12.75" x14ac:dyDescent="0.2"/>
    <row r="4519" ht="12.75" x14ac:dyDescent="0.2"/>
    <row r="4520" ht="12.75" x14ac:dyDescent="0.2"/>
    <row r="4521" ht="12.75" x14ac:dyDescent="0.2"/>
    <row r="4522" ht="12.75" x14ac:dyDescent="0.2"/>
    <row r="4523" ht="12.75" x14ac:dyDescent="0.2"/>
    <row r="4524" ht="12.75" x14ac:dyDescent="0.2"/>
    <row r="4525" ht="12.75" x14ac:dyDescent="0.2"/>
    <row r="4526" ht="12.75" x14ac:dyDescent="0.2"/>
    <row r="4527" ht="12.75" x14ac:dyDescent="0.2"/>
    <row r="4528" ht="12.75" x14ac:dyDescent="0.2"/>
    <row r="4529" ht="12.75" x14ac:dyDescent="0.2"/>
    <row r="4530" ht="12.75" x14ac:dyDescent="0.2"/>
    <row r="4531" ht="12.75" x14ac:dyDescent="0.2"/>
    <row r="4532" ht="12.75" x14ac:dyDescent="0.2"/>
    <row r="4533" ht="12.75" x14ac:dyDescent="0.2"/>
    <row r="4534" ht="12.75" x14ac:dyDescent="0.2"/>
    <row r="4535" ht="12.75" x14ac:dyDescent="0.2"/>
    <row r="4536" ht="12.75" x14ac:dyDescent="0.2"/>
    <row r="4537" ht="12.75" x14ac:dyDescent="0.2"/>
    <row r="4538" ht="12.75" x14ac:dyDescent="0.2"/>
    <row r="4539" ht="12.75" x14ac:dyDescent="0.2"/>
    <row r="4540" ht="12.75" x14ac:dyDescent="0.2"/>
    <row r="4541" ht="12.75" x14ac:dyDescent="0.2"/>
    <row r="4542" ht="12.75" x14ac:dyDescent="0.2"/>
    <row r="4543" ht="12.75" x14ac:dyDescent="0.2"/>
    <row r="4544" ht="12.75" x14ac:dyDescent="0.2"/>
    <row r="4545" ht="12.75" x14ac:dyDescent="0.2"/>
    <row r="4546" ht="12.75" x14ac:dyDescent="0.2"/>
    <row r="4547" ht="12.75" x14ac:dyDescent="0.2"/>
    <row r="4548" ht="12.75" x14ac:dyDescent="0.2"/>
    <row r="4549" ht="12.75" x14ac:dyDescent="0.2"/>
    <row r="4550" ht="12.75" x14ac:dyDescent="0.2"/>
    <row r="4551" ht="12.75" x14ac:dyDescent="0.2"/>
    <row r="4552" ht="12.75" x14ac:dyDescent="0.2"/>
    <row r="4553" ht="12.75" x14ac:dyDescent="0.2"/>
    <row r="4554" ht="12.75" x14ac:dyDescent="0.2"/>
    <row r="4555" ht="12.75" x14ac:dyDescent="0.2"/>
    <row r="4556" ht="12.75" x14ac:dyDescent="0.2"/>
    <row r="4557" ht="12.75" x14ac:dyDescent="0.2"/>
    <row r="4558" ht="12.75" x14ac:dyDescent="0.2"/>
    <row r="4559" ht="12.75" x14ac:dyDescent="0.2"/>
    <row r="4560" ht="12.75" x14ac:dyDescent="0.2"/>
    <row r="4561" ht="12.75" x14ac:dyDescent="0.2"/>
    <row r="4562" ht="12.75" x14ac:dyDescent="0.2"/>
    <row r="4563" ht="12.75" x14ac:dyDescent="0.2"/>
    <row r="4564" ht="12.75" x14ac:dyDescent="0.2"/>
    <row r="4565" ht="12.75" x14ac:dyDescent="0.2"/>
    <row r="4566" ht="12.75" x14ac:dyDescent="0.2"/>
    <row r="4567" ht="12.75" x14ac:dyDescent="0.2"/>
    <row r="4568" ht="12.75" x14ac:dyDescent="0.2"/>
    <row r="4569" ht="12.75" x14ac:dyDescent="0.2"/>
    <row r="4570" ht="12.75" x14ac:dyDescent="0.2"/>
    <row r="4571" ht="12.75" x14ac:dyDescent="0.2"/>
    <row r="4572" ht="12.75" x14ac:dyDescent="0.2"/>
    <row r="4573" ht="12.75" x14ac:dyDescent="0.2"/>
    <row r="4574" ht="12.75" x14ac:dyDescent="0.2"/>
    <row r="4575" ht="12.75" x14ac:dyDescent="0.2"/>
    <row r="4576" ht="12.75" x14ac:dyDescent="0.2"/>
    <row r="4577" ht="12.75" x14ac:dyDescent="0.2"/>
    <row r="4578" ht="12.75" x14ac:dyDescent="0.2"/>
    <row r="4579" ht="12.75" x14ac:dyDescent="0.2"/>
    <row r="4580" ht="12.75" x14ac:dyDescent="0.2"/>
    <row r="4581" ht="12.75" x14ac:dyDescent="0.2"/>
    <row r="4582" ht="12.75" x14ac:dyDescent="0.2"/>
    <row r="4583" ht="12.75" x14ac:dyDescent="0.2"/>
    <row r="4584" ht="12.75" x14ac:dyDescent="0.2"/>
    <row r="4585" ht="12.75" x14ac:dyDescent="0.2"/>
    <row r="4586" ht="12.75" x14ac:dyDescent="0.2"/>
    <row r="4587" ht="12.75" x14ac:dyDescent="0.2"/>
    <row r="4588" ht="12.75" x14ac:dyDescent="0.2"/>
    <row r="4589" ht="12.75" x14ac:dyDescent="0.2"/>
    <row r="4590" ht="12.75" x14ac:dyDescent="0.2"/>
    <row r="4591" ht="12.75" x14ac:dyDescent="0.2"/>
    <row r="4592" ht="12.75" x14ac:dyDescent="0.2"/>
    <row r="4593" ht="12.75" x14ac:dyDescent="0.2"/>
    <row r="4594" ht="12.75" x14ac:dyDescent="0.2"/>
    <row r="4595" ht="12.75" x14ac:dyDescent="0.2"/>
    <row r="4596" ht="12.75" x14ac:dyDescent="0.2"/>
    <row r="4597" ht="12.75" x14ac:dyDescent="0.2"/>
    <row r="4598" ht="12.75" x14ac:dyDescent="0.2"/>
    <row r="4599" ht="12.75" x14ac:dyDescent="0.2"/>
    <row r="4600" ht="12.75" x14ac:dyDescent="0.2"/>
    <row r="4601" ht="12.75" x14ac:dyDescent="0.2"/>
    <row r="4602" ht="12.75" x14ac:dyDescent="0.2"/>
    <row r="4603" ht="12.75" x14ac:dyDescent="0.2"/>
    <row r="4604" ht="12.75" x14ac:dyDescent="0.2"/>
    <row r="4605" ht="12.75" x14ac:dyDescent="0.2"/>
    <row r="4606" ht="12.75" x14ac:dyDescent="0.2"/>
    <row r="4607" ht="12.75" x14ac:dyDescent="0.2"/>
    <row r="4608" ht="12.75" x14ac:dyDescent="0.2"/>
    <row r="4609" ht="12.75" x14ac:dyDescent="0.2"/>
    <row r="4610" ht="12.75" x14ac:dyDescent="0.2"/>
    <row r="4611" ht="12.75" x14ac:dyDescent="0.2"/>
    <row r="4612" ht="12.75" x14ac:dyDescent="0.2"/>
    <row r="4613" ht="12.75" x14ac:dyDescent="0.2"/>
    <row r="4614" ht="12.75" x14ac:dyDescent="0.2"/>
    <row r="4615" ht="12.75" x14ac:dyDescent="0.2"/>
    <row r="4616" ht="12.75" x14ac:dyDescent="0.2"/>
    <row r="4617" ht="12.75" x14ac:dyDescent="0.2"/>
    <row r="4618" ht="12.75" x14ac:dyDescent="0.2"/>
    <row r="4619" ht="12.75" x14ac:dyDescent="0.2"/>
    <row r="4620" ht="12.75" x14ac:dyDescent="0.2"/>
    <row r="4621" ht="12.75" x14ac:dyDescent="0.2"/>
    <row r="4622" ht="12.75" x14ac:dyDescent="0.2"/>
    <row r="4623" ht="12.75" x14ac:dyDescent="0.2"/>
    <row r="4624" ht="12.75" x14ac:dyDescent="0.2"/>
    <row r="4625" ht="12.75" x14ac:dyDescent="0.2"/>
    <row r="4626" ht="12.75" x14ac:dyDescent="0.2"/>
    <row r="4627" ht="12.75" x14ac:dyDescent="0.2"/>
    <row r="4628" ht="12.75" x14ac:dyDescent="0.2"/>
    <row r="4629" ht="12.75" x14ac:dyDescent="0.2"/>
    <row r="4630" ht="12.75" x14ac:dyDescent="0.2"/>
    <row r="4631" ht="12.75" x14ac:dyDescent="0.2"/>
    <row r="4632" ht="12.75" x14ac:dyDescent="0.2"/>
    <row r="4633" ht="12.75" x14ac:dyDescent="0.2"/>
    <row r="4634" ht="12.75" x14ac:dyDescent="0.2"/>
    <row r="4635" ht="12.75" x14ac:dyDescent="0.2"/>
    <row r="4636" ht="12.75" x14ac:dyDescent="0.2"/>
    <row r="4637" ht="12.75" x14ac:dyDescent="0.2"/>
    <row r="4638" ht="12.75" x14ac:dyDescent="0.2"/>
    <row r="4639" ht="12.75" x14ac:dyDescent="0.2"/>
    <row r="4640" ht="12.75" x14ac:dyDescent="0.2"/>
    <row r="4641" ht="12.75" x14ac:dyDescent="0.2"/>
    <row r="4642" ht="12.75" x14ac:dyDescent="0.2"/>
    <row r="4643" ht="12.75" x14ac:dyDescent="0.2"/>
    <row r="4644" ht="12.75" x14ac:dyDescent="0.2"/>
    <row r="4645" ht="12.75" x14ac:dyDescent="0.2"/>
    <row r="4646" ht="12.75" x14ac:dyDescent="0.2"/>
    <row r="4647" ht="12.75" x14ac:dyDescent="0.2"/>
    <row r="4648" ht="12.75" x14ac:dyDescent="0.2"/>
    <row r="4649" ht="12.75" x14ac:dyDescent="0.2"/>
    <row r="4650" ht="12.75" x14ac:dyDescent="0.2"/>
    <row r="4651" ht="12.75" x14ac:dyDescent="0.2"/>
    <row r="4652" ht="12.75" x14ac:dyDescent="0.2"/>
    <row r="4653" ht="12.75" x14ac:dyDescent="0.2"/>
    <row r="4654" ht="12.75" x14ac:dyDescent="0.2"/>
    <row r="4655" ht="12.75" x14ac:dyDescent="0.2"/>
    <row r="4656" ht="12.75" x14ac:dyDescent="0.2"/>
    <row r="4657" ht="12.75" x14ac:dyDescent="0.2"/>
    <row r="4658" ht="12.75" x14ac:dyDescent="0.2"/>
    <row r="4659" ht="12.75" x14ac:dyDescent="0.2"/>
    <row r="4660" ht="12.75" x14ac:dyDescent="0.2"/>
    <row r="4661" ht="12.75" x14ac:dyDescent="0.2"/>
    <row r="4662" ht="12.75" x14ac:dyDescent="0.2"/>
    <row r="4663" ht="12.75" x14ac:dyDescent="0.2"/>
    <row r="4664" ht="12.75" x14ac:dyDescent="0.2"/>
    <row r="4665" ht="12.75" x14ac:dyDescent="0.2"/>
    <row r="4666" ht="12.75" x14ac:dyDescent="0.2"/>
    <row r="4667" ht="12.75" x14ac:dyDescent="0.2"/>
    <row r="4668" ht="12.75" x14ac:dyDescent="0.2"/>
    <row r="4669" ht="12.75" x14ac:dyDescent="0.2"/>
    <row r="4670" ht="12.75" x14ac:dyDescent="0.2"/>
    <row r="4671" ht="12.75" x14ac:dyDescent="0.2"/>
    <row r="4672" ht="12.75" x14ac:dyDescent="0.2"/>
    <row r="4673" ht="12.75" x14ac:dyDescent="0.2"/>
    <row r="4674" ht="12.75" x14ac:dyDescent="0.2"/>
    <row r="4675" ht="12.75" x14ac:dyDescent="0.2"/>
    <row r="4676" ht="12.75" x14ac:dyDescent="0.2"/>
    <row r="4677" ht="12.75" x14ac:dyDescent="0.2"/>
    <row r="4678" ht="12.75" x14ac:dyDescent="0.2"/>
    <row r="4679" ht="12.75" x14ac:dyDescent="0.2"/>
    <row r="4680" ht="12.75" x14ac:dyDescent="0.2"/>
    <row r="4681" ht="12.75" x14ac:dyDescent="0.2"/>
    <row r="4682" ht="12.75" x14ac:dyDescent="0.2"/>
    <row r="4683" ht="12.75" x14ac:dyDescent="0.2"/>
    <row r="4684" ht="12.75" x14ac:dyDescent="0.2"/>
    <row r="4685" ht="12.75" x14ac:dyDescent="0.2"/>
    <row r="4686" ht="12.75" x14ac:dyDescent="0.2"/>
    <row r="4687" ht="12.75" x14ac:dyDescent="0.2"/>
    <row r="4688" ht="12.75" x14ac:dyDescent="0.2"/>
    <row r="4689" ht="12.75" x14ac:dyDescent="0.2"/>
    <row r="4690" ht="12.75" x14ac:dyDescent="0.2"/>
    <row r="4691" ht="12.75" x14ac:dyDescent="0.2"/>
    <row r="4692" ht="12.75" x14ac:dyDescent="0.2"/>
    <row r="4693" ht="12.75" x14ac:dyDescent="0.2"/>
    <row r="4694" ht="12.75" x14ac:dyDescent="0.2"/>
    <row r="4695" ht="12.75" x14ac:dyDescent="0.2"/>
    <row r="4696" ht="12.75" x14ac:dyDescent="0.2"/>
    <row r="4697" ht="12.75" x14ac:dyDescent="0.2"/>
    <row r="4698" ht="12.75" x14ac:dyDescent="0.2"/>
    <row r="4699" ht="12.75" x14ac:dyDescent="0.2"/>
    <row r="4700" ht="12.75" x14ac:dyDescent="0.2"/>
    <row r="4701" ht="12.75" x14ac:dyDescent="0.2"/>
    <row r="4702" ht="12.75" x14ac:dyDescent="0.2"/>
    <row r="4703" ht="12.75" x14ac:dyDescent="0.2"/>
    <row r="4704" ht="12.75" x14ac:dyDescent="0.2"/>
    <row r="4705" ht="12.75" x14ac:dyDescent="0.2"/>
    <row r="4706" ht="12.75" x14ac:dyDescent="0.2"/>
    <row r="4707" ht="12.75" x14ac:dyDescent="0.2"/>
    <row r="4708" ht="12.75" x14ac:dyDescent="0.2"/>
    <row r="4709" ht="12.75" x14ac:dyDescent="0.2"/>
    <row r="4710" ht="12.75" x14ac:dyDescent="0.2"/>
    <row r="4711" ht="12.75" x14ac:dyDescent="0.2"/>
    <row r="4712" ht="12.75" x14ac:dyDescent="0.2"/>
    <row r="4713" ht="12.75" x14ac:dyDescent="0.2"/>
    <row r="4714" ht="12.75" x14ac:dyDescent="0.2"/>
    <row r="4715" ht="12.75" x14ac:dyDescent="0.2"/>
    <row r="4716" ht="12.75" x14ac:dyDescent="0.2"/>
    <row r="4717" ht="12.75" x14ac:dyDescent="0.2"/>
    <row r="4718" ht="12.75" x14ac:dyDescent="0.2"/>
    <row r="4719" ht="12.75" x14ac:dyDescent="0.2"/>
    <row r="4720" ht="12.75" x14ac:dyDescent="0.2"/>
    <row r="4721" ht="12.75" x14ac:dyDescent="0.2"/>
    <row r="4722" ht="12.75" x14ac:dyDescent="0.2"/>
    <row r="4723" ht="12.75" x14ac:dyDescent="0.2"/>
    <row r="4724" ht="12.75" x14ac:dyDescent="0.2"/>
    <row r="4725" ht="12.75" x14ac:dyDescent="0.2"/>
    <row r="4726" ht="12.75" x14ac:dyDescent="0.2"/>
    <row r="4727" ht="12.75" x14ac:dyDescent="0.2"/>
    <row r="4728" ht="12.75" x14ac:dyDescent="0.2"/>
    <row r="4729" ht="12.75" x14ac:dyDescent="0.2"/>
    <row r="4730" ht="12.75" x14ac:dyDescent="0.2"/>
    <row r="4731" ht="12.75" x14ac:dyDescent="0.2"/>
    <row r="4732" ht="12.75" x14ac:dyDescent="0.2"/>
    <row r="4733" ht="12.75" x14ac:dyDescent="0.2"/>
    <row r="4734" ht="12.75" x14ac:dyDescent="0.2"/>
    <row r="4735" ht="12.75" x14ac:dyDescent="0.2"/>
    <row r="4736" ht="12.75" x14ac:dyDescent="0.2"/>
    <row r="4737" ht="12.75" x14ac:dyDescent="0.2"/>
    <row r="4738" ht="12.75" x14ac:dyDescent="0.2"/>
    <row r="4739" ht="12.75" x14ac:dyDescent="0.2"/>
    <row r="4740" ht="12.75" x14ac:dyDescent="0.2"/>
    <row r="4741" ht="12.75" x14ac:dyDescent="0.2"/>
    <row r="4742" ht="12.75" x14ac:dyDescent="0.2"/>
    <row r="4743" ht="12.75" x14ac:dyDescent="0.2"/>
    <row r="4744" ht="12.75" x14ac:dyDescent="0.2"/>
    <row r="4745" ht="12.75" x14ac:dyDescent="0.2"/>
    <row r="4746" ht="12.75" x14ac:dyDescent="0.2"/>
    <row r="4747" ht="12.75" x14ac:dyDescent="0.2"/>
    <row r="4748" ht="12.75" x14ac:dyDescent="0.2"/>
    <row r="4749" ht="12.75" x14ac:dyDescent="0.2"/>
    <row r="4750" ht="12.75" x14ac:dyDescent="0.2"/>
    <row r="4751" ht="12.75" x14ac:dyDescent="0.2"/>
    <row r="4752" ht="12.75" x14ac:dyDescent="0.2"/>
    <row r="4753" ht="12.75" x14ac:dyDescent="0.2"/>
    <row r="4754" ht="12.75" x14ac:dyDescent="0.2"/>
    <row r="4755" ht="12.75" x14ac:dyDescent="0.2"/>
    <row r="4756" ht="12.75" x14ac:dyDescent="0.2"/>
    <row r="4757" ht="12.75" x14ac:dyDescent="0.2"/>
    <row r="4758" ht="12.75" x14ac:dyDescent="0.2"/>
    <row r="4759" ht="12.75" x14ac:dyDescent="0.2"/>
    <row r="4760" ht="12.75" x14ac:dyDescent="0.2"/>
    <row r="4761" ht="12.75" x14ac:dyDescent="0.2"/>
    <row r="4762" ht="12.75" x14ac:dyDescent="0.2"/>
    <row r="4763" ht="12.75" x14ac:dyDescent="0.2"/>
    <row r="4764" ht="12.75" x14ac:dyDescent="0.2"/>
    <row r="4765" ht="12.75" x14ac:dyDescent="0.2"/>
    <row r="4766" ht="12.75" x14ac:dyDescent="0.2"/>
    <row r="4767" ht="12.75" x14ac:dyDescent="0.2"/>
    <row r="4768" ht="12.75" x14ac:dyDescent="0.2"/>
    <row r="4769" ht="12.75" x14ac:dyDescent="0.2"/>
    <row r="4770" ht="12.75" x14ac:dyDescent="0.2"/>
    <row r="4771" ht="12.75" x14ac:dyDescent="0.2"/>
    <row r="4772" ht="12.75" x14ac:dyDescent="0.2"/>
    <row r="4773" ht="12.75" x14ac:dyDescent="0.2"/>
    <row r="4774" ht="12.75" x14ac:dyDescent="0.2"/>
    <row r="4775" ht="12.75" x14ac:dyDescent="0.2"/>
    <row r="4776" ht="12.75" x14ac:dyDescent="0.2"/>
    <row r="4777" ht="12.75" x14ac:dyDescent="0.2"/>
    <row r="4778" ht="12.75" x14ac:dyDescent="0.2"/>
    <row r="4779" ht="12.75" x14ac:dyDescent="0.2"/>
    <row r="4780" ht="12.75" x14ac:dyDescent="0.2"/>
    <row r="4781" ht="12.75" x14ac:dyDescent="0.2"/>
    <row r="4782" ht="12.75" x14ac:dyDescent="0.2"/>
    <row r="4783" ht="12.75" x14ac:dyDescent="0.2"/>
    <row r="4784" ht="12.75" x14ac:dyDescent="0.2"/>
    <row r="4785" ht="12.75" x14ac:dyDescent="0.2"/>
    <row r="4786" ht="12.75" x14ac:dyDescent="0.2"/>
    <row r="4787" ht="12.75" x14ac:dyDescent="0.2"/>
    <row r="4788" ht="12.75" x14ac:dyDescent="0.2"/>
    <row r="4789" ht="12.75" x14ac:dyDescent="0.2"/>
    <row r="4790" ht="12.75" x14ac:dyDescent="0.2"/>
    <row r="4791" ht="12.75" x14ac:dyDescent="0.2"/>
    <row r="4792" ht="12.75" x14ac:dyDescent="0.2"/>
    <row r="4793" ht="12.75" x14ac:dyDescent="0.2"/>
    <row r="4794" ht="12.75" x14ac:dyDescent="0.2"/>
    <row r="4795" ht="12.75" x14ac:dyDescent="0.2"/>
    <row r="4796" ht="12.75" x14ac:dyDescent="0.2"/>
    <row r="4797" ht="12.75" x14ac:dyDescent="0.2"/>
    <row r="4798" ht="12.75" x14ac:dyDescent="0.2"/>
    <row r="4799" ht="12.75" x14ac:dyDescent="0.2"/>
    <row r="4800" ht="12.75" x14ac:dyDescent="0.2"/>
    <row r="4801" ht="12.75" x14ac:dyDescent="0.2"/>
    <row r="4802" ht="12.75" x14ac:dyDescent="0.2"/>
    <row r="4803" ht="12.75" x14ac:dyDescent="0.2"/>
    <row r="4804" ht="12.75" x14ac:dyDescent="0.2"/>
    <row r="4805" ht="12.75" x14ac:dyDescent="0.2"/>
    <row r="4806" ht="12.75" x14ac:dyDescent="0.2"/>
    <row r="4807" ht="12.75" x14ac:dyDescent="0.2"/>
    <row r="4808" ht="12.75" x14ac:dyDescent="0.2"/>
    <row r="4809" ht="12.75" x14ac:dyDescent="0.2"/>
    <row r="4810" ht="12.75" x14ac:dyDescent="0.2"/>
    <row r="4811" ht="12.75" x14ac:dyDescent="0.2"/>
    <row r="4812" ht="12.75" x14ac:dyDescent="0.2"/>
    <row r="4813" ht="12.75" x14ac:dyDescent="0.2"/>
    <row r="4814" ht="12.75" x14ac:dyDescent="0.2"/>
    <row r="4815" ht="12.75" x14ac:dyDescent="0.2"/>
    <row r="4816" ht="12.75" x14ac:dyDescent="0.2"/>
    <row r="4817" ht="12.75" x14ac:dyDescent="0.2"/>
    <row r="4818" ht="12.75" x14ac:dyDescent="0.2"/>
    <row r="4819" ht="12.75" x14ac:dyDescent="0.2"/>
    <row r="4820" ht="12.75" x14ac:dyDescent="0.2"/>
    <row r="4821" ht="12.75" x14ac:dyDescent="0.2"/>
    <row r="4822" ht="12.75" x14ac:dyDescent="0.2"/>
    <row r="4823" ht="12.75" x14ac:dyDescent="0.2"/>
    <row r="4824" ht="12.75" x14ac:dyDescent="0.2"/>
    <row r="4825" ht="12.75" x14ac:dyDescent="0.2"/>
    <row r="4826" ht="12.75" x14ac:dyDescent="0.2"/>
    <row r="4827" ht="12.75" x14ac:dyDescent="0.2"/>
    <row r="4828" ht="12.75" x14ac:dyDescent="0.2"/>
    <row r="4829" ht="12.75" x14ac:dyDescent="0.2"/>
    <row r="4830" ht="12.75" x14ac:dyDescent="0.2"/>
    <row r="4831" ht="12.75" x14ac:dyDescent="0.2"/>
    <row r="4832" ht="12.75" x14ac:dyDescent="0.2"/>
    <row r="4833" ht="12.75" x14ac:dyDescent="0.2"/>
    <row r="4834" ht="12.75" x14ac:dyDescent="0.2"/>
    <row r="4835" ht="12.75" x14ac:dyDescent="0.2"/>
    <row r="4836" ht="12.75" x14ac:dyDescent="0.2"/>
    <row r="4837" ht="12.75" x14ac:dyDescent="0.2"/>
    <row r="4838" ht="12.75" x14ac:dyDescent="0.2"/>
    <row r="4839" ht="12.75" x14ac:dyDescent="0.2"/>
    <row r="4840" ht="12.75" x14ac:dyDescent="0.2"/>
    <row r="4841" ht="12.75" x14ac:dyDescent="0.2"/>
    <row r="4842" ht="12.75" x14ac:dyDescent="0.2"/>
    <row r="4843" ht="12.75" x14ac:dyDescent="0.2"/>
    <row r="4844" ht="12.75" x14ac:dyDescent="0.2"/>
    <row r="4845" ht="12.75" x14ac:dyDescent="0.2"/>
    <row r="4846" ht="12.75" x14ac:dyDescent="0.2"/>
    <row r="4847" ht="12.75" x14ac:dyDescent="0.2"/>
    <row r="4848" ht="12.75" x14ac:dyDescent="0.2"/>
    <row r="4849" ht="12.75" x14ac:dyDescent="0.2"/>
    <row r="4850" ht="12.75" x14ac:dyDescent="0.2"/>
    <row r="4851" ht="12.75" x14ac:dyDescent="0.2"/>
    <row r="4852" ht="12.75" x14ac:dyDescent="0.2"/>
    <row r="4853" ht="12.75" x14ac:dyDescent="0.2"/>
    <row r="4854" ht="12.75" x14ac:dyDescent="0.2"/>
    <row r="4855" ht="12.75" x14ac:dyDescent="0.2"/>
    <row r="4856" ht="12.75" x14ac:dyDescent="0.2"/>
    <row r="4857" ht="12.75" x14ac:dyDescent="0.2"/>
    <row r="4858" ht="12.75" x14ac:dyDescent="0.2"/>
    <row r="4859" ht="12.75" x14ac:dyDescent="0.2"/>
    <row r="4860" ht="12.75" x14ac:dyDescent="0.2"/>
    <row r="4861" ht="12.75" x14ac:dyDescent="0.2"/>
    <row r="4862" ht="12.75" x14ac:dyDescent="0.2"/>
    <row r="4863" ht="12.75" x14ac:dyDescent="0.2"/>
    <row r="4864" ht="12.75" x14ac:dyDescent="0.2"/>
    <row r="4865" ht="12.75" x14ac:dyDescent="0.2"/>
    <row r="4866" ht="12.75" x14ac:dyDescent="0.2"/>
    <row r="4867" ht="12.75" x14ac:dyDescent="0.2"/>
    <row r="4868" ht="12.75" x14ac:dyDescent="0.2"/>
    <row r="4869" ht="12.75" x14ac:dyDescent="0.2"/>
    <row r="4870" ht="12.75" x14ac:dyDescent="0.2"/>
    <row r="4871" ht="12.75" x14ac:dyDescent="0.2"/>
    <row r="4872" ht="12.75" x14ac:dyDescent="0.2"/>
    <row r="4873" ht="12.75" x14ac:dyDescent="0.2"/>
    <row r="4874" ht="12.75" x14ac:dyDescent="0.2"/>
    <row r="4875" ht="12.75" x14ac:dyDescent="0.2"/>
    <row r="4876" ht="12.75" x14ac:dyDescent="0.2"/>
    <row r="4877" ht="12.75" x14ac:dyDescent="0.2"/>
    <row r="4878" ht="12.75" x14ac:dyDescent="0.2"/>
    <row r="4879" ht="12.75" x14ac:dyDescent="0.2"/>
    <row r="4880" ht="12.75" x14ac:dyDescent="0.2"/>
    <row r="4881" ht="12.75" x14ac:dyDescent="0.2"/>
    <row r="4882" ht="12.75" x14ac:dyDescent="0.2"/>
    <row r="4883" ht="12.75" x14ac:dyDescent="0.2"/>
    <row r="4884" ht="12.75" x14ac:dyDescent="0.2"/>
    <row r="4885" ht="12.75" x14ac:dyDescent="0.2"/>
    <row r="4886" ht="12.75" x14ac:dyDescent="0.2"/>
    <row r="4887" ht="12.75" x14ac:dyDescent="0.2"/>
    <row r="4888" ht="12.75" x14ac:dyDescent="0.2"/>
    <row r="4889" ht="12.75" x14ac:dyDescent="0.2"/>
    <row r="4890" ht="12.75" x14ac:dyDescent="0.2"/>
    <row r="4891" ht="12.75" x14ac:dyDescent="0.2"/>
    <row r="4892" ht="12.75" x14ac:dyDescent="0.2"/>
    <row r="4893" ht="12.75" x14ac:dyDescent="0.2"/>
    <row r="4894" ht="12.75" x14ac:dyDescent="0.2"/>
    <row r="4895" ht="12.75" x14ac:dyDescent="0.2"/>
    <row r="4896" ht="12.75" x14ac:dyDescent="0.2"/>
    <row r="4897" ht="12.75" x14ac:dyDescent="0.2"/>
    <row r="4898" ht="12.75" x14ac:dyDescent="0.2"/>
    <row r="4899" ht="12.75" x14ac:dyDescent="0.2"/>
    <row r="4900" ht="12.75" x14ac:dyDescent="0.2"/>
    <row r="4901" ht="12.75" x14ac:dyDescent="0.2"/>
    <row r="4902" ht="12.75" x14ac:dyDescent="0.2"/>
    <row r="4903" ht="12.75" x14ac:dyDescent="0.2"/>
    <row r="4904" ht="12.75" x14ac:dyDescent="0.2"/>
    <row r="4905" ht="12.75" x14ac:dyDescent="0.2"/>
    <row r="4906" ht="12.75" x14ac:dyDescent="0.2"/>
    <row r="4907" ht="12.75" x14ac:dyDescent="0.2"/>
    <row r="4908" ht="12.75" x14ac:dyDescent="0.2"/>
    <row r="4909" ht="12.75" x14ac:dyDescent="0.2"/>
    <row r="4910" ht="12.75" x14ac:dyDescent="0.2"/>
    <row r="4911" ht="12.75" x14ac:dyDescent="0.2"/>
    <row r="4912" ht="12.75" x14ac:dyDescent="0.2"/>
    <row r="4913" ht="12.75" x14ac:dyDescent="0.2"/>
    <row r="4914" ht="12.75" x14ac:dyDescent="0.2"/>
    <row r="4915" ht="12.75" x14ac:dyDescent="0.2"/>
    <row r="4916" ht="12.75" x14ac:dyDescent="0.2"/>
    <row r="4917" ht="12.75" x14ac:dyDescent="0.2"/>
    <row r="4918" ht="12.75" x14ac:dyDescent="0.2"/>
    <row r="4919" ht="12.75" x14ac:dyDescent="0.2"/>
    <row r="4920" ht="12.75" x14ac:dyDescent="0.2"/>
    <row r="4921" ht="12.75" x14ac:dyDescent="0.2"/>
    <row r="4922" ht="12.75" x14ac:dyDescent="0.2"/>
    <row r="4923" ht="12.75" x14ac:dyDescent="0.2"/>
    <row r="4924" ht="12.75" x14ac:dyDescent="0.2"/>
    <row r="4925" ht="12.75" x14ac:dyDescent="0.2"/>
    <row r="4926" ht="12.75" x14ac:dyDescent="0.2"/>
    <row r="4927" ht="12.75" x14ac:dyDescent="0.2"/>
    <row r="4928" ht="12.75" x14ac:dyDescent="0.2"/>
    <row r="4929" ht="12.75" x14ac:dyDescent="0.2"/>
    <row r="4930" ht="12.75" x14ac:dyDescent="0.2"/>
    <row r="4931" ht="12.75" x14ac:dyDescent="0.2"/>
    <row r="4932" ht="12.75" x14ac:dyDescent="0.2"/>
    <row r="4933" ht="12.75" x14ac:dyDescent="0.2"/>
    <row r="4934" ht="12.75" x14ac:dyDescent="0.2"/>
    <row r="4935" ht="12.75" x14ac:dyDescent="0.2"/>
    <row r="4936" ht="12.75" x14ac:dyDescent="0.2"/>
    <row r="4937" ht="12.75" x14ac:dyDescent="0.2"/>
    <row r="4938" ht="12.75" x14ac:dyDescent="0.2"/>
    <row r="4939" ht="12.75" x14ac:dyDescent="0.2"/>
    <row r="4940" ht="12.75" x14ac:dyDescent="0.2"/>
    <row r="4941" ht="12.75" x14ac:dyDescent="0.2"/>
    <row r="4942" ht="12.75" x14ac:dyDescent="0.2"/>
    <row r="4943" ht="12.75" x14ac:dyDescent="0.2"/>
    <row r="4944" ht="12.75" x14ac:dyDescent="0.2"/>
    <row r="4945" ht="12.75" x14ac:dyDescent="0.2"/>
    <row r="4946" ht="12.75" x14ac:dyDescent="0.2"/>
    <row r="4947" ht="12.75" x14ac:dyDescent="0.2"/>
    <row r="4948" ht="12.75" x14ac:dyDescent="0.2"/>
    <row r="4949" ht="12.75" x14ac:dyDescent="0.2"/>
    <row r="4950" ht="12.75" x14ac:dyDescent="0.2"/>
    <row r="4951" ht="12.75" x14ac:dyDescent="0.2"/>
    <row r="4952" ht="12.75" x14ac:dyDescent="0.2"/>
    <row r="4953" ht="12.75" x14ac:dyDescent="0.2"/>
    <row r="4954" ht="12.75" x14ac:dyDescent="0.2"/>
    <row r="4955" ht="12.75" x14ac:dyDescent="0.2"/>
    <row r="4956" ht="12.75" x14ac:dyDescent="0.2"/>
    <row r="4957" ht="12.75" x14ac:dyDescent="0.2"/>
    <row r="4958" ht="12.75" x14ac:dyDescent="0.2"/>
    <row r="4959" ht="12.75" x14ac:dyDescent="0.2"/>
    <row r="4960" ht="12.75" x14ac:dyDescent="0.2"/>
    <row r="4961" ht="12.75" x14ac:dyDescent="0.2"/>
    <row r="4962" ht="12.75" x14ac:dyDescent="0.2"/>
    <row r="4963" ht="12.75" x14ac:dyDescent="0.2"/>
    <row r="4964" ht="12.75" x14ac:dyDescent="0.2"/>
    <row r="4965" ht="12.75" x14ac:dyDescent="0.2"/>
    <row r="4966" ht="12.75" x14ac:dyDescent="0.2"/>
    <row r="4967" ht="12.75" x14ac:dyDescent="0.2"/>
    <row r="4968" ht="12.75" x14ac:dyDescent="0.2"/>
    <row r="4969" ht="12.75" x14ac:dyDescent="0.2"/>
    <row r="4970" ht="12.75" x14ac:dyDescent="0.2"/>
    <row r="4971" ht="12.75" x14ac:dyDescent="0.2"/>
    <row r="4972" ht="12.75" x14ac:dyDescent="0.2"/>
    <row r="4973" ht="12.75" x14ac:dyDescent="0.2"/>
    <row r="4974" ht="12.75" x14ac:dyDescent="0.2"/>
    <row r="4975" ht="12.75" x14ac:dyDescent="0.2"/>
    <row r="4976" ht="12.75" x14ac:dyDescent="0.2"/>
    <row r="4977" ht="12.75" x14ac:dyDescent="0.2"/>
    <row r="4978" ht="12.75" x14ac:dyDescent="0.2"/>
    <row r="4979" ht="12.75" x14ac:dyDescent="0.2"/>
    <row r="4980" ht="12.75" x14ac:dyDescent="0.2"/>
    <row r="4981" ht="12.75" x14ac:dyDescent="0.2"/>
    <row r="4982" ht="12.75" x14ac:dyDescent="0.2"/>
    <row r="4983" ht="12.75" x14ac:dyDescent="0.2"/>
    <row r="4984" ht="12.75" x14ac:dyDescent="0.2"/>
    <row r="4985" ht="12.75" x14ac:dyDescent="0.2"/>
    <row r="4986" ht="12.75" x14ac:dyDescent="0.2"/>
    <row r="4987" ht="12.75" x14ac:dyDescent="0.2"/>
    <row r="4988" ht="12.75" x14ac:dyDescent="0.2"/>
    <row r="4989" ht="12.75" x14ac:dyDescent="0.2"/>
    <row r="4990" ht="12.75" x14ac:dyDescent="0.2"/>
    <row r="4991" ht="12.75" x14ac:dyDescent="0.2"/>
    <row r="4992" ht="12.75" x14ac:dyDescent="0.2"/>
    <row r="4993" ht="12.75" x14ac:dyDescent="0.2"/>
    <row r="4994" ht="12.75" x14ac:dyDescent="0.2"/>
    <row r="4995" ht="12.75" x14ac:dyDescent="0.2"/>
    <row r="4996" ht="12.75" x14ac:dyDescent="0.2"/>
    <row r="4997" ht="12.75" x14ac:dyDescent="0.2"/>
    <row r="4998" ht="12.75" x14ac:dyDescent="0.2"/>
    <row r="4999" ht="12.75" x14ac:dyDescent="0.2"/>
    <row r="5000" ht="12.75" x14ac:dyDescent="0.2"/>
    <row r="5001" ht="12.75" x14ac:dyDescent="0.2"/>
    <row r="5002" ht="12.75" x14ac:dyDescent="0.2"/>
    <row r="5003" ht="12.75" x14ac:dyDescent="0.2"/>
    <row r="5004" ht="12.75" x14ac:dyDescent="0.2"/>
    <row r="5005" ht="12.75" x14ac:dyDescent="0.2"/>
    <row r="5006" ht="12.75" x14ac:dyDescent="0.2"/>
    <row r="5007" ht="12.75" x14ac:dyDescent="0.2"/>
    <row r="5008" ht="12.75" x14ac:dyDescent="0.2"/>
    <row r="5009" ht="12.75" x14ac:dyDescent="0.2"/>
    <row r="5010" ht="12.75" x14ac:dyDescent="0.2"/>
    <row r="5011" ht="12.75" x14ac:dyDescent="0.2"/>
    <row r="5012" ht="12.75" x14ac:dyDescent="0.2"/>
    <row r="5013" ht="12.75" x14ac:dyDescent="0.2"/>
    <row r="5014" ht="12.75" x14ac:dyDescent="0.2"/>
    <row r="5015" ht="12.75" x14ac:dyDescent="0.2"/>
    <row r="5016" ht="12.75" x14ac:dyDescent="0.2"/>
    <row r="5017" ht="12.75" x14ac:dyDescent="0.2"/>
    <row r="5018" ht="12.75" x14ac:dyDescent="0.2"/>
    <row r="5019" ht="12.75" x14ac:dyDescent="0.2"/>
    <row r="5020" ht="12.75" x14ac:dyDescent="0.2"/>
    <row r="5021" ht="12.75" x14ac:dyDescent="0.2"/>
    <row r="5022" ht="12.75" x14ac:dyDescent="0.2"/>
    <row r="5023" ht="12.75" x14ac:dyDescent="0.2"/>
    <row r="5024" ht="12.75" x14ac:dyDescent="0.2"/>
    <row r="5025" ht="12.75" x14ac:dyDescent="0.2"/>
    <row r="5026" ht="12.75" x14ac:dyDescent="0.2"/>
    <row r="5027" ht="12.75" x14ac:dyDescent="0.2"/>
    <row r="5028" ht="12.75" x14ac:dyDescent="0.2"/>
    <row r="5029" ht="12.75" x14ac:dyDescent="0.2"/>
    <row r="5030" ht="12.75" x14ac:dyDescent="0.2"/>
    <row r="5031" ht="12.75" x14ac:dyDescent="0.2"/>
    <row r="5032" ht="12.75" x14ac:dyDescent="0.2"/>
    <row r="5033" ht="12.75" x14ac:dyDescent="0.2"/>
    <row r="5034" ht="12.75" x14ac:dyDescent="0.2"/>
    <row r="5035" ht="12.75" x14ac:dyDescent="0.2"/>
    <row r="5036" ht="12.75" x14ac:dyDescent="0.2"/>
    <row r="5037" ht="12.75" x14ac:dyDescent="0.2"/>
    <row r="5038" ht="12.75" x14ac:dyDescent="0.2"/>
    <row r="5039" ht="12.75" x14ac:dyDescent="0.2"/>
    <row r="5040" ht="12.75" x14ac:dyDescent="0.2"/>
    <row r="5041" ht="12.75" x14ac:dyDescent="0.2"/>
    <row r="5042" ht="12.75" x14ac:dyDescent="0.2"/>
    <row r="5043" ht="12.75" x14ac:dyDescent="0.2"/>
    <row r="5044" ht="12.75" x14ac:dyDescent="0.2"/>
    <row r="5045" ht="12.75" x14ac:dyDescent="0.2"/>
    <row r="5046" ht="12.75" x14ac:dyDescent="0.2"/>
    <row r="5047" ht="12.75" x14ac:dyDescent="0.2"/>
    <row r="5048" ht="12.75" x14ac:dyDescent="0.2"/>
    <row r="5049" ht="12.75" x14ac:dyDescent="0.2"/>
    <row r="5050" ht="12.75" x14ac:dyDescent="0.2"/>
    <row r="5051" ht="12.75" x14ac:dyDescent="0.2"/>
    <row r="5052" ht="12.75" x14ac:dyDescent="0.2"/>
    <row r="5053" ht="12.75" x14ac:dyDescent="0.2"/>
    <row r="5054" ht="12.75" x14ac:dyDescent="0.2"/>
    <row r="5055" ht="12.75" x14ac:dyDescent="0.2"/>
    <row r="5056" ht="12.75" x14ac:dyDescent="0.2"/>
    <row r="5057" ht="12.75" x14ac:dyDescent="0.2"/>
    <row r="5058" ht="12.75" x14ac:dyDescent="0.2"/>
    <row r="5059" ht="12.75" x14ac:dyDescent="0.2"/>
    <row r="5060" ht="12.75" x14ac:dyDescent="0.2"/>
    <row r="5061" ht="12.75" x14ac:dyDescent="0.2"/>
    <row r="5062" ht="12.75" x14ac:dyDescent="0.2"/>
    <row r="5063" ht="12.75" x14ac:dyDescent="0.2"/>
    <row r="5064" ht="12.75" x14ac:dyDescent="0.2"/>
    <row r="5065" ht="12.75" x14ac:dyDescent="0.2"/>
    <row r="5066" ht="12.75" x14ac:dyDescent="0.2"/>
    <row r="5067" ht="12.75" x14ac:dyDescent="0.2"/>
    <row r="5068" ht="12.75" x14ac:dyDescent="0.2"/>
    <row r="5069" ht="12.75" x14ac:dyDescent="0.2"/>
    <row r="5070" ht="12.75" x14ac:dyDescent="0.2"/>
    <row r="5071" ht="12.75" x14ac:dyDescent="0.2"/>
    <row r="5072" ht="12.75" x14ac:dyDescent="0.2"/>
    <row r="5073" ht="12.75" x14ac:dyDescent="0.2"/>
    <row r="5074" ht="12.75" x14ac:dyDescent="0.2"/>
    <row r="5075" ht="12.75" x14ac:dyDescent="0.2"/>
    <row r="5076" ht="12.75" x14ac:dyDescent="0.2"/>
    <row r="5077" ht="12.75" x14ac:dyDescent="0.2"/>
    <row r="5078" ht="12.75" x14ac:dyDescent="0.2"/>
    <row r="5079" ht="12.75" x14ac:dyDescent="0.2"/>
    <row r="5080" ht="12.75" x14ac:dyDescent="0.2"/>
    <row r="5081" ht="12.75" x14ac:dyDescent="0.2"/>
    <row r="5082" ht="12.75" x14ac:dyDescent="0.2"/>
    <row r="5083" ht="12.75" x14ac:dyDescent="0.2"/>
    <row r="5084" ht="12.75" x14ac:dyDescent="0.2"/>
    <row r="5085" ht="12.75" x14ac:dyDescent="0.2"/>
    <row r="5086" ht="12.75" x14ac:dyDescent="0.2"/>
    <row r="5087" ht="12.75" x14ac:dyDescent="0.2"/>
    <row r="5088" ht="12.75" x14ac:dyDescent="0.2"/>
    <row r="5089" ht="12.75" x14ac:dyDescent="0.2"/>
    <row r="5090" ht="12.75" x14ac:dyDescent="0.2"/>
    <row r="5091" ht="12.75" x14ac:dyDescent="0.2"/>
    <row r="5092" ht="12.75" x14ac:dyDescent="0.2"/>
    <row r="5093" ht="12.75" x14ac:dyDescent="0.2"/>
    <row r="5094" ht="12.75" x14ac:dyDescent="0.2"/>
    <row r="5095" ht="12.75" x14ac:dyDescent="0.2"/>
    <row r="5096" ht="12.75" x14ac:dyDescent="0.2"/>
    <row r="5097" ht="12.75" x14ac:dyDescent="0.2"/>
    <row r="5098" ht="12.75" x14ac:dyDescent="0.2"/>
    <row r="5099" ht="12.75" x14ac:dyDescent="0.2"/>
    <row r="5100" ht="12.75" x14ac:dyDescent="0.2"/>
    <row r="5101" ht="12.75" x14ac:dyDescent="0.2"/>
    <row r="5102" ht="12.75" x14ac:dyDescent="0.2"/>
    <row r="5103" ht="12.75" x14ac:dyDescent="0.2"/>
    <row r="5104" ht="12.75" x14ac:dyDescent="0.2"/>
    <row r="5105" ht="12.75" x14ac:dyDescent="0.2"/>
    <row r="5106" ht="12.75" x14ac:dyDescent="0.2"/>
    <row r="5107" ht="12.75" x14ac:dyDescent="0.2"/>
    <row r="5108" ht="12.75" x14ac:dyDescent="0.2"/>
    <row r="5109" ht="12.75" x14ac:dyDescent="0.2"/>
    <row r="5110" ht="12.75" x14ac:dyDescent="0.2"/>
    <row r="5111" ht="12.75" x14ac:dyDescent="0.2"/>
    <row r="5112" ht="12.75" x14ac:dyDescent="0.2"/>
    <row r="5113" ht="12.75" x14ac:dyDescent="0.2"/>
    <row r="5114" ht="12.75" x14ac:dyDescent="0.2"/>
    <row r="5115" ht="12.75" x14ac:dyDescent="0.2"/>
    <row r="5116" ht="12.75" x14ac:dyDescent="0.2"/>
    <row r="5117" ht="12.75" x14ac:dyDescent="0.2"/>
    <row r="5118" ht="12.75" x14ac:dyDescent="0.2"/>
    <row r="5119" ht="12.75" x14ac:dyDescent="0.2"/>
    <row r="5120" ht="12.75" x14ac:dyDescent="0.2"/>
    <row r="5121" ht="12.75" x14ac:dyDescent="0.2"/>
    <row r="5122" ht="12.75" x14ac:dyDescent="0.2"/>
    <row r="5123" ht="12.75" x14ac:dyDescent="0.2"/>
    <row r="5124" ht="12.75" x14ac:dyDescent="0.2"/>
    <row r="5125" ht="12.75" x14ac:dyDescent="0.2"/>
    <row r="5126" ht="12.75" x14ac:dyDescent="0.2"/>
    <row r="5127" ht="12.75" x14ac:dyDescent="0.2"/>
    <row r="5128" ht="12.75" x14ac:dyDescent="0.2"/>
    <row r="5129" ht="12.75" x14ac:dyDescent="0.2"/>
    <row r="5130" ht="12.75" x14ac:dyDescent="0.2"/>
    <row r="5131" ht="12.75" x14ac:dyDescent="0.2"/>
    <row r="5132" ht="12.75" x14ac:dyDescent="0.2"/>
    <row r="5133" ht="12.75" x14ac:dyDescent="0.2"/>
    <row r="5134" ht="12.75" x14ac:dyDescent="0.2"/>
    <row r="5135" ht="12.75" x14ac:dyDescent="0.2"/>
    <row r="5136" ht="12.75" x14ac:dyDescent="0.2"/>
    <row r="5137" ht="12.75" x14ac:dyDescent="0.2"/>
    <row r="5138" ht="12.75" x14ac:dyDescent="0.2"/>
    <row r="5139" ht="12.75" x14ac:dyDescent="0.2"/>
    <row r="5140" ht="12.75" x14ac:dyDescent="0.2"/>
    <row r="5141" ht="12.75" x14ac:dyDescent="0.2"/>
    <row r="5142" ht="12.75" x14ac:dyDescent="0.2"/>
    <row r="5143" ht="12.75" x14ac:dyDescent="0.2"/>
    <row r="5144" ht="12.75" x14ac:dyDescent="0.2"/>
    <row r="5145" ht="12.75" x14ac:dyDescent="0.2"/>
    <row r="5146" ht="12.75" x14ac:dyDescent="0.2"/>
    <row r="5147" ht="12.75" x14ac:dyDescent="0.2"/>
    <row r="5148" ht="12.75" x14ac:dyDescent="0.2"/>
    <row r="5149" ht="12.75" x14ac:dyDescent="0.2"/>
    <row r="5150" ht="12.75" x14ac:dyDescent="0.2"/>
    <row r="5151" ht="12.75" x14ac:dyDescent="0.2"/>
    <row r="5152" ht="12.75" x14ac:dyDescent="0.2"/>
    <row r="5153" ht="12.75" x14ac:dyDescent="0.2"/>
    <row r="5154" ht="12.75" x14ac:dyDescent="0.2"/>
    <row r="5155" ht="12.75" x14ac:dyDescent="0.2"/>
    <row r="5156" ht="12.75" x14ac:dyDescent="0.2"/>
    <row r="5157" ht="12.75" x14ac:dyDescent="0.2"/>
    <row r="5158" ht="12.75" x14ac:dyDescent="0.2"/>
    <row r="5159" ht="12.75" x14ac:dyDescent="0.2"/>
    <row r="5160" ht="12.75" x14ac:dyDescent="0.2"/>
    <row r="5161" ht="12.75" x14ac:dyDescent="0.2"/>
    <row r="5162" ht="12.75" x14ac:dyDescent="0.2"/>
    <row r="5163" ht="12.75" x14ac:dyDescent="0.2"/>
    <row r="5164" ht="12.75" x14ac:dyDescent="0.2"/>
    <row r="5165" ht="12.75" x14ac:dyDescent="0.2"/>
    <row r="5166" ht="12.75" x14ac:dyDescent="0.2"/>
    <row r="5167" ht="12.75" x14ac:dyDescent="0.2"/>
    <row r="5168" ht="12.75" x14ac:dyDescent="0.2"/>
    <row r="5169" ht="12.75" x14ac:dyDescent="0.2"/>
    <row r="5170" ht="12.75" x14ac:dyDescent="0.2"/>
    <row r="5171" ht="12.75" x14ac:dyDescent="0.2"/>
    <row r="5172" ht="12.75" x14ac:dyDescent="0.2"/>
    <row r="5173" ht="12.75" x14ac:dyDescent="0.2"/>
    <row r="5174" ht="12.75" x14ac:dyDescent="0.2"/>
    <row r="5175" ht="12.75" x14ac:dyDescent="0.2"/>
    <row r="5176" ht="12.75" x14ac:dyDescent="0.2"/>
    <row r="5177" ht="12.75" x14ac:dyDescent="0.2"/>
    <row r="5178" ht="12.75" x14ac:dyDescent="0.2"/>
    <row r="5179" ht="12.75" x14ac:dyDescent="0.2"/>
    <row r="5180" ht="12.75" x14ac:dyDescent="0.2"/>
    <row r="5181" ht="12.75" x14ac:dyDescent="0.2"/>
    <row r="5182" ht="12.75" x14ac:dyDescent="0.2"/>
    <row r="5183" ht="12.75" x14ac:dyDescent="0.2"/>
    <row r="5184" ht="12.75" x14ac:dyDescent="0.2"/>
    <row r="5185" ht="12.75" x14ac:dyDescent="0.2"/>
    <row r="5186" ht="12.75" x14ac:dyDescent="0.2"/>
    <row r="5187" ht="12.75" x14ac:dyDescent="0.2"/>
    <row r="5188" ht="12.75" x14ac:dyDescent="0.2"/>
    <row r="5189" ht="12.75" x14ac:dyDescent="0.2"/>
    <row r="5190" ht="12.75" x14ac:dyDescent="0.2"/>
    <row r="5191" ht="12.75" x14ac:dyDescent="0.2"/>
    <row r="5192" ht="12.75" x14ac:dyDescent="0.2"/>
    <row r="5193" ht="12.75" x14ac:dyDescent="0.2"/>
    <row r="5194" ht="12.75" x14ac:dyDescent="0.2"/>
    <row r="5195" ht="12.75" x14ac:dyDescent="0.2"/>
    <row r="5196" ht="12.75" x14ac:dyDescent="0.2"/>
    <row r="5197" ht="12.75" x14ac:dyDescent="0.2"/>
    <row r="5198" ht="12.75" x14ac:dyDescent="0.2"/>
    <row r="5199" ht="12.75" x14ac:dyDescent="0.2"/>
    <row r="5200" ht="12.75" x14ac:dyDescent="0.2"/>
    <row r="5201" ht="12.75" x14ac:dyDescent="0.2"/>
    <row r="5202" ht="12.75" x14ac:dyDescent="0.2"/>
    <row r="5203" ht="12.75" x14ac:dyDescent="0.2"/>
    <row r="5204" ht="12.75" x14ac:dyDescent="0.2"/>
    <row r="5205" ht="12.75" x14ac:dyDescent="0.2"/>
    <row r="5206" ht="12.75" x14ac:dyDescent="0.2"/>
    <row r="5207" ht="12.75" x14ac:dyDescent="0.2"/>
    <row r="5208" ht="12.75" x14ac:dyDescent="0.2"/>
    <row r="5209" ht="12.75" x14ac:dyDescent="0.2"/>
    <row r="5210" ht="12.75" x14ac:dyDescent="0.2"/>
    <row r="5211" ht="12.75" x14ac:dyDescent="0.2"/>
    <row r="5212" ht="12.75" x14ac:dyDescent="0.2"/>
    <row r="5213" ht="12.75" x14ac:dyDescent="0.2"/>
    <row r="5214" ht="12.75" x14ac:dyDescent="0.2"/>
    <row r="5215" ht="12.75" x14ac:dyDescent="0.2"/>
    <row r="5216" ht="12.75" x14ac:dyDescent="0.2"/>
    <row r="5217" ht="12.75" x14ac:dyDescent="0.2"/>
    <row r="5218" ht="12.75" x14ac:dyDescent="0.2"/>
    <row r="5219" ht="12.75" x14ac:dyDescent="0.2"/>
    <row r="5220" ht="12.75" x14ac:dyDescent="0.2"/>
    <row r="5221" ht="12.75" x14ac:dyDescent="0.2"/>
    <row r="5222" ht="12.75" x14ac:dyDescent="0.2"/>
    <row r="5223" ht="12.75" x14ac:dyDescent="0.2"/>
    <row r="5224" ht="12.75" x14ac:dyDescent="0.2"/>
    <row r="5225" ht="12.75" x14ac:dyDescent="0.2"/>
    <row r="5226" ht="12.75" x14ac:dyDescent="0.2"/>
    <row r="5227" ht="12.75" x14ac:dyDescent="0.2"/>
    <row r="5228" ht="12.75" x14ac:dyDescent="0.2"/>
    <row r="5229" ht="12.75" x14ac:dyDescent="0.2"/>
    <row r="5230" ht="12.75" x14ac:dyDescent="0.2"/>
    <row r="5231" ht="12.75" x14ac:dyDescent="0.2"/>
    <row r="5232" ht="12.75" x14ac:dyDescent="0.2"/>
    <row r="5233" ht="12.75" x14ac:dyDescent="0.2"/>
    <row r="5234" ht="12.75" x14ac:dyDescent="0.2"/>
    <row r="5235" ht="12.75" x14ac:dyDescent="0.2"/>
    <row r="5236" ht="12.75" x14ac:dyDescent="0.2"/>
    <row r="5237" ht="12.75" x14ac:dyDescent="0.2"/>
    <row r="5238" ht="12.75" x14ac:dyDescent="0.2"/>
    <row r="5239" ht="12.75" x14ac:dyDescent="0.2"/>
    <row r="5240" ht="12.75" x14ac:dyDescent="0.2"/>
    <row r="5241" ht="12.75" x14ac:dyDescent="0.2"/>
    <row r="5242" ht="12.75" x14ac:dyDescent="0.2"/>
    <row r="5243" ht="12.75" x14ac:dyDescent="0.2"/>
    <row r="5244" ht="12.75" x14ac:dyDescent="0.2"/>
    <row r="5245" ht="12.75" x14ac:dyDescent="0.2"/>
    <row r="5246" ht="12.75" x14ac:dyDescent="0.2"/>
    <row r="5247" ht="12.75" x14ac:dyDescent="0.2"/>
    <row r="5248" ht="12.75" x14ac:dyDescent="0.2"/>
    <row r="5249" ht="12.75" x14ac:dyDescent="0.2"/>
    <row r="5250" ht="12.75" x14ac:dyDescent="0.2"/>
    <row r="5251" ht="12.75" x14ac:dyDescent="0.2"/>
    <row r="5252" ht="12.75" x14ac:dyDescent="0.2"/>
    <row r="5253" ht="12.75" x14ac:dyDescent="0.2"/>
    <row r="5254" ht="12.75" x14ac:dyDescent="0.2"/>
    <row r="5255" ht="12.75" x14ac:dyDescent="0.2"/>
    <row r="5256" ht="12.75" x14ac:dyDescent="0.2"/>
    <row r="5257" ht="12.75" x14ac:dyDescent="0.2"/>
    <row r="5258" ht="12.75" x14ac:dyDescent="0.2"/>
    <row r="5259" ht="12.75" x14ac:dyDescent="0.2"/>
    <row r="5260" ht="12.75" x14ac:dyDescent="0.2"/>
    <row r="5261" ht="12.75" x14ac:dyDescent="0.2"/>
    <row r="5262" ht="12.75" x14ac:dyDescent="0.2"/>
    <row r="5263" ht="12.75" x14ac:dyDescent="0.2"/>
    <row r="5264" ht="12.75" x14ac:dyDescent="0.2"/>
    <row r="5265" ht="12.75" x14ac:dyDescent="0.2"/>
    <row r="5266" ht="12.75" x14ac:dyDescent="0.2"/>
    <row r="5267" ht="12.75" x14ac:dyDescent="0.2"/>
    <row r="5268" ht="12.75" x14ac:dyDescent="0.2"/>
    <row r="5269" ht="12.75" x14ac:dyDescent="0.2"/>
    <row r="5270" ht="12.75" x14ac:dyDescent="0.2"/>
    <row r="5271" ht="12.75" x14ac:dyDescent="0.2"/>
    <row r="5272" ht="12.75" x14ac:dyDescent="0.2"/>
    <row r="5273" ht="12.75" x14ac:dyDescent="0.2"/>
    <row r="5274" ht="12.75" x14ac:dyDescent="0.2"/>
    <row r="5275" ht="12.75" x14ac:dyDescent="0.2"/>
    <row r="5276" ht="12.75" x14ac:dyDescent="0.2"/>
    <row r="5277" ht="12.75" x14ac:dyDescent="0.2"/>
    <row r="5278" ht="12.75" x14ac:dyDescent="0.2"/>
    <row r="5279" ht="12.75" x14ac:dyDescent="0.2"/>
    <row r="5280" ht="12.75" x14ac:dyDescent="0.2"/>
    <row r="5281" ht="12.75" x14ac:dyDescent="0.2"/>
    <row r="5282" ht="12.75" x14ac:dyDescent="0.2"/>
    <row r="5283" ht="12.75" x14ac:dyDescent="0.2"/>
    <row r="5284" ht="12.75" x14ac:dyDescent="0.2"/>
    <row r="5285" ht="12.75" x14ac:dyDescent="0.2"/>
    <row r="5286" ht="12.75" x14ac:dyDescent="0.2"/>
    <row r="5287" ht="12.75" x14ac:dyDescent="0.2"/>
    <row r="5288" ht="12.75" x14ac:dyDescent="0.2"/>
    <row r="5289" ht="12.75" x14ac:dyDescent="0.2"/>
    <row r="5290" ht="12.75" x14ac:dyDescent="0.2"/>
    <row r="5291" ht="12.75" x14ac:dyDescent="0.2"/>
    <row r="5292" ht="12.75" x14ac:dyDescent="0.2"/>
    <row r="5293" ht="12.75" x14ac:dyDescent="0.2"/>
    <row r="5294" ht="12.75" x14ac:dyDescent="0.2"/>
    <row r="5295" ht="12.75" x14ac:dyDescent="0.2"/>
    <row r="5296" ht="12.75" x14ac:dyDescent="0.2"/>
    <row r="5297" ht="12.75" x14ac:dyDescent="0.2"/>
    <row r="5298" ht="12.75" x14ac:dyDescent="0.2"/>
    <row r="5299" ht="12.75" x14ac:dyDescent="0.2"/>
    <row r="5300" ht="12.75" x14ac:dyDescent="0.2"/>
    <row r="5301" ht="12.75" x14ac:dyDescent="0.2"/>
    <row r="5302" ht="12.75" x14ac:dyDescent="0.2"/>
    <row r="5303" ht="12.75" x14ac:dyDescent="0.2"/>
    <row r="5304" ht="12.75" x14ac:dyDescent="0.2"/>
    <row r="5305" ht="12.75" x14ac:dyDescent="0.2"/>
    <row r="5306" ht="12.75" x14ac:dyDescent="0.2"/>
    <row r="5307" ht="12.75" x14ac:dyDescent="0.2"/>
    <row r="5308" ht="12.75" x14ac:dyDescent="0.2"/>
    <row r="5309" ht="12.75" x14ac:dyDescent="0.2"/>
    <row r="5310" ht="12.75" x14ac:dyDescent="0.2"/>
    <row r="5311" ht="12.75" x14ac:dyDescent="0.2"/>
    <row r="5312" ht="12.75" x14ac:dyDescent="0.2"/>
    <row r="5313" ht="12.75" x14ac:dyDescent="0.2"/>
    <row r="5314" ht="12.75" x14ac:dyDescent="0.2"/>
    <row r="5315" ht="12.75" x14ac:dyDescent="0.2"/>
    <row r="5316" ht="12.75" x14ac:dyDescent="0.2"/>
    <row r="5317" ht="12.75" x14ac:dyDescent="0.2"/>
    <row r="5318" ht="12.75" x14ac:dyDescent="0.2"/>
    <row r="5319" ht="12.75" x14ac:dyDescent="0.2"/>
    <row r="5320" ht="12.75" x14ac:dyDescent="0.2"/>
    <row r="5321" ht="12.75" x14ac:dyDescent="0.2"/>
    <row r="5322" ht="12.75" x14ac:dyDescent="0.2"/>
    <row r="5323" ht="12.75" x14ac:dyDescent="0.2"/>
    <row r="5324" ht="12.75" x14ac:dyDescent="0.2"/>
    <row r="5325" ht="12.75" x14ac:dyDescent="0.2"/>
    <row r="5326" ht="12.75" x14ac:dyDescent="0.2"/>
    <row r="5327" ht="12.75" x14ac:dyDescent="0.2"/>
    <row r="5328" ht="12.75" x14ac:dyDescent="0.2"/>
    <row r="5329" ht="12.75" x14ac:dyDescent="0.2"/>
    <row r="5330" ht="12.75" x14ac:dyDescent="0.2"/>
    <row r="5331" ht="12.75" x14ac:dyDescent="0.2"/>
    <row r="5332" ht="12.75" x14ac:dyDescent="0.2"/>
    <row r="5333" ht="12.75" x14ac:dyDescent="0.2"/>
    <row r="5334" ht="12.75" x14ac:dyDescent="0.2"/>
    <row r="5335" ht="12.75" x14ac:dyDescent="0.2"/>
    <row r="5336" ht="12.75" x14ac:dyDescent="0.2"/>
    <row r="5337" ht="12.75" x14ac:dyDescent="0.2"/>
    <row r="5338" ht="12.75" x14ac:dyDescent="0.2"/>
    <row r="5339" ht="12.75" x14ac:dyDescent="0.2"/>
    <row r="5340" ht="12.75" x14ac:dyDescent="0.2"/>
    <row r="5341" ht="12.75" x14ac:dyDescent="0.2"/>
    <row r="5342" ht="12.75" x14ac:dyDescent="0.2"/>
    <row r="5343" ht="12.75" x14ac:dyDescent="0.2"/>
    <row r="5344" ht="12.75" x14ac:dyDescent="0.2"/>
    <row r="5345" ht="12.75" x14ac:dyDescent="0.2"/>
    <row r="5346" ht="12.75" x14ac:dyDescent="0.2"/>
    <row r="5347" ht="12.75" x14ac:dyDescent="0.2"/>
    <row r="5348" ht="12.75" x14ac:dyDescent="0.2"/>
    <row r="5349" ht="12.75" x14ac:dyDescent="0.2"/>
    <row r="5350" ht="12.75" x14ac:dyDescent="0.2"/>
    <row r="5351" ht="12.75" x14ac:dyDescent="0.2"/>
    <row r="5352" ht="12.75" x14ac:dyDescent="0.2"/>
    <row r="5353" ht="12.75" x14ac:dyDescent="0.2"/>
    <row r="5354" ht="12.75" x14ac:dyDescent="0.2"/>
    <row r="5355" ht="12.75" x14ac:dyDescent="0.2"/>
    <row r="5356" ht="12.75" x14ac:dyDescent="0.2"/>
    <row r="5357" ht="12.75" x14ac:dyDescent="0.2"/>
    <row r="5358" ht="12.75" x14ac:dyDescent="0.2"/>
    <row r="5359" ht="12.75" x14ac:dyDescent="0.2"/>
    <row r="5360" ht="12.75" x14ac:dyDescent="0.2"/>
    <row r="5361" ht="12.75" x14ac:dyDescent="0.2"/>
    <row r="5362" ht="12.75" x14ac:dyDescent="0.2"/>
    <row r="5363" ht="12.75" x14ac:dyDescent="0.2"/>
    <row r="5364" ht="12.75" x14ac:dyDescent="0.2"/>
    <row r="5365" ht="12.75" x14ac:dyDescent="0.2"/>
    <row r="5366" ht="12.75" x14ac:dyDescent="0.2"/>
    <row r="5367" ht="12.75" x14ac:dyDescent="0.2"/>
    <row r="5368" ht="12.75" x14ac:dyDescent="0.2"/>
    <row r="5369" ht="12.75" x14ac:dyDescent="0.2"/>
    <row r="5370" ht="12.75" x14ac:dyDescent="0.2"/>
    <row r="5371" ht="12.75" x14ac:dyDescent="0.2"/>
    <row r="5372" ht="12.75" x14ac:dyDescent="0.2"/>
    <row r="5373" ht="12.75" x14ac:dyDescent="0.2"/>
    <row r="5374" ht="12.75" x14ac:dyDescent="0.2"/>
    <row r="5375" ht="12.75" x14ac:dyDescent="0.2"/>
    <row r="5376" ht="12.75" x14ac:dyDescent="0.2"/>
    <row r="5377" ht="12.75" x14ac:dyDescent="0.2"/>
    <row r="5378" ht="12.75" x14ac:dyDescent="0.2"/>
    <row r="5379" ht="12.75" x14ac:dyDescent="0.2"/>
    <row r="5380" ht="12.75" x14ac:dyDescent="0.2"/>
    <row r="5381" ht="12.75" x14ac:dyDescent="0.2"/>
    <row r="5382" ht="12.75" x14ac:dyDescent="0.2"/>
    <row r="5383" ht="12.75" x14ac:dyDescent="0.2"/>
    <row r="5384" ht="12.75" x14ac:dyDescent="0.2"/>
    <row r="5385" ht="12.75" x14ac:dyDescent="0.2"/>
    <row r="5386" ht="12.75" x14ac:dyDescent="0.2"/>
    <row r="5387" ht="12.75" x14ac:dyDescent="0.2"/>
    <row r="5388" ht="12.75" x14ac:dyDescent="0.2"/>
    <row r="5389" ht="12.75" x14ac:dyDescent="0.2"/>
    <row r="5390" ht="12.75" x14ac:dyDescent="0.2"/>
    <row r="5391" ht="12.75" x14ac:dyDescent="0.2"/>
    <row r="5392" ht="12.75" x14ac:dyDescent="0.2"/>
    <row r="5393" ht="12.75" x14ac:dyDescent="0.2"/>
    <row r="5394" ht="12.75" x14ac:dyDescent="0.2"/>
    <row r="5395" ht="12.75" x14ac:dyDescent="0.2"/>
    <row r="5396" ht="12.75" x14ac:dyDescent="0.2"/>
    <row r="5397" ht="12.75" x14ac:dyDescent="0.2"/>
    <row r="5398" ht="12.75" x14ac:dyDescent="0.2"/>
    <row r="5399" ht="12.75" x14ac:dyDescent="0.2"/>
    <row r="5400" ht="12.75" x14ac:dyDescent="0.2"/>
    <row r="5401" ht="12.75" x14ac:dyDescent="0.2"/>
    <row r="5402" ht="12.75" x14ac:dyDescent="0.2"/>
    <row r="5403" ht="12.75" x14ac:dyDescent="0.2"/>
    <row r="5404" ht="12.75" x14ac:dyDescent="0.2"/>
    <row r="5405" ht="12.75" x14ac:dyDescent="0.2"/>
    <row r="5406" ht="12.75" x14ac:dyDescent="0.2"/>
    <row r="5407" ht="12.75" x14ac:dyDescent="0.2"/>
    <row r="5408" ht="12.75" x14ac:dyDescent="0.2"/>
    <row r="5409" ht="12.75" x14ac:dyDescent="0.2"/>
    <row r="5410" ht="12.75" x14ac:dyDescent="0.2"/>
    <row r="5411" ht="12.75" x14ac:dyDescent="0.2"/>
    <row r="5412" ht="12.75" x14ac:dyDescent="0.2"/>
    <row r="5413" ht="12.75" x14ac:dyDescent="0.2"/>
    <row r="5414" ht="12.75" x14ac:dyDescent="0.2"/>
    <row r="5415" ht="12.75" x14ac:dyDescent="0.2"/>
    <row r="5416" ht="12.75" x14ac:dyDescent="0.2"/>
    <row r="5417" ht="12.75" x14ac:dyDescent="0.2"/>
    <row r="5418" ht="12.75" x14ac:dyDescent="0.2"/>
    <row r="5419" ht="12.75" x14ac:dyDescent="0.2"/>
    <row r="5420" ht="12.75" x14ac:dyDescent="0.2"/>
    <row r="5421" ht="12.75" x14ac:dyDescent="0.2"/>
    <row r="5422" ht="12.75" x14ac:dyDescent="0.2"/>
    <row r="5423" ht="12.75" x14ac:dyDescent="0.2"/>
    <row r="5424" ht="12.75" x14ac:dyDescent="0.2"/>
    <row r="5425" ht="12.75" x14ac:dyDescent="0.2"/>
    <row r="5426" ht="12.75" x14ac:dyDescent="0.2"/>
    <row r="5427" ht="12.75" x14ac:dyDescent="0.2"/>
    <row r="5428" ht="12.75" x14ac:dyDescent="0.2"/>
    <row r="5429" ht="12.75" x14ac:dyDescent="0.2"/>
    <row r="5430" ht="12.75" x14ac:dyDescent="0.2"/>
    <row r="5431" ht="12.75" x14ac:dyDescent="0.2"/>
    <row r="5432" ht="12.75" x14ac:dyDescent="0.2"/>
    <row r="5433" ht="12.75" x14ac:dyDescent="0.2"/>
    <row r="5434" ht="12.75" x14ac:dyDescent="0.2"/>
    <row r="5435" ht="12.75" x14ac:dyDescent="0.2"/>
    <row r="5436" ht="12.75" x14ac:dyDescent="0.2"/>
    <row r="5437" ht="12.75" x14ac:dyDescent="0.2"/>
    <row r="5438" ht="12.75" x14ac:dyDescent="0.2"/>
    <row r="5439" ht="12.75" x14ac:dyDescent="0.2"/>
    <row r="5440" ht="12.75" x14ac:dyDescent="0.2"/>
    <row r="5441" ht="12.75" x14ac:dyDescent="0.2"/>
    <row r="5442" ht="12.75" x14ac:dyDescent="0.2"/>
    <row r="5443" ht="12.75" x14ac:dyDescent="0.2"/>
    <row r="5444" ht="12.75" x14ac:dyDescent="0.2"/>
    <row r="5445" ht="12.75" x14ac:dyDescent="0.2"/>
    <row r="5446" ht="12.75" x14ac:dyDescent="0.2"/>
    <row r="5447" ht="12.75" x14ac:dyDescent="0.2"/>
    <row r="5448" ht="12.75" x14ac:dyDescent="0.2"/>
    <row r="5449" ht="12.75" x14ac:dyDescent="0.2"/>
    <row r="5450" ht="12.75" x14ac:dyDescent="0.2"/>
    <row r="5451" ht="12.75" x14ac:dyDescent="0.2"/>
    <row r="5452" ht="12.75" x14ac:dyDescent="0.2"/>
    <row r="5453" ht="12.75" x14ac:dyDescent="0.2"/>
    <row r="5454" ht="12.75" x14ac:dyDescent="0.2"/>
    <row r="5455" ht="12.75" x14ac:dyDescent="0.2"/>
    <row r="5456" ht="12.75" x14ac:dyDescent="0.2"/>
    <row r="5457" ht="12.75" x14ac:dyDescent="0.2"/>
    <row r="5458" ht="12.75" x14ac:dyDescent="0.2"/>
    <row r="5459" ht="12.75" x14ac:dyDescent="0.2"/>
    <row r="5460" ht="12.75" x14ac:dyDescent="0.2"/>
    <row r="5461" ht="12.75" x14ac:dyDescent="0.2"/>
    <row r="5462" ht="12.75" x14ac:dyDescent="0.2"/>
    <row r="5463" ht="12.75" x14ac:dyDescent="0.2"/>
    <row r="5464" ht="12.75" x14ac:dyDescent="0.2"/>
    <row r="5465" ht="12.75" x14ac:dyDescent="0.2"/>
    <row r="5466" ht="12.75" x14ac:dyDescent="0.2"/>
    <row r="5467" ht="12.75" x14ac:dyDescent="0.2"/>
    <row r="5468" ht="12.75" x14ac:dyDescent="0.2"/>
    <row r="5469" ht="12.75" x14ac:dyDescent="0.2"/>
    <row r="5470" ht="12.75" x14ac:dyDescent="0.2"/>
    <row r="5471" ht="12.75" x14ac:dyDescent="0.2"/>
    <row r="5472" ht="12.75" x14ac:dyDescent="0.2"/>
    <row r="5473" ht="12.75" x14ac:dyDescent="0.2"/>
    <row r="5474" ht="12.75" x14ac:dyDescent="0.2"/>
    <row r="5475" ht="12.75" x14ac:dyDescent="0.2"/>
    <row r="5476" ht="12.75" x14ac:dyDescent="0.2"/>
    <row r="5477" ht="12.75" x14ac:dyDescent="0.2"/>
    <row r="5478" ht="12.75" x14ac:dyDescent="0.2"/>
    <row r="5479" ht="12.75" x14ac:dyDescent="0.2"/>
    <row r="5480" ht="12.75" x14ac:dyDescent="0.2"/>
    <row r="5481" ht="12.75" x14ac:dyDescent="0.2"/>
    <row r="5482" ht="12.75" x14ac:dyDescent="0.2"/>
    <row r="5483" ht="12.75" x14ac:dyDescent="0.2"/>
    <row r="5484" ht="12.75" x14ac:dyDescent="0.2"/>
    <row r="5485" ht="12.75" x14ac:dyDescent="0.2"/>
    <row r="5486" ht="12.75" x14ac:dyDescent="0.2"/>
    <row r="5487" ht="12.75" x14ac:dyDescent="0.2"/>
    <row r="5488" ht="12.75" x14ac:dyDescent="0.2"/>
    <row r="5489" ht="12.75" x14ac:dyDescent="0.2"/>
    <row r="5490" ht="12.75" x14ac:dyDescent="0.2"/>
    <row r="5491" ht="12.75" x14ac:dyDescent="0.2"/>
    <row r="5492" ht="12.75" x14ac:dyDescent="0.2"/>
    <row r="5493" ht="12.75" x14ac:dyDescent="0.2"/>
    <row r="5494" ht="12.75" x14ac:dyDescent="0.2"/>
    <row r="5495" ht="12.75" x14ac:dyDescent="0.2"/>
    <row r="5496" ht="12.75" x14ac:dyDescent="0.2"/>
    <row r="5497" ht="12.75" x14ac:dyDescent="0.2"/>
    <row r="5498" ht="12.75" x14ac:dyDescent="0.2"/>
    <row r="5499" ht="12.75" x14ac:dyDescent="0.2"/>
    <row r="5500" ht="12.75" x14ac:dyDescent="0.2"/>
    <row r="5501" ht="12.75" x14ac:dyDescent="0.2"/>
    <row r="5502" ht="12.75" x14ac:dyDescent="0.2"/>
    <row r="5503" ht="12.75" x14ac:dyDescent="0.2"/>
    <row r="5504" ht="12.75" x14ac:dyDescent="0.2"/>
    <row r="5505" ht="12.75" x14ac:dyDescent="0.2"/>
    <row r="5506" ht="12.75" x14ac:dyDescent="0.2"/>
    <row r="5507" ht="12.75" x14ac:dyDescent="0.2"/>
    <row r="5508" ht="12.75" x14ac:dyDescent="0.2"/>
    <row r="5509" ht="12.75" x14ac:dyDescent="0.2"/>
    <row r="5510" ht="12.75" x14ac:dyDescent="0.2"/>
    <row r="5511" ht="12.75" x14ac:dyDescent="0.2"/>
    <row r="5512" ht="12.75" x14ac:dyDescent="0.2"/>
    <row r="5513" ht="12.75" x14ac:dyDescent="0.2"/>
    <row r="5514" ht="12.75" x14ac:dyDescent="0.2"/>
    <row r="5515" ht="12.75" x14ac:dyDescent="0.2"/>
    <row r="5516" ht="12.75" x14ac:dyDescent="0.2"/>
    <row r="5517" ht="12.75" x14ac:dyDescent="0.2"/>
    <row r="5518" ht="12.75" x14ac:dyDescent="0.2"/>
    <row r="5519" ht="12.75" x14ac:dyDescent="0.2"/>
    <row r="5520" ht="12.75" x14ac:dyDescent="0.2"/>
    <row r="5521" ht="12.75" x14ac:dyDescent="0.2"/>
    <row r="5522" ht="12.75" x14ac:dyDescent="0.2"/>
    <row r="5523" ht="12.75" x14ac:dyDescent="0.2"/>
    <row r="5524" ht="12.75" x14ac:dyDescent="0.2"/>
    <row r="5525" ht="12.75" x14ac:dyDescent="0.2"/>
    <row r="5526" ht="12.75" x14ac:dyDescent="0.2"/>
    <row r="5527" ht="12.75" x14ac:dyDescent="0.2"/>
    <row r="5528" ht="12.75" x14ac:dyDescent="0.2"/>
    <row r="5529" ht="12.75" x14ac:dyDescent="0.2"/>
    <row r="5530" ht="12.75" x14ac:dyDescent="0.2"/>
    <row r="5531" ht="12.75" x14ac:dyDescent="0.2"/>
    <row r="5532" ht="12.75" x14ac:dyDescent="0.2"/>
    <row r="5533" ht="12.75" x14ac:dyDescent="0.2"/>
    <row r="5534" ht="12.75" x14ac:dyDescent="0.2"/>
    <row r="5535" ht="12.75" x14ac:dyDescent="0.2"/>
    <row r="5536" ht="12.75" x14ac:dyDescent="0.2"/>
    <row r="5537" ht="12.75" x14ac:dyDescent="0.2"/>
    <row r="5538" ht="12.75" x14ac:dyDescent="0.2"/>
    <row r="5539" ht="12.75" x14ac:dyDescent="0.2"/>
    <row r="5540" ht="12.75" x14ac:dyDescent="0.2"/>
    <row r="5541" ht="12.75" x14ac:dyDescent="0.2"/>
    <row r="5542" ht="12.75" x14ac:dyDescent="0.2"/>
    <row r="5543" ht="12.75" x14ac:dyDescent="0.2"/>
    <row r="5544" ht="12.75" x14ac:dyDescent="0.2"/>
    <row r="5545" ht="12.75" x14ac:dyDescent="0.2"/>
    <row r="5546" ht="12.75" x14ac:dyDescent="0.2"/>
    <row r="5547" ht="12.75" x14ac:dyDescent="0.2"/>
    <row r="5548" ht="12.75" x14ac:dyDescent="0.2"/>
    <row r="5549" ht="12.75" x14ac:dyDescent="0.2"/>
    <row r="5550" ht="12.75" x14ac:dyDescent="0.2"/>
    <row r="5551" ht="12.75" x14ac:dyDescent="0.2"/>
    <row r="5552" ht="12.75" x14ac:dyDescent="0.2"/>
    <row r="5553" ht="12.75" x14ac:dyDescent="0.2"/>
    <row r="5554" ht="12.75" x14ac:dyDescent="0.2"/>
    <row r="5555" ht="12.75" x14ac:dyDescent="0.2"/>
    <row r="5556" ht="12.75" x14ac:dyDescent="0.2"/>
    <row r="5557" ht="12.75" x14ac:dyDescent="0.2"/>
    <row r="5558" ht="12.75" x14ac:dyDescent="0.2"/>
    <row r="5559" ht="12.75" x14ac:dyDescent="0.2"/>
    <row r="5560" ht="12.75" x14ac:dyDescent="0.2"/>
    <row r="5561" ht="12.75" x14ac:dyDescent="0.2"/>
    <row r="5562" ht="12.75" x14ac:dyDescent="0.2"/>
    <row r="5563" ht="12.75" x14ac:dyDescent="0.2"/>
    <row r="5564" ht="12.75" x14ac:dyDescent="0.2"/>
    <row r="5565" ht="12.75" x14ac:dyDescent="0.2"/>
    <row r="5566" ht="12.75" x14ac:dyDescent="0.2"/>
    <row r="5567" ht="12.75" x14ac:dyDescent="0.2"/>
    <row r="5568" ht="12.75" x14ac:dyDescent="0.2"/>
    <row r="5569" ht="12.75" x14ac:dyDescent="0.2"/>
    <row r="5570" ht="12.75" x14ac:dyDescent="0.2"/>
    <row r="5571" ht="12.75" x14ac:dyDescent="0.2"/>
    <row r="5572" ht="12.75" x14ac:dyDescent="0.2"/>
    <row r="5573" ht="12.75" x14ac:dyDescent="0.2"/>
    <row r="5574" ht="12.75" x14ac:dyDescent="0.2"/>
    <row r="5575" ht="12.75" x14ac:dyDescent="0.2"/>
    <row r="5576" ht="12.75" x14ac:dyDescent="0.2"/>
    <row r="5577" ht="12.75" x14ac:dyDescent="0.2"/>
    <row r="5578" ht="12.75" x14ac:dyDescent="0.2"/>
    <row r="5579" ht="12.75" x14ac:dyDescent="0.2"/>
    <row r="5580" ht="12.75" x14ac:dyDescent="0.2"/>
    <row r="5581" ht="12.75" x14ac:dyDescent="0.2"/>
    <row r="5582" ht="12.75" x14ac:dyDescent="0.2"/>
    <row r="5583" ht="12.75" x14ac:dyDescent="0.2"/>
    <row r="5584" ht="12.75" x14ac:dyDescent="0.2"/>
    <row r="5585" ht="12.75" x14ac:dyDescent="0.2"/>
    <row r="5586" ht="12.75" x14ac:dyDescent="0.2"/>
    <row r="5587" ht="12.75" x14ac:dyDescent="0.2"/>
    <row r="5588" ht="12.75" x14ac:dyDescent="0.2"/>
    <row r="5589" ht="12.75" x14ac:dyDescent="0.2"/>
    <row r="5590" ht="12.75" x14ac:dyDescent="0.2"/>
    <row r="5591" ht="12.75" x14ac:dyDescent="0.2"/>
    <row r="5592" ht="12.75" x14ac:dyDescent="0.2"/>
    <row r="5593" ht="12.75" x14ac:dyDescent="0.2"/>
    <row r="5594" ht="12.75" x14ac:dyDescent="0.2"/>
    <row r="5595" ht="12.75" x14ac:dyDescent="0.2"/>
    <row r="5596" ht="12.75" x14ac:dyDescent="0.2"/>
    <row r="5597" ht="12.75" x14ac:dyDescent="0.2"/>
    <row r="5598" ht="12.75" x14ac:dyDescent="0.2"/>
    <row r="5599" ht="12.75" x14ac:dyDescent="0.2"/>
    <row r="5600" ht="12.75" x14ac:dyDescent="0.2"/>
    <row r="5601" ht="12.75" x14ac:dyDescent="0.2"/>
    <row r="5602" ht="12.75" x14ac:dyDescent="0.2"/>
    <row r="5603" ht="12.75" x14ac:dyDescent="0.2"/>
    <row r="5604" ht="12.75" x14ac:dyDescent="0.2"/>
    <row r="5605" ht="12.75" x14ac:dyDescent="0.2"/>
    <row r="5606" ht="12.75" x14ac:dyDescent="0.2"/>
    <row r="5607" ht="12.75" x14ac:dyDescent="0.2"/>
    <row r="5608" ht="12.75" x14ac:dyDescent="0.2"/>
    <row r="5609" ht="12.75" x14ac:dyDescent="0.2"/>
    <row r="5610" ht="12.75" x14ac:dyDescent="0.2"/>
    <row r="5611" ht="12.75" x14ac:dyDescent="0.2"/>
    <row r="5612" ht="12.75" x14ac:dyDescent="0.2"/>
    <row r="5613" ht="12.75" x14ac:dyDescent="0.2"/>
    <row r="5614" ht="12.75" x14ac:dyDescent="0.2"/>
    <row r="5615" ht="12.75" x14ac:dyDescent="0.2"/>
    <row r="5616" ht="12.75" x14ac:dyDescent="0.2"/>
    <row r="5617" ht="12.75" x14ac:dyDescent="0.2"/>
    <row r="5618" ht="12.75" x14ac:dyDescent="0.2"/>
    <row r="5619" ht="12.75" x14ac:dyDescent="0.2"/>
    <row r="5620" ht="12.75" x14ac:dyDescent="0.2"/>
    <row r="5621" ht="12.75" x14ac:dyDescent="0.2"/>
    <row r="5622" ht="12.75" x14ac:dyDescent="0.2"/>
    <row r="5623" ht="12.75" x14ac:dyDescent="0.2"/>
    <row r="5624" ht="12.75" x14ac:dyDescent="0.2"/>
    <row r="5625" ht="12.75" x14ac:dyDescent="0.2"/>
    <row r="5626" ht="12.75" x14ac:dyDescent="0.2"/>
    <row r="5627" ht="12.75" x14ac:dyDescent="0.2"/>
    <row r="5628" ht="12.75" x14ac:dyDescent="0.2"/>
    <row r="5629" ht="12.75" x14ac:dyDescent="0.2"/>
    <row r="5630" ht="12.75" x14ac:dyDescent="0.2"/>
    <row r="5631" ht="12.75" x14ac:dyDescent="0.2"/>
    <row r="5632" ht="12.75" x14ac:dyDescent="0.2"/>
    <row r="5633" ht="12.75" x14ac:dyDescent="0.2"/>
    <row r="5634" ht="12.75" x14ac:dyDescent="0.2"/>
    <row r="5635" ht="12.75" x14ac:dyDescent="0.2"/>
    <row r="5636" ht="12.75" x14ac:dyDescent="0.2"/>
    <row r="5637" ht="12.75" x14ac:dyDescent="0.2"/>
    <row r="5638" ht="12.75" x14ac:dyDescent="0.2"/>
    <row r="5639" ht="12.75" x14ac:dyDescent="0.2"/>
    <row r="5640" ht="12.75" x14ac:dyDescent="0.2"/>
    <row r="5641" ht="12.75" x14ac:dyDescent="0.2"/>
    <row r="5642" ht="12.75" x14ac:dyDescent="0.2"/>
    <row r="5643" ht="12.75" x14ac:dyDescent="0.2"/>
    <row r="5644" ht="12.75" x14ac:dyDescent="0.2"/>
    <row r="5645" ht="12.75" x14ac:dyDescent="0.2"/>
    <row r="5646" ht="12.75" x14ac:dyDescent="0.2"/>
    <row r="5647" ht="12.75" x14ac:dyDescent="0.2"/>
    <row r="5648" ht="12.75" x14ac:dyDescent="0.2"/>
    <row r="5649" ht="12.75" x14ac:dyDescent="0.2"/>
    <row r="5650" ht="12.75" x14ac:dyDescent="0.2"/>
    <row r="5651" ht="12.75" x14ac:dyDescent="0.2"/>
    <row r="5652" ht="12.75" x14ac:dyDescent="0.2"/>
    <row r="5653" ht="12.75" x14ac:dyDescent="0.2"/>
    <row r="5654" ht="12.75" x14ac:dyDescent="0.2"/>
    <row r="5655" ht="12.75" x14ac:dyDescent="0.2"/>
    <row r="5656" ht="12.75" x14ac:dyDescent="0.2"/>
    <row r="5657" ht="12.75" x14ac:dyDescent="0.2"/>
    <row r="5658" ht="12.75" x14ac:dyDescent="0.2"/>
    <row r="5659" ht="12.75" x14ac:dyDescent="0.2"/>
    <row r="5660" ht="12.75" x14ac:dyDescent="0.2"/>
    <row r="5661" ht="12.75" x14ac:dyDescent="0.2"/>
    <row r="5662" ht="12.75" x14ac:dyDescent="0.2"/>
    <row r="5663" ht="12.75" x14ac:dyDescent="0.2"/>
    <row r="5664" ht="12.75" x14ac:dyDescent="0.2"/>
    <row r="5665" ht="12.75" x14ac:dyDescent="0.2"/>
    <row r="5666" ht="12.75" x14ac:dyDescent="0.2"/>
    <row r="5667" ht="12.75" x14ac:dyDescent="0.2"/>
    <row r="5668" ht="12.75" x14ac:dyDescent="0.2"/>
    <row r="5669" ht="12.75" x14ac:dyDescent="0.2"/>
    <row r="5670" ht="12.75" x14ac:dyDescent="0.2"/>
    <row r="5671" ht="12.75" x14ac:dyDescent="0.2"/>
    <row r="5672" ht="12.75" x14ac:dyDescent="0.2"/>
    <row r="5673" ht="12.75" x14ac:dyDescent="0.2"/>
    <row r="5674" ht="12.75" x14ac:dyDescent="0.2"/>
    <row r="5675" ht="12.75" x14ac:dyDescent="0.2"/>
    <row r="5676" ht="12.75" x14ac:dyDescent="0.2"/>
    <row r="5677" ht="12.75" x14ac:dyDescent="0.2"/>
    <row r="5678" ht="12.75" x14ac:dyDescent="0.2"/>
    <row r="5679" ht="12.75" x14ac:dyDescent="0.2"/>
    <row r="5680" ht="12.75" x14ac:dyDescent="0.2"/>
    <row r="5681" ht="12.75" x14ac:dyDescent="0.2"/>
    <row r="5682" ht="12.75" x14ac:dyDescent="0.2"/>
    <row r="5683" ht="12.75" x14ac:dyDescent="0.2"/>
    <row r="5684" ht="12.75" x14ac:dyDescent="0.2"/>
    <row r="5685" ht="12.75" x14ac:dyDescent="0.2"/>
    <row r="5686" ht="12.75" x14ac:dyDescent="0.2"/>
    <row r="5687" ht="12.75" x14ac:dyDescent="0.2"/>
    <row r="5688" ht="12.75" x14ac:dyDescent="0.2"/>
    <row r="5689" ht="12.75" x14ac:dyDescent="0.2"/>
    <row r="5690" ht="12.75" x14ac:dyDescent="0.2"/>
    <row r="5691" ht="12.75" x14ac:dyDescent="0.2"/>
    <row r="5692" ht="12.75" x14ac:dyDescent="0.2"/>
    <row r="5693" ht="12.75" x14ac:dyDescent="0.2"/>
    <row r="5694" ht="12.75" x14ac:dyDescent="0.2"/>
    <row r="5695" ht="12.75" x14ac:dyDescent="0.2"/>
    <row r="5696" ht="12.75" x14ac:dyDescent="0.2"/>
    <row r="5697" ht="12.75" x14ac:dyDescent="0.2"/>
    <row r="5698" ht="12.75" x14ac:dyDescent="0.2"/>
    <row r="5699" ht="12.75" x14ac:dyDescent="0.2"/>
    <row r="5700" ht="12.75" x14ac:dyDescent="0.2"/>
    <row r="5701" ht="12.75" x14ac:dyDescent="0.2"/>
    <row r="5702" ht="12.75" x14ac:dyDescent="0.2"/>
    <row r="5703" ht="12.75" x14ac:dyDescent="0.2"/>
    <row r="5704" ht="12.75" x14ac:dyDescent="0.2"/>
    <row r="5705" ht="12.75" x14ac:dyDescent="0.2"/>
    <row r="5706" ht="12.75" x14ac:dyDescent="0.2"/>
    <row r="5707" ht="12.75" x14ac:dyDescent="0.2"/>
    <row r="5708" ht="12.75" x14ac:dyDescent="0.2"/>
    <row r="5709" ht="12.75" x14ac:dyDescent="0.2"/>
    <row r="5710" ht="12.75" x14ac:dyDescent="0.2"/>
    <row r="5711" ht="12.75" x14ac:dyDescent="0.2"/>
    <row r="5712" ht="12.75" x14ac:dyDescent="0.2"/>
    <row r="5713" ht="12.75" x14ac:dyDescent="0.2"/>
    <row r="5714" ht="12.75" x14ac:dyDescent="0.2"/>
    <row r="5715" ht="12.75" x14ac:dyDescent="0.2"/>
    <row r="5716" ht="12.75" x14ac:dyDescent="0.2"/>
    <row r="5717" ht="12.75" x14ac:dyDescent="0.2"/>
    <row r="5718" ht="12.75" x14ac:dyDescent="0.2"/>
    <row r="5719" ht="12.75" x14ac:dyDescent="0.2"/>
    <row r="5720" ht="12.75" x14ac:dyDescent="0.2"/>
    <row r="5721" ht="12.75" x14ac:dyDescent="0.2"/>
    <row r="5722" ht="12.75" x14ac:dyDescent="0.2"/>
    <row r="5723" ht="12.75" x14ac:dyDescent="0.2"/>
    <row r="5724" ht="12.75" x14ac:dyDescent="0.2"/>
    <row r="5725" ht="12.75" x14ac:dyDescent="0.2"/>
    <row r="5726" ht="12.75" x14ac:dyDescent="0.2"/>
    <row r="5727" ht="12.75" x14ac:dyDescent="0.2"/>
    <row r="5728" ht="12.75" x14ac:dyDescent="0.2"/>
    <row r="5729" ht="12.75" x14ac:dyDescent="0.2"/>
    <row r="5730" ht="12.75" x14ac:dyDescent="0.2"/>
    <row r="5731" ht="12.75" x14ac:dyDescent="0.2"/>
    <row r="5732" ht="12.75" x14ac:dyDescent="0.2"/>
    <row r="5733" ht="12.75" x14ac:dyDescent="0.2"/>
    <row r="5734" ht="12.75" x14ac:dyDescent="0.2"/>
    <row r="5735" ht="12.75" x14ac:dyDescent="0.2"/>
    <row r="5736" ht="12.75" x14ac:dyDescent="0.2"/>
    <row r="5737" ht="12.75" x14ac:dyDescent="0.2"/>
    <row r="5738" ht="12.75" x14ac:dyDescent="0.2"/>
    <row r="5739" ht="12.75" x14ac:dyDescent="0.2"/>
    <row r="5740" ht="12.75" x14ac:dyDescent="0.2"/>
    <row r="5741" ht="12.75" x14ac:dyDescent="0.2"/>
    <row r="5742" ht="12.75" x14ac:dyDescent="0.2"/>
    <row r="5743" ht="12.75" x14ac:dyDescent="0.2"/>
    <row r="5744" ht="12.75" x14ac:dyDescent="0.2"/>
    <row r="5745" ht="12.75" x14ac:dyDescent="0.2"/>
    <row r="5746" ht="12.75" x14ac:dyDescent="0.2"/>
    <row r="5747" ht="12.75" x14ac:dyDescent="0.2"/>
    <row r="5748" ht="12.75" x14ac:dyDescent="0.2"/>
    <row r="5749" ht="12.75" x14ac:dyDescent="0.2"/>
    <row r="5750" ht="12.75" x14ac:dyDescent="0.2"/>
    <row r="5751" ht="12.75" x14ac:dyDescent="0.2"/>
    <row r="5752" ht="12.75" x14ac:dyDescent="0.2"/>
    <row r="5753" ht="12.75" x14ac:dyDescent="0.2"/>
    <row r="5754" ht="12.75" x14ac:dyDescent="0.2"/>
    <row r="5755" ht="12.75" x14ac:dyDescent="0.2"/>
    <row r="5756" ht="12.75" x14ac:dyDescent="0.2"/>
    <row r="5757" ht="12.75" x14ac:dyDescent="0.2"/>
    <row r="5758" ht="12.75" x14ac:dyDescent="0.2"/>
    <row r="5759" ht="12.75" x14ac:dyDescent="0.2"/>
    <row r="5760" ht="12.75" x14ac:dyDescent="0.2"/>
    <row r="5761" ht="12.75" x14ac:dyDescent="0.2"/>
    <row r="5762" ht="12.75" x14ac:dyDescent="0.2"/>
    <row r="5763" ht="12.75" x14ac:dyDescent="0.2"/>
    <row r="5764" ht="12.75" x14ac:dyDescent="0.2"/>
    <row r="5765" ht="12.75" x14ac:dyDescent="0.2"/>
    <row r="5766" ht="12.75" x14ac:dyDescent="0.2"/>
    <row r="5767" ht="12.75" x14ac:dyDescent="0.2"/>
    <row r="5768" ht="12.75" x14ac:dyDescent="0.2"/>
    <row r="5769" ht="12.75" x14ac:dyDescent="0.2"/>
    <row r="5770" ht="12.75" x14ac:dyDescent="0.2"/>
    <row r="5771" ht="12.75" x14ac:dyDescent="0.2"/>
    <row r="5772" ht="12.75" x14ac:dyDescent="0.2"/>
    <row r="5773" ht="12.75" x14ac:dyDescent="0.2"/>
    <row r="5774" ht="12.75" x14ac:dyDescent="0.2"/>
    <row r="5775" ht="12.75" x14ac:dyDescent="0.2"/>
    <row r="5776" ht="12.75" x14ac:dyDescent="0.2"/>
    <row r="5777" ht="12.75" x14ac:dyDescent="0.2"/>
    <row r="5778" ht="12.75" x14ac:dyDescent="0.2"/>
    <row r="5779" ht="12.75" x14ac:dyDescent="0.2"/>
    <row r="5780" ht="12.75" x14ac:dyDescent="0.2"/>
    <row r="5781" ht="12.75" x14ac:dyDescent="0.2"/>
    <row r="5782" ht="12.75" x14ac:dyDescent="0.2"/>
    <row r="5783" ht="12.75" x14ac:dyDescent="0.2"/>
    <row r="5784" ht="12.75" x14ac:dyDescent="0.2"/>
    <row r="5785" ht="12.75" x14ac:dyDescent="0.2"/>
    <row r="5786" ht="12.75" x14ac:dyDescent="0.2"/>
    <row r="5787" ht="12.75" x14ac:dyDescent="0.2"/>
    <row r="5788" ht="12.75" x14ac:dyDescent="0.2"/>
    <row r="5789" ht="12.75" x14ac:dyDescent="0.2"/>
    <row r="5790" ht="12.75" x14ac:dyDescent="0.2"/>
    <row r="5791" ht="12.75" x14ac:dyDescent="0.2"/>
    <row r="5792" ht="12.75" x14ac:dyDescent="0.2"/>
    <row r="5793" ht="12.75" x14ac:dyDescent="0.2"/>
    <row r="5794" ht="12.75" x14ac:dyDescent="0.2"/>
    <row r="5795" ht="12.75" x14ac:dyDescent="0.2"/>
    <row r="5796" ht="12.75" x14ac:dyDescent="0.2"/>
    <row r="5797" ht="12.75" x14ac:dyDescent="0.2"/>
    <row r="5798" ht="12.75" x14ac:dyDescent="0.2"/>
    <row r="5799" ht="12.75" x14ac:dyDescent="0.2"/>
    <row r="5800" ht="12.75" x14ac:dyDescent="0.2"/>
    <row r="5801" ht="12.75" x14ac:dyDescent="0.2"/>
    <row r="5802" ht="12.75" x14ac:dyDescent="0.2"/>
    <row r="5803" ht="12.75" x14ac:dyDescent="0.2"/>
    <row r="5804" ht="12.75" x14ac:dyDescent="0.2"/>
    <row r="5805" ht="12.75" x14ac:dyDescent="0.2"/>
    <row r="5806" ht="12.75" x14ac:dyDescent="0.2"/>
    <row r="5807" ht="12.75" x14ac:dyDescent="0.2"/>
    <row r="5808" ht="12.75" x14ac:dyDescent="0.2"/>
    <row r="5809" ht="12.75" x14ac:dyDescent="0.2"/>
    <row r="5810" ht="12.75" x14ac:dyDescent="0.2"/>
    <row r="5811" ht="12.75" x14ac:dyDescent="0.2"/>
    <row r="5812" ht="12.75" x14ac:dyDescent="0.2"/>
    <row r="5813" ht="12.75" x14ac:dyDescent="0.2"/>
    <row r="5814" ht="12.75" x14ac:dyDescent="0.2"/>
    <row r="5815" ht="12.75" x14ac:dyDescent="0.2"/>
    <row r="5816" ht="12.75" x14ac:dyDescent="0.2"/>
    <row r="5817" ht="12.75" x14ac:dyDescent="0.2"/>
    <row r="5818" ht="12.75" x14ac:dyDescent="0.2"/>
    <row r="5819" ht="12.75" x14ac:dyDescent="0.2"/>
    <row r="5820" ht="12.75" x14ac:dyDescent="0.2"/>
    <row r="5821" ht="12.75" x14ac:dyDescent="0.2"/>
    <row r="5822" ht="12.75" x14ac:dyDescent="0.2"/>
    <row r="5823" ht="12.75" x14ac:dyDescent="0.2"/>
    <row r="5824" ht="12.75" x14ac:dyDescent="0.2"/>
    <row r="5825" ht="12.75" x14ac:dyDescent="0.2"/>
    <row r="5826" ht="12.75" x14ac:dyDescent="0.2"/>
    <row r="5827" ht="12.75" x14ac:dyDescent="0.2"/>
    <row r="5828" ht="12.75" x14ac:dyDescent="0.2"/>
    <row r="5829" ht="12.75" x14ac:dyDescent="0.2"/>
    <row r="5830" ht="12.75" x14ac:dyDescent="0.2"/>
    <row r="5831" ht="12.75" x14ac:dyDescent="0.2"/>
    <row r="5832" ht="12.75" x14ac:dyDescent="0.2"/>
    <row r="5833" ht="12.75" x14ac:dyDescent="0.2"/>
    <row r="5834" ht="12.75" x14ac:dyDescent="0.2"/>
    <row r="5835" ht="12.75" x14ac:dyDescent="0.2"/>
    <row r="5836" ht="12.75" x14ac:dyDescent="0.2"/>
    <row r="5837" ht="12.75" x14ac:dyDescent="0.2"/>
    <row r="5838" ht="12.75" x14ac:dyDescent="0.2"/>
    <row r="5839" ht="12.75" x14ac:dyDescent="0.2"/>
    <row r="5840" ht="12.75" x14ac:dyDescent="0.2"/>
    <row r="5841" ht="12.75" x14ac:dyDescent="0.2"/>
    <row r="5842" ht="12.75" x14ac:dyDescent="0.2"/>
    <row r="5843" ht="12.75" x14ac:dyDescent="0.2"/>
    <row r="5844" ht="12.75" x14ac:dyDescent="0.2"/>
    <row r="5845" ht="12.75" x14ac:dyDescent="0.2"/>
    <row r="5846" ht="12.75" x14ac:dyDescent="0.2"/>
    <row r="5847" ht="12.75" x14ac:dyDescent="0.2"/>
    <row r="5848" ht="12.75" x14ac:dyDescent="0.2"/>
    <row r="5849" ht="12.75" x14ac:dyDescent="0.2"/>
    <row r="5850" ht="12.75" x14ac:dyDescent="0.2"/>
    <row r="5851" ht="12.75" x14ac:dyDescent="0.2"/>
    <row r="5852" ht="12.75" x14ac:dyDescent="0.2"/>
    <row r="5853" ht="12.75" x14ac:dyDescent="0.2"/>
    <row r="5854" ht="12.75" x14ac:dyDescent="0.2"/>
    <row r="5855" ht="12.75" x14ac:dyDescent="0.2"/>
    <row r="5856" ht="12.75" x14ac:dyDescent="0.2"/>
    <row r="5857" ht="12.75" x14ac:dyDescent="0.2"/>
    <row r="5858" ht="12.75" x14ac:dyDescent="0.2"/>
    <row r="5859" ht="12.75" x14ac:dyDescent="0.2"/>
    <row r="5860" ht="12.75" x14ac:dyDescent="0.2"/>
    <row r="5861" ht="12.75" x14ac:dyDescent="0.2"/>
    <row r="5862" ht="12.75" x14ac:dyDescent="0.2"/>
    <row r="5863" ht="12.75" x14ac:dyDescent="0.2"/>
    <row r="5864" ht="12.75" x14ac:dyDescent="0.2"/>
    <row r="5865" ht="12.75" x14ac:dyDescent="0.2"/>
    <row r="5866" ht="12.75" x14ac:dyDescent="0.2"/>
    <row r="5867" ht="12.75" x14ac:dyDescent="0.2"/>
    <row r="5868" ht="12.75" x14ac:dyDescent="0.2"/>
    <row r="5869" ht="12.75" x14ac:dyDescent="0.2"/>
    <row r="5870" ht="12.75" x14ac:dyDescent="0.2"/>
    <row r="5871" ht="12.75" x14ac:dyDescent="0.2"/>
    <row r="5872" ht="12.75" x14ac:dyDescent="0.2"/>
    <row r="5873" ht="12.75" x14ac:dyDescent="0.2"/>
    <row r="5874" ht="12.75" x14ac:dyDescent="0.2"/>
    <row r="5875" ht="12.75" x14ac:dyDescent="0.2"/>
    <row r="5876" ht="12.75" x14ac:dyDescent="0.2"/>
    <row r="5877" ht="12.75" x14ac:dyDescent="0.2"/>
    <row r="5878" ht="12.75" x14ac:dyDescent="0.2"/>
    <row r="5879" ht="12.75" x14ac:dyDescent="0.2"/>
    <row r="5880" ht="12.75" x14ac:dyDescent="0.2"/>
    <row r="5881" ht="12.75" x14ac:dyDescent="0.2"/>
    <row r="5882" ht="12.75" x14ac:dyDescent="0.2"/>
    <row r="5883" ht="12.75" x14ac:dyDescent="0.2"/>
    <row r="5884" ht="12.75" x14ac:dyDescent="0.2"/>
    <row r="5885" ht="12.75" x14ac:dyDescent="0.2"/>
    <row r="5886" ht="12.75" x14ac:dyDescent="0.2"/>
    <row r="5887" ht="12.75" x14ac:dyDescent="0.2"/>
    <row r="5888" ht="12.75" x14ac:dyDescent="0.2"/>
    <row r="5889" ht="12.75" x14ac:dyDescent="0.2"/>
    <row r="5890" ht="12.75" x14ac:dyDescent="0.2"/>
    <row r="5891" ht="12.75" x14ac:dyDescent="0.2"/>
    <row r="5892" ht="12.75" x14ac:dyDescent="0.2"/>
    <row r="5893" ht="12.75" x14ac:dyDescent="0.2"/>
    <row r="5894" ht="12.75" x14ac:dyDescent="0.2"/>
    <row r="5895" ht="12.75" x14ac:dyDescent="0.2"/>
    <row r="5896" ht="12.75" x14ac:dyDescent="0.2"/>
    <row r="5897" ht="12.75" x14ac:dyDescent="0.2"/>
    <row r="5898" ht="12.75" x14ac:dyDescent="0.2"/>
    <row r="5899" ht="12.75" x14ac:dyDescent="0.2"/>
    <row r="5900" ht="12.75" x14ac:dyDescent="0.2"/>
    <row r="5901" ht="12.75" x14ac:dyDescent="0.2"/>
    <row r="5902" ht="12.75" x14ac:dyDescent="0.2"/>
    <row r="5903" ht="12.75" x14ac:dyDescent="0.2"/>
    <row r="5904" ht="12.75" x14ac:dyDescent="0.2"/>
    <row r="5905" ht="12.75" x14ac:dyDescent="0.2"/>
    <row r="5906" ht="12.75" x14ac:dyDescent="0.2"/>
    <row r="5907" ht="12.75" x14ac:dyDescent="0.2"/>
    <row r="5908" ht="12.75" x14ac:dyDescent="0.2"/>
    <row r="5909" ht="12.75" x14ac:dyDescent="0.2"/>
    <row r="5910" ht="12.75" x14ac:dyDescent="0.2"/>
    <row r="5911" ht="12.75" x14ac:dyDescent="0.2"/>
    <row r="5912" ht="12.75" x14ac:dyDescent="0.2"/>
    <row r="5913" ht="12.75" x14ac:dyDescent="0.2"/>
    <row r="5914" ht="12.75" x14ac:dyDescent="0.2"/>
    <row r="5915" ht="12.75" x14ac:dyDescent="0.2"/>
    <row r="5916" ht="12.75" x14ac:dyDescent="0.2"/>
    <row r="5917" ht="12.75" x14ac:dyDescent="0.2"/>
    <row r="5918" ht="12.75" x14ac:dyDescent="0.2"/>
    <row r="5919" ht="12.75" x14ac:dyDescent="0.2"/>
    <row r="5920" ht="12.75" x14ac:dyDescent="0.2"/>
    <row r="5921" ht="12.75" x14ac:dyDescent="0.2"/>
    <row r="5922" ht="12.75" x14ac:dyDescent="0.2"/>
    <row r="5923" ht="12.75" x14ac:dyDescent="0.2"/>
    <row r="5924" ht="12.75" x14ac:dyDescent="0.2"/>
    <row r="5925" ht="12.75" x14ac:dyDescent="0.2"/>
    <row r="5926" ht="12.75" x14ac:dyDescent="0.2"/>
    <row r="5927" ht="12.75" x14ac:dyDescent="0.2"/>
    <row r="5928" ht="12.75" x14ac:dyDescent="0.2"/>
    <row r="5929" ht="12.75" x14ac:dyDescent="0.2"/>
    <row r="5930" ht="12.75" x14ac:dyDescent="0.2"/>
    <row r="5931" ht="12.75" x14ac:dyDescent="0.2"/>
    <row r="5932" ht="12.75" x14ac:dyDescent="0.2"/>
    <row r="5933" ht="12.75" x14ac:dyDescent="0.2"/>
    <row r="5934" ht="12.75" x14ac:dyDescent="0.2"/>
    <row r="5935" ht="12.75" x14ac:dyDescent="0.2"/>
    <row r="5936" ht="12.75" x14ac:dyDescent="0.2"/>
    <row r="5937" ht="12.75" x14ac:dyDescent="0.2"/>
    <row r="5938" ht="12.75" x14ac:dyDescent="0.2"/>
    <row r="5939" ht="12.75" x14ac:dyDescent="0.2"/>
    <row r="5940" ht="12.75" x14ac:dyDescent="0.2"/>
    <row r="5941" ht="12.75" x14ac:dyDescent="0.2"/>
    <row r="5942" ht="12.75" x14ac:dyDescent="0.2"/>
    <row r="5943" ht="12.75" x14ac:dyDescent="0.2"/>
    <row r="5944" ht="12.75" x14ac:dyDescent="0.2"/>
    <row r="5945" ht="12.75" x14ac:dyDescent="0.2"/>
    <row r="5946" ht="12.75" x14ac:dyDescent="0.2"/>
    <row r="5947" ht="12.75" x14ac:dyDescent="0.2"/>
    <row r="5948" ht="12.75" x14ac:dyDescent="0.2"/>
    <row r="5949" ht="12.75" x14ac:dyDescent="0.2"/>
    <row r="5950" ht="12.75" x14ac:dyDescent="0.2"/>
    <row r="5951" ht="12.75" x14ac:dyDescent="0.2"/>
    <row r="5952" ht="12.75" x14ac:dyDescent="0.2"/>
    <row r="5953" ht="12.75" x14ac:dyDescent="0.2"/>
    <row r="5954" ht="12.75" x14ac:dyDescent="0.2"/>
    <row r="5955" ht="12.75" x14ac:dyDescent="0.2"/>
    <row r="5956" ht="12.75" x14ac:dyDescent="0.2"/>
    <row r="5957" ht="12.75" x14ac:dyDescent="0.2"/>
    <row r="5958" ht="12.75" x14ac:dyDescent="0.2"/>
    <row r="5959" ht="12.75" x14ac:dyDescent="0.2"/>
    <row r="5960" ht="12.75" x14ac:dyDescent="0.2"/>
    <row r="5961" ht="12.75" x14ac:dyDescent="0.2"/>
    <row r="5962" ht="12.75" x14ac:dyDescent="0.2"/>
    <row r="5963" ht="12.75" x14ac:dyDescent="0.2"/>
    <row r="5964" ht="12.75" x14ac:dyDescent="0.2"/>
    <row r="5965" ht="12.75" x14ac:dyDescent="0.2"/>
    <row r="5966" ht="12.75" x14ac:dyDescent="0.2"/>
    <row r="5967" ht="12.75" x14ac:dyDescent="0.2"/>
    <row r="5968" ht="12.75" x14ac:dyDescent="0.2"/>
    <row r="5969" ht="12.75" x14ac:dyDescent="0.2"/>
    <row r="5970" ht="12.75" x14ac:dyDescent="0.2"/>
    <row r="5971" ht="12.75" x14ac:dyDescent="0.2"/>
    <row r="5972" ht="12.75" x14ac:dyDescent="0.2"/>
    <row r="5973" ht="12.75" x14ac:dyDescent="0.2"/>
    <row r="5974" ht="12.75" x14ac:dyDescent="0.2"/>
    <row r="5975" ht="12.75" x14ac:dyDescent="0.2"/>
    <row r="5976" ht="12.75" x14ac:dyDescent="0.2"/>
    <row r="5977" ht="12.75" x14ac:dyDescent="0.2"/>
    <row r="5978" ht="12.75" x14ac:dyDescent="0.2"/>
    <row r="5979" ht="12.75" x14ac:dyDescent="0.2"/>
    <row r="5980" ht="12.75" x14ac:dyDescent="0.2"/>
    <row r="5981" ht="12.75" x14ac:dyDescent="0.2"/>
    <row r="5982" ht="12.75" x14ac:dyDescent="0.2"/>
    <row r="5983" ht="12.75" x14ac:dyDescent="0.2"/>
    <row r="5984" ht="12.75" x14ac:dyDescent="0.2"/>
    <row r="5985" ht="12.75" x14ac:dyDescent="0.2"/>
    <row r="5986" ht="12.75" x14ac:dyDescent="0.2"/>
    <row r="5987" ht="12.75" x14ac:dyDescent="0.2"/>
    <row r="5988" ht="12.75" x14ac:dyDescent="0.2"/>
    <row r="5989" ht="12.75" x14ac:dyDescent="0.2"/>
    <row r="5990" ht="12.75" x14ac:dyDescent="0.2"/>
    <row r="5991" ht="12.75" x14ac:dyDescent="0.2"/>
    <row r="5992" ht="12.75" x14ac:dyDescent="0.2"/>
    <row r="5993" ht="12.75" x14ac:dyDescent="0.2"/>
    <row r="5994" ht="12.75" x14ac:dyDescent="0.2"/>
    <row r="5995" ht="12.75" x14ac:dyDescent="0.2"/>
    <row r="5996" ht="12.75" x14ac:dyDescent="0.2"/>
    <row r="5997" ht="12.75" x14ac:dyDescent="0.2"/>
    <row r="5998" ht="12.75" x14ac:dyDescent="0.2"/>
    <row r="5999" ht="12.75" x14ac:dyDescent="0.2"/>
    <row r="6000" ht="12.75" x14ac:dyDescent="0.2"/>
    <row r="6001" ht="12.75" x14ac:dyDescent="0.2"/>
    <row r="6002" ht="12.75" x14ac:dyDescent="0.2"/>
    <row r="6003" ht="12.75" x14ac:dyDescent="0.2"/>
    <row r="6004" ht="12.75" x14ac:dyDescent="0.2"/>
    <row r="6005" ht="12.75" x14ac:dyDescent="0.2"/>
    <row r="6006" ht="12.75" x14ac:dyDescent="0.2"/>
    <row r="6007" ht="12.75" x14ac:dyDescent="0.2"/>
    <row r="6008" ht="12.75" x14ac:dyDescent="0.2"/>
    <row r="6009" ht="12.75" x14ac:dyDescent="0.2"/>
    <row r="6010" ht="12.75" x14ac:dyDescent="0.2"/>
    <row r="6011" ht="12.75" x14ac:dyDescent="0.2"/>
    <row r="6012" ht="12.75" x14ac:dyDescent="0.2"/>
    <row r="6013" ht="12.75" x14ac:dyDescent="0.2"/>
    <row r="6014" ht="12.75" x14ac:dyDescent="0.2"/>
    <row r="6015" ht="12.75" x14ac:dyDescent="0.2"/>
    <row r="6016" ht="12.75" x14ac:dyDescent="0.2"/>
    <row r="6017" ht="12.75" x14ac:dyDescent="0.2"/>
    <row r="6018" ht="12.75" x14ac:dyDescent="0.2"/>
    <row r="6019" ht="12.75" x14ac:dyDescent="0.2"/>
    <row r="6020" ht="12.75" x14ac:dyDescent="0.2"/>
    <row r="6021" ht="12.75" x14ac:dyDescent="0.2"/>
    <row r="6022" ht="12.75" x14ac:dyDescent="0.2"/>
    <row r="6023" ht="12.75" x14ac:dyDescent="0.2"/>
    <row r="6024" ht="12.75" x14ac:dyDescent="0.2"/>
    <row r="6025" ht="12.75" x14ac:dyDescent="0.2"/>
    <row r="6026" ht="12.75" x14ac:dyDescent="0.2"/>
    <row r="6027" ht="12.75" x14ac:dyDescent="0.2"/>
    <row r="6028" ht="12.75" x14ac:dyDescent="0.2"/>
    <row r="6029" ht="12.75" x14ac:dyDescent="0.2"/>
    <row r="6030" ht="12.75" x14ac:dyDescent="0.2"/>
    <row r="6031" ht="12.75" x14ac:dyDescent="0.2"/>
    <row r="6032" ht="12.75" x14ac:dyDescent="0.2"/>
    <row r="6033" ht="12.75" x14ac:dyDescent="0.2"/>
    <row r="6034" ht="12.75" x14ac:dyDescent="0.2"/>
    <row r="6035" ht="12.75" x14ac:dyDescent="0.2"/>
    <row r="6036" ht="12.75" x14ac:dyDescent="0.2"/>
    <row r="6037" ht="12.75" x14ac:dyDescent="0.2"/>
    <row r="6038" ht="12.75" x14ac:dyDescent="0.2"/>
    <row r="6039" ht="12.75" x14ac:dyDescent="0.2"/>
    <row r="6040" ht="12.75" x14ac:dyDescent="0.2"/>
    <row r="6041" ht="12.75" x14ac:dyDescent="0.2"/>
    <row r="6042" ht="12.75" x14ac:dyDescent="0.2"/>
    <row r="6043" ht="12.75" x14ac:dyDescent="0.2"/>
    <row r="6044" ht="12.75" x14ac:dyDescent="0.2"/>
    <row r="6045" ht="12.75" x14ac:dyDescent="0.2"/>
    <row r="6046" ht="12.75" x14ac:dyDescent="0.2"/>
    <row r="6047" ht="12.75" x14ac:dyDescent="0.2"/>
    <row r="6048" ht="12.75" x14ac:dyDescent="0.2"/>
    <row r="6049" ht="12.75" x14ac:dyDescent="0.2"/>
    <row r="6050" ht="12.75" x14ac:dyDescent="0.2"/>
    <row r="6051" ht="12.75" x14ac:dyDescent="0.2"/>
    <row r="6052" ht="12.75" x14ac:dyDescent="0.2"/>
    <row r="6053" ht="12.75" x14ac:dyDescent="0.2"/>
    <row r="6054" ht="12.75" x14ac:dyDescent="0.2"/>
    <row r="6055" ht="12.75" x14ac:dyDescent="0.2"/>
    <row r="6056" ht="12.75" x14ac:dyDescent="0.2"/>
    <row r="6057" ht="12.75" x14ac:dyDescent="0.2"/>
    <row r="6058" ht="12.75" x14ac:dyDescent="0.2"/>
    <row r="6059" ht="12.75" x14ac:dyDescent="0.2"/>
    <row r="6060" ht="12.75" x14ac:dyDescent="0.2"/>
    <row r="6061" ht="12.75" x14ac:dyDescent="0.2"/>
    <row r="6062" ht="12.75" x14ac:dyDescent="0.2"/>
    <row r="6063" ht="12.75" x14ac:dyDescent="0.2"/>
    <row r="6064" ht="12.75" x14ac:dyDescent="0.2"/>
    <row r="6065" ht="12.75" x14ac:dyDescent="0.2"/>
    <row r="6066" ht="12.75" x14ac:dyDescent="0.2"/>
    <row r="6067" ht="12.75" x14ac:dyDescent="0.2"/>
    <row r="6068" ht="12.75" x14ac:dyDescent="0.2"/>
    <row r="6069" ht="12.75" x14ac:dyDescent="0.2"/>
    <row r="6070" ht="12.75" x14ac:dyDescent="0.2"/>
    <row r="6071" ht="12.75" x14ac:dyDescent="0.2"/>
    <row r="6072" ht="12.75" x14ac:dyDescent="0.2"/>
    <row r="6073" ht="12.75" x14ac:dyDescent="0.2"/>
    <row r="6074" ht="12.75" x14ac:dyDescent="0.2"/>
    <row r="6075" ht="12.75" x14ac:dyDescent="0.2"/>
    <row r="6076" ht="12.75" x14ac:dyDescent="0.2"/>
    <row r="6077" ht="12.75" x14ac:dyDescent="0.2"/>
    <row r="6078" ht="12.75" x14ac:dyDescent="0.2"/>
    <row r="6079" ht="12.75" x14ac:dyDescent="0.2"/>
    <row r="6080" ht="12.75" x14ac:dyDescent="0.2"/>
    <row r="6081" ht="12.75" x14ac:dyDescent="0.2"/>
    <row r="6082" ht="12.75" x14ac:dyDescent="0.2"/>
    <row r="6083" ht="12.75" x14ac:dyDescent="0.2"/>
    <row r="6084" ht="12.75" x14ac:dyDescent="0.2"/>
    <row r="6085" ht="12.75" x14ac:dyDescent="0.2"/>
    <row r="6086" ht="12.75" x14ac:dyDescent="0.2"/>
    <row r="6087" ht="12.75" x14ac:dyDescent="0.2"/>
    <row r="6088" ht="12.75" x14ac:dyDescent="0.2"/>
    <row r="6089" ht="12.75" x14ac:dyDescent="0.2"/>
    <row r="6090" ht="12.75" x14ac:dyDescent="0.2"/>
    <row r="6091" ht="12.75" x14ac:dyDescent="0.2"/>
    <row r="6092" ht="12.75" x14ac:dyDescent="0.2"/>
    <row r="6093" ht="12.75" x14ac:dyDescent="0.2"/>
    <row r="6094" ht="12.75" x14ac:dyDescent="0.2"/>
    <row r="6095" ht="12.75" x14ac:dyDescent="0.2"/>
    <row r="6096" ht="12.75" x14ac:dyDescent="0.2"/>
    <row r="6097" ht="12.75" x14ac:dyDescent="0.2"/>
    <row r="6098" ht="12.75" x14ac:dyDescent="0.2"/>
    <row r="6099" ht="12.75" x14ac:dyDescent="0.2"/>
    <row r="6100" ht="12.75" x14ac:dyDescent="0.2"/>
    <row r="6101" ht="12.75" x14ac:dyDescent="0.2"/>
    <row r="6102" ht="12.75" x14ac:dyDescent="0.2"/>
    <row r="6103" ht="12.75" x14ac:dyDescent="0.2"/>
    <row r="6104" ht="12.75" x14ac:dyDescent="0.2"/>
    <row r="6105" ht="12.75" x14ac:dyDescent="0.2"/>
    <row r="6106" ht="12.75" x14ac:dyDescent="0.2"/>
    <row r="6107" ht="12.75" x14ac:dyDescent="0.2"/>
    <row r="6108" ht="12.75" x14ac:dyDescent="0.2"/>
    <row r="6109" ht="12.75" x14ac:dyDescent="0.2"/>
    <row r="6110" ht="12.75" x14ac:dyDescent="0.2"/>
    <row r="6111" ht="12.75" x14ac:dyDescent="0.2"/>
    <row r="6112" ht="12.75" x14ac:dyDescent="0.2"/>
    <row r="6113" ht="12.75" x14ac:dyDescent="0.2"/>
    <row r="6114" ht="12.75" x14ac:dyDescent="0.2"/>
    <row r="6115" ht="12.75" x14ac:dyDescent="0.2"/>
    <row r="6116" ht="12.75" x14ac:dyDescent="0.2"/>
    <row r="6117" ht="12.75" x14ac:dyDescent="0.2"/>
    <row r="6118" ht="12.75" x14ac:dyDescent="0.2"/>
    <row r="6119" ht="12.75" x14ac:dyDescent="0.2"/>
    <row r="6120" ht="12.75" x14ac:dyDescent="0.2"/>
    <row r="6121" ht="12.75" x14ac:dyDescent="0.2"/>
    <row r="6122" ht="12.75" x14ac:dyDescent="0.2"/>
    <row r="6123" ht="12.75" x14ac:dyDescent="0.2"/>
    <row r="6124" ht="12.75" x14ac:dyDescent="0.2"/>
    <row r="6125" ht="12.75" x14ac:dyDescent="0.2"/>
    <row r="6126" ht="12.75" x14ac:dyDescent="0.2"/>
    <row r="6127" ht="12.75" x14ac:dyDescent="0.2"/>
    <row r="6128" ht="12.75" x14ac:dyDescent="0.2"/>
    <row r="6129" ht="12.75" x14ac:dyDescent="0.2"/>
    <row r="6130" ht="12.75" x14ac:dyDescent="0.2"/>
    <row r="6131" ht="12.75" x14ac:dyDescent="0.2"/>
    <row r="6132" ht="12.75" x14ac:dyDescent="0.2"/>
    <row r="6133" ht="12.75" x14ac:dyDescent="0.2"/>
    <row r="6134" ht="12.75" x14ac:dyDescent="0.2"/>
    <row r="6135" ht="12.75" x14ac:dyDescent="0.2"/>
    <row r="6136" ht="12.75" x14ac:dyDescent="0.2"/>
    <row r="6137" ht="12.75" x14ac:dyDescent="0.2"/>
    <row r="6138" ht="12.75" x14ac:dyDescent="0.2"/>
    <row r="6139" ht="12.75" x14ac:dyDescent="0.2"/>
    <row r="6140" ht="12.75" x14ac:dyDescent="0.2"/>
    <row r="6141" ht="12.75" x14ac:dyDescent="0.2"/>
    <row r="6142" ht="12.75" x14ac:dyDescent="0.2"/>
    <row r="6143" ht="12.75" x14ac:dyDescent="0.2"/>
    <row r="6144" ht="12.75" x14ac:dyDescent="0.2"/>
    <row r="6145" ht="12.75" x14ac:dyDescent="0.2"/>
    <row r="6146" ht="12.75" x14ac:dyDescent="0.2"/>
    <row r="6147" ht="12.75" x14ac:dyDescent="0.2"/>
    <row r="6148" ht="12.75" x14ac:dyDescent="0.2"/>
    <row r="6149" ht="12.75" x14ac:dyDescent="0.2"/>
    <row r="6150" ht="12.75" x14ac:dyDescent="0.2"/>
    <row r="6151" ht="12.75" x14ac:dyDescent="0.2"/>
    <row r="6152" ht="12.75" x14ac:dyDescent="0.2"/>
    <row r="6153" ht="12.75" x14ac:dyDescent="0.2"/>
    <row r="6154" ht="12.75" x14ac:dyDescent="0.2"/>
    <row r="6155" ht="12.75" x14ac:dyDescent="0.2"/>
    <row r="6156" ht="12.75" x14ac:dyDescent="0.2"/>
    <row r="6157" ht="12.75" x14ac:dyDescent="0.2"/>
    <row r="6158" ht="12.75" x14ac:dyDescent="0.2"/>
    <row r="6159" ht="12.75" x14ac:dyDescent="0.2"/>
    <row r="6160" ht="12.75" x14ac:dyDescent="0.2"/>
    <row r="6161" ht="12.75" x14ac:dyDescent="0.2"/>
    <row r="6162" ht="12.75" x14ac:dyDescent="0.2"/>
    <row r="6163" ht="12.75" x14ac:dyDescent="0.2"/>
    <row r="6164" ht="12.75" x14ac:dyDescent="0.2"/>
    <row r="6165" ht="12.75" x14ac:dyDescent="0.2"/>
    <row r="6166" ht="12.75" x14ac:dyDescent="0.2"/>
    <row r="6167" ht="12.75" x14ac:dyDescent="0.2"/>
    <row r="6168" ht="12.75" x14ac:dyDescent="0.2"/>
    <row r="6169" ht="12.75" x14ac:dyDescent="0.2"/>
    <row r="6170" ht="12.75" x14ac:dyDescent="0.2"/>
    <row r="6171" ht="12.75" x14ac:dyDescent="0.2"/>
    <row r="6172" ht="12.75" x14ac:dyDescent="0.2"/>
    <row r="6173" ht="12.75" x14ac:dyDescent="0.2"/>
    <row r="6174" ht="12.75" x14ac:dyDescent="0.2"/>
    <row r="6175" ht="12.75" x14ac:dyDescent="0.2"/>
    <row r="6176" ht="12.75" x14ac:dyDescent="0.2"/>
    <row r="6177" ht="12.75" x14ac:dyDescent="0.2"/>
    <row r="6178" ht="12.75" x14ac:dyDescent="0.2"/>
    <row r="6179" ht="12.75" x14ac:dyDescent="0.2"/>
    <row r="6180" ht="12.75" x14ac:dyDescent="0.2"/>
    <row r="6181" ht="12.75" x14ac:dyDescent="0.2"/>
    <row r="6182" ht="12.75" x14ac:dyDescent="0.2"/>
    <row r="6183" ht="12.75" x14ac:dyDescent="0.2"/>
    <row r="6184" ht="12.75" x14ac:dyDescent="0.2"/>
    <row r="6185" ht="12.75" x14ac:dyDescent="0.2"/>
    <row r="6186" ht="12.75" x14ac:dyDescent="0.2"/>
    <row r="6187" ht="12.75" x14ac:dyDescent="0.2"/>
    <row r="6188" ht="12.75" x14ac:dyDescent="0.2"/>
    <row r="6189" ht="12.75" x14ac:dyDescent="0.2"/>
    <row r="6190" ht="12.75" x14ac:dyDescent="0.2"/>
    <row r="6191" ht="12.75" x14ac:dyDescent="0.2"/>
    <row r="6192" ht="12.75" x14ac:dyDescent="0.2"/>
    <row r="6193" ht="12.75" x14ac:dyDescent="0.2"/>
    <row r="6194" ht="12.75" x14ac:dyDescent="0.2"/>
    <row r="6195" ht="12.75" x14ac:dyDescent="0.2"/>
    <row r="6196" ht="12.75" x14ac:dyDescent="0.2"/>
    <row r="6197" ht="12.75" x14ac:dyDescent="0.2"/>
    <row r="6198" ht="12.75" x14ac:dyDescent="0.2"/>
    <row r="6199" ht="12.75" x14ac:dyDescent="0.2"/>
    <row r="6200" ht="12.75" x14ac:dyDescent="0.2"/>
    <row r="6201" ht="12.75" x14ac:dyDescent="0.2"/>
    <row r="6202" ht="12.75" x14ac:dyDescent="0.2"/>
    <row r="6203" ht="12.75" x14ac:dyDescent="0.2"/>
    <row r="6204" ht="12.75" x14ac:dyDescent="0.2"/>
    <row r="6205" ht="12.75" x14ac:dyDescent="0.2"/>
    <row r="6206" ht="12.75" x14ac:dyDescent="0.2"/>
    <row r="6207" ht="12.75" x14ac:dyDescent="0.2"/>
    <row r="6208" ht="12.75" x14ac:dyDescent="0.2"/>
    <row r="6209" ht="12.75" x14ac:dyDescent="0.2"/>
    <row r="6210" ht="12.75" x14ac:dyDescent="0.2"/>
    <row r="6211" ht="12.75" x14ac:dyDescent="0.2"/>
    <row r="6212" ht="12.75" x14ac:dyDescent="0.2"/>
    <row r="6213" ht="12.75" x14ac:dyDescent="0.2"/>
    <row r="6214" ht="12.75" x14ac:dyDescent="0.2"/>
    <row r="6215" ht="12.75" x14ac:dyDescent="0.2"/>
    <row r="6216" ht="12.75" x14ac:dyDescent="0.2"/>
    <row r="6217" ht="12.75" x14ac:dyDescent="0.2"/>
    <row r="6218" ht="12.75" x14ac:dyDescent="0.2"/>
    <row r="6219" ht="12.75" x14ac:dyDescent="0.2"/>
    <row r="6220" ht="12.75" x14ac:dyDescent="0.2"/>
    <row r="6221" ht="12.75" x14ac:dyDescent="0.2"/>
    <row r="6222" ht="12.75" x14ac:dyDescent="0.2"/>
    <row r="6223" ht="12.75" x14ac:dyDescent="0.2"/>
    <row r="6224" ht="12.75" x14ac:dyDescent="0.2"/>
    <row r="6225" ht="12.75" x14ac:dyDescent="0.2"/>
    <row r="6226" ht="12.75" x14ac:dyDescent="0.2"/>
    <row r="6227" ht="12.75" x14ac:dyDescent="0.2"/>
    <row r="6228" ht="12.75" x14ac:dyDescent="0.2"/>
    <row r="6229" ht="12.75" x14ac:dyDescent="0.2"/>
    <row r="6230" ht="12.75" x14ac:dyDescent="0.2"/>
    <row r="6231" ht="12.75" x14ac:dyDescent="0.2"/>
    <row r="6232" ht="12.75" x14ac:dyDescent="0.2"/>
    <row r="6233" ht="12.75" x14ac:dyDescent="0.2"/>
    <row r="6234" ht="12.75" x14ac:dyDescent="0.2"/>
    <row r="6235" ht="12.75" x14ac:dyDescent="0.2"/>
    <row r="6236" ht="12.75" x14ac:dyDescent="0.2"/>
    <row r="6237" ht="12.75" x14ac:dyDescent="0.2"/>
    <row r="6238" ht="12.75" x14ac:dyDescent="0.2"/>
    <row r="6239" ht="12.75" x14ac:dyDescent="0.2"/>
    <row r="6240" ht="12.75" x14ac:dyDescent="0.2"/>
    <row r="6241" ht="12.75" x14ac:dyDescent="0.2"/>
    <row r="6242" ht="12.75" x14ac:dyDescent="0.2"/>
    <row r="6243" ht="12.75" x14ac:dyDescent="0.2"/>
    <row r="6244" ht="12.75" x14ac:dyDescent="0.2"/>
    <row r="6245" ht="12.75" x14ac:dyDescent="0.2"/>
    <row r="6246" ht="12.75" x14ac:dyDescent="0.2"/>
    <row r="6247" ht="12.75" x14ac:dyDescent="0.2"/>
    <row r="6248" ht="12.75" x14ac:dyDescent="0.2"/>
    <row r="6249" ht="12.75" x14ac:dyDescent="0.2"/>
    <row r="6250" ht="12.75" x14ac:dyDescent="0.2"/>
    <row r="6251" ht="12.75" x14ac:dyDescent="0.2"/>
    <row r="6252" ht="12.75" x14ac:dyDescent="0.2"/>
    <row r="6253" ht="12.75" x14ac:dyDescent="0.2"/>
    <row r="6254" ht="12.75" x14ac:dyDescent="0.2"/>
    <row r="6255" ht="12.75" x14ac:dyDescent="0.2"/>
    <row r="6256" ht="12.75" x14ac:dyDescent="0.2"/>
    <row r="6257" ht="12.75" x14ac:dyDescent="0.2"/>
    <row r="6258" ht="12.75" x14ac:dyDescent="0.2"/>
    <row r="6259" ht="12.75" x14ac:dyDescent="0.2"/>
    <row r="6260" ht="12.75" x14ac:dyDescent="0.2"/>
    <row r="6261" ht="12.75" x14ac:dyDescent="0.2"/>
    <row r="6262" ht="12.75" x14ac:dyDescent="0.2"/>
    <row r="6263" ht="12.75" x14ac:dyDescent="0.2"/>
    <row r="6264" ht="12.75" x14ac:dyDescent="0.2"/>
    <row r="6265" ht="12.75" x14ac:dyDescent="0.2"/>
    <row r="6266" ht="12.75" x14ac:dyDescent="0.2"/>
    <row r="6267" ht="12.75" x14ac:dyDescent="0.2"/>
    <row r="6268" ht="12.75" x14ac:dyDescent="0.2"/>
    <row r="6269" ht="12.75" x14ac:dyDescent="0.2"/>
    <row r="6270" ht="12.75" x14ac:dyDescent="0.2"/>
    <row r="6271" ht="12.75" x14ac:dyDescent="0.2"/>
    <row r="6272" ht="12.75" x14ac:dyDescent="0.2"/>
    <row r="6273" ht="12.75" x14ac:dyDescent="0.2"/>
    <row r="6274" ht="12.75" x14ac:dyDescent="0.2"/>
    <row r="6275" ht="12.75" x14ac:dyDescent="0.2"/>
    <row r="6276" ht="12.75" x14ac:dyDescent="0.2"/>
    <row r="6277" ht="12.75" x14ac:dyDescent="0.2"/>
    <row r="6278" ht="12.75" x14ac:dyDescent="0.2"/>
    <row r="6279" ht="12.75" x14ac:dyDescent="0.2"/>
    <row r="6280" ht="12.75" x14ac:dyDescent="0.2"/>
    <row r="6281" ht="12.75" x14ac:dyDescent="0.2"/>
    <row r="6282" ht="12.75" x14ac:dyDescent="0.2"/>
    <row r="6283" ht="12.75" x14ac:dyDescent="0.2"/>
    <row r="6284" ht="12.75" x14ac:dyDescent="0.2"/>
    <row r="6285" ht="12.75" x14ac:dyDescent="0.2"/>
    <row r="6286" ht="12.75" x14ac:dyDescent="0.2"/>
    <row r="6287" ht="12.75" x14ac:dyDescent="0.2"/>
    <row r="6288" ht="12.75" x14ac:dyDescent="0.2"/>
    <row r="6289" ht="12.75" x14ac:dyDescent="0.2"/>
    <row r="6290" ht="12.75" x14ac:dyDescent="0.2"/>
    <row r="6291" ht="12.75" x14ac:dyDescent="0.2"/>
    <row r="6292" ht="12.75" x14ac:dyDescent="0.2"/>
    <row r="6293" ht="12.75" x14ac:dyDescent="0.2"/>
    <row r="6294" ht="12.75" x14ac:dyDescent="0.2"/>
    <row r="6295" ht="12.75" x14ac:dyDescent="0.2"/>
    <row r="6296" ht="12.75" x14ac:dyDescent="0.2"/>
    <row r="6297" ht="12.75" x14ac:dyDescent="0.2"/>
    <row r="6298" ht="12.75" x14ac:dyDescent="0.2"/>
    <row r="6299" ht="12.75" x14ac:dyDescent="0.2"/>
    <row r="6300" ht="12.75" x14ac:dyDescent="0.2"/>
    <row r="6301" ht="12.75" x14ac:dyDescent="0.2"/>
    <row r="6302" ht="12.75" x14ac:dyDescent="0.2"/>
    <row r="6303" ht="12.75" x14ac:dyDescent="0.2"/>
    <row r="6304" ht="12.75" x14ac:dyDescent="0.2"/>
    <row r="6305" ht="12.75" x14ac:dyDescent="0.2"/>
    <row r="6306" ht="12.75" x14ac:dyDescent="0.2"/>
    <row r="6307" ht="12.75" x14ac:dyDescent="0.2"/>
    <row r="6308" ht="12.75" x14ac:dyDescent="0.2"/>
    <row r="6309" ht="12.75" x14ac:dyDescent="0.2"/>
    <row r="6310" ht="12.75" x14ac:dyDescent="0.2"/>
    <row r="6311" ht="12.75" x14ac:dyDescent="0.2"/>
    <row r="6312" ht="12.75" x14ac:dyDescent="0.2"/>
    <row r="6313" ht="12.75" x14ac:dyDescent="0.2"/>
    <row r="6314" ht="12.75" x14ac:dyDescent="0.2"/>
    <row r="6315" ht="12.75" x14ac:dyDescent="0.2"/>
    <row r="6316" ht="12.75" x14ac:dyDescent="0.2"/>
    <row r="6317" ht="12.75" x14ac:dyDescent="0.2"/>
    <row r="6318" ht="12.75" x14ac:dyDescent="0.2"/>
    <row r="6319" ht="12.75" x14ac:dyDescent="0.2"/>
    <row r="6320" ht="12.75" x14ac:dyDescent="0.2"/>
    <row r="6321" ht="12.75" x14ac:dyDescent="0.2"/>
    <row r="6322" ht="12.75" x14ac:dyDescent="0.2"/>
    <row r="6323" ht="12.75" x14ac:dyDescent="0.2"/>
    <row r="6324" ht="12.75" x14ac:dyDescent="0.2"/>
    <row r="6325" ht="12.75" x14ac:dyDescent="0.2"/>
    <row r="6326" ht="12.75" x14ac:dyDescent="0.2"/>
    <row r="6327" ht="12.75" x14ac:dyDescent="0.2"/>
    <row r="6328" ht="12.75" x14ac:dyDescent="0.2"/>
    <row r="6329" ht="12.75" x14ac:dyDescent="0.2"/>
    <row r="6330" ht="12.75" x14ac:dyDescent="0.2"/>
    <row r="6331" ht="12.75" x14ac:dyDescent="0.2"/>
    <row r="6332" ht="12.75" x14ac:dyDescent="0.2"/>
    <row r="6333" ht="12.75" x14ac:dyDescent="0.2"/>
    <row r="6334" ht="12.75" x14ac:dyDescent="0.2"/>
    <row r="6335" ht="12.75" x14ac:dyDescent="0.2"/>
    <row r="6336" ht="12.75" x14ac:dyDescent="0.2"/>
    <row r="6337" ht="12.75" x14ac:dyDescent="0.2"/>
    <row r="6338" ht="12.75" x14ac:dyDescent="0.2"/>
    <row r="6339" ht="12.75" x14ac:dyDescent="0.2"/>
    <row r="6340" ht="12.75" x14ac:dyDescent="0.2"/>
    <row r="6341" ht="12.75" x14ac:dyDescent="0.2"/>
    <row r="6342" ht="12.75" x14ac:dyDescent="0.2"/>
    <row r="6343" ht="12.75" x14ac:dyDescent="0.2"/>
    <row r="6344" ht="12.75" x14ac:dyDescent="0.2"/>
    <row r="6345" ht="12.75" x14ac:dyDescent="0.2"/>
    <row r="6346" ht="12.75" x14ac:dyDescent="0.2"/>
    <row r="6347" ht="12.75" x14ac:dyDescent="0.2"/>
    <row r="6348" ht="12.75" x14ac:dyDescent="0.2"/>
    <row r="6349" ht="12.75" x14ac:dyDescent="0.2"/>
    <row r="6350" ht="12.75" x14ac:dyDescent="0.2"/>
    <row r="6351" ht="12.75" x14ac:dyDescent="0.2"/>
    <row r="6352" ht="12.75" x14ac:dyDescent="0.2"/>
    <row r="6353" ht="12.75" x14ac:dyDescent="0.2"/>
    <row r="6354" ht="12.75" x14ac:dyDescent="0.2"/>
    <row r="6355" ht="12.75" x14ac:dyDescent="0.2"/>
    <row r="6356" ht="12.75" x14ac:dyDescent="0.2"/>
    <row r="6357" ht="12.75" x14ac:dyDescent="0.2"/>
    <row r="6358" ht="12.75" x14ac:dyDescent="0.2"/>
    <row r="6359" ht="12.75" x14ac:dyDescent="0.2"/>
    <row r="6360" ht="12.75" x14ac:dyDescent="0.2"/>
    <row r="6361" ht="12.75" x14ac:dyDescent="0.2"/>
    <row r="6362" ht="12.75" x14ac:dyDescent="0.2"/>
    <row r="6363" ht="12.75" x14ac:dyDescent="0.2"/>
    <row r="6364" ht="12.75" x14ac:dyDescent="0.2"/>
    <row r="6365" ht="12.75" x14ac:dyDescent="0.2"/>
    <row r="6366" ht="12.75" x14ac:dyDescent="0.2"/>
    <row r="6367" ht="12.75" x14ac:dyDescent="0.2"/>
    <row r="6368" ht="12.75" x14ac:dyDescent="0.2"/>
    <row r="6369" ht="12.75" x14ac:dyDescent="0.2"/>
    <row r="6370" ht="12.75" x14ac:dyDescent="0.2"/>
    <row r="6371" ht="12.75" x14ac:dyDescent="0.2"/>
    <row r="6372" ht="12.75" x14ac:dyDescent="0.2"/>
    <row r="6373" ht="12.75" x14ac:dyDescent="0.2"/>
    <row r="6374" ht="12.75" x14ac:dyDescent="0.2"/>
    <row r="6375" ht="12.75" x14ac:dyDescent="0.2"/>
    <row r="6376" ht="12.75" x14ac:dyDescent="0.2"/>
    <row r="6377" ht="12.75" x14ac:dyDescent="0.2"/>
    <row r="6378" ht="12.75" x14ac:dyDescent="0.2"/>
    <row r="6379" ht="12.75" x14ac:dyDescent="0.2"/>
    <row r="6380" ht="12.75" x14ac:dyDescent="0.2"/>
    <row r="6381" ht="12.75" x14ac:dyDescent="0.2"/>
    <row r="6382" ht="12.75" x14ac:dyDescent="0.2"/>
    <row r="6383" ht="12.75" x14ac:dyDescent="0.2"/>
    <row r="6384" ht="12.75" x14ac:dyDescent="0.2"/>
    <row r="6385" ht="12.75" x14ac:dyDescent="0.2"/>
    <row r="6386" ht="12.75" x14ac:dyDescent="0.2"/>
    <row r="6387" ht="12.75" x14ac:dyDescent="0.2"/>
    <row r="6388" ht="12.75" x14ac:dyDescent="0.2"/>
    <row r="6389" ht="12.75" x14ac:dyDescent="0.2"/>
    <row r="6390" ht="12.75" x14ac:dyDescent="0.2"/>
    <row r="6391" ht="12.75" x14ac:dyDescent="0.2"/>
    <row r="6392" ht="12.75" x14ac:dyDescent="0.2"/>
    <row r="6393" ht="12.75" x14ac:dyDescent="0.2"/>
    <row r="6394" ht="12.75" x14ac:dyDescent="0.2"/>
    <row r="6395" ht="12.75" x14ac:dyDescent="0.2"/>
    <row r="6396" ht="12.75" x14ac:dyDescent="0.2"/>
    <row r="6397" ht="12.75" x14ac:dyDescent="0.2"/>
    <row r="6398" ht="12.75" x14ac:dyDescent="0.2"/>
    <row r="6399" ht="12.75" x14ac:dyDescent="0.2"/>
    <row r="6400" ht="12.75" x14ac:dyDescent="0.2"/>
    <row r="6401" ht="12.75" x14ac:dyDescent="0.2"/>
    <row r="6402" ht="12.75" x14ac:dyDescent="0.2"/>
    <row r="6403" ht="12.75" x14ac:dyDescent="0.2"/>
    <row r="6404" ht="12.75" x14ac:dyDescent="0.2"/>
    <row r="6405" ht="12.75" x14ac:dyDescent="0.2"/>
    <row r="6406" ht="12.75" x14ac:dyDescent="0.2"/>
    <row r="6407" ht="12.75" x14ac:dyDescent="0.2"/>
    <row r="6408" ht="12.75" x14ac:dyDescent="0.2"/>
    <row r="6409" ht="12.75" x14ac:dyDescent="0.2"/>
    <row r="6410" ht="12.75" x14ac:dyDescent="0.2"/>
    <row r="6411" ht="12.75" x14ac:dyDescent="0.2"/>
    <row r="6412" ht="12.75" x14ac:dyDescent="0.2"/>
    <row r="6413" ht="12.75" x14ac:dyDescent="0.2"/>
    <row r="6414" ht="12.75" x14ac:dyDescent="0.2"/>
    <row r="6415" ht="12.75" x14ac:dyDescent="0.2"/>
    <row r="6416" ht="12.75" x14ac:dyDescent="0.2"/>
    <row r="6417" ht="12.75" x14ac:dyDescent="0.2"/>
    <row r="6418" ht="12.75" x14ac:dyDescent="0.2"/>
    <row r="6419" ht="12.75" x14ac:dyDescent="0.2"/>
    <row r="6420" ht="12.75" x14ac:dyDescent="0.2"/>
    <row r="6421" ht="12.75" x14ac:dyDescent="0.2"/>
    <row r="6422" ht="12.75" x14ac:dyDescent="0.2"/>
    <row r="6423" ht="12.75" x14ac:dyDescent="0.2"/>
    <row r="6424" ht="12.75" x14ac:dyDescent="0.2"/>
    <row r="6425" ht="12.75" x14ac:dyDescent="0.2"/>
    <row r="6426" ht="12.75" x14ac:dyDescent="0.2"/>
    <row r="6427" ht="12.75" x14ac:dyDescent="0.2"/>
    <row r="6428" ht="12.75" x14ac:dyDescent="0.2"/>
    <row r="6429" ht="12.75" x14ac:dyDescent="0.2"/>
    <row r="6430" ht="12.75" x14ac:dyDescent="0.2"/>
    <row r="6431" ht="12.75" x14ac:dyDescent="0.2"/>
    <row r="6432" ht="12.75" x14ac:dyDescent="0.2"/>
    <row r="6433" ht="12.75" x14ac:dyDescent="0.2"/>
    <row r="6434" ht="12.75" x14ac:dyDescent="0.2"/>
    <row r="6435" ht="12.75" x14ac:dyDescent="0.2"/>
    <row r="6436" ht="12.75" x14ac:dyDescent="0.2"/>
    <row r="6437" ht="12.75" x14ac:dyDescent="0.2"/>
    <row r="6438" ht="12.75" x14ac:dyDescent="0.2"/>
    <row r="6439" ht="12.75" x14ac:dyDescent="0.2"/>
    <row r="6440" ht="12.75" x14ac:dyDescent="0.2"/>
    <row r="6441" ht="12.75" x14ac:dyDescent="0.2"/>
    <row r="6442" ht="12.75" x14ac:dyDescent="0.2"/>
    <row r="6443" ht="12.75" x14ac:dyDescent="0.2"/>
    <row r="6444" ht="12.75" x14ac:dyDescent="0.2"/>
    <row r="6445" ht="12.75" x14ac:dyDescent="0.2"/>
    <row r="6446" ht="12.75" x14ac:dyDescent="0.2"/>
    <row r="6447" ht="12.75" x14ac:dyDescent="0.2"/>
    <row r="6448" ht="12.75" x14ac:dyDescent="0.2"/>
    <row r="6449" ht="12.75" x14ac:dyDescent="0.2"/>
    <row r="6450" ht="12.75" x14ac:dyDescent="0.2"/>
    <row r="6451" ht="12.75" x14ac:dyDescent="0.2"/>
    <row r="6452" ht="12.75" x14ac:dyDescent="0.2"/>
    <row r="6453" ht="12.75" x14ac:dyDescent="0.2"/>
    <row r="6454" ht="12.75" x14ac:dyDescent="0.2"/>
    <row r="6455" ht="12.75" x14ac:dyDescent="0.2"/>
    <row r="6456" ht="12.75" x14ac:dyDescent="0.2"/>
    <row r="6457" ht="12.75" x14ac:dyDescent="0.2"/>
    <row r="6458" ht="12.75" x14ac:dyDescent="0.2"/>
    <row r="6459" ht="12.75" x14ac:dyDescent="0.2"/>
    <row r="6460" ht="12.75" x14ac:dyDescent="0.2"/>
    <row r="6461" ht="12.75" x14ac:dyDescent="0.2"/>
    <row r="6462" ht="12.75" x14ac:dyDescent="0.2"/>
    <row r="6463" ht="12.75" x14ac:dyDescent="0.2"/>
    <row r="6464" ht="12.75" x14ac:dyDescent="0.2"/>
    <row r="6465" ht="12.75" x14ac:dyDescent="0.2"/>
    <row r="6466" ht="12.75" x14ac:dyDescent="0.2"/>
    <row r="6467" ht="12.75" x14ac:dyDescent="0.2"/>
    <row r="6468" ht="12.75" x14ac:dyDescent="0.2"/>
    <row r="6469" ht="12.75" x14ac:dyDescent="0.2"/>
    <row r="6470" ht="12.75" x14ac:dyDescent="0.2"/>
    <row r="6471" ht="12.75" x14ac:dyDescent="0.2"/>
    <row r="6472" ht="12.75" x14ac:dyDescent="0.2"/>
    <row r="6473" ht="12.75" x14ac:dyDescent="0.2"/>
    <row r="6474" ht="12.75" x14ac:dyDescent="0.2"/>
    <row r="6475" ht="12.75" x14ac:dyDescent="0.2"/>
    <row r="6476" ht="12.75" x14ac:dyDescent="0.2"/>
    <row r="6477" ht="12.75" x14ac:dyDescent="0.2"/>
    <row r="6478" ht="12.75" x14ac:dyDescent="0.2"/>
    <row r="6479" ht="12.75" x14ac:dyDescent="0.2"/>
    <row r="6480" ht="12.75" x14ac:dyDescent="0.2"/>
    <row r="6481" ht="12.75" x14ac:dyDescent="0.2"/>
    <row r="6482" ht="12.75" x14ac:dyDescent="0.2"/>
    <row r="6483" ht="12.75" x14ac:dyDescent="0.2"/>
    <row r="6484" ht="12.75" x14ac:dyDescent="0.2"/>
    <row r="6485" ht="12.75" x14ac:dyDescent="0.2"/>
    <row r="6486" ht="12.75" x14ac:dyDescent="0.2"/>
    <row r="6487" ht="12.75" x14ac:dyDescent="0.2"/>
    <row r="6488" ht="12.75" x14ac:dyDescent="0.2"/>
    <row r="6489" ht="12.75" x14ac:dyDescent="0.2"/>
    <row r="6490" ht="12.75" x14ac:dyDescent="0.2"/>
    <row r="6491" ht="12.75" x14ac:dyDescent="0.2"/>
    <row r="6492" ht="12.75" x14ac:dyDescent="0.2"/>
    <row r="6493" ht="12.75" x14ac:dyDescent="0.2"/>
    <row r="6494" ht="12.75" x14ac:dyDescent="0.2"/>
    <row r="6495" ht="12.75" x14ac:dyDescent="0.2"/>
    <row r="6496" ht="12.75" x14ac:dyDescent="0.2"/>
    <row r="6497" ht="12.75" x14ac:dyDescent="0.2"/>
    <row r="6498" ht="12.75" x14ac:dyDescent="0.2"/>
    <row r="6499" ht="12.75" x14ac:dyDescent="0.2"/>
    <row r="6500" ht="12.75" x14ac:dyDescent="0.2"/>
    <row r="6501" ht="12.75" x14ac:dyDescent="0.2"/>
    <row r="6502" ht="12.75" x14ac:dyDescent="0.2"/>
    <row r="6503" ht="12.75" x14ac:dyDescent="0.2"/>
    <row r="6504" ht="12.75" x14ac:dyDescent="0.2"/>
    <row r="6505" ht="12.75" x14ac:dyDescent="0.2"/>
    <row r="6506" ht="12.75" x14ac:dyDescent="0.2"/>
    <row r="6507" ht="12.75" x14ac:dyDescent="0.2"/>
    <row r="6508" ht="12.75" x14ac:dyDescent="0.2"/>
    <row r="6509" ht="12.75" x14ac:dyDescent="0.2"/>
    <row r="6510" ht="12.75" x14ac:dyDescent="0.2"/>
    <row r="6511" ht="12.75" x14ac:dyDescent="0.2"/>
    <row r="6512" ht="12.75" x14ac:dyDescent="0.2"/>
    <row r="6513" ht="12.75" x14ac:dyDescent="0.2"/>
    <row r="6514" ht="12.75" x14ac:dyDescent="0.2"/>
    <row r="6515" ht="12.75" x14ac:dyDescent="0.2"/>
    <row r="6516" ht="12.75" x14ac:dyDescent="0.2"/>
    <row r="6517" ht="12.75" x14ac:dyDescent="0.2"/>
    <row r="6518" ht="12.75" x14ac:dyDescent="0.2"/>
    <row r="6519" ht="12.75" x14ac:dyDescent="0.2"/>
    <row r="6520" ht="12.75" x14ac:dyDescent="0.2"/>
    <row r="6521" ht="12.75" x14ac:dyDescent="0.2"/>
    <row r="6522" ht="12.75" x14ac:dyDescent="0.2"/>
    <row r="6523" ht="12.75" x14ac:dyDescent="0.2"/>
    <row r="6524" ht="12.75" x14ac:dyDescent="0.2"/>
    <row r="6525" ht="12.75" x14ac:dyDescent="0.2"/>
    <row r="6526" ht="12.75" x14ac:dyDescent="0.2"/>
    <row r="6527" ht="12.75" x14ac:dyDescent="0.2"/>
    <row r="6528" ht="12.75" x14ac:dyDescent="0.2"/>
    <row r="6529" ht="12.75" x14ac:dyDescent="0.2"/>
    <row r="6530" ht="12.75" x14ac:dyDescent="0.2"/>
    <row r="6531" ht="12.75" x14ac:dyDescent="0.2"/>
    <row r="6532" ht="12.75" x14ac:dyDescent="0.2"/>
    <row r="6533" ht="12.75" x14ac:dyDescent="0.2"/>
    <row r="6534" ht="12.75" x14ac:dyDescent="0.2"/>
    <row r="6535" ht="12.75" x14ac:dyDescent="0.2"/>
    <row r="6536" ht="12.75" x14ac:dyDescent="0.2"/>
    <row r="6537" ht="12.75" x14ac:dyDescent="0.2"/>
    <row r="6538" ht="12.75" x14ac:dyDescent="0.2"/>
    <row r="6539" ht="12.75" x14ac:dyDescent="0.2"/>
    <row r="6540" ht="12.75" x14ac:dyDescent="0.2"/>
    <row r="6541" ht="12.75" x14ac:dyDescent="0.2"/>
    <row r="6542" ht="12.75" x14ac:dyDescent="0.2"/>
    <row r="6543" ht="12.75" x14ac:dyDescent="0.2"/>
    <row r="6544" ht="12.75" x14ac:dyDescent="0.2"/>
    <row r="6545" ht="12.75" x14ac:dyDescent="0.2"/>
    <row r="6546" ht="12.75" x14ac:dyDescent="0.2"/>
    <row r="6547" ht="12.75" x14ac:dyDescent="0.2"/>
    <row r="6548" ht="12.75" x14ac:dyDescent="0.2"/>
    <row r="6549" ht="12.75" x14ac:dyDescent="0.2"/>
    <row r="6550" ht="12.75" x14ac:dyDescent="0.2"/>
    <row r="6551" ht="12.75" x14ac:dyDescent="0.2"/>
    <row r="6552" ht="12.75" x14ac:dyDescent="0.2"/>
    <row r="6553" ht="12.75" x14ac:dyDescent="0.2"/>
    <row r="6554" ht="12.75" x14ac:dyDescent="0.2"/>
    <row r="6555" ht="12.75" x14ac:dyDescent="0.2"/>
    <row r="6556" ht="12.75" x14ac:dyDescent="0.2"/>
    <row r="6557" ht="12.75" x14ac:dyDescent="0.2"/>
    <row r="6558" ht="12.75" x14ac:dyDescent="0.2"/>
    <row r="6559" ht="12.75" x14ac:dyDescent="0.2"/>
    <row r="6560" ht="12.75" x14ac:dyDescent="0.2"/>
    <row r="6561" ht="12.75" x14ac:dyDescent="0.2"/>
    <row r="6562" ht="12.75" x14ac:dyDescent="0.2"/>
    <row r="6563" ht="12.75" x14ac:dyDescent="0.2"/>
    <row r="6564" ht="12.75" x14ac:dyDescent="0.2"/>
    <row r="6565" ht="12.75" x14ac:dyDescent="0.2"/>
    <row r="6566" ht="12.75" x14ac:dyDescent="0.2"/>
    <row r="6567" ht="12.75" x14ac:dyDescent="0.2"/>
    <row r="6568" ht="12.75" x14ac:dyDescent="0.2"/>
    <row r="6569" ht="12.75" x14ac:dyDescent="0.2"/>
    <row r="6570" ht="12.75" x14ac:dyDescent="0.2"/>
    <row r="6571" ht="12.75" x14ac:dyDescent="0.2"/>
    <row r="6572" ht="12.75" x14ac:dyDescent="0.2"/>
    <row r="6573" ht="12.75" x14ac:dyDescent="0.2"/>
    <row r="6574" ht="12.75" x14ac:dyDescent="0.2"/>
    <row r="6575" ht="12.75" x14ac:dyDescent="0.2"/>
    <row r="6576" ht="12.75" x14ac:dyDescent="0.2"/>
    <row r="6577" ht="12.75" x14ac:dyDescent="0.2"/>
    <row r="6578" ht="12.75" x14ac:dyDescent="0.2"/>
    <row r="6579" ht="12.75" x14ac:dyDescent="0.2"/>
    <row r="6580" ht="12.75" x14ac:dyDescent="0.2"/>
    <row r="6581" ht="12.75" x14ac:dyDescent="0.2"/>
    <row r="6582" ht="12.75" x14ac:dyDescent="0.2"/>
    <row r="6583" ht="12.75" x14ac:dyDescent="0.2"/>
    <row r="6584" ht="12.75" x14ac:dyDescent="0.2"/>
    <row r="6585" ht="12.75" x14ac:dyDescent="0.2"/>
    <row r="6586" ht="12.75" x14ac:dyDescent="0.2"/>
    <row r="6587" ht="12.75" x14ac:dyDescent="0.2"/>
    <row r="6588" ht="12.75" x14ac:dyDescent="0.2"/>
    <row r="6589" ht="12.75" x14ac:dyDescent="0.2"/>
    <row r="6590" ht="12.75" x14ac:dyDescent="0.2"/>
    <row r="6591" ht="12.75" x14ac:dyDescent="0.2"/>
    <row r="6592" ht="12.75" x14ac:dyDescent="0.2"/>
    <row r="6593" ht="12.75" x14ac:dyDescent="0.2"/>
    <row r="6594" ht="12.75" x14ac:dyDescent="0.2"/>
    <row r="6595" ht="12.75" x14ac:dyDescent="0.2"/>
    <row r="6596" ht="12.75" x14ac:dyDescent="0.2"/>
    <row r="6597" ht="12.75" x14ac:dyDescent="0.2"/>
    <row r="6598" ht="12.75" x14ac:dyDescent="0.2"/>
    <row r="6599" ht="12.75" x14ac:dyDescent="0.2"/>
    <row r="6600" ht="12.75" x14ac:dyDescent="0.2"/>
    <row r="6601" ht="12.75" x14ac:dyDescent="0.2"/>
    <row r="6602" ht="12.75" x14ac:dyDescent="0.2"/>
    <row r="6603" ht="12.75" x14ac:dyDescent="0.2"/>
    <row r="6604" ht="12.75" x14ac:dyDescent="0.2"/>
    <row r="6605" ht="12.75" x14ac:dyDescent="0.2"/>
    <row r="6606" ht="12.75" x14ac:dyDescent="0.2"/>
    <row r="6607" ht="12.75" x14ac:dyDescent="0.2"/>
    <row r="6608" ht="12.75" x14ac:dyDescent="0.2"/>
    <row r="6609" ht="12.75" x14ac:dyDescent="0.2"/>
    <row r="6610" ht="12.75" x14ac:dyDescent="0.2"/>
    <row r="6611" ht="12.75" x14ac:dyDescent="0.2"/>
    <row r="6612" ht="12.75" x14ac:dyDescent="0.2"/>
    <row r="6613" ht="12.75" x14ac:dyDescent="0.2"/>
    <row r="6614" ht="12.75" x14ac:dyDescent="0.2"/>
    <row r="6615" ht="12.75" x14ac:dyDescent="0.2"/>
    <row r="6616" ht="12.75" x14ac:dyDescent="0.2"/>
    <row r="6617" ht="12.75" x14ac:dyDescent="0.2"/>
    <row r="6618" ht="12.75" x14ac:dyDescent="0.2"/>
    <row r="6619" ht="12.75" x14ac:dyDescent="0.2"/>
    <row r="6620" ht="12.75" x14ac:dyDescent="0.2"/>
    <row r="6621" ht="12.75" x14ac:dyDescent="0.2"/>
    <row r="6622" ht="12.75" x14ac:dyDescent="0.2"/>
    <row r="6623" ht="12.75" x14ac:dyDescent="0.2"/>
    <row r="6624" ht="12.75" x14ac:dyDescent="0.2"/>
    <row r="6625" ht="12.75" x14ac:dyDescent="0.2"/>
    <row r="6626" ht="12.75" x14ac:dyDescent="0.2"/>
    <row r="6627" ht="12.75" x14ac:dyDescent="0.2"/>
    <row r="6628" ht="12.75" x14ac:dyDescent="0.2"/>
    <row r="6629" ht="12.75" x14ac:dyDescent="0.2"/>
    <row r="6630" ht="12.75" x14ac:dyDescent="0.2"/>
    <row r="6631" ht="12.75" x14ac:dyDescent="0.2"/>
    <row r="6632" ht="12.75" x14ac:dyDescent="0.2"/>
    <row r="6633" ht="12.75" x14ac:dyDescent="0.2"/>
    <row r="6634" ht="12.75" x14ac:dyDescent="0.2"/>
    <row r="6635" ht="12.75" x14ac:dyDescent="0.2"/>
    <row r="6636" ht="12.75" x14ac:dyDescent="0.2"/>
    <row r="6637" ht="12.75" x14ac:dyDescent="0.2"/>
    <row r="6638" ht="12.75" x14ac:dyDescent="0.2"/>
    <row r="6639" ht="12.75" x14ac:dyDescent="0.2"/>
    <row r="6640" ht="12.75" x14ac:dyDescent="0.2"/>
    <row r="6641" ht="12.75" x14ac:dyDescent="0.2"/>
    <row r="6642" ht="12.75" x14ac:dyDescent="0.2"/>
    <row r="6643" ht="12.75" x14ac:dyDescent="0.2"/>
    <row r="6644" ht="12.75" x14ac:dyDescent="0.2"/>
    <row r="6645" ht="12.75" x14ac:dyDescent="0.2"/>
    <row r="6646" ht="12.75" x14ac:dyDescent="0.2"/>
    <row r="6647" ht="12.75" x14ac:dyDescent="0.2"/>
    <row r="6648" ht="12.75" x14ac:dyDescent="0.2"/>
    <row r="6649" ht="12.75" x14ac:dyDescent="0.2"/>
    <row r="6650" ht="12.75" x14ac:dyDescent="0.2"/>
    <row r="6651" ht="12.75" x14ac:dyDescent="0.2"/>
    <row r="6652" ht="12.75" x14ac:dyDescent="0.2"/>
    <row r="6653" ht="12.75" x14ac:dyDescent="0.2"/>
    <row r="6654" ht="12.75" x14ac:dyDescent="0.2"/>
    <row r="6655" ht="12.75" x14ac:dyDescent="0.2"/>
    <row r="6656" ht="12.75" x14ac:dyDescent="0.2"/>
    <row r="6657" ht="12.75" x14ac:dyDescent="0.2"/>
    <row r="6658" ht="12.75" x14ac:dyDescent="0.2"/>
    <row r="6659" ht="12.75" x14ac:dyDescent="0.2"/>
    <row r="6660" ht="12.75" x14ac:dyDescent="0.2"/>
    <row r="6661" ht="12.75" x14ac:dyDescent="0.2"/>
    <row r="6662" ht="12.75" x14ac:dyDescent="0.2"/>
    <row r="6663" ht="12.75" x14ac:dyDescent="0.2"/>
    <row r="6664" ht="12.75" x14ac:dyDescent="0.2"/>
    <row r="6665" ht="12.75" x14ac:dyDescent="0.2"/>
    <row r="6666" ht="12.75" x14ac:dyDescent="0.2"/>
    <row r="6667" ht="12.75" x14ac:dyDescent="0.2"/>
    <row r="6668" ht="12.75" x14ac:dyDescent="0.2"/>
    <row r="6669" ht="12.75" x14ac:dyDescent="0.2"/>
    <row r="6670" ht="12.75" x14ac:dyDescent="0.2"/>
    <row r="6671" ht="12.75" x14ac:dyDescent="0.2"/>
    <row r="6672" ht="12.75" x14ac:dyDescent="0.2"/>
    <row r="6673" ht="12.75" x14ac:dyDescent="0.2"/>
    <row r="6674" ht="12.75" x14ac:dyDescent="0.2"/>
    <row r="6675" ht="12.75" x14ac:dyDescent="0.2"/>
    <row r="6676" ht="12.75" x14ac:dyDescent="0.2"/>
    <row r="6677" ht="12.75" x14ac:dyDescent="0.2"/>
    <row r="6678" ht="12.75" x14ac:dyDescent="0.2"/>
    <row r="6679" ht="12.75" x14ac:dyDescent="0.2"/>
    <row r="6680" ht="12.75" x14ac:dyDescent="0.2"/>
    <row r="6681" ht="12.75" x14ac:dyDescent="0.2"/>
    <row r="6682" ht="12.75" x14ac:dyDescent="0.2"/>
    <row r="6683" ht="12.75" x14ac:dyDescent="0.2"/>
    <row r="6684" ht="12.75" x14ac:dyDescent="0.2"/>
    <row r="6685" ht="12.75" x14ac:dyDescent="0.2"/>
    <row r="6686" ht="12.75" x14ac:dyDescent="0.2"/>
    <row r="6687" ht="12.75" x14ac:dyDescent="0.2"/>
    <row r="6688" ht="12.75" x14ac:dyDescent="0.2"/>
    <row r="6689" ht="12.75" x14ac:dyDescent="0.2"/>
    <row r="6690" ht="12.75" x14ac:dyDescent="0.2"/>
    <row r="6691" ht="12.75" x14ac:dyDescent="0.2"/>
    <row r="6692" ht="12.75" x14ac:dyDescent="0.2"/>
    <row r="6693" ht="12.75" x14ac:dyDescent="0.2"/>
    <row r="6694" ht="12.75" x14ac:dyDescent="0.2"/>
    <row r="6695" ht="12.75" x14ac:dyDescent="0.2"/>
    <row r="6696" ht="12.75" x14ac:dyDescent="0.2"/>
    <row r="6697" ht="12.75" x14ac:dyDescent="0.2"/>
    <row r="6698" ht="12.75" x14ac:dyDescent="0.2"/>
    <row r="6699" ht="12.75" x14ac:dyDescent="0.2"/>
    <row r="6700" ht="12.75" x14ac:dyDescent="0.2"/>
    <row r="6701" ht="12.75" x14ac:dyDescent="0.2"/>
    <row r="6702" ht="12.75" x14ac:dyDescent="0.2"/>
    <row r="6703" ht="12.75" x14ac:dyDescent="0.2"/>
    <row r="6704" ht="12.75" x14ac:dyDescent="0.2"/>
    <row r="6705" ht="12.75" x14ac:dyDescent="0.2"/>
    <row r="6706" ht="12.75" x14ac:dyDescent="0.2"/>
    <row r="6707" ht="12.75" x14ac:dyDescent="0.2"/>
    <row r="6708" ht="12.75" x14ac:dyDescent="0.2"/>
    <row r="6709" ht="12.75" x14ac:dyDescent="0.2"/>
    <row r="6710" ht="12.75" x14ac:dyDescent="0.2"/>
    <row r="6711" ht="12.75" x14ac:dyDescent="0.2"/>
    <row r="6712" ht="12.75" x14ac:dyDescent="0.2"/>
    <row r="6713" ht="12.75" x14ac:dyDescent="0.2"/>
    <row r="6714" ht="12.75" x14ac:dyDescent="0.2"/>
    <row r="6715" ht="12.75" x14ac:dyDescent="0.2"/>
    <row r="6716" ht="12.75" x14ac:dyDescent="0.2"/>
    <row r="6717" ht="12.75" x14ac:dyDescent="0.2"/>
    <row r="6718" ht="12.75" x14ac:dyDescent="0.2"/>
    <row r="6719" ht="12.75" x14ac:dyDescent="0.2"/>
    <row r="6720" ht="12.75" x14ac:dyDescent="0.2"/>
    <row r="6721" ht="12.75" x14ac:dyDescent="0.2"/>
    <row r="6722" ht="12.75" x14ac:dyDescent="0.2"/>
    <row r="6723" ht="12.75" x14ac:dyDescent="0.2"/>
    <row r="6724" ht="12.75" x14ac:dyDescent="0.2"/>
    <row r="6725" ht="12.75" x14ac:dyDescent="0.2"/>
    <row r="6726" ht="12.75" x14ac:dyDescent="0.2"/>
    <row r="6727" ht="12.75" x14ac:dyDescent="0.2"/>
    <row r="6728" ht="12.75" x14ac:dyDescent="0.2"/>
    <row r="6729" ht="12.75" x14ac:dyDescent="0.2"/>
    <row r="6730" ht="12.75" x14ac:dyDescent="0.2"/>
    <row r="6731" ht="12.75" x14ac:dyDescent="0.2"/>
    <row r="6732" ht="12.75" x14ac:dyDescent="0.2"/>
    <row r="6733" ht="12.75" x14ac:dyDescent="0.2"/>
    <row r="6734" ht="12.75" x14ac:dyDescent="0.2"/>
    <row r="6735" ht="12.75" x14ac:dyDescent="0.2"/>
    <row r="6736" ht="12.75" x14ac:dyDescent="0.2"/>
    <row r="6737" ht="12.75" x14ac:dyDescent="0.2"/>
    <row r="6738" ht="12.75" x14ac:dyDescent="0.2"/>
    <row r="6739" ht="12.75" x14ac:dyDescent="0.2"/>
    <row r="6740" ht="12.75" x14ac:dyDescent="0.2"/>
    <row r="6741" ht="12.75" x14ac:dyDescent="0.2"/>
    <row r="6742" ht="12.75" x14ac:dyDescent="0.2"/>
    <row r="6743" ht="12.75" x14ac:dyDescent="0.2"/>
    <row r="6744" ht="12.75" x14ac:dyDescent="0.2"/>
    <row r="6745" ht="12.75" x14ac:dyDescent="0.2"/>
    <row r="6746" ht="12.75" x14ac:dyDescent="0.2"/>
    <row r="6747" ht="12.75" x14ac:dyDescent="0.2"/>
    <row r="6748" ht="12.75" x14ac:dyDescent="0.2"/>
    <row r="6749" ht="12.75" x14ac:dyDescent="0.2"/>
    <row r="6750" ht="12.75" x14ac:dyDescent="0.2"/>
    <row r="6751" ht="12.75" x14ac:dyDescent="0.2"/>
    <row r="6752" ht="12.75" x14ac:dyDescent="0.2"/>
    <row r="6753" ht="12.75" x14ac:dyDescent="0.2"/>
    <row r="6754" ht="12.75" x14ac:dyDescent="0.2"/>
    <row r="6755" ht="12.75" x14ac:dyDescent="0.2"/>
    <row r="6756" ht="12.75" x14ac:dyDescent="0.2"/>
    <row r="6757" ht="12.75" x14ac:dyDescent="0.2"/>
    <row r="6758" ht="12.75" x14ac:dyDescent="0.2"/>
    <row r="6759" ht="12.75" x14ac:dyDescent="0.2"/>
    <row r="6760" ht="12.75" x14ac:dyDescent="0.2"/>
    <row r="6761" ht="12.75" x14ac:dyDescent="0.2"/>
    <row r="6762" ht="12.75" x14ac:dyDescent="0.2"/>
    <row r="6763" ht="12.75" x14ac:dyDescent="0.2"/>
    <row r="6764" ht="12.75" x14ac:dyDescent="0.2"/>
    <row r="6765" ht="12.75" x14ac:dyDescent="0.2"/>
    <row r="6766" ht="12.75" x14ac:dyDescent="0.2"/>
    <row r="6767" ht="12.75" x14ac:dyDescent="0.2"/>
    <row r="6768" ht="12.75" x14ac:dyDescent="0.2"/>
    <row r="6769" ht="12.75" x14ac:dyDescent="0.2"/>
    <row r="6770" ht="12.75" x14ac:dyDescent="0.2"/>
    <row r="6771" ht="12.75" x14ac:dyDescent="0.2"/>
    <row r="6772" ht="12.75" x14ac:dyDescent="0.2"/>
    <row r="6773" ht="12.75" x14ac:dyDescent="0.2"/>
    <row r="6774" ht="12.75" x14ac:dyDescent="0.2"/>
    <row r="6775" ht="12.75" x14ac:dyDescent="0.2"/>
    <row r="6776" ht="12.75" x14ac:dyDescent="0.2"/>
    <row r="6777" ht="12.75" x14ac:dyDescent="0.2"/>
    <row r="6778" ht="12.75" x14ac:dyDescent="0.2"/>
    <row r="6779" ht="12.75" x14ac:dyDescent="0.2"/>
    <row r="6780" ht="12.75" x14ac:dyDescent="0.2"/>
    <row r="6781" ht="12.75" x14ac:dyDescent="0.2"/>
    <row r="6782" ht="12.75" x14ac:dyDescent="0.2"/>
    <row r="6783" ht="12.75" x14ac:dyDescent="0.2"/>
    <row r="6784" ht="12.75" x14ac:dyDescent="0.2"/>
    <row r="6785" ht="12.75" x14ac:dyDescent="0.2"/>
    <row r="6786" ht="12.75" x14ac:dyDescent="0.2"/>
    <row r="6787" ht="12.75" x14ac:dyDescent="0.2"/>
    <row r="6788" ht="12.75" x14ac:dyDescent="0.2"/>
    <row r="6789" ht="12.75" x14ac:dyDescent="0.2"/>
    <row r="6790" ht="12.75" x14ac:dyDescent="0.2"/>
    <row r="6791" ht="12.75" x14ac:dyDescent="0.2"/>
    <row r="6792" ht="12.75" x14ac:dyDescent="0.2"/>
    <row r="6793" ht="12.75" x14ac:dyDescent="0.2"/>
    <row r="6794" ht="12.75" x14ac:dyDescent="0.2"/>
    <row r="6795" ht="12.75" x14ac:dyDescent="0.2"/>
    <row r="6796" ht="12.75" x14ac:dyDescent="0.2"/>
    <row r="6797" ht="12.75" x14ac:dyDescent="0.2"/>
    <row r="6798" ht="12.75" x14ac:dyDescent="0.2"/>
    <row r="6799" ht="12.75" x14ac:dyDescent="0.2"/>
    <row r="6800" ht="12.75" x14ac:dyDescent="0.2"/>
    <row r="6801" ht="12.75" x14ac:dyDescent="0.2"/>
    <row r="6802" ht="12.75" x14ac:dyDescent="0.2"/>
    <row r="6803" ht="12.75" x14ac:dyDescent="0.2"/>
    <row r="6804" ht="12.75" x14ac:dyDescent="0.2"/>
    <row r="6805" ht="12.75" x14ac:dyDescent="0.2"/>
    <row r="6806" ht="12.75" x14ac:dyDescent="0.2"/>
    <row r="6807" ht="12.75" x14ac:dyDescent="0.2"/>
    <row r="6808" ht="12.75" x14ac:dyDescent="0.2"/>
    <row r="6809" ht="12.75" x14ac:dyDescent="0.2"/>
    <row r="6810" ht="12.75" x14ac:dyDescent="0.2"/>
    <row r="6811" ht="12.75" x14ac:dyDescent="0.2"/>
    <row r="6812" ht="12.75" x14ac:dyDescent="0.2"/>
    <row r="6813" ht="12.75" x14ac:dyDescent="0.2"/>
    <row r="6814" ht="12.75" x14ac:dyDescent="0.2"/>
    <row r="6815" ht="12.75" x14ac:dyDescent="0.2"/>
    <row r="6816" ht="12.75" x14ac:dyDescent="0.2"/>
    <row r="6817" ht="12.75" x14ac:dyDescent="0.2"/>
    <row r="6818" ht="12.75" x14ac:dyDescent="0.2"/>
    <row r="6819" ht="12.75" x14ac:dyDescent="0.2"/>
    <row r="6820" ht="12.75" x14ac:dyDescent="0.2"/>
    <row r="6821" ht="12.75" x14ac:dyDescent="0.2"/>
    <row r="6822" ht="12.75" x14ac:dyDescent="0.2"/>
    <row r="6823" ht="12.75" x14ac:dyDescent="0.2"/>
    <row r="6824" ht="12.75" x14ac:dyDescent="0.2"/>
    <row r="6825" ht="12.75" x14ac:dyDescent="0.2"/>
    <row r="6826" ht="12.75" x14ac:dyDescent="0.2"/>
    <row r="6827" ht="12.75" x14ac:dyDescent="0.2"/>
    <row r="6828" ht="12.75" x14ac:dyDescent="0.2"/>
    <row r="6829" ht="12.75" x14ac:dyDescent="0.2"/>
    <row r="6830" ht="12.75" x14ac:dyDescent="0.2"/>
    <row r="6831" ht="12.75" x14ac:dyDescent="0.2"/>
    <row r="6832" ht="12.75" x14ac:dyDescent="0.2"/>
    <row r="6833" ht="12.75" x14ac:dyDescent="0.2"/>
    <row r="6834" ht="12.75" x14ac:dyDescent="0.2"/>
    <row r="6835" ht="12.75" x14ac:dyDescent="0.2"/>
    <row r="6836" ht="12.75" x14ac:dyDescent="0.2"/>
    <row r="6837" ht="12.75" x14ac:dyDescent="0.2"/>
    <row r="6838" ht="12.75" x14ac:dyDescent="0.2"/>
    <row r="6839" ht="12.75" x14ac:dyDescent="0.2"/>
    <row r="6840" ht="12.75" x14ac:dyDescent="0.2"/>
    <row r="6841" ht="12.75" x14ac:dyDescent="0.2"/>
    <row r="6842" ht="12.75" x14ac:dyDescent="0.2"/>
    <row r="6843" ht="12.75" x14ac:dyDescent="0.2"/>
    <row r="6844" ht="12.75" x14ac:dyDescent="0.2"/>
    <row r="6845" ht="12.75" x14ac:dyDescent="0.2"/>
    <row r="6846" ht="12.75" x14ac:dyDescent="0.2"/>
    <row r="6847" ht="12.75" x14ac:dyDescent="0.2"/>
    <row r="6848" ht="12.75" x14ac:dyDescent="0.2"/>
    <row r="6849" ht="12.75" x14ac:dyDescent="0.2"/>
    <row r="6850" ht="12.75" x14ac:dyDescent="0.2"/>
    <row r="6851" ht="12.75" x14ac:dyDescent="0.2"/>
    <row r="6852" ht="12.75" x14ac:dyDescent="0.2"/>
    <row r="6853" ht="12.75" x14ac:dyDescent="0.2"/>
    <row r="6854" ht="12.75" x14ac:dyDescent="0.2"/>
    <row r="6855" ht="12.75" x14ac:dyDescent="0.2"/>
    <row r="6856" ht="12.75" x14ac:dyDescent="0.2"/>
    <row r="6857" ht="12.75" x14ac:dyDescent="0.2"/>
    <row r="6858" ht="12.75" x14ac:dyDescent="0.2"/>
    <row r="6859" ht="12.75" x14ac:dyDescent="0.2"/>
    <row r="6860" ht="12.75" x14ac:dyDescent="0.2"/>
    <row r="6861" ht="12.75" x14ac:dyDescent="0.2"/>
    <row r="6862" ht="12.75" x14ac:dyDescent="0.2"/>
    <row r="6863" ht="12.75" x14ac:dyDescent="0.2"/>
    <row r="6864" ht="12.75" x14ac:dyDescent="0.2"/>
    <row r="6865" ht="12.75" x14ac:dyDescent="0.2"/>
    <row r="6866" ht="12.75" x14ac:dyDescent="0.2"/>
    <row r="6867" ht="12.75" x14ac:dyDescent="0.2"/>
    <row r="6868" ht="12.75" x14ac:dyDescent="0.2"/>
    <row r="6869" ht="12.75" x14ac:dyDescent="0.2"/>
    <row r="6870" ht="12.75" x14ac:dyDescent="0.2"/>
    <row r="6871" ht="12.75" x14ac:dyDescent="0.2"/>
    <row r="6872" ht="12.75" x14ac:dyDescent="0.2"/>
    <row r="6873" ht="12.75" x14ac:dyDescent="0.2"/>
    <row r="6874" ht="12.75" x14ac:dyDescent="0.2"/>
    <row r="6875" ht="12.75" x14ac:dyDescent="0.2"/>
    <row r="6876" ht="12.75" x14ac:dyDescent="0.2"/>
    <row r="6877" ht="12.75" x14ac:dyDescent="0.2"/>
    <row r="6878" ht="12.75" x14ac:dyDescent="0.2"/>
    <row r="6879" ht="12.75" x14ac:dyDescent="0.2"/>
    <row r="6880" ht="12.75" x14ac:dyDescent="0.2"/>
    <row r="6881" ht="12.75" x14ac:dyDescent="0.2"/>
    <row r="6882" ht="12.75" x14ac:dyDescent="0.2"/>
    <row r="6883" ht="12.75" x14ac:dyDescent="0.2"/>
    <row r="6884" ht="12.75" x14ac:dyDescent="0.2"/>
    <row r="6885" ht="12.75" x14ac:dyDescent="0.2"/>
    <row r="6886" ht="12.75" x14ac:dyDescent="0.2"/>
    <row r="6887" ht="12.75" x14ac:dyDescent="0.2"/>
    <row r="6888" ht="12.75" x14ac:dyDescent="0.2"/>
    <row r="6889" ht="12.75" x14ac:dyDescent="0.2"/>
    <row r="6890" ht="12.75" x14ac:dyDescent="0.2"/>
    <row r="6891" ht="12.75" x14ac:dyDescent="0.2"/>
    <row r="6892" ht="12.75" x14ac:dyDescent="0.2"/>
    <row r="6893" ht="12.75" x14ac:dyDescent="0.2"/>
    <row r="6894" ht="12.75" x14ac:dyDescent="0.2"/>
    <row r="6895" ht="12.75" x14ac:dyDescent="0.2"/>
    <row r="6896" ht="12.75" x14ac:dyDescent="0.2"/>
    <row r="6897" ht="12.75" x14ac:dyDescent="0.2"/>
    <row r="6898" ht="12.75" x14ac:dyDescent="0.2"/>
    <row r="6899" ht="12.75" x14ac:dyDescent="0.2"/>
    <row r="6900" ht="12.75" x14ac:dyDescent="0.2"/>
    <row r="6901" ht="12.75" x14ac:dyDescent="0.2"/>
    <row r="6902" ht="12.75" x14ac:dyDescent="0.2"/>
    <row r="6903" ht="12.75" x14ac:dyDescent="0.2"/>
    <row r="6904" ht="12.75" x14ac:dyDescent="0.2"/>
    <row r="6905" ht="12.75" x14ac:dyDescent="0.2"/>
    <row r="6906" ht="12.75" x14ac:dyDescent="0.2"/>
    <row r="6907" ht="12.75" x14ac:dyDescent="0.2"/>
    <row r="6908" ht="12.75" x14ac:dyDescent="0.2"/>
    <row r="6909" ht="12.75" x14ac:dyDescent="0.2"/>
    <row r="6910" ht="12.75" x14ac:dyDescent="0.2"/>
    <row r="6911" ht="12.75" x14ac:dyDescent="0.2"/>
    <row r="6912" ht="12.75" x14ac:dyDescent="0.2"/>
    <row r="6913" ht="12.75" x14ac:dyDescent="0.2"/>
    <row r="6914" ht="12.75" x14ac:dyDescent="0.2"/>
    <row r="6915" ht="12.75" x14ac:dyDescent="0.2"/>
    <row r="6916" ht="12.75" x14ac:dyDescent="0.2"/>
    <row r="6917" ht="12.75" x14ac:dyDescent="0.2"/>
    <row r="6918" ht="12.75" x14ac:dyDescent="0.2"/>
    <row r="6919" ht="12.75" x14ac:dyDescent="0.2"/>
    <row r="6920" ht="12.75" x14ac:dyDescent="0.2"/>
    <row r="6921" ht="12.75" x14ac:dyDescent="0.2"/>
    <row r="6922" ht="12.75" x14ac:dyDescent="0.2"/>
    <row r="6923" ht="12.75" x14ac:dyDescent="0.2"/>
    <row r="6924" ht="12.75" x14ac:dyDescent="0.2"/>
    <row r="6925" ht="12.75" x14ac:dyDescent="0.2"/>
    <row r="6926" ht="12.75" x14ac:dyDescent="0.2"/>
    <row r="6927" ht="12.75" x14ac:dyDescent="0.2"/>
    <row r="6928" ht="12.75" x14ac:dyDescent="0.2"/>
    <row r="6929" ht="12.75" x14ac:dyDescent="0.2"/>
    <row r="6930" ht="12.75" x14ac:dyDescent="0.2"/>
    <row r="6931" ht="12.75" x14ac:dyDescent="0.2"/>
    <row r="6932" ht="12.75" x14ac:dyDescent="0.2"/>
    <row r="6933" ht="12.75" x14ac:dyDescent="0.2"/>
    <row r="6934" ht="12.75" x14ac:dyDescent="0.2"/>
    <row r="6935" ht="12.75" x14ac:dyDescent="0.2"/>
    <row r="6936" ht="12.75" x14ac:dyDescent="0.2"/>
    <row r="6937" ht="12.75" x14ac:dyDescent="0.2"/>
    <row r="6938" ht="12.75" x14ac:dyDescent="0.2"/>
    <row r="6939" ht="12.75" x14ac:dyDescent="0.2"/>
    <row r="6940" ht="12.75" x14ac:dyDescent="0.2"/>
    <row r="6941" ht="12.75" x14ac:dyDescent="0.2"/>
    <row r="6942" ht="12.75" x14ac:dyDescent="0.2"/>
    <row r="6943" ht="12.75" x14ac:dyDescent="0.2"/>
    <row r="6944" ht="12.75" x14ac:dyDescent="0.2"/>
    <row r="6945" ht="12.75" x14ac:dyDescent="0.2"/>
    <row r="6946" ht="12.75" x14ac:dyDescent="0.2"/>
    <row r="6947" ht="12.75" x14ac:dyDescent="0.2"/>
    <row r="6948" ht="12.75" x14ac:dyDescent="0.2"/>
    <row r="6949" ht="12.75" x14ac:dyDescent="0.2"/>
    <row r="6950" ht="12.75" x14ac:dyDescent="0.2"/>
    <row r="6951" ht="12.75" x14ac:dyDescent="0.2"/>
    <row r="6952" ht="12.75" x14ac:dyDescent="0.2"/>
    <row r="6953" ht="12.75" x14ac:dyDescent="0.2"/>
    <row r="6954" ht="12.75" x14ac:dyDescent="0.2"/>
    <row r="6955" ht="12.75" x14ac:dyDescent="0.2"/>
    <row r="6956" ht="12.75" x14ac:dyDescent="0.2"/>
    <row r="6957" ht="12.75" x14ac:dyDescent="0.2"/>
    <row r="6958" ht="12.75" x14ac:dyDescent="0.2"/>
    <row r="6959" ht="12.75" x14ac:dyDescent="0.2"/>
    <row r="6960" ht="12.75" x14ac:dyDescent="0.2"/>
    <row r="6961" ht="12.75" x14ac:dyDescent="0.2"/>
    <row r="6962" ht="12.75" x14ac:dyDescent="0.2"/>
    <row r="6963" ht="12.75" x14ac:dyDescent="0.2"/>
    <row r="6964" ht="12.75" x14ac:dyDescent="0.2"/>
    <row r="6965" ht="12.75" x14ac:dyDescent="0.2"/>
    <row r="6966" ht="12.75" x14ac:dyDescent="0.2"/>
    <row r="6967" ht="12.75" x14ac:dyDescent="0.2"/>
    <row r="6968" ht="12.75" x14ac:dyDescent="0.2"/>
    <row r="6969" ht="12.75" x14ac:dyDescent="0.2"/>
    <row r="6970" ht="12.75" x14ac:dyDescent="0.2"/>
    <row r="6971" ht="12.75" x14ac:dyDescent="0.2"/>
    <row r="6972" ht="12.75" x14ac:dyDescent="0.2"/>
    <row r="6973" ht="12.75" x14ac:dyDescent="0.2"/>
    <row r="6974" ht="12.75" x14ac:dyDescent="0.2"/>
    <row r="6975" ht="12.75" x14ac:dyDescent="0.2"/>
    <row r="6976" ht="12.75" x14ac:dyDescent="0.2"/>
    <row r="6977" ht="12.75" x14ac:dyDescent="0.2"/>
    <row r="6978" ht="12.75" x14ac:dyDescent="0.2"/>
    <row r="6979" ht="12.75" x14ac:dyDescent="0.2"/>
    <row r="6980" ht="12.75" x14ac:dyDescent="0.2"/>
    <row r="6981" ht="12.75" x14ac:dyDescent="0.2"/>
    <row r="6982" ht="12.75" x14ac:dyDescent="0.2"/>
    <row r="6983" ht="12.75" x14ac:dyDescent="0.2"/>
    <row r="6984" ht="12.75" x14ac:dyDescent="0.2"/>
    <row r="6985" ht="12.75" x14ac:dyDescent="0.2"/>
    <row r="6986" ht="12.75" x14ac:dyDescent="0.2"/>
    <row r="6987" ht="12.75" x14ac:dyDescent="0.2"/>
    <row r="6988" ht="12.75" x14ac:dyDescent="0.2"/>
    <row r="6989" ht="12.75" x14ac:dyDescent="0.2"/>
    <row r="6990" ht="12.75" x14ac:dyDescent="0.2"/>
    <row r="6991" ht="12.75" x14ac:dyDescent="0.2"/>
    <row r="6992" ht="12.75" x14ac:dyDescent="0.2"/>
    <row r="6993" ht="12.75" x14ac:dyDescent="0.2"/>
    <row r="6994" ht="12.75" x14ac:dyDescent="0.2"/>
    <row r="6995" ht="12.75" x14ac:dyDescent="0.2"/>
    <row r="6996" ht="12.75" x14ac:dyDescent="0.2"/>
    <row r="6997" ht="12.75" x14ac:dyDescent="0.2"/>
    <row r="6998" ht="12.75" x14ac:dyDescent="0.2"/>
    <row r="6999" ht="12.75" x14ac:dyDescent="0.2"/>
    <row r="7000" ht="12.75" x14ac:dyDescent="0.2"/>
    <row r="7001" ht="12.75" x14ac:dyDescent="0.2"/>
    <row r="7002" ht="12.75" x14ac:dyDescent="0.2"/>
    <row r="7003" ht="12.75" x14ac:dyDescent="0.2"/>
    <row r="7004" ht="12.75" x14ac:dyDescent="0.2"/>
    <row r="7005" ht="12.75" x14ac:dyDescent="0.2"/>
    <row r="7006" ht="12.75" x14ac:dyDescent="0.2"/>
    <row r="7007" ht="12.75" x14ac:dyDescent="0.2"/>
    <row r="7008" ht="12.75" x14ac:dyDescent="0.2"/>
    <row r="7009" ht="12.75" x14ac:dyDescent="0.2"/>
    <row r="7010" ht="12.75" x14ac:dyDescent="0.2"/>
    <row r="7011" ht="12.75" x14ac:dyDescent="0.2"/>
    <row r="7012" ht="12.75" x14ac:dyDescent="0.2"/>
    <row r="7013" ht="12.75" x14ac:dyDescent="0.2"/>
    <row r="7014" ht="12.75" x14ac:dyDescent="0.2"/>
    <row r="7015" ht="12.75" x14ac:dyDescent="0.2"/>
    <row r="7016" ht="12.75" x14ac:dyDescent="0.2"/>
    <row r="7017" ht="12.75" x14ac:dyDescent="0.2"/>
    <row r="7018" ht="12.75" x14ac:dyDescent="0.2"/>
    <row r="7019" ht="12.75" x14ac:dyDescent="0.2"/>
    <row r="7020" ht="12.75" x14ac:dyDescent="0.2"/>
    <row r="7021" ht="12.75" x14ac:dyDescent="0.2"/>
    <row r="7022" ht="12.75" x14ac:dyDescent="0.2"/>
    <row r="7023" ht="12.75" x14ac:dyDescent="0.2"/>
    <row r="7024" ht="12.75" x14ac:dyDescent="0.2"/>
    <row r="7025" ht="12.75" x14ac:dyDescent="0.2"/>
    <row r="7026" ht="12.75" x14ac:dyDescent="0.2"/>
    <row r="7027" ht="12.75" x14ac:dyDescent="0.2"/>
    <row r="7028" ht="12.75" x14ac:dyDescent="0.2"/>
    <row r="7029" ht="12.75" x14ac:dyDescent="0.2"/>
    <row r="7030" ht="12.75" x14ac:dyDescent="0.2"/>
    <row r="7031" ht="12.75" x14ac:dyDescent="0.2"/>
    <row r="7032" ht="12.75" x14ac:dyDescent="0.2"/>
    <row r="7033" ht="12.75" x14ac:dyDescent="0.2"/>
    <row r="7034" ht="12.75" x14ac:dyDescent="0.2"/>
    <row r="7035" ht="12.75" x14ac:dyDescent="0.2"/>
    <row r="7036" ht="12.75" x14ac:dyDescent="0.2"/>
    <row r="7037" ht="12.75" x14ac:dyDescent="0.2"/>
    <row r="7038" ht="12.75" x14ac:dyDescent="0.2"/>
    <row r="7039" ht="12.75" x14ac:dyDescent="0.2"/>
    <row r="7040" ht="12.75" x14ac:dyDescent="0.2"/>
    <row r="7041" ht="12.75" x14ac:dyDescent="0.2"/>
    <row r="7042" ht="12.75" x14ac:dyDescent="0.2"/>
    <row r="7043" ht="12.75" x14ac:dyDescent="0.2"/>
    <row r="7044" ht="12.75" x14ac:dyDescent="0.2"/>
    <row r="7045" ht="12.75" x14ac:dyDescent="0.2"/>
    <row r="7046" ht="12.75" x14ac:dyDescent="0.2"/>
    <row r="7047" ht="12.75" x14ac:dyDescent="0.2"/>
    <row r="7048" ht="12.75" x14ac:dyDescent="0.2"/>
    <row r="7049" ht="12.75" x14ac:dyDescent="0.2"/>
    <row r="7050" ht="12.75" x14ac:dyDescent="0.2"/>
    <row r="7051" ht="12.75" x14ac:dyDescent="0.2"/>
    <row r="7052" ht="12.75" x14ac:dyDescent="0.2"/>
    <row r="7053" ht="12.75" x14ac:dyDescent="0.2"/>
    <row r="7054" ht="12.75" x14ac:dyDescent="0.2"/>
    <row r="7055" ht="12.75" x14ac:dyDescent="0.2"/>
    <row r="7056" ht="12.75" x14ac:dyDescent="0.2"/>
    <row r="7057" ht="12.75" x14ac:dyDescent="0.2"/>
    <row r="7058" ht="12.75" x14ac:dyDescent="0.2"/>
    <row r="7059" ht="12.75" x14ac:dyDescent="0.2"/>
    <row r="7060" ht="12.75" x14ac:dyDescent="0.2"/>
    <row r="7061" ht="12.75" x14ac:dyDescent="0.2"/>
    <row r="7062" ht="12.75" x14ac:dyDescent="0.2"/>
    <row r="7063" ht="12.75" x14ac:dyDescent="0.2"/>
    <row r="7064" ht="12.75" x14ac:dyDescent="0.2"/>
    <row r="7065" ht="12.75" x14ac:dyDescent="0.2"/>
    <row r="7066" ht="12.75" x14ac:dyDescent="0.2"/>
    <row r="7067" ht="12.75" x14ac:dyDescent="0.2"/>
    <row r="7068" ht="12.75" x14ac:dyDescent="0.2"/>
    <row r="7069" ht="12.75" x14ac:dyDescent="0.2"/>
    <row r="7070" ht="12.75" x14ac:dyDescent="0.2"/>
    <row r="7071" ht="12.75" x14ac:dyDescent="0.2"/>
    <row r="7072" ht="12.75" x14ac:dyDescent="0.2"/>
    <row r="7073" ht="12.75" x14ac:dyDescent="0.2"/>
    <row r="7074" ht="12.75" x14ac:dyDescent="0.2"/>
    <row r="7075" ht="12.75" x14ac:dyDescent="0.2"/>
    <row r="7076" ht="12.75" x14ac:dyDescent="0.2"/>
    <row r="7077" ht="12.75" x14ac:dyDescent="0.2"/>
    <row r="7078" ht="12.75" x14ac:dyDescent="0.2"/>
    <row r="7079" ht="12.75" x14ac:dyDescent="0.2"/>
    <row r="7080" ht="12.75" x14ac:dyDescent="0.2"/>
    <row r="7081" ht="12.75" x14ac:dyDescent="0.2"/>
    <row r="7082" ht="12.75" x14ac:dyDescent="0.2"/>
    <row r="7083" ht="12.75" x14ac:dyDescent="0.2"/>
    <row r="7084" ht="12.75" x14ac:dyDescent="0.2"/>
    <row r="7085" ht="12.75" x14ac:dyDescent="0.2"/>
    <row r="7086" ht="12.75" x14ac:dyDescent="0.2"/>
    <row r="7087" ht="12.75" x14ac:dyDescent="0.2"/>
    <row r="7088" ht="12.75" x14ac:dyDescent="0.2"/>
    <row r="7089" ht="12.75" x14ac:dyDescent="0.2"/>
    <row r="7090" ht="12.75" x14ac:dyDescent="0.2"/>
    <row r="7091" ht="12.75" x14ac:dyDescent="0.2"/>
    <row r="7092" ht="12.75" x14ac:dyDescent="0.2"/>
    <row r="7093" ht="12.75" x14ac:dyDescent="0.2"/>
    <row r="7094" ht="12.75" x14ac:dyDescent="0.2"/>
    <row r="7095" ht="12.75" x14ac:dyDescent="0.2"/>
    <row r="7096" ht="12.75" x14ac:dyDescent="0.2"/>
    <row r="7097" ht="12.75" x14ac:dyDescent="0.2"/>
    <row r="7098" ht="12.75" x14ac:dyDescent="0.2"/>
    <row r="7099" ht="12.75" x14ac:dyDescent="0.2"/>
    <row r="7100" ht="12.75" x14ac:dyDescent="0.2"/>
    <row r="7101" ht="12.75" x14ac:dyDescent="0.2"/>
    <row r="7102" ht="12.75" x14ac:dyDescent="0.2"/>
    <row r="7103" ht="12.75" x14ac:dyDescent="0.2"/>
    <row r="7104" ht="12.75" x14ac:dyDescent="0.2"/>
    <row r="7105" ht="12.75" x14ac:dyDescent="0.2"/>
    <row r="7106" ht="12.75" x14ac:dyDescent="0.2"/>
    <row r="7107" ht="12.75" x14ac:dyDescent="0.2"/>
    <row r="7108" ht="12.75" x14ac:dyDescent="0.2"/>
    <row r="7109" ht="12.75" x14ac:dyDescent="0.2"/>
    <row r="7110" ht="12.75" x14ac:dyDescent="0.2"/>
    <row r="7111" ht="12.75" x14ac:dyDescent="0.2"/>
    <row r="7112" ht="12.75" x14ac:dyDescent="0.2"/>
    <row r="7113" ht="12.75" x14ac:dyDescent="0.2"/>
    <row r="7114" ht="12.75" x14ac:dyDescent="0.2"/>
    <row r="7115" ht="12.75" x14ac:dyDescent="0.2"/>
    <row r="7116" ht="12.75" x14ac:dyDescent="0.2"/>
    <row r="7117" ht="12.75" x14ac:dyDescent="0.2"/>
    <row r="7118" ht="12.75" x14ac:dyDescent="0.2"/>
    <row r="7119" ht="12.75" x14ac:dyDescent="0.2"/>
    <row r="7120" ht="12.75" x14ac:dyDescent="0.2"/>
    <row r="7121" ht="12.75" x14ac:dyDescent="0.2"/>
    <row r="7122" ht="12.75" x14ac:dyDescent="0.2"/>
    <row r="7123" ht="12.75" x14ac:dyDescent="0.2"/>
    <row r="7124" ht="12.75" x14ac:dyDescent="0.2"/>
    <row r="7125" ht="12.75" x14ac:dyDescent="0.2"/>
    <row r="7126" ht="12.75" x14ac:dyDescent="0.2"/>
    <row r="7127" ht="12.75" x14ac:dyDescent="0.2"/>
    <row r="7128" ht="12.75" x14ac:dyDescent="0.2"/>
    <row r="7129" ht="12.75" x14ac:dyDescent="0.2"/>
    <row r="7130" ht="12.75" x14ac:dyDescent="0.2"/>
    <row r="7131" ht="12.75" x14ac:dyDescent="0.2"/>
    <row r="7132" ht="12.75" x14ac:dyDescent="0.2"/>
    <row r="7133" ht="12.75" x14ac:dyDescent="0.2"/>
    <row r="7134" ht="12.75" x14ac:dyDescent="0.2"/>
    <row r="7135" ht="12.75" x14ac:dyDescent="0.2"/>
    <row r="7136" ht="12.75" x14ac:dyDescent="0.2"/>
    <row r="7137" ht="12.75" x14ac:dyDescent="0.2"/>
    <row r="7138" ht="12.75" x14ac:dyDescent="0.2"/>
    <row r="7139" ht="12.75" x14ac:dyDescent="0.2"/>
    <row r="7140" ht="12.75" x14ac:dyDescent="0.2"/>
    <row r="7141" ht="12.75" x14ac:dyDescent="0.2"/>
    <row r="7142" ht="12.75" x14ac:dyDescent="0.2"/>
    <row r="7143" ht="12.75" x14ac:dyDescent="0.2"/>
    <row r="7144" ht="12.75" x14ac:dyDescent="0.2"/>
    <row r="7145" ht="12.75" x14ac:dyDescent="0.2"/>
    <row r="7146" ht="12.75" x14ac:dyDescent="0.2"/>
    <row r="7147" ht="12.75" x14ac:dyDescent="0.2"/>
    <row r="7148" ht="12.75" x14ac:dyDescent="0.2"/>
    <row r="7149" ht="12.75" x14ac:dyDescent="0.2"/>
    <row r="7150" ht="12.75" x14ac:dyDescent="0.2"/>
    <row r="7151" ht="12.75" x14ac:dyDescent="0.2"/>
    <row r="7152" ht="12.75" x14ac:dyDescent="0.2"/>
    <row r="7153" ht="12.75" x14ac:dyDescent="0.2"/>
    <row r="7154" ht="12.75" x14ac:dyDescent="0.2"/>
    <row r="7155" ht="12.75" x14ac:dyDescent="0.2"/>
    <row r="7156" ht="12.75" x14ac:dyDescent="0.2"/>
    <row r="7157" ht="12.75" x14ac:dyDescent="0.2"/>
    <row r="7158" ht="12.75" x14ac:dyDescent="0.2"/>
    <row r="7159" ht="12.75" x14ac:dyDescent="0.2"/>
    <row r="7160" ht="12.75" x14ac:dyDescent="0.2"/>
    <row r="7161" ht="12.75" x14ac:dyDescent="0.2"/>
    <row r="7162" ht="12.75" x14ac:dyDescent="0.2"/>
    <row r="7163" ht="12.75" x14ac:dyDescent="0.2"/>
    <row r="7164" ht="12.75" x14ac:dyDescent="0.2"/>
    <row r="7165" ht="12.75" x14ac:dyDescent="0.2"/>
    <row r="7166" ht="12.75" x14ac:dyDescent="0.2"/>
    <row r="7167" ht="12.75" x14ac:dyDescent="0.2"/>
    <row r="7168" ht="12.75" x14ac:dyDescent="0.2"/>
    <row r="7169" ht="12.75" x14ac:dyDescent="0.2"/>
    <row r="7170" ht="12.75" x14ac:dyDescent="0.2"/>
    <row r="7171" ht="12.75" x14ac:dyDescent="0.2"/>
    <row r="7172" ht="12.75" x14ac:dyDescent="0.2"/>
    <row r="7173" ht="12.75" x14ac:dyDescent="0.2"/>
    <row r="7174" ht="12.75" x14ac:dyDescent="0.2"/>
    <row r="7175" ht="12.75" x14ac:dyDescent="0.2"/>
    <row r="7176" ht="12.75" x14ac:dyDescent="0.2"/>
    <row r="7177" ht="12.75" x14ac:dyDescent="0.2"/>
    <row r="7178" ht="12.75" x14ac:dyDescent="0.2"/>
    <row r="7179" ht="12.75" x14ac:dyDescent="0.2"/>
    <row r="7180" ht="12.75" x14ac:dyDescent="0.2"/>
    <row r="7181" ht="12.75" x14ac:dyDescent="0.2"/>
    <row r="7182" ht="12.75" x14ac:dyDescent="0.2"/>
    <row r="7183" ht="12.75" x14ac:dyDescent="0.2"/>
    <row r="7184" ht="12.75" x14ac:dyDescent="0.2"/>
    <row r="7185" ht="12.75" x14ac:dyDescent="0.2"/>
    <row r="7186" ht="12.75" x14ac:dyDescent="0.2"/>
    <row r="7187" ht="12.75" x14ac:dyDescent="0.2"/>
    <row r="7188" ht="12.75" x14ac:dyDescent="0.2"/>
    <row r="7189" ht="12.75" x14ac:dyDescent="0.2"/>
    <row r="7190" ht="12.75" x14ac:dyDescent="0.2"/>
    <row r="7191" ht="12.75" x14ac:dyDescent="0.2"/>
    <row r="7192" ht="12.75" x14ac:dyDescent="0.2"/>
    <row r="7193" ht="12.75" x14ac:dyDescent="0.2"/>
    <row r="7194" ht="12.75" x14ac:dyDescent="0.2"/>
    <row r="7195" ht="12.75" x14ac:dyDescent="0.2"/>
    <row r="7196" ht="12.75" x14ac:dyDescent="0.2"/>
    <row r="7197" ht="12.75" x14ac:dyDescent="0.2"/>
    <row r="7198" ht="12.75" x14ac:dyDescent="0.2"/>
    <row r="7199" ht="12.75" x14ac:dyDescent="0.2"/>
    <row r="7200" ht="12.75" x14ac:dyDescent="0.2"/>
    <row r="7201" ht="12.75" x14ac:dyDescent="0.2"/>
    <row r="7202" ht="12.75" x14ac:dyDescent="0.2"/>
    <row r="7203" ht="12.75" x14ac:dyDescent="0.2"/>
    <row r="7204" ht="12.75" x14ac:dyDescent="0.2"/>
    <row r="7205" ht="12.75" x14ac:dyDescent="0.2"/>
    <row r="7206" ht="12.75" x14ac:dyDescent="0.2"/>
    <row r="7207" ht="12.75" x14ac:dyDescent="0.2"/>
    <row r="7208" ht="12.75" x14ac:dyDescent="0.2"/>
    <row r="7209" ht="12.75" x14ac:dyDescent="0.2"/>
    <row r="7210" ht="12.75" x14ac:dyDescent="0.2"/>
    <row r="7211" ht="12.75" x14ac:dyDescent="0.2"/>
    <row r="7212" ht="12.75" x14ac:dyDescent="0.2"/>
    <row r="7213" ht="12.75" x14ac:dyDescent="0.2"/>
    <row r="7214" ht="12.75" x14ac:dyDescent="0.2"/>
    <row r="7215" ht="12.75" x14ac:dyDescent="0.2"/>
    <row r="7216" ht="12.75" x14ac:dyDescent="0.2"/>
    <row r="7217" ht="12.75" x14ac:dyDescent="0.2"/>
    <row r="7218" ht="12.75" x14ac:dyDescent="0.2"/>
    <row r="7219" ht="12.75" x14ac:dyDescent="0.2"/>
    <row r="7220" ht="12.75" x14ac:dyDescent="0.2"/>
    <row r="7221" ht="12.75" x14ac:dyDescent="0.2"/>
    <row r="7222" ht="12.75" x14ac:dyDescent="0.2"/>
    <row r="7223" ht="12.75" x14ac:dyDescent="0.2"/>
    <row r="7224" ht="12.75" x14ac:dyDescent="0.2"/>
    <row r="7225" ht="12.75" x14ac:dyDescent="0.2"/>
    <row r="7226" ht="12.75" x14ac:dyDescent="0.2"/>
    <row r="7227" ht="12.75" x14ac:dyDescent="0.2"/>
    <row r="7228" ht="12.75" x14ac:dyDescent="0.2"/>
    <row r="7229" ht="12.75" x14ac:dyDescent="0.2"/>
    <row r="7230" ht="12.75" x14ac:dyDescent="0.2"/>
    <row r="7231" ht="12.75" x14ac:dyDescent="0.2"/>
    <row r="7232" ht="12.75" x14ac:dyDescent="0.2"/>
    <row r="7233" ht="12.75" x14ac:dyDescent="0.2"/>
    <row r="7234" ht="12.75" x14ac:dyDescent="0.2"/>
    <row r="7235" ht="12.75" x14ac:dyDescent="0.2"/>
    <row r="7236" ht="12.75" x14ac:dyDescent="0.2"/>
    <row r="7237" ht="12.75" x14ac:dyDescent="0.2"/>
    <row r="7238" ht="12.75" x14ac:dyDescent="0.2"/>
    <row r="7239" ht="12.75" x14ac:dyDescent="0.2"/>
    <row r="7240" ht="12.75" x14ac:dyDescent="0.2"/>
    <row r="7241" ht="12.75" x14ac:dyDescent="0.2"/>
    <row r="7242" ht="12.75" x14ac:dyDescent="0.2"/>
    <row r="7243" ht="12.75" x14ac:dyDescent="0.2"/>
    <row r="7244" ht="12.75" x14ac:dyDescent="0.2"/>
    <row r="7245" ht="12.75" x14ac:dyDescent="0.2"/>
    <row r="7246" ht="12.75" x14ac:dyDescent="0.2"/>
    <row r="7247" ht="12.75" x14ac:dyDescent="0.2"/>
    <row r="7248" ht="12.75" x14ac:dyDescent="0.2"/>
    <row r="7249" ht="12.75" x14ac:dyDescent="0.2"/>
    <row r="7250" ht="12.75" x14ac:dyDescent="0.2"/>
    <row r="7251" ht="12.75" x14ac:dyDescent="0.2"/>
    <row r="7252" ht="12.75" x14ac:dyDescent="0.2"/>
    <row r="7253" ht="12.75" x14ac:dyDescent="0.2"/>
    <row r="7254" ht="12.75" x14ac:dyDescent="0.2"/>
    <row r="7255" ht="12.75" x14ac:dyDescent="0.2"/>
    <row r="7256" ht="12.75" x14ac:dyDescent="0.2"/>
    <row r="7257" ht="12.75" x14ac:dyDescent="0.2"/>
    <row r="7258" ht="12.75" x14ac:dyDescent="0.2"/>
    <row r="7259" ht="12.75" x14ac:dyDescent="0.2"/>
    <row r="7260" ht="12.75" x14ac:dyDescent="0.2"/>
    <row r="7261" ht="12.75" x14ac:dyDescent="0.2"/>
    <row r="7262" ht="12.75" x14ac:dyDescent="0.2"/>
    <row r="7263" ht="12.75" x14ac:dyDescent="0.2"/>
    <row r="7264" ht="12.75" x14ac:dyDescent="0.2"/>
    <row r="7265" ht="12.75" x14ac:dyDescent="0.2"/>
    <row r="7266" ht="12.75" x14ac:dyDescent="0.2"/>
    <row r="7267" ht="12.75" x14ac:dyDescent="0.2"/>
    <row r="7268" ht="12.75" x14ac:dyDescent="0.2"/>
    <row r="7269" ht="12.75" x14ac:dyDescent="0.2"/>
    <row r="7270" ht="12.75" x14ac:dyDescent="0.2"/>
    <row r="7271" ht="12.75" x14ac:dyDescent="0.2"/>
    <row r="7272" ht="12.75" x14ac:dyDescent="0.2"/>
    <row r="7273" ht="12.75" x14ac:dyDescent="0.2"/>
    <row r="7274" ht="12.75" x14ac:dyDescent="0.2"/>
    <row r="7275" ht="12.75" x14ac:dyDescent="0.2"/>
    <row r="7276" ht="12.75" x14ac:dyDescent="0.2"/>
    <row r="7277" ht="12.75" x14ac:dyDescent="0.2"/>
    <row r="7278" ht="12.75" x14ac:dyDescent="0.2"/>
    <row r="7279" ht="12.75" x14ac:dyDescent="0.2"/>
    <row r="7280" ht="12.75" x14ac:dyDescent="0.2"/>
    <row r="7281" ht="12.75" x14ac:dyDescent="0.2"/>
    <row r="7282" ht="12.75" x14ac:dyDescent="0.2"/>
    <row r="7283" ht="12.75" x14ac:dyDescent="0.2"/>
    <row r="7284" ht="12.75" x14ac:dyDescent="0.2"/>
    <row r="7285" ht="12.75" x14ac:dyDescent="0.2"/>
    <row r="7286" ht="12.75" x14ac:dyDescent="0.2"/>
    <row r="7287" ht="12.75" x14ac:dyDescent="0.2"/>
    <row r="7288" ht="12.75" x14ac:dyDescent="0.2"/>
    <row r="7289" ht="12.75" x14ac:dyDescent="0.2"/>
    <row r="7290" ht="12.75" x14ac:dyDescent="0.2"/>
    <row r="7291" ht="12.75" x14ac:dyDescent="0.2"/>
    <row r="7292" ht="12.75" x14ac:dyDescent="0.2"/>
    <row r="7293" ht="12.75" x14ac:dyDescent="0.2"/>
    <row r="7294" ht="12.75" x14ac:dyDescent="0.2"/>
    <row r="7295" ht="12.75" x14ac:dyDescent="0.2"/>
    <row r="7296" ht="12.75" x14ac:dyDescent="0.2"/>
    <row r="7297" ht="12.75" x14ac:dyDescent="0.2"/>
    <row r="7298" ht="12.75" x14ac:dyDescent="0.2"/>
    <row r="7299" ht="12.75" x14ac:dyDescent="0.2"/>
    <row r="7300" ht="12.75" x14ac:dyDescent="0.2"/>
    <row r="7301" ht="12.75" x14ac:dyDescent="0.2"/>
    <row r="7302" ht="12.75" x14ac:dyDescent="0.2"/>
    <row r="7303" ht="12.75" x14ac:dyDescent="0.2"/>
    <row r="7304" ht="12.75" x14ac:dyDescent="0.2"/>
    <row r="7305" ht="12.75" x14ac:dyDescent="0.2"/>
    <row r="7306" ht="12.75" x14ac:dyDescent="0.2"/>
    <row r="7307" ht="12.75" x14ac:dyDescent="0.2"/>
    <row r="7308" ht="12.75" x14ac:dyDescent="0.2"/>
    <row r="7309" ht="12.75" x14ac:dyDescent="0.2"/>
    <row r="7310" ht="12.75" x14ac:dyDescent="0.2"/>
    <row r="7311" ht="12.75" x14ac:dyDescent="0.2"/>
    <row r="7312" ht="12.75" x14ac:dyDescent="0.2"/>
    <row r="7313" ht="12.75" x14ac:dyDescent="0.2"/>
    <row r="7314" ht="12.75" x14ac:dyDescent="0.2"/>
    <row r="7315" ht="12.75" x14ac:dyDescent="0.2"/>
    <row r="7316" ht="12.75" x14ac:dyDescent="0.2"/>
    <row r="7317" ht="12.75" x14ac:dyDescent="0.2"/>
    <row r="7318" ht="12.75" x14ac:dyDescent="0.2"/>
    <row r="7319" ht="12.75" x14ac:dyDescent="0.2"/>
    <row r="7320" ht="12.75" x14ac:dyDescent="0.2"/>
    <row r="7321" ht="12.75" x14ac:dyDescent="0.2"/>
    <row r="7322" ht="12.75" x14ac:dyDescent="0.2"/>
    <row r="7323" ht="12.75" x14ac:dyDescent="0.2"/>
    <row r="7324" ht="12.75" x14ac:dyDescent="0.2"/>
    <row r="7325" ht="12.75" x14ac:dyDescent="0.2"/>
    <row r="7326" ht="12.75" x14ac:dyDescent="0.2"/>
    <row r="7327" ht="12.75" x14ac:dyDescent="0.2"/>
    <row r="7328" ht="12.75" x14ac:dyDescent="0.2"/>
    <row r="7329" ht="12.75" x14ac:dyDescent="0.2"/>
    <row r="7330" ht="12.75" x14ac:dyDescent="0.2"/>
    <row r="7331" ht="12.75" x14ac:dyDescent="0.2"/>
    <row r="7332" ht="12.75" x14ac:dyDescent="0.2"/>
    <row r="7333" ht="12.75" x14ac:dyDescent="0.2"/>
    <row r="7334" ht="12.75" x14ac:dyDescent="0.2"/>
    <row r="7335" ht="12.75" x14ac:dyDescent="0.2"/>
    <row r="7336" ht="12.75" x14ac:dyDescent="0.2"/>
    <row r="7337" ht="12.75" x14ac:dyDescent="0.2"/>
    <row r="7338" ht="12.75" x14ac:dyDescent="0.2"/>
    <row r="7339" ht="12.75" x14ac:dyDescent="0.2"/>
    <row r="7340" ht="12.75" x14ac:dyDescent="0.2"/>
    <row r="7341" ht="12.75" x14ac:dyDescent="0.2"/>
    <row r="7342" ht="12.75" x14ac:dyDescent="0.2"/>
    <row r="7343" ht="12.75" x14ac:dyDescent="0.2"/>
    <row r="7344" ht="12.75" x14ac:dyDescent="0.2"/>
    <row r="7345" ht="12.75" x14ac:dyDescent="0.2"/>
    <row r="7346" ht="12.75" x14ac:dyDescent="0.2"/>
    <row r="7347" ht="12.75" x14ac:dyDescent="0.2"/>
    <row r="7348" ht="12.75" x14ac:dyDescent="0.2"/>
    <row r="7349" ht="12.75" x14ac:dyDescent="0.2"/>
    <row r="7350" ht="12.75" x14ac:dyDescent="0.2"/>
    <row r="7351" ht="12.75" x14ac:dyDescent="0.2"/>
    <row r="7352" ht="12.75" x14ac:dyDescent="0.2"/>
    <row r="7353" ht="12.75" x14ac:dyDescent="0.2"/>
    <row r="7354" ht="12.75" x14ac:dyDescent="0.2"/>
    <row r="7355" ht="12.75" x14ac:dyDescent="0.2"/>
    <row r="7356" ht="12.75" x14ac:dyDescent="0.2"/>
    <row r="7357" ht="12.75" x14ac:dyDescent="0.2"/>
    <row r="7358" ht="12.75" x14ac:dyDescent="0.2"/>
    <row r="7359" ht="12.75" x14ac:dyDescent="0.2"/>
    <row r="7360" ht="12.75" x14ac:dyDescent="0.2"/>
    <row r="7361" ht="12.75" x14ac:dyDescent="0.2"/>
    <row r="7362" ht="12.75" x14ac:dyDescent="0.2"/>
    <row r="7363" ht="12.75" x14ac:dyDescent="0.2"/>
    <row r="7364" ht="12.75" x14ac:dyDescent="0.2"/>
    <row r="7365" ht="12.75" x14ac:dyDescent="0.2"/>
    <row r="7366" ht="12.75" x14ac:dyDescent="0.2"/>
    <row r="7367" ht="12.75" x14ac:dyDescent="0.2"/>
    <row r="7368" ht="12.75" x14ac:dyDescent="0.2"/>
    <row r="7369" ht="12.75" x14ac:dyDescent="0.2"/>
    <row r="7370" ht="12.75" x14ac:dyDescent="0.2"/>
    <row r="7371" ht="12.75" x14ac:dyDescent="0.2"/>
    <row r="7372" ht="12.75" x14ac:dyDescent="0.2"/>
    <row r="7373" ht="12.75" x14ac:dyDescent="0.2"/>
    <row r="7374" ht="12.75" x14ac:dyDescent="0.2"/>
    <row r="7375" ht="12.75" x14ac:dyDescent="0.2"/>
    <row r="7376" ht="12.75" x14ac:dyDescent="0.2"/>
    <row r="7377" ht="12.75" x14ac:dyDescent="0.2"/>
    <row r="7378" ht="12.75" x14ac:dyDescent="0.2"/>
    <row r="7379" ht="12.75" x14ac:dyDescent="0.2"/>
    <row r="7380" ht="12.75" x14ac:dyDescent="0.2"/>
    <row r="7381" ht="12.75" x14ac:dyDescent="0.2"/>
    <row r="7382" ht="12.75" x14ac:dyDescent="0.2"/>
    <row r="7383" ht="12.75" x14ac:dyDescent="0.2"/>
    <row r="7384" ht="12.75" x14ac:dyDescent="0.2"/>
    <row r="7385" ht="12.75" x14ac:dyDescent="0.2"/>
    <row r="7386" ht="12.75" x14ac:dyDescent="0.2"/>
    <row r="7387" ht="12.75" x14ac:dyDescent="0.2"/>
    <row r="7388" ht="12.75" x14ac:dyDescent="0.2"/>
    <row r="7389" ht="12.75" x14ac:dyDescent="0.2"/>
    <row r="7390" ht="12.75" x14ac:dyDescent="0.2"/>
    <row r="7391" ht="12.75" x14ac:dyDescent="0.2"/>
    <row r="7392" ht="12.75" x14ac:dyDescent="0.2"/>
    <row r="7393" ht="12.75" x14ac:dyDescent="0.2"/>
    <row r="7394" ht="12.75" x14ac:dyDescent="0.2"/>
    <row r="7395" ht="12.75" x14ac:dyDescent="0.2"/>
    <row r="7396" ht="12.75" x14ac:dyDescent="0.2"/>
    <row r="7397" ht="12.75" x14ac:dyDescent="0.2"/>
    <row r="7398" ht="12.75" x14ac:dyDescent="0.2"/>
    <row r="7399" ht="12.75" x14ac:dyDescent="0.2"/>
    <row r="7400" ht="12.75" x14ac:dyDescent="0.2"/>
    <row r="7401" ht="12.75" x14ac:dyDescent="0.2"/>
    <row r="7402" ht="12.75" x14ac:dyDescent="0.2"/>
    <row r="7403" ht="12.75" x14ac:dyDescent="0.2"/>
    <row r="7404" ht="12.75" x14ac:dyDescent="0.2"/>
    <row r="7405" ht="12.75" x14ac:dyDescent="0.2"/>
    <row r="7406" ht="12.75" x14ac:dyDescent="0.2"/>
    <row r="7407" ht="12.75" x14ac:dyDescent="0.2"/>
    <row r="7408" ht="12.75" x14ac:dyDescent="0.2"/>
    <row r="7409" ht="12.75" x14ac:dyDescent="0.2"/>
    <row r="7410" ht="12.75" x14ac:dyDescent="0.2"/>
    <row r="7411" ht="12.75" x14ac:dyDescent="0.2"/>
    <row r="7412" ht="12.75" x14ac:dyDescent="0.2"/>
    <row r="7413" ht="12.75" x14ac:dyDescent="0.2"/>
    <row r="7414" ht="12.75" x14ac:dyDescent="0.2"/>
    <row r="7415" ht="12.75" x14ac:dyDescent="0.2"/>
    <row r="7416" ht="12.75" x14ac:dyDescent="0.2"/>
    <row r="7417" ht="12.75" x14ac:dyDescent="0.2"/>
    <row r="7418" ht="12.75" x14ac:dyDescent="0.2"/>
    <row r="7419" ht="12.75" x14ac:dyDescent="0.2"/>
    <row r="7420" ht="12.75" x14ac:dyDescent="0.2"/>
    <row r="7421" ht="12.75" x14ac:dyDescent="0.2"/>
    <row r="7422" ht="12.75" x14ac:dyDescent="0.2"/>
    <row r="7423" ht="12.75" x14ac:dyDescent="0.2"/>
    <row r="7424" ht="12.75" x14ac:dyDescent="0.2"/>
    <row r="7425" ht="12.75" x14ac:dyDescent="0.2"/>
    <row r="7426" ht="12.75" x14ac:dyDescent="0.2"/>
    <row r="7427" ht="12.75" x14ac:dyDescent="0.2"/>
    <row r="7428" ht="12.75" x14ac:dyDescent="0.2"/>
    <row r="7429" ht="12.75" x14ac:dyDescent="0.2"/>
    <row r="7430" ht="12.75" x14ac:dyDescent="0.2"/>
    <row r="7431" ht="12.75" x14ac:dyDescent="0.2"/>
    <row r="7432" ht="12.75" x14ac:dyDescent="0.2"/>
    <row r="7433" ht="12.75" x14ac:dyDescent="0.2"/>
    <row r="7434" ht="12.75" x14ac:dyDescent="0.2"/>
    <row r="7435" ht="12.75" x14ac:dyDescent="0.2"/>
    <row r="7436" ht="12.75" x14ac:dyDescent="0.2"/>
    <row r="7437" ht="12.75" x14ac:dyDescent="0.2"/>
    <row r="7438" ht="12.75" x14ac:dyDescent="0.2"/>
    <row r="7439" ht="12.75" x14ac:dyDescent="0.2"/>
    <row r="7440" ht="12.75" x14ac:dyDescent="0.2"/>
    <row r="7441" ht="12.75" x14ac:dyDescent="0.2"/>
    <row r="7442" ht="12.75" x14ac:dyDescent="0.2"/>
    <row r="7443" ht="12.75" x14ac:dyDescent="0.2"/>
    <row r="7444" ht="12.75" x14ac:dyDescent="0.2"/>
    <row r="7445" ht="12.75" x14ac:dyDescent="0.2"/>
    <row r="7446" ht="12.75" x14ac:dyDescent="0.2"/>
    <row r="7447" ht="12.75" x14ac:dyDescent="0.2"/>
    <row r="7448" ht="12.75" x14ac:dyDescent="0.2"/>
    <row r="7449" ht="12.75" x14ac:dyDescent="0.2"/>
    <row r="7450" ht="12.75" x14ac:dyDescent="0.2"/>
    <row r="7451" ht="12.75" x14ac:dyDescent="0.2"/>
    <row r="7452" ht="12.75" x14ac:dyDescent="0.2"/>
    <row r="7453" ht="12.75" x14ac:dyDescent="0.2"/>
    <row r="7454" ht="12.75" x14ac:dyDescent="0.2"/>
    <row r="7455" ht="12.75" x14ac:dyDescent="0.2"/>
    <row r="7456" ht="12.75" x14ac:dyDescent="0.2"/>
    <row r="7457" ht="12.75" x14ac:dyDescent="0.2"/>
    <row r="7458" ht="12.75" x14ac:dyDescent="0.2"/>
    <row r="7459" ht="12.75" x14ac:dyDescent="0.2"/>
    <row r="7460" ht="12.75" x14ac:dyDescent="0.2"/>
    <row r="7461" ht="12.75" x14ac:dyDescent="0.2"/>
    <row r="7462" ht="12.75" x14ac:dyDescent="0.2"/>
    <row r="7463" ht="12.75" x14ac:dyDescent="0.2"/>
    <row r="7464" ht="12.75" x14ac:dyDescent="0.2"/>
    <row r="7465" ht="12.75" x14ac:dyDescent="0.2"/>
    <row r="7466" ht="12.75" x14ac:dyDescent="0.2"/>
    <row r="7467" ht="12.75" x14ac:dyDescent="0.2"/>
    <row r="7468" ht="12.75" x14ac:dyDescent="0.2"/>
    <row r="7469" ht="12.75" x14ac:dyDescent="0.2"/>
    <row r="7470" ht="12.75" x14ac:dyDescent="0.2"/>
    <row r="7471" ht="12.75" x14ac:dyDescent="0.2"/>
    <row r="7472" ht="12.75" x14ac:dyDescent="0.2"/>
    <row r="7473" ht="12.75" x14ac:dyDescent="0.2"/>
    <row r="7474" ht="12.75" x14ac:dyDescent="0.2"/>
    <row r="7475" ht="12.75" x14ac:dyDescent="0.2"/>
    <row r="7476" ht="12.75" x14ac:dyDescent="0.2"/>
    <row r="7477" ht="12.75" x14ac:dyDescent="0.2"/>
    <row r="7478" ht="12.75" x14ac:dyDescent="0.2"/>
    <row r="7479" ht="12.75" x14ac:dyDescent="0.2"/>
    <row r="7480" ht="12.75" x14ac:dyDescent="0.2"/>
    <row r="7481" ht="12.75" x14ac:dyDescent="0.2"/>
    <row r="7482" ht="12.75" x14ac:dyDescent="0.2"/>
    <row r="7483" ht="12.75" x14ac:dyDescent="0.2"/>
    <row r="7484" ht="12.75" x14ac:dyDescent="0.2"/>
    <row r="7485" ht="12.75" x14ac:dyDescent="0.2"/>
    <row r="7486" ht="12.75" x14ac:dyDescent="0.2"/>
    <row r="7487" ht="12.75" x14ac:dyDescent="0.2"/>
    <row r="7488" ht="12.75" x14ac:dyDescent="0.2"/>
    <row r="7489" ht="12.75" x14ac:dyDescent="0.2"/>
    <row r="7490" ht="12.75" x14ac:dyDescent="0.2"/>
    <row r="7491" ht="12.75" x14ac:dyDescent="0.2"/>
    <row r="7492" ht="12.75" x14ac:dyDescent="0.2"/>
    <row r="7493" ht="12.75" x14ac:dyDescent="0.2"/>
    <row r="7494" ht="12.75" x14ac:dyDescent="0.2"/>
    <row r="7495" ht="12.75" x14ac:dyDescent="0.2"/>
    <row r="7496" ht="12.75" x14ac:dyDescent="0.2"/>
    <row r="7497" ht="12.75" x14ac:dyDescent="0.2"/>
    <row r="7498" ht="12.75" x14ac:dyDescent="0.2"/>
    <row r="7499" ht="12.75" x14ac:dyDescent="0.2"/>
    <row r="7500" ht="12.75" x14ac:dyDescent="0.2"/>
    <row r="7501" ht="12.75" x14ac:dyDescent="0.2"/>
    <row r="7502" ht="12.75" x14ac:dyDescent="0.2"/>
    <row r="7503" ht="12.75" x14ac:dyDescent="0.2"/>
    <row r="7504" ht="12.75" x14ac:dyDescent="0.2"/>
    <row r="7505" ht="12.75" x14ac:dyDescent="0.2"/>
    <row r="7506" ht="12.75" x14ac:dyDescent="0.2"/>
    <row r="7507" ht="12.75" x14ac:dyDescent="0.2"/>
    <row r="7508" ht="12.75" x14ac:dyDescent="0.2"/>
    <row r="7509" ht="12.75" x14ac:dyDescent="0.2"/>
    <row r="7510" ht="12.75" x14ac:dyDescent="0.2"/>
    <row r="7511" ht="12.75" x14ac:dyDescent="0.2"/>
    <row r="7512" ht="12.75" x14ac:dyDescent="0.2"/>
    <row r="7513" ht="12.75" x14ac:dyDescent="0.2"/>
    <row r="7514" ht="12.75" x14ac:dyDescent="0.2"/>
    <row r="7515" ht="12.75" x14ac:dyDescent="0.2"/>
    <row r="7516" ht="12.75" x14ac:dyDescent="0.2"/>
    <row r="7517" ht="12.75" x14ac:dyDescent="0.2"/>
    <row r="7518" ht="12.75" x14ac:dyDescent="0.2"/>
    <row r="7519" ht="12.75" x14ac:dyDescent="0.2"/>
    <row r="7520" ht="12.75" x14ac:dyDescent="0.2"/>
    <row r="7521" ht="12.75" x14ac:dyDescent="0.2"/>
    <row r="7522" ht="12.75" x14ac:dyDescent="0.2"/>
    <row r="7523" ht="12.75" x14ac:dyDescent="0.2"/>
    <row r="7524" ht="12.75" x14ac:dyDescent="0.2"/>
    <row r="7525" ht="12.75" x14ac:dyDescent="0.2"/>
    <row r="7526" ht="12.75" x14ac:dyDescent="0.2"/>
    <row r="7527" ht="12.75" x14ac:dyDescent="0.2"/>
    <row r="7528" ht="12.75" x14ac:dyDescent="0.2"/>
    <row r="7529" ht="12.75" x14ac:dyDescent="0.2"/>
    <row r="7530" ht="12.75" x14ac:dyDescent="0.2"/>
    <row r="7531" ht="12.75" x14ac:dyDescent="0.2"/>
    <row r="7532" ht="12.75" x14ac:dyDescent="0.2"/>
    <row r="7533" ht="12.75" x14ac:dyDescent="0.2"/>
    <row r="7534" ht="12.75" x14ac:dyDescent="0.2"/>
    <row r="7535" ht="12.75" x14ac:dyDescent="0.2"/>
    <row r="7536" ht="12.75" x14ac:dyDescent="0.2"/>
    <row r="7537" ht="12.75" x14ac:dyDescent="0.2"/>
    <row r="7538" ht="12.75" x14ac:dyDescent="0.2"/>
    <row r="7539" ht="12.75" x14ac:dyDescent="0.2"/>
    <row r="7540" ht="12.75" x14ac:dyDescent="0.2"/>
    <row r="7541" ht="12.75" x14ac:dyDescent="0.2"/>
    <row r="7542" ht="12.75" x14ac:dyDescent="0.2"/>
    <row r="7543" ht="12.75" x14ac:dyDescent="0.2"/>
    <row r="7544" ht="12.75" x14ac:dyDescent="0.2"/>
    <row r="7545" ht="12.75" x14ac:dyDescent="0.2"/>
    <row r="7546" ht="12.75" x14ac:dyDescent="0.2"/>
    <row r="7547" ht="12.75" x14ac:dyDescent="0.2"/>
    <row r="7548" ht="12.75" x14ac:dyDescent="0.2"/>
    <row r="7549" ht="12.75" x14ac:dyDescent="0.2"/>
    <row r="7550" ht="12.75" x14ac:dyDescent="0.2"/>
    <row r="7551" ht="12.75" x14ac:dyDescent="0.2"/>
    <row r="7552" ht="12.75" x14ac:dyDescent="0.2"/>
    <row r="7553" ht="12.75" x14ac:dyDescent="0.2"/>
    <row r="7554" ht="12.75" x14ac:dyDescent="0.2"/>
    <row r="7555" ht="12.75" x14ac:dyDescent="0.2"/>
    <row r="7556" ht="12.75" x14ac:dyDescent="0.2"/>
    <row r="7557" ht="12.75" x14ac:dyDescent="0.2"/>
    <row r="7558" ht="12.75" x14ac:dyDescent="0.2"/>
    <row r="7559" ht="12.75" x14ac:dyDescent="0.2"/>
    <row r="7560" ht="12.75" x14ac:dyDescent="0.2"/>
    <row r="7561" ht="12.75" x14ac:dyDescent="0.2"/>
    <row r="7562" ht="12.75" x14ac:dyDescent="0.2"/>
    <row r="7563" ht="12.75" x14ac:dyDescent="0.2"/>
    <row r="7564" ht="12.75" x14ac:dyDescent="0.2"/>
    <row r="7565" ht="12.75" x14ac:dyDescent="0.2"/>
    <row r="7566" ht="12.75" x14ac:dyDescent="0.2"/>
    <row r="7567" ht="12.75" x14ac:dyDescent="0.2"/>
    <row r="7568" ht="12.75" x14ac:dyDescent="0.2"/>
    <row r="7569" ht="12.75" x14ac:dyDescent="0.2"/>
    <row r="7570" ht="12.75" x14ac:dyDescent="0.2"/>
    <row r="7571" ht="12.75" x14ac:dyDescent="0.2"/>
    <row r="7572" ht="12.75" x14ac:dyDescent="0.2"/>
    <row r="7573" ht="12.75" x14ac:dyDescent="0.2"/>
    <row r="7574" ht="12.75" x14ac:dyDescent="0.2"/>
    <row r="7575" ht="12.75" x14ac:dyDescent="0.2"/>
    <row r="7576" ht="12.75" x14ac:dyDescent="0.2"/>
    <row r="7577" ht="12.75" x14ac:dyDescent="0.2"/>
    <row r="7578" ht="12.75" x14ac:dyDescent="0.2"/>
    <row r="7579" ht="12.75" x14ac:dyDescent="0.2"/>
    <row r="7580" ht="12.75" x14ac:dyDescent="0.2"/>
    <row r="7581" ht="12.75" x14ac:dyDescent="0.2"/>
    <row r="7582" ht="12.75" x14ac:dyDescent="0.2"/>
    <row r="7583" ht="12.75" x14ac:dyDescent="0.2"/>
    <row r="7584" ht="12.75" x14ac:dyDescent="0.2"/>
    <row r="7585" ht="12.75" x14ac:dyDescent="0.2"/>
    <row r="7586" ht="12.75" x14ac:dyDescent="0.2"/>
    <row r="7587" ht="12.75" x14ac:dyDescent="0.2"/>
    <row r="7588" ht="12.75" x14ac:dyDescent="0.2"/>
    <row r="7589" ht="12.75" x14ac:dyDescent="0.2"/>
    <row r="7590" ht="12.75" x14ac:dyDescent="0.2"/>
    <row r="7591" ht="12.75" x14ac:dyDescent="0.2"/>
    <row r="7592" ht="12.75" x14ac:dyDescent="0.2"/>
    <row r="7593" ht="12.75" x14ac:dyDescent="0.2"/>
    <row r="7594" ht="12.75" x14ac:dyDescent="0.2"/>
    <row r="7595" ht="12.75" x14ac:dyDescent="0.2"/>
    <row r="7596" ht="12.75" x14ac:dyDescent="0.2"/>
    <row r="7597" ht="12.75" x14ac:dyDescent="0.2"/>
    <row r="7598" ht="12.75" x14ac:dyDescent="0.2"/>
    <row r="7599" ht="12.75" x14ac:dyDescent="0.2"/>
    <row r="7600" ht="12.75" x14ac:dyDescent="0.2"/>
    <row r="7601" ht="12.75" x14ac:dyDescent="0.2"/>
    <row r="7602" ht="12.75" x14ac:dyDescent="0.2"/>
    <row r="7603" ht="12.75" x14ac:dyDescent="0.2"/>
    <row r="7604" ht="12.75" x14ac:dyDescent="0.2"/>
    <row r="7605" ht="12.75" x14ac:dyDescent="0.2"/>
    <row r="7606" ht="12.75" x14ac:dyDescent="0.2"/>
    <row r="7607" ht="12.75" x14ac:dyDescent="0.2"/>
    <row r="7608" ht="12.75" x14ac:dyDescent="0.2"/>
    <row r="7609" ht="12.75" x14ac:dyDescent="0.2"/>
    <row r="7610" ht="12.75" x14ac:dyDescent="0.2"/>
    <row r="7611" ht="12.75" x14ac:dyDescent="0.2"/>
    <row r="7612" ht="12.75" x14ac:dyDescent="0.2"/>
    <row r="7613" ht="12.75" x14ac:dyDescent="0.2"/>
    <row r="7614" ht="12.75" x14ac:dyDescent="0.2"/>
    <row r="7615" ht="12.75" x14ac:dyDescent="0.2"/>
    <row r="7616" ht="12.75" x14ac:dyDescent="0.2"/>
    <row r="7617" ht="12.75" x14ac:dyDescent="0.2"/>
    <row r="7618" ht="12.75" x14ac:dyDescent="0.2"/>
    <row r="7619" ht="12.75" x14ac:dyDescent="0.2"/>
    <row r="7620" ht="12.75" x14ac:dyDescent="0.2"/>
    <row r="7621" ht="12.75" x14ac:dyDescent="0.2"/>
    <row r="7622" ht="12.75" x14ac:dyDescent="0.2"/>
    <row r="7623" ht="12.75" x14ac:dyDescent="0.2"/>
    <row r="7624" ht="12.75" x14ac:dyDescent="0.2"/>
    <row r="7625" ht="12.75" x14ac:dyDescent="0.2"/>
    <row r="7626" ht="12.75" x14ac:dyDescent="0.2"/>
    <row r="7627" ht="12.75" x14ac:dyDescent="0.2"/>
    <row r="7628" ht="12.75" x14ac:dyDescent="0.2"/>
    <row r="7629" ht="12.75" x14ac:dyDescent="0.2"/>
    <row r="7630" ht="12.75" x14ac:dyDescent="0.2"/>
    <row r="7631" ht="12.75" x14ac:dyDescent="0.2"/>
    <row r="7632" ht="12.75" x14ac:dyDescent="0.2"/>
    <row r="7633" ht="12.75" x14ac:dyDescent="0.2"/>
    <row r="7634" ht="12.75" x14ac:dyDescent="0.2"/>
    <row r="7635" ht="12.75" x14ac:dyDescent="0.2"/>
    <row r="7636" ht="12.75" x14ac:dyDescent="0.2"/>
    <row r="7637" ht="12.75" x14ac:dyDescent="0.2"/>
    <row r="7638" ht="12.75" x14ac:dyDescent="0.2"/>
    <row r="7639" ht="12.75" x14ac:dyDescent="0.2"/>
    <row r="7640" ht="12.75" x14ac:dyDescent="0.2"/>
    <row r="7641" ht="12.75" x14ac:dyDescent="0.2"/>
    <row r="7642" ht="12.75" x14ac:dyDescent="0.2"/>
    <row r="7643" ht="12.75" x14ac:dyDescent="0.2"/>
    <row r="7644" ht="12.75" x14ac:dyDescent="0.2"/>
    <row r="7645" ht="12.75" x14ac:dyDescent="0.2"/>
    <row r="7646" ht="12.75" x14ac:dyDescent="0.2"/>
    <row r="7647" ht="12.75" x14ac:dyDescent="0.2"/>
    <row r="7648" ht="12.75" x14ac:dyDescent="0.2"/>
    <row r="7649" ht="12.75" x14ac:dyDescent="0.2"/>
    <row r="7650" ht="12.75" x14ac:dyDescent="0.2"/>
    <row r="7651" ht="12.75" x14ac:dyDescent="0.2"/>
    <row r="7652" ht="12.75" x14ac:dyDescent="0.2"/>
    <row r="7653" ht="12.75" x14ac:dyDescent="0.2"/>
    <row r="7654" ht="12.75" x14ac:dyDescent="0.2"/>
    <row r="7655" ht="12.75" x14ac:dyDescent="0.2"/>
    <row r="7656" ht="12.75" x14ac:dyDescent="0.2"/>
    <row r="7657" ht="12.75" x14ac:dyDescent="0.2"/>
    <row r="7658" ht="12.75" x14ac:dyDescent="0.2"/>
    <row r="7659" ht="12.75" x14ac:dyDescent="0.2"/>
    <row r="7660" ht="12.75" x14ac:dyDescent="0.2"/>
    <row r="7661" ht="12.75" x14ac:dyDescent="0.2"/>
    <row r="7662" ht="12.75" x14ac:dyDescent="0.2"/>
    <row r="7663" ht="12.75" x14ac:dyDescent="0.2"/>
    <row r="7664" ht="12.75" x14ac:dyDescent="0.2"/>
    <row r="7665" ht="12.75" x14ac:dyDescent="0.2"/>
    <row r="7666" ht="12.75" x14ac:dyDescent="0.2"/>
    <row r="7667" ht="12.75" x14ac:dyDescent="0.2"/>
    <row r="7668" ht="12.75" x14ac:dyDescent="0.2"/>
    <row r="7669" ht="12.75" x14ac:dyDescent="0.2"/>
    <row r="7670" ht="12.75" x14ac:dyDescent="0.2"/>
    <row r="7671" ht="12.75" x14ac:dyDescent="0.2"/>
    <row r="7672" ht="12.75" x14ac:dyDescent="0.2"/>
    <row r="7673" ht="12.75" x14ac:dyDescent="0.2"/>
    <row r="7674" ht="12.75" x14ac:dyDescent="0.2"/>
    <row r="7675" ht="12.75" x14ac:dyDescent="0.2"/>
    <row r="7676" ht="12.75" x14ac:dyDescent="0.2"/>
    <row r="7677" ht="12.75" x14ac:dyDescent="0.2"/>
    <row r="7678" ht="12.75" x14ac:dyDescent="0.2"/>
    <row r="7679" ht="12.75" x14ac:dyDescent="0.2"/>
    <row r="7680" ht="12.75" x14ac:dyDescent="0.2"/>
    <row r="7681" ht="12.75" x14ac:dyDescent="0.2"/>
    <row r="7682" ht="12.75" x14ac:dyDescent="0.2"/>
    <row r="7683" ht="12.75" x14ac:dyDescent="0.2"/>
    <row r="7684" ht="12.75" x14ac:dyDescent="0.2"/>
    <row r="7685" ht="12.75" x14ac:dyDescent="0.2"/>
    <row r="7686" ht="12.75" x14ac:dyDescent="0.2"/>
    <row r="7687" ht="12.75" x14ac:dyDescent="0.2"/>
    <row r="7688" ht="12.75" x14ac:dyDescent="0.2"/>
    <row r="7689" ht="12.75" x14ac:dyDescent="0.2"/>
    <row r="7690" ht="12.75" x14ac:dyDescent="0.2"/>
    <row r="7691" ht="12.75" x14ac:dyDescent="0.2"/>
    <row r="7692" ht="12.75" x14ac:dyDescent="0.2"/>
    <row r="7693" ht="12.75" x14ac:dyDescent="0.2"/>
    <row r="7694" ht="12.75" x14ac:dyDescent="0.2"/>
    <row r="7695" ht="12.75" x14ac:dyDescent="0.2"/>
    <row r="7696" ht="12.75" x14ac:dyDescent="0.2"/>
    <row r="7697" ht="12.75" x14ac:dyDescent="0.2"/>
    <row r="7698" ht="12.75" x14ac:dyDescent="0.2"/>
    <row r="7699" ht="12.75" x14ac:dyDescent="0.2"/>
    <row r="7700" ht="12.75" x14ac:dyDescent="0.2"/>
    <row r="7701" ht="12.75" x14ac:dyDescent="0.2"/>
    <row r="7702" ht="12.75" x14ac:dyDescent="0.2"/>
    <row r="7703" ht="12.75" x14ac:dyDescent="0.2"/>
    <row r="7704" ht="12.75" x14ac:dyDescent="0.2"/>
    <row r="7705" ht="12.75" x14ac:dyDescent="0.2"/>
    <row r="7706" ht="12.75" x14ac:dyDescent="0.2"/>
    <row r="7707" ht="12.75" x14ac:dyDescent="0.2"/>
    <row r="7708" ht="12.75" x14ac:dyDescent="0.2"/>
    <row r="7709" ht="12.75" x14ac:dyDescent="0.2"/>
    <row r="7710" ht="12.75" x14ac:dyDescent="0.2"/>
    <row r="7711" ht="12.75" x14ac:dyDescent="0.2"/>
    <row r="7712" ht="12.75" x14ac:dyDescent="0.2"/>
    <row r="7713" ht="12.75" x14ac:dyDescent="0.2"/>
    <row r="7714" ht="12.75" x14ac:dyDescent="0.2"/>
    <row r="7715" ht="12.75" x14ac:dyDescent="0.2"/>
    <row r="7716" ht="12.75" x14ac:dyDescent="0.2"/>
    <row r="7717" ht="12.75" x14ac:dyDescent="0.2"/>
    <row r="7718" ht="12.75" x14ac:dyDescent="0.2"/>
    <row r="7719" ht="12.75" x14ac:dyDescent="0.2"/>
    <row r="7720" ht="12.75" x14ac:dyDescent="0.2"/>
    <row r="7721" ht="12.75" x14ac:dyDescent="0.2"/>
    <row r="7722" ht="12.75" x14ac:dyDescent="0.2"/>
    <row r="7723" ht="12.75" x14ac:dyDescent="0.2"/>
    <row r="7724" ht="12.75" x14ac:dyDescent="0.2"/>
    <row r="7725" ht="12.75" x14ac:dyDescent="0.2"/>
    <row r="7726" ht="12.75" x14ac:dyDescent="0.2"/>
    <row r="7727" ht="12.75" x14ac:dyDescent="0.2"/>
    <row r="7728" ht="12.75" x14ac:dyDescent="0.2"/>
    <row r="7729" ht="12.75" x14ac:dyDescent="0.2"/>
    <row r="7730" ht="12.75" x14ac:dyDescent="0.2"/>
    <row r="7731" ht="12.75" x14ac:dyDescent="0.2"/>
    <row r="7732" ht="12.75" x14ac:dyDescent="0.2"/>
    <row r="7733" ht="12.75" x14ac:dyDescent="0.2"/>
    <row r="7734" ht="12.75" x14ac:dyDescent="0.2"/>
    <row r="7735" ht="12.75" x14ac:dyDescent="0.2"/>
    <row r="7736" ht="12.75" x14ac:dyDescent="0.2"/>
    <row r="7737" ht="12.75" x14ac:dyDescent="0.2"/>
    <row r="7738" ht="12.75" x14ac:dyDescent="0.2"/>
    <row r="7739" ht="12.75" x14ac:dyDescent="0.2"/>
    <row r="7740" ht="12.75" x14ac:dyDescent="0.2"/>
    <row r="7741" ht="12.75" x14ac:dyDescent="0.2"/>
    <row r="7742" ht="12.75" x14ac:dyDescent="0.2"/>
    <row r="7743" ht="12.75" x14ac:dyDescent="0.2"/>
    <row r="7744" ht="12.75" x14ac:dyDescent="0.2"/>
    <row r="7745" ht="12.75" x14ac:dyDescent="0.2"/>
    <row r="7746" ht="12.75" x14ac:dyDescent="0.2"/>
    <row r="7747" ht="12.75" x14ac:dyDescent="0.2"/>
    <row r="7748" ht="12.75" x14ac:dyDescent="0.2"/>
    <row r="7749" ht="12.75" x14ac:dyDescent="0.2"/>
    <row r="7750" ht="12.75" x14ac:dyDescent="0.2"/>
    <row r="7751" ht="12.75" x14ac:dyDescent="0.2"/>
    <row r="7752" ht="12.75" x14ac:dyDescent="0.2"/>
    <row r="7753" ht="12.75" x14ac:dyDescent="0.2"/>
    <row r="7754" ht="12.75" x14ac:dyDescent="0.2"/>
    <row r="7755" ht="12.75" x14ac:dyDescent="0.2"/>
    <row r="7756" ht="12.75" x14ac:dyDescent="0.2"/>
    <row r="7757" ht="12.75" x14ac:dyDescent="0.2"/>
    <row r="7758" ht="12.75" x14ac:dyDescent="0.2"/>
    <row r="7759" ht="12.75" x14ac:dyDescent="0.2"/>
    <row r="7760" ht="12.75" x14ac:dyDescent="0.2"/>
    <row r="7761" ht="12.75" x14ac:dyDescent="0.2"/>
    <row r="7762" ht="12.75" x14ac:dyDescent="0.2"/>
    <row r="7763" ht="12.75" x14ac:dyDescent="0.2"/>
    <row r="7764" ht="12.75" x14ac:dyDescent="0.2"/>
    <row r="7765" ht="12.75" x14ac:dyDescent="0.2"/>
    <row r="7766" ht="12.75" x14ac:dyDescent="0.2"/>
    <row r="7767" ht="12.75" x14ac:dyDescent="0.2"/>
    <row r="7768" ht="12.75" x14ac:dyDescent="0.2"/>
    <row r="7769" ht="12.75" x14ac:dyDescent="0.2"/>
    <row r="7770" ht="12.75" x14ac:dyDescent="0.2"/>
    <row r="7771" ht="12.75" x14ac:dyDescent="0.2"/>
    <row r="7772" ht="12.75" x14ac:dyDescent="0.2"/>
    <row r="7773" ht="12.75" x14ac:dyDescent="0.2"/>
    <row r="7774" ht="12.75" x14ac:dyDescent="0.2"/>
    <row r="7775" ht="12.75" x14ac:dyDescent="0.2"/>
    <row r="7776" ht="12.75" x14ac:dyDescent="0.2"/>
    <row r="7777" ht="12.75" x14ac:dyDescent="0.2"/>
    <row r="7778" ht="12.75" x14ac:dyDescent="0.2"/>
    <row r="7779" ht="12.75" x14ac:dyDescent="0.2"/>
    <row r="7780" ht="12.75" x14ac:dyDescent="0.2"/>
    <row r="7781" ht="12.75" x14ac:dyDescent="0.2"/>
    <row r="7782" ht="12.75" x14ac:dyDescent="0.2"/>
    <row r="7783" ht="12.75" x14ac:dyDescent="0.2"/>
    <row r="7784" ht="12.75" x14ac:dyDescent="0.2"/>
    <row r="7785" ht="12.75" x14ac:dyDescent="0.2"/>
    <row r="7786" ht="12.75" x14ac:dyDescent="0.2"/>
    <row r="7787" ht="12.75" x14ac:dyDescent="0.2"/>
    <row r="7788" ht="12.75" x14ac:dyDescent="0.2"/>
    <row r="7789" ht="12.75" x14ac:dyDescent="0.2"/>
    <row r="7790" ht="12.75" x14ac:dyDescent="0.2"/>
    <row r="7791" ht="12.75" x14ac:dyDescent="0.2"/>
    <row r="7792" ht="12.75" x14ac:dyDescent="0.2"/>
    <row r="7793" ht="12.75" x14ac:dyDescent="0.2"/>
    <row r="7794" ht="12.75" x14ac:dyDescent="0.2"/>
    <row r="7795" ht="12.75" x14ac:dyDescent="0.2"/>
    <row r="7796" ht="12.75" x14ac:dyDescent="0.2"/>
    <row r="7797" ht="12.75" x14ac:dyDescent="0.2"/>
    <row r="7798" ht="12.75" x14ac:dyDescent="0.2"/>
    <row r="7799" ht="12.75" x14ac:dyDescent="0.2"/>
    <row r="7800" ht="12.75" x14ac:dyDescent="0.2"/>
    <row r="7801" ht="12.75" x14ac:dyDescent="0.2"/>
    <row r="7802" ht="12.75" x14ac:dyDescent="0.2"/>
    <row r="7803" ht="12.75" x14ac:dyDescent="0.2"/>
    <row r="7804" ht="12.75" x14ac:dyDescent="0.2"/>
    <row r="7805" ht="12.75" x14ac:dyDescent="0.2"/>
    <row r="7806" ht="12.75" x14ac:dyDescent="0.2"/>
    <row r="7807" ht="12.75" x14ac:dyDescent="0.2"/>
    <row r="7808" ht="12.75" x14ac:dyDescent="0.2"/>
    <row r="7809" ht="12.75" x14ac:dyDescent="0.2"/>
    <row r="7810" ht="12.75" x14ac:dyDescent="0.2"/>
    <row r="7811" ht="12.75" x14ac:dyDescent="0.2"/>
    <row r="7812" ht="12.75" x14ac:dyDescent="0.2"/>
    <row r="7813" ht="12.75" x14ac:dyDescent="0.2"/>
    <row r="7814" ht="12.75" x14ac:dyDescent="0.2"/>
    <row r="7815" ht="12.75" x14ac:dyDescent="0.2"/>
    <row r="7816" ht="12.75" x14ac:dyDescent="0.2"/>
    <row r="7817" ht="12.75" x14ac:dyDescent="0.2"/>
    <row r="7818" ht="12.75" x14ac:dyDescent="0.2"/>
    <row r="7819" ht="12.75" x14ac:dyDescent="0.2"/>
    <row r="7820" ht="12.75" x14ac:dyDescent="0.2"/>
    <row r="7821" ht="12.75" x14ac:dyDescent="0.2"/>
    <row r="7822" ht="12.75" x14ac:dyDescent="0.2"/>
    <row r="7823" ht="12.75" x14ac:dyDescent="0.2"/>
    <row r="7824" ht="12.75" x14ac:dyDescent="0.2"/>
    <row r="7825" ht="12.75" x14ac:dyDescent="0.2"/>
    <row r="7826" ht="12.75" x14ac:dyDescent="0.2"/>
    <row r="7827" ht="12.75" x14ac:dyDescent="0.2"/>
    <row r="7828" ht="12.75" x14ac:dyDescent="0.2"/>
    <row r="7829" ht="12.75" x14ac:dyDescent="0.2"/>
    <row r="7830" ht="12.75" x14ac:dyDescent="0.2"/>
    <row r="7831" ht="12.75" x14ac:dyDescent="0.2"/>
    <row r="7832" ht="12.75" x14ac:dyDescent="0.2"/>
    <row r="7833" ht="12.75" x14ac:dyDescent="0.2"/>
    <row r="7834" ht="12.75" x14ac:dyDescent="0.2"/>
    <row r="7835" ht="12.75" x14ac:dyDescent="0.2"/>
    <row r="7836" ht="12.75" x14ac:dyDescent="0.2"/>
    <row r="7837" ht="12.75" x14ac:dyDescent="0.2"/>
    <row r="7838" ht="12.75" x14ac:dyDescent="0.2"/>
    <row r="7839" ht="12.75" x14ac:dyDescent="0.2"/>
    <row r="7840" ht="12.75" x14ac:dyDescent="0.2"/>
    <row r="7841" ht="12.75" x14ac:dyDescent="0.2"/>
    <row r="7842" ht="12.75" x14ac:dyDescent="0.2"/>
    <row r="7843" ht="12.75" x14ac:dyDescent="0.2"/>
    <row r="7844" ht="12.75" x14ac:dyDescent="0.2"/>
    <row r="7845" ht="12.75" x14ac:dyDescent="0.2"/>
    <row r="7846" ht="12.75" x14ac:dyDescent="0.2"/>
    <row r="7847" ht="12.75" x14ac:dyDescent="0.2"/>
    <row r="7848" ht="12.75" x14ac:dyDescent="0.2"/>
    <row r="7849" ht="12.75" x14ac:dyDescent="0.2"/>
    <row r="7850" ht="12.75" x14ac:dyDescent="0.2"/>
    <row r="7851" ht="12.75" x14ac:dyDescent="0.2"/>
    <row r="7852" ht="12.75" x14ac:dyDescent="0.2"/>
    <row r="7853" ht="12.75" x14ac:dyDescent="0.2"/>
    <row r="7854" ht="12.75" x14ac:dyDescent="0.2"/>
    <row r="7855" ht="12.75" x14ac:dyDescent="0.2"/>
    <row r="7856" ht="12.75" x14ac:dyDescent="0.2"/>
    <row r="7857" ht="12.75" x14ac:dyDescent="0.2"/>
    <row r="7858" ht="12.75" x14ac:dyDescent="0.2"/>
    <row r="7859" ht="12.75" x14ac:dyDescent="0.2"/>
    <row r="7860" ht="12.75" x14ac:dyDescent="0.2"/>
    <row r="7861" ht="12.75" x14ac:dyDescent="0.2"/>
    <row r="7862" ht="12.75" x14ac:dyDescent="0.2"/>
    <row r="7863" ht="12.75" x14ac:dyDescent="0.2"/>
    <row r="7864" ht="12.75" x14ac:dyDescent="0.2"/>
    <row r="7865" ht="12.75" x14ac:dyDescent="0.2"/>
    <row r="7866" ht="12.75" x14ac:dyDescent="0.2"/>
    <row r="7867" ht="12.75" x14ac:dyDescent="0.2"/>
    <row r="7868" ht="12.75" x14ac:dyDescent="0.2"/>
    <row r="7869" ht="12.75" x14ac:dyDescent="0.2"/>
    <row r="7870" ht="12.75" x14ac:dyDescent="0.2"/>
    <row r="7871" ht="12.75" x14ac:dyDescent="0.2"/>
    <row r="7872" ht="12.75" x14ac:dyDescent="0.2"/>
    <row r="7873" ht="12.75" x14ac:dyDescent="0.2"/>
    <row r="7874" ht="12.75" x14ac:dyDescent="0.2"/>
    <row r="7875" ht="12.75" x14ac:dyDescent="0.2"/>
    <row r="7876" ht="12.75" x14ac:dyDescent="0.2"/>
    <row r="7877" ht="12.75" x14ac:dyDescent="0.2"/>
    <row r="7878" ht="12.75" x14ac:dyDescent="0.2"/>
    <row r="7879" ht="12.75" x14ac:dyDescent="0.2"/>
    <row r="7880" ht="12.75" x14ac:dyDescent="0.2"/>
    <row r="7881" ht="12.75" x14ac:dyDescent="0.2"/>
    <row r="7882" ht="12.75" x14ac:dyDescent="0.2"/>
    <row r="7883" ht="12.75" x14ac:dyDescent="0.2"/>
    <row r="7884" ht="12.75" x14ac:dyDescent="0.2"/>
    <row r="7885" ht="12.75" x14ac:dyDescent="0.2"/>
    <row r="7886" ht="12.75" x14ac:dyDescent="0.2"/>
    <row r="7887" ht="12.75" x14ac:dyDescent="0.2"/>
    <row r="7888" ht="12.75" x14ac:dyDescent="0.2"/>
    <row r="7889" ht="12.75" x14ac:dyDescent="0.2"/>
    <row r="7890" ht="12.75" x14ac:dyDescent="0.2"/>
    <row r="7891" ht="12.75" x14ac:dyDescent="0.2"/>
    <row r="7892" ht="12.75" x14ac:dyDescent="0.2"/>
    <row r="7893" ht="12.75" x14ac:dyDescent="0.2"/>
    <row r="7894" ht="12.75" x14ac:dyDescent="0.2"/>
    <row r="7895" ht="12.75" x14ac:dyDescent="0.2"/>
    <row r="7896" ht="12.75" x14ac:dyDescent="0.2"/>
    <row r="7897" ht="12.75" x14ac:dyDescent="0.2"/>
    <row r="7898" ht="12.75" x14ac:dyDescent="0.2"/>
    <row r="7899" ht="12.75" x14ac:dyDescent="0.2"/>
    <row r="7900" ht="12.75" x14ac:dyDescent="0.2"/>
    <row r="7901" ht="12.75" x14ac:dyDescent="0.2"/>
    <row r="7902" ht="12.75" x14ac:dyDescent="0.2"/>
    <row r="7903" ht="12.75" x14ac:dyDescent="0.2"/>
    <row r="7904" ht="12.75" x14ac:dyDescent="0.2"/>
    <row r="7905" ht="12.75" x14ac:dyDescent="0.2"/>
    <row r="7906" ht="12.75" x14ac:dyDescent="0.2"/>
    <row r="7907" ht="12.75" x14ac:dyDescent="0.2"/>
    <row r="7908" ht="12.75" x14ac:dyDescent="0.2"/>
    <row r="7909" ht="12.75" x14ac:dyDescent="0.2"/>
    <row r="7910" ht="12.75" x14ac:dyDescent="0.2"/>
    <row r="7911" ht="12.75" x14ac:dyDescent="0.2"/>
    <row r="7912" ht="12.75" x14ac:dyDescent="0.2"/>
    <row r="7913" ht="12.75" x14ac:dyDescent="0.2"/>
    <row r="7914" ht="12.75" x14ac:dyDescent="0.2"/>
    <row r="7915" ht="12.75" x14ac:dyDescent="0.2"/>
    <row r="7916" ht="12.75" x14ac:dyDescent="0.2"/>
    <row r="7917" ht="12.75" x14ac:dyDescent="0.2"/>
    <row r="7918" ht="12.75" x14ac:dyDescent="0.2"/>
    <row r="7919" ht="12.75" x14ac:dyDescent="0.2"/>
    <row r="7920" ht="12.75" x14ac:dyDescent="0.2"/>
    <row r="7921" ht="12.75" x14ac:dyDescent="0.2"/>
    <row r="7922" ht="12.75" x14ac:dyDescent="0.2"/>
    <row r="7923" ht="12.75" x14ac:dyDescent="0.2"/>
    <row r="7924" ht="12.75" x14ac:dyDescent="0.2"/>
    <row r="7925" ht="12.75" x14ac:dyDescent="0.2"/>
    <row r="7926" ht="12.75" x14ac:dyDescent="0.2"/>
    <row r="7927" ht="12.75" x14ac:dyDescent="0.2"/>
    <row r="7928" ht="12.75" x14ac:dyDescent="0.2"/>
    <row r="7929" ht="12.75" x14ac:dyDescent="0.2"/>
    <row r="7930" ht="12.75" x14ac:dyDescent="0.2"/>
    <row r="7931" ht="12.75" x14ac:dyDescent="0.2"/>
    <row r="7932" ht="12.75" x14ac:dyDescent="0.2"/>
    <row r="7933" ht="12.75" x14ac:dyDescent="0.2"/>
    <row r="7934" ht="12.75" x14ac:dyDescent="0.2"/>
    <row r="7935" ht="12.75" x14ac:dyDescent="0.2"/>
    <row r="7936" ht="12.75" x14ac:dyDescent="0.2"/>
    <row r="7937" ht="12.75" x14ac:dyDescent="0.2"/>
    <row r="7938" ht="12.75" x14ac:dyDescent="0.2"/>
    <row r="7939" ht="12.75" x14ac:dyDescent="0.2"/>
    <row r="7940" ht="12.75" x14ac:dyDescent="0.2"/>
    <row r="7941" ht="12.75" x14ac:dyDescent="0.2"/>
    <row r="7942" ht="12.75" x14ac:dyDescent="0.2"/>
    <row r="7943" ht="12.75" x14ac:dyDescent="0.2"/>
    <row r="7944" ht="12.75" x14ac:dyDescent="0.2"/>
    <row r="7945" ht="12.75" x14ac:dyDescent="0.2"/>
    <row r="7946" ht="12.75" x14ac:dyDescent="0.2"/>
    <row r="7947" ht="12.75" x14ac:dyDescent="0.2"/>
    <row r="7948" ht="12.75" x14ac:dyDescent="0.2"/>
    <row r="7949" ht="12.75" x14ac:dyDescent="0.2"/>
    <row r="7950" ht="12.75" x14ac:dyDescent="0.2"/>
    <row r="7951" ht="12.75" x14ac:dyDescent="0.2"/>
    <row r="7952" ht="12.75" x14ac:dyDescent="0.2"/>
    <row r="7953" ht="12.75" x14ac:dyDescent="0.2"/>
    <row r="7954" ht="12.75" x14ac:dyDescent="0.2"/>
    <row r="7955" ht="12.75" x14ac:dyDescent="0.2"/>
    <row r="7956" ht="12.75" x14ac:dyDescent="0.2"/>
    <row r="7957" ht="12.75" x14ac:dyDescent="0.2"/>
    <row r="7958" ht="12.75" x14ac:dyDescent="0.2"/>
    <row r="7959" ht="12.75" x14ac:dyDescent="0.2"/>
    <row r="7960" ht="12.75" x14ac:dyDescent="0.2"/>
    <row r="7961" ht="12.75" x14ac:dyDescent="0.2"/>
    <row r="7962" ht="12.75" x14ac:dyDescent="0.2"/>
    <row r="7963" ht="12.75" x14ac:dyDescent="0.2"/>
    <row r="7964" ht="12.75" x14ac:dyDescent="0.2"/>
    <row r="7965" ht="12.75" x14ac:dyDescent="0.2"/>
    <row r="7966" ht="12.75" x14ac:dyDescent="0.2"/>
    <row r="7967" ht="12.75" x14ac:dyDescent="0.2"/>
    <row r="7968" ht="12.75" x14ac:dyDescent="0.2"/>
    <row r="7969" ht="12.75" x14ac:dyDescent="0.2"/>
    <row r="7970" ht="12.75" x14ac:dyDescent="0.2"/>
    <row r="7971" ht="12.75" x14ac:dyDescent="0.2"/>
    <row r="7972" ht="12.75" x14ac:dyDescent="0.2"/>
    <row r="7973" ht="12.75" x14ac:dyDescent="0.2"/>
    <row r="7974" ht="12.75" x14ac:dyDescent="0.2"/>
    <row r="7975" ht="12.75" x14ac:dyDescent="0.2"/>
    <row r="7976" ht="12.75" x14ac:dyDescent="0.2"/>
    <row r="7977" ht="12.75" x14ac:dyDescent="0.2"/>
    <row r="7978" ht="12.75" x14ac:dyDescent="0.2"/>
    <row r="7979" ht="12.75" x14ac:dyDescent="0.2"/>
    <row r="7980" ht="12.75" x14ac:dyDescent="0.2"/>
    <row r="7981" ht="12.75" x14ac:dyDescent="0.2"/>
    <row r="7982" ht="12.75" x14ac:dyDescent="0.2"/>
    <row r="7983" ht="12.75" x14ac:dyDescent="0.2"/>
    <row r="7984" ht="12.75" x14ac:dyDescent="0.2"/>
    <row r="7985" ht="12.75" x14ac:dyDescent="0.2"/>
    <row r="7986" ht="12.75" x14ac:dyDescent="0.2"/>
    <row r="7987" ht="12.75" x14ac:dyDescent="0.2"/>
    <row r="7988" ht="12.75" x14ac:dyDescent="0.2"/>
    <row r="7989" ht="12.75" x14ac:dyDescent="0.2"/>
    <row r="7990" ht="12.75" x14ac:dyDescent="0.2"/>
    <row r="7991" ht="12.75" x14ac:dyDescent="0.2"/>
    <row r="7992" ht="12.75" x14ac:dyDescent="0.2"/>
    <row r="7993" ht="12.75" x14ac:dyDescent="0.2"/>
    <row r="7994" ht="12.75" x14ac:dyDescent="0.2"/>
    <row r="7995" ht="12.75" x14ac:dyDescent="0.2"/>
    <row r="7996" ht="12.75" x14ac:dyDescent="0.2"/>
    <row r="7997" ht="12.75" x14ac:dyDescent="0.2"/>
    <row r="7998" ht="12.75" x14ac:dyDescent="0.2"/>
    <row r="7999" ht="12.75" x14ac:dyDescent="0.2"/>
    <row r="8000" ht="12.75" x14ac:dyDescent="0.2"/>
    <row r="8001" ht="12.75" x14ac:dyDescent="0.2"/>
    <row r="8002" ht="12.75" x14ac:dyDescent="0.2"/>
    <row r="8003" ht="12.75" x14ac:dyDescent="0.2"/>
    <row r="8004" ht="12.75" x14ac:dyDescent="0.2"/>
    <row r="8005" ht="12.75" x14ac:dyDescent="0.2"/>
    <row r="8006" ht="12.75" x14ac:dyDescent="0.2"/>
    <row r="8007" ht="12.75" x14ac:dyDescent="0.2"/>
    <row r="8008" ht="12.75" x14ac:dyDescent="0.2"/>
    <row r="8009" ht="12.75" x14ac:dyDescent="0.2"/>
    <row r="8010" ht="12.75" x14ac:dyDescent="0.2"/>
    <row r="8011" ht="12.75" x14ac:dyDescent="0.2"/>
    <row r="8012" ht="12.75" x14ac:dyDescent="0.2"/>
    <row r="8013" ht="12.75" x14ac:dyDescent="0.2"/>
    <row r="8014" ht="12.75" x14ac:dyDescent="0.2"/>
    <row r="8015" ht="12.75" x14ac:dyDescent="0.2"/>
    <row r="8016" ht="12.75" x14ac:dyDescent="0.2"/>
    <row r="8017" ht="12.75" x14ac:dyDescent="0.2"/>
    <row r="8018" ht="12.75" x14ac:dyDescent="0.2"/>
    <row r="8019" ht="12.75" x14ac:dyDescent="0.2"/>
    <row r="8020" ht="12.75" x14ac:dyDescent="0.2"/>
    <row r="8021" ht="12.75" x14ac:dyDescent="0.2"/>
    <row r="8022" ht="12.75" x14ac:dyDescent="0.2"/>
    <row r="8023" ht="12.75" x14ac:dyDescent="0.2"/>
    <row r="8024" ht="12.75" x14ac:dyDescent="0.2"/>
    <row r="8025" ht="12.75" x14ac:dyDescent="0.2"/>
    <row r="8026" ht="12.75" x14ac:dyDescent="0.2"/>
    <row r="8027" ht="12.75" x14ac:dyDescent="0.2"/>
    <row r="8028" ht="12.75" x14ac:dyDescent="0.2"/>
    <row r="8029" ht="12.75" x14ac:dyDescent="0.2"/>
    <row r="8030" ht="12.75" x14ac:dyDescent="0.2"/>
    <row r="8031" ht="12.75" x14ac:dyDescent="0.2"/>
    <row r="8032" ht="12.75" x14ac:dyDescent="0.2"/>
    <row r="8033" ht="12.75" x14ac:dyDescent="0.2"/>
    <row r="8034" ht="12.75" x14ac:dyDescent="0.2"/>
    <row r="8035" ht="12.75" x14ac:dyDescent="0.2"/>
    <row r="8036" ht="12.75" x14ac:dyDescent="0.2"/>
    <row r="8037" ht="12.75" x14ac:dyDescent="0.2"/>
    <row r="8038" ht="12.75" x14ac:dyDescent="0.2"/>
    <row r="8039" ht="12.75" x14ac:dyDescent="0.2"/>
    <row r="8040" ht="12.75" x14ac:dyDescent="0.2"/>
    <row r="8041" ht="12.75" x14ac:dyDescent="0.2"/>
    <row r="8042" ht="12.75" x14ac:dyDescent="0.2"/>
    <row r="8043" ht="12.75" x14ac:dyDescent="0.2"/>
    <row r="8044" ht="12.75" x14ac:dyDescent="0.2"/>
    <row r="8045" ht="12.75" x14ac:dyDescent="0.2"/>
    <row r="8046" ht="12.75" x14ac:dyDescent="0.2"/>
    <row r="8047" ht="12.75" x14ac:dyDescent="0.2"/>
    <row r="8048" ht="12.75" x14ac:dyDescent="0.2"/>
    <row r="8049" ht="12.75" x14ac:dyDescent="0.2"/>
    <row r="8050" ht="12.75" x14ac:dyDescent="0.2"/>
    <row r="8051" ht="12.75" x14ac:dyDescent="0.2"/>
    <row r="8052" ht="12.75" x14ac:dyDescent="0.2"/>
    <row r="8053" ht="12.75" x14ac:dyDescent="0.2"/>
    <row r="8054" ht="12.75" x14ac:dyDescent="0.2"/>
    <row r="8055" ht="12.75" x14ac:dyDescent="0.2"/>
    <row r="8056" ht="12.75" x14ac:dyDescent="0.2"/>
    <row r="8057" ht="12.75" x14ac:dyDescent="0.2"/>
    <row r="8058" ht="12.75" x14ac:dyDescent="0.2"/>
    <row r="8059" ht="12.75" x14ac:dyDescent="0.2"/>
    <row r="8060" ht="12.75" x14ac:dyDescent="0.2"/>
    <row r="8061" ht="12.75" x14ac:dyDescent="0.2"/>
    <row r="8062" ht="12.75" x14ac:dyDescent="0.2"/>
    <row r="8063" ht="12.75" x14ac:dyDescent="0.2"/>
    <row r="8064" ht="12.75" x14ac:dyDescent="0.2"/>
    <row r="8065" ht="12.75" x14ac:dyDescent="0.2"/>
    <row r="8066" ht="12.75" x14ac:dyDescent="0.2"/>
    <row r="8067" ht="12.75" x14ac:dyDescent="0.2"/>
    <row r="8068" ht="12.75" x14ac:dyDescent="0.2"/>
    <row r="8069" ht="12.75" x14ac:dyDescent="0.2"/>
    <row r="8070" ht="12.75" x14ac:dyDescent="0.2"/>
    <row r="8071" ht="12.75" x14ac:dyDescent="0.2"/>
    <row r="8072" ht="12.75" x14ac:dyDescent="0.2"/>
    <row r="8073" ht="12.75" x14ac:dyDescent="0.2"/>
    <row r="8074" ht="12.75" x14ac:dyDescent="0.2"/>
    <row r="8075" ht="12.75" x14ac:dyDescent="0.2"/>
    <row r="8076" ht="12.75" x14ac:dyDescent="0.2"/>
    <row r="8077" ht="12.75" x14ac:dyDescent="0.2"/>
    <row r="8078" ht="12.75" x14ac:dyDescent="0.2"/>
    <row r="8079" ht="12.75" x14ac:dyDescent="0.2"/>
    <row r="8080" ht="12.75" x14ac:dyDescent="0.2"/>
    <row r="8081" ht="12.75" x14ac:dyDescent="0.2"/>
    <row r="8082" ht="12.75" x14ac:dyDescent="0.2"/>
    <row r="8083" ht="12.75" x14ac:dyDescent="0.2"/>
    <row r="8084" ht="12.75" x14ac:dyDescent="0.2"/>
    <row r="8085" ht="12.75" x14ac:dyDescent="0.2"/>
    <row r="8086" ht="12.75" x14ac:dyDescent="0.2"/>
    <row r="8087" ht="12.75" x14ac:dyDescent="0.2"/>
    <row r="8088" ht="12.75" x14ac:dyDescent="0.2"/>
    <row r="8089" ht="12.75" x14ac:dyDescent="0.2"/>
    <row r="8090" ht="12.75" x14ac:dyDescent="0.2"/>
    <row r="8091" ht="12.75" x14ac:dyDescent="0.2"/>
    <row r="8092" ht="12.75" x14ac:dyDescent="0.2"/>
    <row r="8093" ht="12.75" x14ac:dyDescent="0.2"/>
    <row r="8094" ht="12.75" x14ac:dyDescent="0.2"/>
    <row r="8095" ht="12.75" x14ac:dyDescent="0.2"/>
    <row r="8096" ht="12.75" x14ac:dyDescent="0.2"/>
    <row r="8097" ht="12.75" x14ac:dyDescent="0.2"/>
    <row r="8098" ht="12.75" x14ac:dyDescent="0.2"/>
    <row r="8099" ht="12.75" x14ac:dyDescent="0.2"/>
    <row r="8100" ht="12.75" x14ac:dyDescent="0.2"/>
    <row r="8101" ht="12.75" x14ac:dyDescent="0.2"/>
    <row r="8102" ht="12.75" x14ac:dyDescent="0.2"/>
    <row r="8103" ht="12.75" x14ac:dyDescent="0.2"/>
    <row r="8104" ht="12.75" x14ac:dyDescent="0.2"/>
    <row r="8105" ht="12.75" x14ac:dyDescent="0.2"/>
    <row r="8106" ht="12.75" x14ac:dyDescent="0.2"/>
    <row r="8107" ht="12.75" x14ac:dyDescent="0.2"/>
    <row r="8108" ht="12.75" x14ac:dyDescent="0.2"/>
    <row r="8109" ht="12.75" x14ac:dyDescent="0.2"/>
    <row r="8110" ht="12.75" x14ac:dyDescent="0.2"/>
    <row r="8111" ht="12.75" x14ac:dyDescent="0.2"/>
    <row r="8112" ht="12.75" x14ac:dyDescent="0.2"/>
    <row r="8113" ht="12.75" x14ac:dyDescent="0.2"/>
    <row r="8114" ht="12.75" x14ac:dyDescent="0.2"/>
    <row r="8115" ht="12.75" x14ac:dyDescent="0.2"/>
    <row r="8116" ht="12.75" x14ac:dyDescent="0.2"/>
    <row r="8117" ht="12.75" x14ac:dyDescent="0.2"/>
    <row r="8118" ht="12.75" x14ac:dyDescent="0.2"/>
    <row r="8119" ht="12.75" x14ac:dyDescent="0.2"/>
    <row r="8120" ht="12.75" x14ac:dyDescent="0.2"/>
    <row r="8121" ht="12.75" x14ac:dyDescent="0.2"/>
    <row r="8122" ht="12.75" x14ac:dyDescent="0.2"/>
    <row r="8123" ht="12.75" x14ac:dyDescent="0.2"/>
    <row r="8124" ht="12.75" x14ac:dyDescent="0.2"/>
    <row r="8125" ht="12.75" x14ac:dyDescent="0.2"/>
    <row r="8126" ht="12.75" x14ac:dyDescent="0.2"/>
    <row r="8127" ht="12.75" x14ac:dyDescent="0.2"/>
    <row r="8128" ht="12.75" x14ac:dyDescent="0.2"/>
    <row r="8129" ht="12.75" x14ac:dyDescent="0.2"/>
    <row r="8130" ht="12.75" x14ac:dyDescent="0.2"/>
    <row r="8131" ht="12.75" x14ac:dyDescent="0.2"/>
    <row r="8132" ht="12.75" x14ac:dyDescent="0.2"/>
    <row r="8133" ht="12.75" x14ac:dyDescent="0.2"/>
    <row r="8134" ht="12.75" x14ac:dyDescent="0.2"/>
    <row r="8135" ht="12.75" x14ac:dyDescent="0.2"/>
    <row r="8136" ht="12.75" x14ac:dyDescent="0.2"/>
    <row r="8137" ht="12.75" x14ac:dyDescent="0.2"/>
    <row r="8138" ht="12.75" x14ac:dyDescent="0.2"/>
    <row r="8139" ht="12.75" x14ac:dyDescent="0.2"/>
    <row r="8140" ht="12.75" x14ac:dyDescent="0.2"/>
    <row r="8141" ht="12.75" x14ac:dyDescent="0.2"/>
    <row r="8142" ht="12.75" x14ac:dyDescent="0.2"/>
    <row r="8143" ht="12.75" x14ac:dyDescent="0.2"/>
    <row r="8144" ht="12.75" x14ac:dyDescent="0.2"/>
    <row r="8145" ht="12.75" x14ac:dyDescent="0.2"/>
    <row r="8146" ht="12.75" x14ac:dyDescent="0.2"/>
    <row r="8147" ht="12.75" x14ac:dyDescent="0.2"/>
    <row r="8148" ht="12.75" x14ac:dyDescent="0.2"/>
    <row r="8149" ht="12.75" x14ac:dyDescent="0.2"/>
    <row r="8150" ht="12.75" x14ac:dyDescent="0.2"/>
    <row r="8151" ht="12.75" x14ac:dyDescent="0.2"/>
    <row r="8152" ht="12.75" x14ac:dyDescent="0.2"/>
    <row r="8153" ht="12.75" x14ac:dyDescent="0.2"/>
    <row r="8154" ht="12.75" x14ac:dyDescent="0.2"/>
    <row r="8155" ht="12.75" x14ac:dyDescent="0.2"/>
    <row r="8156" ht="12.75" x14ac:dyDescent="0.2"/>
    <row r="8157" ht="12.75" x14ac:dyDescent="0.2"/>
    <row r="8158" ht="12.75" x14ac:dyDescent="0.2"/>
    <row r="8159" ht="12.75" x14ac:dyDescent="0.2"/>
    <row r="8160" ht="12.75" x14ac:dyDescent="0.2"/>
    <row r="8161" ht="12.75" x14ac:dyDescent="0.2"/>
    <row r="8162" ht="12.75" x14ac:dyDescent="0.2"/>
    <row r="8163" ht="12.75" x14ac:dyDescent="0.2"/>
    <row r="8164" ht="12.75" x14ac:dyDescent="0.2"/>
    <row r="8165" ht="12.75" x14ac:dyDescent="0.2"/>
    <row r="8166" ht="12.75" x14ac:dyDescent="0.2"/>
    <row r="8167" ht="12.75" x14ac:dyDescent="0.2"/>
    <row r="8168" ht="12.75" x14ac:dyDescent="0.2"/>
    <row r="8169" ht="12.75" x14ac:dyDescent="0.2"/>
    <row r="8170" ht="12.75" x14ac:dyDescent="0.2"/>
    <row r="8171" ht="12.75" x14ac:dyDescent="0.2"/>
    <row r="8172" ht="12.75" x14ac:dyDescent="0.2"/>
    <row r="8173" ht="12.75" x14ac:dyDescent="0.2"/>
    <row r="8174" ht="12.75" x14ac:dyDescent="0.2"/>
    <row r="8175" ht="12.75" x14ac:dyDescent="0.2"/>
    <row r="8176" ht="12.75" x14ac:dyDescent="0.2"/>
    <row r="8177" ht="12.75" x14ac:dyDescent="0.2"/>
    <row r="8178" ht="12.75" x14ac:dyDescent="0.2"/>
    <row r="8179" ht="12.75" x14ac:dyDescent="0.2"/>
    <row r="8180" ht="12.75" x14ac:dyDescent="0.2"/>
    <row r="8181" ht="12.75" x14ac:dyDescent="0.2"/>
    <row r="8182" ht="12.75" x14ac:dyDescent="0.2"/>
    <row r="8183" ht="12.75" x14ac:dyDescent="0.2"/>
    <row r="8184" ht="12.75" x14ac:dyDescent="0.2"/>
    <row r="8185" ht="12.75" x14ac:dyDescent="0.2"/>
    <row r="8186" ht="12.75" x14ac:dyDescent="0.2"/>
    <row r="8187" ht="12.75" x14ac:dyDescent="0.2"/>
    <row r="8188" ht="12.75" x14ac:dyDescent="0.2"/>
    <row r="8189" ht="12.75" x14ac:dyDescent="0.2"/>
    <row r="8190" ht="12.75" x14ac:dyDescent="0.2"/>
    <row r="8191" ht="12.75" x14ac:dyDescent="0.2"/>
    <row r="8192" ht="12.75" x14ac:dyDescent="0.2"/>
    <row r="8193" ht="12.75" x14ac:dyDescent="0.2"/>
    <row r="8194" ht="12.75" x14ac:dyDescent="0.2"/>
    <row r="8195" ht="12.75" x14ac:dyDescent="0.2"/>
    <row r="8196" ht="12.75" x14ac:dyDescent="0.2"/>
    <row r="8197" ht="12.75" x14ac:dyDescent="0.2"/>
    <row r="8198" ht="12.75" x14ac:dyDescent="0.2"/>
    <row r="8199" ht="12.75" x14ac:dyDescent="0.2"/>
    <row r="8200" ht="12.75" x14ac:dyDescent="0.2"/>
    <row r="8201" ht="12.75" x14ac:dyDescent="0.2"/>
    <row r="8202" ht="12.75" x14ac:dyDescent="0.2"/>
    <row r="8203" ht="12.75" x14ac:dyDescent="0.2"/>
    <row r="8204" ht="12.75" x14ac:dyDescent="0.2"/>
    <row r="8205" ht="12.75" x14ac:dyDescent="0.2"/>
    <row r="8206" ht="12.75" x14ac:dyDescent="0.2"/>
    <row r="8207" ht="12.75" x14ac:dyDescent="0.2"/>
    <row r="8208" ht="12.75" x14ac:dyDescent="0.2"/>
    <row r="8209" ht="12.75" x14ac:dyDescent="0.2"/>
    <row r="8210" ht="12.75" x14ac:dyDescent="0.2"/>
    <row r="8211" ht="12.75" x14ac:dyDescent="0.2"/>
    <row r="8212" ht="12.75" x14ac:dyDescent="0.2"/>
    <row r="8213" ht="12.75" x14ac:dyDescent="0.2"/>
    <row r="8214" ht="12.75" x14ac:dyDescent="0.2"/>
    <row r="8215" ht="12.75" x14ac:dyDescent="0.2"/>
    <row r="8216" ht="12.75" x14ac:dyDescent="0.2"/>
    <row r="8217" ht="12.75" x14ac:dyDescent="0.2"/>
    <row r="8218" ht="12.75" x14ac:dyDescent="0.2"/>
    <row r="8219" ht="12.75" x14ac:dyDescent="0.2"/>
    <row r="8220" ht="12.75" x14ac:dyDescent="0.2"/>
    <row r="8221" ht="12.75" x14ac:dyDescent="0.2"/>
    <row r="8222" ht="12.75" x14ac:dyDescent="0.2"/>
    <row r="8223" ht="12.75" x14ac:dyDescent="0.2"/>
    <row r="8224" ht="12.75" x14ac:dyDescent="0.2"/>
    <row r="8225" ht="12.75" x14ac:dyDescent="0.2"/>
    <row r="8226" ht="12.75" x14ac:dyDescent="0.2"/>
    <row r="8227" ht="12.75" x14ac:dyDescent="0.2"/>
    <row r="8228" ht="12.75" x14ac:dyDescent="0.2"/>
    <row r="8229" ht="12.75" x14ac:dyDescent="0.2"/>
    <row r="8230" ht="12.75" x14ac:dyDescent="0.2"/>
    <row r="8231" ht="12.75" x14ac:dyDescent="0.2"/>
    <row r="8232" ht="12.75" x14ac:dyDescent="0.2"/>
    <row r="8233" ht="12.75" x14ac:dyDescent="0.2"/>
    <row r="8234" ht="12.75" x14ac:dyDescent="0.2"/>
    <row r="8235" ht="12.75" x14ac:dyDescent="0.2"/>
    <row r="8236" ht="12.75" x14ac:dyDescent="0.2"/>
    <row r="8237" ht="12.75" x14ac:dyDescent="0.2"/>
    <row r="8238" ht="12.75" x14ac:dyDescent="0.2"/>
    <row r="8239" ht="12.75" x14ac:dyDescent="0.2"/>
    <row r="8240" ht="12.75" x14ac:dyDescent="0.2"/>
    <row r="8241" ht="12.75" x14ac:dyDescent="0.2"/>
    <row r="8242" ht="12.75" x14ac:dyDescent="0.2"/>
    <row r="8243" ht="12.75" x14ac:dyDescent="0.2"/>
    <row r="8244" ht="12.75" x14ac:dyDescent="0.2"/>
    <row r="8245" ht="12.75" x14ac:dyDescent="0.2"/>
    <row r="8246" ht="12.75" x14ac:dyDescent="0.2"/>
    <row r="8247" ht="12.75" x14ac:dyDescent="0.2"/>
    <row r="8248" ht="12.75" x14ac:dyDescent="0.2"/>
    <row r="8249" ht="12.75" x14ac:dyDescent="0.2"/>
    <row r="8250" ht="12.75" x14ac:dyDescent="0.2"/>
    <row r="8251" ht="12.75" x14ac:dyDescent="0.2"/>
    <row r="8252" ht="12.75" x14ac:dyDescent="0.2"/>
    <row r="8253" ht="12.75" x14ac:dyDescent="0.2"/>
    <row r="8254" ht="12.75" x14ac:dyDescent="0.2"/>
    <row r="8255" ht="12.75" x14ac:dyDescent="0.2"/>
    <row r="8256" ht="12.75" x14ac:dyDescent="0.2"/>
    <row r="8257" ht="12.75" x14ac:dyDescent="0.2"/>
    <row r="8258" ht="12.75" x14ac:dyDescent="0.2"/>
    <row r="8259" ht="12.75" x14ac:dyDescent="0.2"/>
    <row r="8260" ht="12.75" x14ac:dyDescent="0.2"/>
    <row r="8261" ht="12.75" x14ac:dyDescent="0.2"/>
    <row r="8262" ht="12.75" x14ac:dyDescent="0.2"/>
    <row r="8263" ht="12.75" x14ac:dyDescent="0.2"/>
    <row r="8264" ht="12.75" x14ac:dyDescent="0.2"/>
    <row r="8265" ht="12.75" x14ac:dyDescent="0.2"/>
    <row r="8266" ht="12.75" x14ac:dyDescent="0.2"/>
    <row r="8267" ht="12.75" x14ac:dyDescent="0.2"/>
    <row r="8268" ht="12.75" x14ac:dyDescent="0.2"/>
    <row r="8269" ht="12.75" x14ac:dyDescent="0.2"/>
    <row r="8270" ht="12.75" x14ac:dyDescent="0.2"/>
    <row r="8271" ht="12.75" x14ac:dyDescent="0.2"/>
    <row r="8272" ht="12.75" x14ac:dyDescent="0.2"/>
    <row r="8273" ht="12.75" x14ac:dyDescent="0.2"/>
    <row r="8274" ht="12.75" x14ac:dyDescent="0.2"/>
    <row r="8275" ht="12.75" x14ac:dyDescent="0.2"/>
    <row r="8276" ht="12.75" x14ac:dyDescent="0.2"/>
    <row r="8277" ht="12.75" x14ac:dyDescent="0.2"/>
    <row r="8278" ht="12.75" x14ac:dyDescent="0.2"/>
    <row r="8279" ht="12.75" x14ac:dyDescent="0.2"/>
    <row r="8280" ht="12.75" x14ac:dyDescent="0.2"/>
    <row r="8281" ht="12.75" x14ac:dyDescent="0.2"/>
    <row r="8282" ht="12.75" x14ac:dyDescent="0.2"/>
    <row r="8283" ht="12.75" x14ac:dyDescent="0.2"/>
    <row r="8284" ht="12.75" x14ac:dyDescent="0.2"/>
    <row r="8285" ht="12.75" x14ac:dyDescent="0.2"/>
    <row r="8286" ht="12.75" x14ac:dyDescent="0.2"/>
    <row r="8287" ht="12.75" x14ac:dyDescent="0.2"/>
    <row r="8288" ht="12.75" x14ac:dyDescent="0.2"/>
    <row r="8289" ht="12.75" x14ac:dyDescent="0.2"/>
    <row r="8290" ht="12.75" x14ac:dyDescent="0.2"/>
    <row r="8291" ht="12.75" x14ac:dyDescent="0.2"/>
    <row r="8292" ht="12.75" x14ac:dyDescent="0.2"/>
    <row r="8293" ht="12.75" x14ac:dyDescent="0.2"/>
    <row r="8294" ht="12.75" x14ac:dyDescent="0.2"/>
    <row r="8295" ht="12.75" x14ac:dyDescent="0.2"/>
    <row r="8296" ht="12.75" x14ac:dyDescent="0.2"/>
    <row r="8297" ht="12.75" x14ac:dyDescent="0.2"/>
    <row r="8298" ht="12.75" x14ac:dyDescent="0.2"/>
    <row r="8299" ht="12.75" x14ac:dyDescent="0.2"/>
    <row r="8300" ht="12.75" x14ac:dyDescent="0.2"/>
    <row r="8301" ht="12.75" x14ac:dyDescent="0.2"/>
    <row r="8302" ht="12.75" x14ac:dyDescent="0.2"/>
    <row r="8303" ht="12.75" x14ac:dyDescent="0.2"/>
    <row r="8304" ht="12.75" x14ac:dyDescent="0.2"/>
    <row r="8305" ht="12.75" x14ac:dyDescent="0.2"/>
    <row r="8306" ht="12.75" x14ac:dyDescent="0.2"/>
    <row r="8307" ht="12.75" x14ac:dyDescent="0.2"/>
    <row r="8308" ht="12.75" x14ac:dyDescent="0.2"/>
    <row r="8309" ht="12.75" x14ac:dyDescent="0.2"/>
    <row r="8310" ht="12.75" x14ac:dyDescent="0.2"/>
    <row r="8311" ht="12.75" x14ac:dyDescent="0.2"/>
    <row r="8312" ht="12.75" x14ac:dyDescent="0.2"/>
    <row r="8313" ht="12.75" x14ac:dyDescent="0.2"/>
    <row r="8314" ht="12.75" x14ac:dyDescent="0.2"/>
    <row r="8315" ht="12.75" x14ac:dyDescent="0.2"/>
    <row r="8316" ht="12.75" x14ac:dyDescent="0.2"/>
    <row r="8317" ht="12.75" x14ac:dyDescent="0.2"/>
    <row r="8318" ht="12.75" x14ac:dyDescent="0.2"/>
    <row r="8319" ht="12.75" x14ac:dyDescent="0.2"/>
    <row r="8320" ht="12.75" x14ac:dyDescent="0.2"/>
    <row r="8321" ht="12.75" x14ac:dyDescent="0.2"/>
    <row r="8322" ht="12.75" x14ac:dyDescent="0.2"/>
    <row r="8323" ht="12.75" x14ac:dyDescent="0.2"/>
    <row r="8324" ht="12.75" x14ac:dyDescent="0.2"/>
    <row r="8325" ht="12.75" x14ac:dyDescent="0.2"/>
    <row r="8326" ht="12.75" x14ac:dyDescent="0.2"/>
    <row r="8327" ht="12.75" x14ac:dyDescent="0.2"/>
    <row r="8328" ht="12.75" x14ac:dyDescent="0.2"/>
    <row r="8329" ht="12.75" x14ac:dyDescent="0.2"/>
    <row r="8330" ht="12.75" x14ac:dyDescent="0.2"/>
    <row r="8331" ht="12.75" x14ac:dyDescent="0.2"/>
    <row r="8332" ht="12.75" x14ac:dyDescent="0.2"/>
    <row r="8333" ht="12.75" x14ac:dyDescent="0.2"/>
    <row r="8334" ht="12.75" x14ac:dyDescent="0.2"/>
    <row r="8335" ht="12.75" x14ac:dyDescent="0.2"/>
    <row r="8336" ht="12.75" x14ac:dyDescent="0.2"/>
    <row r="8337" ht="12.75" x14ac:dyDescent="0.2"/>
    <row r="8338" ht="12.75" x14ac:dyDescent="0.2"/>
    <row r="8339" ht="12.75" x14ac:dyDescent="0.2"/>
    <row r="8340" ht="12.75" x14ac:dyDescent="0.2"/>
    <row r="8341" ht="12.75" x14ac:dyDescent="0.2"/>
    <row r="8342" ht="12.75" x14ac:dyDescent="0.2"/>
    <row r="8343" ht="12.75" x14ac:dyDescent="0.2"/>
    <row r="8344" ht="12.75" x14ac:dyDescent="0.2"/>
    <row r="8345" ht="12.75" x14ac:dyDescent="0.2"/>
    <row r="8346" ht="12.75" x14ac:dyDescent="0.2"/>
    <row r="8347" ht="12.75" x14ac:dyDescent="0.2"/>
    <row r="8348" ht="12.75" x14ac:dyDescent="0.2"/>
    <row r="8349" ht="12.75" x14ac:dyDescent="0.2"/>
    <row r="8350" ht="12.75" x14ac:dyDescent="0.2"/>
    <row r="8351" ht="12.75" x14ac:dyDescent="0.2"/>
    <row r="8352" ht="12.75" x14ac:dyDescent="0.2"/>
    <row r="8353" ht="12.75" x14ac:dyDescent="0.2"/>
    <row r="8354" ht="12.75" x14ac:dyDescent="0.2"/>
    <row r="8355" ht="12.75" x14ac:dyDescent="0.2"/>
    <row r="8356" ht="12.75" x14ac:dyDescent="0.2"/>
    <row r="8357" ht="12.75" x14ac:dyDescent="0.2"/>
    <row r="8358" ht="12.75" x14ac:dyDescent="0.2"/>
    <row r="8359" ht="12.75" x14ac:dyDescent="0.2"/>
    <row r="8360" ht="12.75" x14ac:dyDescent="0.2"/>
    <row r="8361" ht="12.75" x14ac:dyDescent="0.2"/>
    <row r="8362" ht="12.75" x14ac:dyDescent="0.2"/>
    <row r="8363" ht="12.75" x14ac:dyDescent="0.2"/>
    <row r="8364" ht="12.75" x14ac:dyDescent="0.2"/>
    <row r="8365" ht="12.75" x14ac:dyDescent="0.2"/>
    <row r="8366" ht="12.75" x14ac:dyDescent="0.2"/>
    <row r="8367" ht="12.75" x14ac:dyDescent="0.2"/>
    <row r="8368" ht="12.75" x14ac:dyDescent="0.2"/>
    <row r="8369" ht="12.75" x14ac:dyDescent="0.2"/>
    <row r="8370" ht="12.75" x14ac:dyDescent="0.2"/>
    <row r="8371" ht="12.75" x14ac:dyDescent="0.2"/>
    <row r="8372" ht="12.75" x14ac:dyDescent="0.2"/>
    <row r="8373" ht="12.75" x14ac:dyDescent="0.2"/>
    <row r="8374" ht="12.75" x14ac:dyDescent="0.2"/>
    <row r="8375" ht="12.75" x14ac:dyDescent="0.2"/>
    <row r="8376" ht="12.75" x14ac:dyDescent="0.2"/>
    <row r="8377" ht="12.75" x14ac:dyDescent="0.2"/>
    <row r="8378" ht="12.75" x14ac:dyDescent="0.2"/>
    <row r="8379" ht="12.75" x14ac:dyDescent="0.2"/>
    <row r="8380" ht="12.75" x14ac:dyDescent="0.2"/>
    <row r="8381" ht="12.75" x14ac:dyDescent="0.2"/>
    <row r="8382" ht="12.75" x14ac:dyDescent="0.2"/>
    <row r="8383" ht="12.75" x14ac:dyDescent="0.2"/>
    <row r="8384" ht="12.75" x14ac:dyDescent="0.2"/>
    <row r="8385" ht="12.75" x14ac:dyDescent="0.2"/>
    <row r="8386" ht="12.75" x14ac:dyDescent="0.2"/>
    <row r="8387" ht="12.75" x14ac:dyDescent="0.2"/>
    <row r="8388" ht="12.75" x14ac:dyDescent="0.2"/>
    <row r="8389" ht="12.75" x14ac:dyDescent="0.2"/>
    <row r="8390" ht="12.75" x14ac:dyDescent="0.2"/>
    <row r="8391" ht="12.75" x14ac:dyDescent="0.2"/>
    <row r="8392" ht="12.75" x14ac:dyDescent="0.2"/>
    <row r="8393" ht="12.75" x14ac:dyDescent="0.2"/>
    <row r="8394" ht="12.75" x14ac:dyDescent="0.2"/>
    <row r="8395" ht="12.75" x14ac:dyDescent="0.2"/>
    <row r="8396" ht="12.75" x14ac:dyDescent="0.2"/>
    <row r="8397" ht="12.75" x14ac:dyDescent="0.2"/>
    <row r="8398" ht="12.75" x14ac:dyDescent="0.2"/>
    <row r="8399" ht="12.75" x14ac:dyDescent="0.2"/>
    <row r="8400" ht="12.75" x14ac:dyDescent="0.2"/>
    <row r="8401" ht="12.75" x14ac:dyDescent="0.2"/>
    <row r="8402" ht="12.75" x14ac:dyDescent="0.2"/>
    <row r="8403" ht="12.75" x14ac:dyDescent="0.2"/>
    <row r="8404" ht="12.75" x14ac:dyDescent="0.2"/>
    <row r="8405" ht="12.75" x14ac:dyDescent="0.2"/>
    <row r="8406" ht="12.75" x14ac:dyDescent="0.2"/>
    <row r="8407" ht="12.75" x14ac:dyDescent="0.2"/>
    <row r="8408" ht="12.75" x14ac:dyDescent="0.2"/>
    <row r="8409" ht="12.75" x14ac:dyDescent="0.2"/>
    <row r="8410" ht="12.75" x14ac:dyDescent="0.2"/>
    <row r="8411" ht="12.75" x14ac:dyDescent="0.2"/>
    <row r="8412" ht="12.75" x14ac:dyDescent="0.2"/>
    <row r="8413" ht="12.75" x14ac:dyDescent="0.2"/>
    <row r="8414" ht="12.75" x14ac:dyDescent="0.2"/>
    <row r="8415" ht="12.75" x14ac:dyDescent="0.2"/>
    <row r="8416" ht="12.75" x14ac:dyDescent="0.2"/>
    <row r="8417" ht="12.75" x14ac:dyDescent="0.2"/>
    <row r="8418" ht="12.75" x14ac:dyDescent="0.2"/>
    <row r="8419" ht="12.75" x14ac:dyDescent="0.2"/>
    <row r="8420" ht="12.75" x14ac:dyDescent="0.2"/>
    <row r="8421" ht="12.75" x14ac:dyDescent="0.2"/>
    <row r="8422" ht="12.75" x14ac:dyDescent="0.2"/>
    <row r="8423" ht="12.75" x14ac:dyDescent="0.2"/>
    <row r="8424" ht="12.75" x14ac:dyDescent="0.2"/>
    <row r="8425" ht="12.75" x14ac:dyDescent="0.2"/>
    <row r="8426" ht="12.75" x14ac:dyDescent="0.2"/>
    <row r="8427" ht="12.75" x14ac:dyDescent="0.2"/>
    <row r="8428" ht="12.75" x14ac:dyDescent="0.2"/>
    <row r="8429" ht="12.75" x14ac:dyDescent="0.2"/>
    <row r="8430" ht="12.75" x14ac:dyDescent="0.2"/>
    <row r="8431" ht="12.75" x14ac:dyDescent="0.2"/>
    <row r="8432" ht="12.75" x14ac:dyDescent="0.2"/>
    <row r="8433" ht="12.75" x14ac:dyDescent="0.2"/>
    <row r="8434" ht="12.75" x14ac:dyDescent="0.2"/>
    <row r="8435" ht="12.75" x14ac:dyDescent="0.2"/>
    <row r="8436" ht="12.75" x14ac:dyDescent="0.2"/>
    <row r="8437" ht="12.75" x14ac:dyDescent="0.2"/>
    <row r="8438" ht="12.75" x14ac:dyDescent="0.2"/>
    <row r="8439" ht="12.75" x14ac:dyDescent="0.2"/>
    <row r="8440" ht="12.75" x14ac:dyDescent="0.2"/>
    <row r="8441" ht="12.75" x14ac:dyDescent="0.2"/>
    <row r="8442" ht="12.75" x14ac:dyDescent="0.2"/>
    <row r="8443" ht="12.75" x14ac:dyDescent="0.2"/>
    <row r="8444" ht="12.75" x14ac:dyDescent="0.2"/>
    <row r="8445" ht="12.75" x14ac:dyDescent="0.2"/>
    <row r="8446" ht="12.75" x14ac:dyDescent="0.2"/>
    <row r="8447" ht="12.75" x14ac:dyDescent="0.2"/>
    <row r="8448" ht="12.75" x14ac:dyDescent="0.2"/>
    <row r="8449" ht="12.75" x14ac:dyDescent="0.2"/>
    <row r="8450" ht="12.75" x14ac:dyDescent="0.2"/>
    <row r="8451" ht="12.75" x14ac:dyDescent="0.2"/>
    <row r="8452" ht="12.75" x14ac:dyDescent="0.2"/>
    <row r="8453" ht="12.75" x14ac:dyDescent="0.2"/>
    <row r="8454" ht="12.75" x14ac:dyDescent="0.2"/>
    <row r="8455" ht="12.75" x14ac:dyDescent="0.2"/>
    <row r="8456" ht="12.75" x14ac:dyDescent="0.2"/>
    <row r="8457" ht="12.75" x14ac:dyDescent="0.2"/>
    <row r="8458" ht="12.75" x14ac:dyDescent="0.2"/>
    <row r="8459" ht="12.75" x14ac:dyDescent="0.2"/>
    <row r="8460" ht="12.75" x14ac:dyDescent="0.2"/>
    <row r="8461" ht="12.75" x14ac:dyDescent="0.2"/>
    <row r="8462" ht="12.75" x14ac:dyDescent="0.2"/>
    <row r="8463" ht="12.75" x14ac:dyDescent="0.2"/>
    <row r="8464" ht="12.75" x14ac:dyDescent="0.2"/>
    <row r="8465" ht="12.75" x14ac:dyDescent="0.2"/>
    <row r="8466" ht="12.75" x14ac:dyDescent="0.2"/>
    <row r="8467" ht="12.75" x14ac:dyDescent="0.2"/>
    <row r="8468" ht="12.75" x14ac:dyDescent="0.2"/>
    <row r="8469" ht="12.75" x14ac:dyDescent="0.2"/>
    <row r="8470" ht="12.75" x14ac:dyDescent="0.2"/>
    <row r="8471" ht="12.75" x14ac:dyDescent="0.2"/>
    <row r="8472" ht="12.75" x14ac:dyDescent="0.2"/>
    <row r="8473" ht="12.75" x14ac:dyDescent="0.2"/>
    <row r="8474" ht="12.75" x14ac:dyDescent="0.2"/>
    <row r="8475" ht="12.75" x14ac:dyDescent="0.2"/>
    <row r="8476" ht="12.75" x14ac:dyDescent="0.2"/>
    <row r="8477" ht="12.75" x14ac:dyDescent="0.2"/>
    <row r="8478" ht="12.75" x14ac:dyDescent="0.2"/>
    <row r="8479" ht="12.75" x14ac:dyDescent="0.2"/>
    <row r="8480" ht="12.75" x14ac:dyDescent="0.2"/>
    <row r="8481" ht="12.75" x14ac:dyDescent="0.2"/>
    <row r="8482" ht="12.75" x14ac:dyDescent="0.2"/>
    <row r="8483" ht="12.75" x14ac:dyDescent="0.2"/>
    <row r="8484" ht="12.75" x14ac:dyDescent="0.2"/>
    <row r="8485" ht="12.75" x14ac:dyDescent="0.2"/>
    <row r="8486" ht="12.75" x14ac:dyDescent="0.2"/>
    <row r="8487" ht="12.75" x14ac:dyDescent="0.2"/>
    <row r="8488" ht="12.75" x14ac:dyDescent="0.2"/>
    <row r="8489" ht="12.75" x14ac:dyDescent="0.2"/>
    <row r="8490" ht="12.75" x14ac:dyDescent="0.2"/>
    <row r="8491" ht="12.75" x14ac:dyDescent="0.2"/>
    <row r="8492" ht="12.75" x14ac:dyDescent="0.2"/>
    <row r="8493" ht="12.75" x14ac:dyDescent="0.2"/>
    <row r="8494" ht="12.75" x14ac:dyDescent="0.2"/>
    <row r="8495" ht="12.75" x14ac:dyDescent="0.2"/>
    <row r="8496" ht="12.75" x14ac:dyDescent="0.2"/>
    <row r="8497" ht="12.75" x14ac:dyDescent="0.2"/>
    <row r="8498" ht="12.75" x14ac:dyDescent="0.2"/>
    <row r="8499" ht="12.75" x14ac:dyDescent="0.2"/>
    <row r="8500" ht="12.75" x14ac:dyDescent="0.2"/>
    <row r="8501" ht="12.75" x14ac:dyDescent="0.2"/>
    <row r="8502" ht="12.75" x14ac:dyDescent="0.2"/>
    <row r="8503" ht="12.75" x14ac:dyDescent="0.2"/>
    <row r="8504" ht="12.75" x14ac:dyDescent="0.2"/>
    <row r="8505" ht="12.75" x14ac:dyDescent="0.2"/>
    <row r="8506" ht="12.75" x14ac:dyDescent="0.2"/>
    <row r="8507" ht="12.75" x14ac:dyDescent="0.2"/>
    <row r="8508" ht="12.75" x14ac:dyDescent="0.2"/>
    <row r="8509" ht="12.75" x14ac:dyDescent="0.2"/>
    <row r="8510" ht="12.75" x14ac:dyDescent="0.2"/>
    <row r="8511" ht="12.75" x14ac:dyDescent="0.2"/>
    <row r="8512" ht="12.75" x14ac:dyDescent="0.2"/>
    <row r="8513" ht="12.75" x14ac:dyDescent="0.2"/>
    <row r="8514" ht="12.75" x14ac:dyDescent="0.2"/>
    <row r="8515" ht="12.75" x14ac:dyDescent="0.2"/>
    <row r="8516" ht="12.75" x14ac:dyDescent="0.2"/>
    <row r="8517" ht="12.75" x14ac:dyDescent="0.2"/>
    <row r="8518" ht="12.75" x14ac:dyDescent="0.2"/>
    <row r="8519" ht="12.75" x14ac:dyDescent="0.2"/>
    <row r="8520" ht="12.75" x14ac:dyDescent="0.2"/>
    <row r="8521" ht="12.75" x14ac:dyDescent="0.2"/>
    <row r="8522" ht="12.75" x14ac:dyDescent="0.2"/>
    <row r="8523" ht="12.75" x14ac:dyDescent="0.2"/>
    <row r="8524" ht="12.75" x14ac:dyDescent="0.2"/>
    <row r="8525" ht="12.75" x14ac:dyDescent="0.2"/>
    <row r="8526" ht="12.75" x14ac:dyDescent="0.2"/>
    <row r="8527" ht="12.75" x14ac:dyDescent="0.2"/>
    <row r="8528" ht="12.75" x14ac:dyDescent="0.2"/>
    <row r="8529" ht="12.75" x14ac:dyDescent="0.2"/>
    <row r="8530" ht="12.75" x14ac:dyDescent="0.2"/>
    <row r="8531" ht="12.75" x14ac:dyDescent="0.2"/>
    <row r="8532" ht="12.75" x14ac:dyDescent="0.2"/>
    <row r="8533" ht="12.75" x14ac:dyDescent="0.2"/>
    <row r="8534" ht="12.75" x14ac:dyDescent="0.2"/>
    <row r="8535" ht="12.75" x14ac:dyDescent="0.2"/>
    <row r="8536" ht="12.75" x14ac:dyDescent="0.2"/>
    <row r="8537" ht="12.75" x14ac:dyDescent="0.2"/>
    <row r="8538" ht="12.75" x14ac:dyDescent="0.2"/>
    <row r="8539" ht="12.75" x14ac:dyDescent="0.2"/>
    <row r="8540" ht="12.75" x14ac:dyDescent="0.2"/>
    <row r="8541" ht="12.75" x14ac:dyDescent="0.2"/>
    <row r="8542" ht="12.75" x14ac:dyDescent="0.2"/>
    <row r="8543" ht="12.75" x14ac:dyDescent="0.2"/>
    <row r="8544" ht="12.75" x14ac:dyDescent="0.2"/>
    <row r="8545" ht="12.75" x14ac:dyDescent="0.2"/>
    <row r="8546" ht="12.75" x14ac:dyDescent="0.2"/>
    <row r="8547" ht="12.75" x14ac:dyDescent="0.2"/>
    <row r="8548" ht="12.75" x14ac:dyDescent="0.2"/>
    <row r="8549" ht="12.75" x14ac:dyDescent="0.2"/>
    <row r="8550" ht="12.75" x14ac:dyDescent="0.2"/>
    <row r="8551" ht="12.75" x14ac:dyDescent="0.2"/>
    <row r="8552" ht="12.75" x14ac:dyDescent="0.2"/>
    <row r="8553" ht="12.75" x14ac:dyDescent="0.2"/>
    <row r="8554" ht="12.75" x14ac:dyDescent="0.2"/>
    <row r="8555" ht="12.75" x14ac:dyDescent="0.2"/>
    <row r="8556" ht="12.75" x14ac:dyDescent="0.2"/>
    <row r="8557" ht="12.75" x14ac:dyDescent="0.2"/>
    <row r="8558" ht="12.75" x14ac:dyDescent="0.2"/>
    <row r="8559" ht="12.75" x14ac:dyDescent="0.2"/>
    <row r="8560" ht="12.75" x14ac:dyDescent="0.2"/>
    <row r="8561" ht="12.75" x14ac:dyDescent="0.2"/>
    <row r="8562" ht="12.75" x14ac:dyDescent="0.2"/>
    <row r="8563" ht="12.75" x14ac:dyDescent="0.2"/>
    <row r="8564" ht="12.75" x14ac:dyDescent="0.2"/>
    <row r="8565" ht="12.75" x14ac:dyDescent="0.2"/>
    <row r="8566" ht="12.75" x14ac:dyDescent="0.2"/>
    <row r="8567" ht="12.75" x14ac:dyDescent="0.2"/>
    <row r="8568" ht="12.75" x14ac:dyDescent="0.2"/>
    <row r="8569" ht="12.75" x14ac:dyDescent="0.2"/>
    <row r="8570" ht="12.75" x14ac:dyDescent="0.2"/>
    <row r="8571" ht="12.75" x14ac:dyDescent="0.2"/>
    <row r="8572" ht="12.75" x14ac:dyDescent="0.2"/>
    <row r="8573" ht="12.75" x14ac:dyDescent="0.2"/>
    <row r="8574" ht="12.75" x14ac:dyDescent="0.2"/>
    <row r="8575" ht="12.75" x14ac:dyDescent="0.2"/>
    <row r="8576" ht="12.75" x14ac:dyDescent="0.2"/>
    <row r="8577" ht="12.75" x14ac:dyDescent="0.2"/>
    <row r="8578" ht="12.75" x14ac:dyDescent="0.2"/>
    <row r="8579" ht="12.75" x14ac:dyDescent="0.2"/>
    <row r="8580" ht="12.75" x14ac:dyDescent="0.2"/>
    <row r="8581" ht="12.75" x14ac:dyDescent="0.2"/>
    <row r="8582" ht="12.75" x14ac:dyDescent="0.2"/>
    <row r="8583" ht="12.75" x14ac:dyDescent="0.2"/>
    <row r="8584" ht="12.75" x14ac:dyDescent="0.2"/>
    <row r="8585" ht="12.75" x14ac:dyDescent="0.2"/>
    <row r="8586" ht="12.75" x14ac:dyDescent="0.2"/>
    <row r="8587" ht="12.75" x14ac:dyDescent="0.2"/>
    <row r="8588" ht="12.75" x14ac:dyDescent="0.2"/>
    <row r="8589" ht="12.75" x14ac:dyDescent="0.2"/>
    <row r="8590" ht="12.75" x14ac:dyDescent="0.2"/>
    <row r="8591" ht="12.75" x14ac:dyDescent="0.2"/>
    <row r="8592" ht="12.75" x14ac:dyDescent="0.2"/>
    <row r="8593" ht="12.75" x14ac:dyDescent="0.2"/>
    <row r="8594" ht="12.75" x14ac:dyDescent="0.2"/>
    <row r="8595" ht="12.75" x14ac:dyDescent="0.2"/>
    <row r="8596" ht="12.75" x14ac:dyDescent="0.2"/>
    <row r="8597" ht="12.75" x14ac:dyDescent="0.2"/>
    <row r="8598" ht="12.75" x14ac:dyDescent="0.2"/>
    <row r="8599" ht="12.75" x14ac:dyDescent="0.2"/>
    <row r="8600" ht="12.75" x14ac:dyDescent="0.2"/>
    <row r="8601" ht="12.75" x14ac:dyDescent="0.2"/>
    <row r="8602" ht="12.75" x14ac:dyDescent="0.2"/>
    <row r="8603" ht="12.75" x14ac:dyDescent="0.2"/>
    <row r="8604" ht="12.75" x14ac:dyDescent="0.2"/>
    <row r="8605" ht="12.75" x14ac:dyDescent="0.2"/>
    <row r="8606" ht="12.75" x14ac:dyDescent="0.2"/>
    <row r="8607" ht="12.75" x14ac:dyDescent="0.2"/>
    <row r="8608" ht="12.75" x14ac:dyDescent="0.2"/>
    <row r="8609" ht="12.75" x14ac:dyDescent="0.2"/>
    <row r="8610" ht="12.75" x14ac:dyDescent="0.2"/>
    <row r="8611" ht="12.75" x14ac:dyDescent="0.2"/>
    <row r="8612" ht="12.75" x14ac:dyDescent="0.2"/>
    <row r="8613" ht="12.75" x14ac:dyDescent="0.2"/>
    <row r="8614" ht="12.75" x14ac:dyDescent="0.2"/>
    <row r="8615" ht="12.75" x14ac:dyDescent="0.2"/>
    <row r="8616" ht="12.75" x14ac:dyDescent="0.2"/>
    <row r="8617" ht="12.75" x14ac:dyDescent="0.2"/>
    <row r="8618" ht="12.75" x14ac:dyDescent="0.2"/>
    <row r="8619" ht="12.75" x14ac:dyDescent="0.2"/>
    <row r="8620" ht="12.75" x14ac:dyDescent="0.2"/>
    <row r="8621" ht="12.75" x14ac:dyDescent="0.2"/>
    <row r="8622" ht="12.75" x14ac:dyDescent="0.2"/>
    <row r="8623" ht="12.75" x14ac:dyDescent="0.2"/>
    <row r="8624" ht="12.75" x14ac:dyDescent="0.2"/>
    <row r="8625" ht="12.75" x14ac:dyDescent="0.2"/>
    <row r="8626" ht="12.75" x14ac:dyDescent="0.2"/>
    <row r="8627" ht="12.75" x14ac:dyDescent="0.2"/>
    <row r="8628" ht="12.75" x14ac:dyDescent="0.2"/>
    <row r="8629" ht="12.75" x14ac:dyDescent="0.2"/>
    <row r="8630" ht="12.75" x14ac:dyDescent="0.2"/>
    <row r="8631" ht="12.75" x14ac:dyDescent="0.2"/>
    <row r="8632" ht="12.75" x14ac:dyDescent="0.2"/>
    <row r="8633" ht="12.75" x14ac:dyDescent="0.2"/>
    <row r="8634" ht="12.75" x14ac:dyDescent="0.2"/>
    <row r="8635" ht="12.75" x14ac:dyDescent="0.2"/>
    <row r="8636" ht="12.75" x14ac:dyDescent="0.2"/>
    <row r="8637" ht="12.75" x14ac:dyDescent="0.2"/>
    <row r="8638" ht="12.75" x14ac:dyDescent="0.2"/>
    <row r="8639" ht="12.75" x14ac:dyDescent="0.2"/>
    <row r="8640" ht="12.75" x14ac:dyDescent="0.2"/>
    <row r="8641" ht="12.75" x14ac:dyDescent="0.2"/>
    <row r="8642" ht="12.75" x14ac:dyDescent="0.2"/>
    <row r="8643" ht="12.75" x14ac:dyDescent="0.2"/>
    <row r="8644" ht="12.75" x14ac:dyDescent="0.2"/>
    <row r="8645" ht="12.75" x14ac:dyDescent="0.2"/>
    <row r="8646" ht="12.75" x14ac:dyDescent="0.2"/>
    <row r="8647" ht="12.75" x14ac:dyDescent="0.2"/>
    <row r="8648" ht="12.75" x14ac:dyDescent="0.2"/>
    <row r="8649" ht="12.75" x14ac:dyDescent="0.2"/>
    <row r="8650" ht="12.75" x14ac:dyDescent="0.2"/>
    <row r="8651" ht="12.75" x14ac:dyDescent="0.2"/>
    <row r="8652" ht="12.75" x14ac:dyDescent="0.2"/>
    <row r="8653" ht="12.75" x14ac:dyDescent="0.2"/>
    <row r="8654" ht="12.75" x14ac:dyDescent="0.2"/>
    <row r="8655" ht="12.75" x14ac:dyDescent="0.2"/>
    <row r="8656" ht="12.75" x14ac:dyDescent="0.2"/>
    <row r="8657" ht="12.75" x14ac:dyDescent="0.2"/>
    <row r="8658" ht="12.75" x14ac:dyDescent="0.2"/>
    <row r="8659" ht="12.75" x14ac:dyDescent="0.2"/>
    <row r="8660" ht="12.75" x14ac:dyDescent="0.2"/>
    <row r="8661" ht="12.75" x14ac:dyDescent="0.2"/>
    <row r="8662" ht="12.75" x14ac:dyDescent="0.2"/>
    <row r="8663" ht="12.75" x14ac:dyDescent="0.2"/>
    <row r="8664" ht="12.75" x14ac:dyDescent="0.2"/>
    <row r="8665" ht="12.75" x14ac:dyDescent="0.2"/>
    <row r="8666" ht="12.75" x14ac:dyDescent="0.2"/>
    <row r="8667" ht="12.75" x14ac:dyDescent="0.2"/>
    <row r="8668" ht="12.75" x14ac:dyDescent="0.2"/>
    <row r="8669" ht="12.75" x14ac:dyDescent="0.2"/>
    <row r="8670" ht="12.75" x14ac:dyDescent="0.2"/>
    <row r="8671" ht="12.75" x14ac:dyDescent="0.2"/>
    <row r="8672" ht="12.75" x14ac:dyDescent="0.2"/>
    <row r="8673" ht="12.75" x14ac:dyDescent="0.2"/>
    <row r="8674" ht="12.75" x14ac:dyDescent="0.2"/>
    <row r="8675" ht="12.75" x14ac:dyDescent="0.2"/>
    <row r="8676" ht="12.75" x14ac:dyDescent="0.2"/>
    <row r="8677" ht="12.75" x14ac:dyDescent="0.2"/>
    <row r="8678" ht="12.75" x14ac:dyDescent="0.2"/>
    <row r="8679" ht="12.75" x14ac:dyDescent="0.2"/>
    <row r="8680" ht="12.75" x14ac:dyDescent="0.2"/>
    <row r="8681" ht="12.75" x14ac:dyDescent="0.2"/>
    <row r="8682" ht="12.75" x14ac:dyDescent="0.2"/>
    <row r="8683" ht="12.75" x14ac:dyDescent="0.2"/>
    <row r="8684" ht="12.75" x14ac:dyDescent="0.2"/>
    <row r="8685" ht="12.75" x14ac:dyDescent="0.2"/>
    <row r="8686" ht="12.75" x14ac:dyDescent="0.2"/>
    <row r="8687" ht="12.75" x14ac:dyDescent="0.2"/>
    <row r="8688" ht="12.75" x14ac:dyDescent="0.2"/>
    <row r="8689" ht="12.75" x14ac:dyDescent="0.2"/>
    <row r="8690" ht="12.75" x14ac:dyDescent="0.2"/>
    <row r="8691" ht="12.75" x14ac:dyDescent="0.2"/>
    <row r="8692" ht="12.75" x14ac:dyDescent="0.2"/>
    <row r="8693" ht="12.75" x14ac:dyDescent="0.2"/>
    <row r="8694" ht="12.75" x14ac:dyDescent="0.2"/>
    <row r="8695" ht="12.75" x14ac:dyDescent="0.2"/>
    <row r="8696" ht="12.75" x14ac:dyDescent="0.2"/>
    <row r="8697" ht="12.75" x14ac:dyDescent="0.2"/>
    <row r="8698" ht="12.75" x14ac:dyDescent="0.2"/>
    <row r="8699" ht="12.75" x14ac:dyDescent="0.2"/>
    <row r="8700" ht="12.75" x14ac:dyDescent="0.2"/>
    <row r="8701" ht="12.75" x14ac:dyDescent="0.2"/>
    <row r="8702" ht="12.75" x14ac:dyDescent="0.2"/>
    <row r="8703" ht="12.75" x14ac:dyDescent="0.2"/>
    <row r="8704" ht="12.75" x14ac:dyDescent="0.2"/>
    <row r="8705" ht="12.75" x14ac:dyDescent="0.2"/>
    <row r="8706" ht="12.75" x14ac:dyDescent="0.2"/>
    <row r="8707" ht="12.75" x14ac:dyDescent="0.2"/>
    <row r="8708" ht="12.75" x14ac:dyDescent="0.2"/>
    <row r="8709" ht="12.75" x14ac:dyDescent="0.2"/>
    <row r="8710" ht="12.75" x14ac:dyDescent="0.2"/>
    <row r="8711" ht="12.75" x14ac:dyDescent="0.2"/>
    <row r="8712" ht="12.75" x14ac:dyDescent="0.2"/>
    <row r="8713" ht="12.75" x14ac:dyDescent="0.2"/>
    <row r="8714" ht="12.75" x14ac:dyDescent="0.2"/>
    <row r="8715" ht="12.75" x14ac:dyDescent="0.2"/>
    <row r="8716" ht="12.75" x14ac:dyDescent="0.2"/>
    <row r="8717" ht="12.75" x14ac:dyDescent="0.2"/>
    <row r="8718" ht="12.75" x14ac:dyDescent="0.2"/>
    <row r="8719" ht="12.75" x14ac:dyDescent="0.2"/>
    <row r="8720" ht="12.75" x14ac:dyDescent="0.2"/>
    <row r="8721" ht="12.75" x14ac:dyDescent="0.2"/>
    <row r="8722" ht="12.75" x14ac:dyDescent="0.2"/>
    <row r="8723" ht="12.75" x14ac:dyDescent="0.2"/>
    <row r="8724" ht="12.75" x14ac:dyDescent="0.2"/>
    <row r="8725" ht="12.75" x14ac:dyDescent="0.2"/>
    <row r="8726" ht="12.75" x14ac:dyDescent="0.2"/>
    <row r="8727" ht="12.75" x14ac:dyDescent="0.2"/>
    <row r="8728" ht="12.75" x14ac:dyDescent="0.2"/>
    <row r="8729" ht="12.75" x14ac:dyDescent="0.2"/>
    <row r="8730" ht="12.75" x14ac:dyDescent="0.2"/>
    <row r="8731" ht="12.75" x14ac:dyDescent="0.2"/>
    <row r="8732" ht="12.75" x14ac:dyDescent="0.2"/>
    <row r="8733" ht="12.75" x14ac:dyDescent="0.2"/>
    <row r="8734" ht="12.75" x14ac:dyDescent="0.2"/>
    <row r="8735" ht="12.75" x14ac:dyDescent="0.2"/>
    <row r="8736" ht="12.75" x14ac:dyDescent="0.2"/>
    <row r="8737" ht="12.75" x14ac:dyDescent="0.2"/>
    <row r="8738" ht="12.75" x14ac:dyDescent="0.2"/>
    <row r="8739" ht="12.75" x14ac:dyDescent="0.2"/>
    <row r="8740" ht="12.75" x14ac:dyDescent="0.2"/>
    <row r="8741" ht="12.75" x14ac:dyDescent="0.2"/>
    <row r="8742" ht="12.75" x14ac:dyDescent="0.2"/>
    <row r="8743" ht="12.75" x14ac:dyDescent="0.2"/>
    <row r="8744" ht="12.75" x14ac:dyDescent="0.2"/>
    <row r="8745" ht="12.75" x14ac:dyDescent="0.2"/>
    <row r="8746" ht="12.75" x14ac:dyDescent="0.2"/>
    <row r="8747" ht="12.75" x14ac:dyDescent="0.2"/>
    <row r="8748" ht="12.75" x14ac:dyDescent="0.2"/>
    <row r="8749" ht="12.75" x14ac:dyDescent="0.2"/>
    <row r="8750" ht="12.75" x14ac:dyDescent="0.2"/>
    <row r="8751" ht="12.75" x14ac:dyDescent="0.2"/>
    <row r="8752" ht="12.75" x14ac:dyDescent="0.2"/>
    <row r="8753" ht="12.75" x14ac:dyDescent="0.2"/>
    <row r="8754" ht="12.75" x14ac:dyDescent="0.2"/>
    <row r="8755" ht="12.75" x14ac:dyDescent="0.2"/>
    <row r="8756" ht="12.75" x14ac:dyDescent="0.2"/>
    <row r="8757" ht="12.75" x14ac:dyDescent="0.2"/>
    <row r="8758" ht="12.75" x14ac:dyDescent="0.2"/>
    <row r="8759" ht="12.75" x14ac:dyDescent="0.2"/>
    <row r="8760" ht="12.75" x14ac:dyDescent="0.2"/>
    <row r="8761" ht="12.75" x14ac:dyDescent="0.2"/>
    <row r="8762" ht="12.75" x14ac:dyDescent="0.2"/>
    <row r="8763" ht="12.75" x14ac:dyDescent="0.2"/>
    <row r="8764" ht="12.75" x14ac:dyDescent="0.2"/>
    <row r="8765" ht="12.75" x14ac:dyDescent="0.2"/>
    <row r="8766" ht="12.75" x14ac:dyDescent="0.2"/>
    <row r="8767" ht="12.75" x14ac:dyDescent="0.2"/>
    <row r="8768" ht="12.75" x14ac:dyDescent="0.2"/>
    <row r="8769" ht="12.75" x14ac:dyDescent="0.2"/>
    <row r="8770" ht="12.75" x14ac:dyDescent="0.2"/>
    <row r="8771" ht="12.75" x14ac:dyDescent="0.2"/>
    <row r="8772" ht="12.75" x14ac:dyDescent="0.2"/>
    <row r="8773" ht="12.75" x14ac:dyDescent="0.2"/>
    <row r="8774" ht="12.75" x14ac:dyDescent="0.2"/>
    <row r="8775" ht="12.75" x14ac:dyDescent="0.2"/>
    <row r="8776" ht="12.75" x14ac:dyDescent="0.2"/>
    <row r="8777" ht="12.75" x14ac:dyDescent="0.2"/>
    <row r="8778" ht="12.75" x14ac:dyDescent="0.2"/>
    <row r="8779" ht="12.75" x14ac:dyDescent="0.2"/>
    <row r="8780" ht="12.75" x14ac:dyDescent="0.2"/>
    <row r="8781" ht="12.75" x14ac:dyDescent="0.2"/>
    <row r="8782" ht="12.75" x14ac:dyDescent="0.2"/>
    <row r="8783" ht="12.75" x14ac:dyDescent="0.2"/>
    <row r="8784" ht="12.75" x14ac:dyDescent="0.2"/>
    <row r="8785" ht="12.75" x14ac:dyDescent="0.2"/>
    <row r="8786" ht="12.75" x14ac:dyDescent="0.2"/>
    <row r="8787" ht="12.75" x14ac:dyDescent="0.2"/>
    <row r="8788" ht="12.75" x14ac:dyDescent="0.2"/>
    <row r="8789" ht="12.75" x14ac:dyDescent="0.2"/>
    <row r="8790" ht="12.75" x14ac:dyDescent="0.2"/>
    <row r="8791" ht="12.75" x14ac:dyDescent="0.2"/>
    <row r="8792" ht="12.75" x14ac:dyDescent="0.2"/>
    <row r="8793" ht="12.75" x14ac:dyDescent="0.2"/>
    <row r="8794" ht="12.75" x14ac:dyDescent="0.2"/>
    <row r="8795" ht="12.75" x14ac:dyDescent="0.2"/>
    <row r="8796" ht="12.75" x14ac:dyDescent="0.2"/>
    <row r="8797" ht="12.75" x14ac:dyDescent="0.2"/>
    <row r="8798" ht="12.75" x14ac:dyDescent="0.2"/>
    <row r="8799" ht="12.75" x14ac:dyDescent="0.2"/>
    <row r="8800" ht="12.75" x14ac:dyDescent="0.2"/>
    <row r="8801" ht="12.75" x14ac:dyDescent="0.2"/>
    <row r="8802" ht="12.75" x14ac:dyDescent="0.2"/>
    <row r="8803" ht="12.75" x14ac:dyDescent="0.2"/>
    <row r="8804" ht="12.75" x14ac:dyDescent="0.2"/>
    <row r="8805" ht="12.75" x14ac:dyDescent="0.2"/>
    <row r="8806" ht="12.75" x14ac:dyDescent="0.2"/>
    <row r="8807" ht="12.75" x14ac:dyDescent="0.2"/>
    <row r="8808" ht="12.75" x14ac:dyDescent="0.2"/>
    <row r="8809" ht="12.75" x14ac:dyDescent="0.2"/>
    <row r="8810" ht="12.75" x14ac:dyDescent="0.2"/>
    <row r="8811" ht="12.75" x14ac:dyDescent="0.2"/>
    <row r="8812" ht="12.75" x14ac:dyDescent="0.2"/>
    <row r="8813" ht="12.75" x14ac:dyDescent="0.2"/>
    <row r="8814" ht="12.75" x14ac:dyDescent="0.2"/>
    <row r="8815" ht="12.75" x14ac:dyDescent="0.2"/>
    <row r="8816" ht="12.75" x14ac:dyDescent="0.2"/>
    <row r="8817" ht="12.75" x14ac:dyDescent="0.2"/>
    <row r="8818" ht="12.75" x14ac:dyDescent="0.2"/>
    <row r="8819" ht="12.75" x14ac:dyDescent="0.2"/>
    <row r="8820" ht="12.75" x14ac:dyDescent="0.2"/>
    <row r="8821" ht="12.75" x14ac:dyDescent="0.2"/>
    <row r="8822" ht="12.75" x14ac:dyDescent="0.2"/>
    <row r="8823" ht="12.75" x14ac:dyDescent="0.2"/>
    <row r="8824" ht="12.75" x14ac:dyDescent="0.2"/>
    <row r="8825" ht="12.75" x14ac:dyDescent="0.2"/>
    <row r="8826" ht="12.75" x14ac:dyDescent="0.2"/>
    <row r="8827" ht="12.75" x14ac:dyDescent="0.2"/>
    <row r="8828" ht="12.75" x14ac:dyDescent="0.2"/>
    <row r="8829" ht="12.75" x14ac:dyDescent="0.2"/>
    <row r="8830" ht="12.75" x14ac:dyDescent="0.2"/>
    <row r="8831" ht="12.75" x14ac:dyDescent="0.2"/>
    <row r="8832" ht="12.75" x14ac:dyDescent="0.2"/>
    <row r="8833" ht="12.75" x14ac:dyDescent="0.2"/>
    <row r="8834" ht="12.75" x14ac:dyDescent="0.2"/>
    <row r="8835" ht="12.75" x14ac:dyDescent="0.2"/>
    <row r="8836" ht="12.75" x14ac:dyDescent="0.2"/>
    <row r="8837" ht="12.75" x14ac:dyDescent="0.2"/>
    <row r="8838" ht="12.75" x14ac:dyDescent="0.2"/>
    <row r="8839" ht="12.75" x14ac:dyDescent="0.2"/>
    <row r="8840" ht="12.75" x14ac:dyDescent="0.2"/>
    <row r="8841" ht="12.75" x14ac:dyDescent="0.2"/>
    <row r="8842" ht="12.75" x14ac:dyDescent="0.2"/>
    <row r="8843" ht="12.75" x14ac:dyDescent="0.2"/>
    <row r="8844" ht="12.75" x14ac:dyDescent="0.2"/>
    <row r="8845" ht="12.75" x14ac:dyDescent="0.2"/>
    <row r="8846" ht="12.75" x14ac:dyDescent="0.2"/>
    <row r="8847" ht="12.75" x14ac:dyDescent="0.2"/>
    <row r="8848" ht="12.75" x14ac:dyDescent="0.2"/>
    <row r="8849" ht="12.75" x14ac:dyDescent="0.2"/>
    <row r="8850" ht="12.75" x14ac:dyDescent="0.2"/>
    <row r="8851" ht="12.75" x14ac:dyDescent="0.2"/>
    <row r="8852" ht="12.75" x14ac:dyDescent="0.2"/>
    <row r="8853" ht="12.75" x14ac:dyDescent="0.2"/>
    <row r="8854" ht="12.75" x14ac:dyDescent="0.2"/>
    <row r="8855" ht="12.75" x14ac:dyDescent="0.2"/>
    <row r="8856" ht="12.75" x14ac:dyDescent="0.2"/>
    <row r="8857" ht="12.75" x14ac:dyDescent="0.2"/>
    <row r="8858" ht="12.75" x14ac:dyDescent="0.2"/>
    <row r="8859" ht="12.75" x14ac:dyDescent="0.2"/>
    <row r="8860" ht="12.75" x14ac:dyDescent="0.2"/>
    <row r="8861" ht="12.75" x14ac:dyDescent="0.2"/>
    <row r="8862" ht="12.75" x14ac:dyDescent="0.2"/>
    <row r="8863" ht="12.75" x14ac:dyDescent="0.2"/>
    <row r="8864" ht="12.75" x14ac:dyDescent="0.2"/>
    <row r="8865" ht="12.75" x14ac:dyDescent="0.2"/>
    <row r="8866" ht="12.75" x14ac:dyDescent="0.2"/>
    <row r="8867" ht="12.75" x14ac:dyDescent="0.2"/>
    <row r="8868" ht="12.75" x14ac:dyDescent="0.2"/>
    <row r="8869" ht="12.75" x14ac:dyDescent="0.2"/>
    <row r="8870" ht="12.75" x14ac:dyDescent="0.2"/>
    <row r="8871" ht="12.75" x14ac:dyDescent="0.2"/>
    <row r="8872" ht="12.75" x14ac:dyDescent="0.2"/>
    <row r="8873" ht="12.75" x14ac:dyDescent="0.2"/>
    <row r="8874" ht="12.75" x14ac:dyDescent="0.2"/>
    <row r="8875" ht="12.75" x14ac:dyDescent="0.2"/>
    <row r="8876" ht="12.75" x14ac:dyDescent="0.2"/>
    <row r="8877" ht="12.75" x14ac:dyDescent="0.2"/>
    <row r="8878" ht="12.75" x14ac:dyDescent="0.2"/>
    <row r="8879" ht="12.75" x14ac:dyDescent="0.2"/>
    <row r="8880" ht="12.75" x14ac:dyDescent="0.2"/>
    <row r="8881" ht="12.75" x14ac:dyDescent="0.2"/>
    <row r="8882" ht="12.75" x14ac:dyDescent="0.2"/>
    <row r="8883" ht="12.75" x14ac:dyDescent="0.2"/>
    <row r="8884" ht="12.75" x14ac:dyDescent="0.2"/>
    <row r="8885" ht="12.75" x14ac:dyDescent="0.2"/>
    <row r="8886" ht="12.75" x14ac:dyDescent="0.2"/>
    <row r="8887" ht="12.75" x14ac:dyDescent="0.2"/>
    <row r="8888" ht="12.75" x14ac:dyDescent="0.2"/>
    <row r="8889" ht="12.75" x14ac:dyDescent="0.2"/>
    <row r="8890" ht="12.75" x14ac:dyDescent="0.2"/>
    <row r="8891" ht="12.75" x14ac:dyDescent="0.2"/>
    <row r="8892" ht="12.75" x14ac:dyDescent="0.2"/>
    <row r="8893" ht="12.75" x14ac:dyDescent="0.2"/>
    <row r="8894" ht="12.75" x14ac:dyDescent="0.2"/>
    <row r="8895" ht="12.75" x14ac:dyDescent="0.2"/>
    <row r="8896" ht="12.75" x14ac:dyDescent="0.2"/>
    <row r="8897" ht="12.75" x14ac:dyDescent="0.2"/>
    <row r="8898" ht="12.75" x14ac:dyDescent="0.2"/>
    <row r="8899" ht="12.75" x14ac:dyDescent="0.2"/>
    <row r="8900" ht="12.75" x14ac:dyDescent="0.2"/>
    <row r="8901" ht="12.75" x14ac:dyDescent="0.2"/>
    <row r="8902" ht="12.75" x14ac:dyDescent="0.2"/>
    <row r="8903" ht="12.75" x14ac:dyDescent="0.2"/>
    <row r="8904" ht="12.75" x14ac:dyDescent="0.2"/>
    <row r="8905" ht="12.75" x14ac:dyDescent="0.2"/>
    <row r="8906" ht="12.75" x14ac:dyDescent="0.2"/>
    <row r="8907" ht="12.75" x14ac:dyDescent="0.2"/>
    <row r="8908" ht="12.75" x14ac:dyDescent="0.2"/>
    <row r="8909" ht="12.75" x14ac:dyDescent="0.2"/>
    <row r="8910" ht="12.75" x14ac:dyDescent="0.2"/>
    <row r="8911" ht="12.75" x14ac:dyDescent="0.2"/>
    <row r="8912" ht="12.75" x14ac:dyDescent="0.2"/>
    <row r="8913" ht="12.75" x14ac:dyDescent="0.2"/>
    <row r="8914" ht="12.75" x14ac:dyDescent="0.2"/>
    <row r="8915" ht="12.75" x14ac:dyDescent="0.2"/>
    <row r="8916" ht="12.75" x14ac:dyDescent="0.2"/>
    <row r="8917" ht="12.75" x14ac:dyDescent="0.2"/>
    <row r="8918" ht="12.75" x14ac:dyDescent="0.2"/>
    <row r="8919" ht="12.75" x14ac:dyDescent="0.2"/>
    <row r="8920" ht="12.75" x14ac:dyDescent="0.2"/>
    <row r="8921" ht="12.75" x14ac:dyDescent="0.2"/>
    <row r="8922" ht="12.75" x14ac:dyDescent="0.2"/>
    <row r="8923" ht="12.75" x14ac:dyDescent="0.2"/>
    <row r="8924" ht="12.75" x14ac:dyDescent="0.2"/>
    <row r="8925" ht="12.75" x14ac:dyDescent="0.2"/>
    <row r="8926" ht="12.75" x14ac:dyDescent="0.2"/>
    <row r="8927" ht="12.75" x14ac:dyDescent="0.2"/>
    <row r="8928" ht="12.75" x14ac:dyDescent="0.2"/>
    <row r="8929" ht="12.75" x14ac:dyDescent="0.2"/>
    <row r="8930" ht="12.75" x14ac:dyDescent="0.2"/>
    <row r="8931" ht="12.75" x14ac:dyDescent="0.2"/>
    <row r="8932" ht="12.75" x14ac:dyDescent="0.2"/>
    <row r="8933" ht="12.75" x14ac:dyDescent="0.2"/>
    <row r="8934" ht="12.75" x14ac:dyDescent="0.2"/>
    <row r="8935" ht="12.75" x14ac:dyDescent="0.2"/>
    <row r="8936" ht="12.75" x14ac:dyDescent="0.2"/>
    <row r="8937" ht="12.75" x14ac:dyDescent="0.2"/>
    <row r="8938" ht="12.75" x14ac:dyDescent="0.2"/>
    <row r="8939" ht="12.75" x14ac:dyDescent="0.2"/>
    <row r="8940" ht="12.75" x14ac:dyDescent="0.2"/>
    <row r="8941" ht="12.75" x14ac:dyDescent="0.2"/>
    <row r="8942" ht="12.75" x14ac:dyDescent="0.2"/>
    <row r="8943" ht="12.75" x14ac:dyDescent="0.2"/>
    <row r="8944" ht="12.75" x14ac:dyDescent="0.2"/>
    <row r="8945" ht="12.75" x14ac:dyDescent="0.2"/>
    <row r="8946" ht="12.75" x14ac:dyDescent="0.2"/>
    <row r="8947" ht="12.75" x14ac:dyDescent="0.2"/>
    <row r="8948" ht="12.75" x14ac:dyDescent="0.2"/>
    <row r="8949" ht="12.75" x14ac:dyDescent="0.2"/>
    <row r="8950" ht="12.75" x14ac:dyDescent="0.2"/>
    <row r="8951" ht="12.75" x14ac:dyDescent="0.2"/>
    <row r="8952" ht="12.75" x14ac:dyDescent="0.2"/>
    <row r="8953" ht="12.75" x14ac:dyDescent="0.2"/>
    <row r="8954" ht="12.75" x14ac:dyDescent="0.2"/>
    <row r="8955" ht="12.75" x14ac:dyDescent="0.2"/>
    <row r="8956" ht="12.75" x14ac:dyDescent="0.2"/>
    <row r="8957" ht="12.75" x14ac:dyDescent="0.2"/>
    <row r="8958" ht="12.75" x14ac:dyDescent="0.2"/>
    <row r="8959" ht="12.75" x14ac:dyDescent="0.2"/>
    <row r="8960" ht="12.75" x14ac:dyDescent="0.2"/>
    <row r="8961" ht="12.75" x14ac:dyDescent="0.2"/>
    <row r="8962" ht="12.75" x14ac:dyDescent="0.2"/>
    <row r="8963" ht="12.75" x14ac:dyDescent="0.2"/>
    <row r="8964" ht="12.75" x14ac:dyDescent="0.2"/>
    <row r="8965" ht="12.75" x14ac:dyDescent="0.2"/>
    <row r="8966" ht="12.75" x14ac:dyDescent="0.2"/>
    <row r="8967" ht="12.75" x14ac:dyDescent="0.2"/>
    <row r="8968" ht="12.75" x14ac:dyDescent="0.2"/>
    <row r="8969" ht="12.75" x14ac:dyDescent="0.2"/>
    <row r="8970" ht="12.75" x14ac:dyDescent="0.2"/>
    <row r="8971" ht="12.75" x14ac:dyDescent="0.2"/>
    <row r="8972" ht="12.75" x14ac:dyDescent="0.2"/>
    <row r="8973" ht="12.75" x14ac:dyDescent="0.2"/>
    <row r="8974" ht="12.75" x14ac:dyDescent="0.2"/>
    <row r="8975" ht="12.75" x14ac:dyDescent="0.2"/>
    <row r="8976" ht="12.75" x14ac:dyDescent="0.2"/>
    <row r="8977" ht="12.75" x14ac:dyDescent="0.2"/>
    <row r="8978" ht="12.75" x14ac:dyDescent="0.2"/>
    <row r="8979" ht="12.75" x14ac:dyDescent="0.2"/>
    <row r="8980" ht="12.75" x14ac:dyDescent="0.2"/>
    <row r="8981" ht="12.75" x14ac:dyDescent="0.2"/>
    <row r="8982" ht="12.75" x14ac:dyDescent="0.2"/>
    <row r="8983" ht="12.75" x14ac:dyDescent="0.2"/>
    <row r="8984" ht="12.75" x14ac:dyDescent="0.2"/>
    <row r="8985" ht="12.75" x14ac:dyDescent="0.2"/>
    <row r="8986" ht="12.75" x14ac:dyDescent="0.2"/>
    <row r="8987" ht="12.75" x14ac:dyDescent="0.2"/>
    <row r="8988" ht="12.75" x14ac:dyDescent="0.2"/>
    <row r="8989" ht="12.75" x14ac:dyDescent="0.2"/>
    <row r="8990" ht="12.75" x14ac:dyDescent="0.2"/>
    <row r="8991" ht="12.75" x14ac:dyDescent="0.2"/>
    <row r="8992" ht="12.75" x14ac:dyDescent="0.2"/>
    <row r="8993" ht="12.75" x14ac:dyDescent="0.2"/>
    <row r="8994" ht="12.75" x14ac:dyDescent="0.2"/>
    <row r="8995" ht="12.75" x14ac:dyDescent="0.2"/>
    <row r="8996" ht="12.75" x14ac:dyDescent="0.2"/>
    <row r="8997" ht="12.75" x14ac:dyDescent="0.2"/>
    <row r="8998" ht="12.75" x14ac:dyDescent="0.2"/>
    <row r="8999" ht="12.75" x14ac:dyDescent="0.2"/>
    <row r="9000" ht="12.75" x14ac:dyDescent="0.2"/>
    <row r="9001" ht="12.75" x14ac:dyDescent="0.2"/>
    <row r="9002" ht="12.75" x14ac:dyDescent="0.2"/>
    <row r="9003" ht="12.75" x14ac:dyDescent="0.2"/>
    <row r="9004" ht="12.75" x14ac:dyDescent="0.2"/>
    <row r="9005" ht="12.75" x14ac:dyDescent="0.2"/>
    <row r="9006" ht="12.75" x14ac:dyDescent="0.2"/>
    <row r="9007" ht="12.75" x14ac:dyDescent="0.2"/>
    <row r="9008" ht="12.75" x14ac:dyDescent="0.2"/>
    <row r="9009" ht="12.75" x14ac:dyDescent="0.2"/>
    <row r="9010" ht="12.75" x14ac:dyDescent="0.2"/>
    <row r="9011" ht="12.75" x14ac:dyDescent="0.2"/>
    <row r="9012" ht="12.75" x14ac:dyDescent="0.2"/>
    <row r="9013" ht="12.75" x14ac:dyDescent="0.2"/>
    <row r="9014" ht="12.75" x14ac:dyDescent="0.2"/>
    <row r="9015" ht="12.75" x14ac:dyDescent="0.2"/>
    <row r="9016" ht="12.75" x14ac:dyDescent="0.2"/>
    <row r="9017" ht="12.75" x14ac:dyDescent="0.2"/>
    <row r="9018" ht="12.75" x14ac:dyDescent="0.2"/>
    <row r="9019" ht="12.75" x14ac:dyDescent="0.2"/>
    <row r="9020" ht="12.75" x14ac:dyDescent="0.2"/>
    <row r="9021" ht="12.75" x14ac:dyDescent="0.2"/>
    <row r="9022" ht="12.75" x14ac:dyDescent="0.2"/>
    <row r="9023" ht="12.75" x14ac:dyDescent="0.2"/>
    <row r="9024" ht="12.75" x14ac:dyDescent="0.2"/>
    <row r="9025" ht="12.75" x14ac:dyDescent="0.2"/>
    <row r="9026" ht="12.75" x14ac:dyDescent="0.2"/>
    <row r="9027" ht="12.75" x14ac:dyDescent="0.2"/>
    <row r="9028" ht="12.75" x14ac:dyDescent="0.2"/>
    <row r="9029" ht="12.75" x14ac:dyDescent="0.2"/>
    <row r="9030" ht="12.75" x14ac:dyDescent="0.2"/>
    <row r="9031" ht="12.75" x14ac:dyDescent="0.2"/>
    <row r="9032" ht="12.75" x14ac:dyDescent="0.2"/>
    <row r="9033" ht="12.75" x14ac:dyDescent="0.2"/>
    <row r="9034" ht="12.75" x14ac:dyDescent="0.2"/>
    <row r="9035" ht="12.75" x14ac:dyDescent="0.2"/>
    <row r="9036" ht="12.75" x14ac:dyDescent="0.2"/>
    <row r="9037" ht="12.75" x14ac:dyDescent="0.2"/>
    <row r="9038" ht="12.75" x14ac:dyDescent="0.2"/>
    <row r="9039" ht="12.75" x14ac:dyDescent="0.2"/>
    <row r="9040" ht="12.75" x14ac:dyDescent="0.2"/>
    <row r="9041" ht="12.75" x14ac:dyDescent="0.2"/>
    <row r="9042" ht="12.75" x14ac:dyDescent="0.2"/>
    <row r="9043" ht="12.75" x14ac:dyDescent="0.2"/>
    <row r="9044" ht="12.75" x14ac:dyDescent="0.2"/>
    <row r="9045" ht="12.75" x14ac:dyDescent="0.2"/>
    <row r="9046" ht="12.75" x14ac:dyDescent="0.2"/>
    <row r="9047" ht="12.75" x14ac:dyDescent="0.2"/>
    <row r="9048" ht="12.75" x14ac:dyDescent="0.2"/>
    <row r="9049" ht="12.75" x14ac:dyDescent="0.2"/>
    <row r="9050" ht="12.75" x14ac:dyDescent="0.2"/>
    <row r="9051" ht="12.75" x14ac:dyDescent="0.2"/>
    <row r="9052" ht="12.75" x14ac:dyDescent="0.2"/>
    <row r="9053" ht="12.75" x14ac:dyDescent="0.2"/>
    <row r="9054" ht="12.75" x14ac:dyDescent="0.2"/>
    <row r="9055" ht="12.75" x14ac:dyDescent="0.2"/>
    <row r="9056" ht="12.75" x14ac:dyDescent="0.2"/>
    <row r="9057" ht="12.75" x14ac:dyDescent="0.2"/>
    <row r="9058" ht="12.75" x14ac:dyDescent="0.2"/>
    <row r="9059" ht="12.75" x14ac:dyDescent="0.2"/>
    <row r="9060" ht="12.75" x14ac:dyDescent="0.2"/>
    <row r="9061" ht="12.75" x14ac:dyDescent="0.2"/>
    <row r="9062" ht="12.75" x14ac:dyDescent="0.2"/>
    <row r="9063" ht="12.75" x14ac:dyDescent="0.2"/>
    <row r="9064" ht="12.75" x14ac:dyDescent="0.2"/>
    <row r="9065" ht="12.75" x14ac:dyDescent="0.2"/>
    <row r="9066" ht="12.75" x14ac:dyDescent="0.2"/>
    <row r="9067" ht="12.75" x14ac:dyDescent="0.2"/>
    <row r="9068" ht="12.75" x14ac:dyDescent="0.2"/>
    <row r="9069" ht="12.75" x14ac:dyDescent="0.2"/>
    <row r="9070" ht="12.75" x14ac:dyDescent="0.2"/>
    <row r="9071" ht="12.75" x14ac:dyDescent="0.2"/>
    <row r="9072" ht="12.75" x14ac:dyDescent="0.2"/>
    <row r="9073" ht="12.75" x14ac:dyDescent="0.2"/>
    <row r="9074" ht="12.75" x14ac:dyDescent="0.2"/>
    <row r="9075" ht="12.75" x14ac:dyDescent="0.2"/>
    <row r="9076" ht="12.75" x14ac:dyDescent="0.2"/>
    <row r="9077" ht="12.75" x14ac:dyDescent="0.2"/>
    <row r="9078" ht="12.75" x14ac:dyDescent="0.2"/>
    <row r="9079" ht="12.75" x14ac:dyDescent="0.2"/>
    <row r="9080" ht="12.75" x14ac:dyDescent="0.2"/>
    <row r="9081" ht="12.75" x14ac:dyDescent="0.2"/>
    <row r="9082" ht="12.75" x14ac:dyDescent="0.2"/>
    <row r="9083" ht="12.75" x14ac:dyDescent="0.2"/>
    <row r="9084" ht="12.75" x14ac:dyDescent="0.2"/>
    <row r="9085" ht="12.75" x14ac:dyDescent="0.2"/>
    <row r="9086" ht="12.75" x14ac:dyDescent="0.2"/>
    <row r="9087" ht="12.75" x14ac:dyDescent="0.2"/>
    <row r="9088" ht="12.75" x14ac:dyDescent="0.2"/>
    <row r="9089" ht="12.75" x14ac:dyDescent="0.2"/>
    <row r="9090" ht="12.75" x14ac:dyDescent="0.2"/>
    <row r="9091" ht="12.75" x14ac:dyDescent="0.2"/>
    <row r="9092" ht="12.75" x14ac:dyDescent="0.2"/>
    <row r="9093" ht="12.75" x14ac:dyDescent="0.2"/>
    <row r="9094" ht="12.75" x14ac:dyDescent="0.2"/>
    <row r="9095" ht="12.75" x14ac:dyDescent="0.2"/>
    <row r="9096" ht="12.75" x14ac:dyDescent="0.2"/>
    <row r="9097" ht="12.75" x14ac:dyDescent="0.2"/>
    <row r="9098" ht="12.75" x14ac:dyDescent="0.2"/>
    <row r="9099" ht="12.75" x14ac:dyDescent="0.2"/>
    <row r="9100" ht="12.75" x14ac:dyDescent="0.2"/>
    <row r="9101" ht="12.75" x14ac:dyDescent="0.2"/>
    <row r="9102" ht="12.75" x14ac:dyDescent="0.2"/>
    <row r="9103" ht="12.75" x14ac:dyDescent="0.2"/>
    <row r="9104" ht="12.75" x14ac:dyDescent="0.2"/>
    <row r="9105" ht="12.75" x14ac:dyDescent="0.2"/>
    <row r="9106" ht="12.75" x14ac:dyDescent="0.2"/>
    <row r="9107" ht="12.75" x14ac:dyDescent="0.2"/>
    <row r="9108" ht="12.75" x14ac:dyDescent="0.2"/>
    <row r="9109" ht="12.75" x14ac:dyDescent="0.2"/>
    <row r="9110" ht="12.75" x14ac:dyDescent="0.2"/>
    <row r="9111" ht="12.75" x14ac:dyDescent="0.2"/>
    <row r="9112" ht="12.75" x14ac:dyDescent="0.2"/>
    <row r="9113" ht="12.75" x14ac:dyDescent="0.2"/>
    <row r="9114" ht="12.75" x14ac:dyDescent="0.2"/>
    <row r="9115" ht="12.75" x14ac:dyDescent="0.2"/>
    <row r="9116" ht="12.75" x14ac:dyDescent="0.2"/>
    <row r="9117" ht="12.75" x14ac:dyDescent="0.2"/>
    <row r="9118" ht="12.75" x14ac:dyDescent="0.2"/>
    <row r="9119" ht="12.75" x14ac:dyDescent="0.2"/>
    <row r="9120" ht="12.75" x14ac:dyDescent="0.2"/>
    <row r="9121" ht="12.75" x14ac:dyDescent="0.2"/>
    <row r="9122" ht="12.75" x14ac:dyDescent="0.2"/>
    <row r="9123" ht="12.75" x14ac:dyDescent="0.2"/>
    <row r="9124" ht="12.75" x14ac:dyDescent="0.2"/>
    <row r="9125" ht="12.75" x14ac:dyDescent="0.2"/>
    <row r="9126" ht="12.75" x14ac:dyDescent="0.2"/>
    <row r="9127" ht="12.75" x14ac:dyDescent="0.2"/>
    <row r="9128" ht="12.75" x14ac:dyDescent="0.2"/>
    <row r="9129" ht="12.75" x14ac:dyDescent="0.2"/>
    <row r="9130" ht="12.75" x14ac:dyDescent="0.2"/>
    <row r="9131" ht="12.75" x14ac:dyDescent="0.2"/>
    <row r="9132" ht="12.75" x14ac:dyDescent="0.2"/>
    <row r="9133" ht="12.75" x14ac:dyDescent="0.2"/>
    <row r="9134" ht="12.75" x14ac:dyDescent="0.2"/>
    <row r="9135" ht="12.75" x14ac:dyDescent="0.2"/>
    <row r="9136" ht="12.75" x14ac:dyDescent="0.2"/>
    <row r="9137" ht="12.75" x14ac:dyDescent="0.2"/>
    <row r="9138" ht="12.75" x14ac:dyDescent="0.2"/>
    <row r="9139" ht="12.75" x14ac:dyDescent="0.2"/>
    <row r="9140" ht="12.75" x14ac:dyDescent="0.2"/>
    <row r="9141" ht="12.75" x14ac:dyDescent="0.2"/>
    <row r="9142" ht="12.75" x14ac:dyDescent="0.2"/>
    <row r="9143" ht="12.75" x14ac:dyDescent="0.2"/>
    <row r="9144" ht="12.75" x14ac:dyDescent="0.2"/>
    <row r="9145" ht="12.75" x14ac:dyDescent="0.2"/>
    <row r="9146" ht="12.75" x14ac:dyDescent="0.2"/>
    <row r="9147" ht="12.75" x14ac:dyDescent="0.2"/>
    <row r="9148" ht="12.75" x14ac:dyDescent="0.2"/>
    <row r="9149" ht="12.75" x14ac:dyDescent="0.2"/>
    <row r="9150" ht="12.75" x14ac:dyDescent="0.2"/>
    <row r="9151" ht="12.75" x14ac:dyDescent="0.2"/>
    <row r="9152" ht="12.75" x14ac:dyDescent="0.2"/>
    <row r="9153" ht="12.75" x14ac:dyDescent="0.2"/>
    <row r="9154" ht="12.75" x14ac:dyDescent="0.2"/>
    <row r="9155" ht="12.75" x14ac:dyDescent="0.2"/>
    <row r="9156" ht="12.75" x14ac:dyDescent="0.2"/>
    <row r="9157" ht="12.75" x14ac:dyDescent="0.2"/>
    <row r="9158" ht="12.75" x14ac:dyDescent="0.2"/>
    <row r="9159" ht="12.75" x14ac:dyDescent="0.2"/>
    <row r="9160" ht="12.75" x14ac:dyDescent="0.2"/>
    <row r="9161" ht="12.75" x14ac:dyDescent="0.2"/>
    <row r="9162" ht="12.75" x14ac:dyDescent="0.2"/>
    <row r="9163" ht="12.75" x14ac:dyDescent="0.2"/>
    <row r="9164" ht="12.75" x14ac:dyDescent="0.2"/>
    <row r="9165" ht="12.75" x14ac:dyDescent="0.2"/>
    <row r="9166" ht="12.75" x14ac:dyDescent="0.2"/>
    <row r="9167" ht="12.75" x14ac:dyDescent="0.2"/>
    <row r="9168" ht="12.75" x14ac:dyDescent="0.2"/>
    <row r="9169" ht="12.75" x14ac:dyDescent="0.2"/>
    <row r="9170" ht="12.75" x14ac:dyDescent="0.2"/>
    <row r="9171" ht="12.75" x14ac:dyDescent="0.2"/>
    <row r="9172" ht="12.75" x14ac:dyDescent="0.2"/>
    <row r="9173" ht="12.75" x14ac:dyDescent="0.2"/>
    <row r="9174" ht="12.75" x14ac:dyDescent="0.2"/>
    <row r="9175" ht="12.75" x14ac:dyDescent="0.2"/>
    <row r="9176" ht="12.75" x14ac:dyDescent="0.2"/>
    <row r="9177" ht="12.75" x14ac:dyDescent="0.2"/>
    <row r="9178" ht="12.75" x14ac:dyDescent="0.2"/>
    <row r="9179" ht="12.75" x14ac:dyDescent="0.2"/>
    <row r="9180" ht="12.75" x14ac:dyDescent="0.2"/>
    <row r="9181" ht="12.75" x14ac:dyDescent="0.2"/>
    <row r="9182" ht="12.75" x14ac:dyDescent="0.2"/>
    <row r="9183" ht="12.75" x14ac:dyDescent="0.2"/>
    <row r="9184" ht="12.75" x14ac:dyDescent="0.2"/>
    <row r="9185" ht="12.75" x14ac:dyDescent="0.2"/>
    <row r="9186" ht="12.75" x14ac:dyDescent="0.2"/>
    <row r="9187" ht="12.75" x14ac:dyDescent="0.2"/>
    <row r="9188" ht="12.75" x14ac:dyDescent="0.2"/>
    <row r="9189" ht="12.75" x14ac:dyDescent="0.2"/>
    <row r="9190" ht="12.75" x14ac:dyDescent="0.2"/>
    <row r="9191" ht="12.75" x14ac:dyDescent="0.2"/>
    <row r="9192" ht="12.75" x14ac:dyDescent="0.2"/>
    <row r="9193" ht="12.75" x14ac:dyDescent="0.2"/>
    <row r="9194" ht="12.75" x14ac:dyDescent="0.2"/>
    <row r="9195" ht="12.75" x14ac:dyDescent="0.2"/>
    <row r="9196" ht="12.75" x14ac:dyDescent="0.2"/>
    <row r="9197" ht="12.75" x14ac:dyDescent="0.2"/>
    <row r="9198" ht="12.75" x14ac:dyDescent="0.2"/>
    <row r="9199" ht="12.75" x14ac:dyDescent="0.2"/>
    <row r="9200" ht="12.75" x14ac:dyDescent="0.2"/>
    <row r="9201" ht="12.75" x14ac:dyDescent="0.2"/>
    <row r="9202" ht="12.75" x14ac:dyDescent="0.2"/>
    <row r="9203" ht="12.75" x14ac:dyDescent="0.2"/>
    <row r="9204" ht="12.75" x14ac:dyDescent="0.2"/>
    <row r="9205" ht="12.75" x14ac:dyDescent="0.2"/>
    <row r="9206" ht="12.75" x14ac:dyDescent="0.2"/>
    <row r="9207" ht="12.75" x14ac:dyDescent="0.2"/>
    <row r="9208" ht="12.75" x14ac:dyDescent="0.2"/>
    <row r="9209" ht="12.75" x14ac:dyDescent="0.2"/>
    <row r="9210" ht="12.75" x14ac:dyDescent="0.2"/>
    <row r="9211" ht="12.75" x14ac:dyDescent="0.2"/>
    <row r="9212" ht="12.75" x14ac:dyDescent="0.2"/>
    <row r="9213" ht="12.75" x14ac:dyDescent="0.2"/>
    <row r="9214" ht="12.75" x14ac:dyDescent="0.2"/>
    <row r="9215" ht="12.75" x14ac:dyDescent="0.2"/>
    <row r="9216" ht="12.75" x14ac:dyDescent="0.2"/>
    <row r="9217" ht="12.75" x14ac:dyDescent="0.2"/>
    <row r="9218" ht="12.75" x14ac:dyDescent="0.2"/>
    <row r="9219" ht="12.75" x14ac:dyDescent="0.2"/>
    <row r="9220" ht="12.75" x14ac:dyDescent="0.2"/>
    <row r="9221" ht="12.75" x14ac:dyDescent="0.2"/>
    <row r="9222" ht="12.75" x14ac:dyDescent="0.2"/>
    <row r="9223" ht="12.75" x14ac:dyDescent="0.2"/>
    <row r="9224" ht="12.75" x14ac:dyDescent="0.2"/>
    <row r="9225" ht="12.75" x14ac:dyDescent="0.2"/>
    <row r="9226" ht="12.75" x14ac:dyDescent="0.2"/>
    <row r="9227" ht="12.75" x14ac:dyDescent="0.2"/>
    <row r="9228" ht="12.75" x14ac:dyDescent="0.2"/>
    <row r="9229" ht="12.75" x14ac:dyDescent="0.2"/>
    <row r="9230" ht="12.75" x14ac:dyDescent="0.2"/>
    <row r="9231" ht="12.75" x14ac:dyDescent="0.2"/>
    <row r="9232" ht="12.75" x14ac:dyDescent="0.2"/>
    <row r="9233" ht="12.75" x14ac:dyDescent="0.2"/>
    <row r="9234" ht="12.75" x14ac:dyDescent="0.2"/>
    <row r="9235" ht="12.75" x14ac:dyDescent="0.2"/>
    <row r="9236" ht="12.75" x14ac:dyDescent="0.2"/>
    <row r="9237" ht="12.75" x14ac:dyDescent="0.2"/>
    <row r="9238" ht="12.75" x14ac:dyDescent="0.2"/>
    <row r="9239" ht="12.75" x14ac:dyDescent="0.2"/>
    <row r="9240" ht="12.75" x14ac:dyDescent="0.2"/>
    <row r="9241" ht="12.75" x14ac:dyDescent="0.2"/>
    <row r="9242" ht="12.75" x14ac:dyDescent="0.2"/>
    <row r="9243" ht="12.75" x14ac:dyDescent="0.2"/>
    <row r="9244" ht="12.75" x14ac:dyDescent="0.2"/>
    <row r="9245" ht="12.75" x14ac:dyDescent="0.2"/>
    <row r="9246" ht="12.75" x14ac:dyDescent="0.2"/>
    <row r="9247" ht="12.75" x14ac:dyDescent="0.2"/>
    <row r="9248" ht="12.75" x14ac:dyDescent="0.2"/>
    <row r="9249" ht="12.75" x14ac:dyDescent="0.2"/>
    <row r="9250" ht="12.75" x14ac:dyDescent="0.2"/>
    <row r="9251" ht="12.75" x14ac:dyDescent="0.2"/>
    <row r="9252" ht="12.75" x14ac:dyDescent="0.2"/>
    <row r="9253" ht="12.75" x14ac:dyDescent="0.2"/>
    <row r="9254" ht="12.75" x14ac:dyDescent="0.2"/>
    <row r="9255" ht="12.75" x14ac:dyDescent="0.2"/>
    <row r="9256" ht="12.75" x14ac:dyDescent="0.2"/>
    <row r="9257" ht="12.75" x14ac:dyDescent="0.2"/>
    <row r="9258" ht="12.75" x14ac:dyDescent="0.2"/>
    <row r="9259" ht="12.75" x14ac:dyDescent="0.2"/>
    <row r="9260" ht="12.75" x14ac:dyDescent="0.2"/>
    <row r="9261" ht="12.75" x14ac:dyDescent="0.2"/>
    <row r="9262" ht="12.75" x14ac:dyDescent="0.2"/>
    <row r="9263" ht="12.75" x14ac:dyDescent="0.2"/>
    <row r="9264" ht="12.75" x14ac:dyDescent="0.2"/>
    <row r="9265" ht="12.75" x14ac:dyDescent="0.2"/>
    <row r="9266" ht="12.75" x14ac:dyDescent="0.2"/>
    <row r="9267" ht="12.75" x14ac:dyDescent="0.2"/>
    <row r="9268" ht="12.75" x14ac:dyDescent="0.2"/>
    <row r="9269" ht="12.75" x14ac:dyDescent="0.2"/>
    <row r="9270" ht="12.75" x14ac:dyDescent="0.2"/>
    <row r="9271" ht="12.75" x14ac:dyDescent="0.2"/>
    <row r="9272" ht="12.75" x14ac:dyDescent="0.2"/>
    <row r="9273" ht="12.75" x14ac:dyDescent="0.2"/>
    <row r="9274" ht="12.75" x14ac:dyDescent="0.2"/>
    <row r="9275" ht="12.75" x14ac:dyDescent="0.2"/>
    <row r="9276" ht="12.75" x14ac:dyDescent="0.2"/>
    <row r="9277" ht="12.75" x14ac:dyDescent="0.2"/>
    <row r="9278" ht="12.75" x14ac:dyDescent="0.2"/>
    <row r="9279" ht="12.75" x14ac:dyDescent="0.2"/>
    <row r="9280" ht="12.75" x14ac:dyDescent="0.2"/>
    <row r="9281" ht="12.75" x14ac:dyDescent="0.2"/>
    <row r="9282" ht="12.75" x14ac:dyDescent="0.2"/>
    <row r="9283" ht="12.75" x14ac:dyDescent="0.2"/>
    <row r="9284" ht="12.75" x14ac:dyDescent="0.2"/>
    <row r="9285" ht="12.75" x14ac:dyDescent="0.2"/>
    <row r="9286" ht="12.75" x14ac:dyDescent="0.2"/>
    <row r="9287" ht="12.75" x14ac:dyDescent="0.2"/>
    <row r="9288" ht="12.75" x14ac:dyDescent="0.2"/>
    <row r="9289" ht="12.75" x14ac:dyDescent="0.2"/>
    <row r="9290" ht="12.75" x14ac:dyDescent="0.2"/>
    <row r="9291" ht="12.75" x14ac:dyDescent="0.2"/>
    <row r="9292" ht="12.75" x14ac:dyDescent="0.2"/>
    <row r="9293" ht="12.75" x14ac:dyDescent="0.2"/>
    <row r="9294" ht="12.75" x14ac:dyDescent="0.2"/>
    <row r="9295" ht="12.75" x14ac:dyDescent="0.2"/>
    <row r="9296" ht="12.75" x14ac:dyDescent="0.2"/>
    <row r="9297" ht="12.75" x14ac:dyDescent="0.2"/>
    <row r="9298" ht="12.75" x14ac:dyDescent="0.2"/>
    <row r="9299" ht="12.75" x14ac:dyDescent="0.2"/>
    <row r="9300" ht="12.75" x14ac:dyDescent="0.2"/>
    <row r="9301" ht="12.75" x14ac:dyDescent="0.2"/>
    <row r="9302" ht="12.75" x14ac:dyDescent="0.2"/>
    <row r="9303" ht="12.75" x14ac:dyDescent="0.2"/>
    <row r="9304" ht="12.75" x14ac:dyDescent="0.2"/>
    <row r="9305" ht="12.75" x14ac:dyDescent="0.2"/>
    <row r="9306" ht="12.75" x14ac:dyDescent="0.2"/>
    <row r="9307" ht="12.75" x14ac:dyDescent="0.2"/>
    <row r="9308" ht="12.75" x14ac:dyDescent="0.2"/>
    <row r="9309" ht="12.75" x14ac:dyDescent="0.2"/>
    <row r="9310" ht="12.75" x14ac:dyDescent="0.2"/>
    <row r="9311" ht="12.75" x14ac:dyDescent="0.2"/>
    <row r="9312" ht="12.75" x14ac:dyDescent="0.2"/>
    <row r="9313" ht="12.75" x14ac:dyDescent="0.2"/>
    <row r="9314" ht="12.75" x14ac:dyDescent="0.2"/>
    <row r="9315" ht="12.75" x14ac:dyDescent="0.2"/>
    <row r="9316" ht="12.75" x14ac:dyDescent="0.2"/>
    <row r="9317" ht="12.75" x14ac:dyDescent="0.2"/>
    <row r="9318" ht="12.75" x14ac:dyDescent="0.2"/>
    <row r="9319" ht="12.75" x14ac:dyDescent="0.2"/>
    <row r="9320" ht="12.75" x14ac:dyDescent="0.2"/>
    <row r="9321" ht="12.75" x14ac:dyDescent="0.2"/>
    <row r="9322" ht="12.75" x14ac:dyDescent="0.2"/>
    <row r="9323" ht="12.75" x14ac:dyDescent="0.2"/>
    <row r="9324" ht="12.75" x14ac:dyDescent="0.2"/>
    <row r="9325" ht="12.75" x14ac:dyDescent="0.2"/>
    <row r="9326" ht="12.75" x14ac:dyDescent="0.2"/>
    <row r="9327" ht="12.75" x14ac:dyDescent="0.2"/>
    <row r="9328" ht="12.75" x14ac:dyDescent="0.2"/>
    <row r="9329" ht="12.75" x14ac:dyDescent="0.2"/>
    <row r="9330" ht="12.75" x14ac:dyDescent="0.2"/>
    <row r="9331" ht="12.75" x14ac:dyDescent="0.2"/>
    <row r="9332" ht="12.75" x14ac:dyDescent="0.2"/>
    <row r="9333" ht="12.75" x14ac:dyDescent="0.2"/>
    <row r="9334" ht="12.75" x14ac:dyDescent="0.2"/>
    <row r="9335" ht="12.75" x14ac:dyDescent="0.2"/>
    <row r="9336" ht="12.75" x14ac:dyDescent="0.2"/>
    <row r="9337" ht="12.75" x14ac:dyDescent="0.2"/>
    <row r="9338" ht="12.75" x14ac:dyDescent="0.2"/>
    <row r="9339" ht="12.75" x14ac:dyDescent="0.2"/>
    <row r="9340" ht="12.75" x14ac:dyDescent="0.2"/>
    <row r="9341" ht="12.75" x14ac:dyDescent="0.2"/>
    <row r="9342" ht="12.75" x14ac:dyDescent="0.2"/>
    <row r="9343" ht="12.75" x14ac:dyDescent="0.2"/>
    <row r="9344" ht="12.75" x14ac:dyDescent="0.2"/>
    <row r="9345" ht="12.75" x14ac:dyDescent="0.2"/>
    <row r="9346" ht="12.75" x14ac:dyDescent="0.2"/>
    <row r="9347" ht="12.75" x14ac:dyDescent="0.2"/>
    <row r="9348" ht="12.75" x14ac:dyDescent="0.2"/>
    <row r="9349" ht="12.75" x14ac:dyDescent="0.2"/>
    <row r="9350" ht="12.75" x14ac:dyDescent="0.2"/>
    <row r="9351" ht="12.75" x14ac:dyDescent="0.2"/>
    <row r="9352" ht="12.75" x14ac:dyDescent="0.2"/>
    <row r="9353" ht="12.75" x14ac:dyDescent="0.2"/>
    <row r="9354" ht="12.75" x14ac:dyDescent="0.2"/>
    <row r="9355" ht="12.75" x14ac:dyDescent="0.2"/>
    <row r="9356" ht="12.75" x14ac:dyDescent="0.2"/>
    <row r="9357" ht="12.75" x14ac:dyDescent="0.2"/>
    <row r="9358" ht="12.75" x14ac:dyDescent="0.2"/>
    <row r="9359" ht="12.75" x14ac:dyDescent="0.2"/>
    <row r="9360" ht="12.75" x14ac:dyDescent="0.2"/>
    <row r="9361" ht="12.75" x14ac:dyDescent="0.2"/>
    <row r="9362" ht="12.75" x14ac:dyDescent="0.2"/>
    <row r="9363" ht="12.75" x14ac:dyDescent="0.2"/>
    <row r="9364" ht="12.75" x14ac:dyDescent="0.2"/>
    <row r="9365" ht="12.75" x14ac:dyDescent="0.2"/>
    <row r="9366" ht="12.75" x14ac:dyDescent="0.2"/>
    <row r="9367" ht="12.75" x14ac:dyDescent="0.2"/>
    <row r="9368" ht="12.75" x14ac:dyDescent="0.2"/>
    <row r="9369" ht="12.75" x14ac:dyDescent="0.2"/>
    <row r="9370" ht="12.75" x14ac:dyDescent="0.2"/>
    <row r="9371" ht="12.75" x14ac:dyDescent="0.2"/>
    <row r="9372" ht="12.75" x14ac:dyDescent="0.2"/>
    <row r="9373" ht="12.75" x14ac:dyDescent="0.2"/>
    <row r="9374" ht="12.75" x14ac:dyDescent="0.2"/>
    <row r="9375" ht="12.75" x14ac:dyDescent="0.2"/>
    <row r="9376" ht="12.75" x14ac:dyDescent="0.2"/>
    <row r="9377" ht="12.75" x14ac:dyDescent="0.2"/>
    <row r="9378" ht="12.75" x14ac:dyDescent="0.2"/>
    <row r="9379" ht="12.75" x14ac:dyDescent="0.2"/>
    <row r="9380" ht="12.75" x14ac:dyDescent="0.2"/>
    <row r="9381" ht="12.75" x14ac:dyDescent="0.2"/>
    <row r="9382" ht="12.75" x14ac:dyDescent="0.2"/>
    <row r="9383" ht="12.75" x14ac:dyDescent="0.2"/>
    <row r="9384" ht="12.75" x14ac:dyDescent="0.2"/>
    <row r="9385" ht="12.75" x14ac:dyDescent="0.2"/>
    <row r="9386" ht="12.75" x14ac:dyDescent="0.2"/>
    <row r="9387" ht="12.75" x14ac:dyDescent="0.2"/>
    <row r="9388" ht="12.75" x14ac:dyDescent="0.2"/>
    <row r="9389" ht="12.75" x14ac:dyDescent="0.2"/>
    <row r="9390" ht="12.75" x14ac:dyDescent="0.2"/>
    <row r="9391" ht="12.75" x14ac:dyDescent="0.2"/>
    <row r="9392" ht="12.75" x14ac:dyDescent="0.2"/>
    <row r="9393" ht="12.75" x14ac:dyDescent="0.2"/>
    <row r="9394" ht="12.75" x14ac:dyDescent="0.2"/>
    <row r="9395" ht="12.75" x14ac:dyDescent="0.2"/>
    <row r="9396" ht="12.75" x14ac:dyDescent="0.2"/>
    <row r="9397" ht="12.75" x14ac:dyDescent="0.2"/>
    <row r="9398" ht="12.75" x14ac:dyDescent="0.2"/>
    <row r="9399" ht="12.75" x14ac:dyDescent="0.2"/>
    <row r="9400" ht="12.75" x14ac:dyDescent="0.2"/>
    <row r="9401" ht="12.75" x14ac:dyDescent="0.2"/>
    <row r="9402" ht="12.75" x14ac:dyDescent="0.2"/>
    <row r="9403" ht="12.75" x14ac:dyDescent="0.2"/>
    <row r="9404" ht="12.75" x14ac:dyDescent="0.2"/>
    <row r="9405" ht="12.75" x14ac:dyDescent="0.2"/>
    <row r="9406" ht="12.75" x14ac:dyDescent="0.2"/>
    <row r="9407" ht="12.75" x14ac:dyDescent="0.2"/>
    <row r="9408" ht="12.75" x14ac:dyDescent="0.2"/>
    <row r="9409" ht="12.75" x14ac:dyDescent="0.2"/>
    <row r="9410" ht="12.75" x14ac:dyDescent="0.2"/>
    <row r="9411" ht="12.75" x14ac:dyDescent="0.2"/>
    <row r="9412" ht="12.75" x14ac:dyDescent="0.2"/>
    <row r="9413" ht="12.75" x14ac:dyDescent="0.2"/>
    <row r="9414" ht="12.75" x14ac:dyDescent="0.2"/>
    <row r="9415" ht="12.75" x14ac:dyDescent="0.2"/>
    <row r="9416" ht="12.75" x14ac:dyDescent="0.2"/>
    <row r="9417" ht="12.75" x14ac:dyDescent="0.2"/>
    <row r="9418" ht="12.75" x14ac:dyDescent="0.2"/>
    <row r="9419" ht="12.75" x14ac:dyDescent="0.2"/>
    <row r="9420" ht="12.75" x14ac:dyDescent="0.2"/>
    <row r="9421" ht="12.75" x14ac:dyDescent="0.2"/>
    <row r="9422" ht="12.75" x14ac:dyDescent="0.2"/>
    <row r="9423" ht="12.75" x14ac:dyDescent="0.2"/>
    <row r="9424" ht="12.75" x14ac:dyDescent="0.2"/>
    <row r="9425" ht="12.75" x14ac:dyDescent="0.2"/>
    <row r="9426" ht="12.75" x14ac:dyDescent="0.2"/>
    <row r="9427" ht="12.75" x14ac:dyDescent="0.2"/>
    <row r="9428" ht="12.75" x14ac:dyDescent="0.2"/>
    <row r="9429" ht="12.75" x14ac:dyDescent="0.2"/>
    <row r="9430" ht="12.75" x14ac:dyDescent="0.2"/>
    <row r="9431" ht="12.75" x14ac:dyDescent="0.2"/>
    <row r="9432" ht="12.75" x14ac:dyDescent="0.2"/>
    <row r="9433" ht="12.75" x14ac:dyDescent="0.2"/>
    <row r="9434" ht="12.75" x14ac:dyDescent="0.2"/>
    <row r="9435" ht="12.75" x14ac:dyDescent="0.2"/>
    <row r="9436" ht="12.75" x14ac:dyDescent="0.2"/>
    <row r="9437" ht="12.75" x14ac:dyDescent="0.2"/>
    <row r="9438" ht="12.75" x14ac:dyDescent="0.2"/>
    <row r="9439" ht="12.75" x14ac:dyDescent="0.2"/>
    <row r="9440" ht="12.75" x14ac:dyDescent="0.2"/>
    <row r="9441" ht="12.75" x14ac:dyDescent="0.2"/>
    <row r="9442" ht="12.75" x14ac:dyDescent="0.2"/>
    <row r="9443" ht="12.75" x14ac:dyDescent="0.2"/>
    <row r="9444" ht="12.75" x14ac:dyDescent="0.2"/>
    <row r="9445" ht="12.75" x14ac:dyDescent="0.2"/>
    <row r="9446" ht="12.75" x14ac:dyDescent="0.2"/>
    <row r="9447" ht="12.75" x14ac:dyDescent="0.2"/>
    <row r="9448" ht="12.75" x14ac:dyDescent="0.2"/>
    <row r="9449" ht="12.75" x14ac:dyDescent="0.2"/>
    <row r="9450" ht="12.75" x14ac:dyDescent="0.2"/>
    <row r="9451" ht="12.75" x14ac:dyDescent="0.2"/>
    <row r="9452" ht="12.75" x14ac:dyDescent="0.2"/>
    <row r="9453" ht="12.75" x14ac:dyDescent="0.2"/>
    <row r="9454" ht="12.75" x14ac:dyDescent="0.2"/>
    <row r="9455" ht="12.75" x14ac:dyDescent="0.2"/>
    <row r="9456" ht="12.75" x14ac:dyDescent="0.2"/>
    <row r="9457" ht="12.75" x14ac:dyDescent="0.2"/>
    <row r="9458" ht="12.75" x14ac:dyDescent="0.2"/>
    <row r="9459" ht="12.75" x14ac:dyDescent="0.2"/>
    <row r="9460" ht="12.75" x14ac:dyDescent="0.2"/>
    <row r="9461" ht="12.75" x14ac:dyDescent="0.2"/>
    <row r="9462" ht="12.75" x14ac:dyDescent="0.2"/>
    <row r="9463" ht="12.75" x14ac:dyDescent="0.2"/>
    <row r="9464" ht="12.75" x14ac:dyDescent="0.2"/>
    <row r="9465" ht="12.75" x14ac:dyDescent="0.2"/>
    <row r="9466" ht="12.75" x14ac:dyDescent="0.2"/>
    <row r="9467" ht="12.75" x14ac:dyDescent="0.2"/>
    <row r="9468" ht="12.75" x14ac:dyDescent="0.2"/>
    <row r="9469" ht="12.75" x14ac:dyDescent="0.2"/>
    <row r="9470" ht="12.75" x14ac:dyDescent="0.2"/>
    <row r="9471" ht="12.75" x14ac:dyDescent="0.2"/>
    <row r="9472" ht="12.75" x14ac:dyDescent="0.2"/>
    <row r="9473" ht="12.75" x14ac:dyDescent="0.2"/>
    <row r="9474" ht="12.75" x14ac:dyDescent="0.2"/>
    <row r="9475" ht="12.75" x14ac:dyDescent="0.2"/>
    <row r="9476" ht="12.75" x14ac:dyDescent="0.2"/>
    <row r="9477" ht="12.75" x14ac:dyDescent="0.2"/>
    <row r="9478" ht="12.75" x14ac:dyDescent="0.2"/>
    <row r="9479" ht="12.75" x14ac:dyDescent="0.2"/>
    <row r="9480" ht="12.75" x14ac:dyDescent="0.2"/>
    <row r="9481" ht="12.75" x14ac:dyDescent="0.2"/>
    <row r="9482" ht="12.75" x14ac:dyDescent="0.2"/>
    <row r="9483" ht="12.75" x14ac:dyDescent="0.2"/>
    <row r="9484" ht="12.75" x14ac:dyDescent="0.2"/>
    <row r="9485" ht="12.75" x14ac:dyDescent="0.2"/>
    <row r="9486" ht="12.75" x14ac:dyDescent="0.2"/>
    <row r="9487" ht="12.75" x14ac:dyDescent="0.2"/>
    <row r="9488" ht="12.75" x14ac:dyDescent="0.2"/>
    <row r="9489" ht="12.75" x14ac:dyDescent="0.2"/>
    <row r="9490" ht="12.75" x14ac:dyDescent="0.2"/>
    <row r="9491" ht="12.75" x14ac:dyDescent="0.2"/>
    <row r="9492" ht="12.75" x14ac:dyDescent="0.2"/>
    <row r="9493" ht="12.75" x14ac:dyDescent="0.2"/>
    <row r="9494" ht="12.75" x14ac:dyDescent="0.2"/>
    <row r="9495" ht="12.75" x14ac:dyDescent="0.2"/>
    <row r="9496" ht="12.75" x14ac:dyDescent="0.2"/>
    <row r="9497" ht="12.75" x14ac:dyDescent="0.2"/>
    <row r="9498" ht="12.75" x14ac:dyDescent="0.2"/>
    <row r="9499" ht="12.75" x14ac:dyDescent="0.2"/>
    <row r="9500" ht="12.75" x14ac:dyDescent="0.2"/>
    <row r="9501" ht="12.75" x14ac:dyDescent="0.2"/>
    <row r="9502" ht="12.75" x14ac:dyDescent="0.2"/>
    <row r="9503" ht="12.75" x14ac:dyDescent="0.2"/>
    <row r="9504" ht="12.75" x14ac:dyDescent="0.2"/>
    <row r="9505" ht="12.75" x14ac:dyDescent="0.2"/>
    <row r="9506" ht="12.75" x14ac:dyDescent="0.2"/>
    <row r="9507" ht="12.75" x14ac:dyDescent="0.2"/>
    <row r="9508" ht="12.75" x14ac:dyDescent="0.2"/>
    <row r="9509" ht="12.75" x14ac:dyDescent="0.2"/>
    <row r="9510" ht="12.75" x14ac:dyDescent="0.2"/>
    <row r="9511" ht="12.75" x14ac:dyDescent="0.2"/>
    <row r="9512" ht="12.75" x14ac:dyDescent="0.2"/>
    <row r="9513" ht="12.75" x14ac:dyDescent="0.2"/>
    <row r="9514" ht="12.75" x14ac:dyDescent="0.2"/>
    <row r="9515" ht="12.75" x14ac:dyDescent="0.2"/>
    <row r="9516" ht="12.75" x14ac:dyDescent="0.2"/>
    <row r="9517" ht="12.75" x14ac:dyDescent="0.2"/>
    <row r="9518" ht="12.75" x14ac:dyDescent="0.2"/>
    <row r="9519" ht="12.75" x14ac:dyDescent="0.2"/>
    <row r="9520" ht="12.75" x14ac:dyDescent="0.2"/>
    <row r="9521" ht="12.75" x14ac:dyDescent="0.2"/>
    <row r="9522" ht="12.75" x14ac:dyDescent="0.2"/>
    <row r="9523" ht="12.75" x14ac:dyDescent="0.2"/>
    <row r="9524" ht="12.75" x14ac:dyDescent="0.2"/>
    <row r="9525" ht="12.75" x14ac:dyDescent="0.2"/>
    <row r="9526" ht="12.75" x14ac:dyDescent="0.2"/>
    <row r="9527" ht="12.75" x14ac:dyDescent="0.2"/>
    <row r="9528" ht="12.75" x14ac:dyDescent="0.2"/>
    <row r="9529" ht="12.75" x14ac:dyDescent="0.2"/>
    <row r="9530" ht="12.75" x14ac:dyDescent="0.2"/>
    <row r="9531" ht="12.75" x14ac:dyDescent="0.2"/>
    <row r="9532" ht="12.75" x14ac:dyDescent="0.2"/>
    <row r="9533" ht="12.75" x14ac:dyDescent="0.2"/>
    <row r="9534" ht="12.75" x14ac:dyDescent="0.2"/>
    <row r="9535" ht="12.75" x14ac:dyDescent="0.2"/>
    <row r="9536" ht="12.75" x14ac:dyDescent="0.2"/>
    <row r="9537" ht="12.75" x14ac:dyDescent="0.2"/>
    <row r="9538" ht="12.75" x14ac:dyDescent="0.2"/>
    <row r="9539" ht="12.75" x14ac:dyDescent="0.2"/>
    <row r="9540" ht="12.75" x14ac:dyDescent="0.2"/>
    <row r="9541" ht="12.75" x14ac:dyDescent="0.2"/>
    <row r="9542" ht="12.75" x14ac:dyDescent="0.2"/>
    <row r="9543" ht="12.75" x14ac:dyDescent="0.2"/>
    <row r="9544" ht="12.75" x14ac:dyDescent="0.2"/>
    <row r="9545" ht="12.75" x14ac:dyDescent="0.2"/>
    <row r="9546" ht="12.75" x14ac:dyDescent="0.2"/>
    <row r="9547" ht="12.75" x14ac:dyDescent="0.2"/>
    <row r="9548" ht="12.75" x14ac:dyDescent="0.2"/>
    <row r="9549" ht="12.75" x14ac:dyDescent="0.2"/>
    <row r="9550" ht="12.75" x14ac:dyDescent="0.2"/>
    <row r="9551" ht="12.75" x14ac:dyDescent="0.2"/>
    <row r="9552" ht="12.75" x14ac:dyDescent="0.2"/>
    <row r="9553" ht="12.75" x14ac:dyDescent="0.2"/>
    <row r="9554" ht="12.75" x14ac:dyDescent="0.2"/>
    <row r="9555" ht="12.75" x14ac:dyDescent="0.2"/>
    <row r="9556" ht="12.75" x14ac:dyDescent="0.2"/>
    <row r="9557" ht="12.75" x14ac:dyDescent="0.2"/>
    <row r="9558" ht="12.75" x14ac:dyDescent="0.2"/>
    <row r="9559" ht="12.75" x14ac:dyDescent="0.2"/>
    <row r="9560" ht="12.75" x14ac:dyDescent="0.2"/>
    <row r="9561" ht="12.75" x14ac:dyDescent="0.2"/>
    <row r="9562" ht="12.75" x14ac:dyDescent="0.2"/>
    <row r="9563" ht="12.75" x14ac:dyDescent="0.2"/>
    <row r="9564" ht="12.75" x14ac:dyDescent="0.2"/>
    <row r="9565" ht="12.75" x14ac:dyDescent="0.2"/>
    <row r="9566" ht="12.75" x14ac:dyDescent="0.2"/>
    <row r="9567" ht="12.75" x14ac:dyDescent="0.2"/>
    <row r="9568" ht="12.75" x14ac:dyDescent="0.2"/>
    <row r="9569" ht="12.75" x14ac:dyDescent="0.2"/>
    <row r="9570" ht="12.75" x14ac:dyDescent="0.2"/>
    <row r="9571" ht="12.75" x14ac:dyDescent="0.2"/>
    <row r="9572" ht="12.75" x14ac:dyDescent="0.2"/>
    <row r="9573" ht="12.75" x14ac:dyDescent="0.2"/>
    <row r="9574" ht="12.75" x14ac:dyDescent="0.2"/>
    <row r="9575" ht="12.75" x14ac:dyDescent="0.2"/>
    <row r="9576" ht="12.75" x14ac:dyDescent="0.2"/>
    <row r="9577" ht="12.75" x14ac:dyDescent="0.2"/>
    <row r="9578" ht="12.75" x14ac:dyDescent="0.2"/>
    <row r="9579" ht="12.75" x14ac:dyDescent="0.2"/>
    <row r="9580" ht="12.75" x14ac:dyDescent="0.2"/>
    <row r="9581" ht="12.75" x14ac:dyDescent="0.2"/>
    <row r="9582" ht="12.75" x14ac:dyDescent="0.2"/>
    <row r="9583" ht="12.75" x14ac:dyDescent="0.2"/>
    <row r="9584" ht="12.75" x14ac:dyDescent="0.2"/>
    <row r="9585" ht="12.75" x14ac:dyDescent="0.2"/>
    <row r="9586" ht="12.75" x14ac:dyDescent="0.2"/>
    <row r="9587" ht="12.75" x14ac:dyDescent="0.2"/>
    <row r="9588" ht="12.75" x14ac:dyDescent="0.2"/>
    <row r="9589" ht="12.75" x14ac:dyDescent="0.2"/>
    <row r="9590" ht="12.75" x14ac:dyDescent="0.2"/>
    <row r="9591" ht="12.75" x14ac:dyDescent="0.2"/>
    <row r="9592" ht="12.75" x14ac:dyDescent="0.2"/>
    <row r="9593" ht="12.75" x14ac:dyDescent="0.2"/>
    <row r="9594" ht="12.75" x14ac:dyDescent="0.2"/>
    <row r="9595" ht="12.75" x14ac:dyDescent="0.2"/>
    <row r="9596" ht="12.75" x14ac:dyDescent="0.2"/>
    <row r="9597" ht="12.75" x14ac:dyDescent="0.2"/>
    <row r="9598" ht="12.75" x14ac:dyDescent="0.2"/>
    <row r="9599" ht="12.75" x14ac:dyDescent="0.2"/>
    <row r="9600" ht="12.75" x14ac:dyDescent="0.2"/>
    <row r="9601" ht="12.75" x14ac:dyDescent="0.2"/>
    <row r="9602" ht="12.75" x14ac:dyDescent="0.2"/>
    <row r="9603" ht="12.75" x14ac:dyDescent="0.2"/>
    <row r="9604" ht="12.75" x14ac:dyDescent="0.2"/>
    <row r="9605" ht="12.75" x14ac:dyDescent="0.2"/>
    <row r="9606" ht="12.75" x14ac:dyDescent="0.2"/>
    <row r="9607" ht="12.75" x14ac:dyDescent="0.2"/>
    <row r="9608" ht="12.75" x14ac:dyDescent="0.2"/>
    <row r="9609" ht="12.75" x14ac:dyDescent="0.2"/>
    <row r="9610" ht="12.75" x14ac:dyDescent="0.2"/>
    <row r="9611" ht="12.75" x14ac:dyDescent="0.2"/>
    <row r="9612" ht="12.75" x14ac:dyDescent="0.2"/>
    <row r="9613" ht="12.75" x14ac:dyDescent="0.2"/>
    <row r="9614" ht="12.75" x14ac:dyDescent="0.2"/>
    <row r="9615" ht="12.75" x14ac:dyDescent="0.2"/>
    <row r="9616" ht="12.75" x14ac:dyDescent="0.2"/>
    <row r="9617" ht="12.75" x14ac:dyDescent="0.2"/>
    <row r="9618" ht="12.75" x14ac:dyDescent="0.2"/>
    <row r="9619" ht="12.75" x14ac:dyDescent="0.2"/>
    <row r="9620" ht="12.75" x14ac:dyDescent="0.2"/>
    <row r="9621" ht="12.75" x14ac:dyDescent="0.2"/>
    <row r="9622" ht="12.75" x14ac:dyDescent="0.2"/>
    <row r="9623" ht="12.75" x14ac:dyDescent="0.2"/>
    <row r="9624" ht="12.75" x14ac:dyDescent="0.2"/>
    <row r="9625" ht="12.75" x14ac:dyDescent="0.2"/>
    <row r="9626" ht="12.75" x14ac:dyDescent="0.2"/>
    <row r="9627" ht="12.75" x14ac:dyDescent="0.2"/>
    <row r="9628" ht="12.75" x14ac:dyDescent="0.2"/>
    <row r="9629" ht="12.75" x14ac:dyDescent="0.2"/>
    <row r="9630" ht="12.75" x14ac:dyDescent="0.2"/>
    <row r="9631" ht="12.75" x14ac:dyDescent="0.2"/>
    <row r="9632" ht="12.75" x14ac:dyDescent="0.2"/>
    <row r="9633" ht="12.75" x14ac:dyDescent="0.2"/>
    <row r="9634" ht="12.75" x14ac:dyDescent="0.2"/>
    <row r="9635" ht="12.75" x14ac:dyDescent="0.2"/>
    <row r="9636" ht="12.75" x14ac:dyDescent="0.2"/>
    <row r="9637" ht="12.75" x14ac:dyDescent="0.2"/>
    <row r="9638" ht="12.75" x14ac:dyDescent="0.2"/>
    <row r="9639" ht="12.75" x14ac:dyDescent="0.2"/>
    <row r="9640" ht="12.75" x14ac:dyDescent="0.2"/>
    <row r="9641" ht="12.75" x14ac:dyDescent="0.2"/>
    <row r="9642" ht="12.75" x14ac:dyDescent="0.2"/>
    <row r="9643" ht="12.75" x14ac:dyDescent="0.2"/>
    <row r="9644" ht="12.75" x14ac:dyDescent="0.2"/>
    <row r="9645" ht="12.75" x14ac:dyDescent="0.2"/>
    <row r="9646" ht="12.75" x14ac:dyDescent="0.2"/>
    <row r="9647" ht="12.75" x14ac:dyDescent="0.2"/>
    <row r="9648" ht="12.75" x14ac:dyDescent="0.2"/>
    <row r="9649" ht="12.75" x14ac:dyDescent="0.2"/>
    <row r="9650" ht="12.75" x14ac:dyDescent="0.2"/>
    <row r="9651" ht="12.75" x14ac:dyDescent="0.2"/>
    <row r="9652" ht="12.75" x14ac:dyDescent="0.2"/>
    <row r="9653" ht="12.75" x14ac:dyDescent="0.2"/>
    <row r="9654" ht="12.75" x14ac:dyDescent="0.2"/>
    <row r="9655" ht="12.75" x14ac:dyDescent="0.2"/>
    <row r="9656" ht="12.75" x14ac:dyDescent="0.2"/>
    <row r="9657" ht="12.75" x14ac:dyDescent="0.2"/>
    <row r="9658" ht="12.75" x14ac:dyDescent="0.2"/>
    <row r="9659" ht="12.75" x14ac:dyDescent="0.2"/>
    <row r="9660" ht="12.75" x14ac:dyDescent="0.2"/>
    <row r="9661" ht="12.75" x14ac:dyDescent="0.2"/>
    <row r="9662" ht="12.75" x14ac:dyDescent="0.2"/>
    <row r="9663" ht="12.75" x14ac:dyDescent="0.2"/>
    <row r="9664" ht="12.75" x14ac:dyDescent="0.2"/>
    <row r="9665" ht="12.75" x14ac:dyDescent="0.2"/>
    <row r="9666" ht="12.75" x14ac:dyDescent="0.2"/>
    <row r="9667" ht="12.75" x14ac:dyDescent="0.2"/>
    <row r="9668" ht="12.75" x14ac:dyDescent="0.2"/>
    <row r="9669" ht="12.75" x14ac:dyDescent="0.2"/>
    <row r="9670" ht="12.75" x14ac:dyDescent="0.2"/>
    <row r="9671" ht="12.75" x14ac:dyDescent="0.2"/>
    <row r="9672" ht="12.75" x14ac:dyDescent="0.2"/>
    <row r="9673" ht="12.75" x14ac:dyDescent="0.2"/>
    <row r="9674" ht="12.75" x14ac:dyDescent="0.2"/>
    <row r="9675" ht="12.75" x14ac:dyDescent="0.2"/>
    <row r="9676" ht="12.75" x14ac:dyDescent="0.2"/>
    <row r="9677" ht="12.75" x14ac:dyDescent="0.2"/>
    <row r="9678" ht="12.75" x14ac:dyDescent="0.2"/>
    <row r="9679" ht="12.75" x14ac:dyDescent="0.2"/>
    <row r="9680" ht="12.75" x14ac:dyDescent="0.2"/>
    <row r="9681" ht="12.75" x14ac:dyDescent="0.2"/>
    <row r="9682" ht="12.75" x14ac:dyDescent="0.2"/>
    <row r="9683" ht="12.75" x14ac:dyDescent="0.2"/>
    <row r="9684" ht="12.75" x14ac:dyDescent="0.2"/>
    <row r="9685" ht="12.75" x14ac:dyDescent="0.2"/>
    <row r="9686" ht="12.75" x14ac:dyDescent="0.2"/>
    <row r="9687" ht="12.75" x14ac:dyDescent="0.2"/>
    <row r="9688" ht="12.75" x14ac:dyDescent="0.2"/>
    <row r="9689" ht="12.75" x14ac:dyDescent="0.2"/>
    <row r="9690" ht="12.75" x14ac:dyDescent="0.2"/>
    <row r="9691" ht="12.75" x14ac:dyDescent="0.2"/>
    <row r="9692" ht="12.75" x14ac:dyDescent="0.2"/>
    <row r="9693" ht="12.75" x14ac:dyDescent="0.2"/>
    <row r="9694" ht="12.75" x14ac:dyDescent="0.2"/>
    <row r="9695" ht="12.75" x14ac:dyDescent="0.2"/>
    <row r="9696" ht="12.75" x14ac:dyDescent="0.2"/>
    <row r="9697" ht="12.75" x14ac:dyDescent="0.2"/>
    <row r="9698" ht="12.75" x14ac:dyDescent="0.2"/>
    <row r="9699" ht="12.75" x14ac:dyDescent="0.2"/>
    <row r="9700" ht="12.75" x14ac:dyDescent="0.2"/>
    <row r="9701" ht="12.75" x14ac:dyDescent="0.2"/>
    <row r="9702" ht="12.75" x14ac:dyDescent="0.2"/>
    <row r="9703" ht="12.75" x14ac:dyDescent="0.2"/>
    <row r="9704" ht="12.75" x14ac:dyDescent="0.2"/>
    <row r="9705" ht="12.75" x14ac:dyDescent="0.2"/>
    <row r="9706" ht="12.75" x14ac:dyDescent="0.2"/>
    <row r="9707" ht="12.75" x14ac:dyDescent="0.2"/>
    <row r="9708" ht="12.75" x14ac:dyDescent="0.2"/>
    <row r="9709" ht="12.75" x14ac:dyDescent="0.2"/>
    <row r="9710" ht="12.75" x14ac:dyDescent="0.2"/>
    <row r="9711" ht="12.75" x14ac:dyDescent="0.2"/>
    <row r="9712" ht="12.75" x14ac:dyDescent="0.2"/>
    <row r="9713" ht="12.75" x14ac:dyDescent="0.2"/>
    <row r="9714" ht="12.75" x14ac:dyDescent="0.2"/>
    <row r="9715" ht="12.75" x14ac:dyDescent="0.2"/>
    <row r="9716" ht="12.75" x14ac:dyDescent="0.2"/>
    <row r="9717" ht="12.75" x14ac:dyDescent="0.2"/>
    <row r="9718" ht="12.75" x14ac:dyDescent="0.2"/>
    <row r="9719" ht="12.75" x14ac:dyDescent="0.2"/>
    <row r="9720" ht="12.75" x14ac:dyDescent="0.2"/>
    <row r="9721" ht="12.75" x14ac:dyDescent="0.2"/>
    <row r="9722" ht="12.75" x14ac:dyDescent="0.2"/>
    <row r="9723" ht="12.75" x14ac:dyDescent="0.2"/>
    <row r="9724" ht="12.75" x14ac:dyDescent="0.2"/>
    <row r="9725" ht="12.75" x14ac:dyDescent="0.2"/>
    <row r="9726" ht="12.75" x14ac:dyDescent="0.2"/>
    <row r="9727" ht="12.75" x14ac:dyDescent="0.2"/>
    <row r="9728" ht="12.75" x14ac:dyDescent="0.2"/>
    <row r="9729" ht="12.75" x14ac:dyDescent="0.2"/>
    <row r="9730" ht="12.75" x14ac:dyDescent="0.2"/>
    <row r="9731" ht="12.75" x14ac:dyDescent="0.2"/>
    <row r="9732" ht="12.75" x14ac:dyDescent="0.2"/>
    <row r="9733" ht="12.75" x14ac:dyDescent="0.2"/>
    <row r="9734" ht="12.75" x14ac:dyDescent="0.2"/>
    <row r="9735" ht="12.75" x14ac:dyDescent="0.2"/>
    <row r="9736" ht="12.75" x14ac:dyDescent="0.2"/>
    <row r="9737" ht="12.75" x14ac:dyDescent="0.2"/>
    <row r="9738" ht="12.75" x14ac:dyDescent="0.2"/>
    <row r="9739" ht="12.75" x14ac:dyDescent="0.2"/>
    <row r="9740" ht="12.75" x14ac:dyDescent="0.2"/>
    <row r="9741" ht="12.75" x14ac:dyDescent="0.2"/>
    <row r="9742" ht="12.75" x14ac:dyDescent="0.2"/>
    <row r="9743" ht="12.75" x14ac:dyDescent="0.2"/>
    <row r="9744" ht="12.75" x14ac:dyDescent="0.2"/>
    <row r="9745" ht="12.75" x14ac:dyDescent="0.2"/>
    <row r="9746" ht="12.75" x14ac:dyDescent="0.2"/>
    <row r="9747" ht="12.75" x14ac:dyDescent="0.2"/>
    <row r="9748" ht="12.75" x14ac:dyDescent="0.2"/>
    <row r="9749" ht="12.75" x14ac:dyDescent="0.2"/>
    <row r="9750" ht="12.75" x14ac:dyDescent="0.2"/>
    <row r="9751" ht="12.75" x14ac:dyDescent="0.2"/>
    <row r="9752" ht="12.75" x14ac:dyDescent="0.2"/>
    <row r="9753" ht="12.75" x14ac:dyDescent="0.2"/>
    <row r="9754" ht="12.75" x14ac:dyDescent="0.2"/>
    <row r="9755" ht="12.75" x14ac:dyDescent="0.2"/>
    <row r="9756" ht="12.75" x14ac:dyDescent="0.2"/>
    <row r="9757" ht="12.75" x14ac:dyDescent="0.2"/>
    <row r="9758" ht="12.75" x14ac:dyDescent="0.2"/>
    <row r="9759" ht="12.75" x14ac:dyDescent="0.2"/>
    <row r="9760" ht="12.75" x14ac:dyDescent="0.2"/>
    <row r="9761" ht="12.75" x14ac:dyDescent="0.2"/>
    <row r="9762" ht="12.75" x14ac:dyDescent="0.2"/>
    <row r="9763" ht="12.75" x14ac:dyDescent="0.2"/>
    <row r="9764" ht="12.75" x14ac:dyDescent="0.2"/>
    <row r="9765" ht="12.75" x14ac:dyDescent="0.2"/>
    <row r="9766" ht="12.75" x14ac:dyDescent="0.2"/>
    <row r="9767" ht="12.75" x14ac:dyDescent="0.2"/>
    <row r="9768" ht="12.75" x14ac:dyDescent="0.2"/>
    <row r="9769" ht="12.75" x14ac:dyDescent="0.2"/>
    <row r="9770" ht="12.75" x14ac:dyDescent="0.2"/>
    <row r="9771" ht="12.75" x14ac:dyDescent="0.2"/>
    <row r="9772" ht="12.75" x14ac:dyDescent="0.2"/>
    <row r="9773" ht="12.75" x14ac:dyDescent="0.2"/>
    <row r="9774" ht="12.75" x14ac:dyDescent="0.2"/>
    <row r="9775" ht="12.75" x14ac:dyDescent="0.2"/>
    <row r="9776" ht="12.75" x14ac:dyDescent="0.2"/>
    <row r="9777" ht="12.75" x14ac:dyDescent="0.2"/>
    <row r="9778" ht="12.75" x14ac:dyDescent="0.2"/>
    <row r="9779" ht="12.75" x14ac:dyDescent="0.2"/>
    <row r="9780" ht="12.75" x14ac:dyDescent="0.2"/>
    <row r="9781" ht="12.75" x14ac:dyDescent="0.2"/>
    <row r="9782" ht="12.75" x14ac:dyDescent="0.2"/>
    <row r="9783" ht="12.75" x14ac:dyDescent="0.2"/>
    <row r="9784" ht="12.75" x14ac:dyDescent="0.2"/>
    <row r="9785" ht="12.75" x14ac:dyDescent="0.2"/>
    <row r="9786" ht="12.75" x14ac:dyDescent="0.2"/>
    <row r="9787" ht="12.75" x14ac:dyDescent="0.2"/>
    <row r="9788" ht="12.75" x14ac:dyDescent="0.2"/>
    <row r="9789" ht="12.75" x14ac:dyDescent="0.2"/>
    <row r="9790" ht="12.75" x14ac:dyDescent="0.2"/>
    <row r="9791" ht="12.75" x14ac:dyDescent="0.2"/>
    <row r="9792" ht="12.75" x14ac:dyDescent="0.2"/>
    <row r="9793" ht="12.75" x14ac:dyDescent="0.2"/>
    <row r="9794" ht="12.75" x14ac:dyDescent="0.2"/>
    <row r="9795" ht="12.75" x14ac:dyDescent="0.2"/>
    <row r="9796" ht="12.75" x14ac:dyDescent="0.2"/>
    <row r="9797" ht="12.75" x14ac:dyDescent="0.2"/>
    <row r="9798" ht="12.75" x14ac:dyDescent="0.2"/>
    <row r="9799" ht="12.75" x14ac:dyDescent="0.2"/>
    <row r="9800" ht="12.75" x14ac:dyDescent="0.2"/>
    <row r="9801" ht="12.75" x14ac:dyDescent="0.2"/>
    <row r="9802" ht="12.75" x14ac:dyDescent="0.2"/>
    <row r="9803" ht="12.75" x14ac:dyDescent="0.2"/>
    <row r="9804" ht="12.75" x14ac:dyDescent="0.2"/>
    <row r="9805" ht="12.75" x14ac:dyDescent="0.2"/>
    <row r="9806" ht="12.75" x14ac:dyDescent="0.2"/>
    <row r="9807" ht="12.75" x14ac:dyDescent="0.2"/>
    <row r="9808" ht="12.75" x14ac:dyDescent="0.2"/>
    <row r="9809" ht="12.75" x14ac:dyDescent="0.2"/>
    <row r="9810" ht="12.75" x14ac:dyDescent="0.2"/>
    <row r="9811" ht="12.75" x14ac:dyDescent="0.2"/>
    <row r="9812" ht="12.75" x14ac:dyDescent="0.2"/>
    <row r="9813" ht="12.75" x14ac:dyDescent="0.2"/>
    <row r="9814" ht="12.75" x14ac:dyDescent="0.2"/>
    <row r="9815" ht="12.75" x14ac:dyDescent="0.2"/>
    <row r="9816" ht="12.75" x14ac:dyDescent="0.2"/>
    <row r="9817" ht="12.75" x14ac:dyDescent="0.2"/>
    <row r="9818" ht="12.75" x14ac:dyDescent="0.2"/>
    <row r="9819" ht="12.75" x14ac:dyDescent="0.2"/>
    <row r="9820" ht="12.75" x14ac:dyDescent="0.2"/>
    <row r="9821" ht="12.75" x14ac:dyDescent="0.2"/>
    <row r="9822" ht="12.75" x14ac:dyDescent="0.2"/>
    <row r="9823" ht="12.75" x14ac:dyDescent="0.2"/>
    <row r="9824" ht="12.75" x14ac:dyDescent="0.2"/>
    <row r="9825" ht="12.75" x14ac:dyDescent="0.2"/>
    <row r="9826" ht="12.75" x14ac:dyDescent="0.2"/>
    <row r="9827" ht="12.75" x14ac:dyDescent="0.2"/>
    <row r="9828" ht="12.75" x14ac:dyDescent="0.2"/>
    <row r="9829" ht="12.75" x14ac:dyDescent="0.2"/>
    <row r="9830" ht="12.75" x14ac:dyDescent="0.2"/>
    <row r="9831" ht="12.75" x14ac:dyDescent="0.2"/>
    <row r="9832" ht="12.75" x14ac:dyDescent="0.2"/>
    <row r="9833" ht="12.75" x14ac:dyDescent="0.2"/>
    <row r="9834" ht="12.75" x14ac:dyDescent="0.2"/>
    <row r="9835" ht="12.75" x14ac:dyDescent="0.2"/>
    <row r="9836" ht="12.75" x14ac:dyDescent="0.2"/>
    <row r="9837" ht="12.75" x14ac:dyDescent="0.2"/>
    <row r="9838" ht="12.75" x14ac:dyDescent="0.2"/>
    <row r="9839" ht="12.75" x14ac:dyDescent="0.2"/>
    <row r="9840" ht="12.75" x14ac:dyDescent="0.2"/>
    <row r="9841" ht="12.75" x14ac:dyDescent="0.2"/>
    <row r="9842" ht="12.75" x14ac:dyDescent="0.2"/>
    <row r="9843" ht="12.75" x14ac:dyDescent="0.2"/>
    <row r="9844" ht="12.75" x14ac:dyDescent="0.2"/>
    <row r="9845" ht="12.75" x14ac:dyDescent="0.2"/>
    <row r="9846" ht="12.75" x14ac:dyDescent="0.2"/>
    <row r="9847" ht="12.75" x14ac:dyDescent="0.2"/>
    <row r="9848" ht="12.75" x14ac:dyDescent="0.2"/>
    <row r="9849" ht="12.75" x14ac:dyDescent="0.2"/>
    <row r="9850" ht="12.75" x14ac:dyDescent="0.2"/>
    <row r="9851" ht="12.75" x14ac:dyDescent="0.2"/>
    <row r="9852" ht="12.75" x14ac:dyDescent="0.2"/>
    <row r="9853" ht="12.75" x14ac:dyDescent="0.2"/>
    <row r="9854" ht="12.75" x14ac:dyDescent="0.2"/>
    <row r="9855" ht="12.75" x14ac:dyDescent="0.2"/>
    <row r="9856" ht="12.75" x14ac:dyDescent="0.2"/>
    <row r="9857" ht="12.75" x14ac:dyDescent="0.2"/>
    <row r="9858" ht="12.75" x14ac:dyDescent="0.2"/>
    <row r="9859" ht="12.75" x14ac:dyDescent="0.2"/>
    <row r="9860" ht="12.75" x14ac:dyDescent="0.2"/>
    <row r="9861" ht="12.75" x14ac:dyDescent="0.2"/>
    <row r="9862" ht="12.75" x14ac:dyDescent="0.2"/>
    <row r="9863" ht="12.75" x14ac:dyDescent="0.2"/>
    <row r="9864" ht="12.75" x14ac:dyDescent="0.2"/>
    <row r="9865" ht="12.75" x14ac:dyDescent="0.2"/>
    <row r="9866" ht="12.75" x14ac:dyDescent="0.2"/>
    <row r="9867" ht="12.75" x14ac:dyDescent="0.2"/>
    <row r="9868" ht="12.75" x14ac:dyDescent="0.2"/>
    <row r="9869" ht="12.75" x14ac:dyDescent="0.2"/>
    <row r="9870" ht="12.75" x14ac:dyDescent="0.2"/>
    <row r="9871" ht="12.75" x14ac:dyDescent="0.2"/>
    <row r="9872" ht="12.75" x14ac:dyDescent="0.2"/>
    <row r="9873" ht="12.75" x14ac:dyDescent="0.2"/>
    <row r="9874" ht="12.75" x14ac:dyDescent="0.2"/>
    <row r="9875" ht="12.75" x14ac:dyDescent="0.2"/>
    <row r="9876" ht="12.75" x14ac:dyDescent="0.2"/>
    <row r="9877" ht="12.75" x14ac:dyDescent="0.2"/>
    <row r="9878" ht="12.75" x14ac:dyDescent="0.2"/>
    <row r="9879" ht="12.75" x14ac:dyDescent="0.2"/>
    <row r="9880" ht="12.75" x14ac:dyDescent="0.2"/>
    <row r="9881" ht="12.75" x14ac:dyDescent="0.2"/>
    <row r="9882" ht="12.75" x14ac:dyDescent="0.2"/>
    <row r="9883" ht="12.75" x14ac:dyDescent="0.2"/>
    <row r="9884" ht="12.75" x14ac:dyDescent="0.2"/>
    <row r="9885" ht="12.75" x14ac:dyDescent="0.2"/>
    <row r="9886" ht="12.75" x14ac:dyDescent="0.2"/>
    <row r="9887" ht="12.75" x14ac:dyDescent="0.2"/>
    <row r="9888" ht="12.75" x14ac:dyDescent="0.2"/>
    <row r="9889" ht="12.75" x14ac:dyDescent="0.2"/>
    <row r="9890" ht="12.75" x14ac:dyDescent="0.2"/>
    <row r="9891" ht="12.75" x14ac:dyDescent="0.2"/>
    <row r="9892" ht="12.75" x14ac:dyDescent="0.2"/>
    <row r="9893" ht="12.75" x14ac:dyDescent="0.2"/>
    <row r="9894" ht="12.75" x14ac:dyDescent="0.2"/>
    <row r="9895" ht="12.75" x14ac:dyDescent="0.2"/>
    <row r="9896" ht="12.75" x14ac:dyDescent="0.2"/>
    <row r="9897" ht="12.75" x14ac:dyDescent="0.2"/>
    <row r="9898" ht="12.75" x14ac:dyDescent="0.2"/>
    <row r="9899" ht="12.75" x14ac:dyDescent="0.2"/>
    <row r="9900" ht="12.75" x14ac:dyDescent="0.2"/>
    <row r="9901" ht="12.75" x14ac:dyDescent="0.2"/>
    <row r="9902" ht="12.75" x14ac:dyDescent="0.2"/>
    <row r="9903" ht="12.75" x14ac:dyDescent="0.2"/>
    <row r="9904" ht="12.75" x14ac:dyDescent="0.2"/>
    <row r="9905" ht="12.75" x14ac:dyDescent="0.2"/>
    <row r="9906" ht="12.75" x14ac:dyDescent="0.2"/>
    <row r="9907" ht="12.75" x14ac:dyDescent="0.2"/>
    <row r="9908" ht="12.75" x14ac:dyDescent="0.2"/>
    <row r="9909" ht="12.75" x14ac:dyDescent="0.2"/>
    <row r="9910" ht="12.75" x14ac:dyDescent="0.2"/>
    <row r="9911" ht="12.75" x14ac:dyDescent="0.2"/>
    <row r="9912" ht="12.75" x14ac:dyDescent="0.2"/>
    <row r="9913" ht="12.75" x14ac:dyDescent="0.2"/>
    <row r="9914" ht="12.75" x14ac:dyDescent="0.2"/>
    <row r="9915" ht="12.75" x14ac:dyDescent="0.2"/>
    <row r="9916" ht="12.75" x14ac:dyDescent="0.2"/>
    <row r="9917" ht="12.75" x14ac:dyDescent="0.2"/>
    <row r="9918" ht="12.75" x14ac:dyDescent="0.2"/>
    <row r="9919" ht="12.75" x14ac:dyDescent="0.2"/>
    <row r="9920" ht="12.75" x14ac:dyDescent="0.2"/>
    <row r="9921" ht="12.75" x14ac:dyDescent="0.2"/>
    <row r="9922" ht="12.75" x14ac:dyDescent="0.2"/>
    <row r="9923" ht="12.75" x14ac:dyDescent="0.2"/>
    <row r="9924" ht="12.75" x14ac:dyDescent="0.2"/>
    <row r="9925" ht="12.75" x14ac:dyDescent="0.2"/>
    <row r="9926" ht="12.75" x14ac:dyDescent="0.2"/>
    <row r="9927" ht="12.75" x14ac:dyDescent="0.2"/>
    <row r="9928" ht="12.75" x14ac:dyDescent="0.2"/>
    <row r="9929" ht="12.75" x14ac:dyDescent="0.2"/>
    <row r="9930" ht="12.75" x14ac:dyDescent="0.2"/>
    <row r="9931" ht="12.75" x14ac:dyDescent="0.2"/>
    <row r="9932" ht="12.75" x14ac:dyDescent="0.2"/>
    <row r="9933" ht="12.75" x14ac:dyDescent="0.2"/>
    <row r="9934" ht="12.75" x14ac:dyDescent="0.2"/>
    <row r="9935" ht="12.75" x14ac:dyDescent="0.2"/>
    <row r="9936" ht="12.75" x14ac:dyDescent="0.2"/>
    <row r="9937" ht="12.75" x14ac:dyDescent="0.2"/>
    <row r="9938" ht="12.75" x14ac:dyDescent="0.2"/>
    <row r="9939" ht="12.75" x14ac:dyDescent="0.2"/>
    <row r="9940" ht="12.75" x14ac:dyDescent="0.2"/>
    <row r="9941" ht="12.75" x14ac:dyDescent="0.2"/>
    <row r="9942" ht="12.75" x14ac:dyDescent="0.2"/>
    <row r="9943" ht="12.75" x14ac:dyDescent="0.2"/>
    <row r="9944" ht="12.75" x14ac:dyDescent="0.2"/>
    <row r="9945" ht="12.75" x14ac:dyDescent="0.2"/>
    <row r="9946" ht="12.75" x14ac:dyDescent="0.2"/>
    <row r="9947" ht="12.75" x14ac:dyDescent="0.2"/>
    <row r="9948" ht="12.75" x14ac:dyDescent="0.2"/>
    <row r="9949" ht="12.75" x14ac:dyDescent="0.2"/>
    <row r="9950" ht="12.75" x14ac:dyDescent="0.2"/>
    <row r="9951" ht="12.75" x14ac:dyDescent="0.2"/>
    <row r="9952" ht="12.75" x14ac:dyDescent="0.2"/>
    <row r="9953" ht="12.75" x14ac:dyDescent="0.2"/>
    <row r="9954" ht="12.75" x14ac:dyDescent="0.2"/>
    <row r="9955" ht="12.75" x14ac:dyDescent="0.2"/>
    <row r="9956" ht="12.75" x14ac:dyDescent="0.2"/>
    <row r="9957" ht="12.75" x14ac:dyDescent="0.2"/>
    <row r="9958" ht="12.75" x14ac:dyDescent="0.2"/>
    <row r="9959" ht="12.75" x14ac:dyDescent="0.2"/>
    <row r="9960" ht="12.75" x14ac:dyDescent="0.2"/>
    <row r="9961" ht="12.75" x14ac:dyDescent="0.2"/>
    <row r="9962" ht="12.75" x14ac:dyDescent="0.2"/>
    <row r="9963" ht="12.75" x14ac:dyDescent="0.2"/>
    <row r="9964" ht="12.75" x14ac:dyDescent="0.2"/>
    <row r="9965" ht="12.75" x14ac:dyDescent="0.2"/>
    <row r="9966" ht="12.75" x14ac:dyDescent="0.2"/>
    <row r="9967" ht="12.75" x14ac:dyDescent="0.2"/>
    <row r="9968" ht="12.75" x14ac:dyDescent="0.2"/>
    <row r="9969" ht="12.75" x14ac:dyDescent="0.2"/>
    <row r="9970" ht="12.75" x14ac:dyDescent="0.2"/>
    <row r="9971" ht="12.75" x14ac:dyDescent="0.2"/>
    <row r="9972" ht="12.75" x14ac:dyDescent="0.2"/>
    <row r="9973" ht="12.75" x14ac:dyDescent="0.2"/>
    <row r="9974" ht="12.75" x14ac:dyDescent="0.2"/>
    <row r="9975" ht="12.75" x14ac:dyDescent="0.2"/>
    <row r="9976" ht="12.75" x14ac:dyDescent="0.2"/>
    <row r="9977" ht="12.75" x14ac:dyDescent="0.2"/>
    <row r="9978" ht="12.75" x14ac:dyDescent="0.2"/>
    <row r="9979" ht="12.75" x14ac:dyDescent="0.2"/>
    <row r="9980" ht="12.75" x14ac:dyDescent="0.2"/>
    <row r="9981" ht="12.75" x14ac:dyDescent="0.2"/>
    <row r="9982" ht="12.75" x14ac:dyDescent="0.2"/>
    <row r="9983" ht="12.75" x14ac:dyDescent="0.2"/>
    <row r="9984" ht="12.75" x14ac:dyDescent="0.2"/>
    <row r="9985" ht="12.75" x14ac:dyDescent="0.2"/>
    <row r="9986" ht="12.75" x14ac:dyDescent="0.2"/>
    <row r="9987" ht="12.75" x14ac:dyDescent="0.2"/>
    <row r="9988" ht="12.75" x14ac:dyDescent="0.2"/>
    <row r="9989" ht="12.75" x14ac:dyDescent="0.2"/>
    <row r="9990" ht="12.75" x14ac:dyDescent="0.2"/>
    <row r="9991" ht="12.75" x14ac:dyDescent="0.2"/>
    <row r="9992" ht="12.75" x14ac:dyDescent="0.2"/>
    <row r="9993" ht="12.75" x14ac:dyDescent="0.2"/>
    <row r="9994" ht="12.75" x14ac:dyDescent="0.2"/>
    <row r="9995" ht="12.75" x14ac:dyDescent="0.2"/>
  </sheetData>
  <sortState ref="A2:K760">
    <sortCondition ref="A2:A760"/>
  </sortState>
  <phoneticPr fontId="2" type="noConversion"/>
  <conditionalFormatting sqref="A2:A760">
    <cfRule type="timePeriod" dxfId="13" priority="1" timePeriod="lastMonth">
      <formula>AND(MONTH(A2)=MONTH(EDATE(TODAY(),0-1)),YEAR(A2)=YEAR(EDATE(TODAY(),0-1)))</formula>
    </cfRule>
  </conditionalFormatting>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24C1C-186F-4663-8398-0EF83FE5D252}">
  <dimension ref="A3:E25"/>
  <sheetViews>
    <sheetView workbookViewId="0">
      <selection activeCell="C30" sqref="C30"/>
    </sheetView>
  </sheetViews>
  <sheetFormatPr defaultRowHeight="12.75" x14ac:dyDescent="0.2"/>
  <cols>
    <col min="1" max="1" width="13.85546875" bestFit="1" customWidth="1"/>
    <col min="2" max="2" width="13.140625" bestFit="1" customWidth="1"/>
  </cols>
  <sheetData>
    <row r="3" spans="1:5" x14ac:dyDescent="0.2">
      <c r="A3" s="8" t="s">
        <v>1332</v>
      </c>
      <c r="B3" t="s">
        <v>1335</v>
      </c>
      <c r="D3" t="s">
        <v>1332</v>
      </c>
      <c r="E3" t="s">
        <v>1335</v>
      </c>
    </row>
    <row r="4" spans="1:5" x14ac:dyDescent="0.2">
      <c r="A4" s="9" t="s">
        <v>118</v>
      </c>
      <c r="B4" s="10">
        <v>9396.81</v>
      </c>
      <c r="D4" t="str">
        <f t="shared" ref="D4:D12" si="0">A4</f>
        <v>Tables</v>
      </c>
      <c r="E4">
        <f>GETPIVOTDATA("Sales",$A$3,"Sub-Category","Phones")</f>
        <v>6114.6599999999989</v>
      </c>
    </row>
    <row r="5" spans="1:5" x14ac:dyDescent="0.2">
      <c r="A5" s="9" t="s">
        <v>34</v>
      </c>
      <c r="B5" s="10">
        <v>6343.37</v>
      </c>
      <c r="D5" t="str">
        <f t="shared" si="0"/>
        <v>Chairs</v>
      </c>
      <c r="E5">
        <f>GETPIVOTDATA("Sales",$A$3,"Sub-Category","Copiers")</f>
        <v>3559.9399999999996</v>
      </c>
    </row>
    <row r="6" spans="1:5" x14ac:dyDescent="0.2">
      <c r="A6" s="9" t="s">
        <v>39</v>
      </c>
      <c r="B6" s="10">
        <v>6114.6599999999989</v>
      </c>
      <c r="D6" t="str">
        <f t="shared" si="0"/>
        <v>Phones</v>
      </c>
      <c r="E6">
        <f>GETPIVOTDATA("Sales",$A$3,"Sub-Category","Accessories")</f>
        <v>1865.8300000000002</v>
      </c>
    </row>
    <row r="7" spans="1:5" x14ac:dyDescent="0.2">
      <c r="A7" s="9" t="s">
        <v>20</v>
      </c>
      <c r="B7" s="10">
        <v>3817.7099999999996</v>
      </c>
      <c r="D7" t="str">
        <f t="shared" si="0"/>
        <v>Binders</v>
      </c>
      <c r="E7">
        <f>GETPIVOTDATA("Sales",$A$3,"Sub-Category","Tables")</f>
        <v>9396.81</v>
      </c>
    </row>
    <row r="8" spans="1:5" x14ac:dyDescent="0.2">
      <c r="A8" s="9" t="s">
        <v>388</v>
      </c>
      <c r="B8" s="10">
        <v>3559.9399999999996</v>
      </c>
      <c r="D8" t="str">
        <f t="shared" si="0"/>
        <v>Copiers</v>
      </c>
      <c r="E8">
        <f>GETPIVOTDATA("Sales",$A$3,"Sub-Category","Binders")</f>
        <v>3817.7099999999996</v>
      </c>
    </row>
    <row r="9" spans="1:5" x14ac:dyDescent="0.2">
      <c r="A9" s="9" t="s">
        <v>80</v>
      </c>
      <c r="B9" s="10">
        <v>3432.9500000000003</v>
      </c>
      <c r="D9" t="str">
        <f t="shared" si="0"/>
        <v>Appliances</v>
      </c>
      <c r="E9">
        <f>GETPIVOTDATA("Sales",$A$3,"Sub-Category","Chairs")</f>
        <v>6343.37</v>
      </c>
    </row>
    <row r="10" spans="1:5" x14ac:dyDescent="0.2">
      <c r="A10" s="9" t="s">
        <v>44</v>
      </c>
      <c r="B10" s="10">
        <v>2217.7000000000003</v>
      </c>
      <c r="D10" t="str">
        <f t="shared" si="0"/>
        <v>Furnishings</v>
      </c>
      <c r="E10">
        <f>GETPIVOTDATA("Sales",$A$3,"Sub-Category","Bookcases")</f>
        <v>2168.89</v>
      </c>
    </row>
    <row r="11" spans="1:5" x14ac:dyDescent="0.2">
      <c r="A11" s="9" t="s">
        <v>65</v>
      </c>
      <c r="B11" s="10">
        <v>2168.89</v>
      </c>
      <c r="D11" t="str">
        <f t="shared" si="0"/>
        <v>Bookcases</v>
      </c>
      <c r="E11">
        <f>GETPIVOTDATA("Sales",$A$3,"Sub-Category","Storage")</f>
        <v>910.25</v>
      </c>
    </row>
    <row r="12" spans="1:5" x14ac:dyDescent="0.2">
      <c r="A12" s="9" t="s">
        <v>48</v>
      </c>
      <c r="B12" s="10">
        <v>1865.8300000000002</v>
      </c>
      <c r="D12" t="str">
        <f t="shared" si="0"/>
        <v>Accessories</v>
      </c>
      <c r="E12">
        <f>GETPIVOTDATA("Sales",$A$3,"Sub-Category","Appliances")</f>
        <v>3432.9500000000003</v>
      </c>
    </row>
    <row r="13" spans="1:5" x14ac:dyDescent="0.2">
      <c r="A13" s="9" t="s">
        <v>12</v>
      </c>
      <c r="B13" s="10">
        <v>1501.2900000000002</v>
      </c>
      <c r="D13" t="str">
        <f>A12</f>
        <v>Accessories</v>
      </c>
      <c r="E13">
        <f>GETPIVOTDATA("Sales",$A$3,"Sub-Category","Furnishings")</f>
        <v>2217.7000000000003</v>
      </c>
    </row>
    <row r="14" spans="1:5" x14ac:dyDescent="0.2">
      <c r="A14" s="9" t="s">
        <v>18</v>
      </c>
      <c r="B14" s="10">
        <v>910.25</v>
      </c>
      <c r="D14" t="str">
        <f t="shared" ref="D14:D21" si="1">A14</f>
        <v>Storage</v>
      </c>
      <c r="E14">
        <f>GETPIVOTDATA("Sales",$A$3,"Sub-Category","Machines")</f>
        <v>65.97</v>
      </c>
    </row>
    <row r="15" spans="1:5" x14ac:dyDescent="0.2">
      <c r="A15" s="9" t="s">
        <v>24</v>
      </c>
      <c r="B15" s="10">
        <v>645.40000000000009</v>
      </c>
      <c r="D15" t="str">
        <f t="shared" si="1"/>
        <v>Art</v>
      </c>
      <c r="E15">
        <f>GETPIVOTDATA("Sales",$A$3,"Sub-Category","Paper")</f>
        <v>1501.2900000000002</v>
      </c>
    </row>
    <row r="16" spans="1:5" x14ac:dyDescent="0.2">
      <c r="A16" s="9" t="s">
        <v>16</v>
      </c>
      <c r="B16" s="10">
        <v>574.68999999999994</v>
      </c>
      <c r="D16" t="str">
        <f t="shared" si="1"/>
        <v>Labels</v>
      </c>
      <c r="E16">
        <f>GETPIVOTDATA("Sales",$A$3,"Sub-Category","Art")</f>
        <v>645.40000000000009</v>
      </c>
    </row>
    <row r="17" spans="1:5" x14ac:dyDescent="0.2">
      <c r="A17" s="9" t="s">
        <v>58</v>
      </c>
      <c r="B17" s="10">
        <v>150.94</v>
      </c>
      <c r="D17" t="str">
        <f t="shared" si="1"/>
        <v>Envelopes</v>
      </c>
      <c r="E17">
        <f>GETPIVOTDATA("Sales",$A$3,"Sub-Category","Envelopes")</f>
        <v>150.94</v>
      </c>
    </row>
    <row r="18" spans="1:5" x14ac:dyDescent="0.2">
      <c r="A18" s="9" t="s">
        <v>214</v>
      </c>
      <c r="B18" s="10">
        <v>65.97</v>
      </c>
      <c r="D18" t="str">
        <f t="shared" si="1"/>
        <v>Machines</v>
      </c>
      <c r="E18">
        <f>GETPIVOTDATA("Sales",$A$3,"Sub-Category","Labels")</f>
        <v>574.68999999999994</v>
      </c>
    </row>
    <row r="19" spans="1:5" x14ac:dyDescent="0.2">
      <c r="A19" s="9" t="s">
        <v>42</v>
      </c>
      <c r="B19" s="10">
        <v>14.32</v>
      </c>
      <c r="D19" t="str">
        <f t="shared" si="1"/>
        <v>Fasteners</v>
      </c>
      <c r="E19" t="e">
        <f>GETPIVOTDATA("Sales",$A$3,"Sub-Category","Supplies")</f>
        <v>#REF!</v>
      </c>
    </row>
    <row r="20" spans="1:5" x14ac:dyDescent="0.2">
      <c r="A20" s="9" t="s">
        <v>1334</v>
      </c>
      <c r="B20" s="10">
        <v>42780.719999999994</v>
      </c>
      <c r="D20" t="str">
        <f t="shared" si="1"/>
        <v>Grand Total</v>
      </c>
      <c r="E20">
        <f>GETPIVOTDATA("Sales",$A$3,"Sub-Category","Fasteners")</f>
        <v>14.32</v>
      </c>
    </row>
    <row r="21" spans="1:5" x14ac:dyDescent="0.2">
      <c r="D21">
        <f t="shared" si="1"/>
        <v>0</v>
      </c>
      <c r="E21">
        <f>GETPIVOTDATA("Sales",$A$3)</f>
        <v>42780.719999999994</v>
      </c>
    </row>
    <row r="25" spans="1:5" x14ac:dyDescent="0.2">
      <c r="C25" t="e">
        <f>D</f>
        <v>#NAME?</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CB2FF-D5CF-4938-BB53-E1A795AB54C1}">
  <dimension ref="A3:E6"/>
  <sheetViews>
    <sheetView workbookViewId="0">
      <selection activeCell="N20" sqref="N20"/>
    </sheetView>
  </sheetViews>
  <sheetFormatPr defaultRowHeight="12.75" x14ac:dyDescent="0.2"/>
  <cols>
    <col min="1" max="1" width="13.85546875" bestFit="1" customWidth="1"/>
    <col min="2" max="2" width="17" bestFit="1" customWidth="1"/>
    <col min="3" max="3" width="14.85546875" bestFit="1" customWidth="1"/>
    <col min="4" max="4" width="11.5703125" bestFit="1" customWidth="1"/>
    <col min="5" max="5" width="11.7109375" bestFit="1" customWidth="1"/>
  </cols>
  <sheetData>
    <row r="3" spans="1:5" x14ac:dyDescent="0.2">
      <c r="A3" s="8" t="s">
        <v>1333</v>
      </c>
      <c r="B3" s="8" t="s">
        <v>1336</v>
      </c>
    </row>
    <row r="4" spans="1:5" x14ac:dyDescent="0.2">
      <c r="A4" s="8" t="s">
        <v>1332</v>
      </c>
      <c r="B4" t="s">
        <v>33</v>
      </c>
      <c r="C4" t="s">
        <v>11</v>
      </c>
      <c r="D4" t="s">
        <v>38</v>
      </c>
      <c r="E4" t="s">
        <v>1334</v>
      </c>
    </row>
    <row r="5" spans="1:5" x14ac:dyDescent="0.2">
      <c r="A5" s="9" t="s">
        <v>1351</v>
      </c>
      <c r="B5" s="10">
        <v>23.499999999999947</v>
      </c>
      <c r="C5" s="10">
        <v>958.36000000000149</v>
      </c>
      <c r="D5" s="10">
        <v>2927.0400000000009</v>
      </c>
      <c r="E5" s="10">
        <v>3908.9000000000024</v>
      </c>
    </row>
    <row r="6" spans="1:5" x14ac:dyDescent="0.2">
      <c r="A6" s="9" t="s">
        <v>1334</v>
      </c>
      <c r="B6" s="10">
        <v>23.499999999999947</v>
      </c>
      <c r="C6" s="10">
        <v>958.36000000000149</v>
      </c>
      <c r="D6" s="10">
        <v>2927.0400000000009</v>
      </c>
      <c r="E6" s="10">
        <v>3908.9000000000024</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A1EF4-4210-419E-BD95-808C4CD6F1E3}">
  <dimension ref="A3:B16"/>
  <sheetViews>
    <sheetView workbookViewId="0">
      <selection activeCell="G9" sqref="G9"/>
    </sheetView>
  </sheetViews>
  <sheetFormatPr defaultRowHeight="12.75" x14ac:dyDescent="0.2"/>
  <cols>
    <col min="1" max="1" width="13.85546875" bestFit="1" customWidth="1"/>
    <col min="2" max="2" width="13.140625" bestFit="1" customWidth="1"/>
  </cols>
  <sheetData>
    <row r="3" spans="1:2" x14ac:dyDescent="0.2">
      <c r="A3" s="8" t="s">
        <v>1332</v>
      </c>
      <c r="B3" t="s">
        <v>1335</v>
      </c>
    </row>
    <row r="4" spans="1:2" x14ac:dyDescent="0.2">
      <c r="A4" s="9" t="s">
        <v>1337</v>
      </c>
      <c r="B4" s="10">
        <v>3551.0099999999998</v>
      </c>
    </row>
    <row r="5" spans="1:2" x14ac:dyDescent="0.2">
      <c r="A5" s="9" t="s">
        <v>1338</v>
      </c>
      <c r="B5" s="10">
        <v>3144.3400000000006</v>
      </c>
    </row>
    <row r="6" spans="1:2" x14ac:dyDescent="0.2">
      <c r="A6" s="9" t="s">
        <v>1339</v>
      </c>
      <c r="B6" s="10">
        <v>2130.67</v>
      </c>
    </row>
    <row r="7" spans="1:2" x14ac:dyDescent="0.2">
      <c r="A7" s="9" t="s">
        <v>1340</v>
      </c>
      <c r="B7" s="10">
        <v>2446.0099999999998</v>
      </c>
    </row>
    <row r="8" spans="1:2" x14ac:dyDescent="0.2">
      <c r="A8" s="9" t="s">
        <v>1341</v>
      </c>
      <c r="B8" s="10">
        <v>3040.52</v>
      </c>
    </row>
    <row r="9" spans="1:2" x14ac:dyDescent="0.2">
      <c r="A9" s="9" t="s">
        <v>1342</v>
      </c>
      <c r="B9" s="10">
        <v>588.96</v>
      </c>
    </row>
    <row r="10" spans="1:2" x14ac:dyDescent="0.2">
      <c r="A10" s="9" t="s">
        <v>1343</v>
      </c>
      <c r="B10" s="10">
        <v>9249.2100000000009</v>
      </c>
    </row>
    <row r="11" spans="1:2" x14ac:dyDescent="0.2">
      <c r="A11" s="9" t="s">
        <v>1344</v>
      </c>
      <c r="B11" s="10">
        <v>3144.88</v>
      </c>
    </row>
    <row r="12" spans="1:2" x14ac:dyDescent="0.2">
      <c r="A12" s="9" t="s">
        <v>1345</v>
      </c>
      <c r="B12" s="10">
        <v>7321.4599999999991</v>
      </c>
    </row>
    <row r="13" spans="1:2" x14ac:dyDescent="0.2">
      <c r="A13" s="9" t="s">
        <v>1346</v>
      </c>
      <c r="B13" s="10">
        <v>3093.79</v>
      </c>
    </row>
    <row r="14" spans="1:2" x14ac:dyDescent="0.2">
      <c r="A14" s="9" t="s">
        <v>1347</v>
      </c>
      <c r="B14" s="10">
        <v>2108.77</v>
      </c>
    </row>
    <row r="15" spans="1:2" x14ac:dyDescent="0.2">
      <c r="A15" s="9" t="s">
        <v>1348</v>
      </c>
      <c r="B15" s="10">
        <v>2961.1000000000004</v>
      </c>
    </row>
    <row r="16" spans="1:2" x14ac:dyDescent="0.2">
      <c r="A16" s="9" t="s">
        <v>1334</v>
      </c>
      <c r="B16" s="10">
        <v>42780.719999999994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C782BE-B43F-46D0-8726-D00F28BF71D3}">
  <dimension ref="A3:B9"/>
  <sheetViews>
    <sheetView workbookViewId="0">
      <selection activeCell="H27" sqref="H27"/>
    </sheetView>
  </sheetViews>
  <sheetFormatPr defaultRowHeight="12.75" x14ac:dyDescent="0.2"/>
  <cols>
    <col min="1" max="1" width="16.7109375" bestFit="1" customWidth="1"/>
    <col min="2" max="2" width="12.85546875" bestFit="1" customWidth="1"/>
  </cols>
  <sheetData>
    <row r="3" spans="1:2" x14ac:dyDescent="0.2">
      <c r="A3" s="8" t="s">
        <v>1332</v>
      </c>
      <c r="B3" t="s">
        <v>1333</v>
      </c>
    </row>
    <row r="4" spans="1:2" x14ac:dyDescent="0.2">
      <c r="A4" s="9" t="s">
        <v>934</v>
      </c>
      <c r="B4" s="10">
        <v>1379.98</v>
      </c>
    </row>
    <row r="5" spans="1:2" x14ac:dyDescent="0.2">
      <c r="A5" s="9" t="s">
        <v>865</v>
      </c>
      <c r="B5" s="10">
        <v>843.17</v>
      </c>
    </row>
    <row r="6" spans="1:2" x14ac:dyDescent="0.2">
      <c r="A6" s="9" t="s">
        <v>323</v>
      </c>
      <c r="B6" s="10">
        <v>336.64</v>
      </c>
    </row>
    <row r="7" spans="1:2" x14ac:dyDescent="0.2">
      <c r="A7" s="9" t="s">
        <v>649</v>
      </c>
      <c r="B7" s="10">
        <v>305.13</v>
      </c>
    </row>
    <row r="8" spans="1:2" x14ac:dyDescent="0.2">
      <c r="A8" s="9" t="s">
        <v>213</v>
      </c>
      <c r="B8" s="10">
        <v>272.79000000000002</v>
      </c>
    </row>
    <row r="9" spans="1:2" x14ac:dyDescent="0.2">
      <c r="A9" s="9" t="s">
        <v>1334</v>
      </c>
      <c r="B9" s="10">
        <v>3137.71</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F2B76A-FAA8-4B9C-8702-BF57C987DFCB}">
  <dimension ref="A3:F49"/>
  <sheetViews>
    <sheetView topLeftCell="A3" workbookViewId="0">
      <selection activeCell="N16" sqref="N16"/>
    </sheetView>
  </sheetViews>
  <sheetFormatPr defaultRowHeight="12.75" x14ac:dyDescent="0.2"/>
  <cols>
    <col min="1" max="1" width="14.140625" bestFit="1" customWidth="1"/>
    <col min="2" max="2" width="13.140625" bestFit="1" customWidth="1"/>
  </cols>
  <sheetData>
    <row r="3" spans="1:6" x14ac:dyDescent="0.2">
      <c r="A3" s="8" t="s">
        <v>1332</v>
      </c>
      <c r="B3" t="s">
        <v>1335</v>
      </c>
      <c r="E3" t="s">
        <v>1332</v>
      </c>
      <c r="F3" t="s">
        <v>1335</v>
      </c>
    </row>
    <row r="4" spans="1:6" x14ac:dyDescent="0.2">
      <c r="A4" s="9" t="s">
        <v>83</v>
      </c>
      <c r="B4" s="10">
        <v>679.11</v>
      </c>
      <c r="E4" t="s">
        <v>320</v>
      </c>
      <c r="F4">
        <v>1646.3200000000002</v>
      </c>
    </row>
    <row r="5" spans="1:6" x14ac:dyDescent="0.2">
      <c r="A5" s="9" t="s">
        <v>27</v>
      </c>
      <c r="B5" s="10">
        <v>5825.6699999999992</v>
      </c>
      <c r="E5" t="s">
        <v>83</v>
      </c>
      <c r="F5">
        <v>3328.8399999999997</v>
      </c>
    </row>
    <row r="6" spans="1:6" x14ac:dyDescent="0.2">
      <c r="A6" s="9" t="s">
        <v>200</v>
      </c>
      <c r="B6" s="10">
        <v>627.4</v>
      </c>
      <c r="E6" t="s">
        <v>87</v>
      </c>
      <c r="F6">
        <v>729.92</v>
      </c>
    </row>
    <row r="7" spans="1:6" x14ac:dyDescent="0.2">
      <c r="A7" s="9" t="s">
        <v>394</v>
      </c>
      <c r="B7" s="10">
        <v>385.28000000000003</v>
      </c>
      <c r="E7" t="s">
        <v>27</v>
      </c>
      <c r="F7">
        <v>34184.07</v>
      </c>
    </row>
    <row r="8" spans="1:6" x14ac:dyDescent="0.2">
      <c r="A8" s="9" t="s">
        <v>54</v>
      </c>
      <c r="B8" s="10">
        <v>65.97</v>
      </c>
      <c r="E8" t="s">
        <v>200</v>
      </c>
      <c r="F8">
        <v>2128.04</v>
      </c>
    </row>
    <row r="9" spans="1:6" x14ac:dyDescent="0.2">
      <c r="A9" s="9" t="s">
        <v>101</v>
      </c>
      <c r="B9" s="10">
        <v>1716.0400000000002</v>
      </c>
      <c r="E9" t="s">
        <v>394</v>
      </c>
      <c r="F9">
        <v>1218.21</v>
      </c>
    </row>
    <row r="10" spans="1:6" x14ac:dyDescent="0.2">
      <c r="A10" s="9" t="s">
        <v>30</v>
      </c>
      <c r="B10" s="10">
        <v>438.14</v>
      </c>
      <c r="E10" t="s">
        <v>54</v>
      </c>
      <c r="F10">
        <v>1153.8000000000002</v>
      </c>
    </row>
    <row r="11" spans="1:6" x14ac:dyDescent="0.2">
      <c r="A11" s="9" t="s">
        <v>15</v>
      </c>
      <c r="B11" s="10">
        <v>1459.3600000000001</v>
      </c>
      <c r="E11" t="s">
        <v>101</v>
      </c>
      <c r="F11">
        <v>11484.81</v>
      </c>
    </row>
    <row r="12" spans="1:6" x14ac:dyDescent="0.2">
      <c r="A12" s="9" t="s">
        <v>262</v>
      </c>
      <c r="B12" s="10">
        <v>18.28</v>
      </c>
      <c r="E12" t="s">
        <v>30</v>
      </c>
      <c r="F12">
        <v>4345.8199999999988</v>
      </c>
    </row>
    <row r="13" spans="1:6" x14ac:dyDescent="0.2">
      <c r="A13" s="9" t="s">
        <v>32</v>
      </c>
      <c r="B13" s="10">
        <v>281.24</v>
      </c>
      <c r="E13" t="s">
        <v>334</v>
      </c>
      <c r="F13">
        <v>41.96</v>
      </c>
    </row>
    <row r="14" spans="1:6" x14ac:dyDescent="0.2">
      <c r="A14" s="9" t="s">
        <v>287</v>
      </c>
      <c r="B14" s="10">
        <v>1500.0700000000002</v>
      </c>
      <c r="E14" t="s">
        <v>15</v>
      </c>
      <c r="F14">
        <v>9536.3400000000056</v>
      </c>
    </row>
    <row r="15" spans="1:6" x14ac:dyDescent="0.2">
      <c r="A15" s="9" t="s">
        <v>94</v>
      </c>
      <c r="B15" s="10">
        <v>920.3900000000001</v>
      </c>
      <c r="E15" t="s">
        <v>107</v>
      </c>
      <c r="F15">
        <v>388.62</v>
      </c>
    </row>
    <row r="16" spans="1:6" x14ac:dyDescent="0.2">
      <c r="A16" s="9" t="s">
        <v>221</v>
      </c>
      <c r="B16" s="10">
        <v>1793.98</v>
      </c>
      <c r="E16" t="s">
        <v>262</v>
      </c>
      <c r="F16">
        <v>151.59</v>
      </c>
    </row>
    <row r="17" spans="1:6" x14ac:dyDescent="0.2">
      <c r="A17" s="9" t="s">
        <v>227</v>
      </c>
      <c r="B17" s="10">
        <v>1631.72</v>
      </c>
      <c r="E17" t="s">
        <v>752</v>
      </c>
      <c r="F17">
        <v>273.95999999999998</v>
      </c>
    </row>
    <row r="18" spans="1:6" x14ac:dyDescent="0.2">
      <c r="A18" s="9" t="s">
        <v>148</v>
      </c>
      <c r="B18" s="10">
        <v>26.7</v>
      </c>
      <c r="E18" t="s">
        <v>32</v>
      </c>
      <c r="F18">
        <v>1924.3500000000001</v>
      </c>
    </row>
    <row r="19" spans="1:6" x14ac:dyDescent="0.2">
      <c r="A19" s="9" t="s">
        <v>337</v>
      </c>
      <c r="B19" s="10">
        <v>3496.22</v>
      </c>
      <c r="E19" t="s">
        <v>57</v>
      </c>
      <c r="F19">
        <v>569.02</v>
      </c>
    </row>
    <row r="20" spans="1:6" x14ac:dyDescent="0.2">
      <c r="A20" s="9" t="s">
        <v>104</v>
      </c>
      <c r="B20" s="10">
        <v>75.790000000000006</v>
      </c>
      <c r="E20" t="s">
        <v>344</v>
      </c>
      <c r="F20">
        <v>311.08</v>
      </c>
    </row>
    <row r="21" spans="1:6" x14ac:dyDescent="0.2">
      <c r="A21" s="9" t="s">
        <v>442</v>
      </c>
      <c r="B21" s="10">
        <v>357.03</v>
      </c>
      <c r="E21" t="s">
        <v>287</v>
      </c>
      <c r="F21">
        <v>1658.93</v>
      </c>
    </row>
    <row r="22" spans="1:6" x14ac:dyDescent="0.2">
      <c r="A22" s="9" t="s">
        <v>142</v>
      </c>
      <c r="B22" s="10">
        <v>270.19</v>
      </c>
      <c r="E22" t="s">
        <v>94</v>
      </c>
      <c r="F22">
        <v>7395.2400000000007</v>
      </c>
    </row>
    <row r="23" spans="1:6" x14ac:dyDescent="0.2">
      <c r="A23" s="9" t="s">
        <v>264</v>
      </c>
      <c r="B23" s="10">
        <v>92.52</v>
      </c>
      <c r="E23" t="s">
        <v>221</v>
      </c>
      <c r="F23">
        <v>2469.2499999999995</v>
      </c>
    </row>
    <row r="24" spans="1:6" x14ac:dyDescent="0.2">
      <c r="A24" s="9" t="s">
        <v>120</v>
      </c>
      <c r="B24" s="10">
        <v>3684.4500000000007</v>
      </c>
      <c r="E24" t="s">
        <v>227</v>
      </c>
      <c r="F24">
        <v>2356.09</v>
      </c>
    </row>
    <row r="25" spans="1:6" x14ac:dyDescent="0.2">
      <c r="A25" s="9" t="s">
        <v>187</v>
      </c>
      <c r="B25" s="10">
        <v>1586.12</v>
      </c>
      <c r="E25" t="s">
        <v>148</v>
      </c>
      <c r="F25">
        <v>992.43</v>
      </c>
    </row>
    <row r="26" spans="1:6" x14ac:dyDescent="0.2">
      <c r="A26" s="9" t="s">
        <v>68</v>
      </c>
      <c r="B26" s="10">
        <v>1350.9500000000003</v>
      </c>
      <c r="E26" t="s">
        <v>337</v>
      </c>
      <c r="F26">
        <v>3525.2599999999998</v>
      </c>
    </row>
    <row r="27" spans="1:6" x14ac:dyDescent="0.2">
      <c r="A27" s="9" t="s">
        <v>79</v>
      </c>
      <c r="B27" s="10">
        <v>35.21</v>
      </c>
      <c r="E27" t="s">
        <v>616</v>
      </c>
      <c r="F27">
        <v>28.4</v>
      </c>
    </row>
    <row r="28" spans="1:6" x14ac:dyDescent="0.2">
      <c r="A28" s="9" t="s">
        <v>23</v>
      </c>
      <c r="B28" s="10">
        <v>2003.0600000000002</v>
      </c>
      <c r="E28" t="s">
        <v>104</v>
      </c>
      <c r="F28">
        <v>192.65</v>
      </c>
    </row>
    <row r="29" spans="1:6" x14ac:dyDescent="0.2">
      <c r="A29" s="9" t="s">
        <v>63</v>
      </c>
      <c r="B29" s="10">
        <v>62.91</v>
      </c>
      <c r="E29" t="s">
        <v>442</v>
      </c>
      <c r="F29">
        <v>449.11</v>
      </c>
    </row>
    <row r="30" spans="1:6" x14ac:dyDescent="0.2">
      <c r="A30" s="9" t="s">
        <v>113</v>
      </c>
      <c r="B30" s="10">
        <v>2.97</v>
      </c>
      <c r="E30" t="s">
        <v>142</v>
      </c>
      <c r="F30">
        <v>664.57000000000016</v>
      </c>
    </row>
    <row r="31" spans="1:6" x14ac:dyDescent="0.2">
      <c r="A31" s="9" t="s">
        <v>98</v>
      </c>
      <c r="B31" s="10">
        <v>548.16</v>
      </c>
      <c r="E31" t="s">
        <v>264</v>
      </c>
      <c r="F31">
        <v>92.52</v>
      </c>
    </row>
    <row r="32" spans="1:6" x14ac:dyDescent="0.2">
      <c r="A32" s="9" t="s">
        <v>10</v>
      </c>
      <c r="B32" s="10">
        <v>3961.5800000000004</v>
      </c>
      <c r="E32" t="s">
        <v>120</v>
      </c>
      <c r="F32">
        <v>24564.66</v>
      </c>
    </row>
    <row r="33" spans="1:6" x14ac:dyDescent="0.2">
      <c r="A33" s="9" t="s">
        <v>211</v>
      </c>
      <c r="B33" s="10">
        <v>2062.31</v>
      </c>
      <c r="E33" t="s">
        <v>187</v>
      </c>
      <c r="F33">
        <v>17029.989999999998</v>
      </c>
    </row>
    <row r="34" spans="1:6" x14ac:dyDescent="0.2">
      <c r="A34" s="9" t="s">
        <v>1224</v>
      </c>
      <c r="B34" s="10">
        <v>1294.75</v>
      </c>
      <c r="E34" t="s">
        <v>1323</v>
      </c>
      <c r="F34">
        <v>131.94</v>
      </c>
    </row>
    <row r="35" spans="1:6" x14ac:dyDescent="0.2">
      <c r="A35" s="9" t="s">
        <v>51</v>
      </c>
      <c r="B35" s="10">
        <v>409.63</v>
      </c>
      <c r="E35" t="s">
        <v>68</v>
      </c>
      <c r="F35">
        <v>4961.4400000000005</v>
      </c>
    </row>
    <row r="36" spans="1:6" x14ac:dyDescent="0.2">
      <c r="A36" s="9" t="s">
        <v>134</v>
      </c>
      <c r="B36" s="10">
        <v>2872.75</v>
      </c>
      <c r="E36" t="s">
        <v>518</v>
      </c>
      <c r="F36">
        <v>3292.73</v>
      </c>
    </row>
    <row r="37" spans="1:6" x14ac:dyDescent="0.2">
      <c r="A37" s="9" t="s">
        <v>127</v>
      </c>
      <c r="B37" s="10">
        <v>1244.77</v>
      </c>
      <c r="E37" t="s">
        <v>79</v>
      </c>
      <c r="F37">
        <v>788.83999999999992</v>
      </c>
    </row>
    <row r="38" spans="1:6" x14ac:dyDescent="0.2">
      <c r="A38" s="9" t="s">
        <v>1334</v>
      </c>
      <c r="B38" s="10">
        <v>42780.719999999994</v>
      </c>
      <c r="E38" t="s">
        <v>23</v>
      </c>
      <c r="F38">
        <v>12490.21</v>
      </c>
    </row>
    <row r="39" spans="1:6" x14ac:dyDescent="0.2">
      <c r="E39" t="s">
        <v>863</v>
      </c>
      <c r="F39">
        <v>49.96</v>
      </c>
    </row>
    <row r="40" spans="1:6" x14ac:dyDescent="0.2">
      <c r="E40" t="s">
        <v>63</v>
      </c>
      <c r="F40">
        <v>432.00999999999993</v>
      </c>
    </row>
    <row r="41" spans="1:6" x14ac:dyDescent="0.2">
      <c r="E41" t="s">
        <v>113</v>
      </c>
      <c r="F41">
        <v>23.2</v>
      </c>
    </row>
    <row r="42" spans="1:6" x14ac:dyDescent="0.2">
      <c r="E42" t="s">
        <v>98</v>
      </c>
      <c r="F42">
        <v>1087.7199999999998</v>
      </c>
    </row>
    <row r="43" spans="1:6" x14ac:dyDescent="0.2">
      <c r="E43" t="s">
        <v>10</v>
      </c>
      <c r="F43">
        <v>13885.760000000002</v>
      </c>
    </row>
    <row r="44" spans="1:6" x14ac:dyDescent="0.2">
      <c r="E44" t="s">
        <v>211</v>
      </c>
      <c r="F44">
        <v>3269.3</v>
      </c>
    </row>
    <row r="45" spans="1:6" x14ac:dyDescent="0.2">
      <c r="E45" t="s">
        <v>1224</v>
      </c>
      <c r="F45">
        <v>1294.75</v>
      </c>
    </row>
    <row r="46" spans="1:6" x14ac:dyDescent="0.2">
      <c r="E46" t="s">
        <v>51</v>
      </c>
      <c r="F46">
        <v>5764.8500000000013</v>
      </c>
    </row>
    <row r="47" spans="1:6" x14ac:dyDescent="0.2">
      <c r="E47" t="s">
        <v>134</v>
      </c>
      <c r="F47">
        <v>8935</v>
      </c>
    </row>
    <row r="48" spans="1:6" x14ac:dyDescent="0.2">
      <c r="E48" t="s">
        <v>127</v>
      </c>
      <c r="F48">
        <v>9680.18</v>
      </c>
    </row>
    <row r="49" spans="5:6" x14ac:dyDescent="0.2">
      <c r="E49" t="s">
        <v>1334</v>
      </c>
      <c r="F49">
        <v>200923.74000000002</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2B6E00-9BFF-4F4E-9729-78F69C714360}">
  <dimension ref="A2:F7"/>
  <sheetViews>
    <sheetView workbookViewId="0">
      <selection activeCell="B15" sqref="B15"/>
    </sheetView>
  </sheetViews>
  <sheetFormatPr defaultRowHeight="12.75" x14ac:dyDescent="0.2"/>
  <cols>
    <col min="1" max="1" width="12.85546875" bestFit="1" customWidth="1"/>
    <col min="6" max="6" width="12.28515625" bestFit="1" customWidth="1"/>
  </cols>
  <sheetData>
    <row r="2" spans="1:6" x14ac:dyDescent="0.2">
      <c r="A2" s="13">
        <f>GETPIVOTDATA("Profit",$A$3)</f>
        <v>15220.529999999999</v>
      </c>
    </row>
    <row r="3" spans="1:6" x14ac:dyDescent="0.2">
      <c r="A3" t="s">
        <v>1333</v>
      </c>
      <c r="C3">
        <v>668</v>
      </c>
      <c r="F3" s="16"/>
    </row>
    <row r="4" spans="1:6" x14ac:dyDescent="0.2">
      <c r="A4" s="12">
        <v>15220.529999999999</v>
      </c>
      <c r="C4" t="s">
        <v>1355</v>
      </c>
      <c r="F4" s="16">
        <v>200923.74000000028</v>
      </c>
    </row>
    <row r="5" spans="1:6" x14ac:dyDescent="0.2">
      <c r="C5">
        <v>668</v>
      </c>
      <c r="F5" s="16" t="s">
        <v>1335</v>
      </c>
    </row>
    <row r="6" spans="1:6" x14ac:dyDescent="0.2">
      <c r="F6" s="16">
        <v>200923.74000000028</v>
      </c>
    </row>
    <row r="7" spans="1:6" x14ac:dyDescent="0.2">
      <c r="F7" s="15"/>
    </row>
  </sheetData>
  <pageMargins left="0.7" right="0.7" top="0.75" bottom="0.75" header="0.3" footer="0.3"/>
  <pageSetup orientation="portrait" horizontalDpi="0" verticalDpi="0"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80C90B-CDA4-4612-B061-89814B9BBDF4}">
  <dimension ref="A2:A4"/>
  <sheetViews>
    <sheetView workbookViewId="0">
      <selection sqref="A1:A5"/>
    </sheetView>
  </sheetViews>
  <sheetFormatPr defaultRowHeight="12.75" x14ac:dyDescent="0.2"/>
  <cols>
    <col min="1" max="1" width="13.140625" bestFit="1" customWidth="1"/>
    <col min="2" max="2" width="14.140625" bestFit="1" customWidth="1"/>
  </cols>
  <sheetData>
    <row r="2" spans="1:1" x14ac:dyDescent="0.2">
      <c r="A2" s="14">
        <f>GETPIVOTDATA("Sum of Sales",$A$3)</f>
        <v>200923.74000000028</v>
      </c>
    </row>
    <row r="3" spans="1:1" x14ac:dyDescent="0.2">
      <c r="A3" t="s">
        <v>1335</v>
      </c>
    </row>
    <row r="4" spans="1:1" x14ac:dyDescent="0.2">
      <c r="A4" s="12">
        <v>200923.74000000028</v>
      </c>
    </row>
  </sheetData>
  <pageMargins left="0.7" right="0.7" top="0.75" bottom="0.75" header="0.3" footer="0.3"/>
  <pageSetup paperSize="9"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F6FB58-0467-465C-A2AE-4C4017C83A78}">
  <dimension ref="A2:A4"/>
  <sheetViews>
    <sheetView workbookViewId="0">
      <selection sqref="A1:A4"/>
    </sheetView>
  </sheetViews>
  <sheetFormatPr defaultRowHeight="12.75" x14ac:dyDescent="0.2"/>
  <cols>
    <col min="1" max="1" width="23.85546875" bestFit="1" customWidth="1"/>
  </cols>
  <sheetData>
    <row r="2" spans="1:1" x14ac:dyDescent="0.2">
      <c r="A2">
        <f>GETPIVOTDATA("Customer name",$A$3)</f>
        <v>668</v>
      </c>
    </row>
    <row r="3" spans="1:1" x14ac:dyDescent="0.2">
      <c r="A3" t="s">
        <v>1355</v>
      </c>
    </row>
    <row r="4" spans="1:1" x14ac:dyDescent="0.2">
      <c r="A4" s="10">
        <v>668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AE36E-0811-4F7B-A178-5FF337C82E10}">
  <dimension ref="A3:B8"/>
  <sheetViews>
    <sheetView workbookViewId="0">
      <selection activeCell="G26" sqref="G26"/>
    </sheetView>
  </sheetViews>
  <sheetFormatPr defaultRowHeight="12.75" x14ac:dyDescent="0.2"/>
  <cols>
    <col min="1" max="1" width="13.85546875" bestFit="1" customWidth="1"/>
    <col min="2" max="2" width="23.85546875" bestFit="1" customWidth="1"/>
  </cols>
  <sheetData>
    <row r="3" spans="1:2" x14ac:dyDescent="0.2">
      <c r="A3" s="8" t="s">
        <v>1332</v>
      </c>
      <c r="B3" t="s">
        <v>1355</v>
      </c>
    </row>
    <row r="4" spans="1:2" x14ac:dyDescent="0.2">
      <c r="A4" s="9" t="s">
        <v>1350</v>
      </c>
      <c r="B4" s="10">
        <v>209</v>
      </c>
    </row>
    <row r="5" spans="1:2" x14ac:dyDescent="0.2">
      <c r="A5" s="9" t="s">
        <v>1351</v>
      </c>
      <c r="B5" s="10">
        <v>171</v>
      </c>
    </row>
    <row r="6" spans="1:2" x14ac:dyDescent="0.2">
      <c r="A6" s="9" t="s">
        <v>1352</v>
      </c>
      <c r="B6" s="10">
        <v>164</v>
      </c>
    </row>
    <row r="7" spans="1:2" x14ac:dyDescent="0.2">
      <c r="A7" s="9" t="s">
        <v>1353</v>
      </c>
      <c r="B7" s="10">
        <v>124</v>
      </c>
    </row>
    <row r="8" spans="1:2" x14ac:dyDescent="0.2">
      <c r="A8" s="9" t="s">
        <v>1334</v>
      </c>
      <c r="B8" s="10">
        <v>668</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2A1779-7515-440E-96C6-E7709A1F0C9D}">
  <dimension ref="A3:B671"/>
  <sheetViews>
    <sheetView topLeftCell="A4" workbookViewId="0">
      <selection activeCell="H36" sqref="H36"/>
    </sheetView>
  </sheetViews>
  <sheetFormatPr defaultRowHeight="12.75" x14ac:dyDescent="0.2"/>
  <cols>
    <col min="2" max="2" width="16.5703125" customWidth="1"/>
  </cols>
  <sheetData>
    <row r="3" spans="1:2" x14ac:dyDescent="0.2">
      <c r="A3" s="11" t="s">
        <v>1349</v>
      </c>
      <c r="B3" s="11" t="s">
        <v>1354</v>
      </c>
    </row>
    <row r="4" spans="1:2" x14ac:dyDescent="0.2">
      <c r="A4" t="s">
        <v>1350</v>
      </c>
      <c r="B4" t="s">
        <v>14</v>
      </c>
    </row>
    <row r="5" spans="1:2" x14ac:dyDescent="0.2">
      <c r="A5" t="s">
        <v>1350</v>
      </c>
      <c r="B5" t="s">
        <v>22</v>
      </c>
    </row>
    <row r="6" spans="1:2" x14ac:dyDescent="0.2">
      <c r="A6" t="s">
        <v>1350</v>
      </c>
      <c r="B6" t="s">
        <v>26</v>
      </c>
    </row>
    <row r="7" spans="1:2" x14ac:dyDescent="0.2">
      <c r="A7" t="s">
        <v>1350</v>
      </c>
      <c r="B7" t="s">
        <v>43</v>
      </c>
    </row>
    <row r="8" spans="1:2" x14ac:dyDescent="0.2">
      <c r="A8" t="s">
        <v>1350</v>
      </c>
      <c r="B8" t="s">
        <v>46</v>
      </c>
    </row>
    <row r="9" spans="1:2" x14ac:dyDescent="0.2">
      <c r="A9" t="s">
        <v>1350</v>
      </c>
      <c r="B9" t="s">
        <v>50</v>
      </c>
    </row>
    <row r="10" spans="1:2" x14ac:dyDescent="0.2">
      <c r="A10" t="s">
        <v>1350</v>
      </c>
      <c r="B10" t="s">
        <v>53</v>
      </c>
    </row>
    <row r="11" spans="1:2" x14ac:dyDescent="0.2">
      <c r="A11" t="s">
        <v>1350</v>
      </c>
      <c r="B11" t="s">
        <v>56</v>
      </c>
    </row>
    <row r="12" spans="1:2" x14ac:dyDescent="0.2">
      <c r="A12" t="s">
        <v>1350</v>
      </c>
      <c r="B12" t="s">
        <v>70</v>
      </c>
    </row>
    <row r="13" spans="1:2" x14ac:dyDescent="0.2">
      <c r="A13" t="s">
        <v>1350</v>
      </c>
      <c r="B13" t="s">
        <v>72</v>
      </c>
    </row>
    <row r="14" spans="1:2" x14ac:dyDescent="0.2">
      <c r="A14" t="s">
        <v>1350</v>
      </c>
      <c r="B14" t="s">
        <v>74</v>
      </c>
    </row>
    <row r="15" spans="1:2" x14ac:dyDescent="0.2">
      <c r="A15" t="s">
        <v>1350</v>
      </c>
      <c r="B15" t="s">
        <v>78</v>
      </c>
    </row>
    <row r="16" spans="1:2" x14ac:dyDescent="0.2">
      <c r="A16" t="s">
        <v>1350</v>
      </c>
      <c r="B16" t="s">
        <v>82</v>
      </c>
    </row>
    <row r="17" spans="1:2" x14ac:dyDescent="0.2">
      <c r="A17" t="s">
        <v>1350</v>
      </c>
      <c r="B17" t="s">
        <v>86</v>
      </c>
    </row>
    <row r="18" spans="1:2" x14ac:dyDescent="0.2">
      <c r="A18" t="s">
        <v>1350</v>
      </c>
      <c r="B18" t="s">
        <v>100</v>
      </c>
    </row>
    <row r="19" spans="1:2" x14ac:dyDescent="0.2">
      <c r="A19" t="s">
        <v>1350</v>
      </c>
      <c r="B19" t="s">
        <v>103</v>
      </c>
    </row>
    <row r="20" spans="1:2" x14ac:dyDescent="0.2">
      <c r="A20" t="s">
        <v>1350</v>
      </c>
      <c r="B20" t="s">
        <v>108</v>
      </c>
    </row>
    <row r="21" spans="1:2" x14ac:dyDescent="0.2">
      <c r="A21" t="s">
        <v>1350</v>
      </c>
      <c r="B21" t="s">
        <v>116</v>
      </c>
    </row>
    <row r="22" spans="1:2" x14ac:dyDescent="0.2">
      <c r="A22" t="s">
        <v>1350</v>
      </c>
      <c r="B22" t="s">
        <v>119</v>
      </c>
    </row>
    <row r="23" spans="1:2" x14ac:dyDescent="0.2">
      <c r="A23" t="s">
        <v>1350</v>
      </c>
      <c r="B23" t="s">
        <v>122</v>
      </c>
    </row>
    <row r="24" spans="1:2" x14ac:dyDescent="0.2">
      <c r="A24" t="s">
        <v>1350</v>
      </c>
      <c r="B24" t="s">
        <v>124</v>
      </c>
    </row>
    <row r="25" spans="1:2" x14ac:dyDescent="0.2">
      <c r="A25" t="s">
        <v>1350</v>
      </c>
      <c r="B25" t="s">
        <v>126</v>
      </c>
    </row>
    <row r="26" spans="1:2" x14ac:dyDescent="0.2">
      <c r="A26" t="s">
        <v>1350</v>
      </c>
      <c r="B26" t="s">
        <v>129</v>
      </c>
    </row>
    <row r="27" spans="1:2" x14ac:dyDescent="0.2">
      <c r="A27" t="s">
        <v>1350</v>
      </c>
      <c r="B27" t="s">
        <v>136</v>
      </c>
    </row>
    <row r="28" spans="1:2" x14ac:dyDescent="0.2">
      <c r="A28" t="s">
        <v>1350</v>
      </c>
      <c r="B28" t="s">
        <v>138</v>
      </c>
    </row>
    <row r="29" spans="1:2" x14ac:dyDescent="0.2">
      <c r="A29" t="s">
        <v>1350</v>
      </c>
      <c r="B29" t="s">
        <v>141</v>
      </c>
    </row>
    <row r="30" spans="1:2" x14ac:dyDescent="0.2">
      <c r="A30" t="s">
        <v>1350</v>
      </c>
      <c r="B30" t="s">
        <v>144</v>
      </c>
    </row>
    <row r="31" spans="1:2" x14ac:dyDescent="0.2">
      <c r="A31" t="s">
        <v>1350</v>
      </c>
      <c r="B31" t="s">
        <v>153</v>
      </c>
    </row>
    <row r="32" spans="1:2" x14ac:dyDescent="0.2">
      <c r="A32" t="s">
        <v>1350</v>
      </c>
      <c r="B32" t="s">
        <v>155</v>
      </c>
    </row>
    <row r="33" spans="1:2" x14ac:dyDescent="0.2">
      <c r="A33" t="s">
        <v>1350</v>
      </c>
      <c r="B33" t="s">
        <v>160</v>
      </c>
    </row>
    <row r="34" spans="1:2" x14ac:dyDescent="0.2">
      <c r="A34" t="s">
        <v>1350</v>
      </c>
      <c r="B34" t="s">
        <v>162</v>
      </c>
    </row>
    <row r="35" spans="1:2" x14ac:dyDescent="0.2">
      <c r="A35" t="s">
        <v>1350</v>
      </c>
      <c r="B35" t="s">
        <v>166</v>
      </c>
    </row>
    <row r="36" spans="1:2" x14ac:dyDescent="0.2">
      <c r="A36" t="s">
        <v>1350</v>
      </c>
      <c r="B36" t="s">
        <v>169</v>
      </c>
    </row>
    <row r="37" spans="1:2" x14ac:dyDescent="0.2">
      <c r="A37" t="s">
        <v>1350</v>
      </c>
      <c r="B37" t="s">
        <v>173</v>
      </c>
    </row>
    <row r="38" spans="1:2" x14ac:dyDescent="0.2">
      <c r="A38" t="s">
        <v>1350</v>
      </c>
      <c r="B38" t="s">
        <v>175</v>
      </c>
    </row>
    <row r="39" spans="1:2" x14ac:dyDescent="0.2">
      <c r="A39" t="s">
        <v>1350</v>
      </c>
      <c r="B39" t="s">
        <v>178</v>
      </c>
    </row>
    <row r="40" spans="1:2" x14ac:dyDescent="0.2">
      <c r="A40" t="s">
        <v>1350</v>
      </c>
      <c r="B40" t="s">
        <v>180</v>
      </c>
    </row>
    <row r="41" spans="1:2" x14ac:dyDescent="0.2">
      <c r="A41" t="s">
        <v>1350</v>
      </c>
      <c r="B41" t="s">
        <v>190</v>
      </c>
    </row>
    <row r="42" spans="1:2" x14ac:dyDescent="0.2">
      <c r="A42" t="s">
        <v>1350</v>
      </c>
      <c r="B42" t="s">
        <v>192</v>
      </c>
    </row>
    <row r="43" spans="1:2" x14ac:dyDescent="0.2">
      <c r="A43" t="s">
        <v>1350</v>
      </c>
      <c r="B43" t="s">
        <v>168</v>
      </c>
    </row>
    <row r="44" spans="1:2" x14ac:dyDescent="0.2">
      <c r="A44" t="s">
        <v>1350</v>
      </c>
      <c r="B44" t="s">
        <v>197</v>
      </c>
    </row>
    <row r="45" spans="1:2" x14ac:dyDescent="0.2">
      <c r="A45" t="s">
        <v>1350</v>
      </c>
      <c r="B45" t="s">
        <v>202</v>
      </c>
    </row>
    <row r="46" spans="1:2" x14ac:dyDescent="0.2">
      <c r="A46" t="s">
        <v>1350</v>
      </c>
      <c r="B46" t="s">
        <v>216</v>
      </c>
    </row>
    <row r="47" spans="1:2" x14ac:dyDescent="0.2">
      <c r="A47" t="s">
        <v>1350</v>
      </c>
      <c r="B47" t="s">
        <v>184</v>
      </c>
    </row>
    <row r="48" spans="1:2" x14ac:dyDescent="0.2">
      <c r="A48" t="s">
        <v>1350</v>
      </c>
      <c r="B48" t="s">
        <v>220</v>
      </c>
    </row>
    <row r="49" spans="1:2" x14ac:dyDescent="0.2">
      <c r="A49" t="s">
        <v>1350</v>
      </c>
      <c r="B49" t="s">
        <v>231</v>
      </c>
    </row>
    <row r="50" spans="1:2" x14ac:dyDescent="0.2">
      <c r="A50" t="s">
        <v>1350</v>
      </c>
      <c r="B50" t="s">
        <v>235</v>
      </c>
    </row>
    <row r="51" spans="1:2" x14ac:dyDescent="0.2">
      <c r="A51" t="s">
        <v>1350</v>
      </c>
      <c r="B51" t="s">
        <v>238</v>
      </c>
    </row>
    <row r="52" spans="1:2" x14ac:dyDescent="0.2">
      <c r="A52" t="s">
        <v>1350</v>
      </c>
      <c r="B52" t="s">
        <v>245</v>
      </c>
    </row>
    <row r="53" spans="1:2" x14ac:dyDescent="0.2">
      <c r="A53" t="s">
        <v>1350</v>
      </c>
      <c r="B53" t="s">
        <v>248</v>
      </c>
    </row>
    <row r="54" spans="1:2" x14ac:dyDescent="0.2">
      <c r="A54" t="s">
        <v>1350</v>
      </c>
      <c r="B54" t="s">
        <v>252</v>
      </c>
    </row>
    <row r="55" spans="1:2" x14ac:dyDescent="0.2">
      <c r="A55" t="s">
        <v>1350</v>
      </c>
      <c r="B55" t="s">
        <v>226</v>
      </c>
    </row>
    <row r="56" spans="1:2" x14ac:dyDescent="0.2">
      <c r="A56" t="s">
        <v>1350</v>
      </c>
      <c r="B56" t="s">
        <v>257</v>
      </c>
    </row>
    <row r="57" spans="1:2" x14ac:dyDescent="0.2">
      <c r="A57" t="s">
        <v>1350</v>
      </c>
      <c r="B57" t="s">
        <v>261</v>
      </c>
    </row>
    <row r="58" spans="1:2" x14ac:dyDescent="0.2">
      <c r="A58" t="s">
        <v>1350</v>
      </c>
      <c r="B58" t="s">
        <v>268</v>
      </c>
    </row>
    <row r="59" spans="1:2" x14ac:dyDescent="0.2">
      <c r="A59" t="s">
        <v>1350</v>
      </c>
      <c r="B59" t="s">
        <v>270</v>
      </c>
    </row>
    <row r="60" spans="1:2" x14ac:dyDescent="0.2">
      <c r="A60" t="s">
        <v>1350</v>
      </c>
      <c r="B60" t="s">
        <v>278</v>
      </c>
    </row>
    <row r="61" spans="1:2" x14ac:dyDescent="0.2">
      <c r="A61" t="s">
        <v>1350</v>
      </c>
      <c r="B61" t="s">
        <v>290</v>
      </c>
    </row>
    <row r="62" spans="1:2" x14ac:dyDescent="0.2">
      <c r="A62" t="s">
        <v>1350</v>
      </c>
      <c r="B62" t="s">
        <v>295</v>
      </c>
    </row>
    <row r="63" spans="1:2" x14ac:dyDescent="0.2">
      <c r="A63" t="s">
        <v>1350</v>
      </c>
      <c r="B63" t="s">
        <v>301</v>
      </c>
    </row>
    <row r="64" spans="1:2" x14ac:dyDescent="0.2">
      <c r="A64" t="s">
        <v>1350</v>
      </c>
      <c r="B64" t="s">
        <v>310</v>
      </c>
    </row>
    <row r="65" spans="1:2" x14ac:dyDescent="0.2">
      <c r="A65" t="s">
        <v>1350</v>
      </c>
      <c r="B65" t="s">
        <v>319</v>
      </c>
    </row>
    <row r="66" spans="1:2" x14ac:dyDescent="0.2">
      <c r="A66" t="s">
        <v>1350</v>
      </c>
      <c r="B66" t="s">
        <v>324</v>
      </c>
    </row>
    <row r="67" spans="1:2" x14ac:dyDescent="0.2">
      <c r="A67" t="s">
        <v>1350</v>
      </c>
      <c r="B67" t="s">
        <v>331</v>
      </c>
    </row>
    <row r="68" spans="1:2" x14ac:dyDescent="0.2">
      <c r="A68" t="s">
        <v>1350</v>
      </c>
      <c r="B68" t="s">
        <v>338</v>
      </c>
    </row>
    <row r="69" spans="1:2" x14ac:dyDescent="0.2">
      <c r="A69" t="s">
        <v>1350</v>
      </c>
      <c r="B69" t="s">
        <v>345</v>
      </c>
    </row>
    <row r="70" spans="1:2" x14ac:dyDescent="0.2">
      <c r="A70" t="s">
        <v>1350</v>
      </c>
      <c r="B70" t="s">
        <v>349</v>
      </c>
    </row>
    <row r="71" spans="1:2" x14ac:dyDescent="0.2">
      <c r="A71" t="s">
        <v>1350</v>
      </c>
      <c r="B71" t="s">
        <v>354</v>
      </c>
    </row>
    <row r="72" spans="1:2" x14ac:dyDescent="0.2">
      <c r="A72" t="s">
        <v>1350</v>
      </c>
      <c r="B72" t="s">
        <v>363</v>
      </c>
    </row>
    <row r="73" spans="1:2" x14ac:dyDescent="0.2">
      <c r="A73" t="s">
        <v>1350</v>
      </c>
      <c r="B73" t="s">
        <v>366</v>
      </c>
    </row>
    <row r="74" spans="1:2" x14ac:dyDescent="0.2">
      <c r="A74" t="s">
        <v>1350</v>
      </c>
      <c r="B74" t="s">
        <v>368</v>
      </c>
    </row>
    <row r="75" spans="1:2" x14ac:dyDescent="0.2">
      <c r="A75" t="s">
        <v>1350</v>
      </c>
      <c r="B75" t="s">
        <v>370</v>
      </c>
    </row>
    <row r="76" spans="1:2" x14ac:dyDescent="0.2">
      <c r="A76" t="s">
        <v>1350</v>
      </c>
      <c r="B76" t="s">
        <v>379</v>
      </c>
    </row>
    <row r="77" spans="1:2" x14ac:dyDescent="0.2">
      <c r="A77" t="s">
        <v>1350</v>
      </c>
      <c r="B77" t="s">
        <v>386</v>
      </c>
    </row>
    <row r="78" spans="1:2" x14ac:dyDescent="0.2">
      <c r="A78" t="s">
        <v>1350</v>
      </c>
      <c r="B78" t="s">
        <v>389</v>
      </c>
    </row>
    <row r="79" spans="1:2" x14ac:dyDescent="0.2">
      <c r="A79" t="s">
        <v>1350</v>
      </c>
      <c r="B79" t="s">
        <v>392</v>
      </c>
    </row>
    <row r="80" spans="1:2" x14ac:dyDescent="0.2">
      <c r="A80" t="s">
        <v>1350</v>
      </c>
      <c r="B80" t="s">
        <v>397</v>
      </c>
    </row>
    <row r="81" spans="1:2" x14ac:dyDescent="0.2">
      <c r="A81" t="s">
        <v>1350</v>
      </c>
      <c r="B81" t="s">
        <v>403</v>
      </c>
    </row>
    <row r="82" spans="1:2" x14ac:dyDescent="0.2">
      <c r="A82" t="s">
        <v>1350</v>
      </c>
      <c r="B82" t="s">
        <v>407</v>
      </c>
    </row>
    <row r="83" spans="1:2" x14ac:dyDescent="0.2">
      <c r="A83" t="s">
        <v>1350</v>
      </c>
      <c r="B83" t="s">
        <v>199</v>
      </c>
    </row>
    <row r="84" spans="1:2" x14ac:dyDescent="0.2">
      <c r="A84" t="s">
        <v>1350</v>
      </c>
      <c r="B84" t="s">
        <v>411</v>
      </c>
    </row>
    <row r="85" spans="1:2" x14ac:dyDescent="0.2">
      <c r="A85" t="s">
        <v>1350</v>
      </c>
      <c r="B85" t="s">
        <v>376</v>
      </c>
    </row>
    <row r="86" spans="1:2" x14ac:dyDescent="0.2">
      <c r="A86" t="s">
        <v>1350</v>
      </c>
      <c r="B86" t="s">
        <v>417</v>
      </c>
    </row>
    <row r="87" spans="1:2" x14ac:dyDescent="0.2">
      <c r="A87" t="s">
        <v>1350</v>
      </c>
      <c r="B87" t="s">
        <v>424</v>
      </c>
    </row>
    <row r="88" spans="1:2" x14ac:dyDescent="0.2">
      <c r="A88" t="s">
        <v>1350</v>
      </c>
      <c r="B88" t="s">
        <v>428</v>
      </c>
    </row>
    <row r="89" spans="1:2" x14ac:dyDescent="0.2">
      <c r="A89" t="s">
        <v>1350</v>
      </c>
      <c r="B89" t="s">
        <v>431</v>
      </c>
    </row>
    <row r="90" spans="1:2" x14ac:dyDescent="0.2">
      <c r="A90" t="s">
        <v>1350</v>
      </c>
      <c r="B90" t="s">
        <v>432</v>
      </c>
    </row>
    <row r="91" spans="1:2" x14ac:dyDescent="0.2">
      <c r="A91" t="s">
        <v>1350</v>
      </c>
      <c r="B91" t="s">
        <v>438</v>
      </c>
    </row>
    <row r="92" spans="1:2" x14ac:dyDescent="0.2">
      <c r="A92" t="s">
        <v>1350</v>
      </c>
      <c r="B92" t="s">
        <v>441</v>
      </c>
    </row>
    <row r="93" spans="1:2" x14ac:dyDescent="0.2">
      <c r="A93" t="s">
        <v>1350</v>
      </c>
      <c r="B93" t="s">
        <v>446</v>
      </c>
    </row>
    <row r="94" spans="1:2" x14ac:dyDescent="0.2">
      <c r="A94" t="s">
        <v>1350</v>
      </c>
      <c r="B94" t="s">
        <v>452</v>
      </c>
    </row>
    <row r="95" spans="1:2" x14ac:dyDescent="0.2">
      <c r="A95" t="s">
        <v>1350</v>
      </c>
      <c r="B95" t="s">
        <v>457</v>
      </c>
    </row>
    <row r="96" spans="1:2" x14ac:dyDescent="0.2">
      <c r="A96" t="s">
        <v>1351</v>
      </c>
      <c r="B96" t="s">
        <v>459</v>
      </c>
    </row>
    <row r="97" spans="1:2" x14ac:dyDescent="0.2">
      <c r="A97" t="s">
        <v>1351</v>
      </c>
      <c r="B97" t="s">
        <v>465</v>
      </c>
    </row>
    <row r="98" spans="1:2" x14ac:dyDescent="0.2">
      <c r="A98" t="s">
        <v>1351</v>
      </c>
      <c r="B98" t="s">
        <v>469</v>
      </c>
    </row>
    <row r="99" spans="1:2" x14ac:dyDescent="0.2">
      <c r="A99" t="s">
        <v>1351</v>
      </c>
      <c r="B99" t="s">
        <v>471</v>
      </c>
    </row>
    <row r="100" spans="1:2" x14ac:dyDescent="0.2">
      <c r="A100" t="s">
        <v>1351</v>
      </c>
      <c r="B100" t="s">
        <v>475</v>
      </c>
    </row>
    <row r="101" spans="1:2" x14ac:dyDescent="0.2">
      <c r="A101" t="s">
        <v>1351</v>
      </c>
      <c r="B101" t="s">
        <v>209</v>
      </c>
    </row>
    <row r="102" spans="1:2" x14ac:dyDescent="0.2">
      <c r="A102" t="s">
        <v>1351</v>
      </c>
      <c r="B102" t="s">
        <v>484</v>
      </c>
    </row>
    <row r="103" spans="1:2" x14ac:dyDescent="0.2">
      <c r="A103" t="s">
        <v>1351</v>
      </c>
      <c r="B103" t="s">
        <v>274</v>
      </c>
    </row>
    <row r="104" spans="1:2" x14ac:dyDescent="0.2">
      <c r="A104" t="s">
        <v>1351</v>
      </c>
      <c r="B104" t="s">
        <v>488</v>
      </c>
    </row>
    <row r="105" spans="1:2" x14ac:dyDescent="0.2">
      <c r="A105" t="s">
        <v>1351</v>
      </c>
      <c r="B105" t="s">
        <v>492</v>
      </c>
    </row>
    <row r="106" spans="1:2" x14ac:dyDescent="0.2">
      <c r="A106" t="s">
        <v>1351</v>
      </c>
      <c r="B106" t="s">
        <v>493</v>
      </c>
    </row>
    <row r="107" spans="1:2" x14ac:dyDescent="0.2">
      <c r="A107" t="s">
        <v>1351</v>
      </c>
      <c r="B107" t="s">
        <v>498</v>
      </c>
    </row>
    <row r="108" spans="1:2" x14ac:dyDescent="0.2">
      <c r="A108" t="s">
        <v>1351</v>
      </c>
      <c r="B108" t="s">
        <v>506</v>
      </c>
    </row>
    <row r="109" spans="1:2" x14ac:dyDescent="0.2">
      <c r="A109" t="s">
        <v>1351</v>
      </c>
      <c r="B109" t="s">
        <v>508</v>
      </c>
    </row>
    <row r="110" spans="1:2" x14ac:dyDescent="0.2">
      <c r="A110" t="s">
        <v>1351</v>
      </c>
      <c r="B110" t="s">
        <v>510</v>
      </c>
    </row>
    <row r="111" spans="1:2" x14ac:dyDescent="0.2">
      <c r="A111" t="s">
        <v>1351</v>
      </c>
      <c r="B111" t="s">
        <v>512</v>
      </c>
    </row>
    <row r="112" spans="1:2" x14ac:dyDescent="0.2">
      <c r="A112" t="s">
        <v>1351</v>
      </c>
      <c r="B112" t="s">
        <v>514</v>
      </c>
    </row>
    <row r="113" spans="1:2" x14ac:dyDescent="0.2">
      <c r="A113" t="s">
        <v>1351</v>
      </c>
      <c r="B113" t="s">
        <v>189</v>
      </c>
    </row>
    <row r="114" spans="1:2" x14ac:dyDescent="0.2">
      <c r="A114" t="s">
        <v>1351</v>
      </c>
      <c r="B114" t="s">
        <v>426</v>
      </c>
    </row>
    <row r="115" spans="1:2" x14ac:dyDescent="0.2">
      <c r="A115" t="s">
        <v>1351</v>
      </c>
      <c r="B115" t="s">
        <v>524</v>
      </c>
    </row>
    <row r="116" spans="1:2" x14ac:dyDescent="0.2">
      <c r="A116" t="s">
        <v>1351</v>
      </c>
      <c r="B116" t="s">
        <v>532</v>
      </c>
    </row>
    <row r="117" spans="1:2" x14ac:dyDescent="0.2">
      <c r="A117" t="s">
        <v>1351</v>
      </c>
      <c r="B117" t="s">
        <v>535</v>
      </c>
    </row>
    <row r="118" spans="1:2" x14ac:dyDescent="0.2">
      <c r="A118" t="s">
        <v>1351</v>
      </c>
      <c r="B118" t="s">
        <v>537</v>
      </c>
    </row>
    <row r="119" spans="1:2" x14ac:dyDescent="0.2">
      <c r="A119" t="s">
        <v>1351</v>
      </c>
      <c r="B119" t="s">
        <v>540</v>
      </c>
    </row>
    <row r="120" spans="1:2" x14ac:dyDescent="0.2">
      <c r="A120" t="s">
        <v>1351</v>
      </c>
      <c r="B120" t="s">
        <v>541</v>
      </c>
    </row>
    <row r="121" spans="1:2" x14ac:dyDescent="0.2">
      <c r="A121" t="s">
        <v>1351</v>
      </c>
      <c r="B121" t="s">
        <v>543</v>
      </c>
    </row>
    <row r="122" spans="1:2" x14ac:dyDescent="0.2">
      <c r="A122" t="s">
        <v>1351</v>
      </c>
      <c r="B122" t="s">
        <v>545</v>
      </c>
    </row>
    <row r="123" spans="1:2" x14ac:dyDescent="0.2">
      <c r="A123" t="s">
        <v>1351</v>
      </c>
      <c r="B123" t="s">
        <v>272</v>
      </c>
    </row>
    <row r="124" spans="1:2" x14ac:dyDescent="0.2">
      <c r="A124" t="s">
        <v>1351</v>
      </c>
      <c r="B124" t="s">
        <v>553</v>
      </c>
    </row>
    <row r="125" spans="1:2" x14ac:dyDescent="0.2">
      <c r="A125" t="s">
        <v>1351</v>
      </c>
      <c r="B125" t="s">
        <v>294</v>
      </c>
    </row>
    <row r="126" spans="1:2" x14ac:dyDescent="0.2">
      <c r="A126" t="s">
        <v>1351</v>
      </c>
      <c r="B126" t="s">
        <v>556</v>
      </c>
    </row>
    <row r="127" spans="1:2" x14ac:dyDescent="0.2">
      <c r="A127" t="s">
        <v>1351</v>
      </c>
      <c r="B127" t="s">
        <v>563</v>
      </c>
    </row>
    <row r="128" spans="1:2" x14ac:dyDescent="0.2">
      <c r="A128" t="s">
        <v>1351</v>
      </c>
      <c r="B128" t="s">
        <v>349</v>
      </c>
    </row>
    <row r="129" spans="1:2" x14ac:dyDescent="0.2">
      <c r="A129" t="s">
        <v>1351</v>
      </c>
      <c r="B129" t="s">
        <v>566</v>
      </c>
    </row>
    <row r="130" spans="1:2" x14ac:dyDescent="0.2">
      <c r="A130" t="s">
        <v>1351</v>
      </c>
      <c r="B130" t="s">
        <v>579</v>
      </c>
    </row>
    <row r="131" spans="1:2" x14ac:dyDescent="0.2">
      <c r="A131" t="s">
        <v>1351</v>
      </c>
      <c r="B131" t="s">
        <v>539</v>
      </c>
    </row>
    <row r="132" spans="1:2" x14ac:dyDescent="0.2">
      <c r="A132" t="s">
        <v>1351</v>
      </c>
      <c r="B132" t="s">
        <v>586</v>
      </c>
    </row>
    <row r="133" spans="1:2" x14ac:dyDescent="0.2">
      <c r="A133" t="s">
        <v>1351</v>
      </c>
      <c r="B133" t="s">
        <v>422</v>
      </c>
    </row>
    <row r="134" spans="1:2" x14ac:dyDescent="0.2">
      <c r="A134" t="s">
        <v>1351</v>
      </c>
      <c r="B134" t="s">
        <v>593</v>
      </c>
    </row>
    <row r="135" spans="1:2" x14ac:dyDescent="0.2">
      <c r="A135" t="s">
        <v>1351</v>
      </c>
      <c r="B135" t="s">
        <v>595</v>
      </c>
    </row>
    <row r="136" spans="1:2" x14ac:dyDescent="0.2">
      <c r="A136" t="s">
        <v>1351</v>
      </c>
      <c r="B136" t="s">
        <v>599</v>
      </c>
    </row>
    <row r="137" spans="1:2" x14ac:dyDescent="0.2">
      <c r="A137" t="s">
        <v>1351</v>
      </c>
      <c r="B137" t="s">
        <v>611</v>
      </c>
    </row>
    <row r="138" spans="1:2" x14ac:dyDescent="0.2">
      <c r="A138" t="s">
        <v>1351</v>
      </c>
      <c r="B138" t="s">
        <v>617</v>
      </c>
    </row>
    <row r="139" spans="1:2" x14ac:dyDescent="0.2">
      <c r="A139" t="s">
        <v>1351</v>
      </c>
      <c r="B139" t="s">
        <v>621</v>
      </c>
    </row>
    <row r="140" spans="1:2" x14ac:dyDescent="0.2">
      <c r="A140" t="s">
        <v>1351</v>
      </c>
      <c r="B140" t="s">
        <v>627</v>
      </c>
    </row>
    <row r="141" spans="1:2" x14ac:dyDescent="0.2">
      <c r="A141" t="s">
        <v>1351</v>
      </c>
      <c r="B141" t="s">
        <v>630</v>
      </c>
    </row>
    <row r="142" spans="1:2" x14ac:dyDescent="0.2">
      <c r="A142" t="s">
        <v>1351</v>
      </c>
      <c r="B142" t="s">
        <v>183</v>
      </c>
    </row>
    <row r="143" spans="1:2" x14ac:dyDescent="0.2">
      <c r="A143" t="s">
        <v>1351</v>
      </c>
      <c r="B143" t="s">
        <v>202</v>
      </c>
    </row>
    <row r="144" spans="1:2" x14ac:dyDescent="0.2">
      <c r="A144" t="s">
        <v>1351</v>
      </c>
      <c r="B144" t="s">
        <v>643</v>
      </c>
    </row>
    <row r="145" spans="1:2" x14ac:dyDescent="0.2">
      <c r="A145" t="s">
        <v>1351</v>
      </c>
      <c r="B145" t="s">
        <v>590</v>
      </c>
    </row>
    <row r="146" spans="1:2" x14ac:dyDescent="0.2">
      <c r="A146" t="s">
        <v>1351</v>
      </c>
      <c r="B146" t="s">
        <v>646</v>
      </c>
    </row>
    <row r="147" spans="1:2" x14ac:dyDescent="0.2">
      <c r="A147" t="s">
        <v>1351</v>
      </c>
      <c r="B147" t="s">
        <v>432</v>
      </c>
    </row>
    <row r="148" spans="1:2" x14ac:dyDescent="0.2">
      <c r="A148" t="s">
        <v>1351</v>
      </c>
      <c r="B148" t="s">
        <v>649</v>
      </c>
    </row>
    <row r="149" spans="1:2" x14ac:dyDescent="0.2">
      <c r="A149" t="s">
        <v>1351</v>
      </c>
      <c r="B149" t="s">
        <v>653</v>
      </c>
    </row>
    <row r="150" spans="1:2" x14ac:dyDescent="0.2">
      <c r="A150" t="s">
        <v>1351</v>
      </c>
      <c r="B150" t="s">
        <v>660</v>
      </c>
    </row>
    <row r="151" spans="1:2" x14ac:dyDescent="0.2">
      <c r="A151" t="s">
        <v>1351</v>
      </c>
      <c r="B151" t="s">
        <v>662</v>
      </c>
    </row>
    <row r="152" spans="1:2" x14ac:dyDescent="0.2">
      <c r="A152" t="s">
        <v>1351</v>
      </c>
      <c r="B152" t="s">
        <v>669</v>
      </c>
    </row>
    <row r="153" spans="1:2" x14ac:dyDescent="0.2">
      <c r="A153" t="s">
        <v>1351</v>
      </c>
      <c r="B153" t="s">
        <v>674</v>
      </c>
    </row>
    <row r="154" spans="1:2" x14ac:dyDescent="0.2">
      <c r="A154" t="s">
        <v>1351</v>
      </c>
      <c r="B154" t="s">
        <v>680</v>
      </c>
    </row>
    <row r="155" spans="1:2" x14ac:dyDescent="0.2">
      <c r="A155" t="s">
        <v>1351</v>
      </c>
      <c r="B155" t="s">
        <v>684</v>
      </c>
    </row>
    <row r="156" spans="1:2" x14ac:dyDescent="0.2">
      <c r="A156" t="s">
        <v>1351</v>
      </c>
      <c r="B156" t="s">
        <v>300</v>
      </c>
    </row>
    <row r="157" spans="1:2" x14ac:dyDescent="0.2">
      <c r="A157" t="s">
        <v>1351</v>
      </c>
      <c r="B157" t="s">
        <v>692</v>
      </c>
    </row>
    <row r="158" spans="1:2" x14ac:dyDescent="0.2">
      <c r="A158" t="s">
        <v>1351</v>
      </c>
      <c r="B158" t="s">
        <v>694</v>
      </c>
    </row>
    <row r="159" spans="1:2" x14ac:dyDescent="0.2">
      <c r="A159" t="s">
        <v>1351</v>
      </c>
      <c r="B159" t="s">
        <v>698</v>
      </c>
    </row>
    <row r="160" spans="1:2" x14ac:dyDescent="0.2">
      <c r="A160" t="s">
        <v>1351</v>
      </c>
      <c r="B160" t="s">
        <v>701</v>
      </c>
    </row>
    <row r="161" spans="1:2" x14ac:dyDescent="0.2">
      <c r="A161" t="s">
        <v>1351</v>
      </c>
      <c r="B161" t="s">
        <v>711</v>
      </c>
    </row>
    <row r="162" spans="1:2" x14ac:dyDescent="0.2">
      <c r="A162" t="s">
        <v>1351</v>
      </c>
      <c r="B162" t="s">
        <v>713</v>
      </c>
    </row>
    <row r="163" spans="1:2" x14ac:dyDescent="0.2">
      <c r="A163" t="s">
        <v>1351</v>
      </c>
      <c r="B163" t="s">
        <v>716</v>
      </c>
    </row>
    <row r="164" spans="1:2" x14ac:dyDescent="0.2">
      <c r="A164" t="s">
        <v>1351</v>
      </c>
      <c r="B164" t="s">
        <v>718</v>
      </c>
    </row>
    <row r="165" spans="1:2" x14ac:dyDescent="0.2">
      <c r="A165" t="s">
        <v>1351</v>
      </c>
      <c r="B165" t="s">
        <v>720</v>
      </c>
    </row>
    <row r="166" spans="1:2" x14ac:dyDescent="0.2">
      <c r="A166" t="s">
        <v>1351</v>
      </c>
      <c r="B166" t="s">
        <v>385</v>
      </c>
    </row>
    <row r="167" spans="1:2" x14ac:dyDescent="0.2">
      <c r="A167" t="s">
        <v>1351</v>
      </c>
      <c r="B167" t="s">
        <v>356</v>
      </c>
    </row>
    <row r="168" spans="1:2" x14ac:dyDescent="0.2">
      <c r="A168" t="s">
        <v>1352</v>
      </c>
      <c r="B168" t="s">
        <v>412</v>
      </c>
    </row>
    <row r="169" spans="1:2" x14ac:dyDescent="0.2">
      <c r="A169" t="s">
        <v>1352</v>
      </c>
      <c r="B169" t="s">
        <v>742</v>
      </c>
    </row>
    <row r="170" spans="1:2" x14ac:dyDescent="0.2">
      <c r="A170" t="s">
        <v>1352</v>
      </c>
      <c r="B170" t="s">
        <v>748</v>
      </c>
    </row>
    <row r="171" spans="1:2" x14ac:dyDescent="0.2">
      <c r="A171" t="s">
        <v>1352</v>
      </c>
      <c r="B171" t="s">
        <v>108</v>
      </c>
    </row>
    <row r="172" spans="1:2" x14ac:dyDescent="0.2">
      <c r="A172" t="s">
        <v>1352</v>
      </c>
      <c r="B172" t="s">
        <v>754</v>
      </c>
    </row>
    <row r="173" spans="1:2" x14ac:dyDescent="0.2">
      <c r="A173" t="s">
        <v>1352</v>
      </c>
      <c r="B173" t="s">
        <v>759</v>
      </c>
    </row>
    <row r="174" spans="1:2" x14ac:dyDescent="0.2">
      <c r="A174" t="s">
        <v>1352</v>
      </c>
      <c r="B174" t="s">
        <v>763</v>
      </c>
    </row>
    <row r="175" spans="1:2" x14ac:dyDescent="0.2">
      <c r="A175" t="s">
        <v>1352</v>
      </c>
      <c r="B175" t="s">
        <v>441</v>
      </c>
    </row>
    <row r="176" spans="1:2" x14ac:dyDescent="0.2">
      <c r="A176" t="s">
        <v>1352</v>
      </c>
      <c r="B176" t="s">
        <v>765</v>
      </c>
    </row>
    <row r="177" spans="1:2" x14ac:dyDescent="0.2">
      <c r="A177" t="s">
        <v>1352</v>
      </c>
      <c r="B177" t="s">
        <v>772</v>
      </c>
    </row>
    <row r="178" spans="1:2" x14ac:dyDescent="0.2">
      <c r="A178" t="s">
        <v>1352</v>
      </c>
      <c r="B178" t="s">
        <v>777</v>
      </c>
    </row>
    <row r="179" spans="1:2" x14ac:dyDescent="0.2">
      <c r="A179" t="s">
        <v>1352</v>
      </c>
      <c r="B179" t="s">
        <v>790</v>
      </c>
    </row>
    <row r="180" spans="1:2" x14ac:dyDescent="0.2">
      <c r="A180" t="s">
        <v>1352</v>
      </c>
      <c r="B180" t="s">
        <v>792</v>
      </c>
    </row>
    <row r="181" spans="1:2" x14ac:dyDescent="0.2">
      <c r="A181" t="s">
        <v>1352</v>
      </c>
      <c r="B181" t="s">
        <v>240</v>
      </c>
    </row>
    <row r="182" spans="1:2" x14ac:dyDescent="0.2">
      <c r="A182" t="s">
        <v>1352</v>
      </c>
      <c r="B182" t="s">
        <v>799</v>
      </c>
    </row>
    <row r="183" spans="1:2" x14ac:dyDescent="0.2">
      <c r="A183" t="s">
        <v>1352</v>
      </c>
      <c r="B183" t="s">
        <v>702</v>
      </c>
    </row>
    <row r="184" spans="1:2" x14ac:dyDescent="0.2">
      <c r="A184" t="s">
        <v>1352</v>
      </c>
      <c r="B184" t="s">
        <v>547</v>
      </c>
    </row>
    <row r="185" spans="1:2" x14ac:dyDescent="0.2">
      <c r="A185" t="s">
        <v>1352</v>
      </c>
      <c r="B185" t="s">
        <v>812</v>
      </c>
    </row>
    <row r="186" spans="1:2" x14ac:dyDescent="0.2">
      <c r="A186" t="s">
        <v>1352</v>
      </c>
      <c r="B186" t="s">
        <v>821</v>
      </c>
    </row>
    <row r="187" spans="1:2" x14ac:dyDescent="0.2">
      <c r="A187" t="s">
        <v>1352</v>
      </c>
      <c r="B187" t="s">
        <v>824</v>
      </c>
    </row>
    <row r="188" spans="1:2" x14ac:dyDescent="0.2">
      <c r="A188" t="s">
        <v>1352</v>
      </c>
      <c r="B188" t="s">
        <v>93</v>
      </c>
    </row>
    <row r="189" spans="1:2" x14ac:dyDescent="0.2">
      <c r="A189" t="s">
        <v>1352</v>
      </c>
      <c r="B189" t="s">
        <v>828</v>
      </c>
    </row>
    <row r="190" spans="1:2" x14ac:dyDescent="0.2">
      <c r="A190" t="s">
        <v>1352</v>
      </c>
      <c r="B190" t="s">
        <v>829</v>
      </c>
    </row>
    <row r="191" spans="1:2" x14ac:dyDescent="0.2">
      <c r="A191" t="s">
        <v>1352</v>
      </c>
      <c r="B191" t="s">
        <v>832</v>
      </c>
    </row>
    <row r="192" spans="1:2" x14ac:dyDescent="0.2">
      <c r="A192" t="s">
        <v>1352</v>
      </c>
      <c r="B192" t="s">
        <v>836</v>
      </c>
    </row>
    <row r="193" spans="1:2" x14ac:dyDescent="0.2">
      <c r="A193" t="s">
        <v>1352</v>
      </c>
      <c r="B193" t="s">
        <v>543</v>
      </c>
    </row>
    <row r="194" spans="1:2" x14ac:dyDescent="0.2">
      <c r="A194" t="s">
        <v>1352</v>
      </c>
      <c r="B194" t="s">
        <v>838</v>
      </c>
    </row>
    <row r="195" spans="1:2" x14ac:dyDescent="0.2">
      <c r="A195" t="s">
        <v>1352</v>
      </c>
      <c r="B195" t="s">
        <v>841</v>
      </c>
    </row>
    <row r="196" spans="1:2" x14ac:dyDescent="0.2">
      <c r="A196" t="s">
        <v>1352</v>
      </c>
      <c r="B196" t="s">
        <v>845</v>
      </c>
    </row>
    <row r="197" spans="1:2" x14ac:dyDescent="0.2">
      <c r="A197" t="s">
        <v>1352</v>
      </c>
      <c r="B197" t="s">
        <v>854</v>
      </c>
    </row>
    <row r="198" spans="1:2" x14ac:dyDescent="0.2">
      <c r="A198" t="s">
        <v>1352</v>
      </c>
      <c r="B198" t="s">
        <v>361</v>
      </c>
    </row>
    <row r="199" spans="1:2" x14ac:dyDescent="0.2">
      <c r="A199" t="s">
        <v>1352</v>
      </c>
      <c r="B199" t="s">
        <v>857</v>
      </c>
    </row>
    <row r="200" spans="1:2" x14ac:dyDescent="0.2">
      <c r="A200" t="s">
        <v>1352</v>
      </c>
      <c r="B200" t="s">
        <v>859</v>
      </c>
    </row>
    <row r="201" spans="1:2" x14ac:dyDescent="0.2">
      <c r="A201" t="s">
        <v>1352</v>
      </c>
      <c r="B201" t="s">
        <v>174</v>
      </c>
    </row>
    <row r="202" spans="1:2" x14ac:dyDescent="0.2">
      <c r="A202" t="s">
        <v>1352</v>
      </c>
      <c r="B202" t="s">
        <v>606</v>
      </c>
    </row>
    <row r="203" spans="1:2" x14ac:dyDescent="0.2">
      <c r="A203" t="s">
        <v>1352</v>
      </c>
      <c r="B203" t="s">
        <v>555</v>
      </c>
    </row>
    <row r="204" spans="1:2" x14ac:dyDescent="0.2">
      <c r="A204" t="s">
        <v>1352</v>
      </c>
      <c r="B204" t="s">
        <v>144</v>
      </c>
    </row>
    <row r="205" spans="1:2" x14ac:dyDescent="0.2">
      <c r="A205" t="s">
        <v>1352</v>
      </c>
      <c r="B205" t="s">
        <v>694</v>
      </c>
    </row>
    <row r="206" spans="1:2" x14ac:dyDescent="0.2">
      <c r="A206" t="s">
        <v>1352</v>
      </c>
      <c r="B206" t="s">
        <v>437</v>
      </c>
    </row>
    <row r="207" spans="1:2" x14ac:dyDescent="0.2">
      <c r="A207" t="s">
        <v>1352</v>
      </c>
      <c r="B207" t="s">
        <v>886</v>
      </c>
    </row>
    <row r="208" spans="1:2" x14ac:dyDescent="0.2">
      <c r="A208" t="s">
        <v>1352</v>
      </c>
      <c r="B208" t="s">
        <v>400</v>
      </c>
    </row>
    <row r="209" spans="1:2" x14ac:dyDescent="0.2">
      <c r="A209" t="s">
        <v>1352</v>
      </c>
      <c r="B209" t="s">
        <v>307</v>
      </c>
    </row>
    <row r="210" spans="1:2" x14ac:dyDescent="0.2">
      <c r="A210" t="s">
        <v>1352</v>
      </c>
      <c r="B210" t="s">
        <v>895</v>
      </c>
    </row>
    <row r="211" spans="1:2" x14ac:dyDescent="0.2">
      <c r="A211" t="s">
        <v>1352</v>
      </c>
      <c r="B211" t="s">
        <v>902</v>
      </c>
    </row>
    <row r="212" spans="1:2" x14ac:dyDescent="0.2">
      <c r="A212" t="s">
        <v>1352</v>
      </c>
      <c r="B212" t="s">
        <v>907</v>
      </c>
    </row>
    <row r="213" spans="1:2" x14ac:dyDescent="0.2">
      <c r="A213" t="s">
        <v>1352</v>
      </c>
      <c r="B213" t="s">
        <v>910</v>
      </c>
    </row>
    <row r="214" spans="1:2" x14ac:dyDescent="0.2">
      <c r="A214" t="s">
        <v>1352</v>
      </c>
      <c r="B214" t="s">
        <v>914</v>
      </c>
    </row>
    <row r="215" spans="1:2" x14ac:dyDescent="0.2">
      <c r="A215" t="s">
        <v>1352</v>
      </c>
      <c r="B215" t="s">
        <v>274</v>
      </c>
    </row>
    <row r="216" spans="1:2" x14ac:dyDescent="0.2">
      <c r="A216" t="s">
        <v>1352</v>
      </c>
      <c r="B216" t="s">
        <v>923</v>
      </c>
    </row>
    <row r="217" spans="1:2" x14ac:dyDescent="0.2">
      <c r="A217" t="s">
        <v>1352</v>
      </c>
      <c r="B217" t="s">
        <v>909</v>
      </c>
    </row>
    <row r="218" spans="1:2" x14ac:dyDescent="0.2">
      <c r="A218" t="s">
        <v>1352</v>
      </c>
      <c r="B218" t="s">
        <v>286</v>
      </c>
    </row>
    <row r="219" spans="1:2" x14ac:dyDescent="0.2">
      <c r="A219" t="s">
        <v>1352</v>
      </c>
      <c r="B219" t="s">
        <v>326</v>
      </c>
    </row>
    <row r="220" spans="1:2" x14ac:dyDescent="0.2">
      <c r="A220" t="s">
        <v>1352</v>
      </c>
      <c r="B220" t="s">
        <v>153</v>
      </c>
    </row>
    <row r="221" spans="1:2" x14ac:dyDescent="0.2">
      <c r="A221" t="s">
        <v>1352</v>
      </c>
      <c r="B221" t="s">
        <v>943</v>
      </c>
    </row>
    <row r="222" spans="1:2" x14ac:dyDescent="0.2">
      <c r="A222" t="s">
        <v>1352</v>
      </c>
      <c r="B222" t="s">
        <v>524</v>
      </c>
    </row>
    <row r="223" spans="1:2" x14ac:dyDescent="0.2">
      <c r="A223" t="s">
        <v>1352</v>
      </c>
      <c r="B223" t="s">
        <v>955</v>
      </c>
    </row>
    <row r="224" spans="1:2" x14ac:dyDescent="0.2">
      <c r="A224" t="s">
        <v>1352</v>
      </c>
      <c r="B224" t="s">
        <v>517</v>
      </c>
    </row>
    <row r="225" spans="1:2" x14ac:dyDescent="0.2">
      <c r="A225" t="s">
        <v>1352</v>
      </c>
      <c r="B225" t="s">
        <v>908</v>
      </c>
    </row>
    <row r="226" spans="1:2" x14ac:dyDescent="0.2">
      <c r="A226" t="s">
        <v>1352</v>
      </c>
      <c r="B226" t="s">
        <v>457</v>
      </c>
    </row>
    <row r="227" spans="1:2" x14ac:dyDescent="0.2">
      <c r="A227" t="s">
        <v>1352</v>
      </c>
      <c r="B227" t="s">
        <v>970</v>
      </c>
    </row>
    <row r="228" spans="1:2" x14ac:dyDescent="0.2">
      <c r="A228" t="s">
        <v>1352</v>
      </c>
      <c r="B228" t="s">
        <v>70</v>
      </c>
    </row>
    <row r="229" spans="1:2" x14ac:dyDescent="0.2">
      <c r="A229" t="s">
        <v>1352</v>
      </c>
      <c r="B229" t="s">
        <v>636</v>
      </c>
    </row>
    <row r="230" spans="1:2" x14ac:dyDescent="0.2">
      <c r="A230" t="s">
        <v>1352</v>
      </c>
      <c r="B230" t="s">
        <v>871</v>
      </c>
    </row>
    <row r="231" spans="1:2" x14ac:dyDescent="0.2">
      <c r="A231" t="s">
        <v>1352</v>
      </c>
      <c r="B231" t="s">
        <v>980</v>
      </c>
    </row>
    <row r="232" spans="1:2" x14ac:dyDescent="0.2">
      <c r="A232" t="s">
        <v>1352</v>
      </c>
      <c r="B232" t="s">
        <v>141</v>
      </c>
    </row>
    <row r="233" spans="1:2" x14ac:dyDescent="0.2">
      <c r="A233" t="s">
        <v>1352</v>
      </c>
      <c r="B233" t="s">
        <v>724</v>
      </c>
    </row>
    <row r="234" spans="1:2" x14ac:dyDescent="0.2">
      <c r="A234" t="s">
        <v>1352</v>
      </c>
      <c r="B234" t="s">
        <v>723</v>
      </c>
    </row>
    <row r="235" spans="1:2" x14ac:dyDescent="0.2">
      <c r="A235" t="s">
        <v>1352</v>
      </c>
      <c r="B235" t="s">
        <v>514</v>
      </c>
    </row>
    <row r="236" spans="1:2" x14ac:dyDescent="0.2">
      <c r="A236" t="s">
        <v>1352</v>
      </c>
      <c r="B236" t="s">
        <v>338</v>
      </c>
    </row>
    <row r="237" spans="1:2" x14ac:dyDescent="0.2">
      <c r="A237" t="s">
        <v>1352</v>
      </c>
      <c r="B237" t="s">
        <v>997</v>
      </c>
    </row>
    <row r="238" spans="1:2" x14ac:dyDescent="0.2">
      <c r="A238" t="s">
        <v>1353</v>
      </c>
      <c r="B238" t="s">
        <v>243</v>
      </c>
    </row>
    <row r="239" spans="1:2" x14ac:dyDescent="0.2">
      <c r="A239" t="s">
        <v>1353</v>
      </c>
      <c r="B239" t="s">
        <v>1008</v>
      </c>
    </row>
    <row r="240" spans="1:2" x14ac:dyDescent="0.2">
      <c r="A240" t="s">
        <v>1353</v>
      </c>
      <c r="B240" t="s">
        <v>1013</v>
      </c>
    </row>
    <row r="241" spans="1:2" x14ac:dyDescent="0.2">
      <c r="A241" t="s">
        <v>1353</v>
      </c>
      <c r="B241" t="s">
        <v>636</v>
      </c>
    </row>
    <row r="242" spans="1:2" x14ac:dyDescent="0.2">
      <c r="A242" t="s">
        <v>1353</v>
      </c>
      <c r="B242" t="s">
        <v>993</v>
      </c>
    </row>
    <row r="243" spans="1:2" x14ac:dyDescent="0.2">
      <c r="A243" t="s">
        <v>1353</v>
      </c>
      <c r="B243" t="s">
        <v>1025</v>
      </c>
    </row>
    <row r="244" spans="1:2" x14ac:dyDescent="0.2">
      <c r="A244" t="s">
        <v>1353</v>
      </c>
      <c r="B244" t="s">
        <v>1028</v>
      </c>
    </row>
    <row r="245" spans="1:2" x14ac:dyDescent="0.2">
      <c r="A245" t="s">
        <v>1353</v>
      </c>
      <c r="B245" t="s">
        <v>1030</v>
      </c>
    </row>
    <row r="246" spans="1:2" x14ac:dyDescent="0.2">
      <c r="A246" t="s">
        <v>1353</v>
      </c>
      <c r="B246" t="s">
        <v>422</v>
      </c>
    </row>
    <row r="247" spans="1:2" x14ac:dyDescent="0.2">
      <c r="A247" t="s">
        <v>1353</v>
      </c>
      <c r="B247" t="s">
        <v>172</v>
      </c>
    </row>
    <row r="248" spans="1:2" x14ac:dyDescent="0.2">
      <c r="A248" t="s">
        <v>1353</v>
      </c>
      <c r="B248" t="s">
        <v>1037</v>
      </c>
    </row>
    <row r="249" spans="1:2" x14ac:dyDescent="0.2">
      <c r="A249" t="s">
        <v>1353</v>
      </c>
      <c r="B249" t="s">
        <v>588</v>
      </c>
    </row>
    <row r="250" spans="1:2" x14ac:dyDescent="0.2">
      <c r="A250" t="s">
        <v>1353</v>
      </c>
      <c r="B250" t="s">
        <v>389</v>
      </c>
    </row>
    <row r="251" spans="1:2" x14ac:dyDescent="0.2">
      <c r="A251" t="s">
        <v>1353</v>
      </c>
      <c r="B251" t="s">
        <v>502</v>
      </c>
    </row>
    <row r="252" spans="1:2" x14ac:dyDescent="0.2">
      <c r="A252" t="s">
        <v>1353</v>
      </c>
      <c r="B252" t="s">
        <v>968</v>
      </c>
    </row>
    <row r="253" spans="1:2" x14ac:dyDescent="0.2">
      <c r="A253" t="s">
        <v>1353</v>
      </c>
      <c r="B253" t="s">
        <v>53</v>
      </c>
    </row>
    <row r="254" spans="1:2" x14ac:dyDescent="0.2">
      <c r="A254" t="s">
        <v>1353</v>
      </c>
      <c r="B254" t="s">
        <v>672</v>
      </c>
    </row>
    <row r="255" spans="1:2" x14ac:dyDescent="0.2">
      <c r="A255" t="s">
        <v>1353</v>
      </c>
      <c r="B255" t="s">
        <v>696</v>
      </c>
    </row>
    <row r="256" spans="1:2" x14ac:dyDescent="0.2">
      <c r="A256" t="s">
        <v>1353</v>
      </c>
      <c r="B256" t="s">
        <v>709</v>
      </c>
    </row>
    <row r="257" spans="1:2" x14ac:dyDescent="0.2">
      <c r="A257" t="s">
        <v>1353</v>
      </c>
      <c r="B257" t="s">
        <v>359</v>
      </c>
    </row>
    <row r="258" spans="1:2" x14ac:dyDescent="0.2">
      <c r="A258" t="s">
        <v>1353</v>
      </c>
      <c r="B258" t="s">
        <v>259</v>
      </c>
    </row>
    <row r="259" spans="1:2" x14ac:dyDescent="0.2">
      <c r="A259" t="s">
        <v>1353</v>
      </c>
      <c r="B259" t="s">
        <v>734</v>
      </c>
    </row>
    <row r="260" spans="1:2" x14ac:dyDescent="0.2">
      <c r="A260" t="s">
        <v>1353</v>
      </c>
      <c r="B260" t="s">
        <v>548</v>
      </c>
    </row>
    <row r="261" spans="1:2" x14ac:dyDescent="0.2">
      <c r="A261" t="s">
        <v>1353</v>
      </c>
      <c r="B261" t="s">
        <v>973</v>
      </c>
    </row>
    <row r="262" spans="1:2" x14ac:dyDescent="0.2">
      <c r="A262" t="s">
        <v>1353</v>
      </c>
      <c r="B262" t="s">
        <v>309</v>
      </c>
    </row>
    <row r="263" spans="1:2" x14ac:dyDescent="0.2">
      <c r="A263" t="s">
        <v>1353</v>
      </c>
      <c r="B263" t="s">
        <v>926</v>
      </c>
    </row>
    <row r="264" spans="1:2" x14ac:dyDescent="0.2">
      <c r="A264" t="s">
        <v>1353</v>
      </c>
      <c r="B264" t="s">
        <v>540</v>
      </c>
    </row>
    <row r="265" spans="1:2" x14ac:dyDescent="0.2">
      <c r="A265" t="s">
        <v>1353</v>
      </c>
      <c r="B265" t="s">
        <v>1003</v>
      </c>
    </row>
    <row r="266" spans="1:2" x14ac:dyDescent="0.2">
      <c r="A266" t="s">
        <v>1353</v>
      </c>
      <c r="B266" t="s">
        <v>1049</v>
      </c>
    </row>
    <row r="267" spans="1:2" x14ac:dyDescent="0.2">
      <c r="A267" t="s">
        <v>1353</v>
      </c>
      <c r="B267" t="s">
        <v>649</v>
      </c>
    </row>
    <row r="268" spans="1:2" x14ac:dyDescent="0.2">
      <c r="A268" t="s">
        <v>1353</v>
      </c>
      <c r="B268" t="s">
        <v>155</v>
      </c>
    </row>
    <row r="269" spans="1:2" x14ac:dyDescent="0.2">
      <c r="A269" t="s">
        <v>1353</v>
      </c>
      <c r="B269" t="s">
        <v>1054</v>
      </c>
    </row>
    <row r="270" spans="1:2" x14ac:dyDescent="0.2">
      <c r="A270" t="s">
        <v>1353</v>
      </c>
      <c r="B270" t="s">
        <v>620</v>
      </c>
    </row>
    <row r="271" spans="1:2" x14ac:dyDescent="0.2">
      <c r="A271" t="s">
        <v>1353</v>
      </c>
      <c r="B271" t="s">
        <v>597</v>
      </c>
    </row>
    <row r="272" spans="1:2" x14ac:dyDescent="0.2">
      <c r="A272" t="s">
        <v>1353</v>
      </c>
      <c r="B272" t="s">
        <v>537</v>
      </c>
    </row>
    <row r="273" spans="1:2" x14ac:dyDescent="0.2">
      <c r="A273" t="s">
        <v>1353</v>
      </c>
      <c r="B273" t="s">
        <v>82</v>
      </c>
    </row>
    <row r="274" spans="1:2" x14ac:dyDescent="0.2">
      <c r="A274" t="s">
        <v>1353</v>
      </c>
      <c r="B274" t="s">
        <v>1061</v>
      </c>
    </row>
    <row r="275" spans="1:2" x14ac:dyDescent="0.2">
      <c r="A275" t="s">
        <v>1353</v>
      </c>
      <c r="B275" t="s">
        <v>736</v>
      </c>
    </row>
    <row r="276" spans="1:2" x14ac:dyDescent="0.2">
      <c r="A276" t="s">
        <v>1353</v>
      </c>
      <c r="B276" t="s">
        <v>1040</v>
      </c>
    </row>
    <row r="277" spans="1:2" x14ac:dyDescent="0.2">
      <c r="A277" t="s">
        <v>1353</v>
      </c>
      <c r="B277" t="s">
        <v>1063</v>
      </c>
    </row>
    <row r="278" spans="1:2" x14ac:dyDescent="0.2">
      <c r="A278" t="s">
        <v>1353</v>
      </c>
      <c r="B278" t="s">
        <v>944</v>
      </c>
    </row>
    <row r="279" spans="1:2" x14ac:dyDescent="0.2">
      <c r="A279" t="s">
        <v>1353</v>
      </c>
      <c r="B279" t="s">
        <v>1065</v>
      </c>
    </row>
    <row r="280" spans="1:2" x14ac:dyDescent="0.2">
      <c r="A280" t="s">
        <v>1353</v>
      </c>
      <c r="B280" t="s">
        <v>1067</v>
      </c>
    </row>
    <row r="281" spans="1:2" x14ac:dyDescent="0.2">
      <c r="A281" t="s">
        <v>1353</v>
      </c>
      <c r="B281" t="s">
        <v>1069</v>
      </c>
    </row>
    <row r="282" spans="1:2" x14ac:dyDescent="0.2">
      <c r="A282" t="s">
        <v>1353</v>
      </c>
      <c r="B282" t="s">
        <v>1071</v>
      </c>
    </row>
    <row r="283" spans="1:2" x14ac:dyDescent="0.2">
      <c r="A283" t="s">
        <v>1353</v>
      </c>
      <c r="B283" t="s">
        <v>561</v>
      </c>
    </row>
    <row r="284" spans="1:2" x14ac:dyDescent="0.2">
      <c r="A284" t="s">
        <v>1353</v>
      </c>
      <c r="B284" t="s">
        <v>1076</v>
      </c>
    </row>
    <row r="285" spans="1:2" x14ac:dyDescent="0.2">
      <c r="A285" t="s">
        <v>1353</v>
      </c>
      <c r="B285" t="s">
        <v>91</v>
      </c>
    </row>
    <row r="286" spans="1:2" x14ac:dyDescent="0.2">
      <c r="A286" t="s">
        <v>1353</v>
      </c>
      <c r="B286" t="s">
        <v>917</v>
      </c>
    </row>
    <row r="287" spans="1:2" x14ac:dyDescent="0.2">
      <c r="A287" t="s">
        <v>1353</v>
      </c>
      <c r="B287" t="s">
        <v>784</v>
      </c>
    </row>
    <row r="288" spans="1:2" x14ac:dyDescent="0.2">
      <c r="A288" t="s">
        <v>1353</v>
      </c>
      <c r="B288" t="s">
        <v>314</v>
      </c>
    </row>
    <row r="289" spans="1:2" x14ac:dyDescent="0.2">
      <c r="A289" t="s">
        <v>1350</v>
      </c>
      <c r="B289" t="s">
        <v>1083</v>
      </c>
    </row>
    <row r="290" spans="1:2" x14ac:dyDescent="0.2">
      <c r="A290" t="s">
        <v>1351</v>
      </c>
      <c r="B290" t="s">
        <v>862</v>
      </c>
    </row>
    <row r="291" spans="1:2" x14ac:dyDescent="0.2">
      <c r="A291" t="s">
        <v>1351</v>
      </c>
      <c r="B291" t="s">
        <v>397</v>
      </c>
    </row>
    <row r="292" spans="1:2" x14ac:dyDescent="0.2">
      <c r="A292" t="s">
        <v>1352</v>
      </c>
      <c r="B292" t="s">
        <v>331</v>
      </c>
    </row>
    <row r="293" spans="1:2" x14ac:dyDescent="0.2">
      <c r="A293" t="s">
        <v>1353</v>
      </c>
      <c r="B293" t="s">
        <v>1089</v>
      </c>
    </row>
    <row r="294" spans="1:2" x14ac:dyDescent="0.2">
      <c r="A294" t="s">
        <v>1350</v>
      </c>
      <c r="B294" t="s">
        <v>832</v>
      </c>
    </row>
    <row r="295" spans="1:2" x14ac:dyDescent="0.2">
      <c r="A295" t="s">
        <v>1351</v>
      </c>
      <c r="B295" t="s">
        <v>1091</v>
      </c>
    </row>
    <row r="296" spans="1:2" x14ac:dyDescent="0.2">
      <c r="A296" t="s">
        <v>1350</v>
      </c>
      <c r="B296" t="s">
        <v>437</v>
      </c>
    </row>
    <row r="297" spans="1:2" x14ac:dyDescent="0.2">
      <c r="A297" t="s">
        <v>1351</v>
      </c>
      <c r="B297" t="s">
        <v>411</v>
      </c>
    </row>
    <row r="298" spans="1:2" x14ac:dyDescent="0.2">
      <c r="A298" t="s">
        <v>1352</v>
      </c>
      <c r="B298" t="s">
        <v>1096</v>
      </c>
    </row>
    <row r="299" spans="1:2" x14ac:dyDescent="0.2">
      <c r="A299" t="s">
        <v>1351</v>
      </c>
      <c r="B299" t="s">
        <v>188</v>
      </c>
    </row>
    <row r="300" spans="1:2" x14ac:dyDescent="0.2">
      <c r="A300" t="s">
        <v>1353</v>
      </c>
      <c r="B300" t="s">
        <v>547</v>
      </c>
    </row>
    <row r="301" spans="1:2" x14ac:dyDescent="0.2">
      <c r="A301" t="s">
        <v>1351</v>
      </c>
      <c r="B301" t="s">
        <v>770</v>
      </c>
    </row>
    <row r="302" spans="1:2" x14ac:dyDescent="0.2">
      <c r="A302" t="s">
        <v>1352</v>
      </c>
      <c r="B302" t="s">
        <v>345</v>
      </c>
    </row>
    <row r="303" spans="1:2" x14ac:dyDescent="0.2">
      <c r="A303" t="s">
        <v>1350</v>
      </c>
      <c r="B303" t="s">
        <v>759</v>
      </c>
    </row>
    <row r="304" spans="1:2" x14ac:dyDescent="0.2">
      <c r="A304" t="s">
        <v>1353</v>
      </c>
      <c r="B304" t="s">
        <v>861</v>
      </c>
    </row>
    <row r="305" spans="1:2" x14ac:dyDescent="0.2">
      <c r="A305" t="s">
        <v>1350</v>
      </c>
      <c r="B305" t="s">
        <v>841</v>
      </c>
    </row>
    <row r="306" spans="1:2" x14ac:dyDescent="0.2">
      <c r="A306" t="s">
        <v>1351</v>
      </c>
      <c r="B306" t="s">
        <v>1106</v>
      </c>
    </row>
    <row r="307" spans="1:2" x14ac:dyDescent="0.2">
      <c r="A307" t="s">
        <v>1352</v>
      </c>
      <c r="B307" t="s">
        <v>1033</v>
      </c>
    </row>
    <row r="308" spans="1:2" x14ac:dyDescent="0.2">
      <c r="A308" t="s">
        <v>1350</v>
      </c>
      <c r="B308" t="s">
        <v>581</v>
      </c>
    </row>
    <row r="309" spans="1:2" x14ac:dyDescent="0.2">
      <c r="A309" t="s">
        <v>1350</v>
      </c>
      <c r="B309" t="s">
        <v>561</v>
      </c>
    </row>
    <row r="310" spans="1:2" x14ac:dyDescent="0.2">
      <c r="A310" t="s">
        <v>1350</v>
      </c>
      <c r="B310" t="s">
        <v>260</v>
      </c>
    </row>
    <row r="311" spans="1:2" x14ac:dyDescent="0.2">
      <c r="A311" t="s">
        <v>1352</v>
      </c>
      <c r="B311" t="s">
        <v>293</v>
      </c>
    </row>
    <row r="312" spans="1:2" x14ac:dyDescent="0.2">
      <c r="A312" t="s">
        <v>1351</v>
      </c>
      <c r="B312" t="s">
        <v>301</v>
      </c>
    </row>
    <row r="313" spans="1:2" x14ac:dyDescent="0.2">
      <c r="A313" t="s">
        <v>1352</v>
      </c>
      <c r="B313" t="s">
        <v>634</v>
      </c>
    </row>
    <row r="314" spans="1:2" x14ac:dyDescent="0.2">
      <c r="A314" t="s">
        <v>1350</v>
      </c>
      <c r="B314" t="s">
        <v>524</v>
      </c>
    </row>
    <row r="315" spans="1:2" x14ac:dyDescent="0.2">
      <c r="A315" t="s">
        <v>1351</v>
      </c>
      <c r="B315" t="s">
        <v>775</v>
      </c>
    </row>
    <row r="316" spans="1:2" x14ac:dyDescent="0.2">
      <c r="A316" t="s">
        <v>1352</v>
      </c>
      <c r="B316" t="s">
        <v>1117</v>
      </c>
    </row>
    <row r="317" spans="1:2" x14ac:dyDescent="0.2">
      <c r="A317" t="s">
        <v>1350</v>
      </c>
      <c r="B317" t="s">
        <v>1120</v>
      </c>
    </row>
    <row r="318" spans="1:2" x14ac:dyDescent="0.2">
      <c r="A318" t="s">
        <v>1351</v>
      </c>
      <c r="B318" t="s">
        <v>620</v>
      </c>
    </row>
    <row r="319" spans="1:2" x14ac:dyDescent="0.2">
      <c r="A319" t="s">
        <v>1352</v>
      </c>
      <c r="B319" t="s">
        <v>1123</v>
      </c>
    </row>
    <row r="320" spans="1:2" x14ac:dyDescent="0.2">
      <c r="A320" t="s">
        <v>1352</v>
      </c>
      <c r="B320" t="s">
        <v>348</v>
      </c>
    </row>
    <row r="321" spans="1:2" x14ac:dyDescent="0.2">
      <c r="A321" t="s">
        <v>1350</v>
      </c>
      <c r="B321" t="s">
        <v>294</v>
      </c>
    </row>
    <row r="322" spans="1:2" x14ac:dyDescent="0.2">
      <c r="A322" t="s">
        <v>1351</v>
      </c>
      <c r="B322" t="s">
        <v>1061</v>
      </c>
    </row>
    <row r="323" spans="1:2" x14ac:dyDescent="0.2">
      <c r="A323" t="s">
        <v>1350</v>
      </c>
      <c r="B323" t="s">
        <v>1130</v>
      </c>
    </row>
    <row r="324" spans="1:2" x14ac:dyDescent="0.2">
      <c r="A324" t="s">
        <v>1350</v>
      </c>
      <c r="B324" t="s">
        <v>64</v>
      </c>
    </row>
    <row r="325" spans="1:2" x14ac:dyDescent="0.2">
      <c r="A325" t="s">
        <v>1351</v>
      </c>
      <c r="B325" t="s">
        <v>1057</v>
      </c>
    </row>
    <row r="326" spans="1:2" x14ac:dyDescent="0.2">
      <c r="A326" t="s">
        <v>1352</v>
      </c>
      <c r="B326" t="s">
        <v>934</v>
      </c>
    </row>
    <row r="327" spans="1:2" x14ac:dyDescent="0.2">
      <c r="A327" t="s">
        <v>1352</v>
      </c>
      <c r="B327" t="s">
        <v>588</v>
      </c>
    </row>
    <row r="328" spans="1:2" x14ac:dyDescent="0.2">
      <c r="A328" t="s">
        <v>1353</v>
      </c>
      <c r="B328" t="s">
        <v>988</v>
      </c>
    </row>
    <row r="329" spans="1:2" x14ac:dyDescent="0.2">
      <c r="A329" t="s">
        <v>1350</v>
      </c>
      <c r="B329" t="s">
        <v>1139</v>
      </c>
    </row>
    <row r="330" spans="1:2" x14ac:dyDescent="0.2">
      <c r="A330" t="s">
        <v>1352</v>
      </c>
      <c r="B330" t="s">
        <v>496</v>
      </c>
    </row>
    <row r="331" spans="1:2" x14ac:dyDescent="0.2">
      <c r="A331" t="s">
        <v>1353</v>
      </c>
      <c r="B331" t="s">
        <v>1142</v>
      </c>
    </row>
    <row r="332" spans="1:2" x14ac:dyDescent="0.2">
      <c r="A332" t="s">
        <v>1350</v>
      </c>
      <c r="B332" t="s">
        <v>381</v>
      </c>
    </row>
    <row r="333" spans="1:2" x14ac:dyDescent="0.2">
      <c r="A333" t="s">
        <v>1351</v>
      </c>
      <c r="B333" t="s">
        <v>207</v>
      </c>
    </row>
    <row r="334" spans="1:2" x14ac:dyDescent="0.2">
      <c r="A334" t="s">
        <v>1352</v>
      </c>
      <c r="B334" t="s">
        <v>1148</v>
      </c>
    </row>
    <row r="335" spans="1:2" x14ac:dyDescent="0.2">
      <c r="A335" t="s">
        <v>1350</v>
      </c>
      <c r="B335" t="s">
        <v>998</v>
      </c>
    </row>
    <row r="336" spans="1:2" x14ac:dyDescent="0.2">
      <c r="A336" t="s">
        <v>1351</v>
      </c>
      <c r="B336" t="s">
        <v>1152</v>
      </c>
    </row>
    <row r="337" spans="1:2" x14ac:dyDescent="0.2">
      <c r="A337" t="s">
        <v>1350</v>
      </c>
      <c r="B337" t="s">
        <v>553</v>
      </c>
    </row>
    <row r="338" spans="1:2" x14ac:dyDescent="0.2">
      <c r="A338" t="s">
        <v>1352</v>
      </c>
      <c r="B338" t="s">
        <v>1022</v>
      </c>
    </row>
    <row r="339" spans="1:2" x14ac:dyDescent="0.2">
      <c r="A339" t="s">
        <v>1351</v>
      </c>
      <c r="B339" t="s">
        <v>62</v>
      </c>
    </row>
    <row r="340" spans="1:2" x14ac:dyDescent="0.2">
      <c r="A340" t="s">
        <v>1352</v>
      </c>
      <c r="B340" t="s">
        <v>1060</v>
      </c>
    </row>
    <row r="341" spans="1:2" x14ac:dyDescent="0.2">
      <c r="A341" t="s">
        <v>1352</v>
      </c>
      <c r="B341" t="s">
        <v>755</v>
      </c>
    </row>
    <row r="342" spans="1:2" x14ac:dyDescent="0.2">
      <c r="A342" t="s">
        <v>1353</v>
      </c>
      <c r="B342" t="s">
        <v>660</v>
      </c>
    </row>
    <row r="343" spans="1:2" x14ac:dyDescent="0.2">
      <c r="A343" t="s">
        <v>1350</v>
      </c>
      <c r="B343" t="s">
        <v>1162</v>
      </c>
    </row>
    <row r="344" spans="1:2" x14ac:dyDescent="0.2">
      <c r="A344" t="s">
        <v>1352</v>
      </c>
      <c r="B344" t="s">
        <v>1164</v>
      </c>
    </row>
    <row r="345" spans="1:2" x14ac:dyDescent="0.2">
      <c r="A345" t="s">
        <v>1350</v>
      </c>
      <c r="B345" t="s">
        <v>485</v>
      </c>
    </row>
    <row r="346" spans="1:2" x14ac:dyDescent="0.2">
      <c r="A346" t="s">
        <v>1352</v>
      </c>
      <c r="B346" t="s">
        <v>411</v>
      </c>
    </row>
    <row r="347" spans="1:2" x14ac:dyDescent="0.2">
      <c r="A347" t="s">
        <v>1350</v>
      </c>
      <c r="B347" t="s">
        <v>698</v>
      </c>
    </row>
    <row r="348" spans="1:2" x14ac:dyDescent="0.2">
      <c r="A348" t="s">
        <v>1352</v>
      </c>
      <c r="B348" t="s">
        <v>328</v>
      </c>
    </row>
    <row r="349" spans="1:2" x14ac:dyDescent="0.2">
      <c r="A349" t="s">
        <v>1353</v>
      </c>
      <c r="B349" t="s">
        <v>517</v>
      </c>
    </row>
    <row r="350" spans="1:2" x14ac:dyDescent="0.2">
      <c r="A350" t="s">
        <v>1350</v>
      </c>
      <c r="B350" t="s">
        <v>293</v>
      </c>
    </row>
    <row r="351" spans="1:2" x14ac:dyDescent="0.2">
      <c r="A351" t="s">
        <v>1351</v>
      </c>
      <c r="B351" t="s">
        <v>548</v>
      </c>
    </row>
    <row r="352" spans="1:2" x14ac:dyDescent="0.2">
      <c r="A352" t="s">
        <v>1352</v>
      </c>
      <c r="B352" t="s">
        <v>789</v>
      </c>
    </row>
    <row r="353" spans="1:2" x14ac:dyDescent="0.2">
      <c r="A353" t="s">
        <v>1353</v>
      </c>
      <c r="B353" t="s">
        <v>378</v>
      </c>
    </row>
    <row r="354" spans="1:2" x14ac:dyDescent="0.2">
      <c r="A354" t="s">
        <v>1350</v>
      </c>
      <c r="B354" t="s">
        <v>756</v>
      </c>
    </row>
    <row r="355" spans="1:2" x14ac:dyDescent="0.2">
      <c r="A355" t="s">
        <v>1352</v>
      </c>
      <c r="B355" t="s">
        <v>1170</v>
      </c>
    </row>
    <row r="356" spans="1:2" x14ac:dyDescent="0.2">
      <c r="A356" t="s">
        <v>1353</v>
      </c>
      <c r="B356" t="s">
        <v>931</v>
      </c>
    </row>
    <row r="357" spans="1:2" x14ac:dyDescent="0.2">
      <c r="A357" t="s">
        <v>1350</v>
      </c>
      <c r="B357" t="s">
        <v>1175</v>
      </c>
    </row>
    <row r="358" spans="1:2" x14ac:dyDescent="0.2">
      <c r="A358" t="s">
        <v>1353</v>
      </c>
      <c r="B358" t="s">
        <v>646</v>
      </c>
    </row>
    <row r="359" spans="1:2" x14ac:dyDescent="0.2">
      <c r="A359" t="s">
        <v>1350</v>
      </c>
      <c r="B359" t="s">
        <v>1177</v>
      </c>
    </row>
    <row r="360" spans="1:2" x14ac:dyDescent="0.2">
      <c r="A360" t="s">
        <v>1350</v>
      </c>
      <c r="B360" t="s">
        <v>440</v>
      </c>
    </row>
    <row r="361" spans="1:2" x14ac:dyDescent="0.2">
      <c r="A361" t="s">
        <v>1351</v>
      </c>
      <c r="B361" t="s">
        <v>995</v>
      </c>
    </row>
    <row r="362" spans="1:2" x14ac:dyDescent="0.2">
      <c r="A362" t="s">
        <v>1352</v>
      </c>
      <c r="B362" t="s">
        <v>810</v>
      </c>
    </row>
    <row r="363" spans="1:2" x14ac:dyDescent="0.2">
      <c r="A363" t="s">
        <v>1353</v>
      </c>
      <c r="B363" t="s">
        <v>929</v>
      </c>
    </row>
    <row r="364" spans="1:2" x14ac:dyDescent="0.2">
      <c r="A364" t="s">
        <v>1350</v>
      </c>
      <c r="B364" t="s">
        <v>681</v>
      </c>
    </row>
    <row r="365" spans="1:2" x14ac:dyDescent="0.2">
      <c r="A365" t="s">
        <v>1351</v>
      </c>
      <c r="B365" t="s">
        <v>1185</v>
      </c>
    </row>
    <row r="366" spans="1:2" x14ac:dyDescent="0.2">
      <c r="A366" t="s">
        <v>1353</v>
      </c>
      <c r="B366" t="s">
        <v>603</v>
      </c>
    </row>
    <row r="367" spans="1:2" x14ac:dyDescent="0.2">
      <c r="A367" t="s">
        <v>1352</v>
      </c>
      <c r="B367" t="s">
        <v>417</v>
      </c>
    </row>
    <row r="368" spans="1:2" x14ac:dyDescent="0.2">
      <c r="A368" t="s">
        <v>1351</v>
      </c>
      <c r="B368" t="s">
        <v>256</v>
      </c>
    </row>
    <row r="369" spans="1:2" x14ac:dyDescent="0.2">
      <c r="A369" t="s">
        <v>1350</v>
      </c>
      <c r="B369" t="s">
        <v>840</v>
      </c>
    </row>
    <row r="370" spans="1:2" x14ac:dyDescent="0.2">
      <c r="A370" t="s">
        <v>1351</v>
      </c>
      <c r="B370" t="s">
        <v>284</v>
      </c>
    </row>
    <row r="371" spans="1:2" x14ac:dyDescent="0.2">
      <c r="A371" t="s">
        <v>1353</v>
      </c>
      <c r="B371" t="s">
        <v>1105</v>
      </c>
    </row>
    <row r="372" spans="1:2" x14ac:dyDescent="0.2">
      <c r="A372" t="s">
        <v>1350</v>
      </c>
      <c r="B372" t="s">
        <v>400</v>
      </c>
    </row>
    <row r="373" spans="1:2" x14ac:dyDescent="0.2">
      <c r="A373" t="s">
        <v>1352</v>
      </c>
      <c r="B373" t="s">
        <v>567</v>
      </c>
    </row>
    <row r="374" spans="1:2" x14ac:dyDescent="0.2">
      <c r="A374" t="s">
        <v>1351</v>
      </c>
      <c r="B374" t="s">
        <v>983</v>
      </c>
    </row>
    <row r="375" spans="1:2" x14ac:dyDescent="0.2">
      <c r="A375" t="s">
        <v>1352</v>
      </c>
      <c r="B375" t="s">
        <v>1208</v>
      </c>
    </row>
    <row r="376" spans="1:2" x14ac:dyDescent="0.2">
      <c r="A376" t="s">
        <v>1353</v>
      </c>
      <c r="B376" t="s">
        <v>1196</v>
      </c>
    </row>
    <row r="377" spans="1:2" x14ac:dyDescent="0.2">
      <c r="A377" t="s">
        <v>1351</v>
      </c>
      <c r="B377" t="s">
        <v>840</v>
      </c>
    </row>
    <row r="378" spans="1:2" x14ac:dyDescent="0.2">
      <c r="A378" t="s">
        <v>1351</v>
      </c>
      <c r="B378" t="s">
        <v>480</v>
      </c>
    </row>
    <row r="379" spans="1:2" x14ac:dyDescent="0.2">
      <c r="A379" t="s">
        <v>1352</v>
      </c>
      <c r="B379" t="s">
        <v>1215</v>
      </c>
    </row>
    <row r="380" spans="1:2" x14ac:dyDescent="0.2">
      <c r="A380" t="s">
        <v>1352</v>
      </c>
      <c r="B380" t="s">
        <v>973</v>
      </c>
    </row>
    <row r="381" spans="1:2" x14ac:dyDescent="0.2">
      <c r="A381" t="s">
        <v>1350</v>
      </c>
      <c r="B381" t="s">
        <v>1142</v>
      </c>
    </row>
    <row r="382" spans="1:2" x14ac:dyDescent="0.2">
      <c r="A382" t="s">
        <v>1351</v>
      </c>
      <c r="B382" t="s">
        <v>280</v>
      </c>
    </row>
    <row r="383" spans="1:2" x14ac:dyDescent="0.2">
      <c r="A383" t="s">
        <v>1350</v>
      </c>
      <c r="B383" t="s">
        <v>1066</v>
      </c>
    </row>
    <row r="384" spans="1:2" x14ac:dyDescent="0.2">
      <c r="A384" t="s">
        <v>1351</v>
      </c>
      <c r="B384" t="s">
        <v>374</v>
      </c>
    </row>
    <row r="385" spans="1:2" x14ac:dyDescent="0.2">
      <c r="A385" t="s">
        <v>1350</v>
      </c>
      <c r="B385" t="s">
        <v>282</v>
      </c>
    </row>
    <row r="386" spans="1:2" x14ac:dyDescent="0.2">
      <c r="A386" t="s">
        <v>1351</v>
      </c>
      <c r="B386" t="s">
        <v>1196</v>
      </c>
    </row>
    <row r="387" spans="1:2" x14ac:dyDescent="0.2">
      <c r="A387" t="s">
        <v>1352</v>
      </c>
      <c r="B387" t="s">
        <v>1034</v>
      </c>
    </row>
    <row r="388" spans="1:2" x14ac:dyDescent="0.2">
      <c r="A388" t="s">
        <v>1353</v>
      </c>
      <c r="B388" t="s">
        <v>1102</v>
      </c>
    </row>
    <row r="389" spans="1:2" x14ac:dyDescent="0.2">
      <c r="A389" t="s">
        <v>1350</v>
      </c>
      <c r="B389" t="s">
        <v>469</v>
      </c>
    </row>
    <row r="390" spans="1:2" x14ac:dyDescent="0.2">
      <c r="A390" t="s">
        <v>1351</v>
      </c>
      <c r="B390" t="s">
        <v>1169</v>
      </c>
    </row>
    <row r="391" spans="1:2" x14ac:dyDescent="0.2">
      <c r="A391" t="s">
        <v>1353</v>
      </c>
      <c r="B391" t="s">
        <v>1231</v>
      </c>
    </row>
    <row r="392" spans="1:2" x14ac:dyDescent="0.2">
      <c r="A392" t="s">
        <v>1352</v>
      </c>
      <c r="B392" t="s">
        <v>403</v>
      </c>
    </row>
    <row r="393" spans="1:2" x14ac:dyDescent="0.2">
      <c r="A393" t="s">
        <v>1353</v>
      </c>
      <c r="B393" t="s">
        <v>1160</v>
      </c>
    </row>
    <row r="394" spans="1:2" x14ac:dyDescent="0.2">
      <c r="A394" t="s">
        <v>1350</v>
      </c>
      <c r="B394" t="s">
        <v>818</v>
      </c>
    </row>
    <row r="395" spans="1:2" x14ac:dyDescent="0.2">
      <c r="A395" t="s">
        <v>1351</v>
      </c>
      <c r="B395" t="s">
        <v>1200</v>
      </c>
    </row>
    <row r="396" spans="1:2" x14ac:dyDescent="0.2">
      <c r="A396" t="s">
        <v>1353</v>
      </c>
      <c r="B396" t="s">
        <v>853</v>
      </c>
    </row>
    <row r="397" spans="1:2" x14ac:dyDescent="0.2">
      <c r="A397" t="s">
        <v>1350</v>
      </c>
      <c r="B397" t="s">
        <v>879</v>
      </c>
    </row>
    <row r="398" spans="1:2" x14ac:dyDescent="0.2">
      <c r="A398" t="s">
        <v>1352</v>
      </c>
      <c r="B398" t="s">
        <v>744</v>
      </c>
    </row>
    <row r="399" spans="1:2" x14ac:dyDescent="0.2">
      <c r="A399" t="s">
        <v>1350</v>
      </c>
      <c r="B399" t="s">
        <v>208</v>
      </c>
    </row>
    <row r="400" spans="1:2" x14ac:dyDescent="0.2">
      <c r="A400" t="s">
        <v>1352</v>
      </c>
      <c r="B400" t="s">
        <v>1240</v>
      </c>
    </row>
    <row r="401" spans="1:2" x14ac:dyDescent="0.2">
      <c r="A401" t="s">
        <v>1350</v>
      </c>
      <c r="B401" t="s">
        <v>947</v>
      </c>
    </row>
    <row r="402" spans="1:2" x14ac:dyDescent="0.2">
      <c r="A402" t="s">
        <v>1351</v>
      </c>
      <c r="B402" t="s">
        <v>1243</v>
      </c>
    </row>
    <row r="403" spans="1:2" x14ac:dyDescent="0.2">
      <c r="A403" t="s">
        <v>1352</v>
      </c>
      <c r="B403" t="s">
        <v>800</v>
      </c>
    </row>
    <row r="404" spans="1:2" x14ac:dyDescent="0.2">
      <c r="A404" t="s">
        <v>1350</v>
      </c>
      <c r="B404" t="s">
        <v>480</v>
      </c>
    </row>
    <row r="405" spans="1:2" x14ac:dyDescent="0.2">
      <c r="A405" t="s">
        <v>1352</v>
      </c>
      <c r="B405" t="s">
        <v>540</v>
      </c>
    </row>
    <row r="406" spans="1:2" x14ac:dyDescent="0.2">
      <c r="A406" t="s">
        <v>1350</v>
      </c>
      <c r="B406" t="s">
        <v>330</v>
      </c>
    </row>
    <row r="407" spans="1:2" x14ac:dyDescent="0.2">
      <c r="A407" t="s">
        <v>1351</v>
      </c>
      <c r="B407" t="s">
        <v>126</v>
      </c>
    </row>
    <row r="408" spans="1:2" x14ac:dyDescent="0.2">
      <c r="A408" t="s">
        <v>1352</v>
      </c>
      <c r="B408" t="s">
        <v>976</v>
      </c>
    </row>
    <row r="409" spans="1:2" x14ac:dyDescent="0.2">
      <c r="A409" t="s">
        <v>1353</v>
      </c>
      <c r="B409" t="s">
        <v>918</v>
      </c>
    </row>
    <row r="410" spans="1:2" x14ac:dyDescent="0.2">
      <c r="A410" t="s">
        <v>1351</v>
      </c>
      <c r="B410" t="s">
        <v>405</v>
      </c>
    </row>
    <row r="411" spans="1:2" x14ac:dyDescent="0.2">
      <c r="A411" t="s">
        <v>1350</v>
      </c>
      <c r="B411" t="s">
        <v>1192</v>
      </c>
    </row>
    <row r="412" spans="1:2" x14ac:dyDescent="0.2">
      <c r="A412" t="s">
        <v>1352</v>
      </c>
      <c r="B412" t="s">
        <v>428</v>
      </c>
    </row>
    <row r="413" spans="1:2" x14ac:dyDescent="0.2">
      <c r="A413" t="s">
        <v>1351</v>
      </c>
      <c r="B413" t="s">
        <v>477</v>
      </c>
    </row>
    <row r="414" spans="1:2" x14ac:dyDescent="0.2">
      <c r="A414" t="s">
        <v>1352</v>
      </c>
      <c r="B414" t="s">
        <v>29</v>
      </c>
    </row>
    <row r="415" spans="1:2" x14ac:dyDescent="0.2">
      <c r="A415" t="s">
        <v>1353</v>
      </c>
      <c r="B415" t="s">
        <v>300</v>
      </c>
    </row>
    <row r="416" spans="1:2" x14ac:dyDescent="0.2">
      <c r="A416" t="s">
        <v>1353</v>
      </c>
      <c r="B416" t="s">
        <v>1106</v>
      </c>
    </row>
    <row r="417" spans="1:2" x14ac:dyDescent="0.2">
      <c r="A417" t="s">
        <v>1350</v>
      </c>
      <c r="B417" t="s">
        <v>464</v>
      </c>
    </row>
    <row r="418" spans="1:2" x14ac:dyDescent="0.2">
      <c r="A418" t="s">
        <v>1351</v>
      </c>
      <c r="B418" t="s">
        <v>1184</v>
      </c>
    </row>
    <row r="419" spans="1:2" x14ac:dyDescent="0.2">
      <c r="A419" t="s">
        <v>1352</v>
      </c>
      <c r="B419" t="s">
        <v>1223</v>
      </c>
    </row>
    <row r="420" spans="1:2" x14ac:dyDescent="0.2">
      <c r="A420" t="s">
        <v>1353</v>
      </c>
      <c r="B420" t="s">
        <v>776</v>
      </c>
    </row>
    <row r="421" spans="1:2" x14ac:dyDescent="0.2">
      <c r="A421" t="s">
        <v>1350</v>
      </c>
      <c r="B421" t="s">
        <v>1258</v>
      </c>
    </row>
    <row r="422" spans="1:2" x14ac:dyDescent="0.2">
      <c r="A422" t="s">
        <v>1351</v>
      </c>
      <c r="B422" t="s">
        <v>234</v>
      </c>
    </row>
    <row r="423" spans="1:2" x14ac:dyDescent="0.2">
      <c r="A423" t="s">
        <v>1350</v>
      </c>
      <c r="B423" t="s">
        <v>1005</v>
      </c>
    </row>
    <row r="424" spans="1:2" x14ac:dyDescent="0.2">
      <c r="A424" t="s">
        <v>1352</v>
      </c>
      <c r="B424" t="s">
        <v>124</v>
      </c>
    </row>
    <row r="425" spans="1:2" x14ac:dyDescent="0.2">
      <c r="A425" t="s">
        <v>1353</v>
      </c>
      <c r="B425" t="s">
        <v>282</v>
      </c>
    </row>
    <row r="426" spans="1:2" x14ac:dyDescent="0.2">
      <c r="A426" t="s">
        <v>1350</v>
      </c>
      <c r="B426" t="s">
        <v>256</v>
      </c>
    </row>
    <row r="427" spans="1:2" x14ac:dyDescent="0.2">
      <c r="A427" t="s">
        <v>1351</v>
      </c>
      <c r="B427" t="s">
        <v>1142</v>
      </c>
    </row>
    <row r="428" spans="1:2" x14ac:dyDescent="0.2">
      <c r="A428" t="s">
        <v>1352</v>
      </c>
      <c r="B428" t="s">
        <v>330</v>
      </c>
    </row>
    <row r="429" spans="1:2" x14ac:dyDescent="0.2">
      <c r="A429" t="s">
        <v>1350</v>
      </c>
      <c r="B429" t="s">
        <v>754</v>
      </c>
    </row>
    <row r="430" spans="1:2" x14ac:dyDescent="0.2">
      <c r="A430" t="s">
        <v>1352</v>
      </c>
      <c r="B430" t="s">
        <v>961</v>
      </c>
    </row>
    <row r="431" spans="1:2" x14ac:dyDescent="0.2">
      <c r="A431" t="s">
        <v>1350</v>
      </c>
      <c r="B431" t="s">
        <v>959</v>
      </c>
    </row>
    <row r="432" spans="1:2" x14ac:dyDescent="0.2">
      <c r="A432" t="s">
        <v>1351</v>
      </c>
      <c r="B432" t="s">
        <v>582</v>
      </c>
    </row>
    <row r="433" spans="1:2" x14ac:dyDescent="0.2">
      <c r="A433" t="s">
        <v>1350</v>
      </c>
      <c r="B433" t="s">
        <v>579</v>
      </c>
    </row>
    <row r="434" spans="1:2" x14ac:dyDescent="0.2">
      <c r="A434" t="s">
        <v>1353</v>
      </c>
      <c r="B434" t="s">
        <v>543</v>
      </c>
    </row>
    <row r="435" spans="1:2" x14ac:dyDescent="0.2">
      <c r="A435" t="s">
        <v>1350</v>
      </c>
      <c r="B435" t="s">
        <v>498</v>
      </c>
    </row>
    <row r="436" spans="1:2" x14ac:dyDescent="0.2">
      <c r="A436" t="s">
        <v>1352</v>
      </c>
      <c r="B436" t="s">
        <v>1027</v>
      </c>
    </row>
    <row r="437" spans="1:2" x14ac:dyDescent="0.2">
      <c r="A437" t="s">
        <v>1353</v>
      </c>
      <c r="B437" t="s">
        <v>1101</v>
      </c>
    </row>
    <row r="438" spans="1:2" x14ac:dyDescent="0.2">
      <c r="A438" t="s">
        <v>1350</v>
      </c>
      <c r="B438" t="s">
        <v>567</v>
      </c>
    </row>
    <row r="439" spans="1:2" x14ac:dyDescent="0.2">
      <c r="A439" t="s">
        <v>1351</v>
      </c>
      <c r="B439" t="s">
        <v>1268</v>
      </c>
    </row>
    <row r="440" spans="1:2" x14ac:dyDescent="0.2">
      <c r="A440" t="s">
        <v>1352</v>
      </c>
      <c r="B440" t="s">
        <v>1011</v>
      </c>
    </row>
    <row r="441" spans="1:2" x14ac:dyDescent="0.2">
      <c r="A441" t="s">
        <v>1351</v>
      </c>
      <c r="B441" t="s">
        <v>1271</v>
      </c>
    </row>
    <row r="442" spans="1:2" x14ac:dyDescent="0.2">
      <c r="A442" t="s">
        <v>1352</v>
      </c>
      <c r="B442" t="s">
        <v>869</v>
      </c>
    </row>
    <row r="443" spans="1:2" x14ac:dyDescent="0.2">
      <c r="A443" t="s">
        <v>1353</v>
      </c>
      <c r="B443" t="s">
        <v>1111</v>
      </c>
    </row>
    <row r="444" spans="1:2" x14ac:dyDescent="0.2">
      <c r="A444" t="s">
        <v>1350</v>
      </c>
      <c r="B444" t="s">
        <v>486</v>
      </c>
    </row>
    <row r="445" spans="1:2" x14ac:dyDescent="0.2">
      <c r="A445" t="s">
        <v>1351</v>
      </c>
      <c r="B445" t="s">
        <v>739</v>
      </c>
    </row>
    <row r="446" spans="1:2" x14ac:dyDescent="0.2">
      <c r="A446" t="s">
        <v>1352</v>
      </c>
      <c r="B446" t="s">
        <v>701</v>
      </c>
    </row>
    <row r="447" spans="1:2" x14ac:dyDescent="0.2">
      <c r="A447" t="s">
        <v>1353</v>
      </c>
      <c r="B447" t="s">
        <v>1200</v>
      </c>
    </row>
    <row r="448" spans="1:2" x14ac:dyDescent="0.2">
      <c r="A448" t="s">
        <v>1350</v>
      </c>
      <c r="B448" t="s">
        <v>523</v>
      </c>
    </row>
    <row r="449" spans="1:2" x14ac:dyDescent="0.2">
      <c r="A449" t="s">
        <v>1351</v>
      </c>
      <c r="B449" t="s">
        <v>378</v>
      </c>
    </row>
    <row r="450" spans="1:2" x14ac:dyDescent="0.2">
      <c r="A450" t="s">
        <v>1352</v>
      </c>
      <c r="B450" t="s">
        <v>640</v>
      </c>
    </row>
    <row r="451" spans="1:2" x14ac:dyDescent="0.2">
      <c r="A451" t="s">
        <v>1350</v>
      </c>
      <c r="B451" t="s">
        <v>31</v>
      </c>
    </row>
    <row r="452" spans="1:2" x14ac:dyDescent="0.2">
      <c r="A452" t="s">
        <v>1352</v>
      </c>
      <c r="B452" t="s">
        <v>983</v>
      </c>
    </row>
    <row r="453" spans="1:2" x14ac:dyDescent="0.2">
      <c r="A453" t="s">
        <v>1350</v>
      </c>
      <c r="B453" t="s">
        <v>493</v>
      </c>
    </row>
    <row r="454" spans="1:2" x14ac:dyDescent="0.2">
      <c r="A454" t="s">
        <v>1352</v>
      </c>
      <c r="B454" t="s">
        <v>31</v>
      </c>
    </row>
    <row r="455" spans="1:2" x14ac:dyDescent="0.2">
      <c r="A455" t="s">
        <v>1350</v>
      </c>
      <c r="B455" t="s">
        <v>336</v>
      </c>
    </row>
    <row r="456" spans="1:2" x14ac:dyDescent="0.2">
      <c r="A456" t="s">
        <v>1351</v>
      </c>
      <c r="B456" t="s">
        <v>323</v>
      </c>
    </row>
    <row r="457" spans="1:2" x14ac:dyDescent="0.2">
      <c r="A457" t="s">
        <v>1352</v>
      </c>
      <c r="B457" t="s">
        <v>920</v>
      </c>
    </row>
    <row r="458" spans="1:2" x14ac:dyDescent="0.2">
      <c r="A458" t="s">
        <v>1353</v>
      </c>
      <c r="B458" t="s">
        <v>908</v>
      </c>
    </row>
    <row r="459" spans="1:2" x14ac:dyDescent="0.2">
      <c r="A459" t="s">
        <v>1350</v>
      </c>
      <c r="B459" t="s">
        <v>1194</v>
      </c>
    </row>
    <row r="460" spans="1:2" x14ac:dyDescent="0.2">
      <c r="A460" t="s">
        <v>1353</v>
      </c>
      <c r="B460" t="s">
        <v>343</v>
      </c>
    </row>
    <row r="461" spans="1:2" x14ac:dyDescent="0.2">
      <c r="A461" t="s">
        <v>1350</v>
      </c>
      <c r="B461" t="s">
        <v>1282</v>
      </c>
    </row>
    <row r="462" spans="1:2" x14ac:dyDescent="0.2">
      <c r="A462" t="s">
        <v>1352</v>
      </c>
      <c r="B462" t="s">
        <v>336</v>
      </c>
    </row>
    <row r="463" spans="1:2" x14ac:dyDescent="0.2">
      <c r="A463" t="s">
        <v>1353</v>
      </c>
      <c r="B463" t="s">
        <v>835</v>
      </c>
    </row>
    <row r="464" spans="1:2" x14ac:dyDescent="0.2">
      <c r="A464" t="s">
        <v>1350</v>
      </c>
      <c r="B464" t="s">
        <v>1183</v>
      </c>
    </row>
    <row r="465" spans="1:2" x14ac:dyDescent="0.2">
      <c r="A465" t="s">
        <v>1352</v>
      </c>
      <c r="B465" t="s">
        <v>932</v>
      </c>
    </row>
    <row r="466" spans="1:2" x14ac:dyDescent="0.2">
      <c r="A466" t="s">
        <v>1351</v>
      </c>
      <c r="B466" t="s">
        <v>1269</v>
      </c>
    </row>
    <row r="467" spans="1:2" x14ac:dyDescent="0.2">
      <c r="A467" t="s">
        <v>1353</v>
      </c>
      <c r="B467" t="s">
        <v>1166</v>
      </c>
    </row>
    <row r="468" spans="1:2" x14ac:dyDescent="0.2">
      <c r="A468" t="s">
        <v>1350</v>
      </c>
      <c r="B468" t="s">
        <v>1268</v>
      </c>
    </row>
    <row r="469" spans="1:2" x14ac:dyDescent="0.2">
      <c r="A469" t="s">
        <v>1351</v>
      </c>
      <c r="B469" t="s">
        <v>655</v>
      </c>
    </row>
    <row r="470" spans="1:2" x14ac:dyDescent="0.2">
      <c r="A470" t="s">
        <v>1350</v>
      </c>
      <c r="B470" t="s">
        <v>988</v>
      </c>
    </row>
    <row r="471" spans="1:2" x14ac:dyDescent="0.2">
      <c r="A471" t="s">
        <v>1350</v>
      </c>
      <c r="B471" t="s">
        <v>405</v>
      </c>
    </row>
    <row r="472" spans="1:2" x14ac:dyDescent="0.2">
      <c r="A472" t="s">
        <v>1351</v>
      </c>
      <c r="B472" t="s">
        <v>309</v>
      </c>
    </row>
    <row r="473" spans="1:2" x14ac:dyDescent="0.2">
      <c r="A473" t="s">
        <v>1352</v>
      </c>
      <c r="B473" t="s">
        <v>131</v>
      </c>
    </row>
    <row r="474" spans="1:2" x14ac:dyDescent="0.2">
      <c r="A474" t="s">
        <v>1350</v>
      </c>
      <c r="B474" t="s">
        <v>468</v>
      </c>
    </row>
    <row r="475" spans="1:2" x14ac:dyDescent="0.2">
      <c r="A475" t="s">
        <v>1351</v>
      </c>
      <c r="B475" t="s">
        <v>213</v>
      </c>
    </row>
    <row r="476" spans="1:2" x14ac:dyDescent="0.2">
      <c r="A476" t="s">
        <v>1353</v>
      </c>
      <c r="B476" t="s">
        <v>804</v>
      </c>
    </row>
    <row r="477" spans="1:2" x14ac:dyDescent="0.2">
      <c r="A477" t="s">
        <v>1351</v>
      </c>
      <c r="B477" t="s">
        <v>1101</v>
      </c>
    </row>
    <row r="478" spans="1:2" x14ac:dyDescent="0.2">
      <c r="A478" t="s">
        <v>1352</v>
      </c>
      <c r="B478" t="s">
        <v>381</v>
      </c>
    </row>
    <row r="479" spans="1:2" x14ac:dyDescent="0.2">
      <c r="A479" t="s">
        <v>1350</v>
      </c>
      <c r="B479" t="s">
        <v>975</v>
      </c>
    </row>
    <row r="480" spans="1:2" x14ac:dyDescent="0.2">
      <c r="A480" t="s">
        <v>1351</v>
      </c>
      <c r="B480" t="s">
        <v>815</v>
      </c>
    </row>
    <row r="481" spans="1:2" x14ac:dyDescent="0.2">
      <c r="A481" t="s">
        <v>1353</v>
      </c>
      <c r="B481" t="s">
        <v>224</v>
      </c>
    </row>
    <row r="482" spans="1:2" x14ac:dyDescent="0.2">
      <c r="A482" t="s">
        <v>1351</v>
      </c>
      <c r="B482" t="s">
        <v>897</v>
      </c>
    </row>
    <row r="483" spans="1:2" x14ac:dyDescent="0.2">
      <c r="A483" t="s">
        <v>1352</v>
      </c>
      <c r="B483" t="s">
        <v>972</v>
      </c>
    </row>
    <row r="484" spans="1:2" x14ac:dyDescent="0.2">
      <c r="A484" t="s">
        <v>1350</v>
      </c>
      <c r="B484" t="s">
        <v>1095</v>
      </c>
    </row>
    <row r="485" spans="1:2" x14ac:dyDescent="0.2">
      <c r="A485" t="s">
        <v>1351</v>
      </c>
      <c r="B485" t="s">
        <v>298</v>
      </c>
    </row>
    <row r="486" spans="1:2" x14ac:dyDescent="0.2">
      <c r="A486" t="s">
        <v>1352</v>
      </c>
      <c r="B486" t="s">
        <v>234</v>
      </c>
    </row>
    <row r="487" spans="1:2" x14ac:dyDescent="0.2">
      <c r="A487" t="s">
        <v>1350</v>
      </c>
      <c r="B487" t="s">
        <v>582</v>
      </c>
    </row>
    <row r="488" spans="1:2" x14ac:dyDescent="0.2">
      <c r="A488" t="s">
        <v>1351</v>
      </c>
      <c r="B488" t="s">
        <v>838</v>
      </c>
    </row>
    <row r="489" spans="1:2" x14ac:dyDescent="0.2">
      <c r="A489" t="s">
        <v>1350</v>
      </c>
      <c r="B489" t="s">
        <v>1125</v>
      </c>
    </row>
    <row r="490" spans="1:2" x14ac:dyDescent="0.2">
      <c r="A490" t="s">
        <v>1353</v>
      </c>
      <c r="B490" t="s">
        <v>486</v>
      </c>
    </row>
    <row r="491" spans="1:2" x14ac:dyDescent="0.2">
      <c r="A491" t="s">
        <v>1350</v>
      </c>
      <c r="B491" t="s">
        <v>690</v>
      </c>
    </row>
    <row r="492" spans="1:2" x14ac:dyDescent="0.2">
      <c r="A492" t="s">
        <v>1352</v>
      </c>
      <c r="B492" t="s">
        <v>998</v>
      </c>
    </row>
    <row r="493" spans="1:2" x14ac:dyDescent="0.2">
      <c r="A493" t="s">
        <v>1351</v>
      </c>
      <c r="B493" t="s">
        <v>363</v>
      </c>
    </row>
    <row r="494" spans="1:2" x14ac:dyDescent="0.2">
      <c r="A494" t="s">
        <v>1350</v>
      </c>
      <c r="B494" t="s">
        <v>305</v>
      </c>
    </row>
    <row r="495" spans="1:2" x14ac:dyDescent="0.2">
      <c r="A495" t="s">
        <v>1351</v>
      </c>
      <c r="B495" t="s">
        <v>286</v>
      </c>
    </row>
    <row r="496" spans="1:2" x14ac:dyDescent="0.2">
      <c r="A496" t="s">
        <v>1353</v>
      </c>
      <c r="B496" t="s">
        <v>772</v>
      </c>
    </row>
    <row r="497" spans="1:2" x14ac:dyDescent="0.2">
      <c r="A497" t="s">
        <v>1350</v>
      </c>
      <c r="B497" t="s">
        <v>1213</v>
      </c>
    </row>
    <row r="498" spans="1:2" x14ac:dyDescent="0.2">
      <c r="A498" t="s">
        <v>1352</v>
      </c>
      <c r="B498" t="s">
        <v>527</v>
      </c>
    </row>
    <row r="499" spans="1:2" x14ac:dyDescent="0.2">
      <c r="A499" t="s">
        <v>1350</v>
      </c>
      <c r="B499" t="s">
        <v>996</v>
      </c>
    </row>
    <row r="500" spans="1:2" x14ac:dyDescent="0.2">
      <c r="A500" t="s">
        <v>1353</v>
      </c>
      <c r="B500" t="s">
        <v>1292</v>
      </c>
    </row>
    <row r="501" spans="1:2" x14ac:dyDescent="0.2">
      <c r="A501" t="s">
        <v>1350</v>
      </c>
      <c r="B501" t="s">
        <v>359</v>
      </c>
    </row>
    <row r="502" spans="1:2" x14ac:dyDescent="0.2">
      <c r="A502" t="s">
        <v>1351</v>
      </c>
      <c r="B502" t="s">
        <v>241</v>
      </c>
    </row>
    <row r="503" spans="1:2" x14ac:dyDescent="0.2">
      <c r="A503" t="s">
        <v>1350</v>
      </c>
      <c r="B503" t="s">
        <v>914</v>
      </c>
    </row>
    <row r="504" spans="1:2" x14ac:dyDescent="0.2">
      <c r="A504" t="s">
        <v>1351</v>
      </c>
      <c r="B504" t="s">
        <v>178</v>
      </c>
    </row>
    <row r="505" spans="1:2" x14ac:dyDescent="0.2">
      <c r="A505" t="s">
        <v>1352</v>
      </c>
      <c r="B505" t="s">
        <v>319</v>
      </c>
    </row>
    <row r="506" spans="1:2" x14ac:dyDescent="0.2">
      <c r="A506" t="s">
        <v>1353</v>
      </c>
      <c r="B506" t="s">
        <v>1251</v>
      </c>
    </row>
    <row r="507" spans="1:2" x14ac:dyDescent="0.2">
      <c r="A507" t="s">
        <v>1353</v>
      </c>
      <c r="B507" t="s">
        <v>627</v>
      </c>
    </row>
    <row r="508" spans="1:2" x14ac:dyDescent="0.2">
      <c r="A508" t="s">
        <v>1353</v>
      </c>
      <c r="B508" t="s">
        <v>1301</v>
      </c>
    </row>
    <row r="509" spans="1:2" x14ac:dyDescent="0.2">
      <c r="A509" t="s">
        <v>1350</v>
      </c>
      <c r="B509" t="s">
        <v>1302</v>
      </c>
    </row>
    <row r="510" spans="1:2" x14ac:dyDescent="0.2">
      <c r="A510" t="s">
        <v>1352</v>
      </c>
      <c r="B510" t="s">
        <v>1029</v>
      </c>
    </row>
    <row r="511" spans="1:2" x14ac:dyDescent="0.2">
      <c r="A511" t="s">
        <v>1350</v>
      </c>
      <c r="B511" t="s">
        <v>706</v>
      </c>
    </row>
    <row r="512" spans="1:2" x14ac:dyDescent="0.2">
      <c r="A512" t="s">
        <v>1351</v>
      </c>
      <c r="B512" t="s">
        <v>831</v>
      </c>
    </row>
    <row r="513" spans="1:2" x14ac:dyDescent="0.2">
      <c r="A513" t="s">
        <v>1352</v>
      </c>
      <c r="B513" t="s">
        <v>1102</v>
      </c>
    </row>
    <row r="514" spans="1:2" x14ac:dyDescent="0.2">
      <c r="A514" t="s">
        <v>1350</v>
      </c>
      <c r="B514" t="s">
        <v>617</v>
      </c>
    </row>
    <row r="515" spans="1:2" x14ac:dyDescent="0.2">
      <c r="A515" t="s">
        <v>1350</v>
      </c>
      <c r="B515" t="s">
        <v>1279</v>
      </c>
    </row>
    <row r="516" spans="1:2" x14ac:dyDescent="0.2">
      <c r="A516" t="s">
        <v>1351</v>
      </c>
      <c r="B516" t="s">
        <v>581</v>
      </c>
    </row>
    <row r="517" spans="1:2" x14ac:dyDescent="0.2">
      <c r="A517" t="s">
        <v>1353</v>
      </c>
      <c r="B517" t="s">
        <v>1205</v>
      </c>
    </row>
    <row r="518" spans="1:2" x14ac:dyDescent="0.2">
      <c r="A518" t="s">
        <v>1352</v>
      </c>
      <c r="B518" t="s">
        <v>477</v>
      </c>
    </row>
    <row r="519" spans="1:2" x14ac:dyDescent="0.2">
      <c r="A519" t="s">
        <v>1350</v>
      </c>
      <c r="B519" t="s">
        <v>1242</v>
      </c>
    </row>
    <row r="520" spans="1:2" x14ac:dyDescent="0.2">
      <c r="A520" t="s">
        <v>1352</v>
      </c>
      <c r="B520" t="s">
        <v>213</v>
      </c>
    </row>
    <row r="521" spans="1:2" x14ac:dyDescent="0.2">
      <c r="A521" t="s">
        <v>1353</v>
      </c>
      <c r="B521" t="s">
        <v>871</v>
      </c>
    </row>
    <row r="522" spans="1:2" x14ac:dyDescent="0.2">
      <c r="A522" t="s">
        <v>1350</v>
      </c>
      <c r="B522" t="s">
        <v>1195</v>
      </c>
    </row>
    <row r="523" spans="1:2" x14ac:dyDescent="0.2">
      <c r="A523" t="s">
        <v>1352</v>
      </c>
      <c r="B523" t="s">
        <v>295</v>
      </c>
    </row>
    <row r="524" spans="1:2" x14ac:dyDescent="0.2">
      <c r="A524" t="s">
        <v>1352</v>
      </c>
      <c r="B524" t="s">
        <v>1167</v>
      </c>
    </row>
    <row r="525" spans="1:2" x14ac:dyDescent="0.2">
      <c r="A525" t="s">
        <v>1353</v>
      </c>
      <c r="B525" t="s">
        <v>1219</v>
      </c>
    </row>
    <row r="526" spans="1:2" x14ac:dyDescent="0.2">
      <c r="A526" t="s">
        <v>1350</v>
      </c>
      <c r="B526" t="s">
        <v>1074</v>
      </c>
    </row>
    <row r="527" spans="1:2" x14ac:dyDescent="0.2">
      <c r="A527" t="s">
        <v>1351</v>
      </c>
      <c r="B527" t="s">
        <v>1071</v>
      </c>
    </row>
    <row r="528" spans="1:2" x14ac:dyDescent="0.2">
      <c r="A528" t="s">
        <v>1352</v>
      </c>
      <c r="B528" t="s">
        <v>1207</v>
      </c>
    </row>
    <row r="529" spans="1:2" x14ac:dyDescent="0.2">
      <c r="A529" t="s">
        <v>1353</v>
      </c>
      <c r="B529" t="s">
        <v>849</v>
      </c>
    </row>
    <row r="530" spans="1:2" x14ac:dyDescent="0.2">
      <c r="A530" t="s">
        <v>1351</v>
      </c>
      <c r="B530" t="s">
        <v>303</v>
      </c>
    </row>
    <row r="531" spans="1:2" x14ac:dyDescent="0.2">
      <c r="A531" t="s">
        <v>1352</v>
      </c>
      <c r="B531" t="s">
        <v>510</v>
      </c>
    </row>
    <row r="532" spans="1:2" x14ac:dyDescent="0.2">
      <c r="A532" t="s">
        <v>1353</v>
      </c>
      <c r="B532" t="s">
        <v>895</v>
      </c>
    </row>
    <row r="533" spans="1:2" x14ac:dyDescent="0.2">
      <c r="A533" t="s">
        <v>1350</v>
      </c>
      <c r="B533" t="s">
        <v>146</v>
      </c>
    </row>
    <row r="534" spans="1:2" x14ac:dyDescent="0.2">
      <c r="A534" t="s">
        <v>1350</v>
      </c>
      <c r="B534" t="s">
        <v>614</v>
      </c>
    </row>
    <row r="535" spans="1:2" x14ac:dyDescent="0.2">
      <c r="A535" t="s">
        <v>1352</v>
      </c>
      <c r="B535" t="s">
        <v>1097</v>
      </c>
    </row>
    <row r="536" spans="1:2" x14ac:dyDescent="0.2">
      <c r="A536" t="s">
        <v>1350</v>
      </c>
      <c r="B536" t="s">
        <v>1170</v>
      </c>
    </row>
    <row r="537" spans="1:2" x14ac:dyDescent="0.2">
      <c r="A537" t="s">
        <v>1353</v>
      </c>
      <c r="B537" t="s">
        <v>982</v>
      </c>
    </row>
    <row r="538" spans="1:2" x14ac:dyDescent="0.2">
      <c r="A538" t="s">
        <v>1350</v>
      </c>
      <c r="B538" t="s">
        <v>1067</v>
      </c>
    </row>
    <row r="539" spans="1:2" x14ac:dyDescent="0.2">
      <c r="A539" t="s">
        <v>1351</v>
      </c>
      <c r="B539" t="s">
        <v>224</v>
      </c>
    </row>
    <row r="540" spans="1:2" x14ac:dyDescent="0.2">
      <c r="A540" t="s">
        <v>1352</v>
      </c>
      <c r="B540" t="s">
        <v>1232</v>
      </c>
    </row>
    <row r="541" spans="1:2" x14ac:dyDescent="0.2">
      <c r="A541" t="s">
        <v>1353</v>
      </c>
      <c r="B541" t="s">
        <v>1120</v>
      </c>
    </row>
    <row r="542" spans="1:2" x14ac:dyDescent="0.2">
      <c r="A542" t="s">
        <v>1351</v>
      </c>
      <c r="B542" t="s">
        <v>794</v>
      </c>
    </row>
    <row r="543" spans="1:2" x14ac:dyDescent="0.2">
      <c r="A543" t="s">
        <v>1352</v>
      </c>
      <c r="B543" t="s">
        <v>1132</v>
      </c>
    </row>
    <row r="544" spans="1:2" x14ac:dyDescent="0.2">
      <c r="A544" t="s">
        <v>1353</v>
      </c>
      <c r="B544" t="s">
        <v>1210</v>
      </c>
    </row>
    <row r="545" spans="1:2" x14ac:dyDescent="0.2">
      <c r="A545" t="s">
        <v>1352</v>
      </c>
      <c r="B545" t="s">
        <v>1030</v>
      </c>
    </row>
    <row r="546" spans="1:2" x14ac:dyDescent="0.2">
      <c r="A546" t="s">
        <v>1353</v>
      </c>
      <c r="B546" t="s">
        <v>1269</v>
      </c>
    </row>
    <row r="547" spans="1:2" x14ac:dyDescent="0.2">
      <c r="A547" t="s">
        <v>1350</v>
      </c>
      <c r="B547" t="s">
        <v>254</v>
      </c>
    </row>
    <row r="548" spans="1:2" x14ac:dyDescent="0.2">
      <c r="A548" t="s">
        <v>1352</v>
      </c>
      <c r="B548" t="s">
        <v>708</v>
      </c>
    </row>
    <row r="549" spans="1:2" x14ac:dyDescent="0.2">
      <c r="A549" t="s">
        <v>1351</v>
      </c>
      <c r="B549" t="s">
        <v>1139</v>
      </c>
    </row>
    <row r="550" spans="1:2" x14ac:dyDescent="0.2">
      <c r="A550" t="s">
        <v>1352</v>
      </c>
      <c r="B550" t="s">
        <v>586</v>
      </c>
    </row>
    <row r="551" spans="1:2" x14ac:dyDescent="0.2">
      <c r="A551" t="s">
        <v>1350</v>
      </c>
      <c r="B551" t="s">
        <v>1117</v>
      </c>
    </row>
    <row r="552" spans="1:2" x14ac:dyDescent="0.2">
      <c r="A552" t="s">
        <v>1351</v>
      </c>
      <c r="B552" t="s">
        <v>1258</v>
      </c>
    </row>
    <row r="553" spans="1:2" x14ac:dyDescent="0.2">
      <c r="A553" t="s">
        <v>1352</v>
      </c>
      <c r="B553" t="s">
        <v>843</v>
      </c>
    </row>
    <row r="554" spans="1:2" x14ac:dyDescent="0.2">
      <c r="A554" t="s">
        <v>1353</v>
      </c>
      <c r="B554" t="s">
        <v>1090</v>
      </c>
    </row>
    <row r="555" spans="1:2" x14ac:dyDescent="0.2">
      <c r="A555" t="s">
        <v>1350</v>
      </c>
      <c r="B555" t="s">
        <v>624</v>
      </c>
    </row>
    <row r="556" spans="1:2" x14ac:dyDescent="0.2">
      <c r="A556" t="s">
        <v>1352</v>
      </c>
      <c r="B556" t="s">
        <v>658</v>
      </c>
    </row>
    <row r="557" spans="1:2" x14ac:dyDescent="0.2">
      <c r="A557" t="s">
        <v>1350</v>
      </c>
      <c r="B557" t="s">
        <v>729</v>
      </c>
    </row>
    <row r="558" spans="1:2" x14ac:dyDescent="0.2">
      <c r="A558" t="s">
        <v>1351</v>
      </c>
      <c r="B558" t="s">
        <v>1209</v>
      </c>
    </row>
    <row r="559" spans="1:2" x14ac:dyDescent="0.2">
      <c r="A559" t="s">
        <v>1352</v>
      </c>
      <c r="B559" t="s">
        <v>707</v>
      </c>
    </row>
    <row r="560" spans="1:2" x14ac:dyDescent="0.2">
      <c r="A560" t="s">
        <v>1353</v>
      </c>
      <c r="B560" t="s">
        <v>556</v>
      </c>
    </row>
    <row r="561" spans="1:2" x14ac:dyDescent="0.2">
      <c r="A561" t="s">
        <v>1353</v>
      </c>
      <c r="B561" t="s">
        <v>1016</v>
      </c>
    </row>
    <row r="562" spans="1:2" x14ac:dyDescent="0.2">
      <c r="A562" t="s">
        <v>1350</v>
      </c>
      <c r="B562" t="s">
        <v>1313</v>
      </c>
    </row>
    <row r="563" spans="1:2" x14ac:dyDescent="0.2">
      <c r="A563" t="s">
        <v>1351</v>
      </c>
      <c r="B563" t="s">
        <v>1055</v>
      </c>
    </row>
    <row r="564" spans="1:2" x14ac:dyDescent="0.2">
      <c r="A564" t="s">
        <v>1350</v>
      </c>
      <c r="B564" t="s">
        <v>812</v>
      </c>
    </row>
    <row r="565" spans="1:2" x14ac:dyDescent="0.2">
      <c r="A565" t="s">
        <v>1351</v>
      </c>
      <c r="B565" t="s">
        <v>485</v>
      </c>
    </row>
    <row r="566" spans="1:2" x14ac:dyDescent="0.2">
      <c r="A566" t="s">
        <v>1352</v>
      </c>
      <c r="B566" t="s">
        <v>539</v>
      </c>
    </row>
    <row r="567" spans="1:2" x14ac:dyDescent="0.2">
      <c r="A567" t="s">
        <v>1350</v>
      </c>
      <c r="B567" t="s">
        <v>979</v>
      </c>
    </row>
    <row r="568" spans="1:2" x14ac:dyDescent="0.2">
      <c r="A568" t="s">
        <v>1351</v>
      </c>
      <c r="B568" t="s">
        <v>166</v>
      </c>
    </row>
    <row r="569" spans="1:2" x14ac:dyDescent="0.2">
      <c r="A569" t="s">
        <v>1350</v>
      </c>
      <c r="B569" t="s">
        <v>510</v>
      </c>
    </row>
    <row r="570" spans="1:2" x14ac:dyDescent="0.2">
      <c r="A570" t="s">
        <v>1351</v>
      </c>
      <c r="B570" t="s">
        <v>147</v>
      </c>
    </row>
    <row r="571" spans="1:2" x14ac:dyDescent="0.2">
      <c r="A571" t="s">
        <v>1353</v>
      </c>
      <c r="B571" t="s">
        <v>640</v>
      </c>
    </row>
    <row r="572" spans="1:2" x14ac:dyDescent="0.2">
      <c r="A572" t="s">
        <v>1352</v>
      </c>
      <c r="B572" t="s">
        <v>561</v>
      </c>
    </row>
    <row r="573" spans="1:2" x14ac:dyDescent="0.2">
      <c r="A573" t="s">
        <v>1353</v>
      </c>
      <c r="B573" t="s">
        <v>656</v>
      </c>
    </row>
    <row r="574" spans="1:2" x14ac:dyDescent="0.2">
      <c r="A574" t="s">
        <v>1351</v>
      </c>
      <c r="B574" t="s">
        <v>1290</v>
      </c>
    </row>
    <row r="575" spans="1:2" x14ac:dyDescent="0.2">
      <c r="A575" t="s">
        <v>1350</v>
      </c>
      <c r="B575" t="s">
        <v>572</v>
      </c>
    </row>
    <row r="576" spans="1:2" x14ac:dyDescent="0.2">
      <c r="A576" t="s">
        <v>1351</v>
      </c>
      <c r="B576" t="s">
        <v>934</v>
      </c>
    </row>
    <row r="577" spans="1:2" x14ac:dyDescent="0.2">
      <c r="A577" t="s">
        <v>1353</v>
      </c>
      <c r="B577" t="s">
        <v>1091</v>
      </c>
    </row>
    <row r="578" spans="1:2" x14ac:dyDescent="0.2">
      <c r="A578" t="s">
        <v>1351</v>
      </c>
      <c r="B578" t="s">
        <v>1076</v>
      </c>
    </row>
    <row r="579" spans="1:2" x14ac:dyDescent="0.2">
      <c r="A579" t="s">
        <v>1352</v>
      </c>
      <c r="B579" t="s">
        <v>91</v>
      </c>
    </row>
    <row r="580" spans="1:2" x14ac:dyDescent="0.2">
      <c r="A580" t="s">
        <v>1350</v>
      </c>
      <c r="B580" t="s">
        <v>636</v>
      </c>
    </row>
    <row r="581" spans="1:2" x14ac:dyDescent="0.2">
      <c r="A581" t="s">
        <v>1351</v>
      </c>
      <c r="B581" t="s">
        <v>872</v>
      </c>
    </row>
    <row r="582" spans="1:2" x14ac:dyDescent="0.2">
      <c r="A582" t="s">
        <v>1353</v>
      </c>
      <c r="B582" t="s">
        <v>1286</v>
      </c>
    </row>
    <row r="583" spans="1:2" x14ac:dyDescent="0.2">
      <c r="A583" t="s">
        <v>1350</v>
      </c>
      <c r="B583" t="s">
        <v>186</v>
      </c>
    </row>
    <row r="584" spans="1:2" x14ac:dyDescent="0.2">
      <c r="A584" t="s">
        <v>1353</v>
      </c>
      <c r="B584" t="s">
        <v>566</v>
      </c>
    </row>
    <row r="585" spans="1:2" x14ac:dyDescent="0.2">
      <c r="A585" t="s">
        <v>1351</v>
      </c>
      <c r="B585" t="s">
        <v>1293</v>
      </c>
    </row>
    <row r="586" spans="1:2" x14ac:dyDescent="0.2">
      <c r="A586" t="s">
        <v>1350</v>
      </c>
      <c r="B586" t="s">
        <v>895</v>
      </c>
    </row>
    <row r="587" spans="1:2" x14ac:dyDescent="0.2">
      <c r="A587" t="s">
        <v>1352</v>
      </c>
      <c r="B587" t="s">
        <v>1319</v>
      </c>
    </row>
    <row r="588" spans="1:2" x14ac:dyDescent="0.2">
      <c r="A588" t="s">
        <v>1351</v>
      </c>
      <c r="B588" t="s">
        <v>1304</v>
      </c>
    </row>
    <row r="589" spans="1:2" x14ac:dyDescent="0.2">
      <c r="A589" t="s">
        <v>1353</v>
      </c>
      <c r="B589" t="s">
        <v>796</v>
      </c>
    </row>
    <row r="590" spans="1:2" x14ac:dyDescent="0.2">
      <c r="A590" t="s">
        <v>1353</v>
      </c>
      <c r="B590" t="s">
        <v>1127</v>
      </c>
    </row>
    <row r="591" spans="1:2" x14ac:dyDescent="0.2">
      <c r="A591" t="s">
        <v>1352</v>
      </c>
      <c r="B591" t="s">
        <v>1257</v>
      </c>
    </row>
    <row r="592" spans="1:2" x14ac:dyDescent="0.2">
      <c r="A592" t="s">
        <v>1350</v>
      </c>
      <c r="B592" t="s">
        <v>568</v>
      </c>
    </row>
    <row r="593" spans="1:2" x14ac:dyDescent="0.2">
      <c r="A593" t="s">
        <v>1352</v>
      </c>
      <c r="B593" t="s">
        <v>243</v>
      </c>
    </row>
    <row r="594" spans="1:2" x14ac:dyDescent="0.2">
      <c r="A594" t="s">
        <v>1351</v>
      </c>
      <c r="B594" t="s">
        <v>141</v>
      </c>
    </row>
    <row r="595" spans="1:2" x14ac:dyDescent="0.2">
      <c r="A595" t="s">
        <v>1350</v>
      </c>
      <c r="B595" t="s">
        <v>606</v>
      </c>
    </row>
    <row r="596" spans="1:2" x14ac:dyDescent="0.2">
      <c r="A596" t="s">
        <v>1353</v>
      </c>
      <c r="B596" t="s">
        <v>1320</v>
      </c>
    </row>
    <row r="597" spans="1:2" x14ac:dyDescent="0.2">
      <c r="A597" t="s">
        <v>1350</v>
      </c>
      <c r="B597" t="s">
        <v>378</v>
      </c>
    </row>
    <row r="598" spans="1:2" x14ac:dyDescent="0.2">
      <c r="A598" t="s">
        <v>1352</v>
      </c>
      <c r="B598" t="s">
        <v>383</v>
      </c>
    </row>
    <row r="599" spans="1:2" x14ac:dyDescent="0.2">
      <c r="A599" t="s">
        <v>1351</v>
      </c>
      <c r="B599" t="s">
        <v>1204</v>
      </c>
    </row>
    <row r="600" spans="1:2" x14ac:dyDescent="0.2">
      <c r="A600" t="s">
        <v>1353</v>
      </c>
      <c r="B600" t="s">
        <v>753</v>
      </c>
    </row>
    <row r="601" spans="1:2" x14ac:dyDescent="0.2">
      <c r="A601" t="s">
        <v>1353</v>
      </c>
      <c r="B601" t="s">
        <v>1314</v>
      </c>
    </row>
    <row r="602" spans="1:2" x14ac:dyDescent="0.2">
      <c r="A602" t="s">
        <v>1350</v>
      </c>
      <c r="B602" t="s">
        <v>259</v>
      </c>
    </row>
    <row r="603" spans="1:2" x14ac:dyDescent="0.2">
      <c r="A603" t="s">
        <v>1351</v>
      </c>
      <c r="B603" t="s">
        <v>1286</v>
      </c>
    </row>
    <row r="604" spans="1:2" x14ac:dyDescent="0.2">
      <c r="A604" t="s">
        <v>1351</v>
      </c>
      <c r="B604" t="s">
        <v>204</v>
      </c>
    </row>
    <row r="605" spans="1:2" x14ac:dyDescent="0.2">
      <c r="A605" t="s">
        <v>1351</v>
      </c>
      <c r="B605" t="s">
        <v>1302</v>
      </c>
    </row>
    <row r="606" spans="1:2" x14ac:dyDescent="0.2">
      <c r="A606" t="s">
        <v>1352</v>
      </c>
      <c r="B606" t="s">
        <v>931</v>
      </c>
    </row>
    <row r="607" spans="1:2" x14ac:dyDescent="0.2">
      <c r="A607" t="s">
        <v>1353</v>
      </c>
      <c r="B607" t="s">
        <v>277</v>
      </c>
    </row>
    <row r="608" spans="1:2" x14ac:dyDescent="0.2">
      <c r="A608" t="s">
        <v>1350</v>
      </c>
      <c r="B608" t="s">
        <v>1304</v>
      </c>
    </row>
    <row r="609" spans="1:2" x14ac:dyDescent="0.2">
      <c r="A609" t="s">
        <v>1351</v>
      </c>
      <c r="B609" t="s">
        <v>990</v>
      </c>
    </row>
    <row r="610" spans="1:2" x14ac:dyDescent="0.2">
      <c r="A610" t="s">
        <v>1350</v>
      </c>
      <c r="B610" t="s">
        <v>506</v>
      </c>
    </row>
    <row r="611" spans="1:2" x14ac:dyDescent="0.2">
      <c r="A611" t="s">
        <v>1351</v>
      </c>
      <c r="B611" t="s">
        <v>1284</v>
      </c>
    </row>
    <row r="612" spans="1:2" x14ac:dyDescent="0.2">
      <c r="A612" t="s">
        <v>1350</v>
      </c>
      <c r="B612" t="s">
        <v>569</v>
      </c>
    </row>
    <row r="613" spans="1:2" x14ac:dyDescent="0.2">
      <c r="A613" t="s">
        <v>1350</v>
      </c>
      <c r="B613" t="s">
        <v>272</v>
      </c>
    </row>
    <row r="614" spans="1:2" x14ac:dyDescent="0.2">
      <c r="A614" t="s">
        <v>1353</v>
      </c>
      <c r="B614" t="s">
        <v>526</v>
      </c>
    </row>
    <row r="615" spans="1:2" x14ac:dyDescent="0.2">
      <c r="A615" t="s">
        <v>1350</v>
      </c>
      <c r="B615" t="s">
        <v>1326</v>
      </c>
    </row>
    <row r="616" spans="1:2" x14ac:dyDescent="0.2">
      <c r="A616" t="s">
        <v>1350</v>
      </c>
      <c r="B616" t="s">
        <v>816</v>
      </c>
    </row>
    <row r="617" spans="1:2" x14ac:dyDescent="0.2">
      <c r="A617" t="s">
        <v>1351</v>
      </c>
      <c r="B617" t="s">
        <v>558</v>
      </c>
    </row>
    <row r="618" spans="1:2" x14ac:dyDescent="0.2">
      <c r="A618" t="s">
        <v>1351</v>
      </c>
      <c r="B618" t="s">
        <v>1151</v>
      </c>
    </row>
    <row r="619" spans="1:2" x14ac:dyDescent="0.2">
      <c r="A619" t="s">
        <v>1350</v>
      </c>
      <c r="B619" t="s">
        <v>1327</v>
      </c>
    </row>
    <row r="620" spans="1:2" x14ac:dyDescent="0.2">
      <c r="A620" t="s">
        <v>1353</v>
      </c>
      <c r="B620" t="s">
        <v>1097</v>
      </c>
    </row>
    <row r="621" spans="1:2" x14ac:dyDescent="0.2">
      <c r="A621" t="s">
        <v>1351</v>
      </c>
      <c r="B621" t="s">
        <v>387</v>
      </c>
    </row>
    <row r="622" spans="1:2" x14ac:dyDescent="0.2">
      <c r="A622" t="s">
        <v>1352</v>
      </c>
      <c r="B622" t="s">
        <v>578</v>
      </c>
    </row>
    <row r="623" spans="1:2" x14ac:dyDescent="0.2">
      <c r="A623" t="s">
        <v>1353</v>
      </c>
      <c r="B623" t="s">
        <v>1276</v>
      </c>
    </row>
    <row r="624" spans="1:2" x14ac:dyDescent="0.2">
      <c r="A624" t="s">
        <v>1350</v>
      </c>
      <c r="B624" t="s">
        <v>799</v>
      </c>
    </row>
    <row r="625" spans="1:2" x14ac:dyDescent="0.2">
      <c r="A625" t="s">
        <v>1351</v>
      </c>
      <c r="B625" t="s">
        <v>1241</v>
      </c>
    </row>
    <row r="626" spans="1:2" x14ac:dyDescent="0.2">
      <c r="A626" t="s">
        <v>1351</v>
      </c>
      <c r="B626" t="s">
        <v>1157</v>
      </c>
    </row>
    <row r="627" spans="1:2" x14ac:dyDescent="0.2">
      <c r="A627" t="s">
        <v>1352</v>
      </c>
      <c r="B627" t="s">
        <v>949</v>
      </c>
    </row>
    <row r="628" spans="1:2" x14ac:dyDescent="0.2">
      <c r="A628" t="s">
        <v>1350</v>
      </c>
      <c r="B628" t="s">
        <v>871</v>
      </c>
    </row>
    <row r="629" spans="1:2" x14ac:dyDescent="0.2">
      <c r="A629" t="s">
        <v>1353</v>
      </c>
      <c r="B629" t="s">
        <v>1055</v>
      </c>
    </row>
    <row r="630" spans="1:2" x14ac:dyDescent="0.2">
      <c r="A630" t="s">
        <v>1350</v>
      </c>
      <c r="B630" t="s">
        <v>147</v>
      </c>
    </row>
    <row r="631" spans="1:2" x14ac:dyDescent="0.2">
      <c r="A631" t="s">
        <v>1351</v>
      </c>
      <c r="B631" t="s">
        <v>816</v>
      </c>
    </row>
    <row r="632" spans="1:2" x14ac:dyDescent="0.2">
      <c r="A632" t="s">
        <v>1352</v>
      </c>
      <c r="B632" t="s">
        <v>220</v>
      </c>
    </row>
    <row r="633" spans="1:2" x14ac:dyDescent="0.2">
      <c r="A633" t="s">
        <v>1350</v>
      </c>
      <c r="B633" t="s">
        <v>563</v>
      </c>
    </row>
    <row r="634" spans="1:2" x14ac:dyDescent="0.2">
      <c r="A634" t="s">
        <v>1352</v>
      </c>
      <c r="B634" t="s">
        <v>169</v>
      </c>
    </row>
    <row r="635" spans="1:2" x14ac:dyDescent="0.2">
      <c r="A635" t="s">
        <v>1350</v>
      </c>
      <c r="B635" t="s">
        <v>755</v>
      </c>
    </row>
    <row r="636" spans="1:2" x14ac:dyDescent="0.2">
      <c r="A636" t="s">
        <v>1351</v>
      </c>
      <c r="B636" t="s">
        <v>106</v>
      </c>
    </row>
    <row r="637" spans="1:2" x14ac:dyDescent="0.2">
      <c r="A637" t="s">
        <v>1353</v>
      </c>
      <c r="B637" t="s">
        <v>1129</v>
      </c>
    </row>
    <row r="638" spans="1:2" x14ac:dyDescent="0.2">
      <c r="A638" t="s">
        <v>1350</v>
      </c>
      <c r="B638" t="s">
        <v>641</v>
      </c>
    </row>
    <row r="639" spans="1:2" x14ac:dyDescent="0.2">
      <c r="A639" t="s">
        <v>1351</v>
      </c>
      <c r="B639" t="s">
        <v>53</v>
      </c>
    </row>
    <row r="640" spans="1:2" x14ac:dyDescent="0.2">
      <c r="A640" t="s">
        <v>1352</v>
      </c>
      <c r="B640" t="s">
        <v>698</v>
      </c>
    </row>
    <row r="641" spans="1:2" x14ac:dyDescent="0.2">
      <c r="A641" t="s">
        <v>1353</v>
      </c>
      <c r="B641" t="s">
        <v>1197</v>
      </c>
    </row>
    <row r="642" spans="1:2" x14ac:dyDescent="0.2">
      <c r="A642" t="s">
        <v>1350</v>
      </c>
      <c r="B642" t="s">
        <v>867</v>
      </c>
    </row>
    <row r="643" spans="1:2" x14ac:dyDescent="0.2">
      <c r="A643" t="s">
        <v>1351</v>
      </c>
      <c r="B643" t="s">
        <v>865</v>
      </c>
    </row>
    <row r="644" spans="1:2" x14ac:dyDescent="0.2">
      <c r="A644" t="s">
        <v>1352</v>
      </c>
      <c r="B644" t="s">
        <v>646</v>
      </c>
    </row>
    <row r="645" spans="1:2" x14ac:dyDescent="0.2">
      <c r="A645" t="s">
        <v>1351</v>
      </c>
      <c r="B645" t="s">
        <v>806</v>
      </c>
    </row>
    <row r="646" spans="1:2" x14ac:dyDescent="0.2">
      <c r="A646" t="s">
        <v>1353</v>
      </c>
      <c r="B646" t="s">
        <v>602</v>
      </c>
    </row>
    <row r="647" spans="1:2" x14ac:dyDescent="0.2">
      <c r="A647" t="s">
        <v>1353</v>
      </c>
      <c r="B647" t="s">
        <v>448</v>
      </c>
    </row>
    <row r="648" spans="1:2" x14ac:dyDescent="0.2">
      <c r="A648" t="s">
        <v>1350</v>
      </c>
      <c r="B648" t="s">
        <v>940</v>
      </c>
    </row>
    <row r="649" spans="1:2" x14ac:dyDescent="0.2">
      <c r="A649" t="s">
        <v>1351</v>
      </c>
      <c r="B649" t="s">
        <v>1329</v>
      </c>
    </row>
    <row r="650" spans="1:2" x14ac:dyDescent="0.2">
      <c r="A650" t="s">
        <v>1350</v>
      </c>
      <c r="B650" t="s">
        <v>751</v>
      </c>
    </row>
    <row r="651" spans="1:2" x14ac:dyDescent="0.2">
      <c r="A651" t="s">
        <v>1351</v>
      </c>
      <c r="B651" t="s">
        <v>871</v>
      </c>
    </row>
    <row r="652" spans="1:2" x14ac:dyDescent="0.2">
      <c r="A652" t="s">
        <v>1352</v>
      </c>
      <c r="B652" t="s">
        <v>374</v>
      </c>
    </row>
    <row r="653" spans="1:2" x14ac:dyDescent="0.2">
      <c r="A653" t="s">
        <v>1353</v>
      </c>
      <c r="B653" t="s">
        <v>490</v>
      </c>
    </row>
    <row r="654" spans="1:2" x14ac:dyDescent="0.2">
      <c r="A654" t="s">
        <v>1350</v>
      </c>
      <c r="B654" t="s">
        <v>684</v>
      </c>
    </row>
    <row r="655" spans="1:2" x14ac:dyDescent="0.2">
      <c r="A655" t="s">
        <v>1350</v>
      </c>
      <c r="B655" t="s">
        <v>1178</v>
      </c>
    </row>
    <row r="656" spans="1:2" x14ac:dyDescent="0.2">
      <c r="A656" t="s">
        <v>1351</v>
      </c>
      <c r="B656" t="s">
        <v>1059</v>
      </c>
    </row>
    <row r="657" spans="1:2" x14ac:dyDescent="0.2">
      <c r="A657" t="s">
        <v>1351</v>
      </c>
      <c r="B657" t="s">
        <v>1135</v>
      </c>
    </row>
    <row r="658" spans="1:2" x14ac:dyDescent="0.2">
      <c r="A658" t="s">
        <v>1352</v>
      </c>
      <c r="B658" t="s">
        <v>1275</v>
      </c>
    </row>
    <row r="659" spans="1:2" x14ac:dyDescent="0.2">
      <c r="A659" t="s">
        <v>1353</v>
      </c>
      <c r="B659" t="s">
        <v>838</v>
      </c>
    </row>
    <row r="660" spans="1:2" x14ac:dyDescent="0.2">
      <c r="A660" t="s">
        <v>1351</v>
      </c>
      <c r="B660" t="s">
        <v>434</v>
      </c>
    </row>
    <row r="661" spans="1:2" x14ac:dyDescent="0.2">
      <c r="A661" t="s">
        <v>1351</v>
      </c>
      <c r="B661" t="s">
        <v>672</v>
      </c>
    </row>
    <row r="662" spans="1:2" x14ac:dyDescent="0.2">
      <c r="A662" t="s">
        <v>1352</v>
      </c>
      <c r="B662" t="s">
        <v>422</v>
      </c>
    </row>
    <row r="663" spans="1:2" x14ac:dyDescent="0.2">
      <c r="A663" t="s">
        <v>1351</v>
      </c>
      <c r="B663" t="s">
        <v>1028</v>
      </c>
    </row>
    <row r="664" spans="1:2" x14ac:dyDescent="0.2">
      <c r="A664" t="s">
        <v>1352</v>
      </c>
      <c r="B664" t="s">
        <v>1074</v>
      </c>
    </row>
    <row r="665" spans="1:2" x14ac:dyDescent="0.2">
      <c r="A665" t="s">
        <v>1353</v>
      </c>
      <c r="B665" t="s">
        <v>122</v>
      </c>
    </row>
    <row r="666" spans="1:2" x14ac:dyDescent="0.2">
      <c r="A666" t="s">
        <v>1350</v>
      </c>
      <c r="B666" t="s">
        <v>266</v>
      </c>
    </row>
    <row r="667" spans="1:2" x14ac:dyDescent="0.2">
      <c r="A667" t="s">
        <v>1351</v>
      </c>
      <c r="B667" t="s">
        <v>869</v>
      </c>
    </row>
    <row r="668" spans="1:2" x14ac:dyDescent="0.2">
      <c r="A668" t="s">
        <v>1351</v>
      </c>
      <c r="B668" t="s">
        <v>67</v>
      </c>
    </row>
    <row r="669" spans="1:2" x14ac:dyDescent="0.2">
      <c r="A669" t="s">
        <v>1352</v>
      </c>
      <c r="B669" t="s">
        <v>1218</v>
      </c>
    </row>
    <row r="670" spans="1:2" x14ac:dyDescent="0.2">
      <c r="A670" t="s">
        <v>1350</v>
      </c>
      <c r="B670" t="s">
        <v>658</v>
      </c>
    </row>
    <row r="671" spans="1:2" x14ac:dyDescent="0.2">
      <c r="A671" t="s">
        <v>1352</v>
      </c>
      <c r="B671" t="s">
        <v>241</v>
      </c>
    </row>
  </sheetData>
  <phoneticPr fontId="5"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081-4EB7-4724-85EB-47A372655CD5}">
  <dimension ref="A1"/>
  <sheetViews>
    <sheetView showGridLines="0" tabSelected="1" topLeftCell="A3" zoomScaleNormal="100" workbookViewId="0">
      <selection activeCell="G9" sqref="G9"/>
    </sheetView>
  </sheetViews>
  <sheetFormatPr defaultRowHeight="12.75" x14ac:dyDescent="0.2"/>
  <sheetData/>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Excel Capstone Raw Data</vt:lpstr>
      <vt:lpstr>Sheet3</vt:lpstr>
      <vt:lpstr>Sheet5</vt:lpstr>
      <vt:lpstr>Sheet6</vt:lpstr>
      <vt:lpstr>Sheet7</vt:lpstr>
      <vt:lpstr>Sheet8</vt:lpstr>
      <vt:lpstr>Kpis</vt:lpstr>
      <vt:lpstr>kpi sales</vt:lpstr>
      <vt:lpstr>kpi customer</vt:lpstr>
      <vt:lpstr>Sheet9</vt:lpstr>
      <vt:lpstr>Sheet1</vt:lpstr>
      <vt:lpstr>Sheet10</vt:lpstr>
      <vt:lpstr>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HP</cp:lastModifiedBy>
  <dcterms:modified xsi:type="dcterms:W3CDTF">2026-08-14T17:41:39Z</dcterms:modified>
</cp:coreProperties>
</file>