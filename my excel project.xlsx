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pivotTables/pivotTable5.xml" ContentType="application/vnd.openxmlformats-officedocument.spreadsheetml.pivotTable+xml"/>
  <Override PartName="/xl/drawings/drawing7.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pivotTables/pivotTable9.xml" ContentType="application/vnd.openxmlformats-officedocument.spreadsheetml.pivotTable+xml"/>
  <Override PartName="/xl/drawings/drawing8.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hartEx3.xml" ContentType="application/vnd.ms-office.chartex+xml"/>
  <Override PartName="/xl/charts/chartEx4.xml" ContentType="application/vnd.ms-office.chartex+xml"/>
  <Override PartName="/xl/persons/person.xml" ContentType="application/vnd.ms-excel.person+xml"/>
  <Override PartName="/xl/charts/colors10.xml" ContentType="application/vnd.ms-office.chartcolorstyle+xml"/>
  <Override PartName="/xl/charts/style10.xml" ContentType="application/vnd.ms-office.chartstyle+xml"/>
  <Override PartName="/xl/charts/colors50.xml" ContentType="application/vnd.ms-office.chartcolorstyle+xml"/>
  <Override PartName="/xl/charts/style50.xml" ContentType="application/vnd.ms-office.chartstyle+xml"/>
  <Override PartName="/xl/charts/colors70.xml" ContentType="application/vnd.ms-office.chartcolorstyle+xml"/>
  <Override PartName="/xl/charts/style70.xml" ContentType="application/vnd.ms-office.chartstyle+xml"/>
  <Override PartName="/xl/charts/colors11.xml" ContentType="application/vnd.ms-office.chartcolorstyle+xml"/>
  <Override PartName="/xl/charts/style11.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BROWSER\Downloads\"/>
    </mc:Choice>
  </mc:AlternateContent>
  <bookViews>
    <workbookView xWindow="0" yWindow="0" windowWidth="14550" windowHeight="4545" firstSheet="6" activeTab="10"/>
  </bookViews>
  <sheets>
    <sheet name="Excel Capstone Raw Data" sheetId="1" r:id="rId1"/>
    <sheet name="Sum of Sales" sheetId="4" r:id="rId2"/>
    <sheet name="Sum of Profit" sheetId="6" r:id="rId3"/>
    <sheet name=" Sum of Sales by Year" sheetId="7" r:id="rId4"/>
    <sheet name="Top 5 Customers" sheetId="8" r:id="rId5"/>
    <sheet name="Customer Sales." sheetId="9" r:id="rId6"/>
    <sheet name="Kpis" sheetId="13" r:id="rId7"/>
    <sheet name="kpi sales" sheetId="12" r:id="rId8"/>
    <sheet name="kpi customer" sheetId="14" r:id="rId9"/>
    <sheet name="Customer Name by Year" sheetId="15" r:id="rId10"/>
    <sheet name="Customer Count" sheetId="10" r:id="rId11"/>
    <sheet name="Dashboard." sheetId="11" r:id="rId12"/>
  </sheets>
  <definedNames>
    <definedName name="_xlchart.v2.0" hidden="1">'Sum of Sales'!$D$4:$D$21</definedName>
    <definedName name="_xlchart.v2.1" hidden="1">'Sum of Sales'!$E$3</definedName>
    <definedName name="_xlchart.v2.2" hidden="1">'Sum of Sales'!$E$4:$E$21</definedName>
    <definedName name="_xlchart.v2.7" hidden="1">'Sum of Sales'!$D$4:$D$21</definedName>
    <definedName name="_xlchart.v2.8" hidden="1">'Sum of Sales'!$E$3</definedName>
    <definedName name="_xlchart.v2.9" hidden="1">'Sum of Sales'!$E$4:$E$21</definedName>
    <definedName name="_xlchart.v5.10" hidden="1">'Customer Sales.'!$E$3</definedName>
    <definedName name="_xlchart.v5.11" hidden="1">'Customer Sales.'!$E$4:$E$49</definedName>
    <definedName name="_xlchart.v5.12" hidden="1">'Customer Sales.'!$F$3</definedName>
    <definedName name="_xlchart.v5.13" hidden="1">'Customer Sales.'!$F$4:$F$49</definedName>
    <definedName name="_xlchart.v5.3" hidden="1">'Customer Sales.'!$E$3</definedName>
    <definedName name="_xlchart.v5.4" hidden="1">'Customer Sales.'!$E$4:$E$49</definedName>
    <definedName name="_xlchart.v5.5" hidden="1">'Customer Sales.'!$F$3</definedName>
    <definedName name="_xlchart.v5.6" hidden="1">'Customer Sales.'!$F$4:$F$49</definedName>
    <definedName name="Slicer_Year">#N/A</definedName>
    <definedName name="Year">'Excel Capstone Raw Data'!$C:$C</definedName>
  </definedNames>
  <calcPr calcId="152511"/>
  <pivotCaches>
    <pivotCache cacheId="0" r:id="rId13"/>
    <pivotCache cacheId="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0" i="4" l="1"/>
  <c r="E20" i="4"/>
  <c r="D19" i="4" l="1"/>
  <c r="D18" i="4"/>
  <c r="D17" i="4"/>
  <c r="D16" i="4"/>
  <c r="D15" i="4"/>
  <c r="D14" i="4"/>
  <c r="D13" i="4"/>
  <c r="D12" i="4"/>
  <c r="D11" i="4"/>
  <c r="D10" i="4"/>
  <c r="D9" i="4"/>
  <c r="D8" i="4"/>
  <c r="D7" i="4"/>
  <c r="D6" i="4"/>
  <c r="D5" i="4"/>
  <c r="D4" i="4"/>
  <c r="E15" i="4"/>
  <c r="A2" i="13"/>
  <c r="E13" i="4"/>
  <c r="A2" i="14"/>
  <c r="A2" i="12"/>
  <c r="E19" i="4"/>
  <c r="E18" i="4"/>
  <c r="E17" i="4"/>
  <c r="E16" i="4"/>
  <c r="E14" i="4"/>
  <c r="E12" i="4"/>
  <c r="E11" i="4"/>
  <c r="E10" i="4"/>
  <c r="E9" i="4"/>
  <c r="E8" i="4"/>
  <c r="E7" i="4"/>
  <c r="E6" i="4"/>
  <c r="E5" i="4"/>
  <c r="E4" i="4"/>
  <c r="C3" i="1" l="1"/>
  <c r="C4" i="1"/>
  <c r="C679" i="1"/>
  <c r="C2"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alcChain>
</file>

<file path=xl/sharedStrings.xml><?xml version="1.0" encoding="utf-8"?>
<sst xmlns="http://schemas.openxmlformats.org/spreadsheetml/2006/main" count="5288" uniqueCount="1355">
  <si>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</si>
  <si>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</si>
  <si>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</si>
  <si>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</si>
  <si>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</si>
  <si>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</si>
  <si>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</si>
  <si>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</si>
  <si>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</si>
  <si>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</si>
  <si>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</si>
  <si>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</si>
  <si>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</si>
  <si>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</si>
  <si>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</si>
  <si>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</si>
  <si>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</si>
  <si>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</si>
  <si>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</si>
  <si>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</si>
  <si>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</si>
  <si>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</si>
  <si>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</si>
  <si>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</si>
  <si>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</si>
  <si>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</si>
  <si>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</si>
  <si>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</si>
  <si>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</si>
  <si>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</si>
  <si>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</si>
  <si>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</si>
  <si>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</si>
  <si>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</si>
  <si>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</si>
  <si>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</si>
  <si>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</si>
  <si>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</si>
  <si>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</si>
  <si>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</si>
  <si>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</si>
  <si>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</si>
  <si>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</si>
  <si>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Vivek Sundaresam</t>
  </si>
  <si>
    <t>Furnishings</t>
  </si>
  <si>
    <t>Howard Miller 14-1/2" Diameter Chrome Round Wall Clock</t>
  </si>
  <si>
    <t>Melanie Seite</t>
  </si>
  <si>
    <t>Newell 312</t>
  </si>
  <si>
    <t>Accessories</t>
  </si>
  <si>
    <t>Memorex Micro Travel Drive 8 GB</t>
  </si>
  <si>
    <t>Anthony Jacobs</t>
  </si>
  <si>
    <t>Virginia</t>
  </si>
  <si>
    <t>Avery 482</t>
  </si>
  <si>
    <t>Seth Vernon</t>
  </si>
  <si>
    <t>Delaware</t>
  </si>
  <si>
    <t>DAX Value U-Channel Document Frames, Easel Back</t>
  </si>
  <si>
    <t>Chris Selesnick</t>
  </si>
  <si>
    <t>Louisiana</t>
  </si>
  <si>
    <t>Envelopes</t>
  </si>
  <si>
    <t>Staple envelope</t>
  </si>
  <si>
    <t>Plantronics S12 Corded Telephone Headset System</t>
  </si>
  <si>
    <t>3-ring staple pack</t>
  </si>
  <si>
    <t>Natalie DeCherney</t>
  </si>
  <si>
    <t>South Carolina</t>
  </si>
  <si>
    <t>Brian Dahlen</t>
  </si>
  <si>
    <t>Bookcases</t>
  </si>
  <si>
    <t>O'Sullivan Elevations Bookcase, Cherry Finish</t>
  </si>
  <si>
    <t>Michael Moore</t>
  </si>
  <si>
    <t>Ohio</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</si>
  <si>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</si>
  <si>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</si>
  <si>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</si>
  <si>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</si>
  <si>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</si>
  <si>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</si>
  <si>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</si>
  <si>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</si>
  <si>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</si>
  <si>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David Wiener</t>
  </si>
  <si>
    <t>Oregon</t>
  </si>
  <si>
    <t>Appliances</t>
  </si>
  <si>
    <t>Toby Swindell</t>
  </si>
  <si>
    <t>Arizona</t>
  </si>
  <si>
    <t>GBC Standard Recycled Report Covers, Clear Plastic Sheets</t>
  </si>
  <si>
    <t>Tyvek  Top-Opening Peel &amp; Seel Envelopes, Plain White</t>
  </si>
  <si>
    <t>Hunter Lopez</t>
  </si>
  <si>
    <t>Arkansas</t>
  </si>
  <si>
    <t>Apple iPhone 5C</t>
  </si>
  <si>
    <t>Eldon Expressions Desk Accessory, Wood Pencil Holder, Oak</t>
  </si>
  <si>
    <t>Hon 4700 Series Mobuis Mid-Back Task Chairs with Adjustable Arms</t>
  </si>
  <si>
    <t>Mark Van Huff</t>
  </si>
  <si>
    <t>Wirebound Service Call Books, 5 1/2" x 4"</t>
  </si>
  <si>
    <t>Xylona Preis</t>
  </si>
  <si>
    <t>Michigan</t>
  </si>
  <si>
    <t>Eldon ClusterMat Chair Mat with Cordless Antistatic Protection</t>
  </si>
  <si>
    <t>Holmes Replacement Filter for HEPA Air Cleaner, Very Large Room, HEPA Filter</t>
  </si>
  <si>
    <t>Storex Dura Pro Binders</t>
  </si>
  <si>
    <t>Tennessee</t>
  </si>
  <si>
    <t>GBC DocuBind TL200 Manual Binding Machine</t>
  </si>
  <si>
    <t>Tom Boeckenhauer</t>
  </si>
  <si>
    <t>Florida</t>
  </si>
  <si>
    <t>Ultra Door Pull Handle</t>
  </si>
  <si>
    <t>Ionia McGrath</t>
  </si>
  <si>
    <t>Nevada</t>
  </si>
  <si>
    <t>Xerox 195</t>
  </si>
  <si>
    <t>Speros Goranitis</t>
  </si>
  <si>
    <t>Indiana</t>
  </si>
  <si>
    <t>Shirley Daniels</t>
  </si>
  <si>
    <t>GE General Use Halogen Bulbs, 100 Watts, 1 Bulb per Pack</t>
  </si>
  <si>
    <t>SAFCO Commercial Wire Shelving, 72h</t>
  </si>
  <si>
    <t>Macally Suction Cup Mount</t>
  </si>
  <si>
    <t>Jabra SPEAK 410</t>
  </si>
  <si>
    <t>South Dakota</t>
  </si>
  <si>
    <t>Wilson Jones 14 Line Acrylic Coated Pressboard Data Binders</t>
  </si>
  <si>
    <t>Safco Value Mate Series Steel Bookcases, Baked Enamel Finish on Steel, Gray</t>
  </si>
  <si>
    <t>Ed Jacobs</t>
  </si>
  <si>
    <t>Recycled Steel Personal File for Hanging File Folders</t>
  </si>
  <si>
    <t>Tables</t>
  </si>
  <si>
    <t>Jasper Cacioppo</t>
  </si>
  <si>
    <t>New York</t>
  </si>
  <si>
    <t>Pressboard Covers with Storage Hooks, 9 1/2" x 11", Light Blue</t>
  </si>
  <si>
    <t>Mike Vittorini</t>
  </si>
  <si>
    <t>Xerox 1972</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</si>
  <si>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</si>
  <si>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</si>
  <si>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</si>
  <si>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</si>
  <si>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</si>
  <si>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</si>
  <si>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</si>
  <si>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</si>
  <si>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</si>
  <si>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</si>
  <si>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</si>
  <si>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</si>
  <si>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Deborah Brumfield</t>
  </si>
  <si>
    <t>GBC Recycled Grain Textured Covers</t>
  </si>
  <si>
    <t>Neil Ducich</t>
  </si>
  <si>
    <t>Avery 480</t>
  </si>
  <si>
    <t>Aastra 57i VoIP phone</t>
  </si>
  <si>
    <t>Cyma Kinney</t>
  </si>
  <si>
    <t>New Jersey</t>
  </si>
  <si>
    <t>Maxell DVD-RAM Discs</t>
  </si>
  <si>
    <t>Nathan Mautz</t>
  </si>
  <si>
    <t>Master Caster Door Stop, Large Brown</t>
  </si>
  <si>
    <t>Natalie Fritzler</t>
  </si>
  <si>
    <t>Guy Armstrong</t>
  </si>
  <si>
    <t>Missouri</t>
  </si>
  <si>
    <t>Global Value Mid-Back Manager's Chair, Gray</t>
  </si>
  <si>
    <t>Avery 483</t>
  </si>
  <si>
    <t>Wilson Jones Turn Tabs Binder Tool for Ring Binders</t>
  </si>
  <si>
    <t>Rubbermaid ClusterMat Chairmats, Mat Size- 66" x 60", Lip 20" x 11" -90 Degree Angle</t>
  </si>
  <si>
    <t>Sanjit Chand</t>
  </si>
  <si>
    <t>Global Geo Office Task Chair, Gray</t>
  </si>
  <si>
    <t>Shui Tom</t>
  </si>
  <si>
    <t>Memo Book, 100 Message Capacity, 5 3/8 x 11</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</si>
  <si>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</si>
  <si>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</si>
  <si>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</si>
  <si>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</si>
  <si>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</si>
  <si>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</si>
  <si>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</si>
  <si>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</si>
  <si>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</si>
  <si>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</si>
  <si>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</si>
  <si>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</si>
  <si>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Linda Cazamias</t>
  </si>
  <si>
    <t>Enermax Briskie RF Wireless Keyboard and Mouse Combo</t>
  </si>
  <si>
    <t>Master Caster Door Stop, Brown</t>
  </si>
  <si>
    <t>Steven Roelle</t>
  </si>
  <si>
    <t>Tamara Manning</t>
  </si>
  <si>
    <t>Sue Ann Reed</t>
  </si>
  <si>
    <t>Michael Grace</t>
  </si>
  <si>
    <t>Staple-on labels</t>
  </si>
  <si>
    <t>GBC Plastic Binding Combs</t>
  </si>
  <si>
    <t>Joy Smith</t>
  </si>
  <si>
    <t>Zebra Zazzle Fluorescent Highlighters</t>
  </si>
  <si>
    <t>Dave Brooks</t>
  </si>
  <si>
    <t>Novimex Swivel Fabric Task Chair</t>
  </si>
  <si>
    <t>Harbour Creations Steel Folding Chair</t>
  </si>
  <si>
    <t>Giulietta Weimer</t>
  </si>
  <si>
    <t>Kristina Nunn</t>
  </si>
  <si>
    <t>Array Parchment Paper, Assorted Colors</t>
  </si>
  <si>
    <t>Nicole Hansen</t>
  </si>
  <si>
    <t>North Carolina</t>
  </si>
  <si>
    <t>Jill Stevenson</t>
  </si>
  <si>
    <t>Sam Craven</t>
  </si>
  <si>
    <t>Clay Ludtke</t>
  </si>
  <si>
    <t>Sensible Storage WireTech Storage Systems</t>
  </si>
  <si>
    <t>Aimee Bixby</t>
  </si>
  <si>
    <t>Newell 345</t>
  </si>
  <si>
    <t>Global Push Button Manager's Chair, Indigo</t>
  </si>
  <si>
    <t>Carina 42"Hx23 3/4"W Media Storage Unit</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</si>
  <si>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</si>
  <si>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</si>
  <si>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</si>
  <si>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</si>
  <si>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</si>
  <si>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</si>
  <si>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</si>
  <si>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</si>
  <si>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Filia McAdams</t>
  </si>
  <si>
    <t>Fellowes Premier Superior Surge Suppressor, 10-Outlet, With Phone and Remote</t>
  </si>
  <si>
    <t>Panasonic KX-TG9471B</t>
  </si>
  <si>
    <t>Richard Bierner</t>
  </si>
  <si>
    <t>Dean Katz</t>
  </si>
  <si>
    <t>Christine Kargatis</t>
  </si>
  <si>
    <t>Global Commerce Series High-Back Swivel/Tilt Chairs</t>
  </si>
  <si>
    <t>Utah</t>
  </si>
  <si>
    <t>Carina Double Wide Media Storage Towers in Natural &amp; Black</t>
  </si>
  <si>
    <t>Rick Bensley</t>
  </si>
  <si>
    <t>Machines</t>
  </si>
  <si>
    <t>Hewlett-Packard Deskjet 6540 Color Inkjet Printer</t>
  </si>
  <si>
    <t>Alan Shonely</t>
  </si>
  <si>
    <t>Hot File 7-Pocket, Floor Stand</t>
  </si>
  <si>
    <t>Insertable Tab Post Binder Dividers</t>
  </si>
  <si>
    <t>Polycom VoiceStation 500 Conference phone</t>
  </si>
  <si>
    <t>Bradley Nguyen</t>
  </si>
  <si>
    <t>Minnesota</t>
  </si>
  <si>
    <t>Bionaire Personal Warm Mist Humidifier/Vaporizer</t>
  </si>
  <si>
    <t>Avery Non-Stick Heavy Duty View Round Locking Ring Binders</t>
  </si>
  <si>
    <t>Christine Phan</t>
  </si>
  <si>
    <t>Balt Solid Wood Round Tables</t>
  </si>
  <si>
    <t>Annie Zypern</t>
  </si>
  <si>
    <t>Mississippi</t>
  </si>
  <si>
    <t>GBC Twin Loop Wire Binding Elements, 9/16" Spine, Black</t>
  </si>
  <si>
    <t>Belkin 6 Outlet Metallic Surge Strip</t>
  </si>
  <si>
    <t>Xerox 1909</t>
  </si>
  <si>
    <t>Sean Miller</t>
  </si>
  <si>
    <t>Executive Impressions 13" Clairmont Wall Clock</t>
  </si>
  <si>
    <t>Dana Fluorescent Magnifying Lamp, White, 36"</t>
  </si>
  <si>
    <t>Sample Company A</t>
  </si>
  <si>
    <t>Matt Connell</t>
  </si>
  <si>
    <t>Cisco 8x8 Inc. 6753i IP Business Phone System</t>
  </si>
  <si>
    <t>Avery 501</t>
  </si>
  <si>
    <t>Cassandra Brandow</t>
  </si>
  <si>
    <t>Binney &amp; Smith Crayola Metallic Colored Pencils, 8-Color Set</t>
  </si>
  <si>
    <t>Thomas Seio</t>
  </si>
  <si>
    <t>Kristen Hastings</t>
  </si>
  <si>
    <t>American Pencil</t>
  </si>
  <si>
    <t>Gary McGarr</t>
  </si>
  <si>
    <t>Avery 505</t>
  </si>
  <si>
    <t>Craig Carroll</t>
  </si>
  <si>
    <t>C-Line Peel &amp; Stick Add-On Filing Pockets, 8-3/4 x 5-1/8, 10/Pack</t>
  </si>
  <si>
    <t>Office Star - Mesh Screen back chair with Vinyl seat</t>
  </si>
  <si>
    <t>Patrick O'Donnell</t>
  </si>
  <si>
    <t>Economy Rollaway Files</t>
  </si>
  <si>
    <t>Ooma Telo VoIP Home Phone System</t>
  </si>
  <si>
    <t>Avery 476</t>
  </si>
  <si>
    <t>Carlos Daly</t>
  </si>
  <si>
    <t>Xerox 190</t>
  </si>
  <si>
    <t>Maurice Satty</t>
  </si>
  <si>
    <t>Iceberg Nesting Folding Chair, 19w x 6d x 43h</t>
  </si>
  <si>
    <t>Christina Anderson</t>
  </si>
  <si>
    <t>Jonathan Doherty</t>
  </si>
  <si>
    <t>SanDisk Ultra 32 GB MicroSDHC Class 10 Memory Card</t>
  </si>
  <si>
    <t>Damala Kotsonis</t>
  </si>
  <si>
    <t>Cindy Stewart</t>
  </si>
  <si>
    <t>Christina VanderZanden</t>
  </si>
  <si>
    <t>Iowa</t>
  </si>
  <si>
    <t>Poly String Tie Envelopes</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</si>
  <si>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</si>
  <si>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</si>
  <si>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</si>
  <si>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</si>
  <si>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</si>
  <si>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</si>
  <si>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</si>
  <si>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</si>
  <si>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</si>
  <si>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Avery 490</t>
  </si>
  <si>
    <t>Mark Packer</t>
  </si>
  <si>
    <t>Innergie mMini Combo Duo USB Travel Charging Kit</t>
  </si>
  <si>
    <t>Global Stack Chair without Arms, Black</t>
  </si>
  <si>
    <t>Nat Carroll</t>
  </si>
  <si>
    <t>Alex Avila</t>
  </si>
  <si>
    <t>GBC DocuBind 200 Manual Binding Machine</t>
  </si>
  <si>
    <t>Jas O'Carroll</t>
  </si>
  <si>
    <t>Fellowes Black Plastic Comb Bindings</t>
  </si>
  <si>
    <t>Karen Bern</t>
  </si>
  <si>
    <t>Avery Hole Reinforcements</t>
  </si>
  <si>
    <t>Trudy Glocke</t>
  </si>
  <si>
    <t>Global Leather Highback Executive Chair with Pneumatic Height Adjustment, Black</t>
  </si>
  <si>
    <t>Katharine Harms</t>
  </si>
  <si>
    <t>Massachusetts</t>
  </si>
  <si>
    <t>Rogers Profile Extra Capacity Storage Tub</t>
  </si>
  <si>
    <t>Zipper Ring Binder Pockets</t>
  </si>
  <si>
    <t>Rob Dowd</t>
  </si>
  <si>
    <t>Xerox 1990</t>
  </si>
  <si>
    <t>Xerox 1898</t>
  </si>
  <si>
    <t>Anna Häberlin</t>
  </si>
  <si>
    <t>Katrina Edelman</t>
  </si>
  <si>
    <t>Paul Knutson</t>
  </si>
  <si>
    <t>Avery 518</t>
  </si>
  <si>
    <t>Advantus Panel Wall Acrylic Frame</t>
  </si>
  <si>
    <t>Mary Zewe</t>
  </si>
  <si>
    <t>Avery Non-Stick Binders</t>
  </si>
  <si>
    <t>Ken Black</t>
  </si>
  <si>
    <t>Tracy Hopkins</t>
  </si>
  <si>
    <t>Eaton Premium Continuous-Feed Paper, 25% Cotton, Letter Size, White, 1000 Shts/Box</t>
  </si>
  <si>
    <t>Greg Maxwell</t>
  </si>
  <si>
    <t>Crayola Colored Pencils</t>
  </si>
  <si>
    <t>John Grady</t>
  </si>
  <si>
    <t>Adjustable Personal File Tote</t>
  </si>
  <si>
    <t>Ruben Dartt</t>
  </si>
  <si>
    <t>Stanley Contemporary Battery Pencil Sharpeners</t>
  </si>
  <si>
    <t>Roy Phan</t>
  </si>
  <si>
    <t>Guy Phonely</t>
  </si>
  <si>
    <t>Large Capacity Hanging Post Binders</t>
  </si>
  <si>
    <t>Martin-Yale Premier Letter Opener</t>
  </si>
  <si>
    <t>KI Adjustable-Height Table</t>
  </si>
  <si>
    <t>Scott Cohen</t>
  </si>
  <si>
    <t>Kingston Digital DataTraveler 32GB USB 2.0</t>
  </si>
  <si>
    <t>C-Line Cubicle Keepers Polyproplyene Holder With Velcro Backings</t>
  </si>
  <si>
    <t>Xerox 211</t>
  </si>
  <si>
    <t>Xerox 194</t>
  </si>
  <si>
    <t>Pauline Johnson</t>
  </si>
  <si>
    <t>Alabama</t>
  </si>
  <si>
    <t>Stacking Tray, Side-Loading, Legal, Smoke</t>
  </si>
  <si>
    <t>Xerox 1945</t>
  </si>
  <si>
    <t>Valerie Mitchum</t>
  </si>
  <si>
    <t>Jim Mitchum</t>
  </si>
  <si>
    <t>Binder Clips by OIC</t>
  </si>
  <si>
    <t>Ruben Ausman</t>
  </si>
  <si>
    <t>SAFCO PlanMaster Boards, 60w x 37-1/2d, White Melamine</t>
  </si>
  <si>
    <t>Pauline Chand</t>
  </si>
  <si>
    <t>Bevis 36 x 72 Conference Tables</t>
  </si>
  <si>
    <t>John Stevenson</t>
  </si>
  <si>
    <t>Jay Kimmel</t>
  </si>
  <si>
    <t>Acco Banker's Clasps, 5 3/4"-Long</t>
  </si>
  <si>
    <t>Xerox 224</t>
  </si>
  <si>
    <t>Idaho</t>
  </si>
  <si>
    <t>GBC Personal VeloBind Strips</t>
  </si>
  <si>
    <t>Gary Mitchum</t>
  </si>
  <si>
    <t>Montana</t>
  </si>
  <si>
    <t>Kean Nguyen</t>
  </si>
  <si>
    <t>Pyle PMP37LED</t>
  </si>
  <si>
    <t>AT&amp;T 1080 Corded phone</t>
  </si>
  <si>
    <t>Newell 314</t>
  </si>
  <si>
    <t>Fellowes PB200 Plastic Comb Binding Machine</t>
  </si>
  <si>
    <t>Ben Ferrer</t>
  </si>
  <si>
    <t>Maryland</t>
  </si>
  <si>
    <t>Paul Stevenson</t>
  </si>
  <si>
    <t>Belkin F9G930V10-GRY 9 Outlet Surge</t>
  </si>
  <si>
    <t>Howard Miller 13" Diameter Goldtone Round Wall Clock</t>
  </si>
  <si>
    <t>Stephanie Phelps</t>
  </si>
  <si>
    <t>John Lee</t>
  </si>
  <si>
    <t>Ativa MDM8000 8-Sheet Micro-Cut Shredder</t>
  </si>
  <si>
    <t>Prang Dustless Chalk Sticks</t>
  </si>
  <si>
    <t>DMI Arturo Collection Mission-style Design Wood Chair</t>
  </si>
  <si>
    <t>Cameo Buff Policy Envelopes</t>
  </si>
  <si>
    <t>Nicole Fjeld</t>
  </si>
  <si>
    <t>Executive Impressions 13" Chairman Wall Clock</t>
  </si>
  <si>
    <t>Allen Goldenen</t>
  </si>
  <si>
    <t>GBC Durable Plastic Covers</t>
  </si>
  <si>
    <t>Bush Advantage Collection Round Conference Table</t>
  </si>
  <si>
    <t>Allen Armold</t>
  </si>
  <si>
    <t>SAFCO Commercial Wire Shelving, Black</t>
  </si>
  <si>
    <t>Aaron Hawkins</t>
  </si>
  <si>
    <t>ACCOHIDE 3-Ring Binder, Blue, 1"</t>
  </si>
  <si>
    <t>Theresa Swint</t>
  </si>
  <si>
    <t>Wilson Jones Suede Grain Vinyl Binders</t>
  </si>
  <si>
    <t>G.E. Halogen Desk Lamp Bulbs</t>
  </si>
  <si>
    <t>Dianna Arnett</t>
  </si>
  <si>
    <t>Xerox 1985</t>
  </si>
  <si>
    <t>Aleksandra Gannaway</t>
  </si>
  <si>
    <t>Bevis Steel Folding Chairs</t>
  </si>
  <si>
    <t>Muhammed Yedwab</t>
  </si>
  <si>
    <t>Acco Data Flex Cable Posts For Top &amp; Bottom Load Binders, 6" Capacity</t>
  </si>
  <si>
    <t>Blackstonian Pencils</t>
  </si>
  <si>
    <t>Avery 488</t>
  </si>
  <si>
    <t>George Bell</t>
  </si>
  <si>
    <t>X-Rack File for Hanging Folders</t>
  </si>
  <si>
    <t>Arianne Irving</t>
  </si>
  <si>
    <t>Samsung Galaxy Mega 6.3</t>
  </si>
  <si>
    <t>David Smith</t>
  </si>
  <si>
    <t>Lauren Leatherbury</t>
  </si>
  <si>
    <t>Dax Clear Box Frame</t>
  </si>
  <si>
    <t>Laura Armstrong</t>
  </si>
  <si>
    <t>2300 Heavy-Duty Transfer File Systems by Perma</t>
  </si>
  <si>
    <t>Katherine Hughes</t>
  </si>
  <si>
    <t>Maxell 4.7GB DVD-RW 3/Pack</t>
  </si>
  <si>
    <t>Justin MacKendrick</t>
  </si>
  <si>
    <t>Andrew Roberts</t>
  </si>
  <si>
    <t>Cari Schnelling</t>
  </si>
  <si>
    <t>Copiers</t>
  </si>
  <si>
    <t>Joni Sundaresam</t>
  </si>
  <si>
    <t>Avery 481</t>
  </si>
  <si>
    <t>Avery Durable Plastic 1" Binders</t>
  </si>
  <si>
    <t>Paul MacIntyre</t>
  </si>
  <si>
    <t>Fellowes Binding Cases</t>
  </si>
  <si>
    <t>Connecticut</t>
  </si>
  <si>
    <t>Eldon Regeneration Recycled Desk Accessories, Smoke</t>
  </si>
  <si>
    <t>Holmes Odor Grabber</t>
  </si>
  <si>
    <t>Peter Fuller</t>
  </si>
  <si>
    <t>Adams "While You Were Out" Message Pads</t>
  </si>
  <si>
    <t>Newell 350</t>
  </si>
  <si>
    <t>Emily Burns</t>
  </si>
  <si>
    <t>Eldon Portable Mobile Manager</t>
  </si>
  <si>
    <t>Easy-staple paper</t>
  </si>
  <si>
    <t>Harold Pawlan</t>
  </si>
  <si>
    <t>Wilson Jones Legal Size Ring Binders</t>
  </si>
  <si>
    <t>Steve Nguyen</t>
  </si>
  <si>
    <t>Model L Table or Wall-Mount Pencil Sharpener</t>
  </si>
  <si>
    <t>Carol Triggs</t>
  </si>
  <si>
    <t>Acco PRESSTEX Data Binder with Storage Hooks, Dark Blue, 14 7/8" X 11"</t>
  </si>
  <si>
    <t>Lifetime Advantage Folding Chairs, 4/Carton</t>
  </si>
  <si>
    <t>Hewlett Packard LaserJet 3310 Copier</t>
  </si>
  <si>
    <t>Patrick Gardner</t>
  </si>
  <si>
    <t>Sean Braxton</t>
  </si>
  <si>
    <t>Fellowes Super Stor/Drawer</t>
  </si>
  <si>
    <t>Avery 506</t>
  </si>
  <si>
    <t>Strathmore #10 Envelopes, Ultimate White</t>
  </si>
  <si>
    <t>LF Elite 3D Dazzle Designer Hard Case Cover, Lf Stylus Pen and Wiper For Apple Iphone 5c Mini Lite</t>
  </si>
  <si>
    <t>Paul Gonzalez</t>
  </si>
  <si>
    <t>SanDisk Cruzer 64 GB USB Flash Drive</t>
  </si>
  <si>
    <t>Deflect-o EconoMat Studded, No Bevel Mat for Low Pile Carpeting</t>
  </si>
  <si>
    <t>Logitech ClearChat Comfort/USB Headset H390</t>
  </si>
  <si>
    <t>Staple holder</t>
  </si>
  <si>
    <t>Victoria Wilson</t>
  </si>
  <si>
    <t>Hon Multipurpose Stacking Arm Chairs</t>
  </si>
  <si>
    <t>Alejandro Grove</t>
  </si>
  <si>
    <t>GBC DocuBind P100 Manual Binding Machine</t>
  </si>
  <si>
    <t>Naresj Patel</t>
  </si>
  <si>
    <t>Plantronics Audio 478 Stereo USB Headset</t>
  </si>
  <si>
    <t>Anthony Johnson</t>
  </si>
  <si>
    <t>Electrix Halogen Magnifier Lamp</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</si>
  <si>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</si>
  <si>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</si>
  <si>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</si>
  <si>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</si>
  <si>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</si>
  <si>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</si>
  <si>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</si>
  <si>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</si>
  <si>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</si>
  <si>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</si>
  <si>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</si>
  <si>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</si>
  <si>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</si>
  <si>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</si>
  <si>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24-Hour Round Wall Clock</t>
  </si>
  <si>
    <t>SanDisk Ultra 16 GB MicroSDHC Class 10 Memory Card</t>
  </si>
  <si>
    <t>Mitch Willingham</t>
  </si>
  <si>
    <t>Fellowes PB300 Plastic Comb Binding Machine</t>
  </si>
  <si>
    <t>Frank Gastineau</t>
  </si>
  <si>
    <t>GBC ProClick Punch Binding System</t>
  </si>
  <si>
    <t>Global Deluxe Steno Chair</t>
  </si>
  <si>
    <t>Ibico Plastic Spiral Binding Combs</t>
  </si>
  <si>
    <t>Evan Henry</t>
  </si>
  <si>
    <t>Nortel Networks T7316 E Nt8 B27</t>
  </si>
  <si>
    <t>Angle-D Ring Binders</t>
  </si>
  <si>
    <t>Motorola L804</t>
  </si>
  <si>
    <t>Xerox 1999</t>
  </si>
  <si>
    <t>Resi Pölking</t>
  </si>
  <si>
    <t>Xerox 1944</t>
  </si>
  <si>
    <t>Janet Lee</t>
  </si>
  <si>
    <t>Harmony Air Purifier</t>
  </si>
  <si>
    <t>Strathmore Photo Frame Cards</t>
  </si>
  <si>
    <t>Sauder Inglewood Library Bookcases</t>
  </si>
  <si>
    <t>Hon Olson Stacker Stools</t>
  </si>
  <si>
    <t>Dean percer</t>
  </si>
  <si>
    <t>Maya Herman</t>
  </si>
  <si>
    <t>KI Conference Tables</t>
  </si>
  <si>
    <t>Fellowes Officeware Wire Shelving</t>
  </si>
  <si>
    <t>Laurel Elliston</t>
  </si>
  <si>
    <t>Patrick Jones</t>
  </si>
  <si>
    <t>I Need's 3d Hello Kitty Hybrid Silicone Case Cover for HTC One X 4g with 3d Hello Kitty Stylus Pen Green/pink</t>
  </si>
  <si>
    <t>Ellis Ballard</t>
  </si>
  <si>
    <t>Ampad Poly Cover Wirebound Steno Book, 6" x 9" Assorted Colors, Gregg Ruled</t>
  </si>
  <si>
    <t>Chromcraft Rectangular Conference Tables</t>
  </si>
  <si>
    <t>Honeywell Quietcare HEPA Air Cleaner</t>
  </si>
  <si>
    <t>Jim Karlsson</t>
  </si>
  <si>
    <t>Samsung Galaxy Note 3</t>
  </si>
  <si>
    <t>Dianna Wilson</t>
  </si>
  <si>
    <t>Honeywell Enviracaire Portable HEPA Air Cleaner for 17' x 22' Room</t>
  </si>
  <si>
    <t>Xerox 205</t>
  </si>
  <si>
    <t>Liz Thompson</t>
  </si>
  <si>
    <t>Wilson Jones Heavy-Duty Casebound Ring Binders with Metal Hinges</t>
  </si>
  <si>
    <t>Acco 6 Outlet Guardian Premium Surge Suppressor</t>
  </si>
  <si>
    <t>GBC Standard Therm-A-Bind Covers</t>
  </si>
  <si>
    <t>Steven Cartwright</t>
  </si>
  <si>
    <t>Ross Baird</t>
  </si>
  <si>
    <t>Bobby Trafton</t>
  </si>
  <si>
    <t>O'Sullivan Living Dimensions 5-Shelf Bookcases</t>
  </si>
  <si>
    <t>Bryan Mills</t>
  </si>
  <si>
    <t>Sanford Liquid Accent Highlighters</t>
  </si>
  <si>
    <t>Grant Thornton</t>
  </si>
  <si>
    <t>Wilson Jones Century Plastic Molded Ring Binders</t>
  </si>
  <si>
    <t>Bart Pistole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</si>
  <si>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</si>
  <si>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</si>
  <si>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</si>
  <si>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</si>
  <si>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</si>
  <si>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</si>
  <si>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</si>
  <si>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DXL Angle-View Binders with Locking Rings by Samsill</t>
  </si>
  <si>
    <t>Belkin F5C206VTEL 6 Outlet Surge</t>
  </si>
  <si>
    <t>Carl Weiss</t>
  </si>
  <si>
    <t>Boston 1645 Deluxe Heavier-Duty Electric Pencil Sharpener</t>
  </si>
  <si>
    <t>Staple remover</t>
  </si>
  <si>
    <t>Bevis 44 x 96 Conference Tables</t>
  </si>
  <si>
    <t>Heather Kirkland</t>
  </si>
  <si>
    <t>Dot Matrix Printer Tape Reel Labels, White, 5000/Box</t>
  </si>
  <si>
    <t>Sharelle Roach</t>
  </si>
  <si>
    <t>Hon Metal Bookcases, Gray</t>
  </si>
  <si>
    <t>Kelly Lampkin</t>
  </si>
  <si>
    <t>Lesro Sheffield Collection Coffee Table, End Table, Center Table, Corner Table</t>
  </si>
  <si>
    <t>Duane Benoit</t>
  </si>
  <si>
    <t>Texas Instruments TI-34 Scientific Calculator</t>
  </si>
  <si>
    <t>Mick Crebagga</t>
  </si>
  <si>
    <t>Plantronics Cordless Phone Headset with In-line Volume - M214C</t>
  </si>
  <si>
    <t>HTC One Mini</t>
  </si>
  <si>
    <t>Corey-Lock</t>
  </si>
  <si>
    <t>Oklahoma</t>
  </si>
  <si>
    <t>Luxo Professional Magnifying Clamp-On Fluorescent Lamps</t>
  </si>
  <si>
    <t>Recycled Eldon Regeneration Jumbo File</t>
  </si>
  <si>
    <t>Newell 341</t>
  </si>
  <si>
    <t>Avery Trapezoid Extra Heavy Duty 4" Binders</t>
  </si>
  <si>
    <t>Toby Braunhardt</t>
  </si>
  <si>
    <t>Joel Eaton</t>
  </si>
  <si>
    <t>KeyTronic 6101 Series - Keyboard - Black</t>
  </si>
  <si>
    <t>Dianna Vittorini</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</si>
  <si>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</si>
  <si>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</si>
  <si>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</si>
  <si>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</si>
  <si>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</si>
  <si>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</si>
  <si>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</si>
  <si>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Prang Drawing Pencil Set</t>
  </si>
  <si>
    <t>Liz Pelletier</t>
  </si>
  <si>
    <t>Acrylic Self-Standing Desk Frames</t>
  </si>
  <si>
    <t>Noel Staavos</t>
  </si>
  <si>
    <t>Hon 4060 Series Tables</t>
  </si>
  <si>
    <t>Grace Kelly</t>
  </si>
  <si>
    <t>Liz MacKendrick</t>
  </si>
  <si>
    <t>Cynthia Arntzen</t>
  </si>
  <si>
    <t>Xerox 1995</t>
  </si>
  <si>
    <t>Dan Lawera</t>
  </si>
  <si>
    <t>Dixon My First Ticonderoga Pencil, #2</t>
  </si>
  <si>
    <t>Helen Abelman</t>
  </si>
  <si>
    <t>GBC Recycled Regency Composition Covers</t>
  </si>
  <si>
    <t>Russell Applegate</t>
  </si>
  <si>
    <t>Michael Stewart</t>
  </si>
  <si>
    <t>Sanford Uni-Blazer View Highlighters, Chisel Tip, Yellow</t>
  </si>
  <si>
    <t>Cardinal Holdit Business Card Pockets</t>
  </si>
  <si>
    <t>Wilson SignalBoost 841262 DB PRO Amplifier Kit</t>
  </si>
  <si>
    <t>Avery Durable Binders</t>
  </si>
  <si>
    <t>Eric Hoffmann</t>
  </si>
  <si>
    <t>Logitech B530 USB Headset - headset - Full size, Binaural</t>
  </si>
  <si>
    <t>Maxwell Schwartz</t>
  </si>
  <si>
    <t>Michael Chen</t>
  </si>
  <si>
    <t>NETGEAR AC1750 Dual Band Gigabit Smart WiFi Router</t>
  </si>
  <si>
    <t>Dan Campbell</t>
  </si>
  <si>
    <t>Gould Plastics 18-Pocket Panel Bin, 34w x 5-1/4d x 20-1/2h</t>
  </si>
  <si>
    <t>Fellowes Bankers Box Stor/Drawer Steel Plus</t>
  </si>
  <si>
    <t>Dennis Pardue</t>
  </si>
  <si>
    <t>Vinyl Sectional Post Binders</t>
  </si>
  <si>
    <t>Emily Phan</t>
  </si>
  <si>
    <t>Canon Imageclass D680 Copier / Fax</t>
  </si>
  <si>
    <t>Global High-Back Leather Tilter, Burgundy</t>
  </si>
  <si>
    <t>Michelle Huthwaite</t>
  </si>
  <si>
    <t>Ed Braxton</t>
  </si>
  <si>
    <t>Brian Moss</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</si>
  <si>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</si>
  <si>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</si>
  <si>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</si>
  <si>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</si>
  <si>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</si>
  <si>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</si>
  <si>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</si>
  <si>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</si>
  <si>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</si>
  <si>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Mark Hamilton</t>
  </si>
  <si>
    <t>Alyssa Crouse</t>
  </si>
  <si>
    <t>Tuff Stuff Recycled Round Ring Binders</t>
  </si>
  <si>
    <t>Max Engle</t>
  </si>
  <si>
    <t>Paul Van Hugh</t>
  </si>
  <si>
    <t>Hon Deluxe Fabric Upholstered Stacking Chairs</t>
  </si>
  <si>
    <t>Fluorescent Highlighters by Dixon</t>
  </si>
  <si>
    <t>Bevis Round Conference Table Top &amp; Single Column Base</t>
  </si>
  <si>
    <t>Arthur Wiediger</t>
  </si>
  <si>
    <t>Acco D-Ring Binder w/DublLock</t>
  </si>
  <si>
    <t>Philip Brown</t>
  </si>
  <si>
    <t>Belkin 7 Outlet SurgeMaster II</t>
  </si>
  <si>
    <t>Barbara Fisher</t>
  </si>
  <si>
    <t>Maxell 4.7GB DVD-R 5/Pack</t>
  </si>
  <si>
    <t>Advantus Push Pins</t>
  </si>
  <si>
    <t>Adrian Hane</t>
  </si>
  <si>
    <t>Office Star - Ergonomically Designed Knee Chair</t>
  </si>
  <si>
    <t>Christine Abelman</t>
  </si>
  <si>
    <t>Avery 3 1/2" Diskette Storage Pages, 10/Pack</t>
  </si>
  <si>
    <t>Eugene Moren</t>
  </si>
  <si>
    <t>Acco Pressboard Covers with Storage Hooks, 14 7/8" x 11", Dark Blue</t>
  </si>
  <si>
    <t>Katherine Murray</t>
  </si>
  <si>
    <t>Letter Size Cart</t>
  </si>
  <si>
    <t>HON 5400 Series Task Chairs for Big and Tall</t>
  </si>
  <si>
    <t>Scot Wooten</t>
  </si>
  <si>
    <t>Charles Crestani</t>
  </si>
  <si>
    <t>Wilson Jones Custom Binder Spines &amp; Labels</t>
  </si>
  <si>
    <t>Xerox 1897</t>
  </si>
  <si>
    <t>Roger Demir</t>
  </si>
  <si>
    <t>Clear Mylar Reinforcing Strips</t>
  </si>
  <si>
    <t>Wirebound Message Books, Two 4 1/4" x 5" Forms per Page</t>
  </si>
  <si>
    <t>Maxell 74 Minute CD-R Spindle, 50/Pack</t>
  </si>
  <si>
    <t>Xerox 1965</t>
  </si>
  <si>
    <t>Michelle Ellison</t>
  </si>
  <si>
    <t>Newell 334</t>
  </si>
  <si>
    <t>Global Troy Executive Leather Low-Back Tilter</t>
  </si>
  <si>
    <t>Harry Marie</t>
  </si>
  <si>
    <t>Hon Every-Day Series Multi-Task Chairs</t>
  </si>
  <si>
    <t>Nebraska</t>
  </si>
  <si>
    <t>Erin Mull</t>
  </si>
  <si>
    <t>Premium Writing Pencils, Soft, #2 by Central Association for the Blind</t>
  </si>
  <si>
    <t>Newell 32</t>
  </si>
  <si>
    <t>John Lucas</t>
  </si>
  <si>
    <t>Arthur Gainer</t>
  </si>
  <si>
    <t>Newell 324</t>
  </si>
  <si>
    <t>Microsoft Natural Keyboard Elite</t>
  </si>
  <si>
    <t>Nick Crebassa</t>
  </si>
  <si>
    <t>Acme Softgrip Scissors</t>
  </si>
  <si>
    <t>Imation 8gb Micro Traveldrive Usb 2.0 Flash Drive</t>
  </si>
  <si>
    <t>Ken Lonsdale</t>
  </si>
  <si>
    <t>Fellowes Personal Hanging Folder Files, Navy</t>
  </si>
  <si>
    <t>Staple-based wall hangings</t>
  </si>
  <si>
    <t>Carl Ludwig</t>
  </si>
  <si>
    <t>Belkin 19" Vented Equipment Shelf, Black</t>
  </si>
  <si>
    <t>Apple iPhone 5S</t>
  </si>
  <si>
    <t>Hon 2090 Pillow Soft Series Mid Back Swivel/Tilt Chairs</t>
  </si>
  <si>
    <t>Sheri Gordon</t>
  </si>
  <si>
    <t>DAX Cubicle Frames, 8-1/2 x 11</t>
  </si>
  <si>
    <t>Luke Foster</t>
  </si>
  <si>
    <t>GBC Premium Transparent Covers with Diagonal Lined Pattern</t>
  </si>
  <si>
    <t>GBC Instant Index System for Binding Systems</t>
  </si>
  <si>
    <t>WD My Passport Ultra 2TB Portable External Hard Drive</t>
  </si>
  <si>
    <t>Aaron Smayling</t>
  </si>
  <si>
    <t>Barry Blumstein</t>
  </si>
  <si>
    <t>OIC Colored Binder Clips, Assorted Sizes</t>
  </si>
  <si>
    <t>Tom Stivers</t>
  </si>
  <si>
    <t>Rush Hierlooms Collection 1" Thick Stackable Bookcases</t>
  </si>
  <si>
    <t>Self-Adhesive Address Labels for Typewriters by Universal</t>
  </si>
  <si>
    <t>Nick Zandusky</t>
  </si>
  <si>
    <t>BoxOffice By Design Rectangular and Half-Moon Meeting Room Tables</t>
  </si>
  <si>
    <t>Acme Box Cutter Scissors</t>
  </si>
  <si>
    <t>Valerie Dominguez</t>
  </si>
  <si>
    <t>Hoover WindTunnel Plus Canister Vacuum</t>
  </si>
  <si>
    <t>Eureka The Boss Cordless Rechargeable Stick Vac</t>
  </si>
  <si>
    <t>Maxell 4.7GB DVD-R</t>
  </si>
  <si>
    <t>Chad Sievert</t>
  </si>
  <si>
    <t>Adams Phone Message Book, Professional, 400 Message Capacity, 5 3/6 x 11</t>
  </si>
  <si>
    <t>Sonia Sunley</t>
  </si>
  <si>
    <t>Ricardo Sperren</t>
  </si>
  <si>
    <t>Hon GuestStacker Chair</t>
  </si>
  <si>
    <t>Gary Zandusky</t>
  </si>
  <si>
    <t>SAFCO PlanMaster Heigh-Adjustable Drafting Table Base, 43w x 30d x 30-37h, Black</t>
  </si>
  <si>
    <t>Roland Fjeld</t>
  </si>
  <si>
    <t>Logitech G700s Rechargeable Gaming Mouse</t>
  </si>
  <si>
    <t>Lena Radford</t>
  </si>
  <si>
    <t>Fellowes Superior 10 Outlet Split Surge Protector</t>
  </si>
  <si>
    <t>AT&amp;T 1070 Corded Phone</t>
  </si>
  <si>
    <t>Eldon Delta Triangular Chair Mat, 52" x 58", Clear</t>
  </si>
  <si>
    <t>SanDisk Ultra 64 GB MicroSDHC Class 10 Memory Card</t>
  </si>
  <si>
    <t>Acco Smartsocket Table Surge Protector, 6 Color-Coded Adapter Outlets</t>
  </si>
  <si>
    <t>Nu-Dell Float Frame 11 x 14 1/2</t>
  </si>
  <si>
    <t>Andy Gerbode</t>
  </si>
  <si>
    <t>Cisco Unified IP Phone 7945G VoIP phone</t>
  </si>
  <si>
    <t>Jawbone MINI JAMBOX Wireless Bluetooth Speaker</t>
  </si>
  <si>
    <t>Joseph Holt</t>
  </si>
  <si>
    <t>Eldon Image Series Desk Accessories, Ebony</t>
  </si>
  <si>
    <t>Charles Sheldon</t>
  </si>
  <si>
    <t>Performers Binder/Pad Holder, Black</t>
  </si>
  <si>
    <t>BlackBerry Q10</t>
  </si>
  <si>
    <t>Bulldog Vacuum Base Pencil Sharpener</t>
  </si>
  <si>
    <t>Acco Smartsocket Color-Coded Six-Outlet AC Adapter Model Surge Protectors</t>
  </si>
  <si>
    <t>Acco Translucent Poly Ring Binders</t>
  </si>
  <si>
    <t>Keith Herrera</t>
  </si>
  <si>
    <t>Christine Sundaresam</t>
  </si>
  <si>
    <t>Premium Transparent Presentation Covers by GBC</t>
  </si>
  <si>
    <t>Novimex Fabric Task Chair</t>
  </si>
  <si>
    <t>Troy Staebel</t>
  </si>
  <si>
    <t>Xerox 203</t>
  </si>
  <si>
    <t>Xerox 1929</t>
  </si>
  <si>
    <t>Logitech Gaming G510s - Keyboard</t>
  </si>
  <si>
    <t>Turquoise Lead Holder with Pocket Clip</t>
  </si>
  <si>
    <t>GBC DocuBind P50 Personal Binding Machine</t>
  </si>
  <si>
    <t>Lena Hernandez</t>
  </si>
  <si>
    <t>Satellite Sectional Post Binders</t>
  </si>
  <si>
    <t>Craig Reiter</t>
  </si>
  <si>
    <t>GBC DocuBind TL300 Electric Binding System</t>
  </si>
  <si>
    <t>Deanra Eno</t>
  </si>
  <si>
    <t>Faber Castell Col-Erase Pencils</t>
  </si>
  <si>
    <t>Jeremy Pistek</t>
  </si>
  <si>
    <t>Acme Serrated Blade Letter Opener</t>
  </si>
  <si>
    <t>Rick Hansen</t>
  </si>
  <si>
    <t>Xerox 1994</t>
  </si>
  <si>
    <t>Personal Creations Ink Jet Cards and Labels</t>
  </si>
  <si>
    <t>Robert Barroso</t>
  </si>
  <si>
    <t>Arthur Prichep</t>
  </si>
  <si>
    <t>Cisco SPA525G2 IP Phone - Wireless</t>
  </si>
  <si>
    <t>Xerox 1988</t>
  </si>
  <si>
    <t>SlimView Poly Binder, 3/8"</t>
  </si>
  <si>
    <t>Dorothy Wardle</t>
  </si>
  <si>
    <t>Janet Molinari</t>
  </si>
  <si>
    <t>Frank Merwin</t>
  </si>
  <si>
    <t>Karl Braun</t>
  </si>
  <si>
    <t>Avoid Verbal Orders Carbonless Minifold Book</t>
  </si>
  <si>
    <t>Zuschuss Donatelli</t>
  </si>
  <si>
    <t>Wilson Jones Hanging View Binder, White, 1"</t>
  </si>
  <si>
    <t>Hilary Holden</t>
  </si>
  <si>
    <t>Xerox 1940</t>
  </si>
  <si>
    <t>Balt Solid Wood Rectangular Table</t>
  </si>
  <si>
    <t>Annie Thurman</t>
  </si>
  <si>
    <t>Wilson Jones Standard D-Ring Binders</t>
  </si>
  <si>
    <t>Shirley Jackson</t>
  </si>
  <si>
    <t>KeyTronic KT400U2 - Keyboard - Black</t>
  </si>
  <si>
    <t>Larry Tron</t>
  </si>
  <si>
    <t>BOSTON Model 1800 Electric Pencil Sharpeners, Putty/Woodgrain</t>
  </si>
  <si>
    <t>Wilson Jones Hanging Recycled Pressboard Data Binders</t>
  </si>
  <si>
    <t>Katherine Ducich</t>
  </si>
  <si>
    <t>Nora Preis</t>
  </si>
  <si>
    <t>Telescoping Adjustable Floor Lamp</t>
  </si>
  <si>
    <t>invisibleSHIELD by ZAGG Smudge-Free Screen Protector</t>
  </si>
  <si>
    <t>DAX Natural Wood-Tone Poster Frame</t>
  </si>
  <si>
    <t>Angle-D Binders with Locking Rings, Label Holders</t>
  </si>
  <si>
    <t>Becky Martin</t>
  </si>
  <si>
    <t>Lexmark MX611dhe Monochrome Laser Printer</t>
  </si>
  <si>
    <t>SAFCO Arco Folding Chair</t>
  </si>
  <si>
    <t>Kensington 7 Outlet MasterPiece Power Center</t>
  </si>
  <si>
    <t>JBL Micro Wireless Portable Bluetooth Speaker</t>
  </si>
  <si>
    <t>Lisa Hazard</t>
  </si>
  <si>
    <t>Epson WorkForce WF-2530 All-in-One Printer, Copier Scanner</t>
  </si>
  <si>
    <t>Marc Crier</t>
  </si>
  <si>
    <t>Prang Colored Pencils</t>
  </si>
  <si>
    <t>Hunt PowerHouse Electric Pencil Sharpener, Blue</t>
  </si>
  <si>
    <t>Kean Takahito</t>
  </si>
  <si>
    <t>Snap-A-Way Black Print Carbonless Ruled Speed Letter, Triplicate</t>
  </si>
  <si>
    <t>Global Super Steno Chair</t>
  </si>
  <si>
    <t>Maribeth Schnelling</t>
  </si>
  <si>
    <t>Alphabetical Labels for Top Tab Filing</t>
  </si>
  <si>
    <t>Logan Currie</t>
  </si>
  <si>
    <t>Newell 320</t>
  </si>
  <si>
    <t>Peel &amp; Seel Envelopes</t>
  </si>
  <si>
    <t>Kensington 6 Outlet Guardian Standard Surge Protector</t>
  </si>
  <si>
    <t>Liz Willingham</t>
  </si>
  <si>
    <t>Deflect-o DuraMat Lighweight, Studded, Beveled Mat for Low Pile Carpeting</t>
  </si>
  <si>
    <t>Premier Elliptical Ring Binder, Black</t>
  </si>
  <si>
    <t>Tom Ashbrook</t>
  </si>
  <si>
    <t>Kansas</t>
  </si>
  <si>
    <t>Luke Weiss</t>
  </si>
  <si>
    <t>Erin Ashbrook</t>
  </si>
  <si>
    <t>Jessica Myrick</t>
  </si>
  <si>
    <t>Odella Nelson</t>
  </si>
  <si>
    <t>Acco Suede Grain Vinyl Round Ring Binder</t>
  </si>
  <si>
    <t>WD My Passport Ultra 500GB Portable External Hard Drive</t>
  </si>
  <si>
    <t>Jennifer Braxton</t>
  </si>
  <si>
    <t>Kensington 7 Outlet MasterPiece HOMEOFFICE Power Control Center</t>
  </si>
  <si>
    <t>Avery Poly Binder Pockets</t>
  </si>
  <si>
    <t>Revere Boxed Rubber Bands by Revere</t>
  </si>
  <si>
    <t>Monica Federle</t>
  </si>
  <si>
    <t>Seth Thomas 16" Steel Case Clock</t>
  </si>
  <si>
    <t>Anthony Garverick</t>
  </si>
  <si>
    <t>Acco Pressboard Covers with Storage Hooks, 14 7/8" x 11", Light Blue</t>
  </si>
  <si>
    <t>Eldon ProFile File 'N Store Portable File Tub Letter/Legal Size Black</t>
  </si>
  <si>
    <t>Verbatim 25 GB 6x Blu-ray Single Layer Recordable Disc, 3/Pack</t>
  </si>
  <si>
    <t>Decoflex Hanging Personal Folder File, Blue</t>
  </si>
  <si>
    <t>Jim Kriz</t>
  </si>
  <si>
    <t>Hon 2111 Invitation Series Straight Table</t>
  </si>
  <si>
    <t>Philip Fox</t>
  </si>
  <si>
    <t>Avery 499</t>
  </si>
  <si>
    <t>Wirebound Message Book, 4 per Page</t>
  </si>
  <si>
    <t>Sarah Brown</t>
  </si>
  <si>
    <t>Henry Goldwyn</t>
  </si>
  <si>
    <t>Jack Garza</t>
  </si>
  <si>
    <t>Nortel Meridian M3904 Professional Digital phone</t>
  </si>
  <si>
    <t>Fellowes Basic Home/Office Series Surge Protectors</t>
  </si>
  <si>
    <t>#10 White Business Envelopes,4 1/8 x 9 1/2</t>
  </si>
  <si>
    <t>Newell 34</t>
  </si>
  <si>
    <t>Wirebound Four 2-3/4 x 5 Forms per Page, 400 Sets per Book</t>
  </si>
  <si>
    <t>While You Were Out Pads, 50 per Pad, 4 x 5 1/4, Green Cycle</t>
  </si>
  <si>
    <t>Sara Luxemburg</t>
  </si>
  <si>
    <t>Boston 16801 Nautilus Battery Pencil Sharpener</t>
  </si>
  <si>
    <t>Office Star - Mid Back Dual function Ergonomic High Back Chair with 2-Way Adjustable Arms</t>
  </si>
  <si>
    <t>GBC Instant Report Kit</t>
  </si>
  <si>
    <t>Avery Binding System Hidden Tab Executive Style Index Sets</t>
  </si>
  <si>
    <t>Thomas Thornton</t>
  </si>
  <si>
    <t>Julia Dunbar</t>
  </si>
  <si>
    <t>Gould Plastics 9-Pocket Panel Bin, 18-3/8w x 5-1/4d x 20-1/2h, Black</t>
  </si>
  <si>
    <t>Michelle Tran</t>
  </si>
  <si>
    <t>Xerox 1954</t>
  </si>
  <si>
    <t>Christopher Schild</t>
  </si>
  <si>
    <t>Dual Level, Single-Width Filing Carts</t>
  </si>
  <si>
    <t>Karen Ferguson</t>
  </si>
  <si>
    <t>Avery Durable Slant Ring Binders, No Labels</t>
  </si>
  <si>
    <t>Deflect-o SuperTray Unbreakable Stackable Tray, Letter, Black</t>
  </si>
  <si>
    <t>George Zrebassa</t>
  </si>
  <si>
    <t>Keith Dawkins</t>
  </si>
  <si>
    <t>White GlueTop Scratch Pads</t>
  </si>
  <si>
    <t>Luxo Professional Combination Clamp-On Lamps</t>
  </si>
  <si>
    <t>Fellowes Mobile File Cart, Black</t>
  </si>
  <si>
    <t>Lisa DeCherney</t>
  </si>
  <si>
    <t>Seth Thomas 14" Putty-Colored Wall Clock</t>
  </si>
  <si>
    <t>Evan Bailliet</t>
  </si>
  <si>
    <t>GBC Standard Plastic Binding Systems' Combs</t>
  </si>
  <si>
    <t>Fellowes Super Stor/Drawer Files</t>
  </si>
  <si>
    <t>Tops Green Bar Computer Printout Paper</t>
  </si>
  <si>
    <t>Doug Bickford</t>
  </si>
  <si>
    <t>Eureka Sanitaire  Commercial Upright</t>
  </si>
  <si>
    <t>Erin Smith</t>
  </si>
  <si>
    <t>Adams Telephone Message Book W/Dividers/Space For Phone Numbers, 5 1/4"X8 1/2", 300/Messages</t>
  </si>
  <si>
    <t>Kingston Digital DataTraveler 16GB USB 2.0</t>
  </si>
  <si>
    <t>Beth Paige</t>
  </si>
  <si>
    <t>Allen Rosenblatt</t>
  </si>
  <si>
    <t>Global Deluxe Stacking Chair, Gray</t>
  </si>
  <si>
    <t>Denny Ordway</t>
  </si>
  <si>
    <t>Convenience Packs of Business Envelopes</t>
  </si>
  <si>
    <t>Smead Alpha-Z Color-Coded Second Alphabetical Labels and Starter Set</t>
  </si>
  <si>
    <t>David Flashing</t>
  </si>
  <si>
    <t>Avery 512</t>
  </si>
  <si>
    <t>Office Star - Contemporary Task Swivel chair with Loop Arms, Charcoal</t>
  </si>
  <si>
    <t>Brian Derr</t>
  </si>
  <si>
    <t>Imation USB 2.0 Swivel Flash Drive USB flash drive - 4 GB - Pink</t>
  </si>
  <si>
    <t>Tennsco Lockers, Gray</t>
  </si>
  <si>
    <t>Maxell 74 Minute CDR, 10/Pack</t>
  </si>
  <si>
    <t>Tanja Norvell</t>
  </si>
  <si>
    <t>Jill Fjeld</t>
  </si>
  <si>
    <t>Fellowes High-Stak Drawer Files</t>
  </si>
  <si>
    <t>Helen Andreada</t>
  </si>
  <si>
    <t>Zuschuss Carroll</t>
  </si>
  <si>
    <t>Bevis Round Bullnose 29" High Table Top</t>
  </si>
  <si>
    <t>Flexible Leather- Look Classic Collection Ring Binder</t>
  </si>
  <si>
    <t>Sibella Parks</t>
  </si>
  <si>
    <t>Jim Epp</t>
  </si>
  <si>
    <t>Hewlett Packard 610 Color Digital Copier / Printer</t>
  </si>
  <si>
    <t>Lynn Smith</t>
  </si>
  <si>
    <t>Logitech Illuminated - Keyboard</t>
  </si>
  <si>
    <t>Tracy Blumstein</t>
  </si>
  <si>
    <t>Alan Schoenberger</t>
  </si>
  <si>
    <t>Eldon Base for stackable storage shelf, platinum</t>
  </si>
  <si>
    <t>Luke Schmidt</t>
  </si>
  <si>
    <t>Computer Printout Index Tabs</t>
  </si>
  <si>
    <t>Jeremy Farry</t>
  </si>
  <si>
    <t>Spiral Phone Message Books with Labels by Adams</t>
  </si>
  <si>
    <t>Accohide Poly Flexible Ring Binders</t>
  </si>
  <si>
    <t>Avery Durable Slant Ring Binders With Label Holder</t>
  </si>
  <si>
    <t>Eugene Hildebrand</t>
  </si>
  <si>
    <t>Lesro Round Back Collection Coffee Table, End Table</t>
  </si>
  <si>
    <t>Avery 4027 File Folder Labels for Dot Matrix Printers, 5000 Labels per Box, White</t>
  </si>
  <si>
    <t>Hon Practical Foundations 30 x 60 Training Table, Light Gray/Charcoal</t>
  </si>
  <si>
    <t>Sylvia Foulston</t>
  </si>
  <si>
    <t>Maureen Gastineau</t>
  </si>
  <si>
    <t>Advantus Map Pennant Flags and Round Head Tacks</t>
  </si>
  <si>
    <t>GBC VeloBind Cover Sets</t>
  </si>
  <si>
    <t>Angele Hood</t>
  </si>
  <si>
    <t>Tenex Chairmats For Use With Carpeted Floors</t>
  </si>
  <si>
    <t>Todd Sumrall</t>
  </si>
  <si>
    <t>Digium D40 VoIP phone</t>
  </si>
  <si>
    <t>Noah Childs</t>
  </si>
  <si>
    <t>Greg Guthrie</t>
  </si>
  <si>
    <t>Rhode Island</t>
  </si>
  <si>
    <t>GBC Recycled VeloBinder Covers</t>
  </si>
  <si>
    <t>Amy Cox</t>
  </si>
  <si>
    <t>Plantronics Voyager Pro HD - Bluetooth Headset</t>
  </si>
  <si>
    <t>Ken Heidel</t>
  </si>
  <si>
    <t>Multi-Use Personal File Cart and Caster Set, Three Stacking Bins</t>
  </si>
  <si>
    <t>Paul Lucas</t>
  </si>
  <si>
    <t>Howard Miller 13" Diameter Pewter Finish Round Wall Clock</t>
  </si>
  <si>
    <t>Patrick O'Brill</t>
  </si>
  <si>
    <t>Julie Kriz</t>
  </si>
  <si>
    <t>Adjustable Depth Letter/Legal Cart</t>
  </si>
  <si>
    <t>Samsung Rugby III</t>
  </si>
  <si>
    <t>Hon Racetrack Conference Tables</t>
  </si>
  <si>
    <t>Tenex Antistatic Computer Chair Mats</t>
  </si>
  <si>
    <t>Trav-L-File Heavy-Duty Shuttle II, Black</t>
  </si>
  <si>
    <t>OIC Bulk Pack Metal Binder Clips</t>
  </si>
  <si>
    <t>William Brown</t>
  </si>
  <si>
    <t>Polycom SoundPoint Pro SE-225 Corded phone</t>
  </si>
  <si>
    <t>Cardinal EasyOpen D-Ring Binders</t>
  </si>
  <si>
    <t>Acco Flexible ACCOHIDE Square Ring Data Binder, Dark Blue, 11 1/2" X 14" 7/8"</t>
  </si>
  <si>
    <t>OIC Stacking Trays</t>
  </si>
  <si>
    <t>Tennsco Double-Tier Lockers</t>
  </si>
  <si>
    <t>Memorex Micro Travel Drive 32 GB</t>
  </si>
  <si>
    <t>Tamara Chand</t>
  </si>
  <si>
    <t>Panasonic KP-150 Electric Pencil Sharpener</t>
  </si>
  <si>
    <t>Toshiba IPT2010-SD IP Telephone</t>
  </si>
  <si>
    <t>Recycled Desk Saver Line "While You Were Out" Book, 5 1/2" X 4"</t>
  </si>
  <si>
    <t>Xerox 1912</t>
  </si>
  <si>
    <t>Luxo Economy Swing Arm Lamp</t>
  </si>
  <si>
    <t>Eldon Expressions Punched Metal &amp; Wood Desk Accessories, Pewter &amp; Cherry</t>
  </si>
  <si>
    <t>Avery Hi-Liter Comfort Grip Fluorescent Highlighter, Yellow Ink</t>
  </si>
  <si>
    <t>Xerox 199</t>
  </si>
  <si>
    <t>Pete Kriz</t>
  </si>
  <si>
    <t>Stur-D-Stor Shelving, Vertical 5-Shelf: 72"H x 36"W x 18 1/2"D</t>
  </si>
  <si>
    <t>Karen Daniels</t>
  </si>
  <si>
    <t>50 Colored Long Pencils</t>
  </si>
  <si>
    <t>Atlantic Metals Mobile 3-Shelf Bookcases, Custom Colors</t>
  </si>
  <si>
    <t>Wirebound Message Books, Four 2 3/4" x 5" Forms per Page, 600 Sets per Book</t>
  </si>
  <si>
    <t>Xerox 1882</t>
  </si>
  <si>
    <t>Roy Französisch</t>
  </si>
  <si>
    <t>Personal Filing Tote with Lid, Black/Gray</t>
  </si>
  <si>
    <t>Xerox 1974</t>
  </si>
  <si>
    <t>Bevis Boat-Shaped Conference Table</t>
  </si>
  <si>
    <t>Imation 16GB Mini TravelDrive USB 2.0 Flash Drive</t>
  </si>
  <si>
    <t>Maris LaWare</t>
  </si>
  <si>
    <t>Jeremy Lonsdale</t>
  </si>
  <si>
    <t>Robert Marley</t>
  </si>
  <si>
    <t>Jamie Frazer</t>
  </si>
  <si>
    <t>Newell 310</t>
  </si>
  <si>
    <t>Eldon 100 Class Desk Accessories</t>
  </si>
  <si>
    <t>Logitech P710e Mobile Speakerphone</t>
  </si>
  <si>
    <t>Rick Huthwaite</t>
  </si>
  <si>
    <t>Wilson Jones Active Use Binders</t>
  </si>
  <si>
    <t>Permanent Self-Adhesive File Folder Labels for Typewriters by Universal</t>
  </si>
  <si>
    <t>Alan Barnes</t>
  </si>
  <si>
    <t>Justin Deggeller</t>
  </si>
  <si>
    <t>Bush Andora Bookcase, Maple/Graphite Gray Finish</t>
  </si>
  <si>
    <t>Yoseph Carroll</t>
  </si>
  <si>
    <t>APC 7 Outlet Network SurgeArrest Surge Protector</t>
  </si>
  <si>
    <t>Southworth 100% Cotton The Best Paper</t>
  </si>
  <si>
    <t>Pierre Wener</t>
  </si>
  <si>
    <t>Bevis Rectangular Conference Tables</t>
  </si>
  <si>
    <t>Safco Industrial Wire Shelving</t>
  </si>
  <si>
    <t>Ann Blume</t>
  </si>
  <si>
    <t>Pressboard Hanging Data Binders for Unburst Sheets</t>
  </si>
  <si>
    <t>BPI Conference Tables</t>
  </si>
  <si>
    <t>Julie Creighton</t>
  </si>
  <si>
    <t>Howard Miller 13-1/2" Diameter Rosebrook Wall Clock</t>
  </si>
  <si>
    <t>John Murray</t>
  </si>
  <si>
    <t>Dennis Bolton</t>
  </si>
  <si>
    <t>Xerox 1888</t>
  </si>
  <si>
    <t>Alan Dominguez</t>
  </si>
  <si>
    <t>Peel &amp; Seel Recycled Catalog Envelopes, Brown</t>
  </si>
  <si>
    <t>Multicolor Computer Printout Paper</t>
  </si>
  <si>
    <t>Tops Wirebound Message Log Books</t>
  </si>
  <si>
    <t>Fashion Color Clasp Envelopes</t>
  </si>
  <si>
    <t>Safco Contoured Stacking Chairs</t>
  </si>
  <si>
    <t>Saphhira Shifley</t>
  </si>
  <si>
    <t>Conquest 14 Commercial Heavy-Duty Upright Vacuum, Collection System, Accessory Kit</t>
  </si>
  <si>
    <t>Quality Park Security Envelopes</t>
  </si>
  <si>
    <t>Nathan Gelder</t>
  </si>
  <si>
    <t>Harold Ryan</t>
  </si>
  <si>
    <t>Global Leather &amp; Oak Executive Chair, Burgundy</t>
  </si>
  <si>
    <t>Global Executive Mid-Back Manager's Chair</t>
  </si>
  <si>
    <t>Darren Koutras</t>
  </si>
  <si>
    <t>Eldon 200 Class Desk Accessories, Burgundy</t>
  </si>
  <si>
    <t>Nat Gilpin</t>
  </si>
  <si>
    <t>Executive Impressions 14"</t>
  </si>
  <si>
    <t>Wirebound Message Books, Four 2 3/4 x 5 White Forms per Page</t>
  </si>
  <si>
    <t>Bretford CR4500 Series Slim Rectangular Table</t>
  </si>
  <si>
    <t>Sauder Camden County Collection Libraries, Planked Cherry Finish</t>
  </si>
  <si>
    <t>Avery Address/Shipping Labels for Typewriters, 4" x 2"</t>
  </si>
  <si>
    <t>Bart Folk</t>
  </si>
  <si>
    <t>Newell 331</t>
  </si>
  <si>
    <t>Sauder Camden County Barrister Bookcase, Planked Cherry Finish</t>
  </si>
  <si>
    <t>Micropad Numeric Keypads</t>
  </si>
  <si>
    <t>Matthew Clasen</t>
  </si>
  <si>
    <t>Laser &amp; Ink Jet Business Envelopes</t>
  </si>
  <si>
    <t>Alan Hwang</t>
  </si>
  <si>
    <t>Park Ridge Embossed Executive Business Envelopes</t>
  </si>
  <si>
    <t>Office Star - Professional Matrix Back Chair with 2-to-1 Synchro Tilt and Mesh Fabric Seat</t>
  </si>
  <si>
    <t>Hon 4070 Series Pagoda Round Back Stacking Chairs</t>
  </si>
  <si>
    <t>Linden 10" Round Wall Clock, Black</t>
  </si>
  <si>
    <t>12-1/2 Diameter Round Wall Clock</t>
  </si>
  <si>
    <t>DAX Metal Frame, Desktop, Stepped-Edge</t>
  </si>
  <si>
    <t>Elizabeth Moffitt</t>
  </si>
  <si>
    <t>Jabra Supreme Plus Driver Edition Headset</t>
  </si>
  <si>
    <t>Cathy Prescott</t>
  </si>
  <si>
    <t>Hunt BOSTON Model 1606 High-Volume Electric Pencil Sharpener, Beige</t>
  </si>
  <si>
    <t>Roy Collins</t>
  </si>
  <si>
    <t>Nona Balk</t>
  </si>
  <si>
    <t>Panasonic KX T7736-B Digital phone</t>
  </si>
  <si>
    <t>Rob Lucas</t>
  </si>
  <si>
    <t>Joni Blumstein</t>
  </si>
  <si>
    <t>File Shuttle I and Handi-File</t>
  </si>
  <si>
    <t>Bionaire 99.97% HEPA Air Cleaner</t>
  </si>
  <si>
    <t>Frank Preis</t>
  </si>
  <si>
    <t>Thomas Boland</t>
  </si>
  <si>
    <t>Companion Letter/Legal File, Black</t>
  </si>
  <si>
    <t>Tim Brockman</t>
  </si>
  <si>
    <t>Denny Joy</t>
  </si>
  <si>
    <t>Xerox 1987</t>
  </si>
  <si>
    <t>Hon Non-Folding Utility Tables</t>
  </si>
  <si>
    <t>Eldon Advantage Chair Mats for Low to Medium Pile Carpets</t>
  </si>
  <si>
    <t>GBC DocuBind 300 Electric Binding Machine</t>
  </si>
  <si>
    <t>Logan Haushalter</t>
  </si>
  <si>
    <t>Eldon Image Series Desk Accessories, Burgundy</t>
  </si>
  <si>
    <t>Kimberly Carter</t>
  </si>
  <si>
    <t>Plantronics CS510 - Over-the-Head monaural Wireless Headset System</t>
  </si>
  <si>
    <t>ARKON Windshield Dashboard Air Vent Car Mount Holder</t>
  </si>
  <si>
    <t>Sung Pak</t>
  </si>
  <si>
    <t>Avery Binder Labels</t>
  </si>
  <si>
    <t>Chad Cunningham</t>
  </si>
  <si>
    <t>Steve Chapman</t>
  </si>
  <si>
    <t>Mike Kennedy</t>
  </si>
  <si>
    <t>Irene Maddox</t>
  </si>
  <si>
    <t>Canvas Sectional Post Binders</t>
  </si>
  <si>
    <t>High-Back Leather Manager's Chair</t>
  </si>
  <si>
    <t>Advantus T-Pin Paper Clips</t>
  </si>
  <si>
    <t>Rogers Jumbo File, Granite</t>
  </si>
  <si>
    <t>Penelope Sewall</t>
  </si>
  <si>
    <t>Chromcraft 48" x 96" Racetrack Double Pedestal Table</t>
  </si>
  <si>
    <t>Adrian Barton</t>
  </si>
  <si>
    <t>Global Low Back Tilter Chair</t>
  </si>
  <si>
    <t>Belkin Premiere Surge Master II 8-outlet surge protector</t>
  </si>
  <si>
    <t>Khloe Miller</t>
  </si>
  <si>
    <t>Newell 332</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</si>
  <si>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</si>
  <si>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</si>
  <si>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</si>
  <si>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</si>
  <si>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</si>
  <si>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</si>
  <si>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</si>
  <si>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</si>
  <si>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</si>
  <si>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Sony 32GB Class 10 Micro SDHC R40 Memory Card</t>
  </si>
  <si>
    <t>Westinghouse Floor Lamp with Metal Mesh Shade, Black</t>
  </si>
  <si>
    <t>Global Deluxe Office Fabric Chairs</t>
  </si>
  <si>
    <t>Clytie Kelty</t>
  </si>
  <si>
    <t>Boston School Pro Electric Pencil Sharpener, 1670</t>
  </si>
  <si>
    <t>Hoover Upright Vacuum With Dirt Cup</t>
  </si>
  <si>
    <t>Debra Catini</t>
  </si>
  <si>
    <t>Mediabridge Sport Armband iPhone 5s</t>
  </si>
  <si>
    <t>Michael Granlund</t>
  </si>
  <si>
    <t>Ken Brennan</t>
  </si>
  <si>
    <t>Maureen Fritzler</t>
  </si>
  <si>
    <t>Pamela Coakley</t>
  </si>
  <si>
    <t>Atlantic Metals Mobile 4-Shelf Bookcases, Custom Colors</t>
  </si>
  <si>
    <t>Sabrent 4-Port USB 2.0 Hub</t>
  </si>
  <si>
    <t>Claudia Bergmann</t>
  </si>
  <si>
    <t>Andrew Gjertsen</t>
  </si>
  <si>
    <t>Belkin 5 Outlet SurgeMaster Power Centers</t>
  </si>
  <si>
    <t>Speediset Carbonless Redi-Letter 7" x 8 1/2"</t>
  </si>
  <si>
    <t>Yana Sorensen</t>
  </si>
  <si>
    <t>LG Electronics Tone+ HBS-730 Bluetooth Headset</t>
  </si>
  <si>
    <t>Binding Machine Supplies</t>
  </si>
  <si>
    <t>Karen Seio</t>
  </si>
  <si>
    <t>Xerox 1991</t>
  </si>
  <si>
    <t>Nortel Meridian M5316 Digital phone</t>
  </si>
  <si>
    <t>Rediform Voice Mail Log Books</t>
  </si>
  <si>
    <t>Coloredge Poster Frame</t>
  </si>
  <si>
    <t>Memorex Mini Travel Drive 8 GB USB 2.0 Flash Drive</t>
  </si>
  <si>
    <t>Xerox 1920</t>
  </si>
  <si>
    <t>Wirebound Message Books, Four 2 3/4 x 5 Forms per Page, 200 Sets per Book</t>
  </si>
  <si>
    <t>Anker Ultrathin Bluetooth Wireless Keyboard Aluminum Cover with Stand</t>
  </si>
  <si>
    <t>Lindsay Castell</t>
  </si>
  <si>
    <t>Hoover Portapower Portable Vacuum</t>
  </si>
  <si>
    <t>i.Sound Portable Power - 8000 mAh</t>
  </si>
  <si>
    <t>XtraLife ClearVue Slant-D Ring Binder, White, 3"</t>
  </si>
  <si>
    <t>Panasonic KP-350BK Electric Pencil Sharpener with Auto Stop</t>
  </si>
  <si>
    <t>Dave Kipp</t>
  </si>
  <si>
    <t>Alan Haines</t>
  </si>
  <si>
    <t>36X48 HARDFLOOR CHAIRMAT</t>
  </si>
  <si>
    <t>Jennifer Jackson</t>
  </si>
  <si>
    <t>Microsoft Sculpt Comfort Mouse</t>
  </si>
  <si>
    <t>Dana Kaydos</t>
  </si>
  <si>
    <t>Toby Gnade</t>
  </si>
  <si>
    <t>Edward Becker</t>
  </si>
  <si>
    <t>SmartStand Mobile Device Holder, Assorted Colors</t>
  </si>
  <si>
    <t>Christopher Martinez</t>
  </si>
  <si>
    <t>KeyTronic KT800P2 - Keyboard - Black</t>
  </si>
  <si>
    <t>Jesus Ocampo</t>
  </si>
  <si>
    <t>Corinna Mitchell</t>
  </si>
  <si>
    <t>Bart Watters</t>
  </si>
  <si>
    <t>Recycled Interoffice Envelopes with String and Button Closure, 10 x 13</t>
  </si>
  <si>
    <t>Julia West</t>
  </si>
  <si>
    <t>Xerox 1883</t>
  </si>
  <si>
    <t>Dean Braden</t>
  </si>
  <si>
    <t>Verbatim 25 GB 6x Blu-ray Single Layer Recordable Disc, 25/Pack</t>
  </si>
  <si>
    <t>XtraLife ClearVue Slant-D Ring Binders by Cardinal</t>
  </si>
  <si>
    <t>Ben Peterman</t>
  </si>
  <si>
    <t>Eldon Expressions Punched Metal &amp; Wood Desk Accessories, Black &amp; Cherry</t>
  </si>
  <si>
    <t>Benjamin Venier</t>
  </si>
  <si>
    <t>Southworth 25% Cotton Antique Laid Paper &amp; Envelopes</t>
  </si>
  <si>
    <t>Imation Bio 8GB USB Flash Drive Imation Corp</t>
  </si>
  <si>
    <t>Hon 4070 Series Pagoda Armless Upholstered Stacking Chairs</t>
  </si>
  <si>
    <t>Ampad Gold Fibre Wirebound Steno Books, 6" x 9", Gregg Ruled</t>
  </si>
  <si>
    <t>PureGear Roll-On Screen Protector</t>
  </si>
  <si>
    <t>White Dual Perf Computer Printout Paper, 2700 Sheets, 1 Part, Heavyweight, 20 lbs., 14 7/8 x 11</t>
  </si>
  <si>
    <t>Michael Oakman</t>
  </si>
  <si>
    <t>Aluminum Screw Posts</t>
  </si>
  <si>
    <t>Razer Kraken PRO Over Ear PC and Music Headset</t>
  </si>
  <si>
    <t>Laminate Occasional Tables</t>
  </si>
  <si>
    <t>Kensington 4 Outlet MasterPiece Compact Power Control Center</t>
  </si>
  <si>
    <t>Executive Impressions Supervisor Wall Clock</t>
  </si>
  <si>
    <t>Robert Dilbeck</t>
  </si>
  <si>
    <t>Heather Jas</t>
  </si>
  <si>
    <t>Theone Pippenger</t>
  </si>
  <si>
    <t>GBC Velobind Prepunched Cover Sets, Regency Series</t>
  </si>
  <si>
    <t>Xerox 19</t>
  </si>
  <si>
    <t>GE 48" Fluorescent Tube, Cool White Energy Saver, 34 Watts, 30/Box</t>
  </si>
  <si>
    <t>Olvera Toch</t>
  </si>
  <si>
    <t>Juliana Krohn</t>
  </si>
  <si>
    <t>Linda Southworth</t>
  </si>
  <si>
    <t>OtterBox Defender Series Case - iPhone 5c</t>
  </si>
  <si>
    <t>Panasonic KP-380BK Classic Electric Pencil Sharpener</t>
  </si>
  <si>
    <t>Acme 10" Easy Grip Assistive Scissors</t>
  </si>
  <si>
    <t>Julia Barnett</t>
  </si>
  <si>
    <t>Lena Cacioppo</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</si>
  <si>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</si>
  <si>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</si>
  <si>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</si>
  <si>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</si>
  <si>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</si>
  <si>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</si>
  <si>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</si>
  <si>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</si>
  <si>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Rose O'Brian</t>
  </si>
  <si>
    <t>Jet-Pak Recycled Peel 'N' Seal Padded Mailers</t>
  </si>
  <si>
    <t>Binney &amp; Smith Crayola Metallic Crayons, 16-Color Pack</t>
  </si>
  <si>
    <t>Wausau Papers Astrobrights Colored Envelopes</t>
  </si>
  <si>
    <t>Things To Do Today Pad</t>
  </si>
  <si>
    <t>Self-Adhesive Removable Labels</t>
  </si>
  <si>
    <t>Justin Hirsh</t>
  </si>
  <si>
    <t>Logitech G35 7.1-Channel Surround Sound Headset</t>
  </si>
  <si>
    <t>Xerox 1937</t>
  </si>
  <si>
    <t>Neil Knudson</t>
  </si>
  <si>
    <t>Newell 311</t>
  </si>
  <si>
    <t>Xerox 1894</t>
  </si>
  <si>
    <t>Edward Nazzal</t>
  </si>
  <si>
    <t>RCA H5401RE1 DECT 6.0 4-Line Cordless Handset With Caller ID/Call Waiting</t>
  </si>
  <si>
    <t>Bill Donatelli</t>
  </si>
  <si>
    <t>Xerox 1928</t>
  </si>
  <si>
    <t>Catherine Glotzbach</t>
  </si>
  <si>
    <t>Logitech Z-906 Speaker sys - home theater - 5.1-CH</t>
  </si>
  <si>
    <t>Brenda Bowman</t>
  </si>
  <si>
    <t>Eleni McCrary</t>
  </si>
  <si>
    <t>Advantus Employee of the Month Certificate Frame, 11 x 13-1/2</t>
  </si>
  <si>
    <t>Max Jones</t>
  </si>
  <si>
    <t>Cisco SPA301</t>
  </si>
  <si>
    <t>Tennsco 16-Compartment Lockers with Coat Rack</t>
  </si>
  <si>
    <t>Jonathan Howell</t>
  </si>
  <si>
    <t>Xerox 188</t>
  </si>
  <si>
    <t>Wilson Jones International Size A4 Ring Binders</t>
  </si>
  <si>
    <t>Eldon 200 Class Desk Accessories</t>
  </si>
  <si>
    <t>Stewart Carmichael</t>
  </si>
  <si>
    <t>GBC Ibimaster 500 Manual ProClick Binding System</t>
  </si>
  <si>
    <t>Pyle PRT45 Retro Home Telephone</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</si>
  <si>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</si>
  <si>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</si>
  <si>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</si>
  <si>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</si>
  <si>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</si>
  <si>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</si>
  <si>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Bruce Degenhardt</t>
  </si>
  <si>
    <t>Novimex High-Tech Fabric Mesh Task Chair</t>
  </si>
  <si>
    <t>Mitel MiVoice 5330e IP Phone</t>
  </si>
  <si>
    <t>Victor Preis</t>
  </si>
  <si>
    <t>Kalyca Meade</t>
  </si>
  <si>
    <t>Bush Mission Pointe Library</t>
  </si>
  <si>
    <t>Acco 7-Outlet Masterpiece Power Center, Wihtout Fax/Phone Line Protection</t>
  </si>
  <si>
    <t>Howard Miller 13-3/4" Diameter Brushed Chrome Round Wall Clock</t>
  </si>
  <si>
    <t>Tuf-Vin Binders</t>
  </si>
  <si>
    <t>Fred McMath</t>
  </si>
  <si>
    <t>Global Manager's Adjustable Task Chair, Storm</t>
  </si>
  <si>
    <t>Bush Westfield Collection Bookcases, Medium Cherry Finish</t>
  </si>
  <si>
    <t>Victoria Brennan</t>
  </si>
  <si>
    <t>Economy Binders</t>
  </si>
  <si>
    <t>Thais Sissman</t>
  </si>
  <si>
    <t>Wilson Jones DublLock D-Ring Binders</t>
  </si>
  <si>
    <t>Ralph Kennedy</t>
  </si>
  <si>
    <t>Ibico Presentation Index for Binding Systems</t>
  </si>
  <si>
    <t>Brad Eason</t>
  </si>
  <si>
    <t>Parhena Norris</t>
  </si>
  <si>
    <t>Cardinal Hold-It CD Pocket</t>
  </si>
  <si>
    <t>Philisse Overcash</t>
  </si>
  <si>
    <t>Tim Taslimi</t>
  </si>
  <si>
    <t>Newell 346</t>
  </si>
  <si>
    <t>Samsung Galaxy S4 Mini</t>
  </si>
  <si>
    <t>Cisco IP Phone 7961G-GE VoIP phone</t>
  </si>
  <si>
    <t>O'Sullivan Plantations 2-Door Library in Landvery Oak</t>
  </si>
  <si>
    <t>Shaun Chance</t>
  </si>
  <si>
    <t>Wilson Jones Snap Scratch Pad Binder Tool for Ring Binders</t>
  </si>
  <si>
    <t>Dave Poirier</t>
  </si>
  <si>
    <t>Roger Barcio</t>
  </si>
  <si>
    <t>Acme Tagit Stainless Steel Antibacterial Scissors</t>
  </si>
  <si>
    <t>Deluxe Heavy-Duty Vinyl Round Ring Binder</t>
  </si>
  <si>
    <t>Sterilite Officeware Hinged File Box</t>
  </si>
  <si>
    <t>Xerox 1908</t>
  </si>
  <si>
    <t>Cathy Armstrong</t>
  </si>
  <si>
    <t>Chuck Clark</t>
  </si>
  <si>
    <t>Neoma Murray</t>
  </si>
  <si>
    <t>Belkin 19" Center-Weighted Shelf, Gray</t>
  </si>
  <si>
    <t>Boston 19500 Mighty Mite Electric Pencil Sharpener</t>
  </si>
  <si>
    <t>Logitech LS21 Speaker System - PC Multimedia - 2.1-CH - Wired</t>
  </si>
  <si>
    <t>Hewlett Packard 310 Color Digital Copier</t>
  </si>
  <si>
    <t>Heavy-Duty E-Z-D Binders</t>
  </si>
  <si>
    <t>Xerox 1915</t>
  </si>
  <si>
    <t>Brendan Murry</t>
  </si>
  <si>
    <t>Riverside Palais Royal Lawyers Bookcase, Royale Cherry Finish</t>
  </si>
  <si>
    <t>Justin Ritter</t>
  </si>
  <si>
    <t>Adam Bellavance</t>
  </si>
  <si>
    <t>Charlotte Melton</t>
  </si>
  <si>
    <t>Sanjit Jacobs</t>
  </si>
  <si>
    <t>Avery 510</t>
  </si>
  <si>
    <t>AT&amp;T 1080 Phone</t>
  </si>
  <si>
    <t>Dan Reichenbach</t>
  </si>
  <si>
    <t>Hon Comfortask Task/Swivel Chairs</t>
  </si>
  <si>
    <t>Round Ring Binders</t>
  </si>
  <si>
    <t>GBC VeloBinder Electric Binding Machine</t>
  </si>
  <si>
    <t>Bryan Spruell</t>
  </si>
  <si>
    <t>Helen Wasserman</t>
  </si>
  <si>
    <t>Motorola HK250 Universal Bluetooth Headset</t>
  </si>
  <si>
    <t>Henry MacAllister</t>
  </si>
  <si>
    <t>Joel Jenkins</t>
  </si>
  <si>
    <t>Gene Hale</t>
  </si>
  <si>
    <t>Claire Gute</t>
  </si>
  <si>
    <t>Verbatim Slim CD and DVD Storage Cases, 50/Pack</t>
  </si>
  <si>
    <t>Tripp Lite Isotel 6 Outlet Surge Protector with Fax/Modem Protection</t>
  </si>
  <si>
    <t>Jay Fein</t>
  </si>
  <si>
    <t>SKILCRAFT Telephone Shoulder Rest, 2" x 6.5" x 2.5", Black</t>
  </si>
  <si>
    <t>Maribeth Yedwab</t>
  </si>
  <si>
    <t>Avery 507</t>
  </si>
  <si>
    <t>Design Ebony Sketching Pencil</t>
  </si>
  <si>
    <t>Sandra Glassco</t>
  </si>
  <si>
    <t>Kelly Collister</t>
  </si>
  <si>
    <t>Logitech K350 2.4Ghz Wireless Keyboard</t>
  </si>
  <si>
    <t>Contemporary Wood/Metal Frame</t>
  </si>
  <si>
    <t>Hanging Personal Folder File</t>
  </si>
  <si>
    <t>Christy Brittain</t>
  </si>
  <si>
    <t>Vermont</t>
  </si>
  <si>
    <t>Advantus 10-Drawer Portable Organizer, Chrome Metal Frame, Smoke Drawers</t>
  </si>
  <si>
    <t>Xerox 1910</t>
  </si>
  <si>
    <t>Home/Office Personal File Carts</t>
  </si>
  <si>
    <t>Cardinal Holdit Data Disk Pockets</t>
  </si>
  <si>
    <t>Eureka The Boss Plus 12-Amp Hard Box Upright Vacuum, Red</t>
  </si>
  <si>
    <t>Logitech diNovo Edge Keyboard</t>
  </si>
  <si>
    <t>Greg Hansen</t>
  </si>
  <si>
    <t>Patrick Bzostek</t>
  </si>
  <si>
    <t>Sauder Barrister Bookcases</t>
  </si>
  <si>
    <t>Crayola Anti Dust Chalk, 12/Pack</t>
  </si>
  <si>
    <t>Xerox 1943</t>
  </si>
  <si>
    <t>LG Exalt</t>
  </si>
  <si>
    <t>Tenex Contemporary Contur Chairmats for Low and Medium Pile Carpet, Computer, 39" x 49"</t>
  </si>
  <si>
    <t>Luxo Professional Fluorescent Magnifier Lamp with Clamp-Mount Base</t>
  </si>
  <si>
    <t>Lexmark MarkNet N8150 Wireless Print Server</t>
  </si>
  <si>
    <t>Ritsa Hightower</t>
  </si>
  <si>
    <t>Matt Hagelstein</t>
  </si>
  <si>
    <t>Stephanie Ulpright</t>
  </si>
  <si>
    <t>Tonja Turnell</t>
  </si>
  <si>
    <t>Newell 326</t>
  </si>
  <si>
    <t>Avery Personal Creations Heavyweight Cards</t>
  </si>
  <si>
    <t>Micro Innovations USB RF Wireless Keyboard with Mouse</t>
  </si>
  <si>
    <t>Bush Andora Conference Table, Maple/Graphite Gray Finish</t>
  </si>
  <si>
    <t>Cisco Small Business SPA 502G VoIP phone</t>
  </si>
  <si>
    <t>Hon Valutask Swivel Chairs</t>
  </si>
  <si>
    <t>Anker 36W 4-Port USB Wall Charger Travel Power Adapter for iPhone 5s 5c 5</t>
  </si>
  <si>
    <t>Dionis Lloyd</t>
  </si>
  <si>
    <t>#10-4 1/8" x 9 1/2" Premium Diagonal Seam Envelopes</t>
  </si>
  <si>
    <t>Cisco SPA 502G IP Phone</t>
  </si>
  <si>
    <t>Logitech MX Performance Wireless Mouse</t>
  </si>
  <si>
    <t>Newell 337</t>
  </si>
  <si>
    <t>Logitech G500s Laser Gaming Mouse with Adjustable Weight Tuning</t>
  </si>
  <si>
    <t>Bill Eplett</t>
  </si>
  <si>
    <t>Todd Boyes</t>
  </si>
  <si>
    <t>Dixon Ticonderoga Maple Cedar Pencil, #2</t>
  </si>
  <si>
    <t>Bretford Just In Time Height-Adjustable Multi-Task Work Tables</t>
  </si>
  <si>
    <t>Deflect-o RollaMat Studded, Beveled Mat for Medium Pile Carpeting</t>
  </si>
  <si>
    <t>Anker Astro 15000mAh USB Portable Charger</t>
  </si>
  <si>
    <t>Honeywell Enviracaire Portable Air Cleaner for up to 8 x 10 Room</t>
  </si>
  <si>
    <t>DAX Two-Tone Silver Metal Document Frame</t>
  </si>
  <si>
    <t>Office Impressions End Table, 20-1/2"H x 24"W x 20"D</t>
  </si>
  <si>
    <t>Berol Giant Pencil Sharpener</t>
  </si>
  <si>
    <t>Belkin Grip Candy Sheer Case / Cover for iPhone 5 and 5S</t>
  </si>
  <si>
    <t>Caroline Jumper</t>
  </si>
  <si>
    <t>Bryan Davis</t>
  </si>
  <si>
    <t>Belkin 7 Outlet SurgeMaster Surge Protector with Phone Protection</t>
  </si>
  <si>
    <t>Henia Zydlo</t>
  </si>
  <si>
    <t>V7 USB Numeric Keypad</t>
  </si>
  <si>
    <t>Atlantic Metals Mobile 2-Shelf Bookcases, Custom Colors</t>
  </si>
  <si>
    <t>Avery Durable Slant Ring Binders</t>
  </si>
  <si>
    <t>Janet Martin</t>
  </si>
  <si>
    <t>Raymond Buch</t>
  </si>
  <si>
    <t>Avery 473</t>
  </si>
  <si>
    <t>Bush Somerset Collection Bookcase</t>
  </si>
  <si>
    <t>Jill Matthias</t>
  </si>
  <si>
    <t>GBC ProClick 150 Presentation Binding System</t>
  </si>
  <si>
    <t>GE General Purpose, Extra Long Life, Showcase &amp; Floodlight Incandescent Bulbs</t>
  </si>
  <si>
    <t>Clay Rozendal</t>
  </si>
  <si>
    <t>Super Decoflex Portable Personal File</t>
  </si>
  <si>
    <t>Lindsay Williams</t>
  </si>
  <si>
    <t>Sony Micro Vault Click 8 GB USB 2.0 Flash Drive</t>
  </si>
  <si>
    <t>Cynthia Voltz</t>
  </si>
  <si>
    <t>Canon imageCLASS 2200 Advanced Copier</t>
  </si>
  <si>
    <t>Eldon Expressions Mahogany Wood Desk Collection</t>
  </si>
  <si>
    <t>Telephone Message Books with Fax/Mobile Section, 5 1/2" x 3 3/16"</t>
  </si>
  <si>
    <t>Robert Waldorf</t>
  </si>
  <si>
    <t>Executive Impressions 16-1/2" Circular Wall Clock</t>
  </si>
  <si>
    <t>Scot Coram</t>
  </si>
  <si>
    <t>Liz Preis</t>
  </si>
  <si>
    <t>Cisco CP-7937G Unified IP Conference Station Phone</t>
  </si>
  <si>
    <t>Sanyo 2.5 Cubic Foot Mid-Size Office Refrigerators</t>
  </si>
  <si>
    <t>Fiskars Home &amp; Office Scissors</t>
  </si>
  <si>
    <t>Eldon 300 Class Desk Accessories, Black</t>
  </si>
  <si>
    <t>iHome FM Clock Radio with Lightning Dock</t>
  </si>
  <si>
    <t>Avery 498</t>
  </si>
  <si>
    <t>Barricks Non-Folding Utility Table with Steel Legs, Laminate Tops</t>
  </si>
  <si>
    <t>Alex Grayson</t>
  </si>
  <si>
    <t>Max Ludwig</t>
  </si>
  <si>
    <t>Array Memo Cubes</t>
  </si>
  <si>
    <t>Mick Hernandez</t>
  </si>
  <si>
    <t>Avery 515</t>
  </si>
  <si>
    <t>Belkin F9M820V08 8 Outlet Surge</t>
  </si>
  <si>
    <t>Acco Perma 2700 Stacking Storage Drawers</t>
  </si>
  <si>
    <t>Electrix Architect's Clamp-On Swing Arm Lamp, Black</t>
  </si>
  <si>
    <t>Xerox 1968</t>
  </si>
  <si>
    <t>Eldon 400 Class Desk Accessories, Black Carbon</t>
  </si>
  <si>
    <t>Xerox 1905</t>
  </si>
  <si>
    <t>Xerox 1982</t>
  </si>
  <si>
    <t>Charles McCrossin</t>
  </si>
  <si>
    <t>Sally Knutson</t>
  </si>
  <si>
    <t>Seth Thomas 12" Clock w/ Goldtone Case</t>
  </si>
  <si>
    <t>Strathmore Photo Mount Cards</t>
  </si>
  <si>
    <t>Samsung Galaxy Note 2</t>
  </si>
  <si>
    <t>Canon Image Class D660 Copier</t>
  </si>
  <si>
    <t>Roland Murray</t>
  </si>
  <si>
    <t>Tony Molinari</t>
  </si>
  <si>
    <t>Multimedia Mailers</t>
  </si>
  <si>
    <t>Color-Coded Legal Exhibit Labels</t>
  </si>
  <si>
    <t>North Dakota</t>
  </si>
  <si>
    <t>Belkin 8-Outlet Premiere SurgeMaster II Surge Protectors</t>
  </si>
  <si>
    <t>Eureka Disposable Bags for Sanitaire Vibra Groomer I Upright Vac</t>
  </si>
  <si>
    <t>Clay Cheatham</t>
  </si>
  <si>
    <t>Chuck Sachs</t>
  </si>
  <si>
    <t>Panasonic KP-310 Heavy-Duty Electric Pencil Sharpener</t>
  </si>
  <si>
    <t>Patricia Hirasaki</t>
  </si>
  <si>
    <t>Cubify CubeX 3D Printer Triple Head Print</t>
  </si>
  <si>
    <t>Month</t>
  </si>
  <si>
    <t>Row Labels</t>
  </si>
  <si>
    <t>Sum of Profit</t>
  </si>
  <si>
    <t>Grand Total</t>
  </si>
  <si>
    <t>Sum of Sales</t>
  </si>
  <si>
    <t>Column Labels</t>
  </si>
  <si>
    <t>Jan</t>
  </si>
  <si>
    <t>Feb</t>
  </si>
  <si>
    <t>Mar</t>
  </si>
  <si>
    <t>Apr</t>
  </si>
  <si>
    <t>May</t>
  </si>
  <si>
    <t>Jun</t>
  </si>
  <si>
    <t>Jul</t>
  </si>
  <si>
    <t>Aug</t>
  </si>
  <si>
    <t>Sep</t>
  </si>
  <si>
    <t>Oct</t>
  </si>
  <si>
    <t>Nov</t>
  </si>
  <si>
    <t>Dec</t>
  </si>
  <si>
    <t>Year</t>
  </si>
  <si>
    <t>2014</t>
  </si>
  <si>
    <t>2015</t>
  </si>
  <si>
    <t>2016</t>
  </si>
  <si>
    <t>2017</t>
  </si>
  <si>
    <t>Customer name</t>
  </si>
  <si>
    <t>Count of Customer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</si>
</sst>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5" formatCode="&quot;$&quot;#,##0_);\(&quot;$&quot;#,##0\)"/>
    <numFmt numFmtId="42" formatCode="_(&quot;$&quot;* #,##0_);_(&quot;$&quot;* \(#,##0\);_(&quot;$&quot;* &quot;-&quot;_);_(@_)"/>
    <numFmt numFmtId="44" formatCode="_(&quot;$&quot;* #,##0.00_);_(&quot;$&quot;* \(#,##0.00\);_(&quot;$&quot;* &quot;-&quot;??_);_(@_)"/>
    <numFmt numFmtId="164" formatCode="[$-409]dd\-mmm\-yy;@"/>
    <numFmt numFmtId="165" formatCode="&quot;$&quot;#,##0"/>
  </numFmts>
  <fonts count="5" x14ac:knownFonts="1">
    <font>
      <sz val="10"/>
      <color rgb="FF000000"/>
      <name val="Arial"/>
      <scheme val="minor"/>
    </font>
    <font>
      <sz val="10"/>
      <color theme="1"/>
      <name val="Arial"/>
      <scheme val="minor"/>
    </font>
    <font>
      <sz val="8"/>
      <name val="Arial"/>
      <scheme val="minor"/>
    </font>
    <font>
      <sz val="10"/>
      <color theme="1"/>
      <name val="Arial"/>
      <family val="2"/>
      <scheme val="minor"/>
    </font>
    <font>
      <sz val="10"/>
      <color rgb="FF000000"/>
      <name val="Arial"/>
      <scheme val="minor"/>
    </font>
  </fonts>
  <fills count="2">
    <fill>
      <patternFill patternType="none"/>
    </fill>
    <fill>
      <patternFill patternType="gray125"/>
    </fill>
  </fills>
  <borders count="1">
    <border>
      <left/>
      <right/>
      <top/>
      <bottom/>
      <diagonal/>
    </border>
  </borders>
  <cellStyleXfs count="2">
    <xf numFmtId="0" fontId="0" fillId="0" borderId="0"/>
    <xf numFmtId="44" fontId="4" fillId="0" borderId="0" applyFont="0" applyFill="0" applyBorder="0" applyAlignment="0" applyProtection="0"/>
  </cellStyleXfs>
  <cellXfs count="16">
    <xf numFmtId="0" fontId="0" fillId="0" borderId="0" xfId="0"/>
    <xf numFmtId="0" fontId="1" fillId="0" borderId="0" xfId="0" applyFont="1"/>
    <xf numFmtId="164" fontId="1" fillId="0" borderId="0" xfId="0" applyNumberFormat="1" applyFont="1" applyAlignment="1">
      <alignment horizontal="left"/>
    </xf>
    <xf numFmtId="164" fontId="0" fillId="0" borderId="0" xfId="0" applyNumberFormat="1" applyAlignment="1">
      <alignment horizontal="left"/>
    </xf>
    <xf numFmtId="164" fontId="3" fillId="0" borderId="0" xfId="0" applyNumberFormat="1" applyFont="1" applyAlignment="1">
      <alignment horizontal="left"/>
    </xf>
    <xf numFmtId="49" fontId="3" fillId="0" borderId="0" xfId="0" applyNumberFormat="1" applyFont="1" applyAlignment="1">
      <alignment horizontal="left"/>
    </xf>
    <xf numFmtId="2" fontId="1" fillId="0" borderId="0" xfId="0" applyNumberFormat="1" applyFont="1"/>
    <xf numFmtId="1" fontId="1" fillId="0" borderId="0" xfId="0" applyNumberFormat="1"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42" fontId="0" fillId="0" borderId="0" xfId="1" applyNumberFormat="1" applyFont="1"/>
    <xf numFmtId="165" fontId="0" fillId="0" borderId="0" xfId="1" applyNumberFormat="1" applyFont="1"/>
    <xf numFmtId="44" fontId="0" fillId="0" borderId="0" xfId="1" applyFont="1"/>
    <xf numFmtId="5" fontId="0" fillId="0" borderId="0" xfId="1" applyNumberFormat="1" applyFont="1"/>
  </cellXfs>
  <cellStyles count="2">
    <cellStyle name="Currency" xfId="1" builtinId="4"/>
    <cellStyle name="Normal" xfId="0" builtinId="0"/>
  </cellStyles>
  <dxfs count="14">
    <dxf>
      <font>
        <color rgb="FF9C0006"/>
      </font>
      <fill>
        <patternFill>
          <bgColor rgb="FFFFC7CE"/>
        </patternFill>
      </fil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409]dd\-mmm\-yy;@"/>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409]dd\-mmm\-yy;@"/>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409]dd\-mmm\-yy;@"/>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1" defaultTableStyle="TableStyleMedium2" defaultPivotStyle="PivotStyleLight16">
    <tableStyle name="Slicer Style 1" pivot="0" table="0" count="0"/>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3.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project.xlsx]Sum of Profit!PivotTable10</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'Sum of Profit'!$B$3:$B$4</c:f>
              <c:strCache>
                <c:ptCount val="1"/>
                <c:pt idx="0">
                  <c:v>Furniture</c:v>
                </c:pt>
              </c:strCache>
            </c:strRef>
          </c:tx>
          <c:spPr>
            <a:ln w="28575" cap="rnd">
              <a:solidFill>
                <a:schemeClr val="accent1"/>
              </a:solidFill>
              <a:round/>
            </a:ln>
            <a:effectLst/>
          </c:spPr>
          <c:marker>
            <c:symbol val="none"/>
          </c:marker>
          <c:cat>
            <c:strRef>
              <c:f>'Sum of Profit'!$A$5:$A$6</c:f>
              <c:strCache>
                <c:ptCount val="1"/>
                <c:pt idx="0">
                  <c:v>2014</c:v>
                </c:pt>
              </c:strCache>
            </c:strRef>
          </c:cat>
          <c:val>
            <c:numRef>
              <c:f>'Sum of Profit'!$B$5:$B$6</c:f>
              <c:numCache>
                <c:formatCode>General</c:formatCode>
                <c:ptCount val="1"/>
                <c:pt idx="0">
                  <c:v>-2129.17</c:v>
                </c:pt>
              </c:numCache>
            </c:numRef>
          </c:val>
          <c:smooth val="0"/>
          <c:extLst xmlns:c16r2="http://schemas.microsoft.com/office/drawing/2015/06/chart">
            <c:ext xmlns:c16="http://schemas.microsoft.com/office/drawing/2014/chart" uri="{C3380CC4-5D6E-409C-BE32-E72D297353CC}">
              <c16:uniqueId val="{00000000-25ED-4BE9-8C12-4598714CD897}"/>
            </c:ext>
          </c:extLst>
        </c:ser>
        <c:ser>
          <c:idx val="1"/>
          <c:order val="1"/>
          <c:tx>
            <c:strRef>
              <c:f>'Sum of Profit'!$C$3:$C$4</c:f>
              <c:strCache>
                <c:ptCount val="1"/>
                <c:pt idx="0">
                  <c:v>Office Supplies</c:v>
                </c:pt>
              </c:strCache>
            </c:strRef>
          </c:tx>
          <c:spPr>
            <a:ln w="28575" cap="rnd">
              <a:solidFill>
                <a:schemeClr val="accent2"/>
              </a:solidFill>
              <a:round/>
            </a:ln>
            <a:effectLst/>
          </c:spPr>
          <c:marker>
            <c:symbol val="none"/>
          </c:marker>
          <c:cat>
            <c:strRef>
              <c:f>'Sum of Profit'!$A$5:$A$6</c:f>
              <c:strCache>
                <c:ptCount val="1"/>
                <c:pt idx="0">
                  <c:v>2014</c:v>
                </c:pt>
              </c:strCache>
            </c:strRef>
          </c:cat>
          <c:val>
            <c:numRef>
              <c:f>'Sum of Profit'!$C$5:$C$6</c:f>
              <c:numCache>
                <c:formatCode>General</c:formatCode>
                <c:ptCount val="1"/>
                <c:pt idx="0">
                  <c:v>3509.8700000000008</c:v>
                </c:pt>
              </c:numCache>
            </c:numRef>
          </c:val>
          <c:smooth val="0"/>
          <c:extLst xmlns:c16r2="http://schemas.microsoft.com/office/drawing/2015/06/chart">
            <c:ext xmlns:c16="http://schemas.microsoft.com/office/drawing/2014/chart" uri="{C3380CC4-5D6E-409C-BE32-E72D297353CC}">
              <c16:uniqueId val="{00000001-25ED-4BE9-8C12-4598714CD897}"/>
            </c:ext>
          </c:extLst>
        </c:ser>
        <c:ser>
          <c:idx val="2"/>
          <c:order val="2"/>
          <c:tx>
            <c:strRef>
              <c:f>'Sum of Profit'!$D$3:$D$4</c:f>
              <c:strCache>
                <c:ptCount val="1"/>
                <c:pt idx="0">
                  <c:v>Technology</c:v>
                </c:pt>
              </c:strCache>
            </c:strRef>
          </c:tx>
          <c:spPr>
            <a:ln w="28575" cap="rnd">
              <a:solidFill>
                <a:schemeClr val="accent3"/>
              </a:solidFill>
              <a:round/>
            </a:ln>
            <a:effectLst/>
          </c:spPr>
          <c:marker>
            <c:symbol val="none"/>
          </c:marker>
          <c:cat>
            <c:strRef>
              <c:f>'Sum of Profit'!$A$5:$A$6</c:f>
              <c:strCache>
                <c:ptCount val="1"/>
                <c:pt idx="0">
                  <c:v>2014</c:v>
                </c:pt>
              </c:strCache>
            </c:strRef>
          </c:cat>
          <c:val>
            <c:numRef>
              <c:f>'Sum of Profit'!$D$5:$D$6</c:f>
              <c:numCache>
                <c:formatCode>General</c:formatCode>
                <c:ptCount val="1"/>
                <c:pt idx="0">
                  <c:v>7956.3799999999983</c:v>
                </c:pt>
              </c:numCache>
            </c:numRef>
          </c:val>
          <c:smooth val="0"/>
          <c:extLst xmlns:c16r2="http://schemas.microsoft.com/office/drawing/2015/06/chart">
            <c:ext xmlns:c16="http://schemas.microsoft.com/office/drawing/2014/chart" uri="{C3380CC4-5D6E-409C-BE32-E72D297353CC}">
              <c16:uniqueId val="{00000002-25ED-4BE9-8C12-4598714CD897}"/>
            </c:ext>
          </c:extLst>
        </c:ser>
        <c:dLbls>
          <c:showLegendKey val="0"/>
          <c:showVal val="0"/>
          <c:showCatName val="0"/>
          <c:showSerName val="0"/>
          <c:showPercent val="0"/>
          <c:showBubbleSize val="0"/>
        </c:dLbls>
        <c:smooth val="0"/>
        <c:axId val="282798272"/>
        <c:axId val="222191280"/>
      </c:lineChart>
      <c:catAx>
        <c:axId val="28279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91280"/>
        <c:crosses val="autoZero"/>
        <c:auto val="1"/>
        <c:lblAlgn val="ctr"/>
        <c:lblOffset val="100"/>
        <c:noMultiLvlLbl val="0"/>
      </c:catAx>
      <c:valAx>
        <c:axId val="22219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98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 Sum of Sales by Year!PivotTable11</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areaChart>
        <c:grouping val="standard"/>
        <c:varyColors val="0"/>
        <c:ser>
          <c:idx val="0"/>
          <c:order val="0"/>
          <c:tx>
            <c:strRef>
              <c:f>' Sum of Sales by Year'!$B$3</c:f>
              <c:strCache>
                <c:ptCount val="1"/>
                <c:pt idx="0">
                  <c:v>Total</c:v>
                </c:pt>
              </c:strCache>
            </c:strRef>
          </c:tx>
          <c:spPr>
            <a:solidFill>
              <a:schemeClr val="accent1"/>
            </a:solidFill>
            <a:ln>
              <a:noFill/>
            </a:ln>
            <a:effectLst/>
          </c:spPr>
          <c:cat>
            <c:strRef>
              <c:f>' Sum of Sales by Year'!$A$4:$A$15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Sum of Sales by Year'!$B$4:$B$15</c:f>
              <c:numCache>
                <c:formatCode>General</c:formatCode>
                <c:ptCount val="12"/>
                <c:pt idx="0">
                  <c:v>1480.2</c:v>
                </c:pt>
                <c:pt idx="1">
                  <c:v>3678.4700000000003</c:v>
                </c:pt>
                <c:pt idx="2">
                  <c:v>3803.6400000000008</c:v>
                </c:pt>
                <c:pt idx="3">
                  <c:v>3709.9300000000007</c:v>
                </c:pt>
                <c:pt idx="4">
                  <c:v>13703.749999999998</c:v>
                </c:pt>
                <c:pt idx="5">
                  <c:v>11832.19</c:v>
                </c:pt>
                <c:pt idx="6">
                  <c:v>4593.58</c:v>
                </c:pt>
                <c:pt idx="7">
                  <c:v>7553.9599999999991</c:v>
                </c:pt>
                <c:pt idx="8">
                  <c:v>6215.7799999999988</c:v>
                </c:pt>
                <c:pt idx="9">
                  <c:v>1031.7600000000002</c:v>
                </c:pt>
                <c:pt idx="10">
                  <c:v>7070.98</c:v>
                </c:pt>
                <c:pt idx="11">
                  <c:v>6157.6900000000005</c:v>
                </c:pt>
              </c:numCache>
            </c:numRef>
          </c:val>
        </c:ser>
        <c:dLbls>
          <c:showLegendKey val="0"/>
          <c:showVal val="0"/>
          <c:showCatName val="0"/>
          <c:showSerName val="0"/>
          <c:showPercent val="0"/>
          <c:showBubbleSize val="0"/>
        </c:dLbls>
        <c:axId val="222683008"/>
        <c:axId val="339308040"/>
      </c:areaChart>
      <c:catAx>
        <c:axId val="222683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308040"/>
        <c:crosses val="autoZero"/>
        <c:auto val="1"/>
        <c:lblAlgn val="ctr"/>
        <c:lblOffset val="100"/>
        <c:noMultiLvlLbl val="0"/>
      </c:catAx>
      <c:valAx>
        <c:axId val="339308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68300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project.xlsx]Top 5 Customers!PivotTable12</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6B13-499F-86D9-3BD53C1C18B1}"/>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6B13-499F-86D9-3BD53C1C18B1}"/>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6B13-499F-86D9-3BD53C1C18B1}"/>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6B13-499F-86D9-3BD53C1C18B1}"/>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6B13-499F-86D9-3BD53C1C18B1}"/>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6B13-499F-86D9-3BD53C1C18B1}"/>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6B13-499F-86D9-3BD53C1C18B1}"/>
              </c:ext>
            </c:extLst>
          </c:dPt>
          <c:dPt>
            <c:idx val="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F-6B13-499F-86D9-3BD53C1C18B1}"/>
              </c:ext>
            </c:extLst>
          </c:dPt>
          <c:dPt>
            <c:idx val="8"/>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1-6B13-499F-86D9-3BD53C1C18B1}"/>
              </c:ext>
            </c:extLst>
          </c:dPt>
          <c:dPt>
            <c:idx val="9"/>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3-6B13-499F-86D9-3BD53C1C18B1}"/>
              </c:ext>
            </c:extLst>
          </c:dPt>
          <c:dPt>
            <c:idx val="10"/>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5-6B13-499F-86D9-3BD53C1C18B1}"/>
              </c:ext>
            </c:extLst>
          </c:dPt>
          <c:dPt>
            <c:idx val="11"/>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7-6B13-499F-86D9-3BD53C1C18B1}"/>
              </c:ext>
            </c:extLst>
          </c:dPt>
          <c:dPt>
            <c:idx val="12"/>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9-6B13-499F-86D9-3BD53C1C18B1}"/>
              </c:ext>
            </c:extLst>
          </c:dPt>
          <c:dPt>
            <c:idx val="13"/>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B-6B13-499F-86D9-3BD53C1C18B1}"/>
              </c:ext>
            </c:extLst>
          </c:dPt>
          <c:dPt>
            <c:idx val="14"/>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D-6B13-499F-86D9-3BD53C1C18B1}"/>
              </c:ext>
            </c:extLst>
          </c:dPt>
          <c:dPt>
            <c:idx val="15"/>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F-6B13-499F-86D9-3BD53C1C18B1}"/>
              </c:ext>
            </c:extLst>
          </c:dPt>
          <c:dPt>
            <c:idx val="16"/>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1-6B13-499F-86D9-3BD53C1C18B1}"/>
              </c:ext>
            </c:extLst>
          </c:dPt>
          <c:dPt>
            <c:idx val="17"/>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3-6B13-499F-86D9-3BD53C1C18B1}"/>
              </c:ext>
            </c:extLst>
          </c:dPt>
          <c:dPt>
            <c:idx val="18"/>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5-6B13-499F-86D9-3BD53C1C18B1}"/>
              </c:ext>
            </c:extLst>
          </c:dPt>
          <c:dPt>
            <c:idx val="19"/>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7-6B13-499F-86D9-3BD53C1C18B1}"/>
              </c:ext>
            </c:extLst>
          </c:dPt>
          <c:dPt>
            <c:idx val="20"/>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9-6B13-499F-86D9-3BD53C1C18B1}"/>
              </c:ext>
            </c:extLst>
          </c:dPt>
          <c:dPt>
            <c:idx val="21"/>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B-6B13-499F-86D9-3BD53C1C18B1}"/>
              </c:ext>
            </c:extLst>
          </c:dPt>
          <c:dPt>
            <c:idx val="22"/>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D-6B13-499F-86D9-3BD53C1C18B1}"/>
              </c:ext>
            </c:extLst>
          </c:dPt>
          <c:dPt>
            <c:idx val="23"/>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F-6B13-499F-86D9-3BD53C1C18B1}"/>
              </c:ext>
            </c:extLst>
          </c:dPt>
          <c:dPt>
            <c:idx val="24"/>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1-6B13-499F-86D9-3BD53C1C18B1}"/>
              </c:ext>
            </c:extLst>
          </c:dPt>
          <c:dPt>
            <c:idx val="25"/>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3-6B13-499F-86D9-3BD53C1C18B1}"/>
              </c:ext>
            </c:extLst>
          </c:dPt>
          <c:dPt>
            <c:idx val="26"/>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5-6B13-499F-86D9-3BD53C1C18B1}"/>
              </c:ext>
            </c:extLst>
          </c:dPt>
          <c:dPt>
            <c:idx val="27"/>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7-6B13-499F-86D9-3BD53C1C18B1}"/>
              </c:ext>
            </c:extLst>
          </c:dPt>
          <c:dPt>
            <c:idx val="28"/>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9-6B13-499F-86D9-3BD53C1C18B1}"/>
              </c:ext>
            </c:extLst>
          </c:dPt>
          <c:dPt>
            <c:idx val="29"/>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B-6B13-499F-86D9-3BD53C1C18B1}"/>
              </c:ext>
            </c:extLst>
          </c:dPt>
          <c:dPt>
            <c:idx val="30"/>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D-6B13-499F-86D9-3BD53C1C18B1}"/>
              </c:ext>
            </c:extLst>
          </c:dPt>
          <c:dPt>
            <c:idx val="31"/>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F-6B13-499F-86D9-3BD53C1C18B1}"/>
              </c:ext>
            </c:extLst>
          </c:dPt>
          <c:dPt>
            <c:idx val="32"/>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1-6B13-499F-86D9-3BD53C1C18B1}"/>
              </c:ext>
            </c:extLst>
          </c:dPt>
          <c:dPt>
            <c:idx val="33"/>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3-6B13-499F-86D9-3BD53C1C18B1}"/>
              </c:ext>
            </c:extLst>
          </c:dPt>
          <c:dPt>
            <c:idx val="34"/>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5-6B13-499F-86D9-3BD53C1C18B1}"/>
              </c:ext>
            </c:extLst>
          </c:dPt>
          <c:dPt>
            <c:idx val="35"/>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7-6B13-499F-86D9-3BD53C1C18B1}"/>
              </c:ext>
            </c:extLst>
          </c:dPt>
          <c:dPt>
            <c:idx val="36"/>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9-6B13-499F-86D9-3BD53C1C18B1}"/>
              </c:ext>
            </c:extLst>
          </c:dPt>
          <c:dPt>
            <c:idx val="37"/>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B-6B13-499F-86D9-3BD53C1C18B1}"/>
              </c:ext>
            </c:extLst>
          </c:dPt>
          <c:dPt>
            <c:idx val="38"/>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D-6B13-499F-86D9-3BD53C1C18B1}"/>
              </c:ext>
            </c:extLst>
          </c:dPt>
          <c:dPt>
            <c:idx val="39"/>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F-6B13-499F-86D9-3BD53C1C18B1}"/>
              </c:ext>
            </c:extLst>
          </c:dPt>
          <c:dPt>
            <c:idx val="40"/>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1-6B13-499F-86D9-3BD53C1C18B1}"/>
              </c:ext>
            </c:extLst>
          </c:dPt>
          <c:dPt>
            <c:idx val="41"/>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3-6B13-499F-86D9-3BD53C1C18B1}"/>
              </c:ext>
            </c:extLst>
          </c:dPt>
          <c:dPt>
            <c:idx val="42"/>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5-6B13-499F-86D9-3BD53C1C18B1}"/>
              </c:ext>
            </c:extLst>
          </c:dPt>
          <c:dPt>
            <c:idx val="43"/>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7-6B13-499F-86D9-3BD53C1C18B1}"/>
              </c:ext>
            </c:extLst>
          </c:dPt>
          <c:dPt>
            <c:idx val="44"/>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9-6B13-499F-86D9-3BD53C1C18B1}"/>
              </c:ext>
            </c:extLst>
          </c:dPt>
          <c:dPt>
            <c:idx val="45"/>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B-6B13-499F-86D9-3BD53C1C18B1}"/>
              </c:ext>
            </c:extLst>
          </c:dPt>
          <c:dPt>
            <c:idx val="46"/>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D-6B13-499F-86D9-3BD53C1C18B1}"/>
              </c:ext>
            </c:extLst>
          </c:dPt>
          <c:dPt>
            <c:idx val="47"/>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F-6B13-499F-86D9-3BD53C1C18B1}"/>
              </c:ext>
            </c:extLst>
          </c:dPt>
          <c:dPt>
            <c:idx val="48"/>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1-6B13-499F-86D9-3BD53C1C18B1}"/>
              </c:ext>
            </c:extLst>
          </c:dPt>
          <c:dPt>
            <c:idx val="49"/>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3-6B13-499F-86D9-3BD53C1C18B1}"/>
              </c:ext>
            </c:extLst>
          </c:dPt>
          <c:dPt>
            <c:idx val="50"/>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5-6B13-499F-86D9-3BD53C1C18B1}"/>
              </c:ext>
            </c:extLst>
          </c:dPt>
          <c:dPt>
            <c:idx val="51"/>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7-6B13-499F-86D9-3BD53C1C18B1}"/>
              </c:ext>
            </c:extLst>
          </c:dPt>
          <c:dPt>
            <c:idx val="52"/>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9-6B13-499F-86D9-3BD53C1C18B1}"/>
              </c:ext>
            </c:extLst>
          </c:dPt>
          <c:dPt>
            <c:idx val="53"/>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B-6B13-499F-86D9-3BD53C1C18B1}"/>
              </c:ext>
            </c:extLst>
          </c:dPt>
          <c:dPt>
            <c:idx val="54"/>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6D-6B13-499F-86D9-3BD53C1C18B1}"/>
              </c:ext>
            </c:extLst>
          </c:dPt>
          <c:dPt>
            <c:idx val="55"/>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6F-6B13-499F-86D9-3BD53C1C18B1}"/>
              </c:ext>
            </c:extLst>
          </c:dPt>
          <c:dPt>
            <c:idx val="56"/>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71-6B13-499F-86D9-3BD53C1C18B1}"/>
              </c:ext>
            </c:extLst>
          </c:dPt>
          <c:dPt>
            <c:idx val="57"/>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73-6B13-499F-86D9-3BD53C1C18B1}"/>
              </c:ext>
            </c:extLst>
          </c:dPt>
          <c:dPt>
            <c:idx val="58"/>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75-6B13-499F-86D9-3BD53C1C18B1}"/>
              </c:ext>
            </c:extLst>
          </c:dPt>
          <c:dPt>
            <c:idx val="59"/>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77-6B13-499F-86D9-3BD53C1C18B1}"/>
              </c:ext>
            </c:extLst>
          </c:dPt>
          <c:dPt>
            <c:idx val="60"/>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9-6B13-499F-86D9-3BD53C1C18B1}"/>
              </c:ext>
            </c:extLst>
          </c:dPt>
          <c:dPt>
            <c:idx val="61"/>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B-6B13-499F-86D9-3BD53C1C18B1}"/>
              </c:ext>
            </c:extLst>
          </c:dPt>
          <c:dPt>
            <c:idx val="62"/>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D-6B13-499F-86D9-3BD53C1C18B1}"/>
              </c:ext>
            </c:extLst>
          </c:dPt>
          <c:dPt>
            <c:idx val="63"/>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F-6B13-499F-86D9-3BD53C1C18B1}"/>
              </c:ext>
            </c:extLst>
          </c:dPt>
          <c:dPt>
            <c:idx val="64"/>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1-6B13-499F-86D9-3BD53C1C18B1}"/>
              </c:ext>
            </c:extLst>
          </c:dPt>
          <c:dPt>
            <c:idx val="65"/>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3-6B13-499F-86D9-3BD53C1C18B1}"/>
              </c:ext>
            </c:extLst>
          </c:dPt>
          <c:dPt>
            <c:idx val="66"/>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5-6B13-499F-86D9-3BD53C1C18B1}"/>
              </c:ext>
            </c:extLst>
          </c:dPt>
          <c:dPt>
            <c:idx val="67"/>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7-6B13-499F-86D9-3BD53C1C18B1}"/>
              </c:ext>
            </c:extLst>
          </c:dPt>
          <c:dPt>
            <c:idx val="68"/>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9-6B13-499F-86D9-3BD53C1C18B1}"/>
              </c:ext>
            </c:extLst>
          </c:dPt>
          <c:dPt>
            <c:idx val="69"/>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B-6B13-499F-86D9-3BD53C1C18B1}"/>
              </c:ext>
            </c:extLst>
          </c:dPt>
          <c:dPt>
            <c:idx val="70"/>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D-6B13-499F-86D9-3BD53C1C18B1}"/>
              </c:ext>
            </c:extLst>
          </c:dPt>
          <c:dPt>
            <c:idx val="71"/>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F-6B13-499F-86D9-3BD53C1C18B1}"/>
              </c:ext>
            </c:extLst>
          </c:dPt>
          <c:dPt>
            <c:idx val="72"/>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1-6B13-499F-86D9-3BD53C1C18B1}"/>
              </c:ext>
            </c:extLst>
          </c:dPt>
          <c:dPt>
            <c:idx val="73"/>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3-6B13-499F-86D9-3BD53C1C18B1}"/>
              </c:ext>
            </c:extLst>
          </c:dPt>
          <c:dPt>
            <c:idx val="74"/>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5-6B13-499F-86D9-3BD53C1C18B1}"/>
              </c:ext>
            </c:extLst>
          </c:dPt>
          <c:dPt>
            <c:idx val="75"/>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7-6B13-499F-86D9-3BD53C1C18B1}"/>
              </c:ext>
            </c:extLst>
          </c:dPt>
          <c:dPt>
            <c:idx val="76"/>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9-6B13-499F-86D9-3BD53C1C18B1}"/>
              </c:ext>
            </c:extLst>
          </c:dPt>
          <c:dPt>
            <c:idx val="77"/>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B-6B13-499F-86D9-3BD53C1C18B1}"/>
              </c:ext>
            </c:extLst>
          </c:dPt>
          <c:dPt>
            <c:idx val="78"/>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D-6B13-499F-86D9-3BD53C1C18B1}"/>
              </c:ext>
            </c:extLst>
          </c:dPt>
          <c:dPt>
            <c:idx val="79"/>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F-6B13-499F-86D9-3BD53C1C18B1}"/>
              </c:ext>
            </c:extLst>
          </c:dPt>
          <c:dPt>
            <c:idx val="80"/>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1-6B13-499F-86D9-3BD53C1C18B1}"/>
              </c:ext>
            </c:extLst>
          </c:dPt>
          <c:dPt>
            <c:idx val="81"/>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3-6B13-499F-86D9-3BD53C1C18B1}"/>
              </c:ext>
            </c:extLst>
          </c:dPt>
          <c:dPt>
            <c:idx val="82"/>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5-6B13-499F-86D9-3BD53C1C18B1}"/>
              </c:ext>
            </c:extLst>
          </c:dPt>
          <c:dPt>
            <c:idx val="83"/>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7-6B13-499F-86D9-3BD53C1C18B1}"/>
              </c:ext>
            </c:extLst>
          </c:dPt>
          <c:dPt>
            <c:idx val="84"/>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9-6B13-499F-86D9-3BD53C1C18B1}"/>
              </c:ext>
            </c:extLst>
          </c:dPt>
          <c:dPt>
            <c:idx val="85"/>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B-6B13-499F-86D9-3BD53C1C18B1}"/>
              </c:ext>
            </c:extLst>
          </c:dPt>
          <c:dPt>
            <c:idx val="86"/>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D-6B13-499F-86D9-3BD53C1C18B1}"/>
              </c:ext>
            </c:extLst>
          </c:dPt>
          <c:dPt>
            <c:idx val="87"/>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F-6B13-499F-86D9-3BD53C1C18B1}"/>
              </c:ext>
            </c:extLst>
          </c:dPt>
          <c:dPt>
            <c:idx val="88"/>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1-6B13-499F-86D9-3BD53C1C18B1}"/>
              </c:ext>
            </c:extLst>
          </c:dPt>
          <c:dPt>
            <c:idx val="89"/>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3-6B13-499F-86D9-3BD53C1C18B1}"/>
              </c:ext>
            </c:extLst>
          </c:dPt>
          <c:dPt>
            <c:idx val="90"/>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5-6B13-499F-86D9-3BD53C1C18B1}"/>
              </c:ext>
            </c:extLst>
          </c:dPt>
          <c:dPt>
            <c:idx val="91"/>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7-6B13-499F-86D9-3BD53C1C18B1}"/>
              </c:ext>
            </c:extLst>
          </c:dPt>
          <c:dPt>
            <c:idx val="92"/>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9-6B13-499F-86D9-3BD53C1C18B1}"/>
              </c:ext>
            </c:extLst>
          </c:dPt>
          <c:dPt>
            <c:idx val="93"/>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B-6B13-499F-86D9-3BD53C1C18B1}"/>
              </c:ext>
            </c:extLst>
          </c:dPt>
          <c:dPt>
            <c:idx val="94"/>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D-6B13-499F-86D9-3BD53C1C18B1}"/>
              </c:ext>
            </c:extLst>
          </c:dPt>
          <c:dPt>
            <c:idx val="95"/>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F-6B13-499F-86D9-3BD53C1C18B1}"/>
              </c:ext>
            </c:extLst>
          </c:dPt>
          <c:dPt>
            <c:idx val="96"/>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1-6B13-499F-86D9-3BD53C1C18B1}"/>
              </c:ext>
            </c:extLst>
          </c:dPt>
          <c:dPt>
            <c:idx val="97"/>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3-6B13-499F-86D9-3BD53C1C18B1}"/>
              </c:ext>
            </c:extLst>
          </c:dPt>
          <c:dPt>
            <c:idx val="98"/>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5-6B13-499F-86D9-3BD53C1C18B1}"/>
              </c:ext>
            </c:extLst>
          </c:dPt>
          <c:dPt>
            <c:idx val="99"/>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7-6B13-499F-86D9-3BD53C1C18B1}"/>
              </c:ext>
            </c:extLst>
          </c:dPt>
          <c:dPt>
            <c:idx val="100"/>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9-6B13-499F-86D9-3BD53C1C18B1}"/>
              </c:ext>
            </c:extLst>
          </c:dPt>
          <c:dPt>
            <c:idx val="101"/>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B-6B13-499F-86D9-3BD53C1C18B1}"/>
              </c:ext>
            </c:extLst>
          </c:dPt>
          <c:dPt>
            <c:idx val="102"/>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D-6B13-499F-86D9-3BD53C1C18B1}"/>
              </c:ext>
            </c:extLst>
          </c:dPt>
          <c:dPt>
            <c:idx val="103"/>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F-6B13-499F-86D9-3BD53C1C18B1}"/>
              </c:ext>
            </c:extLst>
          </c:dPt>
          <c:dPt>
            <c:idx val="104"/>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1-6B13-499F-86D9-3BD53C1C18B1}"/>
              </c:ext>
            </c:extLst>
          </c:dPt>
          <c:dPt>
            <c:idx val="105"/>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3-6B13-499F-86D9-3BD53C1C18B1}"/>
              </c:ext>
            </c:extLst>
          </c:dPt>
          <c:dPt>
            <c:idx val="106"/>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5-6B13-499F-86D9-3BD53C1C18B1}"/>
              </c:ext>
            </c:extLst>
          </c:dPt>
          <c:dPt>
            <c:idx val="107"/>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7-6B13-499F-86D9-3BD53C1C18B1}"/>
              </c:ext>
            </c:extLst>
          </c:dPt>
          <c:dPt>
            <c:idx val="108"/>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D9-6B13-499F-86D9-3BD53C1C18B1}"/>
              </c:ext>
            </c:extLst>
          </c:dPt>
          <c:dPt>
            <c:idx val="109"/>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DB-6B13-499F-86D9-3BD53C1C18B1}"/>
              </c:ext>
            </c:extLst>
          </c:dPt>
          <c:dPt>
            <c:idx val="110"/>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DD-6B13-499F-86D9-3BD53C1C18B1}"/>
              </c:ext>
            </c:extLst>
          </c:dPt>
          <c:dPt>
            <c:idx val="111"/>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DF-6B13-499F-86D9-3BD53C1C18B1}"/>
              </c:ext>
            </c:extLst>
          </c:dPt>
          <c:dPt>
            <c:idx val="112"/>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E1-6B13-499F-86D9-3BD53C1C18B1}"/>
              </c:ext>
            </c:extLst>
          </c:dPt>
          <c:dPt>
            <c:idx val="113"/>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E3-6B13-499F-86D9-3BD53C1C18B1}"/>
              </c:ext>
            </c:extLst>
          </c:dPt>
          <c:dPt>
            <c:idx val="114"/>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5-6B13-499F-86D9-3BD53C1C18B1}"/>
              </c:ext>
            </c:extLst>
          </c:dPt>
          <c:dPt>
            <c:idx val="115"/>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7-6B13-499F-86D9-3BD53C1C18B1}"/>
              </c:ext>
            </c:extLst>
          </c:dPt>
          <c:dPt>
            <c:idx val="116"/>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9-6B13-499F-86D9-3BD53C1C18B1}"/>
              </c:ext>
            </c:extLst>
          </c:dPt>
          <c:dPt>
            <c:idx val="117"/>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B-6B13-499F-86D9-3BD53C1C18B1}"/>
              </c:ext>
            </c:extLst>
          </c:dPt>
          <c:dPt>
            <c:idx val="118"/>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D-6B13-499F-86D9-3BD53C1C18B1}"/>
              </c:ext>
            </c:extLst>
          </c:dPt>
          <c:dPt>
            <c:idx val="119"/>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F-6B13-499F-86D9-3BD53C1C18B1}"/>
              </c:ext>
            </c:extLst>
          </c:dPt>
          <c:dPt>
            <c:idx val="120"/>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1-6B13-499F-86D9-3BD53C1C18B1}"/>
              </c:ext>
            </c:extLst>
          </c:dPt>
          <c:dPt>
            <c:idx val="121"/>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3-6B13-499F-86D9-3BD53C1C18B1}"/>
              </c:ext>
            </c:extLst>
          </c:dPt>
          <c:dPt>
            <c:idx val="122"/>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5-6B13-499F-86D9-3BD53C1C18B1}"/>
              </c:ext>
            </c:extLst>
          </c:dPt>
          <c:dPt>
            <c:idx val="123"/>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7-6B13-499F-86D9-3BD53C1C18B1}"/>
              </c:ext>
            </c:extLst>
          </c:dPt>
          <c:dPt>
            <c:idx val="124"/>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9-6B13-499F-86D9-3BD53C1C18B1}"/>
              </c:ext>
            </c:extLst>
          </c:dPt>
          <c:dPt>
            <c:idx val="125"/>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B-6B13-499F-86D9-3BD53C1C18B1}"/>
              </c:ext>
            </c:extLst>
          </c:dPt>
          <c:dPt>
            <c:idx val="126"/>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D-6B13-499F-86D9-3BD53C1C18B1}"/>
              </c:ext>
            </c:extLst>
          </c:dPt>
          <c:dPt>
            <c:idx val="127"/>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F-6B13-499F-86D9-3BD53C1C18B1}"/>
              </c:ext>
            </c:extLst>
          </c:dPt>
          <c:dPt>
            <c:idx val="128"/>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1-6B13-499F-86D9-3BD53C1C18B1}"/>
              </c:ext>
            </c:extLst>
          </c:dPt>
          <c:dPt>
            <c:idx val="129"/>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3-6B13-499F-86D9-3BD53C1C18B1}"/>
              </c:ext>
            </c:extLst>
          </c:dPt>
          <c:dPt>
            <c:idx val="130"/>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5-6B13-499F-86D9-3BD53C1C18B1}"/>
              </c:ext>
            </c:extLst>
          </c:dPt>
          <c:dPt>
            <c:idx val="131"/>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7-6B13-499F-86D9-3BD53C1C18B1}"/>
              </c:ext>
            </c:extLst>
          </c:dPt>
          <c:dPt>
            <c:idx val="132"/>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9-6B13-499F-86D9-3BD53C1C18B1}"/>
              </c:ext>
            </c:extLst>
          </c:dPt>
          <c:dPt>
            <c:idx val="133"/>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B-6B13-499F-86D9-3BD53C1C18B1}"/>
              </c:ext>
            </c:extLst>
          </c:dPt>
          <c:dPt>
            <c:idx val="134"/>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D-6B13-499F-86D9-3BD53C1C18B1}"/>
              </c:ext>
            </c:extLst>
          </c:dPt>
          <c:dPt>
            <c:idx val="135"/>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F-6B13-499F-86D9-3BD53C1C18B1}"/>
              </c:ext>
            </c:extLst>
          </c:dPt>
          <c:dPt>
            <c:idx val="136"/>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1-6B13-499F-86D9-3BD53C1C18B1}"/>
              </c:ext>
            </c:extLst>
          </c:dPt>
          <c:dPt>
            <c:idx val="137"/>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3-6B13-499F-86D9-3BD53C1C18B1}"/>
              </c:ext>
            </c:extLst>
          </c:dPt>
          <c:dPt>
            <c:idx val="138"/>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5-6B13-499F-86D9-3BD53C1C18B1}"/>
              </c:ext>
            </c:extLst>
          </c:dPt>
          <c:dPt>
            <c:idx val="139"/>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7-6B13-499F-86D9-3BD53C1C18B1}"/>
              </c:ext>
            </c:extLst>
          </c:dPt>
          <c:dPt>
            <c:idx val="140"/>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9-6B13-499F-86D9-3BD53C1C18B1}"/>
              </c:ext>
            </c:extLst>
          </c:dPt>
          <c:dPt>
            <c:idx val="141"/>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B-6B13-499F-86D9-3BD53C1C18B1}"/>
              </c:ext>
            </c:extLst>
          </c:dPt>
          <c:dPt>
            <c:idx val="142"/>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D-6B13-499F-86D9-3BD53C1C18B1}"/>
              </c:ext>
            </c:extLst>
          </c:dPt>
          <c:dPt>
            <c:idx val="143"/>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F-6B13-499F-86D9-3BD53C1C18B1}"/>
              </c:ext>
            </c:extLst>
          </c:dPt>
          <c:dPt>
            <c:idx val="144"/>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1-6B13-499F-86D9-3BD53C1C18B1}"/>
              </c:ext>
            </c:extLst>
          </c:dPt>
          <c:dPt>
            <c:idx val="145"/>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3-6B13-499F-86D9-3BD53C1C18B1}"/>
              </c:ext>
            </c:extLst>
          </c:dPt>
          <c:dPt>
            <c:idx val="146"/>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5-6B13-499F-86D9-3BD53C1C18B1}"/>
              </c:ext>
            </c:extLst>
          </c:dPt>
          <c:dPt>
            <c:idx val="147"/>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7-6B13-499F-86D9-3BD53C1C18B1}"/>
              </c:ext>
            </c:extLst>
          </c:dPt>
          <c:dPt>
            <c:idx val="148"/>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9-6B13-499F-86D9-3BD53C1C18B1}"/>
              </c:ext>
            </c:extLst>
          </c:dPt>
          <c:dPt>
            <c:idx val="149"/>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B-6B13-499F-86D9-3BD53C1C18B1}"/>
              </c:ext>
            </c:extLst>
          </c:dPt>
          <c:dPt>
            <c:idx val="150"/>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D-6B13-499F-86D9-3BD53C1C18B1}"/>
              </c:ext>
            </c:extLst>
          </c:dPt>
          <c:dPt>
            <c:idx val="151"/>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F-6B13-499F-86D9-3BD53C1C18B1}"/>
              </c:ext>
            </c:extLst>
          </c:dPt>
          <c:dPt>
            <c:idx val="152"/>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1-6B13-499F-86D9-3BD53C1C18B1}"/>
              </c:ext>
            </c:extLst>
          </c:dPt>
          <c:dPt>
            <c:idx val="153"/>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3-6B13-499F-86D9-3BD53C1C18B1}"/>
              </c:ext>
            </c:extLst>
          </c:dPt>
          <c:dPt>
            <c:idx val="154"/>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5-6B13-499F-86D9-3BD53C1C18B1}"/>
              </c:ext>
            </c:extLst>
          </c:dPt>
          <c:dPt>
            <c:idx val="155"/>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7-6B13-499F-86D9-3BD53C1C18B1}"/>
              </c:ext>
            </c:extLst>
          </c:dPt>
          <c:dPt>
            <c:idx val="156"/>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9-6B13-499F-86D9-3BD53C1C18B1}"/>
              </c:ext>
            </c:extLst>
          </c:dPt>
          <c:dPt>
            <c:idx val="157"/>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B-6B13-499F-86D9-3BD53C1C18B1}"/>
              </c:ext>
            </c:extLst>
          </c:dPt>
          <c:dPt>
            <c:idx val="158"/>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D-6B13-499F-86D9-3BD53C1C18B1}"/>
              </c:ext>
            </c:extLst>
          </c:dPt>
          <c:dPt>
            <c:idx val="159"/>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F-6B13-499F-86D9-3BD53C1C18B1}"/>
              </c:ext>
            </c:extLst>
          </c:dPt>
          <c:dPt>
            <c:idx val="160"/>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41-6B13-499F-86D9-3BD53C1C18B1}"/>
              </c:ext>
            </c:extLst>
          </c:dPt>
          <c:dPt>
            <c:idx val="161"/>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43-6B13-499F-86D9-3BD53C1C18B1}"/>
              </c:ext>
            </c:extLst>
          </c:dPt>
          <c:dPt>
            <c:idx val="162"/>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145-6B13-499F-86D9-3BD53C1C18B1}"/>
              </c:ext>
            </c:extLst>
          </c:dPt>
          <c:dPt>
            <c:idx val="163"/>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147-6B13-499F-86D9-3BD53C1C18B1}"/>
              </c:ext>
            </c:extLst>
          </c:dPt>
          <c:dPt>
            <c:idx val="164"/>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149-6B13-499F-86D9-3BD53C1C18B1}"/>
              </c:ext>
            </c:extLst>
          </c:dPt>
          <c:dPt>
            <c:idx val="165"/>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14B-6B13-499F-86D9-3BD53C1C18B1}"/>
              </c:ext>
            </c:extLst>
          </c:dPt>
          <c:dPt>
            <c:idx val="166"/>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14D-6B13-499F-86D9-3BD53C1C18B1}"/>
              </c:ext>
            </c:extLst>
          </c:dPt>
          <c:dPt>
            <c:idx val="167"/>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14F-6B13-499F-86D9-3BD53C1C18B1}"/>
              </c:ext>
            </c:extLst>
          </c:dPt>
          <c:dPt>
            <c:idx val="168"/>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1-6B13-499F-86D9-3BD53C1C18B1}"/>
              </c:ext>
            </c:extLst>
          </c:dPt>
          <c:dPt>
            <c:idx val="169"/>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3-6B13-499F-86D9-3BD53C1C18B1}"/>
              </c:ext>
            </c:extLst>
          </c:dPt>
          <c:dPt>
            <c:idx val="170"/>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5-6B13-499F-86D9-3BD53C1C18B1}"/>
              </c:ext>
            </c:extLst>
          </c:dPt>
          <c:dPt>
            <c:idx val="171"/>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7-6B13-499F-86D9-3BD53C1C18B1}"/>
              </c:ext>
            </c:extLst>
          </c:dPt>
          <c:dPt>
            <c:idx val="172"/>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9-6B13-499F-86D9-3BD53C1C18B1}"/>
              </c:ext>
            </c:extLst>
          </c:dPt>
          <c:dPt>
            <c:idx val="173"/>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B-6B13-499F-86D9-3BD53C1C18B1}"/>
              </c:ext>
            </c:extLst>
          </c:dPt>
          <c:dPt>
            <c:idx val="174"/>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D-6B13-499F-86D9-3BD53C1C18B1}"/>
              </c:ext>
            </c:extLst>
          </c:dPt>
          <c:dPt>
            <c:idx val="175"/>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F-6B13-499F-86D9-3BD53C1C18B1}"/>
              </c:ext>
            </c:extLst>
          </c:dPt>
          <c:dPt>
            <c:idx val="176"/>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1-6B13-499F-86D9-3BD53C1C18B1}"/>
              </c:ext>
            </c:extLst>
          </c:dPt>
          <c:dPt>
            <c:idx val="177"/>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3-6B13-499F-86D9-3BD53C1C18B1}"/>
              </c:ext>
            </c:extLst>
          </c:dPt>
          <c:dPt>
            <c:idx val="178"/>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5-6B13-499F-86D9-3BD53C1C18B1}"/>
              </c:ext>
            </c:extLst>
          </c:dPt>
          <c:dPt>
            <c:idx val="179"/>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7-6B13-499F-86D9-3BD53C1C18B1}"/>
              </c:ext>
            </c:extLst>
          </c:dPt>
          <c:dPt>
            <c:idx val="180"/>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9-6B13-499F-86D9-3BD53C1C18B1}"/>
              </c:ext>
            </c:extLst>
          </c:dPt>
          <c:dPt>
            <c:idx val="181"/>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B-6B13-499F-86D9-3BD53C1C18B1}"/>
              </c:ext>
            </c:extLst>
          </c:dPt>
          <c:dPt>
            <c:idx val="182"/>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D-6B13-499F-86D9-3BD53C1C18B1}"/>
              </c:ext>
            </c:extLst>
          </c:dPt>
          <c:dPt>
            <c:idx val="183"/>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F-6B13-499F-86D9-3BD53C1C18B1}"/>
              </c:ext>
            </c:extLst>
          </c:dPt>
          <c:dPt>
            <c:idx val="184"/>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1-6B13-499F-86D9-3BD53C1C18B1}"/>
              </c:ext>
            </c:extLst>
          </c:dPt>
          <c:dPt>
            <c:idx val="185"/>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3-6B13-499F-86D9-3BD53C1C18B1}"/>
              </c:ext>
            </c:extLst>
          </c:dPt>
          <c:dPt>
            <c:idx val="186"/>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5-6B13-499F-86D9-3BD53C1C18B1}"/>
              </c:ext>
            </c:extLst>
          </c:dPt>
          <c:dPt>
            <c:idx val="187"/>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7-6B13-499F-86D9-3BD53C1C18B1}"/>
              </c:ext>
            </c:extLst>
          </c:dPt>
          <c:dPt>
            <c:idx val="188"/>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9-6B13-499F-86D9-3BD53C1C18B1}"/>
              </c:ext>
            </c:extLst>
          </c:dPt>
          <c:dPt>
            <c:idx val="189"/>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B-6B13-499F-86D9-3BD53C1C18B1}"/>
              </c:ext>
            </c:extLst>
          </c:dPt>
          <c:dPt>
            <c:idx val="190"/>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D-6B13-499F-86D9-3BD53C1C18B1}"/>
              </c:ext>
            </c:extLst>
          </c:dPt>
          <c:dPt>
            <c:idx val="191"/>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F-6B13-499F-86D9-3BD53C1C18B1}"/>
              </c:ext>
            </c:extLst>
          </c:dPt>
          <c:dPt>
            <c:idx val="192"/>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1-6B13-499F-86D9-3BD53C1C18B1}"/>
              </c:ext>
            </c:extLst>
          </c:dPt>
          <c:dPt>
            <c:idx val="193"/>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3-6B13-499F-86D9-3BD53C1C18B1}"/>
              </c:ext>
            </c:extLst>
          </c:dPt>
          <c:dPt>
            <c:idx val="194"/>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5-6B13-499F-86D9-3BD53C1C18B1}"/>
              </c:ext>
            </c:extLst>
          </c:dPt>
          <c:dPt>
            <c:idx val="195"/>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7-6B13-499F-86D9-3BD53C1C18B1}"/>
              </c:ext>
            </c:extLst>
          </c:dPt>
          <c:dPt>
            <c:idx val="196"/>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9-6B13-499F-86D9-3BD53C1C18B1}"/>
              </c:ext>
            </c:extLst>
          </c:dPt>
          <c:dPt>
            <c:idx val="197"/>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B-6B13-499F-86D9-3BD53C1C18B1}"/>
              </c:ext>
            </c:extLst>
          </c:dPt>
          <c:dPt>
            <c:idx val="198"/>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D-6B13-499F-86D9-3BD53C1C18B1}"/>
              </c:ext>
            </c:extLst>
          </c:dPt>
          <c:dPt>
            <c:idx val="199"/>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F-6B13-499F-86D9-3BD53C1C18B1}"/>
              </c:ext>
            </c:extLst>
          </c:dPt>
          <c:dPt>
            <c:idx val="200"/>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1-6B13-499F-86D9-3BD53C1C18B1}"/>
              </c:ext>
            </c:extLst>
          </c:dPt>
          <c:dPt>
            <c:idx val="201"/>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3-6B13-499F-86D9-3BD53C1C18B1}"/>
              </c:ext>
            </c:extLst>
          </c:dPt>
          <c:dPt>
            <c:idx val="202"/>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5-6B13-499F-86D9-3BD53C1C18B1}"/>
              </c:ext>
            </c:extLst>
          </c:dPt>
          <c:dPt>
            <c:idx val="203"/>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7-6B13-499F-86D9-3BD53C1C18B1}"/>
              </c:ext>
            </c:extLst>
          </c:dPt>
          <c:dPt>
            <c:idx val="204"/>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9-6B13-499F-86D9-3BD53C1C18B1}"/>
              </c:ext>
            </c:extLst>
          </c:dPt>
          <c:dPt>
            <c:idx val="205"/>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B-6B13-499F-86D9-3BD53C1C18B1}"/>
              </c:ext>
            </c:extLst>
          </c:dPt>
          <c:dPt>
            <c:idx val="206"/>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D-6B13-499F-86D9-3BD53C1C18B1}"/>
              </c:ext>
            </c:extLst>
          </c:dPt>
          <c:dPt>
            <c:idx val="207"/>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F-6B13-499F-86D9-3BD53C1C18B1}"/>
              </c:ext>
            </c:extLst>
          </c:dPt>
          <c:dPt>
            <c:idx val="208"/>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1-6B13-499F-86D9-3BD53C1C18B1}"/>
              </c:ext>
            </c:extLst>
          </c:dPt>
          <c:dPt>
            <c:idx val="209"/>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3-6B13-499F-86D9-3BD53C1C18B1}"/>
              </c:ext>
            </c:extLst>
          </c:dPt>
          <c:dPt>
            <c:idx val="210"/>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5-6B13-499F-86D9-3BD53C1C18B1}"/>
              </c:ext>
            </c:extLst>
          </c:dPt>
          <c:dPt>
            <c:idx val="211"/>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7-6B13-499F-86D9-3BD53C1C18B1}"/>
              </c:ext>
            </c:extLst>
          </c:dPt>
          <c:dPt>
            <c:idx val="212"/>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9-6B13-499F-86D9-3BD53C1C18B1}"/>
              </c:ext>
            </c:extLst>
          </c:dPt>
          <c:dPt>
            <c:idx val="213"/>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B-6B13-499F-86D9-3BD53C1C18B1}"/>
              </c:ext>
            </c:extLst>
          </c:dPt>
          <c:dPt>
            <c:idx val="214"/>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D-6B13-499F-86D9-3BD53C1C18B1}"/>
              </c:ext>
            </c:extLst>
          </c:dPt>
          <c:dPt>
            <c:idx val="215"/>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F-6B13-499F-86D9-3BD53C1C18B1}"/>
              </c:ext>
            </c:extLst>
          </c:dPt>
          <c:dPt>
            <c:idx val="216"/>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1B1-6B13-499F-86D9-3BD53C1C18B1}"/>
              </c:ext>
            </c:extLst>
          </c:dPt>
          <c:dPt>
            <c:idx val="217"/>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1B3-6B13-499F-86D9-3BD53C1C18B1}"/>
              </c:ext>
            </c:extLst>
          </c:dPt>
          <c:dPt>
            <c:idx val="218"/>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1B5-6B13-499F-86D9-3BD53C1C18B1}"/>
              </c:ext>
            </c:extLst>
          </c:dPt>
          <c:dPt>
            <c:idx val="219"/>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1B7-6B13-499F-86D9-3BD53C1C18B1}"/>
              </c:ext>
            </c:extLst>
          </c:dPt>
          <c:dPt>
            <c:idx val="220"/>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1B9-6B13-499F-86D9-3BD53C1C18B1}"/>
              </c:ext>
            </c:extLst>
          </c:dPt>
          <c:dPt>
            <c:idx val="221"/>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1BB-6B13-499F-86D9-3BD53C1C18B1}"/>
              </c:ext>
            </c:extLst>
          </c:dPt>
          <c:dPt>
            <c:idx val="222"/>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BD-6B13-499F-86D9-3BD53C1C18B1}"/>
              </c:ext>
            </c:extLst>
          </c:dPt>
          <c:dPt>
            <c:idx val="223"/>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BF-6B13-499F-86D9-3BD53C1C18B1}"/>
              </c:ext>
            </c:extLst>
          </c:dPt>
          <c:dPt>
            <c:idx val="224"/>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1-6B13-499F-86D9-3BD53C1C18B1}"/>
              </c:ext>
            </c:extLst>
          </c:dPt>
          <c:dPt>
            <c:idx val="225"/>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3-6B13-499F-86D9-3BD53C1C18B1}"/>
              </c:ext>
            </c:extLst>
          </c:dPt>
          <c:dPt>
            <c:idx val="226"/>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5-6B13-499F-86D9-3BD53C1C18B1}"/>
              </c:ext>
            </c:extLst>
          </c:dPt>
          <c:dPt>
            <c:idx val="227"/>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7-6B13-499F-86D9-3BD53C1C18B1}"/>
              </c:ext>
            </c:extLst>
          </c:dPt>
          <c:dPt>
            <c:idx val="228"/>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9-6B13-499F-86D9-3BD53C1C18B1}"/>
              </c:ext>
            </c:extLst>
          </c:dPt>
          <c:dPt>
            <c:idx val="229"/>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B-6B13-499F-86D9-3BD53C1C18B1}"/>
              </c:ext>
            </c:extLst>
          </c:dPt>
          <c:dPt>
            <c:idx val="230"/>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D-6B13-499F-86D9-3BD53C1C18B1}"/>
              </c:ext>
            </c:extLst>
          </c:dPt>
          <c:dPt>
            <c:idx val="231"/>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F-6B13-499F-86D9-3BD53C1C18B1}"/>
              </c:ext>
            </c:extLst>
          </c:dPt>
          <c:dPt>
            <c:idx val="232"/>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1-6B13-499F-86D9-3BD53C1C18B1}"/>
              </c:ext>
            </c:extLst>
          </c:dPt>
          <c:dPt>
            <c:idx val="233"/>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3-6B13-499F-86D9-3BD53C1C18B1}"/>
              </c:ext>
            </c:extLst>
          </c:dPt>
          <c:dPt>
            <c:idx val="234"/>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5-6B13-499F-86D9-3BD53C1C18B1}"/>
              </c:ext>
            </c:extLst>
          </c:dPt>
          <c:dPt>
            <c:idx val="235"/>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7-6B13-499F-86D9-3BD53C1C18B1}"/>
              </c:ext>
            </c:extLst>
          </c:dPt>
          <c:dPt>
            <c:idx val="236"/>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9-6B13-499F-86D9-3BD53C1C18B1}"/>
              </c:ext>
            </c:extLst>
          </c:dPt>
          <c:dPt>
            <c:idx val="237"/>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B-6B13-499F-86D9-3BD53C1C18B1}"/>
              </c:ext>
            </c:extLst>
          </c:dPt>
          <c:dPt>
            <c:idx val="238"/>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D-6B13-499F-86D9-3BD53C1C18B1}"/>
              </c:ext>
            </c:extLst>
          </c:dPt>
          <c:dPt>
            <c:idx val="239"/>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F-6B13-499F-86D9-3BD53C1C18B1}"/>
              </c:ext>
            </c:extLst>
          </c:dPt>
          <c:dPt>
            <c:idx val="240"/>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1-6B13-499F-86D9-3BD53C1C18B1}"/>
              </c:ext>
            </c:extLst>
          </c:dPt>
          <c:dPt>
            <c:idx val="241"/>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3-6B13-499F-86D9-3BD53C1C18B1}"/>
              </c:ext>
            </c:extLst>
          </c:dPt>
          <c:dPt>
            <c:idx val="242"/>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5-6B13-499F-86D9-3BD53C1C18B1}"/>
              </c:ext>
            </c:extLst>
          </c:dPt>
          <c:dPt>
            <c:idx val="243"/>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7-6B13-499F-86D9-3BD53C1C18B1}"/>
              </c:ext>
            </c:extLst>
          </c:dPt>
          <c:dPt>
            <c:idx val="244"/>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9-6B13-499F-86D9-3BD53C1C18B1}"/>
              </c:ext>
            </c:extLst>
          </c:dPt>
          <c:dPt>
            <c:idx val="245"/>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B-6B13-499F-86D9-3BD53C1C18B1}"/>
              </c:ext>
            </c:extLst>
          </c:dPt>
          <c:dPt>
            <c:idx val="246"/>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D-6B13-499F-86D9-3BD53C1C18B1}"/>
              </c:ext>
            </c:extLst>
          </c:dPt>
          <c:dPt>
            <c:idx val="247"/>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F-6B13-499F-86D9-3BD53C1C18B1}"/>
              </c:ext>
            </c:extLst>
          </c:dPt>
          <c:dPt>
            <c:idx val="248"/>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1-6B13-499F-86D9-3BD53C1C18B1}"/>
              </c:ext>
            </c:extLst>
          </c:dPt>
          <c:dPt>
            <c:idx val="249"/>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3-6B13-499F-86D9-3BD53C1C18B1}"/>
              </c:ext>
            </c:extLst>
          </c:dPt>
          <c:dPt>
            <c:idx val="250"/>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5-6B13-499F-86D9-3BD53C1C18B1}"/>
              </c:ext>
            </c:extLst>
          </c:dPt>
          <c:dPt>
            <c:idx val="251"/>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7-6B13-499F-86D9-3BD53C1C18B1}"/>
              </c:ext>
            </c:extLst>
          </c:dPt>
          <c:dPt>
            <c:idx val="252"/>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9-6B13-499F-86D9-3BD53C1C18B1}"/>
              </c:ext>
            </c:extLst>
          </c:dPt>
          <c:dPt>
            <c:idx val="253"/>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B-6B13-499F-86D9-3BD53C1C18B1}"/>
              </c:ext>
            </c:extLst>
          </c:dPt>
          <c:dPt>
            <c:idx val="254"/>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D-6B13-499F-86D9-3BD53C1C18B1}"/>
              </c:ext>
            </c:extLst>
          </c:dPt>
          <c:dPt>
            <c:idx val="255"/>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F-6B13-499F-86D9-3BD53C1C18B1}"/>
              </c:ext>
            </c:extLst>
          </c:dPt>
          <c:dPt>
            <c:idx val="256"/>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1-6B13-499F-86D9-3BD53C1C18B1}"/>
              </c:ext>
            </c:extLst>
          </c:dPt>
          <c:dPt>
            <c:idx val="257"/>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3-6B13-499F-86D9-3BD53C1C18B1}"/>
              </c:ext>
            </c:extLst>
          </c:dPt>
          <c:dPt>
            <c:idx val="258"/>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5-6B13-499F-86D9-3BD53C1C18B1}"/>
              </c:ext>
            </c:extLst>
          </c:dPt>
          <c:dPt>
            <c:idx val="259"/>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7-6B13-499F-86D9-3BD53C1C18B1}"/>
              </c:ext>
            </c:extLst>
          </c:dPt>
          <c:dPt>
            <c:idx val="260"/>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9-6B13-499F-86D9-3BD53C1C18B1}"/>
              </c:ext>
            </c:extLst>
          </c:dPt>
          <c:dPt>
            <c:idx val="261"/>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B-6B13-499F-86D9-3BD53C1C18B1}"/>
              </c:ext>
            </c:extLst>
          </c:dPt>
          <c:dPt>
            <c:idx val="262"/>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D-6B13-499F-86D9-3BD53C1C18B1}"/>
              </c:ext>
            </c:extLst>
          </c:dPt>
          <c:dPt>
            <c:idx val="263"/>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F-6B13-499F-86D9-3BD53C1C18B1}"/>
              </c:ext>
            </c:extLst>
          </c:dPt>
          <c:dPt>
            <c:idx val="264"/>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1-6B13-499F-86D9-3BD53C1C18B1}"/>
              </c:ext>
            </c:extLst>
          </c:dPt>
          <c:dPt>
            <c:idx val="265"/>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3-6B13-499F-86D9-3BD53C1C18B1}"/>
              </c:ext>
            </c:extLst>
          </c:dPt>
          <c:dPt>
            <c:idx val="266"/>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5-6B13-499F-86D9-3BD53C1C18B1}"/>
              </c:ext>
            </c:extLst>
          </c:dPt>
          <c:dPt>
            <c:idx val="267"/>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7-6B13-499F-86D9-3BD53C1C18B1}"/>
              </c:ext>
            </c:extLst>
          </c:dPt>
          <c:dPt>
            <c:idx val="268"/>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9-6B13-499F-86D9-3BD53C1C18B1}"/>
              </c:ext>
            </c:extLst>
          </c:dPt>
          <c:dPt>
            <c:idx val="269"/>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B-6B13-499F-86D9-3BD53C1C18B1}"/>
              </c:ext>
            </c:extLst>
          </c:dPt>
          <c:dPt>
            <c:idx val="27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21D-6B13-499F-86D9-3BD53C1C18B1}"/>
              </c:ext>
            </c:extLst>
          </c:dPt>
          <c:dPt>
            <c:idx val="27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21F-6B13-499F-86D9-3BD53C1C18B1}"/>
              </c:ext>
            </c:extLst>
          </c:dPt>
          <c:dPt>
            <c:idx val="27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221-6B13-499F-86D9-3BD53C1C18B1}"/>
              </c:ext>
            </c:extLst>
          </c:dPt>
          <c:cat>
            <c:strRef>
              <c:f>'Top 5 Customers'!$A$4:$A$8</c:f>
              <c:strCache>
                <c:ptCount val="5"/>
                <c:pt idx="0">
                  <c:v>Tom Ashbrook</c:v>
                </c:pt>
                <c:pt idx="1">
                  <c:v>Mitch Willingham</c:v>
                </c:pt>
                <c:pt idx="2">
                  <c:v>Rick Hansen</c:v>
                </c:pt>
                <c:pt idx="3">
                  <c:v>George Zrebassa</c:v>
                </c:pt>
                <c:pt idx="4">
                  <c:v>Nicole Hansen</c:v>
                </c:pt>
              </c:strCache>
            </c:strRef>
          </c:cat>
          <c:val>
            <c:numRef>
              <c:f>'Top 5 Customers'!$B$4:$B$8</c:f>
              <c:numCache>
                <c:formatCode>General</c:formatCode>
                <c:ptCount val="5"/>
                <c:pt idx="0">
                  <c:v>3919.99</c:v>
                </c:pt>
                <c:pt idx="1">
                  <c:v>1276.49</c:v>
                </c:pt>
                <c:pt idx="2">
                  <c:v>762.18</c:v>
                </c:pt>
                <c:pt idx="3">
                  <c:v>659.98</c:v>
                </c:pt>
                <c:pt idx="4">
                  <c:v>361.3</c:v>
                </c:pt>
              </c:numCache>
            </c:numRef>
          </c:val>
          <c:extLst xmlns:c16r2="http://schemas.microsoft.com/office/drawing/2015/06/chart">
            <c:ext xmlns:c16="http://schemas.microsoft.com/office/drawing/2014/chart" uri="{C3380CC4-5D6E-409C-BE32-E72D297353CC}">
              <c16:uniqueId val="{00000000-2DC9-4609-BDBA-5FE4A080F9C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project.xlsx]Customer Count!PivotTable19</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pivotFmt>
    </c:pivotFmts>
    <c:plotArea>
      <c:layout/>
      <c:barChart>
        <c:barDir val="bar"/>
        <c:grouping val="clustered"/>
        <c:varyColors val="0"/>
        <c:ser>
          <c:idx val="0"/>
          <c:order val="0"/>
          <c:tx>
            <c:strRef>
              <c:f>'Customer Count'!$B$3</c:f>
              <c:strCache>
                <c:ptCount val="1"/>
                <c:pt idx="0">
                  <c:v>Total</c:v>
                </c:pt>
              </c:strCache>
            </c:strRef>
          </c:tx>
          <c:spPr>
            <a:solidFill>
              <a:schemeClr val="accent2">
                <a:lumMod val="75000"/>
              </a:schemeClr>
            </a:solidFill>
            <a:ln>
              <a:noFill/>
            </a:ln>
            <a:effectLst/>
          </c:spPr>
          <c:invertIfNegative val="0"/>
          <c:cat>
            <c:strRef>
              <c:f>'Customer Count'!$A$4:$A$8</c:f>
              <c:strCache>
                <c:ptCount val="4"/>
                <c:pt idx="0">
                  <c:v>2014</c:v>
                </c:pt>
                <c:pt idx="1">
                  <c:v>2015</c:v>
                </c:pt>
                <c:pt idx="2">
                  <c:v>2016</c:v>
                </c:pt>
                <c:pt idx="3">
                  <c:v>2017</c:v>
                </c:pt>
              </c:strCache>
            </c:strRef>
          </c:cat>
          <c:val>
            <c:numRef>
              <c:f>'Customer Count'!$B$4:$B$8</c:f>
              <c:numCache>
                <c:formatCode>General</c:formatCode>
                <c:ptCount val="4"/>
                <c:pt idx="0">
                  <c:v>209</c:v>
                </c:pt>
                <c:pt idx="1">
                  <c:v>171</c:v>
                </c:pt>
                <c:pt idx="2">
                  <c:v>164</c:v>
                </c:pt>
                <c:pt idx="3">
                  <c:v>124</c:v>
                </c:pt>
              </c:numCache>
            </c:numRef>
          </c:val>
          <c:extLst xmlns:c16r2="http://schemas.microsoft.com/office/drawing/2015/06/chart">
            <c:ext xmlns:c16="http://schemas.microsoft.com/office/drawing/2014/chart" uri="{C3380CC4-5D6E-409C-BE32-E72D297353CC}">
              <c16:uniqueId val="{00000000-F9BC-46D1-A3C9-F8965F4CF1EC}"/>
            </c:ext>
          </c:extLst>
        </c:ser>
        <c:dLbls>
          <c:showLegendKey val="0"/>
          <c:showVal val="0"/>
          <c:showCatName val="0"/>
          <c:showSerName val="0"/>
          <c:showPercent val="0"/>
          <c:showBubbleSize val="0"/>
        </c:dLbls>
        <c:gapWidth val="182"/>
        <c:axId val="281079416"/>
        <c:axId val="281080592"/>
      </c:barChart>
      <c:catAx>
        <c:axId val="281079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80592"/>
        <c:crosses val="autoZero"/>
        <c:auto val="1"/>
        <c:lblAlgn val="ctr"/>
        <c:lblOffset val="100"/>
        <c:noMultiLvlLbl val="0"/>
      </c:catAx>
      <c:valAx>
        <c:axId val="281080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79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project.xlsx]Sum of Profit!PivotTable10</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manualLayout>
          <c:layoutTarget val="inner"/>
          <c:xMode val="edge"/>
          <c:yMode val="edge"/>
          <c:x val="0.12347818684826559"/>
          <c:y val="0.21229164536251149"/>
          <c:w val="0.58806824146981629"/>
          <c:h val="0.64468077853904626"/>
        </c:manualLayout>
      </c:layout>
      <c:lineChart>
        <c:grouping val="standard"/>
        <c:varyColors val="0"/>
        <c:ser>
          <c:idx val="0"/>
          <c:order val="0"/>
          <c:tx>
            <c:strRef>
              <c:f>'Sum of Profit'!$B$3:$B$4</c:f>
              <c:strCache>
                <c:ptCount val="1"/>
                <c:pt idx="0">
                  <c:v>Furniture</c:v>
                </c:pt>
              </c:strCache>
            </c:strRef>
          </c:tx>
          <c:spPr>
            <a:ln w="28575" cap="rnd">
              <a:solidFill>
                <a:schemeClr val="accent1"/>
              </a:solidFill>
              <a:round/>
            </a:ln>
            <a:effectLst/>
          </c:spPr>
          <c:marker>
            <c:symbol val="none"/>
          </c:marker>
          <c:cat>
            <c:strRef>
              <c:f>'Sum of Profit'!$A$5:$A$6</c:f>
              <c:strCache>
                <c:ptCount val="1"/>
                <c:pt idx="0">
                  <c:v>2014</c:v>
                </c:pt>
              </c:strCache>
            </c:strRef>
          </c:cat>
          <c:val>
            <c:numRef>
              <c:f>'Sum of Profit'!$B$5:$B$6</c:f>
              <c:numCache>
                <c:formatCode>General</c:formatCode>
                <c:ptCount val="1"/>
                <c:pt idx="0">
                  <c:v>-2129.17</c:v>
                </c:pt>
              </c:numCache>
            </c:numRef>
          </c:val>
          <c:smooth val="0"/>
          <c:extLst xmlns:c16r2="http://schemas.microsoft.com/office/drawing/2015/06/chart">
            <c:ext xmlns:c16="http://schemas.microsoft.com/office/drawing/2014/chart" uri="{C3380CC4-5D6E-409C-BE32-E72D297353CC}">
              <c16:uniqueId val="{00000000-7479-43B8-A99F-E35A86C385D5}"/>
            </c:ext>
          </c:extLst>
        </c:ser>
        <c:ser>
          <c:idx val="1"/>
          <c:order val="1"/>
          <c:tx>
            <c:strRef>
              <c:f>'Sum of Profit'!$C$3:$C$4</c:f>
              <c:strCache>
                <c:ptCount val="1"/>
                <c:pt idx="0">
                  <c:v>Office Supplies</c:v>
                </c:pt>
              </c:strCache>
            </c:strRef>
          </c:tx>
          <c:spPr>
            <a:ln w="28575" cap="rnd">
              <a:solidFill>
                <a:schemeClr val="accent2"/>
              </a:solidFill>
              <a:round/>
            </a:ln>
            <a:effectLst/>
          </c:spPr>
          <c:marker>
            <c:symbol val="none"/>
          </c:marker>
          <c:cat>
            <c:strRef>
              <c:f>'Sum of Profit'!$A$5:$A$6</c:f>
              <c:strCache>
                <c:ptCount val="1"/>
                <c:pt idx="0">
                  <c:v>2014</c:v>
                </c:pt>
              </c:strCache>
            </c:strRef>
          </c:cat>
          <c:val>
            <c:numRef>
              <c:f>'Sum of Profit'!$C$5:$C$6</c:f>
              <c:numCache>
                <c:formatCode>General</c:formatCode>
                <c:ptCount val="1"/>
                <c:pt idx="0">
                  <c:v>3509.8700000000008</c:v>
                </c:pt>
              </c:numCache>
            </c:numRef>
          </c:val>
          <c:smooth val="0"/>
          <c:extLst xmlns:c16r2="http://schemas.microsoft.com/office/drawing/2015/06/chart">
            <c:ext xmlns:c16="http://schemas.microsoft.com/office/drawing/2014/chart" uri="{C3380CC4-5D6E-409C-BE32-E72D297353CC}">
              <c16:uniqueId val="{00000001-7479-43B8-A99F-E35A86C385D5}"/>
            </c:ext>
          </c:extLst>
        </c:ser>
        <c:ser>
          <c:idx val="2"/>
          <c:order val="2"/>
          <c:tx>
            <c:strRef>
              <c:f>'Sum of Profit'!$D$3:$D$4</c:f>
              <c:strCache>
                <c:ptCount val="1"/>
                <c:pt idx="0">
                  <c:v>Technology</c:v>
                </c:pt>
              </c:strCache>
            </c:strRef>
          </c:tx>
          <c:spPr>
            <a:ln w="28575" cap="rnd">
              <a:solidFill>
                <a:schemeClr val="accent3"/>
              </a:solidFill>
              <a:round/>
            </a:ln>
            <a:effectLst/>
          </c:spPr>
          <c:marker>
            <c:symbol val="none"/>
          </c:marker>
          <c:cat>
            <c:strRef>
              <c:f>'Sum of Profit'!$A$5:$A$6</c:f>
              <c:strCache>
                <c:ptCount val="1"/>
                <c:pt idx="0">
                  <c:v>2014</c:v>
                </c:pt>
              </c:strCache>
            </c:strRef>
          </c:cat>
          <c:val>
            <c:numRef>
              <c:f>'Sum of Profit'!$D$5:$D$6</c:f>
              <c:numCache>
                <c:formatCode>General</c:formatCode>
                <c:ptCount val="1"/>
                <c:pt idx="0">
                  <c:v>7956.3799999999983</c:v>
                </c:pt>
              </c:numCache>
            </c:numRef>
          </c:val>
          <c:smooth val="0"/>
          <c:extLst xmlns:c16r2="http://schemas.microsoft.com/office/drawing/2015/06/chart">
            <c:ext xmlns:c16="http://schemas.microsoft.com/office/drawing/2014/chart" uri="{C3380CC4-5D6E-409C-BE32-E72D297353CC}">
              <c16:uniqueId val="{00000002-7479-43B8-A99F-E35A86C385D5}"/>
            </c:ext>
          </c:extLst>
        </c:ser>
        <c:dLbls>
          <c:showLegendKey val="0"/>
          <c:showVal val="0"/>
          <c:showCatName val="0"/>
          <c:showSerName val="0"/>
          <c:showPercent val="0"/>
          <c:showBubbleSize val="0"/>
        </c:dLbls>
        <c:smooth val="0"/>
        <c:axId val="342583512"/>
        <c:axId val="342583120"/>
      </c:lineChart>
      <c:catAx>
        <c:axId val="342583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583120"/>
        <c:crosses val="autoZero"/>
        <c:auto val="1"/>
        <c:lblAlgn val="ctr"/>
        <c:lblOffset val="100"/>
        <c:noMultiLvlLbl val="0"/>
      </c:catAx>
      <c:valAx>
        <c:axId val="34258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583512"/>
        <c:crosses val="autoZero"/>
        <c:crossBetween val="between"/>
      </c:valAx>
      <c:spPr>
        <a:solidFill>
          <a:schemeClr val="accent2">
            <a:lumMod val="75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project.xlsx]Customer Count!PivotTable19</c:name>
    <c:fmtId val="3"/>
  </c:pivotSource>
  <c:chart>
    <c:title>
      <c:layout>
        <c:manualLayout>
          <c:xMode val="edge"/>
          <c:yMode val="edge"/>
          <c:x val="0.49881971275329712"/>
          <c:y val="0.201459573650854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pivotFmt>
    </c:pivotFmts>
    <c:plotArea>
      <c:layout>
        <c:manualLayout>
          <c:layoutTarget val="inner"/>
          <c:xMode val="edge"/>
          <c:yMode val="edge"/>
          <c:x val="0.24519764322788529"/>
          <c:y val="0.28184966462525518"/>
          <c:w val="0.58446179988872859"/>
          <c:h val="0.63953922426363374"/>
        </c:manualLayout>
      </c:layout>
      <c:barChart>
        <c:barDir val="bar"/>
        <c:grouping val="clustered"/>
        <c:varyColors val="0"/>
        <c:ser>
          <c:idx val="0"/>
          <c:order val="0"/>
          <c:tx>
            <c:strRef>
              <c:f>'Customer Count'!$B$3</c:f>
              <c:strCache>
                <c:ptCount val="1"/>
                <c:pt idx="0">
                  <c:v>Total</c:v>
                </c:pt>
              </c:strCache>
            </c:strRef>
          </c:tx>
          <c:spPr>
            <a:solidFill>
              <a:schemeClr val="accent2">
                <a:lumMod val="75000"/>
              </a:schemeClr>
            </a:solidFill>
            <a:ln>
              <a:noFill/>
            </a:ln>
            <a:effectLst/>
          </c:spPr>
          <c:invertIfNegative val="0"/>
          <c:cat>
            <c:strRef>
              <c:f>'Customer Count'!$A$4:$A$8</c:f>
              <c:strCache>
                <c:ptCount val="4"/>
                <c:pt idx="0">
                  <c:v>2014</c:v>
                </c:pt>
                <c:pt idx="1">
                  <c:v>2015</c:v>
                </c:pt>
                <c:pt idx="2">
                  <c:v>2016</c:v>
                </c:pt>
                <c:pt idx="3">
                  <c:v>2017</c:v>
                </c:pt>
              </c:strCache>
            </c:strRef>
          </c:cat>
          <c:val>
            <c:numRef>
              <c:f>'Customer Count'!$B$4:$B$8</c:f>
              <c:numCache>
                <c:formatCode>General</c:formatCode>
                <c:ptCount val="4"/>
                <c:pt idx="0">
                  <c:v>209</c:v>
                </c:pt>
                <c:pt idx="1">
                  <c:v>171</c:v>
                </c:pt>
                <c:pt idx="2">
                  <c:v>164</c:v>
                </c:pt>
                <c:pt idx="3">
                  <c:v>124</c:v>
                </c:pt>
              </c:numCache>
            </c:numRef>
          </c:val>
          <c:extLst xmlns:c16r2="http://schemas.microsoft.com/office/drawing/2015/06/chart">
            <c:ext xmlns:c16="http://schemas.microsoft.com/office/drawing/2014/chart" uri="{C3380CC4-5D6E-409C-BE32-E72D297353CC}">
              <c16:uniqueId val="{00000000-FA23-4F90-8F6B-A921EB67A44D}"/>
            </c:ext>
          </c:extLst>
        </c:ser>
        <c:dLbls>
          <c:showLegendKey val="0"/>
          <c:showVal val="0"/>
          <c:showCatName val="0"/>
          <c:showSerName val="0"/>
          <c:showPercent val="0"/>
          <c:showBubbleSize val="0"/>
        </c:dLbls>
        <c:gapWidth val="182"/>
        <c:axId val="342580768"/>
        <c:axId val="342581160"/>
      </c:barChart>
      <c:catAx>
        <c:axId val="34258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581160"/>
        <c:crosses val="autoZero"/>
        <c:auto val="1"/>
        <c:lblAlgn val="ctr"/>
        <c:lblOffset val="100"/>
        <c:noMultiLvlLbl val="0"/>
      </c:catAx>
      <c:valAx>
        <c:axId val="342581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580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project.xlsx]Top 5 Customers!PivotTable12</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marker>
          <c:symbol val="none"/>
        </c:marke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
        <c:idx val="1005"/>
        <c:spPr>
          <a:solidFill>
            <a:schemeClr val="accent1"/>
          </a:solidFill>
          <a:ln w="19050">
            <a:solidFill>
              <a:schemeClr val="lt1"/>
            </a:solidFill>
          </a:ln>
          <a:effectLst/>
        </c:spPr>
      </c:pivotFmt>
      <c:pivotFmt>
        <c:idx val="1006"/>
        <c:spPr>
          <a:solidFill>
            <a:schemeClr val="accent1"/>
          </a:solidFill>
          <a:ln w="19050">
            <a:solidFill>
              <a:schemeClr val="lt1"/>
            </a:solidFill>
          </a:ln>
          <a:effectLst/>
        </c:spPr>
      </c:pivotFmt>
      <c:pivotFmt>
        <c:idx val="1007"/>
        <c:spPr>
          <a:solidFill>
            <a:schemeClr val="accent1"/>
          </a:solidFill>
          <a:ln w="19050">
            <a:solidFill>
              <a:schemeClr val="lt1"/>
            </a:solidFill>
          </a:ln>
          <a:effectLst/>
        </c:spPr>
      </c:pivotFmt>
      <c:pivotFmt>
        <c:idx val="1008"/>
        <c:spPr>
          <a:solidFill>
            <a:schemeClr val="accent1"/>
          </a:solidFill>
          <a:ln w="19050">
            <a:solidFill>
              <a:schemeClr val="lt1"/>
            </a:solidFill>
          </a:ln>
          <a:effectLst/>
        </c:spPr>
      </c:pivotFmt>
      <c:pivotFmt>
        <c:idx val="1009"/>
        <c:spPr>
          <a:solidFill>
            <a:schemeClr val="accent1"/>
          </a:solidFill>
          <a:ln w="19050">
            <a:solidFill>
              <a:schemeClr val="lt1"/>
            </a:solidFill>
          </a:ln>
          <a:effectLst/>
        </c:spPr>
      </c:pivotFmt>
      <c:pivotFmt>
        <c:idx val="1010"/>
        <c:spPr>
          <a:solidFill>
            <a:schemeClr val="accent1"/>
          </a:solidFill>
          <a:ln w="19050">
            <a:solidFill>
              <a:schemeClr val="lt1"/>
            </a:solidFill>
          </a:ln>
          <a:effectLst/>
        </c:spPr>
      </c:pivotFmt>
      <c:pivotFmt>
        <c:idx val="1011"/>
        <c:spPr>
          <a:solidFill>
            <a:schemeClr val="accent1"/>
          </a:solidFill>
          <a:ln w="19050">
            <a:solidFill>
              <a:schemeClr val="lt1"/>
            </a:solidFill>
          </a:ln>
          <a:effectLst/>
        </c:spPr>
      </c:pivotFmt>
      <c:pivotFmt>
        <c:idx val="1012"/>
        <c:spPr>
          <a:solidFill>
            <a:schemeClr val="accent1"/>
          </a:solidFill>
          <a:ln w="19050">
            <a:solidFill>
              <a:schemeClr val="lt1"/>
            </a:solidFill>
          </a:ln>
          <a:effectLst/>
        </c:spPr>
      </c:pivotFmt>
      <c:pivotFmt>
        <c:idx val="1013"/>
        <c:spPr>
          <a:solidFill>
            <a:schemeClr val="accent1"/>
          </a:solidFill>
          <a:ln w="19050">
            <a:solidFill>
              <a:schemeClr val="lt1"/>
            </a:solidFill>
          </a:ln>
          <a:effectLst/>
        </c:spPr>
      </c:pivotFmt>
      <c:pivotFmt>
        <c:idx val="1014"/>
        <c:spPr>
          <a:solidFill>
            <a:schemeClr val="accent1"/>
          </a:solidFill>
          <a:ln w="19050">
            <a:solidFill>
              <a:schemeClr val="lt1"/>
            </a:solidFill>
          </a:ln>
          <a:effectLst/>
        </c:spPr>
      </c:pivotFmt>
      <c:pivotFmt>
        <c:idx val="1015"/>
        <c:spPr>
          <a:solidFill>
            <a:schemeClr val="accent1"/>
          </a:solidFill>
          <a:ln w="19050">
            <a:solidFill>
              <a:schemeClr val="lt1"/>
            </a:solidFill>
          </a:ln>
          <a:effectLst/>
        </c:spPr>
      </c:pivotFmt>
      <c:pivotFmt>
        <c:idx val="1016"/>
        <c:spPr>
          <a:solidFill>
            <a:schemeClr val="accent1"/>
          </a:solidFill>
          <a:ln w="19050">
            <a:solidFill>
              <a:schemeClr val="lt1"/>
            </a:solidFill>
          </a:ln>
          <a:effectLst/>
        </c:spPr>
      </c:pivotFmt>
      <c:pivotFmt>
        <c:idx val="1017"/>
        <c:spPr>
          <a:solidFill>
            <a:schemeClr val="accent1"/>
          </a:solidFill>
          <a:ln w="19050">
            <a:solidFill>
              <a:schemeClr val="lt1"/>
            </a:solidFill>
          </a:ln>
          <a:effectLst/>
        </c:spPr>
      </c:pivotFmt>
      <c:pivotFmt>
        <c:idx val="1018"/>
        <c:spPr>
          <a:solidFill>
            <a:schemeClr val="accent1"/>
          </a:solidFill>
          <a:ln w="19050">
            <a:solidFill>
              <a:schemeClr val="lt1"/>
            </a:solidFill>
          </a:ln>
          <a:effectLst/>
        </c:spPr>
      </c:pivotFmt>
      <c:pivotFmt>
        <c:idx val="1019"/>
        <c:spPr>
          <a:solidFill>
            <a:schemeClr val="accent1"/>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1"/>
          </a:solidFill>
          <a:ln w="19050">
            <a:solidFill>
              <a:schemeClr val="lt1"/>
            </a:solidFill>
          </a:ln>
          <a:effectLst/>
        </c:spPr>
      </c:pivotFmt>
      <c:pivotFmt>
        <c:idx val="1022"/>
        <c:spPr>
          <a:solidFill>
            <a:schemeClr val="accent1"/>
          </a:solidFill>
          <a:ln w="19050">
            <a:solidFill>
              <a:schemeClr val="lt1"/>
            </a:solidFill>
          </a:ln>
          <a:effectLst/>
        </c:spPr>
      </c:pivotFmt>
      <c:pivotFmt>
        <c:idx val="1023"/>
        <c:spPr>
          <a:solidFill>
            <a:schemeClr val="accent1"/>
          </a:solidFill>
          <a:ln w="19050">
            <a:solidFill>
              <a:schemeClr val="lt1"/>
            </a:solidFill>
          </a:ln>
          <a:effectLst/>
        </c:spPr>
      </c:pivotFmt>
      <c:pivotFmt>
        <c:idx val="1024"/>
        <c:spPr>
          <a:solidFill>
            <a:schemeClr val="accent1"/>
          </a:solidFill>
          <a:ln w="19050">
            <a:solidFill>
              <a:schemeClr val="lt1"/>
            </a:solidFill>
          </a:ln>
          <a:effectLst/>
        </c:spPr>
      </c:pivotFmt>
      <c:pivotFmt>
        <c:idx val="1025"/>
        <c:spPr>
          <a:solidFill>
            <a:schemeClr val="accent1"/>
          </a:solidFill>
          <a:ln w="19050">
            <a:solidFill>
              <a:schemeClr val="lt1"/>
            </a:solidFill>
          </a:ln>
          <a:effectLst/>
        </c:spPr>
      </c:pivotFmt>
      <c:pivotFmt>
        <c:idx val="1026"/>
        <c:spPr>
          <a:solidFill>
            <a:schemeClr val="accent1"/>
          </a:solidFill>
          <a:ln w="19050">
            <a:solidFill>
              <a:schemeClr val="lt1"/>
            </a:solidFill>
          </a:ln>
          <a:effectLst/>
        </c:spPr>
      </c:pivotFmt>
      <c:pivotFmt>
        <c:idx val="1027"/>
        <c:spPr>
          <a:solidFill>
            <a:schemeClr val="accent1"/>
          </a:solidFill>
          <a:ln w="19050">
            <a:solidFill>
              <a:schemeClr val="lt1"/>
            </a:solidFill>
          </a:ln>
          <a:effectLst/>
        </c:spPr>
      </c:pivotFmt>
      <c:pivotFmt>
        <c:idx val="1028"/>
        <c:spPr>
          <a:solidFill>
            <a:schemeClr val="accent1"/>
          </a:solidFill>
          <a:ln w="19050">
            <a:solidFill>
              <a:schemeClr val="lt1"/>
            </a:solidFill>
          </a:ln>
          <a:effectLst/>
        </c:spPr>
      </c:pivotFmt>
      <c:pivotFmt>
        <c:idx val="1029"/>
        <c:spPr>
          <a:solidFill>
            <a:schemeClr val="accent1"/>
          </a:solidFill>
          <a:ln w="19050">
            <a:solidFill>
              <a:schemeClr val="lt1"/>
            </a:solidFill>
          </a:ln>
          <a:effectLst/>
        </c:spPr>
      </c:pivotFmt>
      <c:pivotFmt>
        <c:idx val="1030"/>
        <c:spPr>
          <a:solidFill>
            <a:schemeClr val="accent1"/>
          </a:solidFill>
          <a:ln w="19050">
            <a:solidFill>
              <a:schemeClr val="lt1"/>
            </a:solidFill>
          </a:ln>
          <a:effectLst/>
        </c:spPr>
      </c:pivotFmt>
      <c:pivotFmt>
        <c:idx val="1031"/>
        <c:spPr>
          <a:solidFill>
            <a:schemeClr val="accent1"/>
          </a:solidFill>
          <a:ln w="19050">
            <a:solidFill>
              <a:schemeClr val="lt1"/>
            </a:solidFill>
          </a:ln>
          <a:effectLst/>
        </c:spPr>
      </c:pivotFmt>
      <c:pivotFmt>
        <c:idx val="1032"/>
        <c:spPr>
          <a:solidFill>
            <a:schemeClr val="accent1"/>
          </a:solidFill>
          <a:ln w="19050">
            <a:solidFill>
              <a:schemeClr val="lt1"/>
            </a:solidFill>
          </a:ln>
          <a:effectLst/>
        </c:spPr>
      </c:pivotFmt>
      <c:pivotFmt>
        <c:idx val="1033"/>
        <c:spPr>
          <a:solidFill>
            <a:schemeClr val="accent1"/>
          </a:solidFill>
          <a:ln w="19050">
            <a:solidFill>
              <a:schemeClr val="lt1"/>
            </a:solidFill>
          </a:ln>
          <a:effectLst/>
        </c:spPr>
      </c:pivotFmt>
      <c:pivotFmt>
        <c:idx val="1034"/>
        <c:spPr>
          <a:solidFill>
            <a:schemeClr val="accent1"/>
          </a:solidFill>
          <a:ln w="19050">
            <a:solidFill>
              <a:schemeClr val="lt1"/>
            </a:solidFill>
          </a:ln>
          <a:effectLst/>
        </c:spPr>
      </c:pivotFmt>
      <c:pivotFmt>
        <c:idx val="1035"/>
        <c:spPr>
          <a:solidFill>
            <a:schemeClr val="accent1"/>
          </a:solidFill>
          <a:ln w="19050">
            <a:solidFill>
              <a:schemeClr val="lt1"/>
            </a:solidFill>
          </a:ln>
          <a:effectLst/>
        </c:spPr>
      </c:pivotFmt>
      <c:pivotFmt>
        <c:idx val="1036"/>
        <c:spPr>
          <a:solidFill>
            <a:schemeClr val="accent1"/>
          </a:solidFill>
          <a:ln w="19050">
            <a:solidFill>
              <a:schemeClr val="lt1"/>
            </a:solidFill>
          </a:ln>
          <a:effectLst/>
        </c:spPr>
      </c:pivotFmt>
      <c:pivotFmt>
        <c:idx val="1037"/>
        <c:spPr>
          <a:solidFill>
            <a:schemeClr val="accent1"/>
          </a:solidFill>
          <a:ln w="19050">
            <a:solidFill>
              <a:schemeClr val="lt1"/>
            </a:solidFill>
          </a:ln>
          <a:effectLst/>
        </c:spPr>
      </c:pivotFmt>
      <c:pivotFmt>
        <c:idx val="1038"/>
        <c:spPr>
          <a:solidFill>
            <a:schemeClr val="accent1"/>
          </a:solidFill>
          <a:ln w="19050">
            <a:solidFill>
              <a:schemeClr val="lt1"/>
            </a:solidFill>
          </a:ln>
          <a:effectLst/>
        </c:spPr>
      </c:pivotFmt>
      <c:pivotFmt>
        <c:idx val="1039"/>
        <c:spPr>
          <a:solidFill>
            <a:schemeClr val="accent1"/>
          </a:solidFill>
          <a:ln w="19050">
            <a:solidFill>
              <a:schemeClr val="lt1"/>
            </a:solidFill>
          </a:ln>
          <a:effectLst/>
        </c:spPr>
      </c:pivotFmt>
      <c:pivotFmt>
        <c:idx val="1040"/>
        <c:spPr>
          <a:solidFill>
            <a:schemeClr val="accent1"/>
          </a:solidFill>
          <a:ln w="19050">
            <a:solidFill>
              <a:schemeClr val="lt1"/>
            </a:solidFill>
          </a:ln>
          <a:effectLst/>
        </c:spPr>
      </c:pivotFmt>
      <c:pivotFmt>
        <c:idx val="1041"/>
        <c:spPr>
          <a:solidFill>
            <a:schemeClr val="accent1"/>
          </a:solidFill>
          <a:ln w="19050">
            <a:solidFill>
              <a:schemeClr val="lt1"/>
            </a:solidFill>
          </a:ln>
          <a:effectLst/>
        </c:spPr>
      </c:pivotFmt>
      <c:pivotFmt>
        <c:idx val="1042"/>
        <c:spPr>
          <a:solidFill>
            <a:schemeClr val="accent1"/>
          </a:solidFill>
          <a:ln w="19050">
            <a:solidFill>
              <a:schemeClr val="lt1"/>
            </a:solidFill>
          </a:ln>
          <a:effectLst/>
        </c:spPr>
      </c:pivotFmt>
      <c:pivotFmt>
        <c:idx val="1043"/>
        <c:spPr>
          <a:solidFill>
            <a:schemeClr val="accent1"/>
          </a:solidFill>
          <a:ln w="19050">
            <a:solidFill>
              <a:schemeClr val="lt1"/>
            </a:solidFill>
          </a:ln>
          <a:effectLst/>
        </c:spPr>
      </c:pivotFmt>
      <c:pivotFmt>
        <c:idx val="1044"/>
        <c:spPr>
          <a:solidFill>
            <a:schemeClr val="accent1"/>
          </a:solidFill>
          <a:ln w="19050">
            <a:solidFill>
              <a:schemeClr val="lt1"/>
            </a:solidFill>
          </a:ln>
          <a:effectLst/>
        </c:spPr>
      </c:pivotFmt>
      <c:pivotFmt>
        <c:idx val="1045"/>
        <c:spPr>
          <a:solidFill>
            <a:schemeClr val="accent1"/>
          </a:solidFill>
          <a:ln w="19050">
            <a:solidFill>
              <a:schemeClr val="lt1"/>
            </a:solidFill>
          </a:ln>
          <a:effectLst/>
        </c:spPr>
      </c:pivotFmt>
      <c:pivotFmt>
        <c:idx val="1046"/>
        <c:spPr>
          <a:solidFill>
            <a:schemeClr val="accent1"/>
          </a:solidFill>
          <a:ln w="19050">
            <a:solidFill>
              <a:schemeClr val="lt1"/>
            </a:solidFill>
          </a:ln>
          <a:effectLst/>
        </c:spPr>
      </c:pivotFmt>
      <c:pivotFmt>
        <c:idx val="1047"/>
        <c:spPr>
          <a:solidFill>
            <a:schemeClr val="accent1"/>
          </a:solidFill>
          <a:ln w="19050">
            <a:solidFill>
              <a:schemeClr val="lt1"/>
            </a:solidFill>
          </a:ln>
          <a:effectLst/>
        </c:spPr>
      </c:pivotFmt>
      <c:pivotFmt>
        <c:idx val="1048"/>
        <c:spPr>
          <a:solidFill>
            <a:schemeClr val="accent1"/>
          </a:solidFill>
          <a:ln w="19050">
            <a:solidFill>
              <a:schemeClr val="lt1"/>
            </a:solidFill>
          </a:ln>
          <a:effectLst/>
        </c:spPr>
      </c:pivotFmt>
      <c:pivotFmt>
        <c:idx val="1049"/>
        <c:spPr>
          <a:solidFill>
            <a:schemeClr val="accent1"/>
          </a:solidFill>
          <a:ln w="19050">
            <a:solidFill>
              <a:schemeClr val="lt1"/>
            </a:solidFill>
          </a:ln>
          <a:effectLst/>
        </c:spPr>
      </c:pivotFmt>
      <c:pivotFmt>
        <c:idx val="1050"/>
        <c:spPr>
          <a:solidFill>
            <a:schemeClr val="accent1"/>
          </a:solidFill>
          <a:ln w="19050">
            <a:solidFill>
              <a:schemeClr val="lt1"/>
            </a:solidFill>
          </a:ln>
          <a:effectLst/>
        </c:spPr>
      </c:pivotFmt>
      <c:pivotFmt>
        <c:idx val="1051"/>
        <c:spPr>
          <a:solidFill>
            <a:schemeClr val="accent1"/>
          </a:solidFill>
          <a:ln w="19050">
            <a:solidFill>
              <a:schemeClr val="lt1"/>
            </a:solidFill>
          </a:ln>
          <a:effectLst/>
        </c:spPr>
      </c:pivotFmt>
      <c:pivotFmt>
        <c:idx val="1052"/>
        <c:spPr>
          <a:solidFill>
            <a:schemeClr val="accent1"/>
          </a:solidFill>
          <a:ln w="19050">
            <a:solidFill>
              <a:schemeClr val="lt1"/>
            </a:solidFill>
          </a:ln>
          <a:effectLst/>
        </c:spPr>
      </c:pivotFmt>
      <c:pivotFmt>
        <c:idx val="1053"/>
        <c:spPr>
          <a:solidFill>
            <a:schemeClr val="accent1"/>
          </a:solidFill>
          <a:ln w="19050">
            <a:solidFill>
              <a:schemeClr val="lt1"/>
            </a:solidFill>
          </a:ln>
          <a:effectLst/>
        </c:spPr>
      </c:pivotFmt>
      <c:pivotFmt>
        <c:idx val="1054"/>
        <c:spPr>
          <a:solidFill>
            <a:schemeClr val="accent1"/>
          </a:solidFill>
          <a:ln w="19050">
            <a:solidFill>
              <a:schemeClr val="lt1"/>
            </a:solidFill>
          </a:ln>
          <a:effectLst/>
        </c:spPr>
      </c:pivotFmt>
      <c:pivotFmt>
        <c:idx val="1055"/>
        <c:spPr>
          <a:solidFill>
            <a:schemeClr val="accent1"/>
          </a:solidFill>
          <a:ln w="19050">
            <a:solidFill>
              <a:schemeClr val="lt1"/>
            </a:solidFill>
          </a:ln>
          <a:effectLst/>
        </c:spPr>
      </c:pivotFmt>
      <c:pivotFmt>
        <c:idx val="1056"/>
        <c:spPr>
          <a:solidFill>
            <a:schemeClr val="accent1"/>
          </a:solidFill>
          <a:ln w="19050">
            <a:solidFill>
              <a:schemeClr val="lt1"/>
            </a:solidFill>
          </a:ln>
          <a:effectLst/>
        </c:spPr>
      </c:pivotFmt>
      <c:pivotFmt>
        <c:idx val="1057"/>
        <c:spPr>
          <a:solidFill>
            <a:schemeClr val="accent1"/>
          </a:solidFill>
          <a:ln w="19050">
            <a:solidFill>
              <a:schemeClr val="lt1"/>
            </a:solidFill>
          </a:ln>
          <a:effectLst/>
        </c:spPr>
      </c:pivotFmt>
      <c:pivotFmt>
        <c:idx val="1058"/>
        <c:spPr>
          <a:solidFill>
            <a:schemeClr val="accent1"/>
          </a:solidFill>
          <a:ln w="19050">
            <a:solidFill>
              <a:schemeClr val="lt1"/>
            </a:solidFill>
          </a:ln>
          <a:effectLst/>
        </c:spPr>
      </c:pivotFmt>
      <c:pivotFmt>
        <c:idx val="1059"/>
        <c:spPr>
          <a:solidFill>
            <a:schemeClr val="accent1"/>
          </a:solidFill>
          <a:ln w="19050">
            <a:solidFill>
              <a:schemeClr val="lt1"/>
            </a:solidFill>
          </a:ln>
          <a:effectLst/>
        </c:spPr>
      </c:pivotFmt>
      <c:pivotFmt>
        <c:idx val="1060"/>
        <c:spPr>
          <a:solidFill>
            <a:schemeClr val="accent1"/>
          </a:solidFill>
          <a:ln w="19050">
            <a:solidFill>
              <a:schemeClr val="lt1"/>
            </a:solidFill>
          </a:ln>
          <a:effectLst/>
        </c:spPr>
      </c:pivotFmt>
      <c:pivotFmt>
        <c:idx val="1061"/>
        <c:spPr>
          <a:solidFill>
            <a:schemeClr val="accent1"/>
          </a:solidFill>
          <a:ln w="19050">
            <a:solidFill>
              <a:schemeClr val="lt1"/>
            </a:solidFill>
          </a:ln>
          <a:effectLst/>
        </c:spPr>
      </c:pivotFmt>
      <c:pivotFmt>
        <c:idx val="1062"/>
        <c:spPr>
          <a:solidFill>
            <a:schemeClr val="accent1"/>
          </a:solidFill>
          <a:ln w="19050">
            <a:solidFill>
              <a:schemeClr val="lt1"/>
            </a:solidFill>
          </a:ln>
          <a:effectLst/>
        </c:spPr>
      </c:pivotFmt>
      <c:pivotFmt>
        <c:idx val="1063"/>
        <c:spPr>
          <a:solidFill>
            <a:schemeClr val="accent1"/>
          </a:solidFill>
          <a:ln w="19050">
            <a:solidFill>
              <a:schemeClr val="lt1"/>
            </a:solidFill>
          </a:ln>
          <a:effectLst/>
        </c:spPr>
      </c:pivotFmt>
      <c:pivotFmt>
        <c:idx val="1064"/>
        <c:spPr>
          <a:solidFill>
            <a:schemeClr val="accent1"/>
          </a:solidFill>
          <a:ln w="19050">
            <a:solidFill>
              <a:schemeClr val="lt1"/>
            </a:solidFill>
          </a:ln>
          <a:effectLst/>
        </c:spPr>
      </c:pivotFmt>
      <c:pivotFmt>
        <c:idx val="1065"/>
        <c:spPr>
          <a:solidFill>
            <a:schemeClr val="accent1"/>
          </a:solidFill>
          <a:ln w="19050">
            <a:solidFill>
              <a:schemeClr val="lt1"/>
            </a:solidFill>
          </a:ln>
          <a:effectLst/>
        </c:spPr>
      </c:pivotFmt>
      <c:pivotFmt>
        <c:idx val="1066"/>
        <c:spPr>
          <a:solidFill>
            <a:schemeClr val="accent1"/>
          </a:solidFill>
          <a:ln w="19050">
            <a:solidFill>
              <a:schemeClr val="lt1"/>
            </a:solidFill>
          </a:ln>
          <a:effectLst/>
        </c:spPr>
      </c:pivotFmt>
      <c:pivotFmt>
        <c:idx val="1067"/>
        <c:spPr>
          <a:solidFill>
            <a:schemeClr val="accent1"/>
          </a:solidFill>
          <a:ln w="19050">
            <a:solidFill>
              <a:schemeClr val="lt1"/>
            </a:solidFill>
          </a:ln>
          <a:effectLst/>
        </c:spPr>
      </c:pivotFmt>
      <c:pivotFmt>
        <c:idx val="1068"/>
        <c:spPr>
          <a:solidFill>
            <a:schemeClr val="accent1"/>
          </a:solidFill>
          <a:ln w="19050">
            <a:solidFill>
              <a:schemeClr val="lt1"/>
            </a:solidFill>
          </a:ln>
          <a:effectLst/>
        </c:spPr>
      </c:pivotFmt>
      <c:pivotFmt>
        <c:idx val="1069"/>
        <c:spPr>
          <a:solidFill>
            <a:schemeClr val="accent1"/>
          </a:solidFill>
          <a:ln w="19050">
            <a:solidFill>
              <a:schemeClr val="lt1"/>
            </a:solidFill>
          </a:ln>
          <a:effectLst/>
        </c:spPr>
      </c:pivotFmt>
      <c:pivotFmt>
        <c:idx val="1070"/>
        <c:spPr>
          <a:solidFill>
            <a:schemeClr val="accent1"/>
          </a:solidFill>
          <a:ln w="19050">
            <a:solidFill>
              <a:schemeClr val="lt1"/>
            </a:solidFill>
          </a:ln>
          <a:effectLst/>
        </c:spPr>
      </c:pivotFmt>
      <c:pivotFmt>
        <c:idx val="1071"/>
        <c:spPr>
          <a:solidFill>
            <a:schemeClr val="accent1"/>
          </a:solidFill>
          <a:ln w="19050">
            <a:solidFill>
              <a:schemeClr val="lt1"/>
            </a:solidFill>
          </a:ln>
          <a:effectLst/>
        </c:spPr>
      </c:pivotFmt>
      <c:pivotFmt>
        <c:idx val="1072"/>
        <c:spPr>
          <a:solidFill>
            <a:schemeClr val="accent1"/>
          </a:solidFill>
          <a:ln w="19050">
            <a:solidFill>
              <a:schemeClr val="lt1"/>
            </a:solidFill>
          </a:ln>
          <a:effectLst/>
        </c:spPr>
      </c:pivotFmt>
      <c:pivotFmt>
        <c:idx val="1073"/>
        <c:spPr>
          <a:solidFill>
            <a:schemeClr val="accent1"/>
          </a:solidFill>
          <a:ln w="19050">
            <a:solidFill>
              <a:schemeClr val="lt1"/>
            </a:solidFill>
          </a:ln>
          <a:effectLst/>
        </c:spPr>
      </c:pivotFmt>
      <c:pivotFmt>
        <c:idx val="1074"/>
        <c:spPr>
          <a:solidFill>
            <a:schemeClr val="accent1"/>
          </a:solidFill>
          <a:ln w="19050">
            <a:solidFill>
              <a:schemeClr val="lt1"/>
            </a:solidFill>
          </a:ln>
          <a:effectLst/>
        </c:spPr>
      </c:pivotFmt>
      <c:pivotFmt>
        <c:idx val="1075"/>
        <c:spPr>
          <a:solidFill>
            <a:schemeClr val="accent1"/>
          </a:solidFill>
          <a:ln w="19050">
            <a:solidFill>
              <a:schemeClr val="lt1"/>
            </a:solidFill>
          </a:ln>
          <a:effectLst/>
        </c:spPr>
      </c:pivotFmt>
      <c:pivotFmt>
        <c:idx val="1076"/>
        <c:spPr>
          <a:solidFill>
            <a:schemeClr val="accent1"/>
          </a:solidFill>
          <a:ln w="19050">
            <a:solidFill>
              <a:schemeClr val="lt1"/>
            </a:solidFill>
          </a:ln>
          <a:effectLst/>
        </c:spPr>
      </c:pivotFmt>
      <c:pivotFmt>
        <c:idx val="1077"/>
        <c:spPr>
          <a:solidFill>
            <a:schemeClr val="accent1"/>
          </a:solidFill>
          <a:ln w="19050">
            <a:solidFill>
              <a:schemeClr val="lt1"/>
            </a:solidFill>
          </a:ln>
          <a:effectLst/>
        </c:spPr>
      </c:pivotFmt>
      <c:pivotFmt>
        <c:idx val="1078"/>
        <c:spPr>
          <a:solidFill>
            <a:schemeClr val="accent1"/>
          </a:solidFill>
          <a:ln w="19050">
            <a:solidFill>
              <a:schemeClr val="lt1"/>
            </a:solidFill>
          </a:ln>
          <a:effectLst/>
        </c:spPr>
      </c:pivotFmt>
      <c:pivotFmt>
        <c:idx val="1079"/>
        <c:spPr>
          <a:solidFill>
            <a:schemeClr val="accent1"/>
          </a:solidFill>
          <a:ln w="19050">
            <a:solidFill>
              <a:schemeClr val="lt1"/>
            </a:solidFill>
          </a:ln>
          <a:effectLst/>
        </c:spPr>
      </c:pivotFmt>
      <c:pivotFmt>
        <c:idx val="1080"/>
        <c:spPr>
          <a:solidFill>
            <a:schemeClr val="accent1"/>
          </a:solidFill>
          <a:ln w="19050">
            <a:solidFill>
              <a:schemeClr val="lt1"/>
            </a:solidFill>
          </a:ln>
          <a:effectLst/>
        </c:spPr>
      </c:pivotFmt>
      <c:pivotFmt>
        <c:idx val="1081"/>
        <c:spPr>
          <a:solidFill>
            <a:schemeClr val="accent1"/>
          </a:solidFill>
          <a:ln w="19050">
            <a:solidFill>
              <a:schemeClr val="lt1"/>
            </a:solidFill>
          </a:ln>
          <a:effectLst/>
        </c:spPr>
      </c:pivotFmt>
      <c:pivotFmt>
        <c:idx val="1082"/>
        <c:spPr>
          <a:solidFill>
            <a:schemeClr val="accent1"/>
          </a:solidFill>
          <a:ln w="19050">
            <a:solidFill>
              <a:schemeClr val="lt1"/>
            </a:solidFill>
          </a:ln>
          <a:effectLst/>
        </c:spPr>
      </c:pivotFmt>
      <c:pivotFmt>
        <c:idx val="1083"/>
        <c:spPr>
          <a:solidFill>
            <a:schemeClr val="accent1"/>
          </a:solidFill>
          <a:ln w="19050">
            <a:solidFill>
              <a:schemeClr val="lt1"/>
            </a:solidFill>
          </a:ln>
          <a:effectLst/>
        </c:spPr>
      </c:pivotFmt>
      <c:pivotFmt>
        <c:idx val="1084"/>
        <c:spPr>
          <a:solidFill>
            <a:schemeClr val="accent1"/>
          </a:solidFill>
          <a:ln w="19050">
            <a:solidFill>
              <a:schemeClr val="lt1"/>
            </a:solidFill>
          </a:ln>
          <a:effectLst/>
        </c:spPr>
      </c:pivotFmt>
      <c:pivotFmt>
        <c:idx val="1085"/>
        <c:spPr>
          <a:solidFill>
            <a:schemeClr val="accent1"/>
          </a:solidFill>
          <a:ln w="19050">
            <a:solidFill>
              <a:schemeClr val="lt1"/>
            </a:solidFill>
          </a:ln>
          <a:effectLst/>
        </c:spPr>
      </c:pivotFmt>
      <c:pivotFmt>
        <c:idx val="1086"/>
        <c:spPr>
          <a:solidFill>
            <a:schemeClr val="accent1"/>
          </a:solidFill>
          <a:ln w="19050">
            <a:solidFill>
              <a:schemeClr val="lt1"/>
            </a:solidFill>
          </a:ln>
          <a:effectLst/>
        </c:spPr>
      </c:pivotFmt>
      <c:pivotFmt>
        <c:idx val="1087"/>
        <c:spPr>
          <a:solidFill>
            <a:schemeClr val="accent1"/>
          </a:solidFill>
          <a:ln w="19050">
            <a:solidFill>
              <a:schemeClr val="lt1"/>
            </a:solidFill>
          </a:ln>
          <a:effectLst/>
        </c:spPr>
      </c:pivotFmt>
      <c:pivotFmt>
        <c:idx val="1088"/>
        <c:spPr>
          <a:solidFill>
            <a:schemeClr val="accent1"/>
          </a:solidFill>
          <a:ln w="19050">
            <a:solidFill>
              <a:schemeClr val="lt1"/>
            </a:solidFill>
          </a:ln>
          <a:effectLst/>
        </c:spPr>
      </c:pivotFmt>
      <c:pivotFmt>
        <c:idx val="1089"/>
        <c:spPr>
          <a:solidFill>
            <a:schemeClr val="accent1"/>
          </a:solidFill>
          <a:ln w="19050">
            <a:solidFill>
              <a:schemeClr val="lt1"/>
            </a:solidFill>
          </a:ln>
          <a:effectLst/>
        </c:spPr>
      </c:pivotFmt>
      <c:pivotFmt>
        <c:idx val="1090"/>
        <c:spPr>
          <a:solidFill>
            <a:schemeClr val="accent1"/>
          </a:solidFill>
          <a:ln w="19050">
            <a:solidFill>
              <a:schemeClr val="lt1"/>
            </a:solidFill>
          </a:ln>
          <a:effectLst/>
        </c:spPr>
      </c:pivotFmt>
      <c:pivotFmt>
        <c:idx val="1091"/>
        <c:spPr>
          <a:solidFill>
            <a:schemeClr val="accent1"/>
          </a:solidFill>
          <a:ln w="19050">
            <a:solidFill>
              <a:schemeClr val="lt1"/>
            </a:solidFill>
          </a:ln>
          <a:effectLst/>
        </c:spPr>
      </c:pivotFmt>
      <c:pivotFmt>
        <c:idx val="1092"/>
        <c:spPr>
          <a:solidFill>
            <a:schemeClr val="accent1"/>
          </a:solidFill>
          <a:ln w="19050">
            <a:solidFill>
              <a:schemeClr val="lt1"/>
            </a:solidFill>
          </a:ln>
          <a:effectLst/>
        </c:spPr>
      </c:pivotFmt>
      <c:pivotFmt>
        <c:idx val="1093"/>
        <c:spPr>
          <a:solidFill>
            <a:schemeClr val="accent1"/>
          </a:solidFill>
          <a:ln w="19050">
            <a:solidFill>
              <a:schemeClr val="lt1"/>
            </a:solidFill>
          </a:ln>
          <a:effectLst/>
        </c:spPr>
      </c:pivotFmt>
      <c:pivotFmt>
        <c:idx val="1094"/>
        <c:spPr>
          <a:solidFill>
            <a:schemeClr val="accent1"/>
          </a:solidFill>
          <a:ln w="19050">
            <a:solidFill>
              <a:schemeClr val="lt1"/>
            </a:solidFill>
          </a:ln>
          <a:effectLst/>
        </c:spPr>
      </c:pivotFmt>
      <c:pivotFmt>
        <c:idx val="1095"/>
        <c:spPr>
          <a:solidFill>
            <a:schemeClr val="accent1"/>
          </a:solidFill>
          <a:ln w="19050">
            <a:solidFill>
              <a:schemeClr val="lt1"/>
            </a:solidFill>
          </a:ln>
          <a:effectLst/>
        </c:spPr>
      </c:pivotFmt>
      <c:pivotFmt>
        <c:idx val="1096"/>
        <c:spPr>
          <a:solidFill>
            <a:schemeClr val="accent1"/>
          </a:solidFill>
          <a:ln w="19050">
            <a:solidFill>
              <a:schemeClr val="lt1"/>
            </a:solidFill>
          </a:ln>
          <a:effectLst/>
        </c:spPr>
      </c:pivotFmt>
      <c:pivotFmt>
        <c:idx val="1097"/>
        <c:spPr>
          <a:solidFill>
            <a:schemeClr val="accent1"/>
          </a:solidFill>
          <a:ln w="19050">
            <a:solidFill>
              <a:schemeClr val="lt1"/>
            </a:solidFill>
          </a:ln>
          <a:effectLst/>
        </c:spPr>
      </c:pivotFmt>
      <c:pivotFmt>
        <c:idx val="1098"/>
        <c:spPr>
          <a:solidFill>
            <a:schemeClr val="accent1"/>
          </a:solidFill>
          <a:ln w="19050">
            <a:solidFill>
              <a:schemeClr val="lt1"/>
            </a:solidFill>
          </a:ln>
          <a:effectLst/>
        </c:spPr>
      </c:pivotFmt>
      <c:pivotFmt>
        <c:idx val="1099"/>
        <c:spPr>
          <a:solidFill>
            <a:schemeClr val="accent1"/>
          </a:solidFill>
          <a:ln w="19050">
            <a:solidFill>
              <a:schemeClr val="lt1"/>
            </a:solidFill>
          </a:ln>
          <a:effectLst/>
        </c:spPr>
      </c:pivotFmt>
      <c:pivotFmt>
        <c:idx val="1100"/>
        <c:spPr>
          <a:solidFill>
            <a:schemeClr val="accent1"/>
          </a:solidFill>
          <a:ln w="19050">
            <a:solidFill>
              <a:schemeClr val="lt1"/>
            </a:solidFill>
          </a:ln>
          <a:effectLst/>
        </c:spPr>
      </c:pivotFmt>
      <c:pivotFmt>
        <c:idx val="1101"/>
        <c:spPr>
          <a:solidFill>
            <a:schemeClr val="accent1"/>
          </a:solidFill>
          <a:ln w="19050">
            <a:solidFill>
              <a:schemeClr val="lt1"/>
            </a:solidFill>
          </a:ln>
          <a:effectLst/>
        </c:spPr>
      </c:pivotFmt>
      <c:pivotFmt>
        <c:idx val="1102"/>
        <c:spPr>
          <a:solidFill>
            <a:schemeClr val="accent1"/>
          </a:solidFill>
          <a:ln w="19050">
            <a:solidFill>
              <a:schemeClr val="lt1"/>
            </a:solidFill>
          </a:ln>
          <a:effectLst/>
        </c:spPr>
      </c:pivotFmt>
      <c:pivotFmt>
        <c:idx val="1103"/>
        <c:spPr>
          <a:solidFill>
            <a:schemeClr val="accent1"/>
          </a:solidFill>
          <a:ln w="19050">
            <a:solidFill>
              <a:schemeClr val="lt1"/>
            </a:solidFill>
          </a:ln>
          <a:effectLst/>
        </c:spPr>
      </c:pivotFmt>
      <c:pivotFmt>
        <c:idx val="1104"/>
        <c:spPr>
          <a:solidFill>
            <a:schemeClr val="accent1"/>
          </a:solidFill>
          <a:ln w="19050">
            <a:solidFill>
              <a:schemeClr val="lt1"/>
            </a:solidFill>
          </a:ln>
          <a:effectLst/>
        </c:spPr>
      </c:pivotFmt>
      <c:pivotFmt>
        <c:idx val="1105"/>
        <c:spPr>
          <a:solidFill>
            <a:schemeClr val="accent1"/>
          </a:solidFill>
          <a:ln w="19050">
            <a:solidFill>
              <a:schemeClr val="lt1"/>
            </a:solidFill>
          </a:ln>
          <a:effectLst/>
        </c:spPr>
      </c:pivotFmt>
      <c:pivotFmt>
        <c:idx val="1106"/>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explosion val="23"/>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550-4BBA-9999-EF7C156A6B08}"/>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3550-4BBA-9999-EF7C156A6B08}"/>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3550-4BBA-9999-EF7C156A6B08}"/>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3550-4BBA-9999-EF7C156A6B08}"/>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3550-4BBA-9999-EF7C156A6B08}"/>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3550-4BBA-9999-EF7C156A6B08}"/>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3550-4BBA-9999-EF7C156A6B08}"/>
              </c:ext>
            </c:extLst>
          </c:dPt>
          <c:dPt>
            <c:idx val="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F-3550-4BBA-9999-EF7C156A6B08}"/>
              </c:ext>
            </c:extLst>
          </c:dPt>
          <c:dPt>
            <c:idx val="8"/>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1-3550-4BBA-9999-EF7C156A6B08}"/>
              </c:ext>
            </c:extLst>
          </c:dPt>
          <c:dPt>
            <c:idx val="9"/>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3-3550-4BBA-9999-EF7C156A6B08}"/>
              </c:ext>
            </c:extLst>
          </c:dPt>
          <c:dPt>
            <c:idx val="10"/>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5-3550-4BBA-9999-EF7C156A6B08}"/>
              </c:ext>
            </c:extLst>
          </c:dPt>
          <c:dPt>
            <c:idx val="11"/>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7-3550-4BBA-9999-EF7C156A6B08}"/>
              </c:ext>
            </c:extLst>
          </c:dPt>
          <c:dPt>
            <c:idx val="12"/>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9-3550-4BBA-9999-EF7C156A6B08}"/>
              </c:ext>
            </c:extLst>
          </c:dPt>
          <c:dPt>
            <c:idx val="13"/>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B-3550-4BBA-9999-EF7C156A6B08}"/>
              </c:ext>
            </c:extLst>
          </c:dPt>
          <c:dPt>
            <c:idx val="14"/>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D-3550-4BBA-9999-EF7C156A6B08}"/>
              </c:ext>
            </c:extLst>
          </c:dPt>
          <c:dPt>
            <c:idx val="15"/>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F-3550-4BBA-9999-EF7C156A6B08}"/>
              </c:ext>
            </c:extLst>
          </c:dPt>
          <c:dPt>
            <c:idx val="16"/>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1-3550-4BBA-9999-EF7C156A6B08}"/>
              </c:ext>
            </c:extLst>
          </c:dPt>
          <c:dPt>
            <c:idx val="17"/>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3-3550-4BBA-9999-EF7C156A6B08}"/>
              </c:ext>
            </c:extLst>
          </c:dPt>
          <c:dPt>
            <c:idx val="18"/>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5-3550-4BBA-9999-EF7C156A6B08}"/>
              </c:ext>
            </c:extLst>
          </c:dPt>
          <c:dPt>
            <c:idx val="19"/>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7-3550-4BBA-9999-EF7C156A6B08}"/>
              </c:ext>
            </c:extLst>
          </c:dPt>
          <c:dPt>
            <c:idx val="20"/>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9-3550-4BBA-9999-EF7C156A6B08}"/>
              </c:ext>
            </c:extLst>
          </c:dPt>
          <c:dPt>
            <c:idx val="21"/>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B-3550-4BBA-9999-EF7C156A6B08}"/>
              </c:ext>
            </c:extLst>
          </c:dPt>
          <c:dPt>
            <c:idx val="22"/>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D-3550-4BBA-9999-EF7C156A6B08}"/>
              </c:ext>
            </c:extLst>
          </c:dPt>
          <c:dPt>
            <c:idx val="23"/>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F-3550-4BBA-9999-EF7C156A6B08}"/>
              </c:ext>
            </c:extLst>
          </c:dPt>
          <c:dPt>
            <c:idx val="24"/>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1-3550-4BBA-9999-EF7C156A6B08}"/>
              </c:ext>
            </c:extLst>
          </c:dPt>
          <c:dPt>
            <c:idx val="25"/>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3-3550-4BBA-9999-EF7C156A6B08}"/>
              </c:ext>
            </c:extLst>
          </c:dPt>
          <c:dPt>
            <c:idx val="26"/>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5-3550-4BBA-9999-EF7C156A6B08}"/>
              </c:ext>
            </c:extLst>
          </c:dPt>
          <c:dPt>
            <c:idx val="27"/>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7-3550-4BBA-9999-EF7C156A6B08}"/>
              </c:ext>
            </c:extLst>
          </c:dPt>
          <c:dPt>
            <c:idx val="28"/>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9-3550-4BBA-9999-EF7C156A6B08}"/>
              </c:ext>
            </c:extLst>
          </c:dPt>
          <c:dPt>
            <c:idx val="29"/>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B-3550-4BBA-9999-EF7C156A6B08}"/>
              </c:ext>
            </c:extLst>
          </c:dPt>
          <c:dPt>
            <c:idx val="30"/>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D-3550-4BBA-9999-EF7C156A6B08}"/>
              </c:ext>
            </c:extLst>
          </c:dPt>
          <c:dPt>
            <c:idx val="31"/>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F-3550-4BBA-9999-EF7C156A6B08}"/>
              </c:ext>
            </c:extLst>
          </c:dPt>
          <c:dPt>
            <c:idx val="32"/>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1-3550-4BBA-9999-EF7C156A6B08}"/>
              </c:ext>
            </c:extLst>
          </c:dPt>
          <c:dPt>
            <c:idx val="33"/>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3-3550-4BBA-9999-EF7C156A6B08}"/>
              </c:ext>
            </c:extLst>
          </c:dPt>
          <c:dPt>
            <c:idx val="34"/>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5-3550-4BBA-9999-EF7C156A6B08}"/>
              </c:ext>
            </c:extLst>
          </c:dPt>
          <c:dPt>
            <c:idx val="35"/>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7-3550-4BBA-9999-EF7C156A6B08}"/>
              </c:ext>
            </c:extLst>
          </c:dPt>
          <c:dPt>
            <c:idx val="36"/>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9-3550-4BBA-9999-EF7C156A6B08}"/>
              </c:ext>
            </c:extLst>
          </c:dPt>
          <c:dPt>
            <c:idx val="37"/>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B-3550-4BBA-9999-EF7C156A6B08}"/>
              </c:ext>
            </c:extLst>
          </c:dPt>
          <c:dPt>
            <c:idx val="38"/>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D-3550-4BBA-9999-EF7C156A6B08}"/>
              </c:ext>
            </c:extLst>
          </c:dPt>
          <c:dPt>
            <c:idx val="39"/>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F-3550-4BBA-9999-EF7C156A6B08}"/>
              </c:ext>
            </c:extLst>
          </c:dPt>
          <c:dPt>
            <c:idx val="40"/>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1-3550-4BBA-9999-EF7C156A6B08}"/>
              </c:ext>
            </c:extLst>
          </c:dPt>
          <c:dPt>
            <c:idx val="41"/>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3-3550-4BBA-9999-EF7C156A6B08}"/>
              </c:ext>
            </c:extLst>
          </c:dPt>
          <c:dPt>
            <c:idx val="42"/>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5-3550-4BBA-9999-EF7C156A6B08}"/>
              </c:ext>
            </c:extLst>
          </c:dPt>
          <c:dPt>
            <c:idx val="43"/>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7-3550-4BBA-9999-EF7C156A6B08}"/>
              </c:ext>
            </c:extLst>
          </c:dPt>
          <c:dPt>
            <c:idx val="44"/>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9-3550-4BBA-9999-EF7C156A6B08}"/>
              </c:ext>
            </c:extLst>
          </c:dPt>
          <c:dPt>
            <c:idx val="45"/>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B-3550-4BBA-9999-EF7C156A6B08}"/>
              </c:ext>
            </c:extLst>
          </c:dPt>
          <c:dPt>
            <c:idx val="46"/>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D-3550-4BBA-9999-EF7C156A6B08}"/>
              </c:ext>
            </c:extLst>
          </c:dPt>
          <c:dPt>
            <c:idx val="47"/>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F-3550-4BBA-9999-EF7C156A6B08}"/>
              </c:ext>
            </c:extLst>
          </c:dPt>
          <c:dPt>
            <c:idx val="48"/>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1-3550-4BBA-9999-EF7C156A6B08}"/>
              </c:ext>
            </c:extLst>
          </c:dPt>
          <c:dPt>
            <c:idx val="49"/>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3-3550-4BBA-9999-EF7C156A6B08}"/>
              </c:ext>
            </c:extLst>
          </c:dPt>
          <c:dPt>
            <c:idx val="50"/>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5-3550-4BBA-9999-EF7C156A6B08}"/>
              </c:ext>
            </c:extLst>
          </c:dPt>
          <c:dPt>
            <c:idx val="51"/>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7-3550-4BBA-9999-EF7C156A6B08}"/>
              </c:ext>
            </c:extLst>
          </c:dPt>
          <c:dPt>
            <c:idx val="52"/>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9-3550-4BBA-9999-EF7C156A6B08}"/>
              </c:ext>
            </c:extLst>
          </c:dPt>
          <c:dPt>
            <c:idx val="53"/>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B-3550-4BBA-9999-EF7C156A6B08}"/>
              </c:ext>
            </c:extLst>
          </c:dPt>
          <c:dPt>
            <c:idx val="54"/>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6D-3550-4BBA-9999-EF7C156A6B08}"/>
              </c:ext>
            </c:extLst>
          </c:dPt>
          <c:dPt>
            <c:idx val="55"/>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6F-3550-4BBA-9999-EF7C156A6B08}"/>
              </c:ext>
            </c:extLst>
          </c:dPt>
          <c:dPt>
            <c:idx val="56"/>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71-3550-4BBA-9999-EF7C156A6B08}"/>
              </c:ext>
            </c:extLst>
          </c:dPt>
          <c:dPt>
            <c:idx val="57"/>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73-3550-4BBA-9999-EF7C156A6B08}"/>
              </c:ext>
            </c:extLst>
          </c:dPt>
          <c:dPt>
            <c:idx val="58"/>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75-3550-4BBA-9999-EF7C156A6B08}"/>
              </c:ext>
            </c:extLst>
          </c:dPt>
          <c:dPt>
            <c:idx val="59"/>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77-3550-4BBA-9999-EF7C156A6B08}"/>
              </c:ext>
            </c:extLst>
          </c:dPt>
          <c:dPt>
            <c:idx val="60"/>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9-3550-4BBA-9999-EF7C156A6B08}"/>
              </c:ext>
            </c:extLst>
          </c:dPt>
          <c:dPt>
            <c:idx val="61"/>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B-3550-4BBA-9999-EF7C156A6B08}"/>
              </c:ext>
            </c:extLst>
          </c:dPt>
          <c:dPt>
            <c:idx val="62"/>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D-3550-4BBA-9999-EF7C156A6B08}"/>
              </c:ext>
            </c:extLst>
          </c:dPt>
          <c:dPt>
            <c:idx val="63"/>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F-3550-4BBA-9999-EF7C156A6B08}"/>
              </c:ext>
            </c:extLst>
          </c:dPt>
          <c:dPt>
            <c:idx val="64"/>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1-3550-4BBA-9999-EF7C156A6B08}"/>
              </c:ext>
            </c:extLst>
          </c:dPt>
          <c:dPt>
            <c:idx val="65"/>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3-3550-4BBA-9999-EF7C156A6B08}"/>
              </c:ext>
            </c:extLst>
          </c:dPt>
          <c:dPt>
            <c:idx val="66"/>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5-3550-4BBA-9999-EF7C156A6B08}"/>
              </c:ext>
            </c:extLst>
          </c:dPt>
          <c:dPt>
            <c:idx val="67"/>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7-3550-4BBA-9999-EF7C156A6B08}"/>
              </c:ext>
            </c:extLst>
          </c:dPt>
          <c:dPt>
            <c:idx val="68"/>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9-3550-4BBA-9999-EF7C156A6B08}"/>
              </c:ext>
            </c:extLst>
          </c:dPt>
          <c:dPt>
            <c:idx val="69"/>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B-3550-4BBA-9999-EF7C156A6B08}"/>
              </c:ext>
            </c:extLst>
          </c:dPt>
          <c:dPt>
            <c:idx val="70"/>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D-3550-4BBA-9999-EF7C156A6B08}"/>
              </c:ext>
            </c:extLst>
          </c:dPt>
          <c:dPt>
            <c:idx val="71"/>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F-3550-4BBA-9999-EF7C156A6B08}"/>
              </c:ext>
            </c:extLst>
          </c:dPt>
          <c:dPt>
            <c:idx val="72"/>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1-3550-4BBA-9999-EF7C156A6B08}"/>
              </c:ext>
            </c:extLst>
          </c:dPt>
          <c:dPt>
            <c:idx val="73"/>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3-3550-4BBA-9999-EF7C156A6B08}"/>
              </c:ext>
            </c:extLst>
          </c:dPt>
          <c:dPt>
            <c:idx val="74"/>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5-3550-4BBA-9999-EF7C156A6B08}"/>
              </c:ext>
            </c:extLst>
          </c:dPt>
          <c:dPt>
            <c:idx val="75"/>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7-3550-4BBA-9999-EF7C156A6B08}"/>
              </c:ext>
            </c:extLst>
          </c:dPt>
          <c:dPt>
            <c:idx val="76"/>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9-3550-4BBA-9999-EF7C156A6B08}"/>
              </c:ext>
            </c:extLst>
          </c:dPt>
          <c:dPt>
            <c:idx val="77"/>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B-3550-4BBA-9999-EF7C156A6B08}"/>
              </c:ext>
            </c:extLst>
          </c:dPt>
          <c:dPt>
            <c:idx val="78"/>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D-3550-4BBA-9999-EF7C156A6B08}"/>
              </c:ext>
            </c:extLst>
          </c:dPt>
          <c:dPt>
            <c:idx val="79"/>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F-3550-4BBA-9999-EF7C156A6B08}"/>
              </c:ext>
            </c:extLst>
          </c:dPt>
          <c:dPt>
            <c:idx val="80"/>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1-3550-4BBA-9999-EF7C156A6B08}"/>
              </c:ext>
            </c:extLst>
          </c:dPt>
          <c:dPt>
            <c:idx val="81"/>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3-3550-4BBA-9999-EF7C156A6B08}"/>
              </c:ext>
            </c:extLst>
          </c:dPt>
          <c:dPt>
            <c:idx val="82"/>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5-3550-4BBA-9999-EF7C156A6B08}"/>
              </c:ext>
            </c:extLst>
          </c:dPt>
          <c:dPt>
            <c:idx val="83"/>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7-3550-4BBA-9999-EF7C156A6B08}"/>
              </c:ext>
            </c:extLst>
          </c:dPt>
          <c:dPt>
            <c:idx val="84"/>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9-3550-4BBA-9999-EF7C156A6B08}"/>
              </c:ext>
            </c:extLst>
          </c:dPt>
          <c:dPt>
            <c:idx val="85"/>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B-3550-4BBA-9999-EF7C156A6B08}"/>
              </c:ext>
            </c:extLst>
          </c:dPt>
          <c:dPt>
            <c:idx val="86"/>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D-3550-4BBA-9999-EF7C156A6B08}"/>
              </c:ext>
            </c:extLst>
          </c:dPt>
          <c:dPt>
            <c:idx val="87"/>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F-3550-4BBA-9999-EF7C156A6B08}"/>
              </c:ext>
            </c:extLst>
          </c:dPt>
          <c:dPt>
            <c:idx val="88"/>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1-3550-4BBA-9999-EF7C156A6B08}"/>
              </c:ext>
            </c:extLst>
          </c:dPt>
          <c:dPt>
            <c:idx val="89"/>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3-3550-4BBA-9999-EF7C156A6B08}"/>
              </c:ext>
            </c:extLst>
          </c:dPt>
          <c:dPt>
            <c:idx val="90"/>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5-3550-4BBA-9999-EF7C156A6B08}"/>
              </c:ext>
            </c:extLst>
          </c:dPt>
          <c:dPt>
            <c:idx val="91"/>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7-3550-4BBA-9999-EF7C156A6B08}"/>
              </c:ext>
            </c:extLst>
          </c:dPt>
          <c:dPt>
            <c:idx val="92"/>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9-3550-4BBA-9999-EF7C156A6B08}"/>
              </c:ext>
            </c:extLst>
          </c:dPt>
          <c:dPt>
            <c:idx val="93"/>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B-3550-4BBA-9999-EF7C156A6B08}"/>
              </c:ext>
            </c:extLst>
          </c:dPt>
          <c:dPt>
            <c:idx val="94"/>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D-3550-4BBA-9999-EF7C156A6B08}"/>
              </c:ext>
            </c:extLst>
          </c:dPt>
          <c:dPt>
            <c:idx val="95"/>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F-3550-4BBA-9999-EF7C156A6B08}"/>
              </c:ext>
            </c:extLst>
          </c:dPt>
          <c:dPt>
            <c:idx val="96"/>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1-3550-4BBA-9999-EF7C156A6B08}"/>
              </c:ext>
            </c:extLst>
          </c:dPt>
          <c:dPt>
            <c:idx val="97"/>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3-3550-4BBA-9999-EF7C156A6B08}"/>
              </c:ext>
            </c:extLst>
          </c:dPt>
          <c:dPt>
            <c:idx val="98"/>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5-3550-4BBA-9999-EF7C156A6B08}"/>
              </c:ext>
            </c:extLst>
          </c:dPt>
          <c:dPt>
            <c:idx val="99"/>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7-3550-4BBA-9999-EF7C156A6B08}"/>
              </c:ext>
            </c:extLst>
          </c:dPt>
          <c:dPt>
            <c:idx val="100"/>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9-3550-4BBA-9999-EF7C156A6B08}"/>
              </c:ext>
            </c:extLst>
          </c:dPt>
          <c:dPt>
            <c:idx val="101"/>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B-3550-4BBA-9999-EF7C156A6B08}"/>
              </c:ext>
            </c:extLst>
          </c:dPt>
          <c:dPt>
            <c:idx val="102"/>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D-3550-4BBA-9999-EF7C156A6B08}"/>
              </c:ext>
            </c:extLst>
          </c:dPt>
          <c:dPt>
            <c:idx val="103"/>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F-3550-4BBA-9999-EF7C156A6B08}"/>
              </c:ext>
            </c:extLst>
          </c:dPt>
          <c:dPt>
            <c:idx val="104"/>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1-3550-4BBA-9999-EF7C156A6B08}"/>
              </c:ext>
            </c:extLst>
          </c:dPt>
          <c:dPt>
            <c:idx val="105"/>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3-3550-4BBA-9999-EF7C156A6B08}"/>
              </c:ext>
            </c:extLst>
          </c:dPt>
          <c:dPt>
            <c:idx val="106"/>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5-3550-4BBA-9999-EF7C156A6B08}"/>
              </c:ext>
            </c:extLst>
          </c:dPt>
          <c:dPt>
            <c:idx val="107"/>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7-3550-4BBA-9999-EF7C156A6B08}"/>
              </c:ext>
            </c:extLst>
          </c:dPt>
          <c:dPt>
            <c:idx val="108"/>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D9-3550-4BBA-9999-EF7C156A6B08}"/>
              </c:ext>
            </c:extLst>
          </c:dPt>
          <c:dPt>
            <c:idx val="109"/>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DB-3550-4BBA-9999-EF7C156A6B08}"/>
              </c:ext>
            </c:extLst>
          </c:dPt>
          <c:dPt>
            <c:idx val="110"/>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DD-3550-4BBA-9999-EF7C156A6B08}"/>
              </c:ext>
            </c:extLst>
          </c:dPt>
          <c:dPt>
            <c:idx val="111"/>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DF-3550-4BBA-9999-EF7C156A6B08}"/>
              </c:ext>
            </c:extLst>
          </c:dPt>
          <c:dPt>
            <c:idx val="112"/>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E1-3550-4BBA-9999-EF7C156A6B08}"/>
              </c:ext>
            </c:extLst>
          </c:dPt>
          <c:dPt>
            <c:idx val="113"/>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E3-3550-4BBA-9999-EF7C156A6B08}"/>
              </c:ext>
            </c:extLst>
          </c:dPt>
          <c:dPt>
            <c:idx val="114"/>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5-3550-4BBA-9999-EF7C156A6B08}"/>
              </c:ext>
            </c:extLst>
          </c:dPt>
          <c:dPt>
            <c:idx val="115"/>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7-3550-4BBA-9999-EF7C156A6B08}"/>
              </c:ext>
            </c:extLst>
          </c:dPt>
          <c:dPt>
            <c:idx val="116"/>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9-3550-4BBA-9999-EF7C156A6B08}"/>
              </c:ext>
            </c:extLst>
          </c:dPt>
          <c:dPt>
            <c:idx val="117"/>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B-3550-4BBA-9999-EF7C156A6B08}"/>
              </c:ext>
            </c:extLst>
          </c:dPt>
          <c:dPt>
            <c:idx val="118"/>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D-3550-4BBA-9999-EF7C156A6B08}"/>
              </c:ext>
            </c:extLst>
          </c:dPt>
          <c:dPt>
            <c:idx val="119"/>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F-3550-4BBA-9999-EF7C156A6B08}"/>
              </c:ext>
            </c:extLst>
          </c:dPt>
          <c:dPt>
            <c:idx val="120"/>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1-3550-4BBA-9999-EF7C156A6B08}"/>
              </c:ext>
            </c:extLst>
          </c:dPt>
          <c:dPt>
            <c:idx val="121"/>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3-3550-4BBA-9999-EF7C156A6B08}"/>
              </c:ext>
            </c:extLst>
          </c:dPt>
          <c:dPt>
            <c:idx val="122"/>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5-3550-4BBA-9999-EF7C156A6B08}"/>
              </c:ext>
            </c:extLst>
          </c:dPt>
          <c:dPt>
            <c:idx val="123"/>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7-3550-4BBA-9999-EF7C156A6B08}"/>
              </c:ext>
            </c:extLst>
          </c:dPt>
          <c:dPt>
            <c:idx val="124"/>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9-3550-4BBA-9999-EF7C156A6B08}"/>
              </c:ext>
            </c:extLst>
          </c:dPt>
          <c:dPt>
            <c:idx val="125"/>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B-3550-4BBA-9999-EF7C156A6B08}"/>
              </c:ext>
            </c:extLst>
          </c:dPt>
          <c:dPt>
            <c:idx val="126"/>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D-3550-4BBA-9999-EF7C156A6B08}"/>
              </c:ext>
            </c:extLst>
          </c:dPt>
          <c:dPt>
            <c:idx val="127"/>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F-3550-4BBA-9999-EF7C156A6B08}"/>
              </c:ext>
            </c:extLst>
          </c:dPt>
          <c:dPt>
            <c:idx val="128"/>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1-3550-4BBA-9999-EF7C156A6B08}"/>
              </c:ext>
            </c:extLst>
          </c:dPt>
          <c:dPt>
            <c:idx val="129"/>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3-3550-4BBA-9999-EF7C156A6B08}"/>
              </c:ext>
            </c:extLst>
          </c:dPt>
          <c:dPt>
            <c:idx val="130"/>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5-3550-4BBA-9999-EF7C156A6B08}"/>
              </c:ext>
            </c:extLst>
          </c:dPt>
          <c:dPt>
            <c:idx val="131"/>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7-3550-4BBA-9999-EF7C156A6B08}"/>
              </c:ext>
            </c:extLst>
          </c:dPt>
          <c:dPt>
            <c:idx val="132"/>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9-3550-4BBA-9999-EF7C156A6B08}"/>
              </c:ext>
            </c:extLst>
          </c:dPt>
          <c:dPt>
            <c:idx val="133"/>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B-3550-4BBA-9999-EF7C156A6B08}"/>
              </c:ext>
            </c:extLst>
          </c:dPt>
          <c:dPt>
            <c:idx val="134"/>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D-3550-4BBA-9999-EF7C156A6B08}"/>
              </c:ext>
            </c:extLst>
          </c:dPt>
          <c:dPt>
            <c:idx val="135"/>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F-3550-4BBA-9999-EF7C156A6B08}"/>
              </c:ext>
            </c:extLst>
          </c:dPt>
          <c:dPt>
            <c:idx val="136"/>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1-3550-4BBA-9999-EF7C156A6B08}"/>
              </c:ext>
            </c:extLst>
          </c:dPt>
          <c:dPt>
            <c:idx val="137"/>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3-3550-4BBA-9999-EF7C156A6B08}"/>
              </c:ext>
            </c:extLst>
          </c:dPt>
          <c:dPt>
            <c:idx val="138"/>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5-3550-4BBA-9999-EF7C156A6B08}"/>
              </c:ext>
            </c:extLst>
          </c:dPt>
          <c:dPt>
            <c:idx val="139"/>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7-3550-4BBA-9999-EF7C156A6B08}"/>
              </c:ext>
            </c:extLst>
          </c:dPt>
          <c:dPt>
            <c:idx val="140"/>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9-3550-4BBA-9999-EF7C156A6B08}"/>
              </c:ext>
            </c:extLst>
          </c:dPt>
          <c:dPt>
            <c:idx val="141"/>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B-3550-4BBA-9999-EF7C156A6B08}"/>
              </c:ext>
            </c:extLst>
          </c:dPt>
          <c:dPt>
            <c:idx val="142"/>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D-3550-4BBA-9999-EF7C156A6B08}"/>
              </c:ext>
            </c:extLst>
          </c:dPt>
          <c:dPt>
            <c:idx val="143"/>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F-3550-4BBA-9999-EF7C156A6B08}"/>
              </c:ext>
            </c:extLst>
          </c:dPt>
          <c:dPt>
            <c:idx val="144"/>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1-3550-4BBA-9999-EF7C156A6B08}"/>
              </c:ext>
            </c:extLst>
          </c:dPt>
          <c:dPt>
            <c:idx val="145"/>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3-3550-4BBA-9999-EF7C156A6B08}"/>
              </c:ext>
            </c:extLst>
          </c:dPt>
          <c:dPt>
            <c:idx val="146"/>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5-3550-4BBA-9999-EF7C156A6B08}"/>
              </c:ext>
            </c:extLst>
          </c:dPt>
          <c:dPt>
            <c:idx val="147"/>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7-3550-4BBA-9999-EF7C156A6B08}"/>
              </c:ext>
            </c:extLst>
          </c:dPt>
          <c:dPt>
            <c:idx val="148"/>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9-3550-4BBA-9999-EF7C156A6B08}"/>
              </c:ext>
            </c:extLst>
          </c:dPt>
          <c:dPt>
            <c:idx val="149"/>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B-3550-4BBA-9999-EF7C156A6B08}"/>
              </c:ext>
            </c:extLst>
          </c:dPt>
          <c:dPt>
            <c:idx val="150"/>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D-3550-4BBA-9999-EF7C156A6B08}"/>
              </c:ext>
            </c:extLst>
          </c:dPt>
          <c:dPt>
            <c:idx val="151"/>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F-3550-4BBA-9999-EF7C156A6B08}"/>
              </c:ext>
            </c:extLst>
          </c:dPt>
          <c:dPt>
            <c:idx val="152"/>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1-3550-4BBA-9999-EF7C156A6B08}"/>
              </c:ext>
            </c:extLst>
          </c:dPt>
          <c:dPt>
            <c:idx val="153"/>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3-3550-4BBA-9999-EF7C156A6B08}"/>
              </c:ext>
            </c:extLst>
          </c:dPt>
          <c:dPt>
            <c:idx val="154"/>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5-3550-4BBA-9999-EF7C156A6B08}"/>
              </c:ext>
            </c:extLst>
          </c:dPt>
          <c:dPt>
            <c:idx val="155"/>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7-3550-4BBA-9999-EF7C156A6B08}"/>
              </c:ext>
            </c:extLst>
          </c:dPt>
          <c:dPt>
            <c:idx val="156"/>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9-3550-4BBA-9999-EF7C156A6B08}"/>
              </c:ext>
            </c:extLst>
          </c:dPt>
          <c:dPt>
            <c:idx val="157"/>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B-3550-4BBA-9999-EF7C156A6B08}"/>
              </c:ext>
            </c:extLst>
          </c:dPt>
          <c:dPt>
            <c:idx val="158"/>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D-3550-4BBA-9999-EF7C156A6B08}"/>
              </c:ext>
            </c:extLst>
          </c:dPt>
          <c:dPt>
            <c:idx val="159"/>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F-3550-4BBA-9999-EF7C156A6B08}"/>
              </c:ext>
            </c:extLst>
          </c:dPt>
          <c:dPt>
            <c:idx val="160"/>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41-3550-4BBA-9999-EF7C156A6B08}"/>
              </c:ext>
            </c:extLst>
          </c:dPt>
          <c:dPt>
            <c:idx val="161"/>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43-3550-4BBA-9999-EF7C156A6B08}"/>
              </c:ext>
            </c:extLst>
          </c:dPt>
          <c:dPt>
            <c:idx val="162"/>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145-3550-4BBA-9999-EF7C156A6B08}"/>
              </c:ext>
            </c:extLst>
          </c:dPt>
          <c:dPt>
            <c:idx val="163"/>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147-3550-4BBA-9999-EF7C156A6B08}"/>
              </c:ext>
            </c:extLst>
          </c:dPt>
          <c:dPt>
            <c:idx val="164"/>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149-3550-4BBA-9999-EF7C156A6B08}"/>
              </c:ext>
            </c:extLst>
          </c:dPt>
          <c:dPt>
            <c:idx val="165"/>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14B-3550-4BBA-9999-EF7C156A6B08}"/>
              </c:ext>
            </c:extLst>
          </c:dPt>
          <c:dPt>
            <c:idx val="166"/>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14D-3550-4BBA-9999-EF7C156A6B08}"/>
              </c:ext>
            </c:extLst>
          </c:dPt>
          <c:dPt>
            <c:idx val="167"/>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14F-3550-4BBA-9999-EF7C156A6B08}"/>
              </c:ext>
            </c:extLst>
          </c:dPt>
          <c:dPt>
            <c:idx val="168"/>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1-3550-4BBA-9999-EF7C156A6B08}"/>
              </c:ext>
            </c:extLst>
          </c:dPt>
          <c:dPt>
            <c:idx val="169"/>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3-3550-4BBA-9999-EF7C156A6B08}"/>
              </c:ext>
            </c:extLst>
          </c:dPt>
          <c:dPt>
            <c:idx val="170"/>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5-3550-4BBA-9999-EF7C156A6B08}"/>
              </c:ext>
            </c:extLst>
          </c:dPt>
          <c:dPt>
            <c:idx val="171"/>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7-3550-4BBA-9999-EF7C156A6B08}"/>
              </c:ext>
            </c:extLst>
          </c:dPt>
          <c:dPt>
            <c:idx val="172"/>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9-3550-4BBA-9999-EF7C156A6B08}"/>
              </c:ext>
            </c:extLst>
          </c:dPt>
          <c:dPt>
            <c:idx val="173"/>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B-3550-4BBA-9999-EF7C156A6B08}"/>
              </c:ext>
            </c:extLst>
          </c:dPt>
          <c:dPt>
            <c:idx val="174"/>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D-3550-4BBA-9999-EF7C156A6B08}"/>
              </c:ext>
            </c:extLst>
          </c:dPt>
          <c:dPt>
            <c:idx val="175"/>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F-3550-4BBA-9999-EF7C156A6B08}"/>
              </c:ext>
            </c:extLst>
          </c:dPt>
          <c:dPt>
            <c:idx val="176"/>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1-3550-4BBA-9999-EF7C156A6B08}"/>
              </c:ext>
            </c:extLst>
          </c:dPt>
          <c:dPt>
            <c:idx val="177"/>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3-3550-4BBA-9999-EF7C156A6B08}"/>
              </c:ext>
            </c:extLst>
          </c:dPt>
          <c:dPt>
            <c:idx val="178"/>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5-3550-4BBA-9999-EF7C156A6B08}"/>
              </c:ext>
            </c:extLst>
          </c:dPt>
          <c:dPt>
            <c:idx val="179"/>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7-3550-4BBA-9999-EF7C156A6B08}"/>
              </c:ext>
            </c:extLst>
          </c:dPt>
          <c:dPt>
            <c:idx val="180"/>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9-3550-4BBA-9999-EF7C156A6B08}"/>
              </c:ext>
            </c:extLst>
          </c:dPt>
          <c:dPt>
            <c:idx val="181"/>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B-3550-4BBA-9999-EF7C156A6B08}"/>
              </c:ext>
            </c:extLst>
          </c:dPt>
          <c:dPt>
            <c:idx val="182"/>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D-3550-4BBA-9999-EF7C156A6B08}"/>
              </c:ext>
            </c:extLst>
          </c:dPt>
          <c:dPt>
            <c:idx val="183"/>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F-3550-4BBA-9999-EF7C156A6B08}"/>
              </c:ext>
            </c:extLst>
          </c:dPt>
          <c:dPt>
            <c:idx val="184"/>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1-3550-4BBA-9999-EF7C156A6B08}"/>
              </c:ext>
            </c:extLst>
          </c:dPt>
          <c:dPt>
            <c:idx val="185"/>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3-3550-4BBA-9999-EF7C156A6B08}"/>
              </c:ext>
            </c:extLst>
          </c:dPt>
          <c:dPt>
            <c:idx val="186"/>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5-3550-4BBA-9999-EF7C156A6B08}"/>
              </c:ext>
            </c:extLst>
          </c:dPt>
          <c:dPt>
            <c:idx val="187"/>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7-3550-4BBA-9999-EF7C156A6B08}"/>
              </c:ext>
            </c:extLst>
          </c:dPt>
          <c:dPt>
            <c:idx val="188"/>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9-3550-4BBA-9999-EF7C156A6B08}"/>
              </c:ext>
            </c:extLst>
          </c:dPt>
          <c:dPt>
            <c:idx val="189"/>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B-3550-4BBA-9999-EF7C156A6B08}"/>
              </c:ext>
            </c:extLst>
          </c:dPt>
          <c:dPt>
            <c:idx val="190"/>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D-3550-4BBA-9999-EF7C156A6B08}"/>
              </c:ext>
            </c:extLst>
          </c:dPt>
          <c:dPt>
            <c:idx val="191"/>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F-3550-4BBA-9999-EF7C156A6B08}"/>
              </c:ext>
            </c:extLst>
          </c:dPt>
          <c:dPt>
            <c:idx val="192"/>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1-3550-4BBA-9999-EF7C156A6B08}"/>
              </c:ext>
            </c:extLst>
          </c:dPt>
          <c:dPt>
            <c:idx val="193"/>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3-3550-4BBA-9999-EF7C156A6B08}"/>
              </c:ext>
            </c:extLst>
          </c:dPt>
          <c:dPt>
            <c:idx val="194"/>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5-3550-4BBA-9999-EF7C156A6B08}"/>
              </c:ext>
            </c:extLst>
          </c:dPt>
          <c:dPt>
            <c:idx val="195"/>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7-3550-4BBA-9999-EF7C156A6B08}"/>
              </c:ext>
            </c:extLst>
          </c:dPt>
          <c:dPt>
            <c:idx val="196"/>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9-3550-4BBA-9999-EF7C156A6B08}"/>
              </c:ext>
            </c:extLst>
          </c:dPt>
          <c:dPt>
            <c:idx val="197"/>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B-3550-4BBA-9999-EF7C156A6B08}"/>
              </c:ext>
            </c:extLst>
          </c:dPt>
          <c:dPt>
            <c:idx val="198"/>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D-3550-4BBA-9999-EF7C156A6B08}"/>
              </c:ext>
            </c:extLst>
          </c:dPt>
          <c:dPt>
            <c:idx val="199"/>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F-3550-4BBA-9999-EF7C156A6B08}"/>
              </c:ext>
            </c:extLst>
          </c:dPt>
          <c:dPt>
            <c:idx val="200"/>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1-3550-4BBA-9999-EF7C156A6B08}"/>
              </c:ext>
            </c:extLst>
          </c:dPt>
          <c:dPt>
            <c:idx val="201"/>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3-3550-4BBA-9999-EF7C156A6B08}"/>
              </c:ext>
            </c:extLst>
          </c:dPt>
          <c:dPt>
            <c:idx val="202"/>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5-3550-4BBA-9999-EF7C156A6B08}"/>
              </c:ext>
            </c:extLst>
          </c:dPt>
          <c:dPt>
            <c:idx val="203"/>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7-3550-4BBA-9999-EF7C156A6B08}"/>
              </c:ext>
            </c:extLst>
          </c:dPt>
          <c:dPt>
            <c:idx val="204"/>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9-3550-4BBA-9999-EF7C156A6B08}"/>
              </c:ext>
            </c:extLst>
          </c:dPt>
          <c:dPt>
            <c:idx val="205"/>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B-3550-4BBA-9999-EF7C156A6B08}"/>
              </c:ext>
            </c:extLst>
          </c:dPt>
          <c:dPt>
            <c:idx val="206"/>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D-3550-4BBA-9999-EF7C156A6B08}"/>
              </c:ext>
            </c:extLst>
          </c:dPt>
          <c:dPt>
            <c:idx val="207"/>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F-3550-4BBA-9999-EF7C156A6B08}"/>
              </c:ext>
            </c:extLst>
          </c:dPt>
          <c:dPt>
            <c:idx val="208"/>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1-3550-4BBA-9999-EF7C156A6B08}"/>
              </c:ext>
            </c:extLst>
          </c:dPt>
          <c:dPt>
            <c:idx val="209"/>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3-3550-4BBA-9999-EF7C156A6B08}"/>
              </c:ext>
            </c:extLst>
          </c:dPt>
          <c:dPt>
            <c:idx val="210"/>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5-3550-4BBA-9999-EF7C156A6B08}"/>
              </c:ext>
            </c:extLst>
          </c:dPt>
          <c:dPt>
            <c:idx val="211"/>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7-3550-4BBA-9999-EF7C156A6B08}"/>
              </c:ext>
            </c:extLst>
          </c:dPt>
          <c:dPt>
            <c:idx val="212"/>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9-3550-4BBA-9999-EF7C156A6B08}"/>
              </c:ext>
            </c:extLst>
          </c:dPt>
          <c:dPt>
            <c:idx val="213"/>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B-3550-4BBA-9999-EF7C156A6B08}"/>
              </c:ext>
            </c:extLst>
          </c:dPt>
          <c:dPt>
            <c:idx val="214"/>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D-3550-4BBA-9999-EF7C156A6B08}"/>
              </c:ext>
            </c:extLst>
          </c:dPt>
          <c:dPt>
            <c:idx val="215"/>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F-3550-4BBA-9999-EF7C156A6B08}"/>
              </c:ext>
            </c:extLst>
          </c:dPt>
          <c:dPt>
            <c:idx val="216"/>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1B1-3550-4BBA-9999-EF7C156A6B08}"/>
              </c:ext>
            </c:extLst>
          </c:dPt>
          <c:dPt>
            <c:idx val="217"/>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1B3-3550-4BBA-9999-EF7C156A6B08}"/>
              </c:ext>
            </c:extLst>
          </c:dPt>
          <c:dPt>
            <c:idx val="218"/>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1B5-3550-4BBA-9999-EF7C156A6B08}"/>
              </c:ext>
            </c:extLst>
          </c:dPt>
          <c:dPt>
            <c:idx val="219"/>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1B7-3550-4BBA-9999-EF7C156A6B08}"/>
              </c:ext>
            </c:extLst>
          </c:dPt>
          <c:dPt>
            <c:idx val="220"/>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1B9-3550-4BBA-9999-EF7C156A6B08}"/>
              </c:ext>
            </c:extLst>
          </c:dPt>
          <c:dPt>
            <c:idx val="221"/>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1BB-3550-4BBA-9999-EF7C156A6B08}"/>
              </c:ext>
            </c:extLst>
          </c:dPt>
          <c:dPt>
            <c:idx val="222"/>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BD-3550-4BBA-9999-EF7C156A6B08}"/>
              </c:ext>
            </c:extLst>
          </c:dPt>
          <c:dPt>
            <c:idx val="223"/>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BF-3550-4BBA-9999-EF7C156A6B08}"/>
              </c:ext>
            </c:extLst>
          </c:dPt>
          <c:dPt>
            <c:idx val="224"/>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1-3550-4BBA-9999-EF7C156A6B08}"/>
              </c:ext>
            </c:extLst>
          </c:dPt>
          <c:dPt>
            <c:idx val="225"/>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3-3550-4BBA-9999-EF7C156A6B08}"/>
              </c:ext>
            </c:extLst>
          </c:dPt>
          <c:dPt>
            <c:idx val="226"/>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5-3550-4BBA-9999-EF7C156A6B08}"/>
              </c:ext>
            </c:extLst>
          </c:dPt>
          <c:dPt>
            <c:idx val="227"/>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7-3550-4BBA-9999-EF7C156A6B08}"/>
              </c:ext>
            </c:extLst>
          </c:dPt>
          <c:dPt>
            <c:idx val="228"/>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9-3550-4BBA-9999-EF7C156A6B08}"/>
              </c:ext>
            </c:extLst>
          </c:dPt>
          <c:dPt>
            <c:idx val="229"/>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B-3550-4BBA-9999-EF7C156A6B08}"/>
              </c:ext>
            </c:extLst>
          </c:dPt>
          <c:dPt>
            <c:idx val="230"/>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D-3550-4BBA-9999-EF7C156A6B08}"/>
              </c:ext>
            </c:extLst>
          </c:dPt>
          <c:dPt>
            <c:idx val="231"/>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F-3550-4BBA-9999-EF7C156A6B08}"/>
              </c:ext>
            </c:extLst>
          </c:dPt>
          <c:dPt>
            <c:idx val="232"/>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1-3550-4BBA-9999-EF7C156A6B08}"/>
              </c:ext>
            </c:extLst>
          </c:dPt>
          <c:dPt>
            <c:idx val="233"/>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3-3550-4BBA-9999-EF7C156A6B08}"/>
              </c:ext>
            </c:extLst>
          </c:dPt>
          <c:dPt>
            <c:idx val="234"/>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5-3550-4BBA-9999-EF7C156A6B08}"/>
              </c:ext>
            </c:extLst>
          </c:dPt>
          <c:dPt>
            <c:idx val="235"/>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7-3550-4BBA-9999-EF7C156A6B08}"/>
              </c:ext>
            </c:extLst>
          </c:dPt>
          <c:dPt>
            <c:idx val="236"/>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9-3550-4BBA-9999-EF7C156A6B08}"/>
              </c:ext>
            </c:extLst>
          </c:dPt>
          <c:dPt>
            <c:idx val="237"/>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B-3550-4BBA-9999-EF7C156A6B08}"/>
              </c:ext>
            </c:extLst>
          </c:dPt>
          <c:dPt>
            <c:idx val="238"/>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D-3550-4BBA-9999-EF7C156A6B08}"/>
              </c:ext>
            </c:extLst>
          </c:dPt>
          <c:dPt>
            <c:idx val="239"/>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F-3550-4BBA-9999-EF7C156A6B08}"/>
              </c:ext>
            </c:extLst>
          </c:dPt>
          <c:dPt>
            <c:idx val="240"/>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1-3550-4BBA-9999-EF7C156A6B08}"/>
              </c:ext>
            </c:extLst>
          </c:dPt>
          <c:dPt>
            <c:idx val="241"/>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3-3550-4BBA-9999-EF7C156A6B08}"/>
              </c:ext>
            </c:extLst>
          </c:dPt>
          <c:dPt>
            <c:idx val="242"/>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5-3550-4BBA-9999-EF7C156A6B08}"/>
              </c:ext>
            </c:extLst>
          </c:dPt>
          <c:dPt>
            <c:idx val="243"/>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7-3550-4BBA-9999-EF7C156A6B08}"/>
              </c:ext>
            </c:extLst>
          </c:dPt>
          <c:dPt>
            <c:idx val="244"/>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9-3550-4BBA-9999-EF7C156A6B08}"/>
              </c:ext>
            </c:extLst>
          </c:dPt>
          <c:dPt>
            <c:idx val="245"/>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B-3550-4BBA-9999-EF7C156A6B08}"/>
              </c:ext>
            </c:extLst>
          </c:dPt>
          <c:dPt>
            <c:idx val="246"/>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D-3550-4BBA-9999-EF7C156A6B08}"/>
              </c:ext>
            </c:extLst>
          </c:dPt>
          <c:dPt>
            <c:idx val="247"/>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F-3550-4BBA-9999-EF7C156A6B08}"/>
              </c:ext>
            </c:extLst>
          </c:dPt>
          <c:dPt>
            <c:idx val="248"/>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1-3550-4BBA-9999-EF7C156A6B08}"/>
              </c:ext>
            </c:extLst>
          </c:dPt>
          <c:dPt>
            <c:idx val="249"/>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3-3550-4BBA-9999-EF7C156A6B08}"/>
              </c:ext>
            </c:extLst>
          </c:dPt>
          <c:dPt>
            <c:idx val="250"/>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5-3550-4BBA-9999-EF7C156A6B08}"/>
              </c:ext>
            </c:extLst>
          </c:dPt>
          <c:dPt>
            <c:idx val="251"/>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7-3550-4BBA-9999-EF7C156A6B08}"/>
              </c:ext>
            </c:extLst>
          </c:dPt>
          <c:dPt>
            <c:idx val="252"/>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9-3550-4BBA-9999-EF7C156A6B08}"/>
              </c:ext>
            </c:extLst>
          </c:dPt>
          <c:dPt>
            <c:idx val="253"/>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B-3550-4BBA-9999-EF7C156A6B08}"/>
              </c:ext>
            </c:extLst>
          </c:dPt>
          <c:dPt>
            <c:idx val="254"/>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D-3550-4BBA-9999-EF7C156A6B08}"/>
              </c:ext>
            </c:extLst>
          </c:dPt>
          <c:dPt>
            <c:idx val="255"/>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F-3550-4BBA-9999-EF7C156A6B08}"/>
              </c:ext>
            </c:extLst>
          </c:dPt>
          <c:dPt>
            <c:idx val="256"/>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1-3550-4BBA-9999-EF7C156A6B08}"/>
              </c:ext>
            </c:extLst>
          </c:dPt>
          <c:dPt>
            <c:idx val="257"/>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3-3550-4BBA-9999-EF7C156A6B08}"/>
              </c:ext>
            </c:extLst>
          </c:dPt>
          <c:dPt>
            <c:idx val="258"/>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5-3550-4BBA-9999-EF7C156A6B08}"/>
              </c:ext>
            </c:extLst>
          </c:dPt>
          <c:dPt>
            <c:idx val="259"/>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7-3550-4BBA-9999-EF7C156A6B08}"/>
              </c:ext>
            </c:extLst>
          </c:dPt>
          <c:dPt>
            <c:idx val="260"/>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9-3550-4BBA-9999-EF7C156A6B08}"/>
              </c:ext>
            </c:extLst>
          </c:dPt>
          <c:dPt>
            <c:idx val="261"/>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B-3550-4BBA-9999-EF7C156A6B08}"/>
              </c:ext>
            </c:extLst>
          </c:dPt>
          <c:dPt>
            <c:idx val="262"/>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D-3550-4BBA-9999-EF7C156A6B08}"/>
              </c:ext>
            </c:extLst>
          </c:dPt>
          <c:dPt>
            <c:idx val="263"/>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F-3550-4BBA-9999-EF7C156A6B08}"/>
              </c:ext>
            </c:extLst>
          </c:dPt>
          <c:dPt>
            <c:idx val="264"/>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1-3550-4BBA-9999-EF7C156A6B08}"/>
              </c:ext>
            </c:extLst>
          </c:dPt>
          <c:dPt>
            <c:idx val="265"/>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3-3550-4BBA-9999-EF7C156A6B08}"/>
              </c:ext>
            </c:extLst>
          </c:dPt>
          <c:dPt>
            <c:idx val="266"/>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5-3550-4BBA-9999-EF7C156A6B08}"/>
              </c:ext>
            </c:extLst>
          </c:dPt>
          <c:dPt>
            <c:idx val="267"/>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7-3550-4BBA-9999-EF7C156A6B08}"/>
              </c:ext>
            </c:extLst>
          </c:dPt>
          <c:dPt>
            <c:idx val="268"/>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9-3550-4BBA-9999-EF7C156A6B08}"/>
              </c:ext>
            </c:extLst>
          </c:dPt>
          <c:dPt>
            <c:idx val="269"/>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B-3550-4BBA-9999-EF7C156A6B08}"/>
              </c:ext>
            </c:extLst>
          </c:dPt>
          <c:dPt>
            <c:idx val="27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21D-3550-4BBA-9999-EF7C156A6B08}"/>
              </c:ext>
            </c:extLst>
          </c:dPt>
          <c:dPt>
            <c:idx val="27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21F-3550-4BBA-9999-EF7C156A6B08}"/>
              </c:ext>
            </c:extLst>
          </c:dPt>
          <c:dPt>
            <c:idx val="27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221-3550-4BBA-9999-EF7C156A6B08}"/>
              </c:ext>
            </c:extLst>
          </c:dPt>
          <c:cat>
            <c:strRef>
              <c:f>'Top 5 Customers'!$A$4:$A$8</c:f>
              <c:strCache>
                <c:ptCount val="5"/>
                <c:pt idx="0">
                  <c:v>Tom Ashbrook</c:v>
                </c:pt>
                <c:pt idx="1">
                  <c:v>Mitch Willingham</c:v>
                </c:pt>
                <c:pt idx="2">
                  <c:v>Rick Hansen</c:v>
                </c:pt>
                <c:pt idx="3">
                  <c:v>George Zrebassa</c:v>
                </c:pt>
                <c:pt idx="4">
                  <c:v>Nicole Hansen</c:v>
                </c:pt>
              </c:strCache>
            </c:strRef>
          </c:cat>
          <c:val>
            <c:numRef>
              <c:f>'Top 5 Customers'!$B$4:$B$8</c:f>
              <c:numCache>
                <c:formatCode>General</c:formatCode>
                <c:ptCount val="5"/>
                <c:pt idx="0">
                  <c:v>3919.99</c:v>
                </c:pt>
                <c:pt idx="1">
                  <c:v>1276.49</c:v>
                </c:pt>
                <c:pt idx="2">
                  <c:v>762.18</c:v>
                </c:pt>
                <c:pt idx="3">
                  <c:v>659.98</c:v>
                </c:pt>
                <c:pt idx="4">
                  <c:v>361.3</c:v>
                </c:pt>
              </c:numCache>
            </c:numRef>
          </c:val>
          <c:extLst xmlns:c16r2="http://schemas.microsoft.com/office/drawing/2015/06/chart">
            <c:ext xmlns:c16="http://schemas.microsoft.com/office/drawing/2014/chart" uri="{C3380CC4-5D6E-409C-BE32-E72D297353CC}">
              <c16:uniqueId val="{00000222-3550-4BBA-9999-EF7C156A6B0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930555555555558"/>
          <c:y val="0.32635264903264344"/>
          <c:w val="0.33333333333333331"/>
          <c:h val="0.45012463262451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 Sum of Sales by Year!PivotTable11</c:name>
    <c:fmtId val="1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solidFill>
          <a:ln>
            <a:noFill/>
          </a:ln>
          <a:effectLst/>
        </c:spPr>
        <c:marker>
          <c:symbol val="none"/>
        </c:marker>
      </c:pivotFmt>
    </c:pivotFmts>
    <c:plotArea>
      <c:layout>
        <c:manualLayout>
          <c:layoutTarget val="inner"/>
          <c:xMode val="edge"/>
          <c:yMode val="edge"/>
          <c:x val="9.8967099811956394E-2"/>
          <c:y val="9.6133751306165097E-2"/>
          <c:w val="0.749658891882371"/>
          <c:h val="0.81199582027168249"/>
        </c:manualLayout>
      </c:layout>
      <c:areaChart>
        <c:grouping val="standard"/>
        <c:varyColors val="0"/>
        <c:ser>
          <c:idx val="0"/>
          <c:order val="0"/>
          <c:tx>
            <c:strRef>
              <c:f>' Sum of Sales by Year'!$B$3</c:f>
              <c:strCache>
                <c:ptCount val="1"/>
                <c:pt idx="0">
                  <c:v>Total</c:v>
                </c:pt>
              </c:strCache>
            </c:strRef>
          </c:tx>
          <c:spPr>
            <a:solidFill>
              <a:schemeClr val="accent2"/>
            </a:solidFill>
            <a:ln>
              <a:noFill/>
            </a:ln>
            <a:effectLst/>
          </c:spPr>
          <c:cat>
            <c:strRef>
              <c:f>' Sum of Sales by Year'!$A$4:$A$15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Sum of Sales by Year'!$B$4:$B$15</c:f>
              <c:numCache>
                <c:formatCode>General</c:formatCode>
                <c:ptCount val="12"/>
                <c:pt idx="0">
                  <c:v>1480.2</c:v>
                </c:pt>
                <c:pt idx="1">
                  <c:v>3678.4700000000003</c:v>
                </c:pt>
                <c:pt idx="2">
                  <c:v>3803.6400000000008</c:v>
                </c:pt>
                <c:pt idx="3">
                  <c:v>3709.9300000000007</c:v>
                </c:pt>
                <c:pt idx="4">
                  <c:v>13703.749999999998</c:v>
                </c:pt>
                <c:pt idx="5">
                  <c:v>11832.19</c:v>
                </c:pt>
                <c:pt idx="6">
                  <c:v>4593.58</c:v>
                </c:pt>
                <c:pt idx="7">
                  <c:v>7553.9599999999991</c:v>
                </c:pt>
                <c:pt idx="8">
                  <c:v>6215.7799999999988</c:v>
                </c:pt>
                <c:pt idx="9">
                  <c:v>1031.7600000000002</c:v>
                </c:pt>
                <c:pt idx="10">
                  <c:v>7070.98</c:v>
                </c:pt>
                <c:pt idx="11">
                  <c:v>6157.6900000000005</c:v>
                </c:pt>
              </c:numCache>
            </c:numRef>
          </c:val>
        </c:ser>
        <c:dLbls>
          <c:showLegendKey val="0"/>
          <c:showVal val="0"/>
          <c:showCatName val="0"/>
          <c:showSerName val="0"/>
          <c:showPercent val="0"/>
          <c:showBubbleSize val="0"/>
        </c:dLbls>
        <c:axId val="397010608"/>
        <c:axId val="397007472"/>
      </c:areaChart>
      <c:catAx>
        <c:axId val="397010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007472"/>
        <c:crosses val="autoZero"/>
        <c:auto val="1"/>
        <c:lblAlgn val="ctr"/>
        <c:lblOffset val="100"/>
        <c:noMultiLvlLbl val="0"/>
      </c:catAx>
      <c:valAx>
        <c:axId val="39700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010608"/>
        <c:crosses val="autoZero"/>
        <c:crossBetween val="midCat"/>
      </c:valAx>
      <c:spPr>
        <a:solidFill>
          <a:schemeClr val="accent3">
            <a:lumMod val="75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sub-category</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Sum of Sales by sub-category</a:t>
          </a:r>
        </a:p>
      </cx:txPr>
    </cx:title>
    <cx:plotArea>
      <cx:plotAreaRegion>
        <cx:series layoutId="funnel" uniqueId="{E9DBDC8C-F8CD-4523-95D4-3827CDE4EC84}">
          <cx:tx>
            <cx:txData>
              <cx:f>_xlchart.v2.1</cx:f>
              <cx:v>Sum of Sales</cx:v>
            </cx:txData>
          </cx:tx>
          <cx:spPr>
            <a:solidFill>
              <a:schemeClr val="accent2"/>
            </a:solidFill>
          </cx:spPr>
          <cx:dataLabels>
            <cx:visibility seriesName="0" categoryName="0" value="1"/>
          </cx:dataLabels>
          <cx:dataId val="0"/>
        </cx:series>
      </cx:plotAreaRegion>
      <cx:axis id="0">
        <cx:catScaling gapWidth="0.0599999987"/>
        <cx:tickLabels/>
      </cx:axis>
    </cx:plotArea>
  </cx:chart>
  <cx:spPr>
    <a:solidFill>
      <a:schemeClr val="accent3">
        <a:lumMod val="60000"/>
        <a:lumOff val="4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Customer Sales.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Customer Sales.</a:t>
          </a:r>
        </a:p>
      </cx:txPr>
    </cx:title>
    <cx:plotArea>
      <cx:plotAreaRegion>
        <cx:plotSurface>
          <cx:spPr>
            <a:solidFill>
              <a:schemeClr val="accent3">
                <a:lumMod val="75000"/>
              </a:schemeClr>
            </a:solidFill>
          </cx:spPr>
        </cx:plotSurface>
        <cx:series layoutId="regionMap" uniqueId="{5CF8B556-EBB3-473F-B66E-7526F40C3631}">
          <cx:tx>
            <cx:txData>
              <cx:f>_xlchart.v5.5</cx:f>
              <cx:v>Sum of Sales</cx:v>
            </cx:txData>
          </cx:tx>
          <cx:dataId val="0"/>
          <cx:layoutPr>
            <cx:geography cultureLanguage="en-US" cultureRegion="US" attribution="Powered by Bing">
              <cx:geoCache provider="{E9337A44-BEBE-4D9F-B70C-5C5E7DAFC167}">
                <cx:binary>1H3ZcttItu2vOPx8oULOyI6uE1HgoMmSbcl2V/kFQUsqzEjM09ffBZGyJRRt6UTrPFDdUQyLTGJn
rtzT2jtT/77p/3WT3G3KN32aZNW/bvrf3wZ1nf/rt9+qm+Au3VRHaXhTmsr8XR/dmPQ38/ff4c3d
b7flpgsz/zdqE/7bTbAp67v+7f/8G9/m35l35mZThyb72NyVw9Vd1SR19Yv39r71ZnObhtkyrOoy
vKnJ72//E1Y3JqvC7O2bu6wO6+HTkN/9/vbJx96++W3+Zf948JsEstXNLcZyfiSZ1oJJW29/3r5J
TObv3rYcfaQY1UJoZt//sIdnX25SjH+RSPcCbW5vy7uqwqTuX58MfTIDvHP69s2NabJ6Wjofq/j7
289ZWN/dvrmuN/Vd9fZNWJnF9gMLM03j8/X9vH97uvj/8+/ZL7ASs988wme+bM+99Q94Tm83gXlY
nleBhjnaVpSTLTLOU2gIAXbARTm2eHjqFpRnBdkPyG7YDIzT5UGCsU5MGd5uHhbmv4eDOkcCekDk
Dg2tn8Lh0CPuKMaps19TXiDQfli+D5wBs353kMC8D8LXVBL7iBOgotXOfs2UBKjgHQZc1F779Zw0
+yHZjprh8f7kIPFYbJLwb1Nm4SvqClNHVHApNdHbVSdPdYUQfSSJooo82LYHPd0asJfJtB+bx2Nn
CC3+OEiETpMkzEwIt/dqXt8+InArDpP8Z16fcEcy4Yjv72+fvXMwL5BoPzo/5jLD5vQwrdkfyebb
Jn1N1YHBkpJTStVTnXHkkcNtxqhN92LyAkn2Q/J94AyRPw4TkeM7U/qvaszokeQOdbgme42Zw444
50xx29nrYl4g0H5gvg+cAXN8mGbsjzIcTfaaqsKPqGaUOmRnxWYaQwg5gioJLYW8R4Y8WNCtFXuB
QPuB+T5wBswfXw/Sv3y66zev6FwYOeKSOdwh+/VF6yMGM6aV2hkyhGyPncuz4uwHZTdsBsmnPw8S
kj/KeJNVr4oKP3K0dmxGdi59FihrpC9MI5QWOys2yylfItF+YH6MnGHzx9VBYnN51735y5Txw679
71NLTo8005RPzv3+hz11/UocSbwj5IOhkw/P3hqyl0i0H5sfI2fYXP51kNicw5A0N/HwsD7/PTZI
ZQRV1JHih7V6QpCJI+oopRjZpf0zvXmJRPux+TFyhs35YWKzMKBkNrevmPwz5wgmTQib7/QGDv4x
NsQWR4IrpDlQqMcu5iWi7Aflx8gZKIv3B6kwy7tk023Ku4f1eQWF0Ue27ShJ2Y/c8TEoMGZcOpIz
An80/cwU5iUS7cfmx8gZNsvVQWKzMFl2d1OHN039evBwciSUIIIxsfU1M51RyD8Zsh1CZ7i8UJr9
0DwZPENn8ekg0bk0ZR28WW5iU79iTsMVkknJbIegKnP/MzdpIDzllPU80NAPW2MXCrxQqv0wPZ3T
DKfLwywEnGa34eZV0059BF5Tc+chUp5FayBqoD5KA6Sths0U6QUC7Ufn+8AZMKeXB6lAp6Z7TcWh
R7biUijO98bQmh1NBk8Se/f+LIZ+TpqfQHI/hzkefxwkHuevnXE6KIhxJPlqV3qZeRrtHDHHJkhJ
d4EC6JvHQdrz8uzH5GHcDJXz64NE5X2coKr8qgwzgmKHwcvsAgB7jgsyHnsqYirYsJ0LeozLSyTa
j8yPkTNs3p8fJDbvTBNWr+xc7CPtgDeT38vMT/2/JqBxiAPSc1fv5E+V5kUi7Ufn0dAZPO8O06Bd
bMoh2WS3Dyv0CrkNEk6wATBYT1FRElVmAjJa75joWb75Ekn2g/Jj5AyTi8OMxr6EKM68dq1ZEOpo
JnfmakZsKudIgvcU6KTZWrMZNi+RaD82P0bOsPlyoPoSVpVpyvBV9QWwIE7mu1IAfao3E+kM6kyR
h2xmFipfvECi/dj8GDnD5uIweZqLTVVtboKmuqvr6vUAAvOMNgyGFpn97TMKFTRboOrszIKzF8vz
E3ieTmeO0aHqz00Q+pvX7c50FFdaOftbAB0BssbWMGy792dJzUX4vEQ/Aej7yDk2pwcZql2E4NKq
16Vq5BFDTwCqZruK2TyO5kdEI44GV/OgsFuO5kWy/AyW79OY43KYJMBkp6f/5/lruh1wmBQc9Pfu
pVm4hqZmtARQlA12DM0/1OZFQv0MokeD5yAdZg56YbL6VSk0sJzwKVPX5n6yhthAiCOsk2yW37xA
lJ/A8jCHOSSfDtKeXZvm/4J95mgCQJVZPKT+844a2z6izIbVkzNcXirPfnCejp4hdH2Ymc778s43
rxkLMDQJOKicMfmdlnlcVyPUPkLzBmqefBarPS/JflQexs3weH+obRvfyk0Vbx588X/PBkylNLQw
M6W27WX2PLvRR4BDUVRCt5T0zM1c3j0v0X5kfoycYXN5mJXOy7t285pnNRhazITkXCA4vv+ZcQKE
SEQAAlmNs43dELo9pjifl+dnuGznMUfly0H6mP9sqgAH3OpXtWKobxLChHJ2bMzcw9xbMfTbPlAG
M2ReJtN+dB6PnSH0nz8OEqGpfetkk+bA6TVbODg7kg66zfSD4QJl9tjVgBVAhCApSIOtYZslOC8W
az9Os+EzqC5PDhOq+8L8YlMaHOZ4RSfEUM1hOOD03dTNFErpI+LA0km5c1JzJ/RiuX4C1mz8HK3F
YaIFxTq7K6u74cExvEK4gEM3DCoj2H4yVOE4J1JWHCfexXezEHtSi+dl+glKj8bOETo7SISuAhz8
fXNavW6BByGdpA7OO+960/QscJgsH0HMMJ0quP+BZXwcOLxUqv0oPR09w+nqMIm3adde3PXhzWv2
fSJNpYi7Cd/ZtJl/IrY8Iihha7RRPcXnZdLsR+fx2Bk2lxcHoUM3vzxTv93HWzv35JP/yysFEHyj
YoBGHJQV7n9m6OD8B7o+0JP7UCyd2bnZUf+fi7UfptnwJzM5jHsEPt1NJG91d/ewd/9734MoweFo
YLd3+c48VUXPGuOMTmdyt5jN9OZFIu3H49HQmdZ8OkzK+gPgqYak3bxqGZvbaOzAieldLcGed+Uo
deQwx5maqbaeB57psed5qVT7QXo6eobTh8NMjr7clSlI34dl+u+VCHel2EpQ/G9m0dAzLSWVWsLl
3P/MytgvkGQ/LN8HzhD58ukg/M0TqXF/zZbm/T/IgUCN2nAn9OHE4QwfZ9ItHM/FgdAtPrMc6OVy
7YdpPv7JvDHtxUGi9bneBK+nPBMlh0YDsAY7MnRGlt4f1lVobKNyhs5zcuzHZDtqhsTnw9Sb4xJd
bG8+oXqdPAfIr643+vl732+IWm7qzer+aqlHtx/9+t375ceNV7OhO+e0N5zc+q3T29/fUo7g7/uF
VdNX7MZtK+WzWG427m5T1b+/taQ80ooxtH4jqEQ93sb+6e6mtxDNIF0DTYXuMIH7SBz4zGziK35/
i0SOoVCCKHR31KWaCmoYgg4/RlGZ1ATUvsYVJd+v9PpgkgEVne+rsfv3m6xJP5gwq6vf3zIYnnz7
sWl20xNRltGSMKpwaAPHavD+zeYKrCo+Tf5fQqIyI10s7hzi1Y1e0ZznVrKw8zYcvwjR5PGGW6Wo
1lkxVANf1rQXQb+wjGd/87OSZ9bC0D5WZzoQQ7OMtZUVJ51Ok+oiEWluDa6Je5F/E3Ed9WaJtUoi
tvCV4uRO9WZorpKgV8nGcUTu3bCUFfLSl2GRMzclYQVReC7K9H1A7LrLln4iyjh3TSfS9B1RQwGR
/TQlwzlNWRb9bVWtwZhHkO5ZJBBUT9YIlAjlGnT9FP5gubAjHq+RImnYBDJw7rzOZFFxUqc84ScJ
b6tSnYyVX4fdYgxz3GKT2F5IvfWvH09geJ4+f+pAYzh9C++N4wF6ev8RRmPEnEraMryNSMzicFEb
Jljgak2tIlqXfeeX9bIMap8HrsWtMc8+dJwNFV0QPsqOndUyyKrYNaZgJbkEt1DgvV8LiS38WEaF
ajnDhSxocsQR4GlbPpWxD0KLBiWzbqVVtjZd+qPyVbFOHF4z283KWsqvsbC9GiTCd3V7HpvpuVyj
hx9Gm6KXZf7cvBmMMhZzbv0Be066rZ0n1Z8B92jmu10UNuH7zMNlerUbBAam3f3149GnMZu2wjUC
uHxDcwHXoKZleQSNL9rQsvuA3VoqUQVbiM6WYgNFsupTM4YquQwtYsgFi4uhuY4r2x4DF2R5gkX5
tSSI4J5KIiiKEqivTo0jCABnANQytKMhzrwbT4+ZKI9NkafesLK8tNLD8eCUPVD59SP/OXmUpyTa
9NHqPUU39tPJByrwkmiwy1suO2j5eiByJPFalF1T8VXoeFx+LRuseuFWEo73q7GHttSrNjR23j2z
EcjMkqmpgRYZ4qSouJUOBzeeSuPrMRI6r61vKEWo1Drp62BSiLQ3Ae7qa7qIj3wRptVAc7fXlEEq
EdpBc53mMhoWmUXK7FqnQVpmy0KYkl6lbZhV3369ZpM9fWRvFUpLNg4AoXUEZxyhLTNb0nSeU9rF
2H/ry7rEJrCb2MZi2X3HhOX2JWut65zGxaQ0dWemlzD3m+cWC9nyEzGQSCOZ09JGpQtX9InZvsX6
ZEWbtflXJYyIxCK3wfsWruc1WpcLMioLBsYbtjqcNBzvNfebOieeg7f6rmayWDcde35b8bktQVMN
XKLQhFCUBWB3nyIZ93GVeoHJv+YlsCxWrIodfkFJwIZzVjVDUbjaa5PxSxr0w6DcJii7IljA7HTy
yi9GzzopUx6NX0qrqeSlE8rJTfW8TRN9HDciNcPSVEy3sTu0SrRXeRnF45cxkXEXu3aSTKYz1Inl
1Tg2qgP8kg24O+aLk/Z97blMRANeqtH2a2eZi4pVa6maHqPi3g/h5or7x2vHt4bOdUwf4SsMXBgk
D61s8lB1LtJ401cyK/K1bkvSXnNmxvpdWcZe6SZJWtJ0Yfle2p/4HCb+r8zJPP6ltVtipSvl+PB2
bZEZOMpf79C5IcHqK5ysAQHGlUQpYLY1mDdkPtF58nUkaVX6bk9tlVduZyKTnLKm6LBdf/3EuU7Q
6UgcJfAe4Ev1P55YlXYVdCnr/mJjM23GruGTEtJKxXAhsi2E/OpFbMQm7GhTV/6FIui1L59xYdP5
4SdKwXCvFVUwnyhxUI5Y7em+G1nbFJaW6ZeUZ2nN3No0wrozRVAM4jyIq4ysSk+Z8ENbOf7YuXkg
jL/ynZq2xsUVDF3SujX1i/PEc+R1z8rEGdyqI7K9qh3LDheFGHtzjk1kB25kcy/MXe5JQrIzO7Cx
D00bwMedelFcY4vELdoH3k/3cOWDy+KS9e3xrxeezCy4g7Zpe8pn6P0VBIhMn844ll6QdUWlPrdN
ZiOUEmVJEUq147RvOVw9PwlI12Pb9rFmePHr+/jKkvm0pVkTddS79no5bWlahGNanoQ5ZdihUTFW
NlkXSZtX4fEohhha53XpFNmRwUmhnYoUUKNnpjR3A+icwClLZoOo4oz/w3g4Ba3qoZLmW5YIC2of
IS4DVu1g10CReQIRbeU3uN4mjUQGscs8LYk4cazIgkEoAsSRU0w7BBiVhWPSnvM+zk36zG6brz08
wXQihKKiRuG7pJxF3j3rslxnI/tWeVROC1ZXedJ8KMY6zLNFVwwFhLNU2uI9MxST0XLicbCuuzz3
TitdJpG/SMfRHs7ToMiwkpm2JUxWI2wruZKp9sd0QZme7BK1omHaZiOsGnZW6HUA89cr/1R7BOy1
xO1vtoBDQaqM+xXmeykokBxY7WVQxZP3GNMOLj+vRNZ8HCyn4bjN7VeR377n4WKNLYU/FY+fPk/1
fY5TN3ZziU03+a7eD4rItU0cCuOWFfrg/3fPg0WcCmuoVOPkIb/vL3wc6rHOg6K2YXTpRT6cdBYj
9KFLFSeKrbKqUJjyrx9IZ07aQUjpIA6Bg4YxAnM02yEFy9LRRBn97NQBg5uoc3/SpdpizeSF7l0S
2PIBauYF/eSt4PYn71jmBfa3FRDkRaQX069MEaP1LNGR4idhl0wqXQydkZde0eNTYcAmbR38VFbr
2FIlW+dO2bJqMWCbYus9M7VZSoWpaYKbaHGsBivKEUA/Ba/uY6KSxgyfmd9OTrcuC1jJMRlDc1Pb
Tkwzd6hNMX5RNJvUMrUMgW3pZZr4w2pMJan9tWZW031G2F9iOToVMexw1o5wjFloaVhL3iU53qoa
RAAnIc07aEKNEA8PDGvPxr+QtBIsRepzLEVdq8CqFyJpIuh+oGmEf23XZ/LqU+feyzcwTh5LXKeE
1EU4yOPtf+QOpBu5HGRhfWpTZeDotvkCDZy+jRdI1QM/e8bm0FlkNT2So2WG2oiwUCKeZ7J2ZBCT
5736VDUEO6QecJYnPIbJwfrwKOdGrLzOMn3lyoQNWPCk9TJYSvhvrFJX9kn9QcnK8aK1V3MHfg2+
pb0q0ZuDYCa14MPqPkPMtYPNL7oMS9knTgazD4cwweHH/QSEFYUEL3qIdHtlm9RAEhHHCLNiWU+J
/69Xm+uZZ8Dkp3gG/g73UsP4zlNFxNeV5dv98CkIBpl4bt3ELF94ne1Fl5KOvBxWRVDK3HE1pToK
3LIswuLMThrWCzeHkbXOSz+1+IWXBootis70/o0dJvZJ5zVcLmOVmeSWR8lYXqVGpriefSRJ9563
xO7HpRNlWuSLAm6ratZdJ5z2siwCrzeuTO2UvGN2SfQyy0pNFlFfN6Xnmt4pxsgNsrbk/cLv4xbK
0I5lNyRub4mIR2tNScOvZVIP3F/YPWm65jjXXUA8uA3Pr0/rQMEhLNSYdOMIngBbMT/t48Fr3KLK
I7lutfLZUqRWP37qpKHhl4YnvrdkvKZkMSDhN4Mr/brSSx3SLl74IvFPcGqrXhbG7sZzT2e2fUw6
EtC1b1VOYK/y2KT88yBaP7Y+a2P3/ae+7ll9YVV1Zl0h+FHNrSilLD+PqvUz4+bGkKD6qPsxiY+9
EHTRejTcSY2rY8NosFDlWBXON5JGTnYb0Ny0/RJbZSjudFN3nb2Ik64i0UntZYVwlkisRCKPvdSK
5aUmyorj41bmtEqCu8DJWI1V7glzSn4xMtNiS4+krPLgI26ir6W9yjKe5+q00V4YJO8y0ceFv4pa
v+7ad53w/DBcezztGnHlZZQVpzLige+ssVcki928HW1EqEnlhJ12fYvLol4GXjlGw2nnV1YQHndh
isBpEeuOw8C2ediIP43VSFGdYnN0lrfoGCJwctnkSCC0Ww/M6eX7hCqFl3r7SysME7yHG6Y5Hjea
ihffxqbQtD2LZJn79IT0lqXUYohE3KjjPotImriCt1OIZwsrxHR8JuBUNr034BL+RSQCLfz3Q5d3
ufoQeVbUJWsVM4vmp3EzaKd9LyMmQu0WWk8kjyprEcRflO951njOeVJhpayhgMm+gNUuAnFuMa9U
yTsSFiFJPkRRFzneqotgCPyVCdGVVC5gsiaRhtZKbLqy/WAIi6Wdx1HpLLPatkT2J/VphuelUaL1
58Z3imJRgljAylKnCeFBFkQG05dAfkTfblHoKT3lQYXZL/KAZEyuo6CbVowldYwXUwU1nHmqJpPP
29p31EJ3tcEGGDOEzse1LlN8Lt9ONajFiOUrIly4puBLKg9PSwIyBQQknOAhOQ+o+A9J+mmdM64j
kHNWY5WAwspiJ+B3RYHcvFiXYYikYdE5ZFDFInQC0VhAkDdF86WOsibMsF5WMJrjoBk56S+cSE0i
h0A6H68ldhaewPBW8c2z+mmDydKakBeDhd8lOp2Wpm0JPgoX6xQdZGjx5xswx918ypKx4hsYzAC/
E31u5HUsuKfZgncajJqbq4BgLXa7xxsrja9UkTVNzquH+8VosGvKxS5d02IU079YJeILZoeldb1b
amv78YdF3n4O1AuNLxTNUwhAMitov8WhzMPyOMzYgEkXdMRfxXB9yvzQvkbc7xvtii1QZmxrbDUE
/E3pn2ZED55wSRy0g3yv08ZglVqaJvgIzUFalgvwRl6r3dgepvzNT3GlHnRU+XbxTW9X0OTQINi1
7ZwCGoJuWOQmkx05GRpnSgrsLbTb7SG9OMH6SB5ixEqoZJp8L4cA+9Qn5fSYgAcSvxxMYavg82iF
vKnPMFM2Le92I43N0EBKTHL6FhKWFcahg4Vhd1V1MIm+XVBr7Eb8wyTMcLWybIEw9HSkQvX5sW+D
IrRXXdgY6LS+j1LzqgO+Yato8Y1IP8P2qQSSL0y+bJG3va9QHJi+kLbTC299By9JZk/qkI5ikj9r
pB90n5vET/xwnfkONntQMOKzk7gaFKnP2XavhFGla3W8W3IdtSXE6UMW40vgAQweHuVhDD/fkmKU
9mdEbpHTLvPCqrNwYVe+h4eLKMBl8Ms6yUEWJ8hTwIEBpqA5Vcaf1LmBf8Xv4qGRkbOOESz2wxnT
VdKbk5obO00XieZJ2rpe5YOHJZo0+HxQFxVeEDSK5DItGvx3uE9RhN0RcG8FiiPJZRvXHiL5rozw
dBL4pv0iM69HDuYN47T3Ow1THq17VlBYGKcMksZZJSlcbLrqrczT1anQcFX9X7bsI9gbPzEmjk92
/HxUJ0EZrZsgAXVzM/AKd26e5FGA5Thm9zpTGCfBglVeF3vjFxY4pqs/F6wLOnlSb6fea7/CErG8
H2PMKPa7SqzkaBNYubrk0/IRZEdYTKTJ0xbfEtJOFXdYAdLQab51GFK8lNjg+HwRglu23DAZQdSj
kB1n2gX7Nsj0guWkxCfkQCY6phVNBYpyyxeORCSlt26yovToqe8VI75j3HKZHhgm0LCF4DEIaI/E
YHHSFDRAtqgTcGziPI3lpE8170JUNfzYqWEqmfQG+LxqgKWJ1iBppsVrQjaxXrRxYhQ3oiTzMRx3
a2CWf3UIzzzrrPOqsgwvNYsm1tc0cHcXKvaYrD9yZM+Dt+q9yBqCtexykVRLsHDI8VwFPlN+5T4j
SCHhDPWUuVp8xKxklk5uIxXetN1KWhJsvu1KRrUBtc9CO2TtWTeK1FMf47HprOsSwTQIsjEvtPwK
e4sU2OryESsQcXuag5dnFoz/LmlNQsSriKx1arr8q9RDUJBvvE9kcillkQ/emlNT1dbfXUii3lvB
o7FEuFWCgoK1cBKiyi8gQrq4/mT7ReT7C08MLOivOoXYprjVbdgW9K/Kc8CyHZdx06Z6YdGxir+M
vKHcuA28Qw/eihCDmFIpoRvSYJenkaaLFr+0VOuqDqW+frmbyRbLIo/AuC9wiGWYpnVvbpKkneyf
HvzJmiD6n5Q3rNLpE9l9OcSL6PQ7QWwLnxj8Yfqgx0C0pSuQUFOxKEy8HKrsI1r0Lsd6IPkqgqJO
WqnT6Z3dlkVMCUukcRAAb20LDJM5tfxF2Q8lUy6hpe18aALld8bt7AzlCD6MnqanXZFNWu5b48Rs
V0j58cIRltWnxWhjf3MbBZ1L0CWT5GAUMHT3IFFquLQCW8W63mZsWRiNKnajLG/4x3hrsOItZ17g
+BV2g5UUEyNSlbLkfJn6aWE8NyhkY103ocgx57pDWbQ9C6k/hXEB7/EM1SaTWM29wlkmhh9xPdFM
Sp7TqW67zLp+2pPKG2kcuiKosjRdBVECbVxvFwT002T0Yhzaw/fyiljReUBZopxnONxZQg9aEvYB
O5jCuEnyDzYrqFGUAU1GrwNjJKRWvt9DGzoDM1tYfNKgpAWHGLhtWEyyP5PdgS94VFaZHo+L1HFh
1PYP4MxLBmXTG6urFFjXrWmMUM6AFMgDoEm/ftSMM4U22eCc8Cywr/ivnHipRyW/zokLx0Mo+bBH
7Lg3ZlHkHufvcVHCtLu1DCZQmzACwoaXHJDtjOOvZZlzYOgYwv+nwxPoL8A+p09l8VpGUYmI/Guc
Y4YZCwWZ4vGqwp8BWo0GofNz6/zPB6JHE8SBdDQFT67nJF9Q2iRJbe+q6DM4Cj+Gxz9VQwwzt9Ps
X0+QTCzeD2DRiTOVIWyBC1gcipvx5px8n0Tcz+pEXu0sRheMU/1pkGwQYt3zymnXUe6N5cemY0O0
TJtssueshGmwqpHDHz0j0dOdDomQSk03XDGlBQ7wzeuMg7atTg2suEq2StUhroOO903swa6HThsC
goA3EzuoGZwDQgsrmASJclY046ItkNmvRcqMsN0epmVYwNQX+Dj0wyOX4cCQTy66bYEw35rZX09i
qqA9WlXIj8LfdLEN+lE4CLgZ/dYNYx+Wo4hPVGaVsVioNFXsqyzj4Nkd889HgRV2wHOjvRc50Vwz
U4+mQ+NL/2TrOVuBZB7TpkWKl1/PijwlTPHt6NDAtZd0uugaf1NhXrrK7Drwoj7XN3YEVnW3C6iM
p8imZOmU/XROm6ULO+UlVa4qE9SY3ASRU7WoWdarz1FnQ2efkWvbIvJowUG5YQnuL9zEn+FwcEj6
qaLaNip1Kgyq43KkdlCtqOinLokGN0A05u9qzFBoX5jKB0Wp3dQbkXS5tfBrkp7D6aE1yF+YOAeB
8o5ypPD2h9QTvm9OBrhYYS69PoxJPyw8CrL/r6ooUmQTZUR5VqzSpBlpvbCNLat06ZQCjNU71hPD
5Ae9rfDGEjE9e+9lKSn6i9gPWo1WnqaVIQG1EKGF5ATxugrTZWJFObbIzs8rC8MCN956ZwS6Dmyu
vLcG24g9vl/NLkgpLCAyrMmbdi21EBca6iDczmiD5UakIht1yapkIvKtbYiQo7QB3OzcIWPoxlWd
ktHNqlJn4VLmKoka94E5KOB9AncXD9wHIqi1dljfsXAmX6iKFgQNQvRY0lXuGDwyjRGct2c26leh
v0j6FHdmHIMWT6LkM0P0qNmlHGrN89NI2taUU1dtCbpy2KYzuhsqViyDuEnBXoLIUCDr3SioHeMt
rMb4nZ26BdqlBf2gC52rbuUXOLNTfBKDbkfzCbT9VONEKGVTeWnqClz8pzAHaesvsc/R5rAOyoKQ
aJESxG5/D8jgKudMyL6jX4noh9q5BPvk5R8zraOYrqKssmwklLi5r68XaDFDJWyVmQHYLruejuXg
2hYS/HaBCIcIZzHwwevexbqqq9FFMakLkZRqp0SlPAzs6pjbSd19k3YaD8HS44hbMzdVWVr+mYHA
sBrX2RZhd5FsgWqWL985KcxftM6CRNIGweh9uAL+eAq3hqyebPd2ayT3QVWmkhiZT6nRqZO7bWnL
lKB44xsFMWgcU7eLrVZ/gi00znWeaStZp6HwhRv4fncthlBEyyHsvOOQt+wktNl4mpZ9ewJCwFyp
UtJFr0VwqcI6sUG9tuUnD5v6hPvCVC60L/gWlXnyp2+HZtlr4iGlS1h9jJwRzAzNxLmT219NDHXM
uly+k12YLxUPAqBrW+U6Uj1fRSZs3o9RUtsrBLf1yhlslmDHyvQmyJtrSnh+XnLLP0/bql6JCkwu
GmT8k9Y0ehnozvmo8qBAVS4Pb8Oq8JZJkPvuwLNsKTxdnDkjTdeDl6EvIMsFx1c7Q7bgUabWHb7y
1EFa863sTXOMqqV3W+g4OY57kozuoCOxDiLbXOccFLebgOmoXIsZ/3PXj84msTKBjLhJP3UODVc2
re0zbusgdI1lsXccbNe6rCscBomU9xEcXIg+qprpW4KKCdICkpOrlkZBuM6HzFqRKq2vqpYjb4cp
WFZD35yxqhxiV6Sds/CU9gLnz7ClejhFT0pzU1EekZVp8hrZQpgGg9viT37dObVQ6dLyrPIs1WhQ
WXJSRx/7lsVIN1JzLqqaFAvPCczGjqr8XY9bXM4rSaYd6ompqu633VmPqPDCVnF7ChLZOgtjFtCl
A+t3S7qOZe44OiRA9plbf3V50d0VltUvaEjGTVVFhqLHJEdb4zhW2LlBkicuOrnKZpmPXdyfycYv
fNcmeXg5EAVDjMxk0XYsYWc4Op7kZ2VflGuaN/RcJGnvgjD9Irrhxm4875ITqE9bNfUSDJ0dun6f
tmopBsNWXNXZZR7w8q8h7xHa2Gh48Cu3idEVEy9U6IvctRrGN+hVMC6jSXb8/9k7rx65kS1b/5WL
eSdATwYwuA80mZVlsqpURiW9BFQyDDJoguEYwV8/K9U950h97vTBvF+gW0Ci0tCE2Xutb28uyLer
OJz0o4tm/qiY17zmWncvK/Prm3RiiqvVGVfTSIqhGnB88OBLSFeYeI7tderK7YHEio31vNvhyzCJ
vYJXMr3iqW9rJYSNHgm0+JOIZVkbGdLrtJ/TL6rM3e0A2dxCvU8NfpTqippgRWJnutu8DJa+GiNO
vsgAMXVTIswZqmxQ60O+5fyAhT7Pa9LvxZWOFvYAlx20z8bkS7zM4miNi46DsPkXmdCXDenmy75O
e3lcReqrYZ267x4X5Mh0YUyLaMo/aUkyWsl0hfHJO12FzNpTTrg4rgjnoqorFHkhsybviRPJ8yDp
8m53u383GOCNLZb4LgVqcgyxUzSrW/UTwrSgyrbZ3gZS8c97uMzHZIwoiDGosmfmwxR7mcOKFA59
CVkl4/lVAX+jFmoejjwz8gXMWYLjt/F1FM7JYcgT9Qny1vpAZiavIj+Sp2mS+02nhrV1BZZcZJNT
f57TUF9Lk24Ps6LyWZZl+jXhFotDvHp7Tv2EyQNp6D5KtLlxsthO/eaSBfJHOR9pPqUNskyQn1AP
yGkPJL2llMnHPS7ZSwnb/NO6l/oZG353hclW3O1RoEEg5P1hJDS7hVEcJbWeyNiUu58TjHc5H/Yu
WB44lOyHzi1ircEKhQe5DesnoU3aIUfd91tJUnMDzIAjyZ6W5y7ZyYQ1e3JtUvDyKoJ1Vluxp/el
7RII3DL4FtAYbNytz9K9J7WfHHKCpjBQhstbniW20G2Ip96MuhqJoLdbILoHiBXjOUj9/Dpq+QWf
6aCX9tGrmhDBDKYYzo4MwEIzEfXXZBHxZxNQs9Uj28I7wF/mpY+tXY8sHpO0JiwqblK6yPJAwmkm
1xMrRQM7NN0rC9u4Kck+FdWwa2KrKaHzeQlgm9/4YC1wrfNw0/J2JRZ+SeRktJ3mdJ3uE5cGj8VM
elHnTrKlZUTID0PX26mFc+rZzdTzpW8COWcgNSmNgmNhldo/+HKWhh0voUfYkNXh+SUcV23ZOn7N
kdrKsY4KRC51Nhlq7yA6DKpOTNQ9b8W++HoJx/wWGCGNmi1CiHijkc/q16xHEiWxjkihsxyBUzcD
NLuyOi+us9iF8/C8J57GtvJuDYm5jrHYhacyhbB+XEc/y4ZZlZknEnR8AJPVjURWMqDdyOsgJe6p
T8BRVTFLx8fFR8F+3JCvDXVYrHF4u5HBzXUsIYffFSOW0wZ4y94sEIiuh1j3NYoA+bUOvFPD/eiD
nOwJLv8cuqmB3DHxC7cn4my61zodSt34fMjHGDq1WjAfSriEtYl8PLVpZEZ2yxlMzmqaoZbWu3br
XCWTh39SmIFfzX2aLW23Zdsd76E2NoPr3VXS4dmUTV6GrICyNMjoxDsp4OqZrPBVvMFEznWsz0FG
XFFPA01VVaQ8gaIF6es1EoH8ZglCk0QKHx+XhUZJ21kWm7hGCMeCpYbFDThxqwqWf/BBuhQIzEzp
+7HGSqrxhiUMelQtYxFay7xlYhRV1q2RIy2fiqhgrYjdkmV3UWBz8wJPdKJXw1qmXzprP+876146
Jj53RGRDhTRhetqASLS0pPIYYvMIsUjkEi5Ssd+MPh7PMunNwTJJarGKXVQFICtRTVM2Pcl5zBsp
c1+Zsk+xvlo9fdUd3Q/FMsIN6xy9g1FXhnXk1LY2Ozab9IEoljwVQMpk01tIJhgPGDDgdPrtW7QI
/ijWWZWtKoruVi3z8mRWpbvWuM7SE8TXrqiCyZHTtAxrE8/reOArzQDehFFLNFtuOM2Cu5i79CYW
8P6WTsEDJkiLmjimqI40hTnuLo7HClVz49SExK6qFVG+nEGUbvok5EYrorbQ1SvvhjrNlRUViSYK
AgyIrDmpHCfXemjFTzvF45wp7OP1OMCmaiQm5Vbtnsszdnls/n3Ox6YfEF/gEOgH7Dr9wRQkr80s
2OvQd9FnCFjuAPaFHJeQTIdCFMNDMISytlPO3sJ5ehkHsIEdErdDEdPh07LFeqmyZFk+JSGV1yZO
qKuodENZ99AYr6mIcdJdCKG4d7ZGEp7cD0hLru0W9V85S4rPnHbRG4+S7dbCAG0ysS6nBMrrKzTs
mF/WNCeqZAjXu5zSBHErFsfLIEy/pvySpPt5uuzaLlbviy2Dvh3zHn4iNNklP83Z3C+1kr3TsGz2
BZpbsQ1RnYxYR6o86IfsbhQqfmeMaV7FI46hGsaClTXH99ZQkTAmmBfZacpNXDRI4e0oEWvx7noS
i/4okLWxmoskCT9j491kRYJys1eB5nmjxRBc9WsWv1zs90O0W26q3gfiPsvc8G5sKbA9IPM8LIYC
KlpoltzCAZM3woPNqGSHkObWKSPeeaxdXyuodbbq7ei+au0xVzApkacZATHwm4X5YysYW7adB5tc
Q+vtQB71bkcwD5D4O1pxWnqYCqZvUo/8rQoQjuhmpGuQtcE6gdgLd5u9ajWOnwphXc1VopoxDNbw
bLYieoJJVRLANYjhqlxvbDxuCKqusfrNW+tWxgaEcgShJ2CIYDknbIuC2tALm+mnMBOtFBaVDwA7
MIjqlE1sSLk9dCAfVjLxeuAI0mR7SWNtTf3ax4ipk5nub7MyM7+Pl2hTDbIKyrGkkXzZRS0j043+
GITxMKf3uUloWfFo7ZMvI0DiYK5tULqBHuA7cRfecbbkC6mRbbtUVGZnkzJ1gQ038w2DDVSOlQGL
mfpmtp5O/MaXFJJOrQwSMPEwWqhWSeUAaRJzkEas/VvX8XTpmg1TBW4EqoSSWVbWrUuuDx1itflk
mAmmH2pVzmYtA0Y0zW22wrJ6omEMC+MowBvpuZE+DcLhYTCC4z6kAagjM4Bth5Rugd/j9L9PASlC
XEc1zL4hgrnsLZNZzJ7+0DwDcdHt9UguCmMcUSduUNN5ccBhu1/sBMzDvfjWpTR0+RGk/Y75tkaK
9J+M2FjAqrmEABcgs6XDlmOLwHKsXw2DoFDeagSU7hwOJPRpbTplVn7cYRLhbmHLG5bhPSnNbKcm
G7Xx801icHp71S+AFVQNdiSZ6FOiM9HnbQ50uU+uQ2NWvwDn6TViHOQO3XoQohywHgd6aThgnrsY
TBRCd0GwYnrSI4gq02Ovi8l7ATHTQpDsa5BJZtzStptd2o+t2ACuEGgH81Le7gj9ypYGY05hJllK
hKmidCVpW/g9SY+wz6ZXUZrxJQCkoqt4QVFclRrMnRbQxvQtnDmiLLCrTPJ2yRVhjZXAPVy1xys8
vD03/icje036zj6AR7VXkFP72yWkSc3j3NwNkfdTK5IJzJMl8FNFMD4NxG3FaUUIV1TJLHxauXnj
81HqEDCgK8U2o2jI8m9iDynH0ppOtMqxj5pGJ7v/oPpgcwgQgrFFBIoMkQ4iy44yT/XU0Kl078FO
nRdV1G1r9KHkPc+aDc1+v0r0RZaVGixSg3kPLLIROUSsRTgh1ZVhGbffusBdFBdE1PFc75x1B9SP
WRocJhOVYFzilcw1DdNlaVMfqqtILcWn0Y4pBMuCxt1SQ1DsM2SohVfnqcxD08RhZvQbCALQB0BB
AavVQCNWiwApioHnQNw6d8i8pypdEYffOfhWrtoSXrQFz8froFMLihtMBjQaiJqYQEDE3qimnDMC
ZyfQ7AjqGDemcF1QJUDUrlYxrkNtIJi97/D9MTYoeTRBuOA8d3HII+EePG52kxJaknYAovA9AAME
8XAQ3W2AZVh9RnK5scdimOQl6kri/goRTH4t0yLr37FEJv6Y2HT4sGwJvQNt2H3rZIQrX267A/VF
DZSRfe9dJfpweyldZh42OTKcAsrrYLIW04LVtJhQvsIz8iGCfFg0ZFi2UwTRom82ICYftyRFfWPG
VXo1p8MAyk9mTyvtloOO5/AtlyqqSAGcj8lxR82G2n2Fuix/Rq1n3DexURbFZuOMkgnSW2JPXS4B
eal5B1XZ0c3hcMl4IQyQDddiLnx8gNECuxJPRu1V09nEYukNUAHTV1oUoPSSTq0ICmav7hIjzG0X
R7ZswqwTxQE8gXjeXKEB7+oZZwlTvficSlZ21YQA/H4NLhGvwtNw5woxte+rnFMCqoOvPWuwoQ8A
mCCXPOwTFIBqz4XIW27BqTVJOPXtvjp8pstApYG+mERjE/FjU2xuY6pcvenMfyqwWtgbp2cpmnG1
5QeVSW3wc1m2IiHooQJN8XKXjDS+KdnIC9A21E+VjCi5CQIWv/ux59cuEOoByNtQA6WKv4BpNzPQ
6oL4us/UIOtiS3vfmM0PqhplqWlrWF+OWH9lMt4MUeyzg8637DWgTLgzlCueQAxYJl+NYoo+9QTg
QDWBZzgvADXCttgyj6SAxKhzWWmYTe0UDeyZZ05uNfZNRHWIzxuWyLW8XLf8fks2yNBJvNBzOU7J
2wpYoausGT8lalrepF6WCj0LoT0CTARv1FkM+VF+6oIt7BBbuaAOEHncSQM4X0F3+Tx3JjjJAZO6
kT0v7rXRy7XOVlT/yILfQhcorgIalq9QjPsCw6DL30W8J61LQ/XBSh+fOPqKx/Vgy+0SrYUTCJQZ
Ek+hVHmlEjbnzU4CBE5TT9xxzmI7fkAVb99IiFuNxFBP6zXJTIvwJbqZ/cKA2G3RG6PevRGqo0oo
E6KkM+PtVI70B+jcsEmzVL+UCPePUUqj9wUg91uIj2RV4HDhUATyhiqs8s7BKz8KqzHrSvMFnK9+
ECb0tCr1EkaYB/sD6QKOiCZKpyP2AzkjzVBJUxZgPPDp222N5ccBYkdTOiQqK2qd98qxaHkNyjF9
GliSTnUKVf8kxByB/gewyJPkqzdQ/2XLBfQg+Y4Nik+2gZWMurY3ZLTLJD7IVC1pdq8HtmKVV2hv
AsRHrqjLhtfu/DCt8Brg2y33qQeR4o9bjOqduEmW0Gl2Cg2bhv0EHtrrF9q7LfuazenCr4alnHRa
01SGOmhKm6WbxOLFAYXAawNmMJCoz8MG/Fq0I2wsQ9/XkucydCfjHVTMKo9ddkjTeSs/5/Ossais
go9uxDqWsTBrEOfB7m8Cn3cduJAUqBKoXoTxgJM8arQxaUCDpxmISiaW7+Ea+EI18HbBu7VKbJ4z
oC59xwHdiI5eWGyMwRU2SDd0e7g+2qTUSGH6xOVSvi7lRu3QwM8skfehiKx3w3kYFmWWRm3oChy1
oUiMWt8N323kK3yL6H29LSlCsmoXDCvDFUX55kBqKNaXM0nzLiTjkXXOFutHE3R7nFU9LTn+BqS8
yN1NoBUS5pvBKzrmtQtJWdjD39tzvxu6cA0BLODJbBeLHK4uqjN/9+YglZU6BGz/fVrEparM/oFk
JNks4euqgqUGBJUNXYB6gX6ARfdvDuB3U/1yAPC1UbyLxntwCWEK/X4AfeZRldb1xTf+xwFMf4AS
EycjRlywwBf7wyn9s3/Cwx/O4x99AL4uAoUgHdN/efl/n5cJ//3n5TP/eM/PVgn/fIWnM8hFLT/0
377r+H25NENQf33Tb9+MX//z6C49FH578S/tHP6Hhg0fvisz6v/hj791c/itqcZ/N6S49DvI0BTv
l8HxL+0c6i8o0kea0qOU45+9HP741J/NHKIIT01IUMASXsqsM3Tw/+9mDkEUo+0bHkZyqaz4WcwI
f/rPbg54jEkYwcO9dI1FXT4Kif7j/8C1vTR0SNACIsEXFmVYAioAWvC/aejwFw8cYS9aBMRgtkCE
hKiwSf+Cp2iw7GI1xp3nLUGp9YadsFoSkMM1Lzb7mAeZvx6cnXkbhlx/0ktqX3iqHDAoMq8ff7l6
fw6zX9tLRL/PrZ9Hk6JhwWWIhzDm84tj/wssk85ecMKMPcfrHJ07vs+0MsWChN5ZDZDXbqn5VFgR
9JWcSr3WYIOwFYAzLlLsnsX8jWgd3uM7GALbcYxewFOU0dHnGf0eAXN2/2Yuxn/hFX6WsaFQBHwL
gK6wjP9SVpb2kCbA4ekzQP6ua3KUI7zYFLvGQRd+yVBI6KKh6QvkwHuRIzTyPEyOE/bhCJLQor8x
p1RU94HIGkjRC7KhiYXwymTGQfguA3vgBsoyEhzVwBQhr4qtNyhdyFyLfhf5XS+ZnY5/fx/+9TZg
iQkL3IgcYwNVR7/fhsIHSGDEqM4oEySvS1dGcZXyGENDzMY9bE6SJ0Gj8e3vf/b3hS0LIUOiaq7A
k+MxFvHP5bB+ufsQu7pUqG4+z+UenQFmmzMMfKDulL3+/S9dlshf+Iqfv0RQ13TBnFDac+mq+Osv
iRlg3wpt/Qy7Nv2Cyhw5HqkufVxxwdpwBTNcJ6EvlxpG3Db9u0HzV0oJZ4mS4QwtOlI8Fy/5688D
tOmxgcCxKVaeobDUZF84njU+HlEtoFokAEvlQ9z64zauG8w4vhTfoSCg0IP49Nbl0ADqZBug7g9w
2F+gGsdJw0rvv4vAiiYMYDvUGSw4eZUl+W7+HTjzrzcK9ZpYNoADoSINe+Hvly/MTTZnGQ3uIkOn
Lz0C566KAq7ntEo86sGvN9bzd7Dh8Fr3FQwtNvW+RhpS/NDFvi+1Z12BEGyw33uQl99sJliBtq5/
Vy4HtOqvNxnFaxhEl6cLoOYoKy4FXr8Mp1yWfQiMOrkbUuB2pGw0YfvxUlZEDtoaA+5zDR/t5DOD
bh+sgHA1H1UsxXFMBWrzx3X6INCVxlXFuHUft2FaTl4hsBLZKl7gk5UNBRham2UYelQIJkiN6KDm
8yYChUQKMXfXRWSokPEDIootm67gp4wf4qF76OCPuWo0xXrWdH3W8RQkTW5jXMjex1gbUrPvVbiV
w+3IsvITDaHesryMbneEP6TeQoYoFmO+PwWlRHK0+XJvoi0Lmn1wX4WCF2lApSJznHRxoGo1J3Q5
iZ9Xhv49R1oEUV/tjNN3gjoySJjzGnw2E3x0Afn1BOxanKKVjN96K3LM+2TiTz2hrqgsYsdrSaWp
Pa4DovmY3MMvcC1i1vUQRS6y7QhCD4bdhpqb2saMtpNKJFRRcs8ojOIG9LC+wlYTbzVqB3LE9sX4
5qaQ3cSSiKcMitTRkCGIwaVO+5cyX2SrQjfsB8vL7hAgqP4CaX37AQRKZDWApdBUcxfb7uD0sGBy
bFvrO2vKg1woa0adTFcz3grWMpULLjQc9GpQwxBAF9mAdi2Z26tUj7ROdDBPEGx4212ovMctidKm
VxK0zICRpA+J3og6uqRwtzkEhJGCJVz1NFVwY2B2fWOUxfH+SW2Bu4gHRGIpX77Gfhp0IqFlGiPC
s+YaTBHEqXU/Ap/SFBxKDxRhiMflKUQ/jdPgk8TUBveAwpAJCQQUBm+zmSnFfqhHvq0tOlB0YS1H
HdF7toY5yALui4013o1E3+ZKJxhRG10itdUGe+EhD9hA7y2mTt7VaymQ90cJGmgc5rGXpELQDcml
dXAn6oCSiCAfoEChAZtRFEowgo4kh20sxqlVFFHBIZu7aa/LPcOKOcccrv7EZDACV/CdeoAaBsR4
6fryR2Bs0YdNuMQa8E1pynMGB5Bez0mhi2yoZ6fW3V+pEKsbzKqOFaDEld3XA5Fq7g9+zCd/FSo1
iTqLIQDUhcv8eJSoEQtq3Nb4YyCmPWogB/Opwf9hcA97JAANoef54zBNZDolkuix5eCPP+xGJzDX
IaVFN2xjqphhrsVMH6m0Yn7CZpxcI7OJ+cEIHEG76LHb2zJyOxKSwYvtbirBz7QBpooEmRWZa4mu
XWPT0aQzTYHib1H1hUJ8MqMn0/4dSSbJ4Z9oeEuolmXrKQr79AqRPM9rwEtr0vRLT5vdUI6seJOC
oJxuG9I6AQO9Q4gY9uAmpGN6iAQFQVAwUog2QuuB5cT6aOtaTlKGRhN4XxURyBcYPh3YULf1EH3h
VwSfJfJ1j8INzKP4HO3oWNBXpU2D5NmPW2zOuSB+aWbktXeZmbEldUAe8QECET05oLYxmj/BCZnZ
9Yp6L3dQW7b3Nyiv1s/pEGdfMkchiJYRBi/qPMC5tSrfexw8yC7wgAnqymukhm2P2r5P47Yhshi6
wT4hbdvehWQJnJGto22J7k/waEuK78nGBdWds7TRGd5Tkj4qnUXPkYbDUG05CkhrjZo416KSaOiv
JCw8WOkFNMv7PijI6xyul8E5DKs6FqNi6sH5VJd1uG64N2ybcWALmIvoBjsYeUVyjdE9YZWUDR5j
55aTVoTGD4MEVfMhLmeSnlw6bOZOO30JPpl3DxkPctcu24SfXpZ9hzkQT3oHGFJcTv5y6BvWJxwX
hKVzms04C7OiEKRifOF7TbjF1BFjx/vHGaWPME0NooIOf8OaGuuZ3a9R6qF1JIKFuN0orjZ3U8Cg
G/ahWWETAkNPWm9XcHR4DVMbZ4QFBCbJJU7W8/QK24RcAzjuywrVgxzjAu7zl22GBwAvY/AfEu1C
ddMhzB1uFoFasacSu8VRzWF0Xkm3fkJflny9VKj18fVSdsTcoPEONCsvixXmJjjno4hxWS/Wvf/K
R549OKMg665o5cQ/bvnUqSvYpdMPVEdd1pB+HVmDPKBM2h40mjoINKL4GIR0Okyb6CAfp1jmvNzY
hx7U4w08qSFrsljGKNsYsxTbEYvJq0Qzjq4d4xnTZA9oQk7pvETr9wkLsr/Gw+0xN0C6YIwMGQyW
AywX22KT2dabSJo4rykZtcVOm9gQofc6fJYEGGHgEaZf70TL6BuwNq/QZC4qLKiZGF/lpugCQ22g
lU8Ct2WrAwg2qEK2Vt85X8BMsGqtykJdpRNEjat9u0CO8KPVfhQjX5a7OXfpbaAh2LdsnSd706GM
ltVlpib2jEhEfQvBr4J0LHplK87UBpl4s+WKXcCvTyMM/v4tWvaktBVgHO5fhAZLgS8DANQyFDF3
1wEV2zvrwsCidFHl/NSD9n50KqD7UcJD79t+NxikfayH5MHxcc/OUy4uRr2wYX6XRgwEokd0o9oN
XAGQ3HLuL45iMWHtUGpsI5c42dgRQM5xRwU6DjV1XdF4ChOipgK2+EdIp9HzwCTGGnY68oqxPqmH
mcxoAWZiQVC8NTEADs58QnXuVkYV57Z4yeDkb80GtjkFajWih8BK0cwEmztGdCv6BHcTiYN3t32i
+XJbSMGSB1ApY35CqTz8pt65oLvjMhBbMynYexWiMaPvxpHi+CXK4Q6KlZwBew3Dk19TzHufA19G
sx1WoFE6otL/r6T8P7sR/1MTwfPXEJ7/I37/VyVlQYvwr7r/avSvUsofH/tTSkGLS8gdITDhGI7u
pc3lP6SUIsEDEpF/hxBE0gg+MzKSX6SUDFoCOs+hBAMdUnAcf0opaFFNUDqdldiWLxUj/zspJf2p
/P2SVaZIXZG2hugFhW5tIdLL3xMORCVoobb09mpBS6wmRtu+lu0zqTOt33zO38vQDiAfd90iiyY1
H3JVOec5Figu6lCXz6Ut+XWAUvM7Z8ZbW144oSCHGiKTCq4/IpQBsb+/GHCwdfdDmkxhs3ZolgF+
mxwECXqEQobUyO0fBbWItxgFQJGWvI1WmKNdhN9EBG7rIZrxm+EaNgNXb3YkzybrF8z5JYYvPLzn
gQibEf1d4N3voGVsIU/CyreoZKLeM5uAa8uCFqWMr/AqPqCbyruV+Pk8E2/jAtms03DlUcVQQ2R4
jFipqnjG+aCfCMA8ub7l0YAmBRJh1xbg9NBhFPA1wIXGBsVJyvKEQh6NEBCXxiIk7fSEliAD/xHz
wFV5jku5lFI14YovHS0uQcq7F5wCLkNYniY8pLNBJDfArcUxWJEGLQOOg+5v8XI1pFIcFlQoN/ma
4688fdxKo9vLJ4cUWk1PYPPvcT5XKDlUlQDk3WY62h+7ZXwkaKbejgo/iYgwu8nSFYe/JXFrVhxQ
InLehHv3gmInsDeFKRuyzD/8vGIbTCSILup5s3GPyJyM3Vc6BhGuA3nGs4l0m8yjqFUIJ/FiFRwQ
p5QohrZxLQeinoFjcRCDOWjRYNwP8KD3q63E1UuwsGOVLE5lFDz/HCT96svGp6tqRIFxgIDscbIl
XIOQgN6OLCJO/AMG5NH2OKhu4OkpCSQ5RAO82wXo5XVBdNxabAJNqPFe+NPnXkUcXTxU3BaWDXVO
c6Ql2AwrMyIun7LsjPH8wxEYaTEqNqpx699RWYR7v+PVQDNXoSHd3Gy6hCNtF3xmwlVSkSgb9BnZ
7wCck1oq+fbzfk8dbEg7Ylih4nE/dAxDBpo7bv0Ki9Pk5XgdRt0PTHKM6hzvLRlGZ1lgqCyXudCt
2r+M6NFV5SVQiAgHgplXVlbw/gw474SHFT97ZALttmKeoCcbvd5Q737HCswOUqi3AjhgnaNMDxMO
g6nEbPx5MWaBSbEFeKvg0zvKceOWIui5HmPUVqcUg3bkil77mUQfYFGKGu2EwD5Kb5FgCoGC3jhu
JV/CZpIpLmlocQwdUzelCtyxgy53m6wUPeD0HrccoDE6KyUgbIcZvvyCUTbjj26b+V0ZY6LCewUv
bRlyG9+NbYh5Eo62f7QsO/+cXsmw71charnhA47odrKU7lL1vFThhNudMsKvOxbORxcmvAV0hWnI
IX/9vLfBhNMP6HybowcAlhAMgRl4ELJsXJufoxwFrfthEZIcVZfyFpkBOaDGZmzAQYj65wC4jHBM
8cc+3UFEeyxjBM53m+5kv/p5mzUq8jAPMIwc2KrWDhH9IvosuMoYTnVHqAuEOgqu0G0CqxcsfhS+
4RZE/EeH1AllCZg9YYDZPKFXSx3PEb0OpZlvkXW6c+ayY7kN70HX+ypAffIt5TFvUdjaIy8Og6su
wzxd9iy69UirDkWOQTajt9ttABKn3mcsXyANvgCsLiukTYgq0iNhI4pCAocvizZbpyrJ60KHCdjH
TFXoLCdPG7ofXVLBsnH9FF6FS5agvLfDothFWNw23Lqg4ORITfzI8GDm4x7N/oggDoVHqbV1tuK0
0YOiR5fDCLOoEMvVVGIFmwo4tj/Xppi4uP05aZG0W/SADJ7x3ewhkxgSMksfYz/4Y06DssqgoWPb
2TCYViegrYAx5gvMWWgHM3TF1J1NwX+geS0ujccM+Hmtc5Lxhk/4StDT5JDOkEZSp1UTlBmWwDRD
lI7mlw9x9F/sndly3MaWRb8IN5CY8VqomSwOxUGiXhCUZGKep0x8fS9QcpuibKndz9cPirBCJAqo
RA7n7L32zLm7avKdFzYvjctfF0O64aWvV7g15NHS8mQr2vaLhzVkA0EVl1rjPhYV299Mi2+0abhy
qz5dmZMXHVUiI2pneZeLNWIezDLZVME3lZozrEF/wQdeoA0A8yxn43uiAyUwt+lnI63kWtSpbwcI
oe7tCJll5011eqIiMRwTAE7eCnUkUjyUjtawWXqgq7hK+hsIsE4YrRyRR+62RRuWBirDpiMVNYjN
bMW1wHvZaMc6HJ4RQ1VfO3/8YiV6NawiU2YvXmNqM+UsjU55wPQ/7RE5VFtOLdKvkTyD/K1TxNlF
ao3aOmIpWtP8CU/+VM3aNjfLqbuizu65B06ZXbHv1dxrHxXmmSAeojG/DGPf7FdtmwsnaBSajCt7
dAwFCqQMtXMJ8OAYu879m63Y37Rl3hVSl32N5WBqZ9O7OHnf24ZzHwIAlIhh7yZKYUmMX5KMxcUs
vfuhrUyGFW+dlTDSf31d58cC7rfropzmUOnpLi7NH/dT1LoN5ff1sBfT62THO2gm2ddy0rKVrLOX
X1/tXVH729UWM7pBz43G8LurzRPUpWQuh32uGCDLTsDPQm0DoEr/dl//PQT85hBgwGql0/LPp4Al
keoJT8bbI8D3H/rrDODZbNW/b/PRdPx1BvD/Q26tgTGNdhxwgbdnAJt2Kr1XWq3E29Lr5OTw1xnA
wmi78AV1mrMmv/DPlvH3N+NXfPyfxhCwLuRlRIHTGAQx8G4MidFpRl2PqgPCZxglWRnZ12Y71VfA
1P7128G1OLIssfC+JV5bxG/bG2NHmwdgRHlwzYnC2KjEVTqY/qPiCVw2zexv3nwV/5dZADgqDkfo
o/hJfapgP76NrUYmQO3pXK9AbL2adIDhq1TSqeulZR5oFTrmBnWfAAqXGL+Zgt51JFHEoXXHDc4B
jgn9JwBko+mdrIDYHOa2778WeYFJJ0fWdqnELM8ynH2qW/rvbvmnCYir8rSW2Y8sHPc9ArDv+rSd
2E0e2kLImyyP+6/YwamV+EkrbyJd/esLOoJByuUYvTqn0uUDvWlZUa2WKBtbfx9rYXXhUp5fq7j3
kVGZ2idYVM7Tr7/T9w13Jj2izRwPxSAVct/wrB8vqDrBSSVcDLCVbDJ21CFV03lmO4ru0KJrhQpT
IF0rrQXbIM7NaJePNFLcKYhpfnA8cjv33CvDGFbtaA84++q4uxTSlx+V4f1mFMBi4fP8eMS2BboJ
wRAEIm+8F9+UBZDstOiHPe2+yLrXCsMOL7oo18FnVY23xsgupiPmQJUv1i7KxLyD6qyhqdvjpHec
I8uUeSgwEDxHeE2dVezkjCWgupCWZ09c4WYu4uOoGxS6XkvOhYHRAsOHTW9hMLplT9ImFJ4VR5pt
bUtxhfBOazeDq1cXJFjIs+gdeRPSLctXMz1++7OHCFJBW5vlSGG7obpKp0DeOMwSzhoERObvU33U
PqR57MPKWMTPhzZMIboiyqMZX3F8ioX4g1EqqbyJJEnlqbf80bqVpZouSz2mH8KpHXCxb1mU1JeJ
gK4g76kcO8nOqpc3ftZgx5RhUz8NqVE/za1uHhwIVhSCx7F+8gpzvKHBArvYb2amL4mufJOK1n7G
aCfPNKip1hdjWD+ZcS/PWqOJe7tn30wTgcq/T63uUCpfPjnoC4fAsQSm6Y4z33mwWu60ziwoYXnH
Balqho8G7gK6gt5kP+cDz9GbR55ba4n7wedLo5LoP04wop4diuvnJOr8De5F29wqNmte4EvOBKuO
M8n521iN04iCd2wm1OaTTHZf87RCKWLZ3KyhAEvvugkOPEJJxGxH3w2T4gAXqSl61HO+N2x6DN4f
Ymwbj17NfLrus4E6b6EsxslYOtZz1Xn1UxyhTo6awr/0VbsUMvFprCxKoilC4VoLLHyOFy2SRWh7
dSVvhoFm0ZptGo+Ut7t+kpJmVPCttj+ClqYOEAsTT0JKqRfbOPc6oQJdeVHV7l+fP9ttG6eeZ+FV
cBEhe1rcBQ0A56vXf4OYuQwKpafMG3O817jX29jtx/UU+f6WGi8DOF5eDweIYb3HrxyGF4iYdUor
3QS7oZGef0YRIiglYLqnmdrnnp5e9dhBaZp6BdC0u9opdYSvYSXDcUtnTa1CCgaUPvJE6IdJ9O7I
6RAfVHzs6J5pO6UP6UR5SlPhGamlnbPLtjkMlDH9zksDWtITAoPp64ghkpNc2s3JzaQ0Y/rQ8fhj
+g7lSEMe5vhq1rNqpYGdwOcGuwhyrM1z7u5rM4xhxinkl6WvQPzmAfx1eZjMxtpiWjCvbPgNwThO
nBuVvOijSt47sP6CuA7RNsOQpBtD/w3dnvjY6UazrsG9rnpkO9eaE/fniVp6tOrD0f7UgyazGF9A
8oLIT+TFCNFib3kUS1aDblQYx6r5ymuH6CtldXHlIMA9lknsXNV66aNkmi11Kcqp4AuXGqr5GVfn
jkpC/9VPUJSu8fhFyZrB7R+tEDLuGv8QgA9kM+GjWUJCXQvNeiCoQgsIOnguBYbVNAfYsm8mkylb
uCaDDoMIQ0pldvc1FvzPinlZnlnmGMtGWMbJ3tFCVum5TXboGeonW/T+Y6FiSl5u5BX2yh5HeZ5l
HD5KDENXtSXqJ9UtMkvoy8+Szs9jajtMmJWR3acYZD6kLScyQF42OHodTWhCqfTg1T7uNN8P8dFM
XnXvIJiek7Rcw5Wyoq0wC88+0jjW/Q9zV4tPRatp82FGQOkdTITM5hSIupNbEwdEdnQM0/w8R6Pt
bDAOHf8y9bZdGh8iz79347j5/xh7wd+6d5xBMhfn4XSwzUEb1+bUiOCtw7c0ymuJc2/YQgEjS+JH
q6+ljAYDIqfh71bf0tWsz/ih+fc1K1b7ACbVQG3hTUkLabQOq+3sVUm+MqJssCijZNplkScDj64I
69UMzuWjcr1qn1ild+3GJoVa3qqdK+o2o7cXdk/QftmL1L3tXZp0eAMKenytUFbbTZKj0t5gqI3a
q9br1IH+jXcFUYVlAYMkOuDcobmUp/6lHcLVXWXOzKBZlIDnjgbgGhzXMpSGqIw5p1biigwO5tLG
gS+3Sn1+z4j3duf0sX/ZTXw1QQ4tHBPBkPKZXA8SZVJb/EWclQxBaUb+pZPXMGEiA81Tjh1yr1Cu
FcFoR123g+/gXWINh8APEwWpBYtJEVDulzfIqXmX6NXlO1exjhOIlezMcLaeZ5Uy4b9OgW480PGC
5rYM/UnP4xvynygI4qGyLqdh0Gn92jSm2l7rvpYmVb2VMFtWfmNu7Gc3Z33sEPLSIrKTnAZQU9GY
zAFLsGNQnGt23z6WICsn3zVxyk4i1DSWLxeSxkWTt+1+VGjj+pG9b4FnYyPmnN6jMVFEpuqoCkue
QGoaZqC3fvU0GU0dXxv2yKdOipp7ncaZS5ZtotwzgqW8Y7VwAFQWAGOjJkPITf8AAGwkLec4ZHj/
A5yM6i7UKvvJiQUTq2q19HKqWwkA52/N3RadQnqsEMbv8krTj/UQay/A1H0s9RN1WD4zu5zXrrkh
J4aFl7es5I3fi3tMDSxPUStRfbS4l2c+SbI8UQT2oEJsxbI+1B66xKJlqroLl280TWFPzEOx9P6x
W18BmuXU0BuzThXE7hBybnLPDvVHoSkcAjwntpZ3qMW14W50ABvWQTLFUeyd84wqL0tVjb0bD0/U
KDQhWaJFAjMzu+VoR8gMmgjBdiOnzrZJgCpkQZgXyZriMb5LB2s1Zj32IK4R68cM18sV5q8R8WVM
8hHwi7UERH/M07k+8fU358pjZsnGWPsoNT85aniYEbbELD0kUuwj+tZY3l0KN8Nkcx+Nsy51PEoo
K/FzdmEAtOo28pjSzTYatkKnK9QSk7JqpWwOFVBaAjJycS7h3dB5YZJYYYZKQNKyI+mdInsB/mpv
vbEK9/5c0a3sm5GKUYWYh1nhpWybFy1X1760pgPjmo0BRu1rSib6tV2ocT3qReB0qtjLwYbshPv0
TlJK26Ysouu0ibGIQqGzdHqr0hjKW75t1uVS5kdWvmJnFZlG/8nsA69wNpGfnwakvyuTR3Wtqzp6
qCnFPbWVYV5VY7HIriKdDaRsdrmfQwAdceeIMzs/zD/0iF5sJ7SPJp6sJMFs5Kc4fks8OqG319L5
D7tx+EIsZP2oimxqy8DZ9BwSo0LTGGiswN1KDeMyg8SIYICsDMyGqL0uhsbQDhADmvrUZTmDtIiZ
bRKnZUTOY8h3H8oc2YfKSPgKRrbd3wo6SN3JAfybo/FySvrhVOJxjnJNm8KCoATx/tg/w7TxWfHq
fW2/bvpHPB+rdtn4/vq49tPpxyN/j0KFsDn2WxzcfjytgcPpKdn39T4vsUqjjHbFfdMtcitLiurC
Wfy7x9fp8NfX/akAyHVprtrEZmAB4aT443U5kucmVdV6L9Pcee41SP9FJ1H/TGR6tZuqKNXZcWLm
4mZcdrm/vvqiJn33dJFXcyrmBedDvMe0qS6leoILfw9GnQMILArj3ltm3fRVXNVHNXO+XrccS5ad
N+1ZJvfXj/Dfit1vKnZAGxhj/1ywQ2Batc9fq7cFu28/86f9QcfJgB/J9xEakxq5SJ2/ZVlqQic3
nZoSJRa8LHTvGXV/9uwF9TqDohzibAE90qDO9qf9gXBMQhUprrlMAi6/5N/U66ylaPVmbC3FM89F
IEyqDvGZ/nuyoV7EtQ6FXrvAHdikND9931PDx5ZjdNkeU71wARplVKXidOd21LntSxPhEni2gi6J
26/sSll1dFx8qpl5KjWk7XAv8LxGesoylbdJtxuytJfhLvMSO0ku7WgaaV7O/G047GEgc60H7Mmc
dFkPhmKQ8aUYC5yGgHg8V6O1ryEtGmlvFkdwgbxlmTnl9LGakA7/k1G2S/CY08MOuSNGiQlk41nR
5N56sRxi/zpJaC1itWXOpHWkFQHCPioL+dCS27RC7M8yCd8MMeh/35pvipbfvDVU74xfvjZvE4AX
n9H3H/jfd2Z5MXD3eDrlQIMZ9693BjeRzgoDe0qnFkqc0V/vzGIZEot/4s3L4v5H5z9SlhCkUDbl
PfoXxe3XYuAPLwshKYtLCAkuFeDXqeFtdbJioxdXylMncqi0OUPHWSu1LRzqJUVBCTiTkl3hGEX1
RWdb3Vf89clOJhTDVFO2+xafBegVKiLpQHhYkQh5jpWyb3DYdjod+1wuZj66f/ow0hQuHCuczpqr
ZMnO0h8pgz8QfwLUeT9AiCRi5PVF0vNQA99PXN+xatMW+YCBvNx7MWtXJcN+WiAq2KrdQSThIXSl
llL68Zrxrh55yHfk67lLszU2IBWk2EsveJaWee1loQx0LouVutYdChtEta0ia1b9GaNqQURknlwh
io5hheGvDabSCe9LTNT3M4mre26qWufzoH2GZ5nce0hOSAaAr3ELhoeSedscZjuJtnFFL5EyP1I0
YgzTVZK1lPJ0Um/9alQ58RJydo0SKTJGQzdazRl4xs006WNzYbhzURL+UnryKo6yUTvIqZrUOsu0
SN1pStDaXutAlyKyR2rbcHdGIuNhN4Z61Td7NqSh4AQKIqnJ5NnJiV841RK4Dt8CYQdGMR7+u46+
pkv/ZkYwMPOxrfnnhfRUlf1z+fx2Hf3+M/87KfDmo3tjpWQnhu4eN8ufC6lwWGNRB5E0szhTDbpb
fy6kzCR4wtCifWuJvfERWtZ/iBMFv020E40GirH/Zm6wzMUy9XZysB1mq2WNN200dtb7TkINP9oI
QxVfuzXhGUGuFRp6F7JN0DA4mdq7VWaW2wF43GKWMetTZHDYz7GifkVTMVeUngoD7Y6+lO/iuSmg
70Do/jK3BnNFmXjWyipqdUkyWZt/SGaruayI1PyasumjRDZkclgt86BaF9o4mrtEc6oHl4wu49DB
WBuP0kza6dRSxdzEfSZJDDNyRSyEk53IPrACvEws50q71DmE8jZijQhEWs6A/VT7aRyMdmMYcX6w
2N2rQKWe+IOpZcAgQSdi62NSQwI0lXYcWE6cnPIRUMSAwWevtUN7GKuC/UCblPJ2bLSdkQ7GujL8
D1Mp4dkh+SuCgtokn0rN6QfJ0Zh6r1mvcXdfxpi/KQQDThSQ2TKSt9Hv5CmACNds7X4lSqRklB/b
DplMmM1ixTfPU9bnQdwk8D6OpJt2N5i4U+diYnr7whNRFyh3UjCBIBzmQ4+zXbMu3DaS2UIcWdXW
5BAS0noYsTeGNKZTlVp5YuV7N1eEz5VbZ/aKUQQTdNPe3KdMLFUjA+R64+BezIMkl2oOREc7R6Ib
zoY0hoVE+cAYD6KAaTVekKuTJk6/koJ0xowSHsFD9RpujfU0moY4dxBBb/IGHNNXv3Tr9MVPRfeC
H8WYzCuj7OxC3FEsE1unT1zKUtAv3I/1BOeKw7RP7FKUUTYsh5oHRUxqHCiKIgfycEoTkl52yzLR
bvSkaNHwZ9N1h6xvpdNbYVjKrFrjRY0IPxDi6KUZ0LdIn7czKKtdVsXXIqnluXcGOCBQbIx14rdx
GeRNHx093EywlDDoYesAWrLXqYD1GxLSgFZJvd0ieeqeK6POvxj4+c2tD/vVpo5C1nPvhR7pNfQd
qat3vjh2uI1Wlhnlx7RIUrG3yuFTjHqkX6J/7BuNJ2ivKragn6IWqmmUWijnpa3tRtMq1y6XO+WO
iU1rFvK2rHqxi6fMS68tEbqrovGmYZUZenZhiAgF/2R0I7GRAJJG+EtXpN6lxkr2uQWcM52PcJ90
itY6K8wQP/MZEW3rhdiS9XLlxN2QrQfLuQTyRKS2zMJPcYuUqipmcErUgTZZk5XHQbj1A6X+K7t0
7dtlZF8DE9DxtprlxmnEaU5h5sVJTdXBrKl+JLXR8gRq/aUSSr+u8MV+BBUwX8BdmC6rMcv3HXUi
3FdOtEvTcUkD6zjyN6jnSR/rdrXT+neRpcFIICbvkjLvI1Tt69KkguZqoXMJgMC+rJNG26dpN32w
m2oicJXYuUvSaIwntuISgaOaK7reuW6eUZAMG1F25ovmenER0CaKt9mc9oehz784noWCMQmRw2iE
pRAfNDrWXW1OMg4MJI9fLE9F92SxRTD1stb+3BcVXQC/I0lxrrVD7uVGYAIjoho75gcSwqtjJuF7
eGkKkG/ECmOSqrMnOIyiVo22jLatTLcUjFGIuUOPHQcP9X0PGSnIeT73VGRuGdbV2TPUpT/FGrya
0N9jDiS8zjMb9+ih3PVXpOB4X6VTxjd+7iX7MazKr6jnfIBjpC6t6gJ9BXA7C2qILg6hk577Ap0u
MjyS1Rjdd0Kr6mIlaI3ufbBf0F7mB9pIAjuaDZ7PddErQS5hZh908xP6W9qB8aCt5SSsdC11x36y
KZ2uTVHP50qierPcdvqA76EEapdWJyOvgd2MrvyC6m7E8GP2qP8mSt92M2+o2eHLA2n30Sjn4noW
iX89Sm++UaVdbRF19TdG29YXIcWoO3pdbGG7ps2IUgSlvukA8z979dCuLTlU5xTYV4/oMjaDOB20
FUzh6AVym74vx9J9Mo1+xmrJ0CK8ZcqDuFcj5dII6mdZMfN7U0vtzBudk8G5LuCNNLdWJIyHCLz3
BS3P+FiRy3XTCNiAPf12nqwfqz8S1fZ3xOCBR2oMnIudrnIcN6IrglA2zkqI0UAEodQQAA/7oygS
E/sF1njTBpkj0zoNNLNpL+eymm5zV9sMKvNPlGXshKNeEocH09GyU6yLZi0MjC55Nxr3aZfXJ7f2
1J0+iU6ipY39M2TOfj96vTzQ8UssYHjWFIxxol9jkMs+FH7VfECf296UQx4+1lmYXAyykTiqvPlB
tJba4FRKd6odFWlIfbPSqYTHa4u7rQLZG3p/KPMZgiJ78wfL0mkoJlZXrrXELmlmIwpsyDm+aTri
BkmwDqsjyi+rD4psUhc2gJeMLpgwNl5lmTzHfvpoSXdpXsXODibKGAdpE85HkQjnC0oCnd5hWCY3
UY9Tx0lpOqnZ7va6NbPQe+QZ56su6pKtk2QOotG6vg/dkX6nRnsELG0IynLtTfISkHK77Wpr+B63
+d8i0282xwLdCbvZf94cX1ZD0iXvtsfff+r79tjz/gM/nsgEak2WC5aWPfD37bHPxnmhZXAA/laB
+mt7bJrsqbHiI+5BNQbCgeP09zqTwS+kHISm3SBcXodk9G+2x+a7CrGg6MK8Ywnbpdrl2u+JCrzV
0wA/rD3YZeh6a3zH4sxOdz5hx8OJ0MClBTrs6p87zQ1pZPrtQRVleERqEh671hgDN3cF8Dqn3AG+
Q70/Eqyy8rxMu/fqAjREXNvJptKRPos4lddk4w1/pC0ychlH+SNzBe6GArVzFBfhqdKhlq1LliPo
RWBoRaS3064HPrivmsK5GzCo/CYHZ6lNvzkf8AQsyiL0cDAZuhTb3tWuU0U+cDXWRIm2aKnQGfm7
SOFUMfp+uS8+95shcvPtN79libyT4r1eD8031RM0q9QJl5r2GymVQf1Rsv+rD6/ydxnlnwmno9fD
e/ybK72ryi9X4hDFCU8gIKRs+e7O5sERQN8dluoQt4WRpmpFI1zbQY5K7kYjt3YKz/X5X98e3AUX
NxSDyaMs/uPtAXrvpqLs8sPgxADztQG9OvIF114P0ia84d9fzSbEGnPVkov7HjkULV3rkhzNAzkZ
BKWVbTFvwTyJ6XrAOPTra4l3NdnlefpLuQrZsY6y8X1NVmYRjo1MTw5NLHMzMOOwy9dklFSkkQBT
i1Usr4d2EJdTl437OXf7GhQKDpBff46fBxBSPER/5Df5/Om++1pz0bmqGMz00AxZEa8lEXNrh8zS
e9+p0aH/+mI/jyGb6h0lFY8QbxRa78WVuPzNvnXSQy3m+fbV2NRrvMF1XGcx1IkltwImeOb95rp/
d5NonimzOw5JXO8TnqEYT0kEsuxQTg0r8WIDm8xhWqLsUYP8+h7fXQsEB7+f4j0FCWbBn8BZFmRM
McZ+ckhEE63hBJKlU+utWkyv5sOvr/Vuvn291qITtlA46tZPPSMEF47WaoyhWc2TWFehWxzzxBzF
+tfXed+bWu6JzgadKSYZhqvx42s4IB5snUomqF5scGdygpy0gi+PyZRoirs4SWjlSjB/wDYIUwg3
ehHF3zyl/9h9fDd2lnsVAIUs3k+X3uP7sYNQLUMI0PMZxi5a1wIL+Cqa8byGUAaO0HsgCzmm+s18
/tp2ezOhL5c1mIJoCZKmZtCP/PHWx8gZqzl0k0OMSf9DmzrFkbqxuqrTMt61Zo3qoScbHHufwgtM
cPagRvwwpfwqHCLnvtSjXxwzYkr2eJOLY5iE/DGn2u2vv6G/+5w2Xww9HnYHPtXzHz8nUQDhNLua
tsc86nxm42zBbGtyn68odyZnX5JR5K5USvEBlsOUnXDbEW2IwSo8DFllXfi9Hx4ktPcrX3M6d+uM
cZWuK+AL4+7Xn/XnUesRfoUQXaCNoNn67qPi9e4rqCbJofB1BYErIiMvKDtSYH59nZ/fRFoHfGUo
mqGIga368ZEkmsFD0brkUOE7uSVQg2ZymVX2Baoh++7X13o/nTNOMG/QX2N1RBP/k69CeZ3dWTJl
Okf5v468cFzreT0EOa/KNjTqKKglG3oxSPdJK0p0HJXd/+bBCt1e3sQfh6tH88Il8Y9NAR/n3T3n
bU0sE0eqvTvgwjssLHNv1fvSrA/RUM+3GtXVz69WsyQZKAmpGjlpQLmnBeWJTRKV8RgefcScaHx8
5M5dk9Zt0MBVBm2UYQTk9Bke46QxznNuhi8jFt5HT+Xzac5bSch00zp3biOzo4Hu7WJEmYd6tZiM
sz1kzh0ZgDqxJgB+YuhUw1qvE+0ep9p8qwCKDCBi4/G6gA/5nOOq/zxDfD11GlhytIRl+FJ4ml0f
QaQXpF6NdbifO2F1BA7FQ7wyXRSvKzIhObqXjWE9IzMWX8qhMB8mKg3NCkVnoQWdDK2XfOwtVFBQ
kuJNh/7lFJm82ZbN1CLaMfk8xEzenJftl6jSPCMoC7aNQQlxNAqmxEfngsza2k0WTs41PObuq+fi
OizTxn3ymqn1zpVIGW+8/Qg9ssrn8nXdareeAWlkpXeD+zRbob2WsPlP7vKznV3xMZRNCalJpg79
TpJr935lqhPrTP7YNGq6fn28oTP1G6OM9dvabOLsWM1uHh9CETnm0aDZS1gZQc8bKm1pvcH1xGw1
CHXR9jMzFGgX7VNJbhq2NF0KHUWbmMmSrXl2yvaSDu+sHt9bMrE+EGpD9dqI9PLGzAy3XKcWvwfs
VXxy+jpad42bfG51H1p02LYq2vnwLgAM2SwKqJTNB68EV73SDJ5tAbr4MzQEA29cZT2ndoOgg5cG
rD0K5fnWBiTUU2TCckDTR14nyhrjtWuJ5FPuAA7CgpE/Uhqz8o25jENA++HRQ3obwdny+oR8BcEG
RhTVvC0JCR3w5fXzKZrUoozh6KVWPaCd28LWdD2YC/Y50MVrFaTcAMiLdJrDoGOAbfQurp9jkEN7
pIeMXhvMw00bxoSsAlSXiPQq7d6JMx6YHlnqFGl5esy8fOPPWraWrSWvK8JNt33qin00zZzwkYcH
SqvaW47lyUEHnn8xRZMVJGgh147R6SdhlvNxAG60x7wT3ke9uyFtIHtuHMyviqsFYWi718Xs7rIE
/DxILrnTk9R88jxeuxpKrF5BK9eywVxjsJipwhlGIJyy3UJ3AQVLXgWlBNxmjyCYrxPIycdUEKgW
N+Z2GuLqSFu0XsXaUC/ZdeTYF9wWejSSVzPMhWoEXmx0BF30VK5btzNPUZFct7LHaDyacj0qzyJj
2oBk0yQPeKaLjepq4yK3czqM5CnWfTntMr8gmmEmYyqedQeSPHzzxI/PBDR99mvjuR60bpNqhQmd
wirRLVII0nTvIxJtrMujWeeBkh6r2kBsTWFaR7R+YjUayVXsJNM6s5z7cQwv4KRGH3uIwKhDlTzG
ecEEbC17pMJQV05imqd+7ppbGoPdUSN/cT3PlEhd7OQEZRVobvxsmUSi7o9Gz+q9EhXReiUUciIF
IjPFfGFVYgXmy70kNJsPVOUWsRAjfokHe7bMrUSNh9Z+NPyLXogGGJVtQd9wmC8yV88f0DFEoMz1
6Q6AIvuHqlsoVfU4q1PmAlULC8fdWlnvfaUk3h4QCdIwanyS4KC4mKc20s+ePU1nd1JqY85kPS3r
jw2MoKYmlNRNcdOBoQtc3jTaOeQ9GCsjI4ivVexFMozRZVY60PEBBzAVoT4Hzs+K4Ea+S/Y2R5+B
8bcu2OZt/Vm3dsM0WsQe1EZx3en9o5vP1NamhMQl8pLSYAk6TNe9k1np1k6N4kKru2xbpsBx9EF2
W5Jlog99Gk3Q+eW6JwXpmE6DDvSeWugnkz5PuLJLAz3oyDyJM7SNj2bDvn1lTF63n8eCgZmyd+CI
kGu3uWpdPAvk7lWevSXna3wakBC/9JbM1MophXFvFLb7QU70IXa6jXBYDXDGw2pgP1bKZk+Uon8l
tca5JfBSBaSJLPq7xt1zgvb3vhQGDDwxtH/UWPxht6fq2PTmiUwj/eSHLdVQyxeX9B5LtjCluxvc
3L8l1AJpZGiGJof/NKbfFrfiXks0qg+wDY98qf6dtId5zSJMaFOpjdYXOevdLRh9qgaEv6y9qiGS
DZsZteeSij8QrN3kkvHneP24majQPWSqqyjxdSbRbiI9YKIxTjxBJJgFiTljKHajbTOw/fLkUD4I
QjDmmDlye283rnlJHExH62+2ka82Yo2Qt9rlOkj6fO6856HnlphogNp1U2IGIKmRa5Ir4+3isSQ4
pqR6uoq6MHokfsi8GnSvutbnkG2/b1bOqu60tNyoTKusVZKO+S7PKCVjP6CIUzXRhdRwK6zD0MoP
SvPVHz3H8cvenIbb3oL8j53EHzsoQyVruuVPbVBWo33Fib3eEfLjcgAQ1TEXquft6uvTlBb5Te3Y
/bXXSVKKmi72g8T39gXU7MPkldpqJM/8gr5deEpJwt0RhFd8zsrGhele+80Hcg+breNAE/DtIoE6
gf/8oA0ltaQ0bx/drv6EEFBu0ABbeeDbs5EHXTiPzzrab2iIWqcdopoSNIur3mPNKAnnS+fhgkC0
hIzRdMM3npBQZHyZNL9eJ0NNqAI2zW5TRpE6uf5QfXZFOR5nmQLG9lkDm9icd8pW4RqqSX8j9LEj
lDFjzm5yVg0mARw1fTBaC1zzATBg6XZfwMPRQNatUsYvsQZqvU86qPqR1ZcckwhMb5y4PEm7Nq6S
yR4eCLgaP1tt4j1Fgw91q1yiJOlQzB4yaxu+gVsEVETKveZYiLzRf0abwhk/qF4kV3oGBxyzSi5I
nQOxkNCzDdhFRVfKUETW5NjAieoODzaSF1LSrF7S10v1kzUl+RqwH2tGZRBOEeTDQOIdk1NMPEba
yL0Ip/4ogCQQN2EZFdOZmqM7z0wNFUjbGEC5g1EMBNUhxiWK/CDqZu0+yX2dNmPF98aisCOpqT/W
czJ8qTkbccKA1FDSsH/BIJZ8IviGoUxFSQeDUZOC4xqt3Du6GT4q5ErPmlFrL4YzTJfhaycLul2A
4EbQepH+gyiTcWUMdvsprK2E7aTuB7hhHtgYhxs8ojqOgObsmI9RhH1QzUyvKHQZVMWjbpf6Svf+
h70za47bSLPoL4IDawJ4nNo3FlncqRcEKYnY98SWv34OKKtHkqftdj872uGw3SKLrAKQ33LvPdot
RiKAQW6hyBHzNrbSBNQQORGxDyZ1pDhZuXg92HsznvfosRfEqZUIZeK3NMMutNTokwl6gVZC2vnO
JIl704nhK2HH/pZenvh6RAWbFC3VMs3FwWxzB4ZAbyB66TbEmoVLNA4aoHQuZz0ZIbY5+bZTxquq
+MYRuLytOWGXzPMp29oyHu9qYbLd67zwKin6d61CzlSjzVmIHopfzGB33TLNOsTNlO18nfGAOfYT
93PTbatI6m+pBJ1Lj8+pQyF0sLuSKHHCIUlBk+1Jl2NySo1xm4qQap6Ca0lTDc5oGK8HRCEkso1i
5zR1tNQJeaE1AazQeSC0KAVvRtar+LmSauPJ9qtstHJdaaXaGoK8n7z2PzVwdjfNVImjrJgdsOPa
E/Z16SztNRb2hgDNaVZCnYu8PeRa/TLk6hp89UGW4qFqgiseuQyMslgesTi+J3X4iIzyFtHStqKa
Jnkve/X1eNiqlCGlC0wREyxSBTTxK18znIeS6ElYfebb6BsUVlrIQz4y9xkC7hXC4E3SVccxcocF
YOjPeU+Sgpkz1V6wU0OzhbnjSVnqM5mVe4GsYlO7WTwsJ38Kn3TihIGaNF56sJsKQN3EjqmMLdbh
676OnyEPgFaR0cmpH3Sv7+5rryY9rY3vsJdGO3fw02VT992zZjbeehx6FmL0MKcOACFBg4DGNG/S
D44Vu8+itYttnNcAdNtoaPZxLRiPDvBKlqXrR+O2hL2E3KBJbbLahDrJ3gEJG+XjrWMK/wve9Uk7
ELvMQAfJaevpW7NH6XCUXo5jb1FHuCMzs5m/n1mnyevE0HlgcIEeZB/mkivaHdKqWTDVtBPoMUlm
bIwW884ipR7auVbnamdwEW6M0QxIGrQphqaiHWg5U3atTWcGL16YAmwg1oerm2i3fOEgSGgoRWik
VqZX0haFXPbdquTxwpxp3mlMwLJeOuQbAH1qeozSdI64gMZzzRn36NXBdKXZDl1yzD4SzoXQz4nm
xP1a+hNtRwepsRpaFG+FMXcnBkSkr4kyh+tETMZJN8iWMUIcYIg0ghcMhgy5Q9s1bo3WkWvhsI1k
3tXrb+xdhXMlo35ueX0J0TByqvapLnpKh0wDHFwZVrOntudb40ogEaqkQV85UwiaznDprwYhP4ks
R8/RUP4tSPwgR0XNziqsrRXMN7R9zd5EOrOMWys4WJHDUKClyfc6+BMfm5qP1+srAqemUjTsyS12
NmnWb9Fu5c8ff8T3cvNWF7T9pZv4W9dx1M600uq1zSU92NiYTAk8SJ2DouzRaDbZ9ahC3BFJMc2R
3zCCIsniek7AqjLCxExceasu5V8xvFT6Io4jf6sBiD8AokQFo2SxFbnTPuEu5BeIE74jzxF1aRm8
3OB5Mp6xW/Cpw8vjZybie984Bab3kXqX8B19p9JOAf+ZJokxmN8L8FFwX2EtPNczMQKcVVJvKdVm
Y0KXueQBpjPPM1ZMRRhe8jDoUO8HuJ9WhMg79T4N9Dzn+teVdvLLsHpl+BeTmJkwUfTUkdzc1lyQ
OAPikbMDIEgRKrA66YCjC6GNfnaMwTmWiWJDphyGV4FKDx/XnQbxY9Ozwaf8l9ljBnrnEsmWNK9+
1OafD/Pnu4ZqkqEIbdYl6+b3JOvYshn8K5/VeIawyNvGkHKJ+1FdkScEOncexcE9U1cuMOzrj1CH
EvfTRthcAZIVc7zAlM03zBJxF+KYW/sRbpMqI7FJsl9fjYWrP+c6X5IWdrP/SAaCWse7ZYiRC9aw
3Omq5xutJwWbdlUPmv6Mtwt5RCrJCYpbrvtIo7zG+4k172PwZGhm8K4Mm6FSwtVkKV4yGbXylVEi
BD+O8/5BmqNx8glSOfRRUL4GkY4qN4i4dTRMontU5ewmYcdBCDTK1xSt+96vR81aTG2f6bi8sgCj
0gxnWRSmYPwVAFmjAkbxtsXMbZ7oW5on6c9vb65n6aED0HnVt6V5O6RE+nzcsGabRl9ylVevtUeu
NEd52x8yuHl7ycgVE62ntZj6wmWoM5GTNV/nA7k58vB965yWEBwDonQlq8+F7hEgxTJvC+yUoCfJ
pyNlwM2OvmwZdJPPxKLwtxL2JCn6YrqyGIFfVbjXX5rBmciMFso4ZrCREAKJABuqxU8u6XycVcHj
cKtjTyDdqSG3w5mvgqFiNOdUDiMFxyaPJ/UQvywGv+MqcZX+Nuv9X1lFguJkF8s9XTZOsCrpTjcd
FOcXfGcFuV6kMykagnc3wDe+8OV8DTaEoy5dpwoOcWhij/OsSaHOwVjvei5tnyei/qsn6JOXNBjj
c1vG46ex99hCtRTkDaPUKkRsUZicjFVSn4y2L87RILv7mATxL1VvB+8xeppD70RoHsOBk8mOh3oz
Oe6EGbngCuj9OnhJhONAf2qsJli5JQPuFZbNcvo2fv5H6PBXQgd0BD8Mz/8Qgvk/2evba/6TCJhl
GV/yXeRgo0lgBWuzsEPtwGL7XyIH9A+ceKY1kwXg3X6kwfyuAbYIv9HZpzJ5x2dAF83+6LuZRv/N
NG0Lcw7LBoJA/p7I4Y/bC0GFyk+BTtlkj/HLhD0xKtNuLVvb8RCwEbInXMWdb7f3P7wnf73YZ5/A
qo2gHkQbbErYmP68vFBGS4ie6rVdq0iKSKF1rSwa7et86LX8L1aW847356WB8JFuzNoNtqNMZ39+
LT6LhIQvK5inXP41p15/NSfGHGzF47MSeRz9xQtaxh93MwAw5hgYFt887fVZZ/2DbmFMWwYPbhPs
0IyQRRbUpTyRvUUGSAkZ21l6PnYLeDKWudGJBAPQymFDvhsJhMW2dsJuiXsfjysCXDhaCcJhvxx5
tBFhpr8VY9yQH4n2AkSdv/2IAMjxxTK/H4vD1Bj5JUszf5tpjXwwpCgOfk9SpkZS7hkJV3y2w8Qp
Vhau8C2Z9PmeUI5pXcs2v5iarb6iRlWPEc7aR7cKrxBSx+vBzYghh/m9U1Q4V+y+hYeizuouZtvl
71Tu5TVO/+TBZGa7wD+bMSWlhzNiBjYcIgOheUG5qlVtbr1eL9HJTsPaiMZqQap/e3QNWZ4Raw+0
OKn1qmehtmOvB1W40YZdjYOCcI7RD8TS08zyc+vl+UmofIRQr+iq9ZqsuUXj2Ru9NZuXONX8gVF1
xBi3RjDHLLp9IdjEmVr2MlWycQuXGdAQcJ0v9agEeaxbefHWNW71klADPyV+at76oe5Hy0Fv/S+J
11YJaexz0CkT1pKSA630puk9AG+6Z0VvaYQFmmmCnV2T2egRNwmc68SaqjtOgEbZIalsibquWcEm
5tpLFDMqO06c69iiGBhjplgj6d3MQMWaQJ/mJXfLflOOusQ7DMGHyafIvzSzVSUqos9Tk1Sr0GIH
ha6D0aGhnIgobt6cqAiyqzrL1ZNtmdrFIh3+xPiK3LV2NFIgy72urdI4CXSWSdqdjR1uH9i6veuH
ol1bU5ye9CTsvoStkG+pMSXZWoUKwb0mY//AW9CuokB8rmW2HIyhORdzZTG62Rfd4lhlQIo0U44E
P4cPfkstWHNIbrWKRpZ1F9py8i7pfWx96QexWLiVPCZaYxMzK8OJca2XvLKLDPjDLmFJTPsjDv71
6Ir6Nhgy84RE+YbzezDQTbk2lzZ3D0OT/spKbZOgm/7rmOPmdhpNXqVISN/kXJLxyTpv1Zim1wTq
m6tUSXnLup2dl/Ru69qP152jnhmXWGdSesy1Oan2rIE5WQ++GO6YHHVLMCD9hgiAC+EfT4R0lOYu
TqES2wsJ5nv6XCA6pDbuO+hoAitDgr3Zq/A4qTbpV2mYp86aoos5GmpQWkdvyKZxz1AnZEhEOoCu
M2uDh/aYtoPdE/pjdu2AV0graxwEfZvc203iYTZnisTmZrh3JxmtfSQuId3PLBTGN4CQ3GHNMhcl
RbEljkC4+N7t0NsQ/WSiXfcGdNqs3iZv0yZtXNuYoqTYIMBV4W2fOvxJq4p7tOB1QwtW5k0x3IQA
mz1rUTHej45+oPVIIdpgcF7MKppFSzrBhdF6aEbffEy6QXM29eg77hd3jh5ZRDKS2iHFbN41d2lO
cjf8QL9NX9h2pnd+n8fbRidihRdznV2vU+27wcRMObDMYFoMHYs/Z+yplAbVo3V3NNoiB/DDYTAD
CqVxdHagV2j1GI4Di8yVb9ybZNqjpiJ0DM1yIII7RAPDZ0HEoregDahYPpBuMtvVyKCFWYUaPrP3
VasXh3gk+UHmnWJOjD2Tm50J8rG2bfL43d6lIRcttjB8IGun8iWjN519gzahIteCwP80NvxTDYHk
TrU6bjAHGR8MzX7IL6NlV19tYXs49AOMY6lpkzc1+bladQLJ1LqZhnLv6Zl/nTmxeM1yiJ0LC4I2
9Bc3v2hDOlO9SLdlQCYq/j9Hk/k7me3ZI9mpzBYIpFYrT+XlXZgjwF8QBdUZPDxScheYya8+zvF/
qsC/qgIxBv9Q8fyxCmxiVf5sBcN+xJf8ywmGqQtunIVKzkJU+ZMTjAqR8hCtK9ontC6IIL5XgbMV
lK/6xoz72VJt/IYxe5a6MvtFwej9HaUr6tifayaSM4lCQJCEJggln/2rHDKv3bYdUzGcsMhks2Td
G2SeEc1MYpAOVqL3zBxltitVt01Novz0JyKn4EGmsDFadlO2VM1iRi+a6wxDJ/slbp2irry7WMDJ
FXLZJUVsgMsYRsD3tjWQnsJjdtol2jBo4Iu/WRehT+dtD6MWLizbkCKbiB7q+5jjzPeqguCbZDxQ
VPWMO2M6xMlmoJFYNTIKTTyTz9RvB2LPYbCP/goOZXVKcqKN8mTkrnCc1LxnscrNFJOdMgNSZpoI
Ild/TfgUYU5ZoyjaBNvJWwU8nJWIyfOgYNV+FZPKjpsskjyRmn6GL/hEZ2TbYmQnNPYNAc3Quxhn
5mHtnn1fEkTbTjoHoqbBBhPVJOls074jcEjDe5Db6a5i8bZJVOOSvqMVfGNwxDhYaXh7YmaC4kUO
k3E7sObot2TsylXUtpwUYTWZnKwhOpI2zZsVO9H+GTfY9Bio0hXLJqyrcc9wiT41aJAiQEXQO/M5
yOgzB8fICOgSzdo20n4twqo2yPJuTkNZGhUSBXdYYyaO4OCkg7NH9Os++gmONlPOCKX4A6cUtYy3
2F9DWdKsGbiEXXBtfkCYrJnHJFgCq0WfSHcRfwCbnA94E3n/gJz0DmJpJfp8V8+cp/ED+WTO9Kdh
5kDl4YyEmswZD9WEVcWYf6ZGkfymv5L1zEPU4W7czMXVGsrR9JozuTY3fpPDnyLw4o4VQ3RMgXY9
lzOnKtB7YyB7PZS7rMfivzIblAcsW0kGBAXURCW7QRxzJBvrxgzCCkPkDlMfjsA4Gv96dCBm1UEz
I1qgaCHDGd1FObO1RGbNm6WooxiCSbSfnVd7OfO4hOMGn7gbGojcjC7fAlx3lPOtxOkUytq8D0iN
2g9N7m7MDP4w7XzQ3kFY/oxWV5vFB2oVeDMijDsAyZdbWcQ6fkDEwpknlovMPqQzY2xuKrbk2+Ar
clpyBFbOzCNrP9BkLZAyx86ac+3p6g27YrCCLTQ9Io/Jd8EH4EzTdGBn1cw96ysIaBPiv3PtJCwC
5QcizexZITozN81gBvUgwlqS/e8zWfVjNuAUnmANZJDdpjb8tVal1bYnhkaWHtehG9gc32yALk5U
wx5DoIS3rLDNgSdLYATHambUd46srmGM+IRb69lX4CLTnn4Hv0lEyHNP/hVSBfk5Aby0sqZhYNED
ginJfH9Z2uYrQrQnJ2uYsyAUGld+b2IcXAE75nNESkIYdyduBtApIS+bOmTpNN8awH9Oxb84FYn5
ncNJ/70JZM4GPnxt2q/TTybpb1/2+9EIBoRQUEYcHDuM59AD/WtA4jq/OfwXzzXRAFpzEsL3k9Hm
+GNkgiTQmcmjjKL/bz7i/ebz7VDXz/kzBmL7v3M0Wh8Ay5/GCcQ6uA7QKA5H9Fm/RuiC8SBSntXo
zu815ANFA1ViCpFFHiPyBY+YNYklCB0G5qXOqbLv40JeokoD8JkmBtV/0/RMDT+2NZDeLbQ+VNBm
NTIxDQM7viAPIOgsLYiG93GQqVEboKgakbUyJg630SycZ7q4VzQCS+LE8/u+Dpw7uDnsAcjnL+cN
Byx6NlSlyIJ2gZ8aOQTsgKtuAFq18HA937aCzG9ZSf3ZTw0eiox8zduiYMvQztPWcnaZiIovHAT7
HlJSxnNOeC/ZhYZxGygTaEir+e+025TlVTm3fn2OICHsEyaqqFSqV4Tacq0GtizKZvX18UZBwvJW
jRu98fnHS43zmaLe6Blbp43yth6hMeA6826vUpBpbLv4wtYZWpMBeDURFwH/zX/qE1WHy4J0y2d3
VsF9TPgdc4YQ6KPayYHQ/l4DCKEMb5bBJ9q0aQlkRNtYspuKpN84NN8xfsihtdSOtqrLV6hYtZeu
Q9znSbI9F6KzjBO5e76+nc/IxymFNLDqw854hlvLNCYddb5blmNl8Ai9e1fR4C9HiA88icfoC6n3
47mimNt+/Hzt/FNxZePrSPg7qwrJh1FgrF26wi2GjQ7oYIs0FU6LV6lNXPImtx46kELNyzBXMqAP
PQOvCDC8NB1OAm9htAsydms7KIGNtYkcNyVWDx4wQPQAgFyBXvSgbLKsG1uaC5n03UYyoH6uUJ0J
EHQTG0ouFYZ8Muda8Cq2Lx3UFV4dCk3b4kfCCuXcYQDOHomPzu6iqpmeyb1rT15h+fcJi4pNZJmN
WNUgJg6F04XHoLajJ/B6kAVw0aCV4sP2UKAQUSjZIfYlv+QHeQaxSVtsHSwkPIlrXNLCl2KBA1K9
ICqYtp7NmCvLTOt9ENYAy4ABSEnoH7mWZBAmcbohgUxGZ8ira0f5XVbBKRUmcAT7W0RZ37CcW8sw
bW9RCbF2U4DNrDJFUCn14Cpn/DeSdjJ4W/IzjU0DPeyRrXu6zT2WLyQqRj6SERnn3jY19PZOlvaz
I7PulDv6E8unCboA22Ssxh1xKmuMzFd5GCi5bDFrbGIP1aXtEonQ6dim8R+S6xt3XkM8c1beQNXL
Ly2i5Q0qt5wFnm0cCGskCcGskaIwzNzBG0YM69vqENlzfmDKMnk5ZI71gOFeX5AQR+sZNOyAh5F6
0YZUCMIR+cYSDAoCNdmTF1pKm1jTIFHknbTatq6s9qqz/OR69Kz0WGiDc4PxGExM1DNd0N2WSivM
M1pXj6i9U+bXcbcaRt197pUWX4FJDOcBVELQTrlvJj56VfnwREibGRYJwc0JG21LFBTduvuqap+b
XksIHdyFZV7f1b5eJeuhN6J1F/UWSbBpoR4AQeprRaDdGRlkc1B6VT5qwpm2Zu3SRVgITIEmEOOi
rYtJGbPPRdorlCIMrbrCMbiVHYYNXTaAPRECIW9QlRe2o+2Tz+9vQU5Ff7Sv8pIJllBhc+iQsC21
SXRqkQ7IkBZ5wQ6VaSJYWRW5pbF0oUKCqCMORrgkByzHjCmL2eTJsZdJOi0J+iMpMDFFTFpDhbbY
78dtpIcMF6f8tVR6vSYK0tyXAS1AOXXaPTvkeUdmRmrjDyPrcrfIJCwmTzU3KBzSw8c28UPSb4qe
p1Ir2Dt9PFnqVAbvKIOITWWHCXNCscf/uIsqwUPrQ0HcDDkBwZrOY7U3S2Jv3IkTpilxHI4hj+eq
yIjIkSGCdcNhw1hiMJ89hPPiPutTdTXoAzu9aK7ozhzb07mFbzOtwCH+vjRtaD+P/wwR/pNAGQJg
WAz8+2rpf5oUFs1r+2Ot9O1rvu+S/N/YZ5DZgilGfMwK/lUqYZgVJG4IAdvZmYn1FETfpwjiN4cv
mX0/LHnsjwLr+y4JLy1rqdni8Z2z9jeyptBT/TxGIEKEv6x5kmEAc3B+zRys8VHQBXT2Hg2xt+wc
rT+jAeu3CtXCAfAhOEVELNOyHIbpi0NUzAk1ek0HbhjDbUnAwKIjXvQVVK1+lTq2f4Ylb90LUM0A
XgiBWYWt7Z6jrG9vp6SP7/PWybYp+ZL7PBTGp7IKvDUWleTAwg3RSlu/MUZNdiO0ZfJrEgQSixbf
yGe9SkljDkJhMoVPzbumjdODX2TFMXCtbNtZBGaOqAxLZz4VYQ7yOCOl0ehbYKBxTgBurgmW9Oil
D3nNogQ5HDL5ystgRHr+acJ3gmpKjOZl1BBhuXGKJn6K9auJ5xrhzqVVb0yXRtwozfDZAPt6hgR5
Y5D0eRWYxr3SAboaImAiUNu+xjOqst7BdM9k6ImtCNIW6GJ5I2/8ybAZEMNstWyHdJlmjiN2Mr36
MjDSIIbZShd1TP4tBKr0obYTWKBjZifbKh+Tnd9KuRrsIV/p7mSAZDW7p9KLg2vZRcMFB5z67E/D
9Fw0HamoqTftrClpzgKB88URvDm6acYb6tHuqI+ifqNSRjpfQOKpesQzrkEkixGO48JOi2zXFx9g
dLv7gshlETcOOmWCFcwi5GGtjesuzvRFqpeETTuc1WmVw8kmXIMZ6CqsSzYcfVNva3gG76GPRrNN
yM2Qwh62QsfuZeZRfmMoVzEM0BKkR8S5zmqSpDtW9pQ8hlPsv7g1Sn5GRxWiCSb9FRF+9z5l+BX6
ff2KYfnYL1gLxE+BtNtTQprpnU1UyzYHV+gvhrrUd86YuQlhvZZ1UZMbX4UEjG0m14W+yd7DvQX+
adD3S05B9Eb9SQyxfuM3XCvw9cDAJcrOPnfjWJ0DIbLdNHbWEQNKts0rEb90nhvP9ZZxLsLKueRe
pnYjuNqzrvXW0Rycctd0ZXhNynBLNWZRguZYinOt42kfDAGjBMc7m3VlvsAxE1d1aIMPNbJqlySZ
nRMc1mYbAoCc66wajmY02FyOdbPTQHF1UShfo84j1WEaU2NtVoH7WlsDOa9jvg8n1Hj5lDv7sg7s
zTfShVuYj5adfsYOishNC23zxfWK+7K31GPbVtNWkaRzKaE4FAvCybWDA5uHeQesknPUE5oKkE3U
r6BPkxsXKBixqJblf0YlEm2Lfmb5qTh78GJScXuS69fkpOfHJORDxAXFtK3LwDPbWY74r5Vvlsfu
cyFT416WxZ6GXxzKod4WBdMIViOIO+MsSS+cdNmtE2Q7MSHNFYEq9naKV7mtOngaPCxfgG7FexfW
72aKrXqFtIayqxiTWzYG9lc11gTnppQTajZyJ5WTPrvYVB4oILRLZeblkg/U1RdNlBJFJYzqRmtG
GNyiPtZsEZMlEf8OXcc2aAf9yvN88qmzS0825LMWDOUqFZZxSfTQ2hV0pO2SIqc/k0jUfLbkxE9i
66tBH91taQwglDOjQxbHpPhZugTqYtBVWbwY3Kmkl5jCa9WW6RY/EthoovvcZdOPAh62NpREZExr
tFEtE9eyQ7zi+/1DqCakAFmKtjtjlMhjrqVM8quGqKKKvN4J49jaMLTnxJyNdmiCAQFnPusYUbPm
awpBklj8xK5M32d6q5NwgHARcET5lolIHQNsmBcn98SefmPM0a5q8hJL3EauWyydompfReKO24TJ
+I3eilySwWfp51k8g3iJzgRpYybWuVX6jz6nxhnKV/TEPjg+0V598pUUO05EReBX25/b0Caqpx+S
U5tQo0pU+qe8s5sbmQT1VaIP9aMWxNmZUWq1BrpOyD3KtpUyo2rttLX1lA65uRMIkddN4JWbaEzM
r8oNu6vB8atXm+QWDhc4Ac8R/idEW0afLdgN+hsLhTkS5Chdl1NIHKgRRDeGQQk5+ExAyYsZ73Sa
L9gKjlqh0avW7Wh6R7KIcI6PGYlVlpsMXGjML33UmJju9A4dfWh12yIe5T71VfWQdcE2hp0GRTBQ
N2mPvrbqwUQsJqmj8u60wl444bgRddmfjT40D74Rpp+G2oQ+aQr8TgbHbcwtfoSoUu0Qqox0QnXj
v6RCxKu8GPTnLEDdwJMJY540V5MpnBvVJdrnynZJJJeetslDtyVhq8j2jq0FqOvCFlvL4D3QbAUb
Q6/1u6iPdV7ODXCvTJrYWMxXz81UvxWtmj7rquPx3+Hrgw062nhKLRxOGKLAUrbaEZ252WMxaeKx
XnTl4OTw0ouODMY8jfXLPGzl7E+S8L7DsVXToNXZtKRllZcar8iujLilQZC5acqGtsHk5wZe/e43
Vbrvs8hkiDFop9jE50Vo603fF+lOOt2L0ziIEUqk4NAkhw7Vt3hx4uhVD7p3XEMvXjneFoZiF6ho
WAurBgNTuNOa5PV72rrqUEWue0/4jvkIxa/4PPNgnpqAL+wJhOZSjyfWAocKirjeHaq6rXu5ZQFR
K3FFqVWEAlhnqpONPvd1a1i10WkkmXeF/6fzbmpZT+K5FcF7R+a9x4h74INjOWkiAUFyswxKfdtN
VD1bcnPLK6xUWvlS8QCl9vL7lTHSNtYAKPMD+Ktm1Q6JuaLIS49GOJH81cTuC9K7+pPuBmFyE4xR
dnQjx2juu0hFwTZTwKeL5djiDMRGI53kCxG2rfbg1MHooPnoMbpBdEnLPfZKC8uCDo4OuOqmF+0T
u+xh0RD0sdJZlbBYt58Q/g87IIfucoIZdOZPjhufScyyyyK0+PapI5oGFQYJ+os05JTRXHRF1CIP
hSL2LsIAT165r91FWhyeECoYy7CgsWH0X58bPs2DYu6AcXF4BQ0yHRpfaIvW1rqtUYwToM653LIU
aklcyc0xjtG8blJXTCsi3eXOyyzAD0ght+S/6cspsC+5wtyQ1Fq4V3ZInlgQBIcmN+OD1MOTMDL8
CK5RnVBRyNUUuvWnzhLZ0qMB3sZ1H28SCSQHvi+7iJi5xhDYFZzPKOUgA8O9dPiYdx2bKMQyZs7w
JNDfbXrZaVmlVQw2gJwB4wtJw8J7opOfnTPdNx8NYxkqDoS4Hx6bf5q4/6SJYxf7p03c6mv2Orw2
X39s4r59zfd5N9I+QquRwSG7Y+w5I+9+Tz1i3o04VDgeAjb727r3ew/n/8Y6lbvap4r/mIX/OO8m
RQLtGWpA5OUm2sO/0cMZ/iyP+2XePUsVbd1At/j/RC8kMIIN5de7SUzRM0vHolqJCj/bYkRlsBzd
Jpebqp5ustJUwzKLgAzrrj+7yasNTVmBAMZSxnOAIx/5d5EK7Gv68HUk3WOm3SYc4fQkc7Bb4Wna
go3vJ1trQFOyltoUITvGydLDNeISQrl5E+NdAKP4LoENchopYs5Z4nAHex0cZRcvsr0MmEEfhAEf
oSuB3WrYHrjBmxpDgWiOY828XeQW1fnoJNuBH85cWI2o9q4iXbhENndb+KF9oAv8lLi19hxnOTzW
uhALux6Z0fpmuK5CppsVurBrNZISmI/tpffCL46W8ksG/KZGZF5gXzKh9OHSY3zXFgk07C1Rvu8V
DcWw0LE3AJtgsuIQhbgxa1ltath4t1FvXoQ1YgBw5ZUsa4uBkXmJDe8eddGVEfjFIhqLO8LGSYYC
ikptVuDXQovE3/JTOeUn26ueA/wkS2XIEe1N+Ang9H4+8hdzn4K7+1NN2MnCLcs7XHnqJc3ABVdW
FK1S8vOQOzOijWPKL9e/H61gHbhsCdJAzD9CvRAO3xptubV1latfW6mmbdhlIjpp/eyRSZf9aIxY
Jj5I2CArrI2giqAHkuTg6fl7q6obXTB2DmztIO2pfi1tjhDUND2xkYGJt67KMIOa1U02ODuyZQk5
dGR9PfVR82yn3r1o43JbjuCPjHbisRqk7lq5vrHzMe+QDOo9ZAQx1nQPwwPWX9Ldc+YLIHtnmaMf
dJ81nU3O0q116yKR5J3zuI5IZjUjPJolqV7rLCruLM0Y11bDAnllltZtm0mWkh4sJMuKxBI6Cu7A
uI9XUab1yz4fgbCQxUUFEVaGgbFmYg5vOGRUoOErz6YxdseQ6rbbkCzoPLh4BY92LvRPNr/4qkWc
uSQg1IxZ2qYlaYdeEzRMHib9OEzI1fYlJTCqhUROOB8cRTxVU5bB++S7wxWuIgszZAG6OeNgRX2R
YQrPE+Punwf9f/KgtxyUwn82rnt6baO4CGkkf3zW//5l33U/xDxDKUWq7dA1MhNjXfr7w94w7d9c
DAwmS64fFptz+DPBhjNJUsw6IX6E34d1NttQG6GyzybU5ZHPT/c3HvS8xA+PedicSLG/gRoMTpo/
BHapUtVkE3QCwDza0SXtRDc7x+dtzFC3n354Y26+nR4/5rrN8u7/O1M+XowMKZLPWOwIft15bviD
Pjp04Je7kbQv2Hirl8IuzfuJQJbHFF+TWAhTr15CjFavfp80u//ipcEQE80voFw4vySCxRoWTFka
9kX5Iy/tN5q/7qcBrJrbCePe8kZOg1ZveARhgmbL9+cv/7MYff7NXdM2SbLjLOWD+/XlTYtkCj/J
rAtHCpAVT+vh2+iyU9UhLueXG3PPO/35a5pcI7+83bwol4ptUGHAj/vl7S6YA3Vh5ZsXeFzmfUEH
xWxMqHrjkrj0WM3sMTuerTMdgQDtFkCN/MI6I0ZCDrBtWdNjbCs3TMZdqzVhsFYKbpcg66XmEdjr
xpGsGkiLSOLm0JNqDioZswKc2J//Htwbf/g1BONqBolEwlj2L8lK3uAxTXQ5VhlvcK3Mes0xQ2i7
wRlv3APTKI/jDMz781f9WQr37RMTPrcH8ZO8sP/LBcMyxU1Gp2H8YvTGfaEpFFxuEb3jKa4vH+Ra
x66MM+dkpL7xjP789f94Y6LE8xA9MLPkuvn1Xul9vyBzeTQu3wCa8w0z+dj9wr42/ioO7P+5UFD9
cWdhM/FcVtM/35fB5MpC1zvjYsf+eKtVEZiwPjaAjgSW1X4ZU9t+7XUx353Y/kgSGLhZNGYzN0lK
IvHf/8UtFBsWAgXH+sNVa5Ld69c0N5cOE1nNGjXISkRnud4v4iL1/4ubBGPgfF/yvz+mezIw0WPN
ovICfOb9L3vntRy3kmXRL8IETCbMa/kqeiPKvCAoUYR3CZv4+lko9cxcUhoxep6nI1p9W1ciqgCk
O2fvtTeljslCPKeA9ksmbKFScXSwwl00TcJbDgjIusbGjGoD864xUnKfqwvDJXORtsYUbTPTBvuQ
oSTEgjHdxjFdYn5qyiiTfjmNpyCGVrv7+y1Dy/LbEFnEMWzWWSoC3ti3DzDNo7D3dWDdhWFKnO7s
EWl3fm+mrqi/KgXlKSfx42upuYFowYNtlFAbRJjIBr8+Z80mdGDy/TwCvNpYoQn6SZEb+/fP+aeP
iUaHQ4Xgw4JofPsxDaTtgxsK604CdSPcdYl8smpVf7XM0HokiO+jN3tZQd/MHYucVlA3dUxORnAq
3l2x6FALmHBF7kaSCC9kV8jnMJiWXxzyDXu8C7fKcYkSBGGHrNMc0hjo3aiDh6TPkFE7pe5enAr3
dmoyA5iIr78mDjpuwj2ri/Mtalk1YDvj2b1sB6+6OGd4o6sRRwRohHvrvvrVOP3foYFnjOY/F1IO
MTi+PCxjgkYfaM+3N3L2swAet47uKv7WOoAkhvrTM9Kbxsl1dyjp6I/r1EN4ubElcZHrZCjCeBfE
ET6dnJ9NxWKqcR6n9gDWsPN2w1J9PcRu21tYuSPtrIxQhvOGEkhAlYXO8KfaKKKOBlFV4Z2M9BKl
F3iUPKAaMjLSdgSsXsQuoKWU6DdOIuUd4t34wm+L9BJuWnU9pKHXQIJRCA1qOze+WHAkb6xK5z/M
rLU2YAgU4AM9g4LS0xC/aFlp99TpuNwkHev3CURcAZ7BSaFvY+Ep0AZywFnqckQSerHfUFb0jPqp
L3Pia53Q8x6CoInNVZNGyFAUGDl6FzJSyHbdQCvq87b/HWgX6cogErrsME9zZ6/QAmDxtRudGMcQ
2falHWE8XtVg5Ja27INGxtCvPfwaCnE++ldCL7tSQsuws3hNhl1d08YocrWeAhGHGz/F+RXFPctu
xjtCex7BsVsRQt7g8Y62bA2CLXYoMhkxisnnNhBsE0qf2YYtIBPxUKNFbhO9RGR64E82oVMaa78N
c7GarDT3FjZ+1rMyW7GFD2mmJOrVJ6TJqb5ynaq5NKbAt3aRrooYdmcy+UcRJagusqD74XM8pwlg
x+ZC31KbwAF4omyhdopiKeFB9dfRNOcvVusnJ3vwp43PPuC77iq840nT7gE0hzuSdKpvRdDKL5WD
c6lx6/iFF2X6GVGm6lZzHJWIfnk86zjE0o6oQ24KyxvWvFiF6WCYKydOYdog2sqvuheBowUyShLV
jwZaz+xiKP02E6eyzIPi0YNxD5+EQqSuvA1qW+qWq06Dkwb5LQjzs/lfyx5tWa8zAKbAuRKN7KPY
+JkV1F+MeHAdPm6WlorMUF34O5Lq2fzMZP9VGUamhWNUXZiRz2aIGVzgfB5psKJCrvUKuU/+aTJa
npgOOxYFrUn3GrwlSBV7WrIHSkYlNPYtFlMBdItQIMurvwaq5cmCHeahwvXHiWZS9BhB+xOuHLU8
+mxgyk5EdNd7PoqiGWTYcwgUi3OlyX6VdGdmo4Lg7Smcg6fRttuXluBdemCEdhqCecgTBbkrKm7a
VcMI9ddFsQi5OUvy4Thx4D3xovCpd5GCZLqoLrISRXxjyuUPVXlw2XWIHFdMZ2G4ykVQwA+0On4n
mhEDrsBeW9e2uTjmZy+rsp0vuTnKZqWmNunwJ1Rspdc9un+M3kuUaESmx2XgUSK3pcuinhjMqOc5
kj2cfxlKFlEvpfsYVn77QsAJtzJQWETbtucfz5+26HucPU4jptuKbaeNXjjRt815L5LlKMpvyiJT
hygarOt+5okMgp2htkfrcaCQRQAMPrs+4bjh5CnY/NBmee4mYmPPccva5t5bheZLMSS5UhYP7UuC
gP0+Xf5pALJCYZve6dFcLAE+CSjbYNke1UuAbBNEzdc0K9j9TlD57s8bhTlr4NGdgxftif39gur/
qho+DP2d9EU4OZLzxFsMSRiWrs2YIe1WoYn6Js8qwAqAq9b28mnLqmHhackUB7o33ZupySa8qgCe
SCurv4Z9zmqO04vOaIhs7NltZ8zoAx466u2t4pMP/J1hBWYDCX9jIGZdnzc4/bJVWfIvXn4dfs4x
jDoNltBXqQFDCSNDfe3Vbi9odGn/Mi4kEErPQUvAssMHrO0pnZGMlWMKptwKv+cGnHJgFMsQskJJ
6MVAZBbbIFaebqPGO1+MBLwHLc8IqcbiKGhfgshiAS6FZG6rlqNKFmMQs8ir4cV0CbvnSV+XreMd
+TrVhTMY7n2ie6AwRpzzabFiqMM4suJ2y+spy9y6NqOUlSmjSq626cB2Vfip7q/qMTLiQ0EXml2a
i28SqMTsk7zHfy7tEEHKirhw7hlIz+AJNo33mGZ+k2+7Bh/HrzDlPM7lc1zQj6WXVPD9z5MAYoDp
XicldyXPkuDSpf6Hhp0RVrvL5SEC+et0GfV5Z2E6tarqIkBEfGC73xya0OGpJjZ1RTBTy30Y2YJC
aAifiG2dbicduc/K7xivQEWKrZ1AV9pEhFNfKtXySc5vIrw8q70YE6YAiSBk2loo2Rz2tE3U3gZT
aBNwUS0PKG0EU5ONSO1QKCt4SrqZNKaO42i7nV2QG1QVqcWu7DEqHgiol89OmuKwM7DhroOUY4iY
fAvm9BJi6tgasQPzfID9MQnqrxhKGOgNjenb8zdkJWKP3LrMQAry2v584J1Ho/46Ww5DNOKImjB1
IwzmSPvYN/wm7B0eS7fs0mZ/5Dmdd4znZVMjshuBcxjO0fFjvvuMJ++ytH3Krb1dbFTfc5JZ7hrs
IDxA6Wjl80YtHyd2+RZZEornusdNuC6XxFlKqQyrWTvAExDS7vo2t3ysFBHTUUIw7RqSO7Mjhhfp
rGJeeSQ5pMzdU7WEaTcOHoXyRObFVqJGlfcTjUUQb+MStQwCRj6LaZlZ+NPBUzmZHFtJOjpmTQXQ
idjKMT8VA+yabd7HdvNgkZLEKxJm3Oh5WVwS7MnMfZOdGvsqIoE9ZiuCbHw7i47zSlzwTpxvwK+5
aDm4D6nNvLBMrChOWHHO725IRBQO065Wh8lL9HeY7OHd+f0UNu3jlELAHruWyK4gWCw0C7NXByGz
4RRHmh7/rxeiQG34WsNYGdaFIgscMF6wzXUtnyOXWsr5rQBCxKAgVoz4b4Gb3WpK6zqlGo5+Gnsw
wogSOybUzZKZiLhMg5KsTRFCySWDHPI2p6oRGs4iD8rXSoz8O81GSG04e1rXluAr8MpZjzLGPr9Z
AmL8tRc2rDCe7Ti7qualIXCX2d5JrBtJzN8dJ3VeatNA3bTuRibt8wwIjTIrzpRx0oBCY1m+EXlG
K8cbGTbLAgTqLMJwsq6HjkmhitQQ7hoDoN22PCemp33HMHMazXWjWk/3hRYKYiBHtadgiW2PZMT3
RuLt83bbojNAzqrJWin2QvPDYPnJdOj6oSSaqk3NClpRYV3DGOZTSCCwMyt/xdtuWuGsHmlGswmJ
jAyUwFgjaain5ft6wXgrett76P2puCHE4UdshITrBGl7kHljrjzFaQufW/oaOS2RbUDsUK9ypEaX
TVPEWWzoKf3WZq0TwHIdJc9gAUG49Ks19zmpeaCVHOdpb/SpszNLXw8r9FjdCroVOIG6Tq8c0VrW
mlWzOHKyn5Ct1KVe53UNqq9yKnSsOfsF156YDNlkhis4QR10rqntzFOzTP6nNIwoRAYxyifkGRUn
mBwxgVEhhyupspFTnIej8RClNo8Hmh6/NkRRzaTozFCgTJOekDOqg6OWyb8Z2OMUy5auif3pHrog
OzxQOJi4MPeeD8oZkeMXoxMwVIMYAi3gGD5eSFfhKbMr9gdEWfJJp/NiEsbM27NMquxndQ6MRh4T
bNHdOUfLSMOn0A95g84HwwhBcH2C8FAz5XXMaZU7eSExX5M6eKgQLiEui+NYB9Z1NMmAGPWO1KtZ
o+R1MoHMyuG5lq7N+qkWFkRfRMxWs5vYjwNR1bR4mCIDsq5uZ2RUzvYc1Gnny36zDgP/knwnArfD
mvIVZsuaVg9ujapj3lMNQ6gDD7NPQiM70ULfudEyM88075s1Z7v4YMs4+SkG12wvZN0z4jqDYGyZ
NcGl8WuH0ZDejfzxWGSlL44eIB3vyIFt6g6kL/Q05nqFW7Htd7mwbZ+zSoeREkjuo+8TeM03Zlai
zsMt8VKDZSMMbU4ShcvC4g7afYypWG9myJ5HyD2MhzlapoPzllnSS3Ije1pRJStMXOyF529d3dnY
3fv4MVb99GmKMdvHQief6j7KNi0jhNmZ086M3N/usYeDBrfXRAAbt+ScV9Oa7XTp0/ZxpoMdSeNH
XzvyJQ36+WfOrvIV03jLdnvMIxw22qZy0ZoYZVsooxRXvuBBcvEShiFdx6aBmb1tqqk5SWdKrhMP
flSUusnnou6iB5c9/rTuixz7eSvNvfalvg6cOvwUG172o0LKoTYIXcBWJwY9ydu5NDix5mY0Ik7v
TBqZSM7dr+fqzP/b1z62ry2l8f9dkL3Y165+TsmPN1nZuN6Wv/ZfHR4TDbVJIDZ9GVrwtO3/p8Nz
Dst2CNCg5QGKZin+/1c/f3F24zULQOx77/xri7MbYSY6Axom587Mv9PmWSpC/1MxwkkTcHkE4UIS
qBHI90X0hgDIeYzK9FLZCISe0bJKBGfCQ0pkxgEv2Yo5ExrwIeH8VhjHCtmbVJzevPJQIVzdo1HS
L8qJehROJmZclothvphK1/vZqNzbJLRd1Nwcyi5yyUREFztqEnpbdtZ9tBroZJPpl3ulwmmhIyqx
nDrmlIhryq+ddzdU/UD4de2eo7Cdcy62Ow6d+TX/FZg9C4O5H5euSZR2gmhxPS0B2/bwK207mmVG
+Lb7y2wek65b4T2H0YKHxPplSwc7jEe9RWBhbYn0dXLzc/LLyl7+Mra3ZlGaF4mVZP2W7SULaKt2
XlPrW8ka5HESH1P+qquN+VtdQpj+FQby/wPwgwG4mAX+OgB3JNUnL8//7K/+6+/8a/T55n/wI0za
Q1jHkcf4dDj+1V/1vf+guepKGo/03375Sv9r9FmMPvgMNOSoeNrYR/+7yUpTFhwu0aU0fzzXZsT8
O03Wt31PDAo0HMWSIMbs4FKK5su+6XvioZr9uuoPtt0jxEJSy8Ze2JzbRO9AqvOkKi8hdSTl5swc
/MdkdftrkP+z6/q2Bi4lfWQiM5isiAuhh/YeutU00RwM89Ttx55qL8FI7tZKbNj3XlJ80GX946WA
SKD0ocxvuu8aSbhNB8sqiABB1cE+y7bGldOinwVe0Wz+/W/FrQwcFyGqK96jKmYLr6kWAo3kNHGa
dOC2q67L1t3k9ce/X+ptK/DXDXT4ToLSGBvn9+2xiYyALJfcQKCFwQLDv8MH4b5OA4fvMoRwQblz
tRBj1rUJy/jvF383cZ+fniMdqvy8xdiAlp7KP3rmHWL50Km7bg94nDZDOsXb0hLNB22w3x+cBPlh
E9yFo2hpOr69Sgvmp8VP3O8VnXvFu1m2hNpNjTds07rgiPb3L/W2pbvcUWlbjC3WUFJsEDi8vRyc
CtuJra4nRo4MYSSOPzktvPrYBJGvFBdA5uvV36/4+20EHGIHtoTMtuzE3jWCCAlO6SNX/aImBxFA
2gAPK6i2f7/Kcpv+scqevxd9fk7sHhIH6Sy3+R8Pi0ITu+8m6/dOsiCiDeMyWmAKFpkVk1nID77T
n+7iP6/27qGxCaGmI/N+DxWKAAXgTCDgYWymWb2qII+sVJZ9//sXfKcp+PXkfEro0kGdyAv5birT
cebirWbYWbErbthG5E8RiMyjW82oUys22n0DA1z7HNNE++J2pn/iIHzoI1Xthz4Ytv0Ef0GNXv1j
mhzjSHU7WNlh1zzMWKSRh5DcnTXzBxOT9YfnT1PZWzL34Aj89sb5LSavqmMYJWMv6A8sRKUVBKlh
axgOirvWAv7hU0lwuHtbG+H5N3OmZNfTTLmGd+OsozoKbujYRx+MBfnHj8b8vIxwyX/fDQYqZm42
y7zbT3C98HZLAMZQwhsfC3BL0e4TScZsZUYXS3KFyPo0lam6bGGJEGQxoZwbzJIi54KZ1kDYHasO
N2FJqYFocQLaeltd2+5s4K3HUYKqHKcXwFJIVSp46sfEeOoGP1wHTtJQZzG8nePYRPw4QLPBqJzI
rsFkbOSUTEIZ4BmTF7HIPvXEV1xngj6hduZsp1BtbkajuwE8Oh+aBJINxWPobvDhL81Ym58N1Qz7
tKTQE0r9mmnnvvO7bBVg9jl0btzd8JPL3d/f1t8HiM8b69iMetZgErPeDseJpKMeMC4PvY2vyZAB
ue+bRxjVj/0c1tu+J3fk/3BF5F1ovikpMd+8vSIZB4MfzFm3VySQWa3YgpP5EZTiUjklevHA/fL3
6/0+b0NsYrZBwhUEbH3eTWttFAwlz6bbpzqnUgs88hhVI6VsW+nN3y/1+2tKviF44KW/yZnlvakz
6tGNjkPFKujDu6iMxiKCjGP0/+EqguYhGmY4IO8fWWGGRtFBHd4brjIV7avAOACr8W//fhnrreRl
mceWtEYEzuwWLe83KVqWGHDca0TG02RVG+w+6c6d6HO5bUnvGtgRWwpefBOW/En5n5Ud7Stash9N
S85vCwbSMA4cgEXQ+KH2fvu+NGRvzMngtXuBmXA7EiW5C8e024mxS/y1I2ZxxI4QbJVZ/cyr0buH
xzzuI2kOV8U8w8cj++aDJ2D/8TNxGEUP4wTsWd8tK5EwDCOMnXZfRn15NJXcBmY/rmacjNdhS/pb
7PX111wylPPG0Dd9nUBwTEx7E/hlRdRl/jO3puGaNB7yh8Zv+IPsdZN09YMu+2RVdwmBLYRtn0qd
X2M3/Ghz8ecvECzsV7b0jP/l2f9jFQ4tFcBHGLmpsb6PYEDuIKBEn9AwsOg3XroJIW2u4Sx0rFiq
OOl4fvZp8rTKDY6kmIQcLdUAlLkK7qrZqx598KgzHK4TrYZgN9aR3owZmSZO2uU7lTT1B0uCtTz2
t/sIXot/fIN308jY5XzgSlPyph5NsmJQnjo5kVRmmIQMKSb5HlF8mppHZ2FqtARlffAWOH98CwIf
fg6D0YI58fYmUtsVo5Z9u0+NuKvhK/jyO9uqW4+Yb/Ae5ksFaf2zZ1vxj1atqV5H65SiAWHyKGiG
qN3ZJrRE5QpvNSbWWFBw7mn8c8E98vt0LdLI+qlLy2Kq9HBtZltpphA0jeAzMCh1sAZpXhoAWA5z
VT17g/ngai4UiTM8DpHBB/f8962b73IaRE1BgcY8l3b++dLgqfAyulftvknzz2W4RzyTb4wZj2o1
S+eDfeIfpm3CPjkYsq/nB78PcWzzjAQzJp19HZWvQeJTibdQ5YuJ1vDfJ7rlxPXuTeJKPhmaRDh7
5vuNPajgvvZCyZukosfMcqLPab5ID2hRuIThgKVYma7hn0IXfcTfL/2H1Zeal+1S+2ZhYuP99g3q
IjAAyNFaMqT017DzbyevuTfBmZP6+50jr/vBAnXee/72XaWNjMVeFL7vJZOAmdqJAMh2zzG8vO8d
9j06JHKN9MW1M8w/zbB4rJJ82kS6ZnMjYB2RuqqQNM0ffPU/vkwIt1lZHFR575flpO+gtQ+M3xEd
C3GQHhaSmAgtGl/k08Tp69/v9B+WZmgQSMgBQC6UqncztksTICr6iYes1bTHgxCuZyJkPjgj/vH+
IssUvEmLKv296ixtrQgFdd3uOSOrtT8A4xnKNFi7Ie58iEqMzkH0GyKa8HDQxVlTDci302BcEEP3
0Rz5+6GcSHhOhRzKkfTI9+LmUUPujduMD0ORcBtHXrRr1XylhyWCoLCMdU2IwD72EHNVWW9+MKze
o76X/QPzIjkiSFTR371/10D/4lYpTUVTUsTfaw9fx2pUUXfTJpYsViM4Indd9fwACLEB3b/BJahs
Q9AAsGA4m0QfjoYer4bYicKV3XXo7mT0oYr5DxONDw0E6jo5rosM/O0YjA0/0bJ0m707hWrXi3nY
ihbVCHv55INb8odLBcyfHjpiynDcnbeXSlAd1I3yyBGZw+JVONq7m8sYKhjhLR+Js/94Ld5Ek0wD
hwu++1p1Wc9d7YtmD5hD3cFbcXeVppGUqo4q4n9X+v9QPPvDJMZul7IIW0SSxN9XKuwZt2vVc6UE
M9oG2Vr9ANgTUrTZzitzKgTaw/jfjGxfXq6ASuZiknBR9L7XnkdEk3ZBLJu9xkS+LuBe0/ci2EaZ
9kdJ6ZhVf18h2GnQICBdgGbD+x23n4mqj2aLV0QotMOuxocMF1WMpPkBbc7XLj3ajcuePF83zjAa
O06O/bSdJ88p4FJIBlfiUGM8hq3On2yIH/FGlZnfI8/IQSR1YRM/Y9Q2rjLA5e0uinPEDG25OOBL
vhIwJLfyYQ4MgJx2o2M6+uLMek5IQ5y3lVCApaIsth7d3p5RiYpJ2rvUKiZ3Czcktr8EI8T5n25K
sYSwSU4wMZlTCikHASQq/tTmlaWPeUl1bR8ndAO2dDCsUzFPk7FvUUC117Ioe/9KdL0O79zWyssd
/98YifBCrjdBig6yclNmg4iufK9cXNfSqdJdTwrlw0AWE05fmGsHS2X0j3WkbLUK4uSpaF0HfSZt
7PSIxTmq135f0QDXGeLdbVHrUl2mpN25KAKDegTI2hJbtZkGqYmRG3RoXhRGG5rUHWh0b+pCLpur
BEThswcqQ+Nd7yYoUqJSDzVpkJAgujbVt2PoDQ9lIhSMQqMJvHsTsl+0RYEQ9YteZto1/hQk6BIj
9LqijuYZpQP5M6Viidrm4VL+M+nzAo1ppf8pjZscClZRIYgQ4DpAXdTyUPj9HXXeXT/I+nOIoPdL
bvjmfVeCAwtB7R6MhSLvNMFNn+td2bQ7ksDK+9CjiCpitPIzwhBbZAScBlmxi/rh5ODJWdMpegYa
B66gt0GVppOzQ1eHXM4Yt0OpWz6D8vYuyIxtIBJ3L4K5WrFjnlcIUaKLFt/0d69DMCF62IGlN8Ai
cyGMOwuLFm83tK8n03S3KOSbWxkUamvBIb/NHGQPgASsC7/I4ytn5HlwWkAHiQBrmh25l4Z1RzgT
MiA9hccQjS5tsKxnU4HFMGeV2LStt2QQTcemEx35SVryS3aTUV2aRqFO2TTZm9nMmu3U0QlLYUeu
0e0W6A/iDY5C/xZW3H1hxMi2Rj/ezTMJVhrn4Ca0tb2f2breh1Fef0MJa16WMWRC3TUu6YadenWN
Bjx4N9Qbn4I1KTaVPKo8ACpMRMTRMRP72Goa5RQpTngSd4msLSi6mlCjvvmCzOzgSYHwXX+RU1hu
RyKQseWGXwow8IoRWPjHofdw7BtNuJklVLPAJ78pdEj7jSp/a6bC4Dk0ZCWnwbyJOTfcJ8oYbpuI
6Oi2h/ExOu0lmUEeZIeFQmKUP9tmrA++0yWHpC2KQ1n4w6toSeVdVChUuLIBXZomTaIpkRev2Gku
VqQqCTryQ3y8NzYvz+cCP/S08RALZCymTBJEGYxfsddm183IW5Zq8APofo/kbmii4rsKZ+pMfCYK
5u3EgNiGv4Ii/F+xEXD1vZZQXDsURErMra2+GhaalzSCOWDYfOa9t0RSTB6k24NDdGFP4KjyEANX
locM13AJQMo8n5TDXBMWd6I8a7YUaZvkoBR3CjpNmW9mvxgQOqTT7VnmGRZllhzHFCqzJEHw2hpt
f1clwzivQM2Q+Ju05nfXDNlPUt8lBns284uaRfZH1/qRiwgrgqM5ysTBIt26D4Icr9eA4j7JIiXM
w1UdDuYGicn0KR784lXVCrSOLlrrW4mje8MRTd6QlIDWNChHsvBave/YsTz6oGC+Di0/Rxv5tK06
uzkttq91MpUYHYTTfqYKt3idafhiCe55E2InaL7Ekd/8aGpBXDiptF8QeSWHVIVdfoSsle0Sbbaf
JYIHzofQwDZuKItu088IYFe5bch1ZgqgT64r1wh2nWPfEGrsUULecioN1C7j3FQcCoKUkB4n0fDU
hGM0b32Ja3oVRGOYkAcummBd0BoEjBRD4RuZR06Ao+IHUsXzVeUpggdbbqfxVGLYR9ZfZ0F8Edkz
H9XNhqcBtd94FYVhdJP40JxIDpmvqg6xqIgFP5XghL0wE/dh6GyJRkp7zQnte3yTjoSsUrqzEQhW
8iZSDNVtCVNzN/dTthuriYBrdAHRTZ7Xg7euJTgmBlHDoOLpUoRvTlkRiBsSM+vvajEbiFmhik64
3wkkwv2sS2iZMTeVMA19YfBq3tG3r78TTLsIEN25JoOiSZM9dzY5gNnhxxrYyCwlmlNtpcHlPLT1
907X6ssQc19nz2t+VGT2Nau5j7mtTVmEp4hqxL4PECgFYytvxNzgfRqqILqZEpRh7Hchab/MKdaY
iRV4dCBPOiNJsZcWy3KNvj2FCoU/o8GqHMNyRx0Uok6vkELWliYORVbhp9qNI4LI++obcqRsA3xs
xg5izCFZ2OCPXmTv2FuEfg1xN2a4iYx+uFgIGweMKNMn30iZF6MwOTg1f7s2jeimxxY+I8KX7MDJ
HaNj4TT5UWUhgq4uoIizgW4enhBQ8gfCIVgwRmPebdK5rvrVzDinjFW2n+El6VffQwfuRUKSWq7z
o6VI9l3F+EJws6S2fEiKeHhCsdZ767HiQ+bSzO79TsHETWP3wQhmsFZ1OcY3uBBKaOuiVF/yBtWa
77b9k0lQyT2yXXFjAxi6lIRD3jdi4EIZINvAQyWygF3jG9Fy1/w01rdmZOhXc0buaUwCrCxF+/De
LvCs4Y4pL2Gn8hOrObtnyz59QiLSvszjgPd+VpTEt0YR61ePfI6S2DWw3ivqLa1awaMhrMU1KmJv
RDpjHksMN7wXMUeuVd23jT4WwwCPNkZkezsbDSxJCki8acxZ8Q1ZFDA0C2uubg0npYg7EFZPKbX1
4+GIFcUvIcx2rxXUB+hHZpGum2JsXiECWk8iQm83jK310x1SeJwMveaO2WJ+rewUKCdBHgtKOZX9
T7Sos+SZAYYw6prb4rKSt3tzzCwFTxZpKInGxn3Q4SpOPJeAmNpv7rqwpPDf2PV1N2CpnGA/3Vmd
H92EbpPsuwD2VYJE5Mg8hr6T8HfnWIKM/9wARTDvlOG3zPFVtsDPdMXN8x3vijNxuKsRmTOJgZ2h
btoBCEbN7X9DwN9dh0Ud7Yc8Hw7CLXg0LJuXjhIZTHQvSm5d0da7uhTtJ6TKKCLn+LWLKn6rret6
Ew61810GkdyJGqlvjalhYzsThIbBcfcW92tFR1MQMagYh51T6HurIGr5rPZbcgSe7Dwiwt6oHrpA
XGHpSOhFmglnGYWYtg/Sa7SsJxMk6yktasVlM/fGHFGgxh4KfNfByzIh0rmaXKO+KbUMH9zQro5E
9iLsAZE7w1+i2djgwDvKpDsNmlzOhLF5hV5NXUIBBIEbl3rFVp8tYED7jxLqcwAL/ph5yK6zanBe
Bkj2TWJaTGk+v6CE35auVa+nTlxMUyo+s982V9qcqu/BuPSZqm4XU1k+NmHl0S1DrnQY0kp/9qcx
ujfLeNx5U31wq7zZBCMMoFXSVAd/nJ+p/xVfUQzOSAArjlakX0VM9Jxw1p7WIl6nWdYeM8N0VkNo
mDdZIepd2/c0vqwl0AX0PEaCzNwjh28f+oaEY2cMovu+5SK9DL3b3gTVQWEafB7o+2ewju4TpOb8
kCTe05SaBBIPUcw+kK3cqlhoEVUyxleJT+GmsuxjCJvke2yG427wDXMPSoxsl4RQpHFgMLZ1DHs/
o1QYae1esLkQn1Mh96WcKjLjUybgKuV0GrlgKQLw+K9D1tufp1pY10ERzKgWCvFYwy9bT+xhl1x7
eVGEbf5kSc+70wNPSQ7thE+cfeFKdSrawm6sf6JCzO11jYSWdFheAyBfERTfqQR8WddAKUWRtuup
ThWBOLD9MNJhMnHZ0BM99kx2RHaKxvLQQfcjHUcYEEvgR86m/blLSDFmKO4SMI1L3IhkQ+b114WQ
4SesMGwzxAB9yTMJKUARfe+bat7gtvEvWuwW69CMt7HMs1XmKHlT1BJfGlRui6ZFPh+1roYrVyJT
Z48GXtMVhKPV0ZTe5KlDxG6TzjnjTpUcS3MSvoikrcbhKgi79EthC3cvLQrwlNYwhjRzTUmjTwxs
DaHTXGqK2ZzqvCGBGKigTQaI5e4xpZ4U3otDOJBmjmnt6mxTb8vRY9avsEjQ4CFxvu0uqfvqldum
B2sygi8BPVPOOc+qKntshHJeNyRkYOUsY4hpQ2d9mdCWo87zvluz+zNUVfONHWv+LW+LikkL4JaX
S2PnDH207by+uNMuO5aceDia3mhf19EUxjXboekw2MWQnAynGsVm8MzWO3iZha+qFG51Y4wR6vNS
e9UN5Ru4whiWiETBZ8QkVFky/VYUaXlnN35xB7oMRHWimUBTkitf8tYmrq5N45cmNLFy2qhrbxpU
ACep0upBk+c+flHseHhuCYccTKPEFGPocY55jbntjGhgtaR2NueLWD+iIAlMGeEz+2NOplkRi1OU
Te1LQS76S9u3i1JfE0mX4TWIV+3chd/MNrXIZyNQYlUJfCBtM4XfIBVyCBdhYgTreg7bF7KoSB60
5yGAI5PJ8iFvJiaGNp7GaudF3VDtRDBS0ehJrU5XsY28flWVefUQE/Yl2WNW4TdpYWiGjAgnekMm
cCY3AvEufj5Hd9lmaPmU2xRyE/5yVFpEExNrXkCQEWV7kcyy49xolnCx12M9kg7F5pWfPBvw945i
pPy4iUWgjb2hly0AHgW+Eoep4DKNTVFuXAVuFbcIET0rMAUEv+RTH34b1EDOetRj6SfwVZIW1fdc
FWMNzIZROMG3XzdTDkbUI553rGQ9I4Es1p6FzW/FeaLaO4GM1k6DYHlNLYhbj9W1fJDox8p9nqSU
e1AWJBwws4kYG4sq0I2ND97adXKWF1p11YMcUVTwCOm3kr3XLOlXnqQeomrigi9aVAzDnix2L74K
hm54HVxqo6se12Z85WLafMz0YEOtLcvPBLx4d5lH2OmawBDzEctkqw8TZfjwRvR86YM9mHxGduV8
6qQMeXiunkqD/l+Fi4Rnwtil9h9rJPaCuzgguceYCgj75T/ZO5PutpF02/6Vu94cuRCBJoDBnbAn
JVES1VjyBMtOOdH3PX7920E7qzJdtypXzmtw27I6EgS+ON85+8TXbAq/rMb2Du23OGmTbO/3DZ70
3gfPQ7txTN1OZvL5WY28ncuhQP87jXFrgKstOyY6J7Kr5IgPHBGlYbcCnLaOnYaPOnAQvtbg+bWm
q1mXCXk9tipJ3Di7h4Zurms9QmKQlR2RSxm9iATrap2V5omdNNG2vLce89CbbvEyxa8LbPAXsiTD
9zXYfz2of+VBJa/KWuUf0vC/VHvtv5VNGKMeQ7ePu/n48b//T3z/mn96UDUtzcdkpN3atoUA/rsH
1fkFigfShMLjo/2K/Ee/e1CRtn+AfSzzFwwPNl5TLEo4AuTfspyaPy1IOPKQYOebmUjIqNeu1tD/
sAX3ZVl4xGmzg+WF7yPVFKuu5T7EkvCNjqynBlpioXUfLxdvjDRi1yvqMpCGOq0RMdXLowVl+thq
BakQdEDRl5ztm9mkHUorTZB7mt/mABdkqXUokrssbLU2xUrZvBhXvUorV1aGrlZ5cbwLjAK6c6gu
8OG8h3GJgY51+U0xxiPfrddHxrretoYELarVMkStdT3k93MraYrSilqCtNZojY2iFWdTqlGtxTz2
zzL2U3IrqHKR1udshLpRK3ZtF35ybYQPqdU8pXW9Tit8idb6TK36CbdFbNFKIKP81kYa7JEIe60V
zlo1zJEPqdKjgAjte9NobTHWKmOq9UZLK48VtY57R6uRjdYlR61QjjYqCcS1j06rl+SyAg6aKJoM
NV8kE6SW6U48KfId/LGR4yYaFTXv4ZZ3dTVqlTRHLu2QTVFZ7gOto/ZGPR0qC01uUqW4+Fpv7bTy
ii9nl/vjI8i3/JLiermNM6/pVwkb7ZSDXXbXVFY4bqU3cJcp6vSt58T4yKIetElrdGvLAkyyqsKh
eaotI3iSNqx/O515phk5jTfQqmvuOlV8bspsfAt8bpcYVf3XKbdSqJ5lj3BTonpFAxGbdiS8VOMX
eFQjHfJFZjFIZHJwDp3lVe8qTnhCwabIXou0cG6IfFHYTWzpbBfXJ77QCbHQrJpbxCL612NL8OL5
sqdRskc/aGVVnJoW0gmsYmoba2NhSq29QtVQnVNazkRJ5a2Jsnczs/DYyVEln5VkvthMQUh5o0TP
TSSPcM8K8u2Ux+UTgHJxtqhxv7H1E4BxN/lcVQGPNkL7PLJicku7PAFO3iE0PszOEJ/7Lg2LVR/a
07aNAQcsY07qrNM5VQf756apPZABpkWFDDLX14bY3tGwrD5Zh7S2HDBE8m8igvC8gMYaYZoMm49F
4RmtCJNfx7fEMzH3G7MI5wcZcmk6fTCnB6cd+OPrOZwvEPL5HfOSbC3+8fKmLR2XohOaJbdQ6PmG
YACjmi4+SivngbrlKxAm4vO3j10Wa1ggOfEGRNbpZI1o4KxEEZ/nGqEgrpdhL3qr+uZMnCeDvqzu
r79ZgjvX2w29ztxlUqrHcAECxGPOcddWEHmPBECRxnRBJSU54Bqcon9uE3tcE5tiKxrrP/x6UGWH
272oKecf0joij87ATWSDTXfemn6LXXC0k8/XKw26Bj9twe7Wr8TMeeVa1unZfnk/VmQFVwxnaJwI
LK+Ma/LTWOg9Rpfb6hFur30sdVZXMNNtmoZTCTQPZR+qgTcV0EdxMnLtiZDBWO2yMe8+OhXFcLZL
954u7/mmDoS8BGbiXcbayLcRVyTwYN8JPvsSnWx0qNyE/kgNszF4/EQ1k8HLwsh4Aq9G7YHL1At8
2N+XgAS313eLDG35FIczSfE2DYpuLXBhrsuEV24GnXMr6tYOVq4HVxNxnW/fjyy2VTZx1dNnsmIH
9O4h+a1lXcLxSZZzWwDzgMcJzu15qJnVB6f8XMQoWrREr33vTnY95/rwIRpMuJsdCfik+c0Z/Rvf
4kTSMREXUl2m1uL0EO07d3kNm9bdOObk3boI/IjHhHZaMjfVXK49WZSXjudYv5LaVy1i4V6Yfl5a
kegAH/fwVHjhxlWVtRYK92Ocz+eYKDb9J5s2KE9WoYIHYoXTvSDYvPPKkG3N6LnR3i1TOmj8wd7O
VYqowl75MAxZte68tI42RiM+ipD+nlp+qwsQHTWNpzfJ0rfbQubiiM3210aAwfGcRx6TFDAPvcVc
GgbvRijfWsP7FSgPwPGizXcZfTK4YQqMwLk1bzg4c4yUjRzWleuWTz08ozW00uUjHxzGNfZv2new
q7rpqUj66uSrFCGgi9YORUT7MnbFbqp70vXjnJLpEC/uzNDO0HpMpzk/0opuHUZuwhvT66vtRIgc
ICjA53AB1FyW77XZszEsSvN2Tk11arjw2V644G2G4N0UeQ0tBfC1mH+z5upSxZ76Fks0MHuszc8K
0W4j0vS5w9D4Bbi2teWz3q5iq/bWMIFZQCB0n2yaDiDlLAv3A2vIDiH9AQyvnmmvF9QlP3iq8/Yj
mruAZkVvPrNMHQlxhKxiaE6WJnjkpSEjNcjithTuOeOe/8hlBUDJDcSDBTh+O8q+oMSxN5IDdJFq
Y7cUXrRCVt9aR6bbJZdHyCPpyqqqLz0M2U1N5dYG2NqbGYCrNkue9j5nCYyg/a9EM97ryNqbcx28
jAL8imWlw8pB36T7j81yYzsvAe5nYuWQXxN4jW+gHlo6eq1Nh13hdiSFtmVI8D5s5QwXxRnrJQWI
wgwBbJeNojufxi4YUSRl4E04WZKXRFEDYLd2/q0Fg/oNvSyjCDtXmtMSsJ41kCRce9ylLV8b5iRw
l848qyApH+lfwWYU1UxWGoUzVo13roZq/FyYc/Z5lMI6uzQ3rB0mrFVDFekGRgMG/ryLUY+jwgHk
w77NX7lTEt4OrErEqSVMP0EgWNyz9Ot+54V1bvKRCF87dzLuXQHDKCV0XfMmQsgPmtCgmCrpb/Fa
2VwxBZX0Ze1UIM6Xkcfg1Jfn0hPqZLPn3wa1k2+Dtg5eqX3qLuhLcbJd2rogpO8XxrkLPefIpJDu
hVnW23ii3hNGa2lvqRL6rcilvBfwoV7GJh4PsM7rT27dsZblXrjhWMjZVo3txrArQr9qOaY5Uxgq
snEyS25glZD1ocSntq6aLmHXMwfsvYTHr5Vhg7Czr0CPvFXbBON9CpvvrgmKZgdrptnXEntXP6bB
mpnhbmIrj4F1H8qQc7C3vCdNU1abpBhYYI91Q2o6Fas4ovwit81uTYGfvYeCeUchNEByTTKEhGDt
nKwdHpaUGS8dypYn1+DdzyPb/hrQFfvK1Hi3Ov9Mo3T7bVRw5mvixzu/csNdnwXVyrDos2maON70
zcJHHFO93mFceIKW94UCH1H5/QxxcnRerWraT+MUbiile5pBIZ6nWIoVC6Zkj0NyT3EI1Q+i2ZZD
GX6rp3lvdTzyhrrMtgNoiO1kTtMpHkS77pM2OI51cBuH9cUOHGcD3T45zos73QQJ7lVWG0ZEpQey
7sVPubuKG9UbbqxzPnSfVvs0H5Pw0XKTGihur5vI+YNt2mb9a0l5GNYUlqff28vVtcp8Yv5dbh1G
lXSdXOvO55bm88nTJejO90Z0ntvUo+fUIUDZvNamR/RCDPbKvRaq8zT8xFn6kRbSYZdfW9ftfnwK
dBO70J3sYeKUUKUd+w5h4a1erHi7VO4l9kuDHpUOdrLud88oTLivFZ3vrW5/T3QPvGhFdzfqbviY
kvgmnFnGOfTGewMN8mC47RPA/1Ef3aGjjDTNI7jUl5BRZSt1D/1MIT1RtwAqUJ98GXVbfcyuzeJ5
H5xygy77MDFNUPBtsaagmBS57ryvAnpckK5Bxnn+s29QG0LF0c1iMWgjC3woCbTZrnM6dES6zkr7
1yiTLZp87J/mcHELKu310A91o/tqIhZ+qNRJbseR2jPptfYBcgPL/cR/MgnVgDdjljHYlXfpcVkC
WpJBdc7QPRtqSOC6fsro6b1ro/xXDqBhvi0lbUWrsdMaTRGUm7iIfq3znKe+UecfanD1PSvoul1P
pdyuEWbzzvjibiWbh0sXUKnBDHSx4sS5t5IlbOFsZdbJtH0qUuaFT1pfjK8uNQk3FBYVt0s2gCSr
5y67T4taOThWrOgrhhAT5lcST7tcRDwKTL9h48TRsGQOyHzvwwtNbhxD6IgLuwbvU4eX+32x8uLr
Qg6YKrjAsiEmFcov1r05Fs8U01EIqBf7gV7xg7Gdtp5YjrFe/1faCECVUXqOtTkA2JrYQBXCMeAU
UcxSKaEIRfLD7+uQoSS5ugsKbTRAtNOmA5DcVw8C07O2JEzfDQqWNiugEg2/RdrAoLSVAdpRdZhw
N6Ta5tBqwwOq+m3a9DnnLMwQoAeGh1AbJCgHQcnWpolF2yccbaRotKUi0eYKfrEXDn5Aafyo3NE+
5R2zqxvjKmX8V/X5C9XHIvaLLvLvVZ/nbwUWlPbbtz/qPj++6nfdR/xCjbNmiH7vVPuh+fioOWQ6
WPjxCLV0APefmo/7C9Bl5F4UIbKIQvt1f9eA7F9IXZCwIdTjEL/AY/s3Uv+2+sncp8uofFKj6FLw
B4gl/mTKVHNjGdHoFEdjALBIJ7Nu7xi2AWXrKMm56YmVcLkZ3XZyntc5q92NaDXePQzUoc5tluJO
0IKaIkVzbmvbfZ5SM92S9uCpHrq48MfG2tK6Nr3l01TXmxkh+YtP08ZRVma27n1nZDcX2lsVqI++
qLojH4Rw7zChbVym+TVHKeqT6HnfzwNPFt18UHK2mthBRXVOo63HbiGZyze7qr0vRdPmx34Klx1+
CyBNSm3MDlljoBruXrA2PxRznD3LyBqw3LZ2B8dHuuUbm7t6jwSwnNoh83WJqOt+DTxVRZCXEXBW
eROGd2Uzdy9p0nm3EM3MSz82EmgZcIJe+Hcm9fIbLw/Dz1nU6uaqdDgsqsdeEUPSCVh07xsVFIcx
JujVWPNjWZWKDhhZ7FwjnXFTDIInv38Ki3QDJiV9MLzAwMFHHS0aFo11IViePq2dp8a0sF/Vtrk2
F9u+9ZOpPfbtYhwCUksnG+buKWvZY6ey5k5sJMtGY4PuajdS0bZmr879E1FMxJW9lSz1bkOqE/bg
ivOdrC2H79ouj9Ug2zsVG8GK7eCzO+XTr3Pau+g3SYROlbaPC4GI1Ti72Q5pYdoY1TRfbOSbrz3l
9HB9Ppt53O5FZSUH9plyD88ieB28mCd1ErgfXuym810/y+SO9QNHTq+aojXVDfkWg92wiSPPO7Ru
0+xqF/b9TD4Z444jV6FHHSn9ov5XrynG30JwrLvFLCYypRiktnxu7Ed7Htvsdk6qlwhx7oVVyfzF
cMn5czRxzDv6b4cbdqeYv3OTNzn2SaFXIQ9G2nPZpywpkQfTLe7xD5V32SheosmoOsY2uz7g0Uwf
J5B8J6puh3uZN/6NXccui1Ua8zDHCiNXh94ApLHDHgoB0idTmuK5h+/LLL9LCjn4q2XS1bx2BcJP
1CFQmFLmh7mn9atAOwhX0u7NYo1zLN+gRg6S7phQbVqBWjnJJYeP6Bx8p06RvYr6rnHlF3bZKrgF
DTdFN5XIPrlxoy7wQveB4Qnj2Ma9Hch91pFh5YHjj4X/K2NAHW+p91rul2FqH9qeqggSiVaw3NoF
EDOv618cEFIPjYfdp9/SsvdM/i3Z+k0vtmFW+KexVDJf+WyI500F4PVSsb6ikCrGTnqg+SltXiT2
y3RCK0ghvtIIq0p1KnCOtsYmZ79s0mBFSmCTDzQcB25SYHArw8Ck4bQeOwZ3IzzXs8rVJ7q+ZN1s
W2cWjwTf+uCDtTDlN/HCWcj0V5GwDZAlPeIJgNoUlSAnm6ZZkXgxh4ylm9n5yVdlBLNx8IoBmpaD
aGmsSq/v2cX1DWok7UWaZhjm/muusWUpznmuFHMW4VFEHTS5ogYUV3TK/phtq0v3MpgGKrFmEOAb
0Jj4YjsRBP62cDQleMlCeF+55rphhIZKS7cey0JT47m49/ETuxQu0Er6LYz0HAgv1gIcduW98mZZ
uuu553Tb3cBMccxNyclyFapJhaBZCvcezsC0c2wosaaZkRJqHF5jCKLB/JyNnrxpQLM0LKAaWtcW
hOA9bBP3DisbkkOM5Rm7dLBx0szu1rK31L4Xkk49NXj7MmrSh0JmtwhrQq0a4ZS3U+REN0FVqV05
dnDmMttTfKhgftabvkCE7RJXnjzV7B2Djhc+qwn3r9CNt00IB2EHFsV8Uhk9ZK5sF7G2RsdYuUZR
nFXUlxdvUO4ZPXl4dzD0zWhH/g19VTRG143YpLrvq7tWfy3XGrC8pRGsnuuvPKN036RNZ7LuDcMq
S4WYNGkTw7se7CbEuRdHd43ZunXM1P1jWajae2x6xk7v3U5DYQa/LpBCHuZAbFrlhkduncGBJbj5
lioRb9rc994HUbP87HQDWuLQhYZNZLkj/4GOVk+4ysY5+RxJS5wc3aMGkHDX6Wa16Vqy1kE1qFbJ
QPcajtPlgWROsqXyfd/SzP5ClLAj7z4gljXFsndA19BPJsaRvSs9IqNuelPX0rdmov8ttrjF+wAp
NhXp4dWoe+KgCTsrqZ3zIUnxh0r3yQ26WQ7Hbbh3+QO0f4fiOUG1I7fGxX6zrJpiusGho27wZHcn
1CK+weMpaR6kyy4VgTi4bW190kaOrdSdd5Vuv8MHUW2bosvOqUk3Xq9b8mhlax4gDPm3bLAKWg8B
CrFZAo1vRQQ+S/wKoHLcQ0b9Hup3fIudJvoU6G6+IBDEzZPWZRLQ1X29h0ZR5vT5tRP2u3XMJ//B
wTOxBzvQfMFlD0wZGx+LmA42O85F7CV0BcIX9h/p515uhG4SHNuQOrwpN6m9K81jZIafAt08KOCC
MTwoVhjGTC/htaLQFMbbpFsLbVwAd04cmzfWtdSQp3+9mQwLmUpElB5OonsBNwQQvocA2a5s+H6+
7klsr5WJNSGs9eJ7M6pvKLt1nXsSS66J3IdKz+feWyyPD3UzdIAFY+fLlf462ciIKyws3AmaBgYM
nyq6ldQTpDov5JEX5nEYPbfuXMWP/53vr2vYv5jvQfgI5u5/P9+fy6aL/meNnyaLiz8td3986Y8h
n0ouPuMuLHlmfclNgpH99+WuDahLANsg/KRDcXrv+/tyl8plQuakWihWkHzZHwZ96xf+qSCYiYWC
rTGxnL8x6CtTb3P/kH20fUjwFkh4R583TILPf972qnRCTMiwEU2d5pQKyqcUvvWQ5aIcGp+91VCZ
mDpMFblHbrzsRJhMfW/tLi32Tzm6YAathZrxLQpVWB8MQjNjA2aUDxL8dzjHeUxhyBywNaxKmKQ4
KuxjZ/M0wSaf1O9ZhUnne2vEmGSau6t5gzkfk1sfb+k7UNzqnUpSWLxD0vLUHOk0vaUuy2aqh9mc
+7lRrEsSKS69jtKr9hJTCKNAaugvYVXHczUB+SzrjjsJaXqJrqrXX3jfp0s4gVBEVJwuTYJRHPUU
fwfKmmruQ1mk5al0mtI7ub4Cl+3xpM7ARcMnjmAuiyKE8Iq1ks1eNmGmSXsAiyh0No91KcPmwPlK
PHOYc74oCRyyLI3+wJbEellGDEsFOuShtUz8YS5e+nMoIcqvrtTqxNVkZsojIIfCBm+J/PpL+5Gg
DOIP0g04cQsU2gpqpg6QA/wzGyLBzZUCP4d8HRtGfgFHgO5EFeGnQUrX+GpNv6dBkASE60/81XbK
z/RSi2g+DkP6fzOHybQfTaRmO2bLzuHgjG6Z3HoDhupmjKe7JIgHIuR+Sp214muUoV9PsoKwIPOJ
cusN1zX/n+9vKPxBmiFDzbCVvX6Hhxn/L29p274BmgYsPV4LYajSBshsknKOHw3s2dBorgUY1UAX
48prtYUMbA2vy0gFGc1fk4H/Dlwcfn9lYInd1xQ1DAfUycj81Litbe0QsQxWWuPyWxRodr45FP7r
nI2XbmmdHRFfF48rJQ6vC6X2j2qgeo+MCZxPDj3gs20uwCka9VWLQZIsAqie3UzZJsxLDmAhy0+9
7I30RXTd8EYuntGV6gauBtm0vLO+1cFd9WfHOtIYxfyYKUJG2CFbLj5DYhELBqB5KzVWqHVsIZnX
OkjUEZ6GEf1m4g2mGpwjiefDQaYlgSPUifwsGMzUz4D/og1zvQk+lrdlBe3joJKAlXEy4G5jj8Dv
HS89a9BcLzOJIxI1K8acKyYQPS0tkx4Ri0UTbAd9ncz+VL2zP8ZebnVgOh2oDZ7QVrlOc6x9ktRb
pdm88wADvLIBmzYVfuHrJUyWjNc3peSi1B/2K7k8cKk5GS1NZB8lK+mJNflDvkiW5lj6QUm7Nrhd
qdOuHfxda00JOhfMlbKbYSonfnLFzmeMxXgGefHmqOfNNrlxQN2r3684VjYUDMnA7CEJjyXoa7jl
xqrCTkipWk2qOOOYTbOuLk9YpAdmLHIQU8cY4LUyqd2IWw05rs2ZfwVugAvM0F0JjEW8PoGmyg+S
pdps6gJAJBrreKWxjiXg+4UzNC7qa89CSTyCDTel8ZSOqjayHpJ64IRmNO3M/ZSlxsbMKnVwncbc
mRm2AeZFoBBjZDSrqUz5e62pCcfdgjUxYpJL+ITJhmpimhG5Y+WyHKPL3E7VHctrf3s1UFozn+XU
5/ZMJwN88lxkfJ+rbzxNQdkmHbcMU9eldE5F3cOc2xPnsZp/JKO0fk9NcN4+89s+6CL5rAhhnF3O
FcHOi5JmeWp94JCHqecWaS38wVOackUZPvMRKyhDPOPYpJQqLBUWXKvAMHPKkWj31/qT3pZAcocR
dHKm+dltLLk1cxDhmiK3xgU+uwtva9MCRzdHn0/4BOHhue4BCCcODfKbFLNiscopd093omUbTq8r
5RL+wCci1+jXuPTFc54Lfh/s6KiuA8WsfBKxhcwnTt98exli3AxTUg9x5HB1a68/vBr/tYkdkdzY
FdDqXijCrNdr3pY2X2R2/M1sy/X1jymZjgBdBcAsq9HNpr7tAdGqu8eBhNHEAaLl/ta0TIBZZOnr
0dereiQo/9WwNFv/+y0taUmebioFlHrlBLhujonX1tDgoGc020oY4sF2+XRlMP/oYB55eTm9766f
uHzw7Nex6CaxnmqniXbXO2tZRsLdj0RlXgUngOJ1DMM5/eSMFveJzNZ3KTGMBI4icLq+LiFI+jp/
FFEv115YfBTR5B+bqtIPgxpJBTC95uZe+wjGRbPtM+aHfu2VXiWoYo8KEd3LOZoP3H6sHJR2yNzL
+aIsSHGA9fJvcoyf5HBUMLHSamM/e1yS7Bu9SbqON+uM8PXavFB0Ts5bVJga/N1D7IUbmjd4V4uY
ZMkonQQnaeN+lEX+CsS8OfnBhGq/AtWCtONazTMgwyMAKV7d1i2yZzKy1Q3PGO9BFIpa3KAZrF1T
WzQ0CNGdMdhjeOmpO6SBM3qJVe1grC6Cz3VHPExSedJSF7NuOsXGMeEzsOpzkRvjocPe10Z9BXeY
dW7wYEZsYsnTfSrYqlZVW+8MV/kPlT2sklxdAglk5hMyGCoFiYGcQk2BxYi7KtlQTqRAii2zJ51r
VvlGupIaZAXrmH6X2k7WlVZ9xFUAirUWZNiptUuvApFCKjK1ZuQkEfKRoUaA2rKoonlH6WqmDj6X
JVCFtncmXv7Iv+kgAt17U6dOhHV5zNGBfYivwlWOhGVrLcvQqhZLDu+ktNKVCZuhJPLKbeix4VuZ
1SRXyEP9DSlQ8w68EZJZazjTl4yQ8gsazIudqDq7zTCgPNZpVGzxyI7emuCZv/Mwwf3WamUu0hod
YWW5WrRuVzsq3nhodjuINf7BHOphM2ulL7+KfraNSNBbbXLnEeae73i93A901oIg3BjwHI9NGqnG
F99Pql0aIy6oYPw8IDM6Wm/k5DtfIodNsshqubNSlaxk5zSPLJAixp/CZZuNfpkgZFJLFnD6bds7
L44WSplnZ11ihN+Vs2HvA39Qt5Uf29uwbp9rH3sC63ctm7Z5Xd6BLuAWlcIfdzAXb0PmhlNPOcJJ
to1xcPySXAha321pLeaaF61gwY5eO7llSUCz9ra41tNVoqukuULSB7tONoqp01hScc9DAOOEPRS7
0DPcY6Y1YiSTtVVYxUGi4ew9/YTA1sHyNPT7g5PyhrWU1ry3wVRvyD/5d0viPPYxLICuKMxLysmR
FEXWvchJGrfzVco2rrI2/kn3a3cVuwMpl1M3FfU+ibvyLWF8Z7zrET64vmX6rONmB4VR4Wy6aEg8
eRXGTBtDqDPvkjLNj6Op1Bcjzd/IcCLHC5Xl66Fp2h0du8j1sxqJ5mgNH2czThit63PzDwkJZzyI
2HMdh8L5qPQeQHa02Au9G+BuJY5z0lhfgsZEXQrKdnpjIt4yXTdMgnrHgAcmpXaDvQNof3Hmzt/k
27gUxE5wvRxMvasgxDlvWr2/cMZMjLdRbyixqjDa+T03Eq/htescVu9jmqFoOlkzM4sTu0suMY4K
DGVJbmcHtbQDRb7pFJIrkjXRXEH6yhgKzOsR4H3A/1aALSoyuDE1sXvw0n58NdIWaWgmEeWu4l5A
Pqg6TiB47sAhl3cEw+NNjCnwtcLLdVw47yNW0g7MxmPZ9pHJ/5moGCJ+Zr6M4eRxiVt5SUIvJq8y
SG6keez/SqdkqEt0ztHQtZ+MyO9ppvPu3LRo1zy8gqe8lyYYBNT0Vc/ZpTulNd1Vn1q36k0A7S6m
H4Bti+yxLiT+Dog1/Ht2zAaTU8jBLbgPOn9kmh1oCp7A23vvOC+o0wnYimK3McbZ9IOVI5qF5RAN
JgtmqMzG+B7ifh9Brjhmb717Uc5TV/YYltZeDCtxp0YSvTe1qdESacnItTFJ+HpcPZJ8ndMzg0ZN
xLxGGIZBxB1snk0QtbL5ZBJDuMy6v4dZNFvnWpIFVc189ocT//+B+NA7sJ+Ozmy9PckBWrLG+5mP
S/AR2biLE8qHfAIceVla06fFxk72ZlNFVu9oU2IaKQsCRi7BKx6+//kX+Bmsow/vGFH1/yAvyG/x
E2trjFxRLrILD87kky8naBHiG/FFIM8CgjZJnjCoIJDEUXjTVcFSbCu3Dc5h0ZEDNYHz26XeQvzn
3+r/eFl8hFdgJOShbKXknxWFwuqDMkqIxn3vvpx4+m+nuGQmvbYPdLFk8unzheHIGMLq/T//9J8q
DUFj8Xpoxij/xQj+L2Q8kkdpX9BKd3Bmyp0OiahnYmYteSMMPuRWUZUXa/Ss5xQ9+Cj0+F3YrGdu
Bruu5D1+riGF0JJ2YXTo9Am6qsGf/3atTxoLXT3xF7+wfj3+fBnpLbCjLJ9YgPoXjsrgh7FhGfjt
yZ0QM/HnqW/XkZvq9geHPc66AKS7dae2/pJjrr7UHVoFq1EUgHJqLnlRf49y/NuaQPHz8hd6PDOQ
Tbkwi2H2zD+9g4ajrdHMDQeaMBgbXYMKuQ5J6hWXMHOgZ+jj7yhxc9ussI/VwPmiGInSo0/zSIYI
UukzGK/sf36pfmbL8d4ioGmuDWtw14TO8+dLSw04tfKmjg7YpZhQSduVWb/yx7FR00oRbi+eMCN5
9pEyMu4YE0j69DTYcrj09gAvm3ZD/9U0Z07L9nUuFh3HWCPmEEXOiPE9Dltm7kC7uRqt9RS+ySeb
3BRqSUoRSn83Iwx+fD+Uxvk4XfpFqwDFXFHpE8Qsb4aEXLae475cW0cLkrwpThHYAMtfvE/yJ8aQ
fjkUVc6uQDcg/vEzKC0SBl2OgzL2VsSeayVLuEknD62da0bvlLjxE0rCvm88FXJBPJlIBn6J57hf
WAiQDnoKLZr5sD8DZKCgjP+VF4v/PimAENurPGTJSr/ZDSnMW3w5YXwo2e3ltI9RJLSlVLY5LHPO
T8eciXjD5hbbKNit/OP63v/XafKXSjTw8D98TP4lX3T+Nnz5M+JeQjriS34o0ELYMO5tcnmaDMX9
8J8KNDmkf0jOtoRpryyF78R2BHtLYkG/e0sc/iNojnRg68IV/bH7G5Kz+BmzaTIG6h8jfXRnYu0/
U+eizp6GoqmsOwUu9ZXAjnOcLYH24SyZuZmjHDvIVJUn/Cm1WJWipmoUr9h2ZBLa97RI3zoB56Y3
h238uVRZE93UE6uztazqydn0uNtfrcEe3rqUYyTGO0AO1UwEzx88/IhVR7vp5EbFsMcbLy4cLxCZ
h2C456TCyUEX0vWrdIEhRRa/GXcxt92DahJk0wZH+EpVc7fnw1HhbI+SifxQWNoJ+DoCHvY8K3cX
Td4YHnxbLP2GPivza9JnLZDqOU0/ajJQ93HIEg+vRT7dB4yvqE5hwN+eV/nMMWCKU3Us58aG9yH6
qdq3M2Pexmrx4J56DwWtjhxgCqFROMkGgMaE44BfED2NCvIcsy69jY8o4eWjDy7zsiTpcF9zjq0S
BaNijGA6rYO21EGJRh1yP+MZktglD8146mg+AwNUYLltpq66s1L50lVVpxZoHIFZdvUhEE7c7/NA
hmyFPadIGdea2FzMzZTkDWbqtPCms6UWYBXrbh6MI+1OJZ7oKqwjMjxsQ4oi3cYeWvD0qcUc0VqX
Abf3qmEvU3H7iINhOqeIIX6wzbO48Ymmh02+q7yKOQdvveXCQzSihPlTzMaOSk/Rjmun7SxIXnU/
qI5DvDFg2EElVCUDP1CRG9lEWbAhpDLoCwfgNLO8s+yMKSFwlObumJFi6/q+Ms9izpPOatAtWsTj
fJWOcmzFWxhEHIrepzgDwfXRjQjOOQ7NhSD4f1dv3xOQf3HDY5bVA8m/X70dP75EfyrU+fEV/7jf
0c5hcwXwTLw26rDH+7Fx47b2C8su4UDadz3FPfLHvs32ucOZZKSki1HIdrXd7cfNzxa/oGz6sFAt
h2lLmX9r3+bZPz2zTf0dYITREMJsyobvJ3AzW/O6d1Tgnon8GseQ5tr6pgAfgfLkwbNRtOzJPLXI
cZm+mz0tceX4Xylg+BZxdHrCM4MNS5TWM4V506dUGfGNY6mJ6K/02IVUhevhuFlav9wgN87dBfIC
i+4oHMf6xSxqjGNYMjIrv0l9PFiEY5LkrGgUIY1UZ94OuktxzIMZth7y4DrH2bJBzLU3ELGdXRTT
SLDlePyYVn7XrBJzDG4zkhi32IO6PRaF+sTxbPxYRPbZ5rj2YfstTTwYgfZmFVefmzw118QGXHgu
7Rf214K/l1g1RaF8Nm+WOZoOZlXarAQ841wkRgAhRg3/n73z2G7kSLf1u9zxSa1IE2kGd4KEBwiS
IKtoJrlYrKr0JiJ9Pv35ILOOpNt9+/S8B5IGogFhwvx7729vEwyHOgp1YBE2hLPUm+WwlW2Bg9ZK
x+zeSBLrZeCIQi9KswbU3oRtmgiG5LewUa8w33TipZBp8GWS03w/Vdz/Gyt4oTfY3QxiDiN7KB+d
zFB7p9fWRZelPvTk/EKRpem5HOrxIN0kvQuM4iPoFOklYJIbCTDopEqMGkVtDN9a7hSHOZK3QZ1Z
/LitXJsl880ftmn5iiYzXe8DK/3R95beAHyYXqXpjxU1fWgviqUNR0Dhv1tWD9XYw043+fVLmZYv
yuBXU4vLxSQZB6C4htyQqag3oMW9UDZeWaEfVRy9CuJG5spOg/LJWyZYvSAumsPtHflFDa27BRWC
CYRwJ1ua1SukK9QoHv3grWktHojKgIfBroUG26/c3IyvTm7mD/PcLvfRmIgwWRx1TlD3SAeJSfJb
bKooQWDunIwJyao07PRpdDHZSTiF54Rcwh28ezDpSTQ+jFrpbdW202fnO0W1YqTchX1uND8DOIL9
Kh4dc1d62Xgm/ZDuJ1m15y7ySctO7hh/TyDzhLQCyn3C0Z1K677xTiZBvnqVdp64kKEVK1cH+EQw
UOKSUwzR8RpBSbKnGcMXEAML+FeusGHjOFpbcTJsh8QCGGaUzPTq0gpOQ1mSlOsaB4GbsITeBuN0
ThUPylNuc2yXuf0SYzkvV0NuJT9rYrEb3y+CvUdW96yl8d3FS7iykyTLqEOP4bxo5tiraUGFssF+
bb1MBC9kPfPVoL1TE5EnLn2IFgXjkG+DaxZbi1jcZ66i5Yi2PmDbGhKm+xp/PQm18TWoHfvByCNs
rJ4fbfsOpFZY5eN8qkcDw5ZPhPtIK+rYrMvISDYzBMwHKH31ZlGY3l0XKHg32YD9EHCuBSSgHcXE
/VdAYjWowoqJYxbluEy5nZ6MBiKNxCNUhj7GJCQ0gg0riyJeYOgjvC89zBtzGTKSC9G8SbGxfBkm
NaGMKHObSIFxMph5STonukv8Sj+4rlqbyB7PaU4dL0Olva7s5X7sBWHPyTsy30lHQtvWdEijktzM
6NZ0V1vGxhzxGa84BsxPmOWau7IdrGfLUtl7KugKMlxycT2NZAdMNkl0qETgPU2ZskJmsKE9NeKO
SAfptHp8jB2lb07QDC+lj52o5+UmQZtQ6J7aLAoqWMf2KA6LMr8TY3cvjaOqg2UO1qFse8Z2ZkuP
fNXgw+VF3mmMVesobZg6NTMwT8vunsgvzT8wktKrbnjzfmZg+IgZsEx5FQloEu5JQjOV+c7jmLdO
IxZyYS3dKU366Qu1x85WNVUcuv7g3ompwo1IEfMhAIK/jqBBvdm1SPYzANDQmApo/0430xHaSveN
TXDZO0Fg/DAzdKVpTNCCXaf/mUVGfXGY1F1b5ZqYF0pEVyU+4qWMN8osirVVDwPVMK2hwwYE65u1
xN1Zl8W1JXB8TAK3Cm2tmxN8qI6GQQI26DDLgzDT4L7FGahWXR8tGyd29a50CGlZ9uSv29wfkHQT
50d8C02O3vTZE1INc9ZMOhzzMQk1rJ1zYhAxrBs5vjSQRkPU5eVKdUxA8rd236BT89mw3YYRMXNR
Ktemu4rBLQtWDB5Kps57XgyQgDyVXsyoqnaLqM2PsYwdIszLF5I5EaaV2drLwW3KlcAM+pSm5oQK
s/gHjsJXdIkDpwexCrRtuptczLzAlSWDtZcOjyPXYRxvEkh1X7YMcKvkIeNwX60MFY9fReyqY2Ar
7xhjp/FZQaNgz7qJjNyJc+sZ9hWD4gP3aMBXBRBGvLM559a+f85mq7zRHld8JGhnDUw4bEucHALf
uOYEs4mhYUQhwBjFIfxVn7O62yMJdMUGvmJJZ110hpiS72q37Q+31DGWZnhdYwM7jA9Usu1LpM+4
6xFByF6Br4zKc4y7ha0oGj+SVDQ7YxDuaRla75NZffFNt41xkS2CiV3KJ3ixX8Ts0N8SRIpMEZ3a
ujOWnd97/U3JGb5gU+2PYLI+MprBD0kGXFvl6a3Ah/h5vxSY3SYjbo/ovz3MhNi5tnFVPyw3OiNE
S4lwlj3CJrPeIMmNZ0hJQwI6JhpezDQ1bvZAeS6bNDtaqdzWdoY8i0eYMOXXyRidlcAfvknxKK+8
eCiemYk2O0RJdQ/7CbG0bSBxquiHT/4+JByd7Pw2wE9EqG/fMjGi9dMZT43M41emRWjH7VCvmwUQ
mOPK5SfM3uekrDA95Zn3lOPP23Zm3oU8vnnlZvbdwKq6aRLzPWpJ5DCNh+TY1GdcxDMQtAkPlOl8
KVQOewDg4cYx9LCjsifYplMevet+nvDcpvqdABDpsICpVD1Yw8EbM7pQ3fZ9NFlXAlGa25jxe34L
ZNH7/GH0EiDAbBOC8LPlGATzysvj4jR1J6+m+wXSdInjtAAhT40CgCvhFV8yw62eOFTlp0r5bPXS
JGuUjrmf3d+MGzv6dZoLALht6drNzp+EvgPOCMt4ksaO8W65FYkVn71bhbO2sn4fo/YTgoVB+oAT
YzokTkGimWnUes4y4h7O+N6arLVgM2WzG0dzuW8ALIS5RCarF11tJXruR+9H/m1cC8AxyltX4gaL
VbVyQQsQflimzypPmneGtKHgmPtRxkG05oH8RJZS24wIYB3OlJ4e5lb4YZnlxj5edO7SEp2X2cp0
8uoOJRPUQe64m3EoVYKyGn8HamcBX1pGtjQX7o4MBHaKPLvn3Bt2qSi2I8SirYgadtAxMo8L6wAR
Yk6bpBHEPrIN8dOHN7/q5gL3VAcxoHa7eIPMj6kDS+cGW9OjBPuKbCpmUpVRe6NqWGB/eKnfub/G
e2uKoo1X9VhzSPjn0CoYBYMDaNdqpPebVpvIe1WJQFE1EdlABItHr2FDwgQVZxdz7MzPqfGKewjV
LAiDVQBWyK1tVC1QrJ/8KcKNi93IT+rPFB0PsEhZFUH57E0Iyc4xkn6an7rJD+pnNGWeNShZE0bY
VVBxUl5lGvitDZXD9AZKyjO5hjabe8xsYuYFXZR1NHjM048Giun3EdPhijOCfOV76ncjxksyW0Nz
IKM7acwI1LyI1k+P/eCrO9Xw1XXr1m82nzw7RxHmN4L+puB+3ZO+3KWeZOISN1P1XUfCvKvTyT+4
IO74BHOZu3i9+7wkqDwKoMR3p2jaaIUHuzlRPzVuCNnrqy6VvcrcUgNuaMpHMSYYNKBGkG9Oxn7v
FJ1/Ww3mNac+a107HGG49ZewPdN87+qCNFIhrZOoWjBtgilyyhx9A2uBBIM7lzY+OH6fyJua7q3B
eWnhcU0osQ3Z79Y0LMxFRR4KnjnsUL4M06Kb30YZ3ccZmtdKFAFObZCA6yHD0xF2/SLuMJtZYda1
7VrjAAFjIn23B8zV+Pc+uzADZ7ABENzAZq7aho7Tqcyy59gvureOoyd3pna4zNUSP5Vyabf+7cmO
yiTbGUHH7UtaJRVXEd4c6GTTsHEZfiCutuopikrRrVO0nF1P7uSQt7q6dnEA0VmZ6qtOtPlqgsZ8
rer4a1R64uxYYMigIwhjz9gYuinjc2yIgzhRodw8gYltq3UUNZV3BxXNeawS9eEtGm5Cs0wI8kYi
ltAHH52G6RI7ACqBk93nxVy8ZAJChJ+N0c6n/DbGI21aO65CxK50P34fgCyHDbhAuGBxs+YRVdtM
k8tcTzjmUeo7SVxeAdrsFO0ia8rSxm+YwMAC1gaFtrqeGKp5fk4GBQH6qmPAlEItQDrAiVqb1jfM
Dd2wwQFITXpIaKA9U9SRHkqstRfAeVxgGSmuXWF8K/x6+YJiHcmVa7r8cQjz9UbIfH7JWSos3vkj
gYvMW+6NuSbAT3PQrrOG4lrdzkn2wvtKL1AMTCXo8LGw7zScfMOU0PK+yiITziSFGtw/bwdZU+qz
tDlcp5W44eMWUECzGr2bASAr1WvdjX55b+ZZa0N5drmMKZNdAAZvm2BPS1yS5DAV3eW7AQZhfDAD
wAsuHlF+4GDMLx02q+l5GQ2YKisD75jbPfSitT2LGjTUCRxCtp7GE0+J9mFO/zrhs38b9/1X6Qxt
Qm39dFniibCRp57xK05f/zT++Qc6rPk3xVH4gpJNSaEZpzKmO38fKDP1xWdqm+OF0kS5xpOWYIYc
eEXKg0E/QBS/W6W9GzLraOdyy1yTiCB9vF501/TLpq27DX/qLlgyiMf/SqP9m7/6t8eGEolA4xHP
/LtEW5qDIj9ijZem0Rev4awY7dPh8v9/Bv7RLwHWhQpMVFr8PxN1mXUTl95hvKQWlYT84xrFtvLq
7a+/5j8azL8YSd4mdbzn/vlI8qnuSQOsP4D1/SUL8Ps3/j6ZDNxfHFpEXekHzBJ/mzL+MZkUiDSM
vakdgwP3W0zgj9mk/CVwML9Sa0eq1/Z47dnNuuT//h8kG8e/hQtc6tZcPun/li6DSvRXIZr5p0mZ
qzDpDgks1NXb6PLP4DfRVl0UKePkOObwSCV4uVkcLQ9lseQbZm7tGk+sdbULl+sh/XMbc5iDg2/6
TNnzenyec7c82a1Vhvgh/X2eigHOcpZVIY5A2m65Km2Q1a9xY++dnP7JyNFF6DhYFfv8YcRtyZQ9
xunGUIV0cQYSoaXjM+CIsmqdnMy/cgrrqasUnITGIkljx+XFGYf2ubIDFjyvc9actIrvwqAGwLe/
ZHX20246RVi2f5wDxqFZ7cqdGqUD85oL3DWF/nPEXa1Os4dHBjNWme8G0MXrrKg4sY+udyjjqdxk
0CKOjo6Cbdf2NktwfePh8nRetGtY02p05mg9QLsFOzSRalrNopr3C/6VjWgcwJNSybPQ/r4orGsj
SM3ZXWDelbl5gjxTrjMyi7dQnLXJE0K/eMKibYcxMOQNw3Spgk2t4pw+F8w2MbTakBerPC0dgHxP
Gt6RTd8NozoC1OlQXDdZ8VTtp4rlktslDoy8WJ6UrIBzzMnXYDatL2Mp3cPkeMNbZdYWfBjmHWK2
6+jS6NkSG1JlCC8ho0dTnIYKtvBTpe2cjvN0hMH9SUyDSNgKBd5Ytj0kWixEVd2CxwPugnca82y3
6mSGY8Gu/EsQ40rcjL6yJzK6gxp3Jea4PfrgtGN8CS4mZdB/P5UVQ2uvEx1FDnDGu5W/tPawohVM
nkmMijAz0cc2Rr4YhCkBx5HyJkV7MebUbgy0+omU965u9KL1XZ0VqQGrn8YH9IAVP6j1ALgOU0Ud
KqHrztVvtRXJq144utAq2tapgeUQ/iinBwDiebmrVO1D2kfOGoZxG0SJ6JedszS6uwYIc7P7ZRR9
K56MYXb9GCdfVpQBXuOStoEt25aPWLTK3VqK6W5McQqorWojML1mIcwX3LTT4zgpJKY5qzApMvjL
aqaR8bROTRlEodG3mBIQ+o2vSS7TfG0tHvCfzi2nu9xEtOWYpb7LJVbLuqY57VoVidGErCSKSCFW
wK8REl15MRgwgFdvZkGid3QH0o2YrEISpDVzWGyBxzkzkz2MWmOTLhg8Q9hH85OOEkQJ29DIDWlB
gFUq135XiQM2JS7je5XM6h4Gun9LCjWhm5jVuOMBiLtFtJKIvxLQqopln85V8wA0sfoaMBtERlUm
lByHsybGwMDUB4v09yHxscn6jUdNAGqel6/iDk0XP3TH7Bs7Ly/5Atork3Y3c5JKrE0i2u7aD171
oHx46Z5yCPsO1FFkQ/wcFc10aooGDqQy4uU3s9F/NsR/sSHeLG/sHv98Q7xP0r9IdL9/w+8boS9+
kbi0kNs4q9wibP8j0fnOL2AvTOxQN5rFb26FPzZClDiP7S6waZXkP7dCqt93Qtv/hXO2wAdjW7gL
TPS7f8eh8LfjlONRoelbUiJEUglINO+vG2E0GpCGKikPwyToRLYyihCSoomOVNzRCDjL9iUAX7Nt
NEZsc5yiI7et5g2pa/oiK9Jqjpu1L7AY2pd4Asb7p2fyHxx3/3bavT06mqhI2YA0sJH5/ubOCnpf
R+YYOIdscOoPZMTp4dfSBjDumLUUyvQuaMSt3LPOnX9hVsNU+NdDAkcUm85Z5l0uwoL7a2jxz4cE
5G/yen2qDlFMwQ9dBYQT+jTgnq5rd+02QCMs4ROktWfXO01OkH4xCa29T0u1fPfogBiYqM32MYZa
sQE9Wey6QiN3aVW7j17iNwgzjDYOETjFM4iIZuuwfyIx3NB4UxmYIXeK8j6xZtGEnjmYzD2Vmlcj
ppN13y+sjPAIDMX2CndhIHP+FpOIYbSAnIYXqz55LUcXcp39NanaCnu3U7FbwRiFHqoCuEEs8SQO
UufWPa2NjQ/YoJ+4pmJlV3ihPLepLtphTzWSmw1W1/awn/GIsWgvjBewMwPt8MaBypLITcImQVIo
rWl+rTK/lCujDcwzvOgIAPfcvfh0bt2ktAIrtDCTaQCp7WMSZgSyHZPC3U0ohsyoGETQuGmp6817
/ihahtaUFSnU1VpA0iXooNf0EQWbsbfp1hq4S85sqZ57nSI/BuWtlFusFuIfz2ZfJxsgBWPPcDko
UHgtNl1qGXzUCHtkbgKNUABXyiM2FzZBu1lJl1AKM/3FPlWT5s7ITMQaVzmWYsZCi8PLmhkOU3XL
osvJwU88SvnqZbMPYN+tHvJKT1tipRanBIw7KyrGAPbHAuS3yDK91d1IwJ4k0Y5refxdJRaQPJFu
g24Y1nxSA0Y9XnldLGoGECz67Iiwmq192XkflDU2+6UUyyYomm4/AwqlSwhfLKnpjA0aFrAzwdNX
VbsDO2CewF5MxwAp9Kud3azNYzI2q8KTyQ9nFMO9WZsTw7XKK39gv8uBOy3MjRTsGbR1k2zlah7o
dl25nnazNayFpyQ2MvvS52kv2XMjnCRPpi6RoRnZVTW8enKa9NzSjmWiXXX594oGLxCbnc52lqjH
72S06BQf8gSt76YsE7HgPKbTD8T6otkHFca8+xaM3XHpF3D3ws6GV3dKYwx+0qo/FsPu+jAK+gl5
3FRG91kx6yvWGq0a8bCrnXTT9XTNberIn++G2azmsBVeZ2566DbpEwe/GYEKNGZPCQPVPYyDNL3W
uk/i5p1UIo0+OX6jCoOqpCEoHnOxX8CTsBV01VknY9qsFcmaj7bGE3ozgvJWn8BoEAbMr6bHohlP
hIZwVqXVPcdu72L1NQ1LtMXx2/Ttb5sT1BgdLeaInNBGN8Om0750qZs5K53SWL6Z4ltNfD1xnKjH
hnyDrN/GAT7GKpAD+QdqBGx/05KOMVa9mPpvItO9uMtSLcUliEZM4o3V1B8kzQL4CEaxbH9dygP+
8oRuYWY9XeazjuaAlm84veVr0dowYcN8pK+e2u/IigoaDrkjzR+y70kgHH1IEPwnj4PA4X2EZwIU
QG3SmPMKbrRIW1gCsvro5w7hb9ZLe6o1MEbFPHxYY5yvje3YYyQHP62bnfKt4p5g6jAhtKYUNwJG
nchuxJiT65oPVsqE/F7LAsoRoedarulcHg5T7XUW8dYuKc+loUm6MGK/gcnKhsg2Y2wkAKVvGFhb
Rv26arX3TkhhROhNgQqERbxUJjBusKMrAie+XiXKG99qE7kwcdGf1j442lXECOIQWxQ+5UxdvwHJ
+2JPo3sYiODInUkY4LF3C5sK5NyJuCeSR3NWpp+WJJRqTrMO+A6G1yK/S+whUjfKQnVOilE/W2S/
bjDhXn7KoXJv4GwzASaSbzKrNhZAhhJ/B2j8U5QMyblnctgyzkMFnDj4yY0/aRMsQ9EdAixaHsfH
iKY59hkIaXYwr4HMFTVDtdKzQle2rX9Li0ManDuPLqxqtGdWv8HN9Jp1HHdZLJ3tFLHgtyWtWf+Z
pPyvuAqmvJ1X/vnBkWALZzqd/hmbBmnq9k1/HB7xamHI+m1KYnF0+32EEshfIK7+3dglfgHkwHDE
ugUkGA7yc/44M7p4vhxOoHyB+LeJaZiq/nowwkdAZ7mDUcKH90764XZs+9P0RDOwUD3r4RHrB2P6
oohd5gn0KAGraVxneBNx6V0MKetrSn/nZRkD4p5+KcwQbmW2ARcunrIuX2b0tCm/JyjHRRQATrYK
yLWhhdvH7sbRIX5F6En6E/Cbmh6em1A2etv5xt8ZsFqd0ZMYL9TgeRrE5Qevtv1dCRBxFyEf7Zxf
gT5xaUTrts/d3ZIm+pBjqLzr4Q2ul6VFrLZZq/SqvFGCvKke3/FGztSLAoEL7aTHN2pY3X6o6uha
KzTTVWqM06EX3/J8oXM9L/w7dK7IXunJ7zZ8QYzUBoyI/Ll7P0YT12TTDQrMRBHsFVRNZ59ry/gk
Q6B+eg0+AjuriHRGpf4RT1akwqRszAcI/f2us219dVpnPJJGJIM459mMqyazCJZChskkKVIufDZL
yxy7FypxEQWaxfisXHr0Via5youxYOSYU4XMO6lrhrS3yxN/+JI0XfdEoBNmTGEs+psTefGrNnKW
x146iLwugWsEjmABQ1OxC+ce8WmR6kMig9wLLcvUH2qeRrL/zvjCLcbiSa6Kb0XadftgSbut6aTp
5yL64pwKfc9CI4+57poju96CEahAV5Neu/Umn/JcAL/kvgTmHdQZK85faYRi+MWz1PPTaHjdWq1d
nGbTwxtHwJQ/dAqoyDWj/oytxIBEJJLdpKLiua6c5CXv0lt/dNUAlZ0nkJelKzNzjQcCnSax7JyD
KO+9g9JOf9dTjwoYthaALmdziLbJwr5YxLOgpgBo+LpY7JuAFEzjz5RjFG6Rya4g2xTtsmuypHpI
XdQvBz7XOeZEtpbLjF1P++Vd00GTsAzbnEOwsWjlFO14WIzqBiXJg7UEGC12vjHXZz/NG+nucHnz
VY0o90uzkKUfwJGyWVXmZSll8AinDFCwb6C+l0OYzLDPtbwwrhg+K0CdB6FbdYNGGDSPt/28c0g7
Uy7eue02C7rqS1Bn0atRujF9mwoz0SaoPPO7GkXbrxIx9teBrZRI+Zybb11AzW0Yk/l9NAGsvWs4
3WHQjOZHrm09hMPczdd29Ap/79hskiRJEG5Sa+aMUtoTXQ5AeOGyR6aNTV1gXidH/K0nQckYxuFN
G3p6KfZNXPnvmSe8OzTEWRymIA+eKTYFXDsTVYVqlIAgX4ORqInoV+WHjJPgi06db+TqGm5i2r4z
e3f+IRnnIRsSPa42kR9Vr1SctiY0hKyDSF1U+g1cmabN08uaA7axbl0aA7zRDj/sObGmbt10+pGc
CGQMxjzdRgtCSRwQHJTPZuFqg6tjGRgPT06Trh1uBEjkHQ2UNJoeJf1QDGoT3Cjad7JdjcuK6Cwt
36HBNXVHfVt6BbAoIawKSHCokhHWCE+LN4vLBRNoFtPBEtwLA3xZ2Y6zfnGIZ1tdOGBQ/RHUNsFJ
P3VuJRllxpAq4zqozM4eWcwinDBMQn1c/WPzPnjUVe4dyvj2SgT0p0sxt/cOGd3PWnoI9Ry1hodZ
zQaLy5IEiIMkvVcB1/6t4Sfq3R3n8YcqkvGNW6N5h1RNEUQ3tly1bDnjUL11e90ncxDhZ7GIdbvJ
yEzLwv0XmqJ5ivOWkt08GIGv6TQsi1ytwdAeHSIF66GqiscAM8p6QP09ZAzDN7VJhfgkyue4kv2u
1SN3M5zPENE1DL8VfEhKEbvB3SgxLd8Xe2BUPZi462osQRtRJ3gDCoGpgzxQMfQnB+YypQGOBjH3
stC6Uu2pDahy8eozvgeynGB66rrXvofFfB9N+IWtIHPvTaTXLa5efXXLQlwZwsQPLIuMbv18OQw4
nxipV1cFSfTam23ESTQFCTJSE/vK7NBHC/aq8ZjMcf6V6QDHrhbS5NVPm+qBw3r5wHhHcT8sJW6L
3GFaXALPHhbcxlLHLNvsdsSXZtozrKDfKvxdGYGIsrxkgeDhurkBFgI/2aotGH6SPbM4durWPSuT
h79MnXUnZRWhBdPx9eT42j1kVHg+x73h448eouSHvRjzPaWNfXnDGdfnGRLIJaib5gnovHeI+cM/
G9otDuOsJVZHQv9TpJb33MmmOlwIze1jk+aVzJnxepodnqgOm1OO9ozzLTWXEw3D3q1oBr79mD2o
oifzoiz7PqqL1mGRzaPruESHmurTO1rj6OStFsfjs9bXD/HipRhA3eoZsdqE7bnoPcuFt8uUNu65
Pw42mOVRPlK7k+BncShGxhRlIHtPDb9HdPNxXrz5EcPnuAvmIDgMZt9+1RFIgsEEm8PnySVo3tca
/hGKPS8R5P7VMs9izWU9GcOeZt7H0QbfuWozO8AN6plc71Oxz1Th3Pd5Gd0tEGsOGKFTqC3InqCi
PgWty59ma1s1h3KpXlOMf+9Yx/NDWxvNrrITw1+lVHZ2vP0SNmmnwOWOjd7bpkOWP0QBR5DG8+j7
7kz3zapTH/JExScvuS2a8EKsW4vKKJnraMuqn6o5eKVp7AYBSbDhnVSregZFlY/dcijH4A0GZE4b
WdCqBxcyRbu3KVogGOq6ucQ1hPJ+tlyaQ4AumZWgz7mjKSJk4+eZr62FqbiK1xMZ1HlrJ663bQL3
Rt+v3AiS+a1Rx6qzUwdXq9z3nZG8ysaW6Yfl8hEPsRMKudHjomNgPi6jf/fONKdp6HZ1jGjWH3nL
Wjo/etyCjPYDD/Abx17G79y/P7Nhsr4GXe89g4ZojgCinhX5gU1pq/LgqZahWD9QxVZPV7dY3lgA
fzpp8pF17pvHpO4bkUhOEMh63Gtk/+b9Kvd7fvGA9XMzOqVx5sUBNaQb2E55p37aC7cxzNCKFOOo
bD8lrp4We7pYukdbjjkV272TwNLTQRw/403RG9A+y2OycN5hUkPJifHbFPI/Y/d/MXYn7X27Vvzz
29MBJlhFafyfb0+/f9MftyfvF5pLLObakksAKRh+3h8XKPMXeYv52T5DP7jMPlP5P0bvFv+LWh9y
pjeUnbilWv7nGsV72/PJFkKQC5hA/jujd9f5mwiNPm6RhMbPwQ2PS1bwNxE6dVNiBGabHCfFjWg1
NrVcoSG6p4bgHH7byXTWDoSGpwZSAe0ztFOT0Rh8SW1Gi5F5r80yiqDUFO5xWTwn2hRDvYyrTgiG
KLZTOjsz82bjEa6OflF0VspwoOYqC8E+uaDhrXbAsVmyKRQRrlnYL7CU6V/vXdZcomSsino5LCbS
66rKak4ohWfDmWNIk4Q2p8Rj20YNkH7fUN+CbPY+8YcN6w541yZeEAUIIxZdy6LOhB9ozuhY58AC
ftsGpXs3OnQrlUN/bRmFbr3WxBaGoVDYGMzM9KnJsvlxSkR30bFVXm/FUtWGG5pB+aw/xXJVSRHj
Os6aayEbapjiUeHMr+d9PLrB0UKxOGH/2THY4jyd1CCXZUX9ktUm4Dm60cpJTUv6VJ3Os15Q+yyO
G7p4Mq3J3QSJ8x5TfnwvQWitIdrbD72V6cPACH2dmNZD4i7tmr54b4MYi9OX8dqD7RnFxa7GqxR4
K2VRMEcErpd8Qr5odg6X05AkRX4yy5LyX1bD66AxFzGCSuM77I/OZUwqm8fWL/1ZMBe06voSEQP/
mQ1usB1yh/I5mfphrL32imz0KUlUEi6gEtc1WJfcln9RiPoSOAb0OqRm8GLyOIxg8DxYuk+ZJn1o
T8F0YtcbH9JWqMcmT75BA0w+ZO1yjIynExGJeS1pal0BgmYa6TbG41BP5VOhc+ZwedFeuD8lYccz
whw2f9RF1l2MKYdKwSf2C0D/iE4Ya7rMaQv5aZLWxpQ8UoPa4bUYovh58T3Cm4V/G8FmVY3ju2Iy
jn2gYa7FTnecRf+94Ovv494pHtkeYMdRXRdcvVQ2j4AqAITpKCMGFi/LxWEkHGYNzqac8uPdYvTV
VVi8oz23785W7jgn5u2s27azxULa3tWTvbyRR5Ep6J4uAZqVmOuGeQFiCnnaNTvAuMNAGm8N1Z9c
O2iPInHvhqFVFK4CXoJUDaTazyb8f1Ux5OwwNySNmDElRPTFwfj6auBMooqGk98stpF3criCr2iL
ofCmzx4SmztxR6HwrIN1UDhXduJig6T22bL/H8qs/jrbVCkVVvteerqA+WN18OdT6wTomKbO2ys1
fzfAXjCA7SAs9+LF6YOJW1kQ7ZtxMO5GPwg2Ud/E60w4byyG7T0n9WkLSKcOizwmjQzC6KtDmXk4
ZV5LgEZTkMqV2c0MTAMJppbUeoOIrzY9l4Zd4SkLA+Zx6dJzV0K8UmjVM3VoVYSVleD+ytBOuSZT
VG5Gzt3bfMTb4mDJu/qRXTw2vowPQ8bTPDM1OQDmnx7LqVh2VZdDh8I4toNN4N45eqBM2B4Pena4
XxCEGR9Hp/vak4DdG2qWF8JTScUHrGY8IqiZMpwiWCsTf/bDzOy7PI+1vACA+VarWm5cdwmeM9yJ
WwfQJWX3afQws8HfU2nyUTmMjaWiMmpJzf9m78yW5EauZftFaEMgML7mVDnVXCyy+AIrskjMMxAY
vv6uQHcfNaV7+kjvMpNJ3SbWwEwkENu3+/J3t1aOPpyZ/dcOAsONWcQ1xJrcumgYwMG0HC5pM8o5
Xdk5PsM4f5i57cJF5H6XVy21yoisX5chAJcWcn+m1qW/JvM0f4V3Qf11kZjNM/L0cwlKCB9MWdxX
dMAFGxXgj3yInJB6rhpv7g0uT0yHuaNM6nrT6lRnhH9Z1vT5rqrL4KlPvZ91RY4IkVqwQfMhRLDR
pGnHcLH31m5ZVMjQCfYMDNyDg6BTJy7TwxIvB9/qC5Q0Gn+5uROrmYZXIEGdsNmMlP25KM1YE9CM
5js8zGrewPwdsDfEKEj3WetX7MKqCesTsPblOtmt+zjxwH6WbchHJBu59EhMKOcL9Lf2HLOsRMFG
j//Wc/UnW6H1w60wQs/ejG7tPTVABDGrUqNyrtiqnps5NA5gysvoGDYgoRMZ3ccAMZ991k9wuBXj
QJxR0rANljF+q3272yvLhiMGIPjdx30abAqfwhIqL3v7GskWIJJn13qAH4fwpGoc16NUiiXktFAB
w639Z5nZrPskC8jbXnXdwzxZjbnzKMhtNws9RhT9OAOmHntahs8m8+9705rJG89kWg7HYrilnai4
D5UT/DThpy87MtjyiV4J9dnAlXRXmN7Jwyj7g9C6++GUgcMRM5bNwKJQ0WQTYLh1KnUquNtuO84P
827OUZE2QcirSGAk9l8HNTtXIhL5B9THlH6dATrJxq0TPDyN7b7yHIFUSf7uMBC1NQgheHW4FZmI
o1ObTNP3DHetzc0oosYqK9XD5GG+pd4tNh6S1O3qjSWL9g02d3Yn8zqClMmEheAXFAv1pk32gdsp
e6Ip5jnvcob9ZCnDE8HJgla1mA8r6Kzmni0iFcTdKhdYq3QwW4F5W2s9wdHKQqg1Bl+rDeUqPBgR
rik8aegRrVYmkAYRKaTWK2ytXMwtMw7eHPSMYZU2sM3UX4NV8Ji19lGvMki6SiKBVkeaVSjxtWaS
rvKJMaGkuFpT4TOHvDKsUsusVRd+82AvtRITrqJMuQo0Qms1g1ZtQq3fEKj0tuUq6gDupndqlXoc
wQwCOcDDQYcSBBtfewNs6A5aJ8q1YgTqHSCJVpEarScx8vZ7J4Y+vxFdjbLW9btOK1D5KkZ5Wpea
tELVrWJVoXWrbJWwKOVBzhqmrvqSzVZd7ntKr5lH0mb54XKAug21HiYt95utFTJPa2WVVs3kKqBx
i0dMA/qDsDZqjS1d5bZEK28B0/dX5bSocRAkIkxdzoJQJmf5zRvJK/dawwtWOc9fpb2mJYJbVlZ1
pHCZf8yWIfOPlMXPT34WNmo7WbF4V4GytnXp1F9xifePTkBRGsthy3wbVpkx0opjvYqPtJOKj2CV
JNkqI09SMxR+oVuo/AQ3DflSaiVz0JqmWuVNlmLEtrXmmUbZg7kMyRfmw7sICaLS2qhCJMXXRchx
7oNHuw/Mu0FrqVFQEId1aIe9p1Td2Pgi8m4ayqJY/bfK/hassqytFdpyFWvTVbgVq4grusS8wUgQ
3XW9texHCxHDSnMaLG2n3y21zA+DaaJJk0RlQCx+AEpDL04G1/vhsn6kk0wLypnbt58i0vHfXLsK
D2qVnnk3kaFrrUgjRmbsHrVMHa6SddJGbIYjBJiP2gwYUzFB09eE449bixxvK+KLn/NwAgmphXBT
S+KtFsfbVScXmetfAIsG24gZPy7G6OyvqnqpBXZ/1dpLLbt3vof/kvwyy/k4cag3xH+K5qY1+8wQ
9Xl0bXHlb5hfLa3vh1rpL7TmX9SNOkSBLE9NHskdGNTP9bofEHpVEMnGe5BNQ0hTLxH+u2P8d3aM
FAW5f9vI/cplkZS/VnL/8UV/TMlQ2y0GP+laju3rCibWhn9Myb78jXHXhsPssepzkHj+Z0qWAax3
x8ZyaeLLsoRu1v7HlMx3g/bguZ5vWRro/h8Y1PCh/bpsxJIWaFYP35LfQnN5fl02EgcmCDxH4uj7
cwnYRVX+ttXQ0qWcm2sySiyX4deZIlNdmADk1OS8u7WxZxAtjoY7orQ0FGssKp82Ee459PsPiLM1
ujQA1aoEh8oywj81Yf8SwtPUrQTNuynrrE12SM/RJx5C5auFyeqhLnR1sbKM9sMJS8DPMa4Ue56c
d6QzTZ2yOudd1i5/yNK03d6tjB/Z5E2fMlkV0w86rQIvPSccWu/iytu3SL84ltKLiXvVv3FVWL6M
0o56WkOMwaY/2RJiZ8WV8WLYDuU71Emofe3DUPCalqmDamx7hwgy3Yl2wgPDbu9rzlLSunS98nlZ
2PsfBXPXNa3FAH7ARRIDAFKxH0FFPDB0MPF32Te7WMpLhLOFE+RC/hBW+pc27agSEqG9Mzy0A84y
4ys2gln36VADY3eQqau6qFEtqaXGLxLbJ3NSxlvf5cD5umn6hGOVm10CcWvTLKrxXusuUT0G+QlI
3tIuZNimNEQPDwPNl/cIA1n3TSJBChrIAC9rQfRQ2xrhnuOCsSPbv+KmFC/TKPWrnAlei1gDkYPM
IXE0W6N4IXKsIb61w7fvZW5q5xqE7o4Q+rD1+o7QoaxLcOK+o4Cr0fkI5stoG4DLI6LwRbRUjbI8
5B9zkfK+hrXbuptmKPlzUJv4GoJIGZhUTWa22E9iXu8LKrNtnwyTM7j+tVe23iHGEXS2FbzvVxmW
HHIHwasYDPCira9JkrqX5wVfAH+NYqBzevSALCC5B9CnNb+4nsDM3ti9T0NJO3XLJSixtG/mAgK+
FQlQaykObU3O50WxWGeixmYLTGrDn/kFRrpaor0X4Q7fFiqEfD9q6n8UKg5s7HEkxjIYaPbOJ0Br
3YWs1cND14dmdOprBewsqtL+A5olqSzsTLjZJv1t46qBgQdRBQBbZUDjUBt3BePDO+LbT67+y/tL
z4Z6sTj6bttRWzaXBsPUSuqekHaY4bu+fnNZTGxto+YvEXIme/AT5V7Xn+jSLjsdlAH8HGwp12aj
dEYsHTm7jm0GI5OUCStSe7TUctO2wn43wXdA4o2m6uKabf3WkJpUGNom2sST1LEfV454JrGCn6BF
tt0+dAc47I2l2wYiiWhzMxdUTIO8dD/bfTobr+tv6efLEB3z2U5gAgiHX5aAGFeZYUlxF7Q5Y2We
dcyAnautV1mhmuW5HzOa2qtcv6UEKPRrkrJUvuvnoLqApaN+va3492DWPL3fofdGtSQ3HNG4IIKC
kBYNotyhPHYfRxsLxXxIQH/+XBaHKzJ1DX1NUS1JXNQx/IKlI3LPxRPFNGzjOpsA3GX9uOsDazlS
izs+mbqNQaUzhQpcaZIW4UH4XKclprzADupr7w9boATs+RzLaNgyWXjyh6KMoCq0nXeHWza8pGxV
XnkzCQJK6YmnlCZkQPBtV7/19tCFYD+s6VlxFQPe8osD+3ML7TJycHf13feUsxR9Rjx0XvMgn559
10CisloubKsl+89BpzKurmkb/O2KrJL02MNH2fZ489AHg5KTHy+ZWo5T4HjHUQTe9wbkl9yLsvLl
3sbYzM2hyzBwcW46sazn9Z2nOHxtUXiv7kAzET+wGO9H8BF7piELkyuL1I1FkzmjY2vXJzklkj5y
P4bXwBPjsRR1+YTG6tLAmeHOInseWyzUF+9gjO38w/YKeQ7bPjmmyhcfORHoVz8aJu9gcgu8Nngc
fkg2/S+D48wnUJfFngLTcEsQ4xP8yfaVoo9uR/G1LgUOwPbPgrSlRfXDVUwlrajBVB4I/s/7MjKX
H7C/Mz4BY95dfId8ORZgbybmvITyDatId+nx20IZhuh6GkiG3xZahnXGsdX1Xr1FzXy4eFcnagj2
cFJlBInt/eK3dCNNbIbPcNf9OyL9TyDBrYlcpyCMA9uiE9ccmGrzuNgyPikzuGEtOx0WJdWua7L6
diQdg61wCB9K1XI3mdm+J0Y9PImSHWk0kmrtg26JgCUk8lpnpWl9CmtZveICbp/pSXuIHdUAttU8
xqgTT6EQ3nPpITjlA+0t9w3K/TFhrtpDtza/RNY4XezQf1kiy/2Muce6qSaH4mNnRFzk84FL5qha
HMMclY9Tjd441NZD15EtdYs6dva5GZtIRvSyzsgN5mMXYxmZLI9sUNoKvQJs6ZXGcVjvcS+X5i4O
4/FrWE9FvhU20srBLIaB7romz3GVCqQhJRsq4Cezf0Fy8t8S5t+OR6E074fUHuD7G/VJuTjnt/RW
fJ14vF9Ivg93vWV+HVuiyzX0HdbB41STTsebfO1ccpuA4qznOTCQNKdUPGbC7X/i+W2/zkFUNe+U
bOXqMXHbEA5uuzBE5BkycNN+sRiTH+NYhAwfkGM4Ck5X1RMmZozfKM9tzwP2z/u27d09DQDRjE2i
+JH3AIEaXXQdOrP1CB1bvdFaGO6iInYfgjpw7qdhjJB8SmiGG6Bg9R3NctktJQtWuYsH03jEV0zJ
Mm3Fe14uWvdsdzrXXVF+TYbe3mKFgVVSm+fMbF97Hon0sXOdUtf4JqzolI5pdzVmx/4yjpEkckZe
fivCTtDQGceXLrIJLCFH3Q5ee/SHkWSdZyHgmQIbvVfVk30dYxYYii3Q1opt/JpRTW8VDz+D1hcu
FTOJr/i/qqOVi89hanubKHeLTWtVNsn/Ptu5E6gYUSuuA4u6yHhC54xkEC67yG7cDU19tjiQbDTJ
0Fu1fPQj26Vyoe2fK2Y5HvQlcA1M+f02WxBfvV5Ro5k5m3qIPrlmQyyuNZKdkKC8onJ2MIIXxXOS
Vgx4KcePg1XSvDZZedrta1O7fXuXVrS5i+OHYqJAMZPm/GK2rbrMndRWfr5QuVF1yx1IsRpn67vr
i+BR9qa6qcsh5l8tu77IYmmeYoeiSUAS3bgfqhJgVjxW4jyg9gFHcs1dG7on/Hkw1LNo/kRjTegC
SEIsHOIv2L/DreMInwPFpKJPqgau5nUTgcemk2eoM9NxMiOwHEHsH9zB5X3ABz7SY4FLjwA8IANw
+FlM/sQt+gxblcNCBkgtB684IAXpFflNPdr+ax3wF1f11D7THe8dOpxe6Z7HIcAkmpJ2jY5r+SEt
4lhjwdO6JWakNLZ3yxzhQbZnW8ITm4fL1NpAfCxrkge+Zrr1iolwuMf95gNTo/uTDda4TzIgKEea
wPPvaPGUhbTAGXN9tKqLrt3kCtFlsUWBiF6k7j4xmnpPfXqy9Qd/uB1rgZIJcX6L05ruU9yUF4Cx
6m6h3kl+4vmW3fZlTh3ctgjwg6R9IqlewS05FFPkPuUBPDuQj9hxVA+Dyi9H+1smLDM6ACQiF6ZM
zoKZKzJqm6Zn8C/Ttcy6DvIVNpVt2vnhY8cx4Jb8Ss2dd5bRF6/AwkgJQ8oZyw7eokFUT0s4pvWm
iGLANcN8xa/g3DWACnABMafvhsoZzrLK+8skmvnGL5PpQTh99xKPxbkZm0vtL9OuCazmvuiq7juh
BTxOfdOeiaSFN23kv3JQG9nstXjYWvsxVXOebxyVZdmBfEuUn7t4GcUhCZaFVIsN4WFb5SXN1gUA
kqdBmvW3KSvyiMvHgjQC8SHfSAo5qRylmjMbWqP4PuvGTiOgu9OIl5Yazzpxhm9+X7/Uw1zS8dn+
3viJg1AaJ0yZN9RIek8V1aBoNVN8KdfCUFma7/0Y1Ldg2LJN4nMtnKCY49pe0jkjGJPG3hNGG8f8
nNB3Afhv02Zl+FDVVGE4pB5buMJOPX5edFGGLVs/8h4iq24eePqd+t9LNf6y7/7/hKM0AfoXmLZJ
OoY4tBQoLjYZ618H4ygYh5noa3v02tY+jZJJ1Eli62WZqe8KkLtv/v7nOf+cFQtMW4I+tGzpmTZH
BZSCv9p+We3OwLQ7yAxFG1z7mKN7x435nfwAgHOrGihoN237LlL+IE9tCzKf4AVCWHGLVZVKl5U+
7bKIbu+LVteZGS49Oq1F66GK6blBmOQAaKMnc2wr3O7DjEwZMNDb/fJsubrjjH7J9piALX3r69R5
rxw19s8dwbvusPSCTottCfjB/rowT2QU7kwMbBGUQs76ke5c4Y7xgmRInQ67jg8umfKnv6jyWQYR
J/q+6fjzIA7qN5PSoOmKtOkZ+t5pMmCxrXhcDBa1hwAhj3xNRKXZzB9sSSvUNNK0saBMvRM+RVp6
Fl7Lev7+TdBqx69vOsgDG6XGd1iPY1D49T3IOCGHcCwqkO96Xqb6g9lgIF4b/S6p/a9kdP2N/uUH
UaDFMYAgnPXPVxemMduA2lUd85iiIsSJAg9S2fD+8NnTtUaYjZgNJ4YQOjv/L7T9v/5038ScgWnD
NgM8Evra/4vDvDbw+UIOqsCy19aLyzZplzTJzPkxb4/VZPBT3d5jCDDGgrHt719jgfvjn/7u+D5Y
MgWWwKDxL393YD8G8XIAlqRW+O5qZAl962UNJWlpx9iMdYS/vLLn6tJHmhlutuXA4FdGXn6M7Em8
rL/Qf01A/7cJyOcm8zcmoPIjef+1k5KrVX/Nnx4g+zcv4C7p2Wha3Lf+kaHw/d94g7nCGE9XLw//
158WIPGb52DC5PNFdtddQ7F/ipseyQsMO3zZH86h/0TctLWZ6JcrzefurS9zEr5cZta/9GpgRkmW
eOLBJHmWSoaHd0JDIdznxLTwqQOhoDCsm5dtNxhq3GaRJa5u3Ba3ixva01YI4NKhmSjypqK4X8Kp
/BqYVMHDVMsirIuDUeymKkSiBwPwtXAoyzPJ2d63yej2tPDinMbq6i/URhYw1rqAFGbi+s9em+VP
lACoe1O9F1XLSgDfDMdzE4pAlihju6icgt7MrKd34LTFtEl4GFCTRvNiiF8QwM9G9l6U7Wu3yb7F
LCmI1hOzYwynTGdfWXNyopFz4kCSB8MtLK1Qsjrh5oL4aPk2UAZalbetDFKxIf8ob5ogBpXGDB9f
Zeopf88+LsEYXOauJJCaVd/rrq7fKmqG75gBaemRjMZR0I3ffY4/b3afOKztgYpfkjFrHuc6jd6t
2ML4Q+xqU2ByxQxOrh8Rajsl/ni3OFP1gNJXBRtUEw5GczF6NzlQhjtfFtMj5k2i0fiZ5646eR6d
ARuOUltV4nZltLgZrcR7EE1HBVQqi+9Tlwu2zYX/4DoCOBh09mc5j92OpFC3t8dZHsOF0vJNaQDO
c3qUrXRehos/cRI5LZ1ozgplL9uYkcPhOHEa7+qbhVVuW2POX2VRD8/wIVgUD2Ikt5Ep8SXxsvBL
b0Cpq0en2ZdlYFzHBVMydRDuplpme0uqe6HeWgyf82yuGzAcRXsdw7a5wHtTPzn8LsjRc29kuy4H
9KfsMt/XTVCmVGEEEOsYztUtbh0G5cAdsvcGVWMfcUR3bqKkqIqNlY7d1zTN83w7hg2shqyR0UPp
B6U48lBKnlCq5Gc4EsljsDj8NGl67bOoQenCbLAvwkrxQNCNHR9x+kR446p6Z/WqOUK1V09RzBTu
Ulr5ZpRRe8a0G/yAi+q1B9eEhrkRcvST/dg0wRO+tmXcdn1UGYQDpPsQo+eBpvVDg7hnt2Tf7bqS
AZ4sK9sjshS7wIGn2BSifOF9zD5hRYkfvCntbjsxx2evtaiuE9UIKDgsEcrdOYJw4qfViy8b854c
TtXtDI7LV1FF9i3x3KHaw5yq71KoReQlx4JPOZXLIiVJmf+eq8zotiZlGfwetqxKEfXwWgI1p+5T
V1GTmV9L05zKHonL6JdjMcL7DdVihk/zqOR8JiCVHpvRfRB+ykbe9patlHhPZrsNnqecT8++m4b8
jX520BI5qu/OIwTTbbPawolddM7zMDhDDZhE9NvenoklsRO/s5norj106Btqu4CMVF0O1ZQCjQA9
ee9LsLItn5ensJsw9yUwtz9NqxsHH5aZPnhJR6Hizq7xKj3bSzfSx4tHq3TuLNEYx3FoX23mr0cj
8wMyWNoARMzkrKLSvcWcDmNV24RybRiqh2J+xIRlncj+NptKG4v8ucsfR5IpT/kftqPkEMogh+jD
GwmEYVNom5Jo4ruCw+CgDUwmTiaVnkGi8J2k0dwM2uwU4Hpytf3JwQeVpnj0msrcCF90fBttltK2
KbQE+xRqK5XQpipP26sSfFaBNlyNi4RpqU1YKeXrICO5W884tEpt1QIowGdg/mg7dekXXsOwNy/p
6u+ilZimzC7+NK3mL1xgvjdjB8MX5vCOUS9kPZnaMhbiHcPVcu+OafrQ4yqDwob+MF88bTejPfJZ
JcglxeT121H70swxUztrNatB4KXNLBYZnFy8bMPvtjYMbg2g33MrkQ61920OfHVjaT+c6GZYtzYT
3s6jNvncRh4pa2LJyxuku+6WYJR9cEdBBd9gX1zebaJ5LcmI1Yk3NdUNqWDjhq4oriZIcHcESDDv
dRXxDl87+pp5Dp4kIiWApaTPHzPt/XOD9sOrYpShJBKXpQiavdGhJkMYmlhmqbLBROhz+b14Zhvt
HOFUO2oxrP2ifYeRG813ufYizkq0n5YsQphzQLpaQfLotEbDRwIXY4upD6MYzka4v8WzysPw0dG+
R1s7IJ3KnAlfqEuAtWKXaZ9kPoXvsXZOWtpDaWk3JdOAfHK1w3LQXsteuudOuy+ngUsnNczPjnZm
OtqjSYsG0RmX39TKvO8jzokn3wjIDQ0TBvt5CQ4DeaqfdFfp3OS+017QsUe12rTaIco9xrgiGGAb
bdDbnhyO5zuC99kFNV9uHe00DaYu/m6v9tOg6rotLVFPXIQ5AQ8zf0gdTevTztVEe1iFMB88MoYo
QvhbC+10zZk6d8ag3a+j+OqolvW/MLJnKr7Ye/W4ZcnYk2BZLbTcDrWdVpn0ydteeZhXuy0b4huh
HbiGwovrdON8LP1kOrk9j8gpW9yTkcPm2v33nPzv2AAAzPicLP/mnFyNv8Da/viCPw7JgfkbEBqP
k/MvJ2QYbox/rkC3YX1irX3uf56QpTbJC98DisKMiE3rf9b/tvmbdPWZ28Rwb7MW/o/W/1T3/HpC
ZvqTjo07QQLRwS4vtT3gL5PgXPS9Kr3EP5tNMV2MlFDZmFnZ0ySd7KOg/ew0rvY0aKVY1bLVtbb6
11JtZYM3Yjxg78HghqtJPdiyD1+zhY/3pdFeuBgUQXSqVrManCppbJvVOSdCfLNT7r3OTk/Kv60l
cuJc5OGZdF/+obQHTzWD/xpPFTCwZTXp9athr9TePRZJp1i7+ZT29aWrxc9d7X6ldv5Bzst/lJgB
I3q+iXVNCvJDYz/hZ8Q0OKg6/NlrJ2FkqNsM7jFGrDJJSbjgOLTDSH2eIogIFgrwT0NKbIlB5DQN
62HvoaYFgCP/LDs+6dF0u3itGPWSef7pFYbxWJUpIBdPFdGdMqzw5K6WyAizIbviStpXK06zdEtB
LVsw0r3x+0I885i7Ybd3iI69CeTEaSv9wr/pdKyBJaWbP88iju85MWBfHCq6dUZKLWl/9s/ISerG
rKZa7tiSu88FC3ESTGXMImCesTlhXrYG7LMZp5wdbe/BxyxMlHBSlx6paZ3k4znQb60wa85DmKV7
ALCurgCr3G3eTMGlJSq6BifKjRnU/h1zecCDX3lkWb2iOUZzXB0zw+yYQkK/3wZJkaPRLW793ORj
fxaej02SNdsj5YZ5vzGwBtyTM/bMjR8t6X1CcftAe6OnvuSDSTQaPconW1BBHo0Xyqh5nnsBx043
7FmLjOk+78r2HlY7vq8pIaIJxB2w9jjR3WAmXX/u0wJsnhtP0QNK5U9k0Hk4mv3SJDvDl9XPMSK5
vpHjgt8lsRcIJy3HjmMIDeM1HKb0pGTZ7JdgTqmkK131XouAoWJscb5htjsgIJOYTGUjD6IKGLym
RIz3S99F6WtjEk1XCFl+UuUEJvC/3wAXSp5GsIAPdELMIv/g3bVGmyh6m/DaTmSIje5qLu1cJRSg
0j58F2mGHh4EGK82K6HRAYzhz7D2Ip+fEXZ0sYLhszWPjypBQdZRCFUeocLUB0Oz+zD8u1vFcvKM
Pzc7dEVW8PFmwUjtHI3x8P88TQKkpL4CcgIdsOlFeKAFmKZN8B/7ZALH07IR2uWABS1NGKxMYABT
ZT+BDj2ypnOui+YRziZkwkkzCslc8LoPK7oQ+SbclX7LFWiXjQmuoJrdXdexEsfDDKg8hYJoFbpL
lWQLu+BgvA6aljhqbmIDD6WnQmNpLi6Ju7OlCYuQZoAtJpq76Kaa7Rd0j0vMBzMDzrgAaRTAGl0K
3z/8trJ3qesScE/S7sUYrJxF6+SBOsSfk0yOeMaAw13L10TIQLMhzZUSqXmRqOq011kwJBUwSUjl
r4GmS0ZAWDZGJY8p4ElXEygLzaIMG4J4aWICqGT+9I/gWODra34ltu7xxZQy3pmabulpzqW1Ei+t
1HqiFhX7quZhMjQ4J08zMl1qg6ZNhPHnFgiAiRqbAo4EtvxZ5rbNkoGOrjjjTD/VMbPR0HsvaCzD
pR7dfOImhVDLSo57B7NraHw3l6lC5Mii5d7MWKonZZQ+LIp7Ywbz+Vgttn0cgAxeR2EEExNlNB1C
axm2fWkW27Fz6FRNsuZu9c14baEdjta7SQ/5htYBRWS1oKwvaPo91RkmdGJelMeRAXofLqQ24OLn
vNoWdMyW0HQQfE9YqfOaS4WFXteDAW0wymtCSOCerQrsZdMx9qrMFgYRsJGmX5c79oXDoe384gvT
CM4yFMF5G/H2f0mpEbKcgVaBbCrvBbtu3NyR+UJFTE5DtN2/eeBznr1mKh+bJo72M26sQ04Xy61a
ev9EZqPTphKDhhxAOdx042R4TmxZnf24k+90QM5HKZvxik29vKWLtztOhiPuu87JtmtotyvG+TkS
hetTViOSu14FnMwZ1q6dA53XjCkcV2iaAMB9bpl5dE9QND0mVKhTuTJ4/iZTvoeFXkY7mfZIJST6
l7OZ1/GhQDKCwpuHn2Jg8vGmqJ3uK8c/2JKLoZKrpbLu2EG06PDOT9+KfshIx9fLi1QST3CYemzS
oEVoK1v3iUYJ67rgO73iC6a6LnfNlOutiZ8cdxDPlCFZh6VK691MEdm8dYmpfq6bunuQC768uKsQ
zbgxNUee6NN7nFFgIGPb6zYD7VH7kQpM+hNszFJclWen7R/7NfYdtVJnwM3G1YfbmRGGfPi8hsUp
Z2mTzyxCYGdu+8odeBJlOl++rFFzyl+L/aDz57PUUXQ2s8uHr/PpoU6qt2toPV4D7K3OskdsH29G
4u3jNDU35LGjPRcpAEidgsdYlj9KrSQ5ROSHyAAwpVPz/z0f/1vnYxRNNP7//Xx8eS+791+jpL9/
yZ8nZPs3SMbcqkzWLiwbdWPkHyZZYVq/mQ7bAlYVrEpsjWr885RM4PNP3dilWs2ED4wM7XK6s8V/
ohsjQv/LqThAAvNZ/TnSx2Kro6V/ORVjVfXzNJrcS2HV2tbgemLcuYJgRbMdOqPWHGCc6ahCWaEx
t7hceQS3jmmgHCw9V+VzThOOUZDgdLG27I2FxXh49EOuaHRTBSiehvulvstiNo/egX1dgWe1x8gU
Tyi4HqcDuyNmFAEJzgv3quym+54RCCeND6JFWIa3tXVePLdp6Th0hMhrizS54S+LuC5ryLz5PXHO
/TDFHgfCwLyWk8gdVtgmvnxvjavnjT80D9SjZSTRw+Ctg8XC1M5DV/AhU2l9ccs2RlAmCG9gl674
EbO77Kc1Ks/6nti81Al6qbP0WVO6bw1S7c7QSXuaC3jiMNMeqmGmpGCN5KdrPL9ao/q9Tu1nS5Gf
6LWMv7o602+t8X6hk/4Vkf98mu98s02Je2XFfOK/wls1uPI+0bQA/L4CzhoEgWmFCSjNFRhWxABW
RWgDK3iAQzgQAo7O3BJXNAGuNHWkVbp4GDS5YIoLYgbtPN4Q9J0fg86azzwYtSKdcHAlI2AkxzhP
kw+uB+eREkwQCaqyjHtaXMjAOm577DRLgWGpfIk1X2HRpAUesd5WUUjAeRgg863tKOuzsSIa3AZa
Q2VHwy6oOS4XHqFEpckOea8hD2zVh72wymFvaPDGSH3dQcKNO9IvDSICF9Xy1ZiL+uAnuXFDE8Fy
smNr+Y5cDReCxdrzopkTg6ZPVCuIwtZMimlYXCVoU1F2b7kcPf/4X3Q/W8W3hmNRtrBNTBIcDW7Q
wC7bc1p30Vie0fbGvNp5fdhQ307oF2FFULHA/i7vxmVvxqTLvv/3jvrv3FHxI5t/u5nTcDP9n7pO
/prQ/+Pr/tzO+b8JE++CsMgkoM4RqP/zthoIxAdupsL6x15ON/3+eT9FsiAwL+DDcjt2sez/J/dT
1/+n+6kd4G3EHw2IV8oAshm/yF/vpwlXk5PVXXYidrvcsrWiKdXqMIsvRe3vnD42j32D531jiZ4N
lmhmeLN8vsprZVfzJ+60nPJJWtHIWmW0p8DO1GNMFlpUzCZ2tiOGX79RpNMuFmZCWqkvYeLNw77s
amvPEWS5pYXIPPJbUm05A7rN7uDyqh8ebSnDtkmg77YxMeRNiljy1Bgk0do0nG4w8U8Pi8fvW5O8
uvGUHZ4rR1ut3XIqr/yaYCxDMFjvMigJfZro6uVgyNM8gMBmBLWNssbVXEcDC5dwGYhdkfEUm9kw
fe9DRTJyD2PgGdarDm4n+2LAcpICQzWct9gMGAgpJScXdql6mYFpG4umHh8adOCYZip/jO6WwMD8
VWWwIp/GyHQPFMMUkBKTqDD9AwyC3txRhyKdE4wX/mQk4sD7MrVZXd64jUk9lJFRt+TOEN62oei8
aCeo3ZM+oUZXRHhvCjckjbJpyuhbgd/rXnlzta/MJWcBSgVdvQFk6n9BYe2NfYmfkom08W4Gd9n1
/NumMlX73Ukbdef5KcQv5i6J4CHF45JYFU3AofrS5o8shPMb5kHzFkBUfuMHh7pVhMBV7jaXthgP
jd3U1BWzoXD6GvGgH2BpGoSxHxUJ0k/AvbIveNAy8oBgcqUzVBoA5Pwwyil98rt+2jQw2mhlMYJD
jOXvBEhBvqUOQwDtPdUu8dryhMgMnD/MjwRDclDNafaoJojm9PFEpBPH5sYQI/JzVYLRml/+H3tn
shw5cm7pV2nrPWSYh0VvYo4gg8GZSW5gTGYm4BjdMTmAp+8PoVJfKdW3dLWXFmUmqyKDgfEfzvlO
UDVDs6K3ab97tRU/lnkabEZ2Qcc88aEmacj6gVm025Z0PAIvRfFSD7RiyrDSPSL66MtPqKVXTdxk
9wjx1WcywDBcj7DVUa2HLGShzBqnKqXjXIIAzAc04Gw+lZpfHbt4zgzJKsVP8OTYbv4lGDi++mQa
Mg7BjB8Xi9QHrfzKV0SYsPD5SVhU+DmPubWNJMP31ZAm3Wczt9tsFmCAUu2ucqlvBjf1Lgjui50z
zOw5/CRGLZK4+REviH+O68B6H+0+vLOAMaF21bAys7w44uiDcOfW7XPLoOriaI/ZkFM6NzqdxrsC
lf+BWB3vQRJudsckLsNTmGbvnNFiP469c9MjEj5Qr1MazS76wKSDhBOzEDmJxpnvldcNtyWszg3C
FLYbsQyDxynrkK4ZyPp2BqLyc4jvgk0nLf0KUat5KMYG+pQMhTiB7nMuqAjbW3bz4m0EtI1DedJ4
Z/NBnDs6m+c+7/UT4kxJyEtSbY1RRO9IHLPXZvC7m86rI+ixPT4jk1Aoe2eVaXnv0fUdyR7S+242
oTBkUbhr1OD9Yr6v9gxyp7cxs3PMkcaxymV57Lz4jP6HFKM+NVeaxh9tfXK0I3kzeSYpspGzkrnb
/+grjSgor4qDmTALw+sJk8Jqh30DVnhnp+a4mUdffZcwRm5MpQUl4STWfuXqh6z21F2ah9Ohbnrn
IZ709K2vxQzZwhqgBYj4woigf6PosdaDqyGztl23wUqVHTSVxl66GSb6sq/zFymwbnDauVsMrXZR
kMsfDhUqlU6JymCMya8afaB0qmy6e0ZelY2HH2RyZuN1DFvP/jWTDmwwaYnJ1DCnekMn8CzHfDin
cXkvcTPc2bAJv9kkoO5nBgu70ZmMYWVOwjz7IjfPUZdHdwbJqg/TOBA+yN4suq0RG2IZHS+F6iUB
ANyopx7o32Z2I4xDse6I/iTn6CTrrNokoS/WHIzq3BMqgTeORw3ouhsDfuHJVlTuxG95mCk6A4O1
8qevNNP407WxOIT6NssO7dSq7zkbnhFb2Yl3CcNsVdsfGf6iY0Hnv1dYN58t/F2PSdBBJ+6mcWX0
iixZ0gvVS1v10d2IfeE8tNL4lHVPRCTqusdC1Ao5Zt0Gt5XW04/JqDPAhonyDlXl6ZORlMMebfZw
N3SNc7ILu6IAVOpVe157P3qM3CYXq44jxvSBNxvmn6ivkWtWwa9J5F2BrKtlnB0lP3Q+ZltXzBEj
B7kjhqNH8E7mUWCZ3dqgXM/XkdEahLLkGfFZbcEUtAwtBB62dpjtzEZ2KlJXMTCtum0dyPoYeiUE
Hc/P8l+Va7HBigb1hnXf97dunZTfnSQJ9xVEhHNPYuvNEJJCygIR5GUUHqI+tws6H95v1Ohdcdch
XbtkYdkSTTF12z5s65Oqje5MZLHPWCgHUlEEjOSQg7yFruevbBkN7ZrARPLlWkf3DxANw9sZ9epP
0+mBN0S9WKjTHOMbBtPGc5p6dCvMafdjbtQusAsjq5aHtkR1NxOg15lhfQnyyrkTZlzxWBqmTR6C
ZYbM7YX7gGyP5ZrQCIztiI1nydR6PdZB+Jmbs9yZwvnErVOfDZh7T2GCsoLZu8PCMXJ5DE42gMDZ
REBZnZcTeFJET+2Bvq8H9hEb+g/73KMNx6iMQ6dJibes8Sy/BIxBtggni50CvrE3GIaSneU7W1J6
Wd/nyNGZU8rjNJvtQ+Al7leXNgzeWY2z/dBD9IQdTu4q1ZIqkjbWsxcj5V6XhnTvsZbHzOyGMXoo
kirYa+IZ2G87t2HcQEXxS9c8K9M6d4vJIOrskFhCQ/1Me7brYFI1EaWdCg6BkZGbTZjpuoqn9p7k
S3m/iF8OGXqgA8ulaj17Apu8hu21j60meKMWsJ9H5EhMF9l7/ApLo38vER7s4lx+IzETFlCGyN5u
2ozvZ7Lnp05pDzaPPMARXZaetGyMo18BRFgHcOPxJxhq/hIgfqBWilif7J54vZrX25SHCZem2+4I
dvTuY2rTnSV4WYP/c7OdZjkCFFDN1B8jD+E7J+kV3pvmtTKb8jLowZXreDbdPe+7aofoJN8UnTEh
wbWCg42n6RJYwchbIRDvFGh+uzagKq2gbhx6mcUkMeaIlrCCW/nRKxIUMDWEI11L8pkbd0T7EWAc
I0ysnbYMKPWj32BtR/Sgj745VZcuVwtn3vEbLo4o+EHhm25dN7dRjPFYCQObYnqkUoW3Zpv6aTCL
5MXM6+LFtakB3aSdcYagFbrIvItu5tynWgGNcjQDlB/A9DPHZKzOG2wVDvFR9EMzb8bEyU5ZR4wi
0hNL9JSY4EhLZSftT6eEb4NHIO8mK5QrR4W3cDoQmWCsPLFFVw8A6Jyz6zbTXaQaaxMhOlh3iRpP
aUX3mFD4f5sx0Weu/5z4Qm96G+yN8Cy+pXsq88D6EIFrsyZE5aRiP6IkK30CIclQnowARwa5xBvV
G5g4nPkTQ9l3ERgPoSQZJkoHH8asRbCTEua67siVMR3DXecI1kZahBtRWCSgZskLpwWZ3BS666iN
+o2DXXNlFAJRlnDOree+W62L/3LoiFjK82KT5yHrlLLgwEADJDN9kgy4HZhBsDBPScqKqOrDHamW
0wnjJUBP1351morwxnBEy2AyXdlZgW2vZ2PECJv3LPIA4q1qt4SIOWqgORl+Mwxi+0zMEktDuI9i
L7gQEoihw6/yc8Xl92m0wdYOvPi57Fr/II14YjfYmme0W2IDVdNd4zzjNYci8ihkEO6mtpvXJFt6
6wnr0AqsSHJXGQVvdjDIF8/ky7GLJb+nK+kTyChaw5FpV383B7z/q+D5f1V9eV+DzWn/z//+JyEy
TannONfVOAtt5zchchq7U0FYhDhmGD8o4eBCn5o55Cnt4aV+cs1KfUlqKQa+vZn/Vc/w32qw6W//
QR2K7tmG520jhUYwYUW/fTjhAY0/zVIcrbFuvuasqW6lKNILVNX88c+/Jwv73z8KJSo9zdL9kg/1
20chrs58hkx8lGSXwCYinJAhTkn9888/Z8EJ/NMHuSAFaPqZh/q/68pzohfcJg+SI1GQ0y4FinL0
exD7RSW6eyzteXQ7RKkpOOnlpwywZfJUIXrBII6F5jpO+ev+/E/651Mc2BETTxQQMAcx4/xj79+b
XZh2dBlH9jDz2Sybae9kmg4aotRkbTAYNl8IYTnPFrkN18/+j7L7Xym7EY38aarSzc+q67/y6e+H
R4zNlx/62/BoyUiKmA9Fi8hkGRP9MZEPo78QkrKM6ZkQhctY6f9N5MFWWC6hqf9/bAUqmsVrwDzq
304YtH6/n0LbRDizQDOciFWC/duAnjlT2oRznJwGi40ZSjMreMD2OjMjrbq9UEF0Gszv2cKSlwpq
PDCtMHrE/Ngd4PYNe0dZao820TT/ugP6758p9m+KGjdkCIdPh1WEb7usL5b74e92B9TQk5fboX8M
Blq1S8Qi9xLOPo9YhuxeviIy50kwinG3ggqlS1DDGpK6tWThHv8Iq8p6aC0vVM1WYhAN3mZpJHeA
xDSsZQa772UKAqmBRSlnLMG+EW4KLyO6HFFp2Bob1++M8KBz3JOumVfQIC0Mv+Cwa5fMuxeA5skB
h0eZQfYi+ANuXFuQaBG0NPnIoqNT2PTWIh/PtmMTPbMdSJt+G+nQuZ8tv8eOTY+lG8VMgQ0A5rFe
Z+p7OZXmoxs7mMuGq9EMMjHDhRDguLUbYjstTh1etxwK72JSy8BnPlB/bljT6V3VxK9jnBh0tHNz
Uklm7fveab8ExeklKuFxEoJ1Q1AtHZzfMnNZnHLRyDiu7TvSr9PhNBqDwQBnZmJfoEG+U64z3VZY
7wwB+QNpM348A2OeuTj0DNHWmPXyIv1mkyEcrMze09TotfEAZAmLX5BO7VaLAYNSMD+ZfUJIytSL
1TgDc4fayVhsF+aG+71pSQKPZEr763lsP/HUCf/RDHP5OBAevy7jkNHAMBMIierBys+sxVvCJBOK
udEyxGWe1RahhL1TUUHspYnFtUpB/IzEX+0JuK12Eld2vrYav1+3SGC2MxgnCuhYbskQNlbObCr6
ULovdCx6DcnXf+Coqxt6gWaXBYV5SiwnOjG0CU/ELxLRFFdm8U12VvtcBwgnlLYCb533BnKdVswQ
Nu3x1hnM4EcSpP4OrJTaot2HjmFDFimmodnaou78Fcfd3c1KjxCyyAb8zLnsV5Tn45qwPURbbA0e
zWDQdwyZhxtPt/22cEWEtDkttp0B/sqmceILdc5j2pUN7gSmt0kjUi7ppgzinWbFPYHDdv1vHr9k
bYwFu5gQKrwXAcm3k4w4rGyaftoqic8Kyh+wDRx7rnQxc+Dt9N/Z5MxQNBHjHu1rIkutl3SWuQMi
uGfCjFKfPCESXOxrmgtDB1APuOImIgmXvBeEosazx5goWLnGEggzEg0TSQ/o4chxPA7X7JjSKtLb
BI3FDcNdjp7bxzPpYouWakh3xWR72aoKY/cL0hXuXLGE1MxaVrdRsVTTkjQwmOLE2ThLsI0diuXu
Spe8m4R91bBHs4GvGhGOfggq2FP7IK/9Y941L1Gq5+/BMI/bWLfuMVqCdRBUoVGTS9wOT0L9Plwz
eGS45PGU12ye/JrTw1aHzJ66Jb6nigOqXQ9s4hI3tCT84HZwj+M194eSE/qBdc0Dmq7ZQGQcDcf6
mhjEuAOtXLYECXnXTKFBEC+EkUE/+M1gIU645g9hgC4u0Fskpo0wZS53zSpqWFQR94Vm5s7ncXBT
pkRmQ/gsylcWaepR9E4HJwBazDlWaPwN1SH3DxblPx7S+jlgBYd1vBfuhugrdetzjUbbZnEOEKvV
nLWNh1vYmunV4jAg4stCbNFD0JSEAfF45uHL/Df/ypIOg4K4mhUQd/n3rZgK4xs0X+wMo8LZYF9N
DsHV8JBIgA6kyeGDaGZHnabS0mTDpQxHFr+E1eGcYK62mQ3fION88VWYV4sFCVruTRoN2S7QQ/Pk
OTVmjBi72wN5uvZbPZTiMZjG0jq0TZvcu64rMcJNXV6s7SBtP2omwMQ1gEr09s3iAgGukn+mKlLW
yrPG4dzhxMGcZGmP2Fhy6EjaQslxMRjN5xtvAHOJB6IbfvF8jx5ZHDBVD/z2wzciPoJY1fkWY7qz
yyYnOzY5UAqlcbXwbBiP2eJ0AbVo8Q8uOp7z3OQ5Gm9meSR9rvqZtJfoapfJPJwz1tVEE0z2Yqhp
8dYgYkePgYO5v+lC37+etgNZCDcl22hkY0yV7MEKtm3qf9F+6o0O6bJzNTqvuCTkMWPZfB85Kblf
Tvllq8X2E3m5cxkNeZvFPPpnr7hNpjDGCVQfo4BG1veMcY1Ax9iEZiVhrbnZ3eTVZNeweOYH5tG+
VNzoUDIXQxKUZnNt2729KdMJV0LDP0RoGh/ZYmhq4EDduB7RweuWKL531yMUZFhMULnjBZsGrOR+
qUu+F4tZiqvUc9YA7vBQuVc/FZlk6W1bD4xDeZ02N0642LM8J8WHZbVz4G77yQCAjG0jcnYT0AJC
57FyvPpZ11VbtRi9oCnj+Zqu/i/QDHjBsqsvrLt6xMI00GgxmLLv5dVF1i+GMrFYyxBVcLrST8PN
hothuvnjZPpP+Rh7++zqTXPcBhtL1ab0uVf3GgJy+xLnFSaMLq0/psXm1i2GNxxgnK/46oMziNf5
cDxV8juxydmLYY4BL26MYLHRhQqYScvjjLtosdklV8cddRfuuyLsEBXRMOSfCKTxOlv+xpssB8dU
FslThmeIaGOiWJBq4l5L133Bpm1r1Kp81Cng6npBWLs+MOvxyrX2r4xr2FLGrm8ZvUaal7UXeufU
q1Nsetxit8uCxNsg4Ue4r+npaTRLF3/NAtaOESJ+4WxR38NISaBWjA5PiPf1UmB6NjT6BdI9XXnd
zYLuDq8U72gBendXtjftI1Tk0ZgDBCJZNhAZMXtypa9U8OZKCKc8ad7sbOGGD87CEAdnOD5w10IW
Z58AZTxagONDBhMBtqyo1CFXHM/NqOM05tXqUn/VhRM+jSMA8/rKMncXrHnY5AS9pZEjydT2i+zM
DARAEY92oi2qcHxt7Eg9YtYKPlQckp9yTTHKRQ4C1IoXHmSgqr1qGwTWDJoJREqtmVeGIkhtL5bU
JBv2a3kKl1SlpA/kr6gyXbHGHG0eZZgRwkRAocHotYdrMfaAALobP5xshMT/aev+J7KAJQT+T9u6
p2t6/PqzqaH3/4Ml4Y8f/aO5C8K/LHTBwEfatOgC/q67c/7iLO0LJv6/9X1/yK0cSIYgiJBCOsh8
Fqr/f8kF0GjRO3oQBLl78BK4/45cgNLt9yEGSjDPZIyBywFQlflbd8csmYzPTNSHcUB4BS0+d/S6
qqgd00rJHRNeF25VkoUPESg74gBhNN5pf6w3Q4GnctM4vfWcxcJ589t0uge8Vj0NrR9/MDYBMsgU
VR4CPXsH2TjQ1JY0+xthAJFh1F+Pa73IdzedgQtxBcwiYvhdGOldbtXkhBeoKk79rAq1VZGgQmym
SVvUz8jNN/OQVb/assfVHkSTu8uN1r2k8PzvQfdSv9bjYGxNZTiEdKGZwpvn4fI0nNSG88QgEs3D
5J/BH8Zy3dmYifvScU4abTOFpzArSiFF/FvJH7VRZdz95FNYgjZuRZoti5jWIRNUAZkJ/GLaEq/p
HAkK9VFKkNuZA1LR3kGYSPG29A3lL8EJP+BXGu/xCCKYtGYR/5hRhSKphvXwJmcj4Pfyl725qE/f
Km3mj/Sz4308ivQC57l6li0rkq5thukGt3HibVzeobwd0iAEEVgWwPNNa3H3wSIMH8acv0tBvM9B
78TI1E1HxCjEszFADTDLDytB5BsXNXGTbIZMaxNHDFI3dEf1LmAZtPLIvRllKS+5paJ7jF/QhTIE
KIeW4wfoVcH59YXaz2mqb9M+sndjOrAGZPNTP1mWCh8Ml6slIx91zYLdO5RWUtKosQaJSTk+iomz
w8SX4rcPalDcajCeZhcomB9k1om3gV6rIu/djYDh0R5mo+z4zpYDP1eo73ou1XtDHOSbNIHiQM9W
hCJ4idf+sIwy3DZwPfxVqKfoYZQJRdrkRk92I5IHkPmI+ekvjGjtDc6HHfOSWnHlefamSw39Gc7g
yPLWim6ldIKFP20mbB+zShzgkHXzkaQle9qLuDdu7Xixs2s7QJdnjmHF5JvNSke4XO4RuKthhaH+
8fLbFOH9vUTJ5azoMf2Xyprcc9oapiafr3ANPBqgAmdv7VuUukgWJhbdKyPLtMQowIEA0eGJOnxX
DFfIPo5QSKYSNAnnZ4k0diOnV3obEvuxSxprtvtDXDcGHg0E8OaxUGoSb7ZsI1TD/K9ZVVw+30gH
NJ4m3bRrO49hCJXDjRi69i1V5R2L8eS26EvkgYAkEBOubKesXePEKyuoNoFdmC8effhOzEvi3dzN
27iZ8p2JwgVaJT2bmgmZEp2NGyRK6zPkKIU+o3vE1p1uBAnvIKUzG2pfzjX06vtx4h+4vY1nGH3x
njpqbpYVFVZ2RrByg7ud6K18JMygs9sE7jh/A+ASQTL90Nv9ZupGrFWhmR1Z9HobirfHeg5vu6wl
mosWaR2F9XjSIuu3wSiKrQsGmgCEca8N1/jhMSJQRdyw9IBbGVqAsYWNgEiyWG6n8QmDa7IJEr1n
U+i9Wk1DDGvfky049fVFhyZvfMdesb/htLUR/k+XFTM2TPYU0k92MYC0NvOqG+rj9icV0B1dePzO
qBiSm1bFE/6X8JINNTkjObsUt2iHe9hf8J1YWVE2I4ty/ZlOM5z2hcvyOEVxvSOByqIQ4qesnFWy
aBr6oTyc3+uYacNUBJdZNmf4jfFa2kxH4Lc2exWzDMl8wzw3TYw/FT8F2IP6O0252lfCCrcinuJd
3XQZZY1HrJdlq8Nc1xQhw4CTuBQWSRTTsOqD5GNJvN2gdhLrPJiqDWFfYP/Y2L4xsNIHGrnuBWdC
x4WhjX3SjL/6xgdOmWbTtmugnA6wYD6c3MMEe8XN+JnLtAeMvnnsfcJkD07pejeVEnIXRRTrZGXU
AuN07p4oXVksGUbw0Ms02guMGBs2HGLfYfPgqvDn4A4RAbKiAehntg2V6B6jVsWvkfK4Zb0y3iLV
SxF3hep7VUO5XM1gEb7JoCh3Ftu4JTgi3JVtF+3reZDvUsfmW9QkxrYbcInXuprvCKkCgKl0cyid
Mnxw+BfnFjLspQ2T1wCLm7m2IqgMLAP9u8aOrXGFhiu3Tt6YJbdRXoZw2CqI6kUn+mCNOxc1mvIF
k0VNOLrXgWIabMu5c5jBreYyRSaBuUvsA5Kh94EM8pPRJFBzUb+heOqN106a7RtXXKUQuGp5Y+Il
9wGOPYxzZ945WV5twm7ZWBRcBq7emaPdrkcrdQ82UIvVwG7/2MRB9tNp3fJnj1qMWDwwa+uhi7XH
e9CHqhjwxl5nk/I2vieslzrth8c0ysMfY9gnWxBq4a2K7Q8j6n9RXiffWBKhzpgqE+mA91K5nnHm
nsrX0MGH1WDxnJsnFb8kjbsfIQnScn+FNuyFucYiNMczoz0xfZvw+Gy6orY3QUByJ3l8q8Exj3k6
kkhv2fJnEiNWyDMDZ3LoZIfBBuK4RrINEtKPrfuiZaibtzoHg+nfVQlJ2OXM5HVxwkwr/BkCn3na
aLltrXKGwr6gw8v2R5+lz0hpKKWoL8TsWCvtDMUhsDJiMmPTVtibeLgyElyKGRWuO7dhXMlbbptW
sfi08/zZsP1642hlfqR2IA4IuYOfjdU89oP1K2Z3jvIFzqURvFeFZW6QYAkEE2ZwiibIFhJ+1Ipm
971OkDzMUX/SFfzDPJUSL48ivTAZME2NU3l0Bnn0JijCmW+9CD3ltwXXPOxK39ohT4/2dsYwX5rZ
HkamPNXdCMUgbZdADbI/Bm/dp9n8A3m9iwOUMTr8qWG9MA/yVVw6jOwm6M2eX3f4OdtyN/awMRoj
/IoT+xuT0fjdpCW/OFFQrEtk3MrquK68r9IuraOYezbHqZA3EpzgTa/sn0GpUZ5ZP9owVym20UKu
LTh+hxBzzaplyLgVilHWEMJroGIJHi0iN8mk0NAqqR4vdhXE94TinRpOel00e5Gad4yW2bwHkkvU
CpPNlI6Es1qZdefI7GXMpf8YE20BlA/OGiaDCmodYA4k+wj2Mb94cAdXLq90ZmEtfjp/fu0yQQif
u1NWdWE6B5xbRzckk//yRHJQNsq41DAvjAcvi2KzSEmMalrsi7L8aArW6HM7PjOcvSfh4cIU7Ey1
Jtb84on7PoaqAPaOGrBPCAvlNveuGVSeg8NsNQaud1tlIcDXUlXr1G8AJDBOZZFQzvd2g23+P43f
/6Txs2mv/tSBfv5E9/BZ/fj7fd4fP/S3ls+jR8ONQcfnmgywTdZ2f2z0Amjzkemxm0OPgomabvBv
PV/0F6QH0NAiFyeMw6b8v3q+4C8hgCCLFiVwAzPgX/0bHPpl//2PODQMPiZLswj4k400/R+XZpXZ
Z02Z5vMhSCxvhrXiVrfJmEwvJVPNdZJ43r/Y0/2+QIzAT0GmMj2YGk74T3S/rohSVhD+dBjHrHkw
jWFY+77+V0y/33eBfArN1NIQez4b+d/XlJ3XmoPy0vEwdZCmtT2qB0Q1PLOY4mxNQ6NWbBu9AfZi
PLYajP2fr94J4vun48qy1Y5CFBYo+c1rp/13y0g6AkQnU9CBAcIiuhs1yURFgNx+cL0QX2PanPCY
AtubmBJZKxk7MU58KQyeAEjGn5BfISTidT6dGYPR1iagdwGP63wHPZj/tqgnmiuHjOsBV2qGSNmL
W6w+XThNv3AS5o9OFuYoVEOAn9hfWMX46kRYtPoWY93ex0N5rZwsCCoLJ4CUNTuYD6aC8uY7trxr
dG492+Mw3vPIj0/ab+UnsDxkPExSp19gs+Yd8WXDa9Gz0WkzVPmxRfXVxALnll48BGls1h+pmOS7
lZj8oEbQe9sqVBEIKOLHaAho4YZWmvWRQ7UQDS0Ke+iGruvsefPyNc2gtVm4CZt37RRuyMlLL56a
F38CbHJm6mgXZSCah7oY8IMPAdvarMPf2frpfJ4RJR9is9QbJyatKe9t9dCWXXya+2BEXGPRk3QE
1FpON7xmZjm8qmz2nzg7sFZa095WNkKlHnv11wTzZp2grl0LXU0vaRfX7+zNODNKVubB1xH3kEZI
4XRVdOuzYzzgfZ1+6V5Cl234Eeza7ZuPl/Y2HhP3qJLOeu6LuX3LOl3dEuUd3ZZlyBFBfwgyyS01
BbDfz+jBCoDQLcnia10N9rZWcCKkT7ZxbyWLzBcRjRvzf5PcAnucZPacHNBiEmPj9oqZPLdzaHTT
3ie19QhaSN5NgdRMCjPS50C7N2gvqfmPjBRCwqxQjwVoORHcx/kjUOt85xNqdAe3kayEKBl+5ibT
yarr8h15uiYPDav+EKMaXkl5xfChBn7V4tqQrGFXxP6Gt5E25F2Me2vtG8q7GIk5rF0idLa+m0Wr
LmImAD6VS/FqDrFyMS3NlntJXM5EPEQhXnY5kWrN5HZTQED9pbFSfwYFeRnMZ7Ns0+ENqcjHieNH
H0Tzl8dO5Vwhfn+xQSnuoaejFGxUvmPX3v0wKYSe2TrpTZoU8w4CJquFhPOIG45DvVyiRTUOPyd2
x7uZTCIAaDNnwvVrui6L65+Zr3wvEmRTRZu/a/CZp1QgUUzCX2YfmcNKkEVO9x+XNrYw78O0Jxx2
cdy/JjbX5srG/AE6v8Yw4BYfpNQPPzsXxjT0Ty7K0SZnKOVE+YHR7ci/khdZOu4l6rR36afYeq5E
K997aq4Po3O5WherDK1E/eGU3nSTOYb3NIZTKBkZhKT8Vrr+TMKgrdYCaTfcDPwy1y8XptwE8K6M
x3GSFQFN8AHOGuLUm2wNdhXkS4QrMrXAgcMpOI1FBkhUm+LQ1fBV1iMDqb03iuZL4mzmNJW4q4mS
CNU3S6B5yswJeD0YFHXX+XYS2m+IvPC3vA81COov0fTuu7BA4SeHwZkr9yC62aiYnZCfdKaFir2T
TpzefXTyiUhwQhpekHB1a2zLlKYW8QcbHBn+juvQw5li29RV9djxaOqru75mU9VxhZ1cI7/vzBYS
hlk8Gl5/55ayJHM98B7mZhG9BaNzR6DuU+zF4FuVs0HNmRwSe06PpZ2/IEC0tqxB+m3vom8My37r
Dv0PMPnlETbb10R+7jGd/WRVWb28rdm7bMm3G9dtnHQ/LNGqbSLam7FT8Y4dtHUa5zzaEJEYrAuE
wpC7E3Hnzu50JlF9mNYMDU5+Fp6MHMCGKFQ1r2QUqyN+XdbRxuiuyTbziNzL2TqWRfErkTjrCTBH
Ody3LkHrbvU4wZfZ2qUR3WRpIulAM73zU25YlZXWjZjicdtHYXKcJ06kbQ3m0ayM4VAG9bSWnRPC
wTIwtC9YgwGM2z41A7m2jdK80Z6IDn1iPTHFjXY+IpZbq4qcYmtz7L9aqTWjNxUZM9B+ziHL9G44
2FIEO7y8HxUM0tu+tcl6tM3+mOjIooGLcEV68WI7j9svp9b9PkFBDYKJwPrdAEtuBVSlA0ftq0cm
6Raq6rzdJUOPbzfNyROIwvEj9AZW3E4+3lRjgoS2yPP3COhpsPZHf9pHYhB6HfjYdCD9pOtgcB0U
X456oDpDnbvon4+S5yspZzxEGAblkhA6yX11Zv4CyJ62E42OaR/tUcJMS1Puqnab4CUiM4wrcOos
7yT9ZnyZod/jZSOvK2wrTB0bZzDqE7O++VMWpne0p3J+lpmsE3aQ0WGcvehY9vF0L3Jn3gw47045
UgCovUXJ5U5LXIBP2bYuCp6gdXOKg8lCDNtohrky3CljKLdGVMwrDaluw/wv+xb4sDJDc9KoSZbh
TDQYO0QgNRiJ8qGwDN7lwtRHIZzRWbnDsEmIq3stwsTaM4i1tr5Tp8dwGNmN6dg911HtAugmOKHs
SFCw1DydwNkQq8BGlogFrP3lT5fYhXTJX4iuUQzuNZahYGS7Kd00X+D/1lGmZaDWgr7lplhSHXrW
cvSy3hL2YONqvSGVgpkrkHjzpyxLYmVBcPkj7h5zOM6oAlD+Gs0ePrAH8LgXAlERQRQuCMWv0sn8
xcqGHSNZWcB3vPdoMM2DTnMYeWzMW2ZJI4k4Cxv9e51ZuNUKvdQFUj2MIxmUvoIpvg3RBNwgfFl6
3CnIAi6/Mj02ztDcRqoFoU9oDQEDxHGKw4jGpAVGUnuXyY7FgbZZfreZ7tLxSUagnBuiLpcSKcsc
3kOFNR/wvyFDsZEBh5XsfmAJ0mDytU2uipkvhkvJU/hXVRThRk5G/CjzYLkHcsqEIDYlQQVeT0GU
CggyqfQusxDGowFNkK8rnHTXs2AMNwnOf9wREyBrjANwx2U/S/LeOUnWzNt56qkK/1p8Kaabz5kF
PprAkSzc2OBBqJNLvGyMLSZ7SxnqP40sRdvVUjBWWxspwgZjQXF0gB3eFs08H1yz1Zuyxp4MEB9L
aYnuNt6kXsvLPSpr47FKov5VkMNwSUoqDaKL5V0yX/+K6P+yd17bcRvZGn4izEIG6rYzuxlEiiJF
3mBRgcioQiHj6c+H9gSR8kjHvp4rj8e20AAKVXv/+w/1Z4RNlKXw45dNmXDNVxz6wSJFQHmCe7v1
gW2w+uaQUNNvjNjvObV7tkrscqIV2SYcaotKL8GQ5iFJEWQiaTUgMZ/Zr3HpTycTZf0WZGrYxDFn
uaTYekJnTSzltJS/wpdPQTsWF3bDLTixa92jsppew0mBvcyR3FZZKlZWOjTkSCw4z0rit36RM+K9
/XUT8Sd2zUz6/cCmX8ISgR3obW/G1DiXcWy0h9iw62Mk2Awph4NqXSOQv8VGlvIeYGnT82Kem0mH
2JZWPOyu9X7X0Fg/kYmhfS6/xME6mJ/znrLdSWK+iGNsDyTRNwkqpM67CfzW3saEsRwnl4IwETzZ
NmZIFcSyhIHlOYe5lc+obFiYFXSdxmFYVQ2q/tx1rnvTI/H/NFBx737z4GiO3zW1kOosZ7Gk8PAg
fv9jmXnkQW84zcEglQTwsvI/Tqj0mIdlUHI6Vh1HEQvMAkS9z9sm3JicU8e8GuVLpqibA5ci6Nc/
6txyvu204aLYeI7zo4I/sbXvatZIGjcHMlJr5lPCiTYNFhD4whhoCnWXbNia5+3kkOFEYBQVVMZI
cR8ky2fq9vldNrj10Sn8+dBFnvwG5yG4DVGgbkVbz4fI0BLrgNYzNr/+5d6fLMTAwZjVdGiqMcFb
Aux/ZNZi9eOogqnQYaw50yDWqGxbl7hfyGlkd0qrYSOY17729kQsR+gwkLHslzBTjwOTm21KrMbW
YM656VQpr3ptu0+9UtUVqGl+MpmqPiOhTcYrFQMBnnSShBcRKRAbSA7zLkWSuy/ZSg6xSL0b0yKq
BqYE9WpRiksKyHlXIVc8uQnVvK67YSOXHYZJtXHXx9r/aHjB9FqGsemt7Mp1oW427LG+61P3DrJg
escGlkSopVc0y/QlhFEaxGAsK0THJTvxuVaHRF/fEqqw7CliKdtzCnpIsg2oYOp/dJ1cbe0xQj6L
IOEyQ3S46y0gh7hP+od4Npg5Cs8unpmR5/6xLeYAlko0xDykFB2VMTbtuPXiPMHfWREBRwA3Bk74
hnl2yzR7ww1V9oOMXNJaakL8LgJ/LuIL2EbpBtsn/o+Igj7amFje+esIaDfsVx4V94n8g+ZbUDiY
z7kDNb02E/SYjA6447gS8PzYhEkgGinlg9EiKHuiyKedNg9032yxZBA/mhmtJoEt3rrxDCwASqHm
q1HTuIWJq75MWZfvdApAjbaY7ykfWJFzS0ORVH730KbFc6DpH+fRUk/hUDhEEE5pT1PJsxM5PsbH
eebhc+gYdzqznbNg4zbHsmofoe2u1nAIC8S7oXwBQ5cvLnZu1PsF1k18tvnOQe/0gU40vJzIG4cc
TdPvFxWzcxKaH6HsYBA+shu1S29XJaLABK5lVOvOBULkqRg60O4YqXaT0bVUgYPyOg1uS0d3D6bV
2Vu7suWL1+h0T4jEdFIW3fNGVzMnQCutBmoRgFJdF+q6hXnGF+yym7RRFW6csKUzilwoZGvpzXwj
jdlVTOks/iGm3vVXucTthSUy1YbucOXhjXdAeV4fa1WDykHXxbNQLEdogsHvzpvQAxWlXX/G2y68
tAZgFohx4jK2lD6mU1Bd+swt9poDdE8GlbeWYdU/hAgFVu0wpXukqxTDIe1myWjwEDBL/BQyuXol
byuet2k4qyeoGB/6MVBf2q6l3TY9PLQqt1mVQ7JYovKHVsZSOC+/ekTwa2F4K1kYsljeAeldF9by
qY7L/m4SO79RgCXPXj12u1GTLrPKzMHeotwFGVma13Q0aeCT0a1vTcT9wxoFLst2OYtVFZMGAdYz
QfgD9F+KXnAdx+dRLaCELILpNMf+dDX2oGvnZWgvNG+Wd20exs6YrtwYxMNppvr2jPhg3Ye/Ao60
zNdBTvDBLi4KvAmweaGgKkKCDruIbMgzPGDgW/WldWs6WwBHHv0C5M1pOO1yBSCEicEroojpauZz
wxwXp+xoRSxgsQ5xztiaKK3vauWOEEhRH9KnUJJ1EpVi3RH0llQtrzgemI+PM3eEzRsZjfgzUvVD
tr4nFyMB/stNb606Q26hsQFnqBh+TlXyxcRj6d3YBPt8pOAxNcBX3zy2GSGg7GF5/XmGX0g6TTvU
X2OG9ngOttOnyuAzj2xdXBgLuIJVKdsaHX10PCM1OA3BP6DU0OtqTvmTShuwp57Z4hyLy5/xm/Mh
OeZgt5UkFISUxO8m3hSUy8HCgShKiqW6MbFAPC9NrOl3ygUaqha/BtMqEH1JhPk1+a2XYdvUn6UF
hmY1MZhat9TKA2aS6P/otAj3JetPY13yTRZCPo8xxY42oZwMAfusHBIeYQKL+qtZObyQPEdKQaIF
UA6jyAOEdHG5rOdaL9twE8nmRDgYiKRIA2reXPOfc4jin4+e6j5ZUG/qkuUUoEF7tkKWhDt3zPzq
SL6QNBbfBB0qENSzrJ/cpQFgJ8LajdshIbq4OJe3Ibb+uziv8rsSPv1udjkm/cCy789ng4U0+Ljk
uiJzZjVlC4jaY+N8E8QGHGK8R5iWCsoQLFnse1L4+rUoXfAzrMlxHOLFJ36Git/HwTXteJECgPhi
Kszqcsau/NKz+XBIxMSUnfLwqWkGrXZ6lhTng8Vu5sb9wzRQJqscfM6UhX1vlIyQI/axz5JAp6fE
xxYW/MJfnyHBvgW0DG0VHeMqGTbZSPnZsJsoLAYR8ZIowwqRI8VJS7Nzti5s8eM41IhyK7wqe/kM
QRSAegAzhnxEq9BSODt+PWxswOVFE8/iOW+z4yISADmaThqnpke6+gnLdnsJWSibERRKO/jPANp8
gpo8Hwys9aZ1D+X/JsCzYI/qlNxu4XBq+b2ix3NYawYm8uMAXobjIHpAxs31cVAFIOKyVTomD0Xn
Tn4zhzZkM1KzQb3QtDp4l9B2AZnwTWrQ6aoNpisEXNa9UwfddwLsxn3LT18xcuXDJYOe8rKQ6ktT
akqOminpRVbxkaUK6pYdVM997/HU5gC3Gij5fCo9omIQEHSWVT/Un6lKiMTGN5upH04Vgrql8+DZ
GSab7FBTTkgZUUEy+d70HS98CvP5KreB1M9/e/4wpzLjiDGsDguYgTNVcahcVHM7fhht9NJlwvAS
shcfdEpVGQdLpCzxVvGNq4LZg9GdzlfKn+nIhmDajU3+2rmz9LcYNHJ/C1AcNOrZtelMh6UKmDBD
R1Fgz90eIIE7Hi6CIhsOXeg+zTpOcGejmG0BVLadF3CxXHbhsY2IhDyXq/+THv5GeuigOWXY9t/N
AB/ThkKiSasfZ5X//K/+pT30/wHz04ZsaiOWXeJj/j2rFDZjR6R/QriM7RaK6r+HlW5A5IxDa2Px
T+wgcPgZ//Szcm0mnE5AbDXMVboHfuHfHla6BMrAdHWws1x4sJb/XrRsW2aSd17in0iE1AfNiPKD
Z1X6ME8TccGtJqP6hwf04WeV9Nvp6B8XxCHchJ6KsNA/qyF/mOLh+2QrW5XeCRZ6uLF6zjp4FrA2
i3CxX26s619fj4Gv+k+P+M/ruXRYBPg45P28498ioJsRVwTuiXQA/yUTXMDJ2OUbjy3q15d629Cf
L8Wr5l17ns8Q+f3gVycDIeK55Z7ycvBe0iDTB69dxlmg9NZ1O8/iIchhR2hYqne/vvSf3CUrCePJ
MDQRGFjLU//hqQ513k8YNrqnxibCtgqJFVwRo4CzEIEY5W/mze+a1/ONsgItYYMJU7Yt38iPVxsx
/Sth97mnQaKrWAVK0/YMmUnKWN8GhBFXTqaSYzmO5CtPOumbz64lGYyNBT4Zps0076/evs90GjpA
yAwf54R33XRmJVFXkJtxCgeX2z1nIZvLNOhvXstCRuigf7dYOO8WVIycp0igup6cZsD2yTWWiroc
77rM/l202fIc365dKO34CXhegNKe+f7b55y2eID4kpQMzNRfG3vJVmb28Ju3+fPS4SK+jT8ef2WX
evcyAe/cgFLLxTiDjOks7DlIQljNa2vOKfd//aIWiv9Pt+QwxbIh5fMIw3dvKowcq59h6J4yzH8J
Wum5JoKNxv8jEDqsc+8F5hsfaSrGuylpnQvQSOfiNz/jLZdgWcFQR9j2zOVTdaGFvH2ykQ0fMqLM
PI1YWR5xpLKMFY6hITVNwwqtBRF2eW5rf0WoEsr+88frEUi/ZwfRh1//mj97A4zfBU4HvOngvUQg
Z04zlrni4+2j8Q5B+rA658m7SovtX78UoYYwHSDHOD/lMpLloqUOaueUejxevJP4ZI1iZKsPl4Tx
X1/s7VbP9u1ia2QGwuVkOdNT3j5klbQSTrQyjtFERgCeZlo9VU6BuSEJWR/6amJ3+PUV32OqXBJY
FxaM759f8HtvCoXPGqIoFPNmRE9FwDy0XuSH4x282PEuZXS8MFJnXKDDzL4HOhTbEgjjFGBtOGwI
K4aCW3P8nXeQ1s0V+VGzTZR9lBiztUkt+buHhDvHm0/C4+CHxLnITYSJGoWj8e1jQs2U0chiDNMU
ZrkzZ1ocmfoG5oZN3uE4WE5jvC7IlpbEf2dq8rcWf9it1kZxDgXnN5Kty4uMPAajGNy130Y7Z+nS
LPFd2bXBzovpLOIKz2LGj8WhcF/qJBzvsCPUB2Co9ps2fecCgWOuSR8GKhpsQPy2D+QpjF3nqDMe
4Iqk8OkDLoqGZoxli4cWmWS2TpiiWjSZHn90g1KOdkgkfr4udBo5KEZTAl6KquYaIU/6rGKpa6BR
pmMY+BBfp6xrMrRZIcoFyVpUufPeiGbh00w48kQCV6mXyXqVHNG5t99yUpyeAlXZ6lha6XRnhVQt
BpBeT3NJlN2zNQleWTA7fo7DWzhEDyihWXtt7r/kCHLQMxMb/TJhYP4N1e5yQtNAvJS0hV/VHNmH
vg7qO+3jFsP8rF4HaeyizMEDzFvc7ThhrIlmBaxGntyFi+FGubF2RpcnGqXRA744dH2O05Da1IYY
PIGJw4nh+TDzC+7IEp8fbHyTvynh8p5KmC4PFsylb3kZA775DgGncxNBPMH9TzxAd+HfwgUH5UxU
8aegE7fu55bn5nYmyZbnU67ipN6pBnU10XOJBtt1mbwRzL3wUrBXdqdVWU1zcEyWwsTIAEugTYtL
M7PHO7xWiCMtTAM7Mg9m7DUuvKwa0qK9l8DPeZpTlql23csQw/LehPl0VMt+afRB3eyZDNbF3obh
TFKSF+Ql2hDORV8mfH/SjEn9KufQuk6MsuBVemUbriMZ0qIxpOS8afMoYi5WOazlPjPEQ8OomNTU
lnHciA0ifM6Qs6hFjD/upoJzmUw6xFtM0mMoSUExM/FNS+8FzYz34idIZYjY1KLYeJOlP8bObB/m
mejxjR377nPV9wio53S6QoJEJlIzSlzQiBkKd1ZqAvcVsidvhYiKVQOEC0Volh0ocOTfk3KQIm70
Q5LgAi9b7JxD88QYlnSCMhcCbU7jrEcPQ6apmqf7HLIiYdkQiI85fTSVkZ/DLzeb6ral5SO1O+rK
79LT7WtIM3jh4YZ6TeYTvHcy26Gsdjk703ou2LgGU2HRhjWX+uwjVml22HP4X8c5sEANKvhbDdFW
OyiCASkunSImPJPVvscq+lpkvYXsbG6S5xgeC8kKrbqa/ISI42qKTpjSBfU+bAb/SaVlu5sqNT/7
8SCPkINIdx8Hd34GqEdn7tkETFo9rzGMPLQO+VA9Z0w3WxptwsJzUwf7pRhl4jPWDXxgXRrbmhpw
0Y+UO8JCcCpMEHBUEvSgy7Hlq/IaRbSGHD153fQ9iuWwTYzUuJ2ELD/Dx3CxaiDADjo+UiuMHQh2
1y9BiyQpTGdjEzFFXqMjsHYl3hGZDo1rd0xMtn8nknKVa3TWwESFI0lVr7FJhF3vB0TyLm9eDZdU
uuHBdqzJ21RpP6zcKOJCWPpEGyLZmdaT3Ax/uKHhlpMB/UN2n1Tu14pYsWbH7AtnuMT8WgSN/Izm
H5m1sMZdY0TOBiNwE4urtrzlVJoRPrC9X/pujUdVbPJGMS3KLmUgqg9m26kPRdOyqA3YH+3LFLXW
tWFnfBINzlbjVipyt07+GFFg2w68lzW7bfst1ujo13IWFp4bM0vWJLnhQQcdCqywGz1zu/iw452G
iXu/woqimBkJGPIpstzxQzHWxjqYiMptG8F5HHZeBLHaduVJ6mL506xRNfs8bdmC2I0pzJRktx3p
o5omo4Tz+xl9iXL59DvwwoM7ooA7eFaOkEOxbNcyQHAD4a4qnmzsCqnnEgxkLEfakm8+aeBue1kS
qtdJ9e6q6XHl3hZB2zAWdofvZTjU8drLDe9R+JG40IloDjA1AR3ho2DcVjCB/NL0LWNGz9l6bhrH
a5Q1dfO5mNFpfESJR9BJiFXcdY8Qc+0Xab5NhgH/PjKldxNUgU+ziEvSiQJ3+NR7urxjAvhqF/Pn
EVecm7y12wP7KsCkLVAxuJ2yv8VtEn+DHzB8RD3Mm+OLZ4DX57FYuTF6TFh3KfEzddEER/DSBvX7
UJBM0xBNjQtmh6HIoRWjeXJrOV3VDb4hPqoYY6Vhe2G2zFvI1hQ74sGo+hGxpNUWzIa0CylhLm5q
y+3uyjSs15pByVe3N4qtbGfnixQ+OYG+wn2EgDdiO5vQQTSULI573YyrW1kXbBe4riHiCd0jGZBf
ImUMH4c2zm+trkOvlMbecz74ebzWRSI4KwHxVzW5HtcCN9YrPaIaNUBT/VXSx82LnaJ+IShbbLG4
606QeI1o5bZgdXuLLW9nUMz2mxFKcYQrRRSMu6SonHs/V+rQV878ERAvujSnbr7FPFuuBA5vT12B
t8LWbBo3PY7Eb0HpkKaB2jAawvzaH82B8LqkYx5NWOBlFszyk5ky3l8TRVLixmIEZn7oWDzXAyf8
q9XXzVWnVL8fOQhPZDNDgFEigXcBdO5cJGxu+9yNrHStqCwMRoxBfxvb/eCQPhShe2/Y8p7yscW8
ciq8yzEFeCV7dBLtGn09OLRd6i5ak0lvXwFngvdNokblFRaBy4ZoDd+l7XcReUug63DT3AvXrfHz
XmbPTRekd01p1Z86uCIPmHK62x4623rORshBgU/CoJlgFjHOWbBx1BCkawy4k29m2XIOtSZINiLJ
FE4Pj+pDP9OnVExDGXTKKL2xTVBdUw/GlZe2MHpThuW70HDIfaqWCKi6CTxmQ3Yqmn3H2n2NimR8
VKHTfh28KPg2+K2f7kzld8jrCgv6bsZ4CNnWkj+FJpEoKn2OpQoIqIIhHn9osiW0imjF9uico6yk
RCaVjMzIVi4Z9Eg/Sb0yUJds7XMUloip2eNzQJZ5DsvyuiU4K18ytAw36D8n52CtYMnYMs9xW9GS
vFWdQ7gw+TFuE4NENs7sxsKOVA3F2D2MCf6s7v+wUPzT0nb6HRaKiz/4w3/HQh++YwpStW+Q0D/+
m3+pNqx/uLBdMG8F+F9irGnK/6XacP4Bxw7lBcoCUAhU/P9BQtF6gErYIaDB2VqR7vk/SGiAQxsI
qOeFlkkn9VeQ0Ldgi2ejGAEDAWpdwr/pXN/hICGhSzPiX+8Qhk27wpksXGVx7fwGAFmAhf9AOszd
fIt5l89YeJGtwP542+xFXU9WhoyxTs1wR1v1JlOMcIRjXLXIAko/cC4KHJT0RlLfP/3wPj78cZUf
DSqX9/XTxcE7UKbw2AIe9tuLM30qRpz3Ba2BYL4faHhl/UjzVGKReZdZTONjUSpB7Zw6m2ae0u+j
QWW59bXvQPW2aAM6hhxtHxZrpzYI2csRDzRhxo6ZFdCB2kkzIIwpyrsmwELeL4bN37gJID5hQTf3
WEjvnqCpXUWLO4tDjeHNdnTlvCuNErF7MEyfagcWfGTlEKSNkl1xiQd8GgRthCfjRcoBqoRBAFEL
zOPCldnP6M2WoWKPvxAu+AwVw54JcZl2SxU8txAblxHer+/hLeDzxyIIA18Afy24v/2u44dvipgl
wF84ZS9n6LqM+3u8JBcLs19f6T22sCw3IGGGzSHmMKDDb9+4hyIbsxOudKaenJU7rR/WR93CM4B/
8Dto+N1HdF7eQD7MLFjiWGUuK/AHHNq2mqoqjYLrxQhI2FHwzOrivwb3np+fCzBKJwmHD0XSu+cn
NNtFgYn5QUPjwCAme1WOSA95E97/+vGdccB3n6vHDISNadkXftoUstiyxcAaPNiE4l7McHe2iWDN
TBMvboLJslSwTEalbCH2L0wJOPv5xsUQ4i7pqvlUeh5mS9PCwPTp+FeKBnNR4pJ+ExcMfmXBWDZl
bX7qYya0a7wsmJHH2YAu/8yvGBVSBCu0U/LR/OZx8Of08OubdBZnzLf7AmgLMha4dEEIt89Dnvfj
W4vsiODQWY+HIUNzW9J/XQRx1FwYKOdJ42gWSEK+joU2Nl5eYBgAefdQlFkHHUu1MDa0vsajaaA5
rfAt9ivz0bLz9NpDyvkcDGX56NU+yuHB/miBrBERMRQkMvlRcW+bOQkW2Ndu8FUdPyVxZW+qGK1K
Hu+srI+f2c7yg996HjY9tnfoIcScOF0SDvmI8gl75YNRiQkWUFpuE+r1fePI8J4ZS3aRGVm5qcjw
blcoZr8mHDzrssnjC1LF+xtVWEO9wtDQvSxD4IsecspW9Xjz+S7BQX7ny2LdYtV4yLXMH1qEHqgG
GEqXk3HjCYWl/TQtrhZJu43z1tl7kYvLSuYnGCAjft0Ywezeeolj3quuKR8DjLJfFa7q4yonDQVB
ATbosFqk6axklYyfA0CFTVDajI2EYMI9ZePlXAv/hm4fVlOYVmLllOlw0+En96XKCu/FrBsyHQQg
XJR/N3IjvDKqAuPMOI23RqCPxKjyq32r3ua2uBh7o7qWkSLjYkQqAueH6Cz8pvemyi6X54myF69z
R4Q4H8kBh/fSeWI4SEtMP72Eb5RAXYivjIKmiH9qztdWh9BnNfUJrBzOlzXW0QjNCLu66GbXedGR
T7osz6m6aBHxrOugce5zd1dhrLGF5p6vutpxXmSt5Q7ph0F1OyKOQOqmPwEQd2uZjwOvBi8/UJr4
MEzdLkmcWzuCAMne1l+gU4c2jCtciK28/c1BH7DRvqVuJ11cpZGXrA24IthGF92GTFgN3wtXem2a
R2XTSZux666I1Y0/Vll8BTXjOcEX5JC0rXkX4Rm1hfbziGvdi11W1QYbjwz7cx/s04vCnaO1dRmM
3XCsPGhIEu/CNWZTGIlmtbGCtIFtO850bFEdfpZlRUuXycU/Ixb7vBnBeIwwejJUMvFjxmiX2DlJ
qvhHyBVUnJ7F1Q/BhmMIs1HCHkiQhNi46WLf3uumMU4efhGXLQbyMOe96SUbGvO2Sxu0etWE+dEK
pz5FBqG5gGuNVZ+myXLpdcbiYDkEjhHjae19Y5IEXoranvNua2MzuEoC0sfJXYvWo5lVX3Xvxp+z
yOq++UEzfYauPxzLMOwvciIioXQo91KbZJ/VwHgYsaMn6LAyvzGmHNZRMU2xszJxVLcucD3C1nRj
1Ri0l2aMFwVZcp/c3qx2zGqSCxMB2tYtEAJkU4eXkdOle8uvidUcQRAqup2VJ/nbrOpyvErQEB6F
guLBjGwiOgCW8ZkcFWWIyXp8L+S1OeHZECmKghlMaqUXdpSyy3CTxpwcZ7o+ehn0qz3EOe5YH4OF
gQ03KN8QRwIFrjWbx1kM7o3Nh3pNekfdbfKohTFnKtl/txaKoijM+QBAqr8mAdYpvkwDqPJtdVnh
PnxvmNQX4M/JDWAZ1cnCDpMLm9+PBXzHCAimRnaINHI0/fwOAz9oyoumgdyFYYOXE3CLB2GX7Fpw
eRe9nVrYuJIwvYsauPHbTCTSocggEmaam6wV5ZdfSCSZAtLjNDnq2gFxOwYL03IamOyufSKxN6CD
EJ01BDakHskNfofDxusce3um87meG9/MgaJFxitlkTOJonmMfRh8nXb4JTmavH3ft0vviYvsqnXQ
d63bPPO2jiBx56wAnGFP7AGu0AFkfrHGyDA6UqtAvMP2fkUdqY89WBxwEMJOauD+IYXMTAAf9Pxs
KtDBUNvYAAllvYf07p1ajeBh4gLJxig4eWf8gvjZU+I9o2zT8QpuX3uHrIr/lccdzFwcbXSQWJ/N
0Ds1OaKroK8l6loblzrqRefkjSYsGjYFS3fOde/U7k7ROl6UuU3scJElO+lEyVZW3T2jSns9tG26
8vLB2wapiSlCJTDDSGIY5+jMkj2PP8i/ajesk0vdlHXPavbaVTtW3bRqYTBttIMDyKWISnAF5Hek
mGBv4ibX42CP5fzHrPN/5J3fNKzMdl1UDP+9Yb16aZqXr2BE39u2+bFt/ed/+c+21Rf/EFhcLyN/
j08D4sqPbatHEwfmHULGWebZ/2lbF24PtB0ICbi/wTuh8v5X22r9w3aYQFMmO/QALoygv0Dg+amX
4Armgllb1MX8uncVt3CoLXNlqAPhia8JPP29EUqAtpAp8g9P50/axz+7km0uY/OA6R7T47dVYkFg
tbtwzcFS+XJKUz0rHOZWWDl2vxnj/tmVuIZwcHmwXbaDt1fCvzaaNT7MBzyVOrzgzJumx67IJyfs
L9/S0kGQY8DlTK719kJ9UKA70LM6TJDx8iJ/JRvzNeOvf+cyXuhaAW/8p3fEYcHgxRsVgpJBbLFB
IsKFZnydj+nfeHSsVYHFBmV8aL0nAsXKLF2ZcEd9VOrL0ezgDksbAnf1l1tLImp9xL8272mx23/3
7IK+RAAvcB8ES88R1U93Uzw+YBvzoPo+3Pz6CS596ps+bLkYU32OAop7qG9vX5RheZJvU6oDOkEU
emDLhyzEbkca6YsZ0samrsb1jZnJX1+KoU+niZEOMTvwxN9e2NcSKQvSwwO6Ifmx0wBCnjDyByP7
LTS0PLCf7pEejF0BDghf9dtLzV3WTSmSsAPpWthcMfXd4oUfffz1k/yTbyvE5uTfV1mYMT906Is9
Sm+gyD8Qk+6dbD0+9CWJqPjW/61H98OV3j26IS8TiZsFC6Topo0/Zi+zhMD///i8zJ9vChAwXHpX
2Ca2HbxbHpKTNCylKg+0b3JDuYcnI6Zy44d5MTsUeGZsLMF8sAYEPJh6cTArmFdw0lfHHlNDH3ON
YNyGY0xngIr+61kDGmRMBkRgWrsuyF+n0IWLNFv9lQqaCGORM7mCAC7UivwrGCKTkZgPNt4Wjndg
+FnSgQj7MQ9sxrpRFj33JezioRw9PA6ZBcqpEvshYz3nwejHqCU73ClQzCE/rJkPtG1SbTvmZtsW
ivPH1sjcoynm4Wsdsctbrc9v9y2ukjGsG8KmpwsMwkRuJ7cgL4LYTfyk+D2GDd2jjLjpvCceTYpY
3aDCl5vWw+oFUVKEBZTVFYJMJ5gHez+C1l6bSNmzGuAM1o5BU8PdYQdJfh6j3jXOIjbuJ2wuSZwC
DzJxX1fonHZtQvbOuheWc3RLCJYZ9PiTZbZyE5ZwlUMBfQ0ff/sxTnrvNMZW9hyHsnjwB8h6deOo
J3oD+zHi3rEdHSxmiKXbzfymnh4mCRTjFseZ+NaZ44CpGAgxHpqByg7GfHlrGGn7HPFoTklWqxu/
y15Ni3faZb79WIbp69gM0cfWZ9A+LFtj0kB6mopFIKzhisd827gnf8hoLe4YvTCjsbhbfF3SPf0j
hqSejyFpgd3ZMY2dEIE3uezXsaNId/Pj6hXvcevakhkPsSs8fPqMAZTxvOyLJnaPsxmFl4nPI8ux
jX4kLjFbz24yrUmKi2Ek2NxSHKT5syB9kVHdIDc0sDS0iP3lzJB3cfVLkfirKwtRmNj4ScRshAGe
2NpWz/wWfz3IGj5yn0uDcMTH0Ki8e6TZ5Sum6/LIPU7bCsuEFXxKZrWZJR6YS0G8x+44W3va9EgU
dL2ehjBJernrRigielQOQXvARCtctHJvNdr4A66MGNYLZT10Ddr3jXLN2Vj3LkfcPJHs1Dqq71Ze
Majkoa0M6uMurLIX8DRjJyq+Iz+QtA2p6Iv9mfk2aNF/nvWc7z3VtcVuMLSd7jIFYWs747xTrzRj
027lj7n1ZRaq+WbPfFsuE1VrUwxe84nZsXqKM6wMzyPtEhUbs360lkdYgCkK/gH+qZXzJrwkzp/r
2K6OpHVUqB8be53r7BX1gMB0x3eO/BCc3OJy2hhTQ4uR4D1yHROpsSVDQ+wzgzfUORx9ncOuRjoR
GDNUqI9Zr7t8k6gx+V4pvFyr3EcMB9UCP3qr+6yaiciWUpZ6ifCrtnDhqiPu3a8NHkKr2mgxEFgy
IHX8ve10sEma8WNV24dW9l+6ZEqPZeWj8YqUf+IoDG6TJU4Yp4hxi/6nv6LtFQsapXaEdIPzYFz4
GFpqPpli3JUwZZBcjBB5yiEnKxaFf7py2oJFza4IK67AEabqMnHjUFSiseerz2nhN30PaOQ02EnO
mt2tHNp+j+VbuVYu922X2UvaGOFNOGTeSwHrF4NG2AsSp5v7jCiV49ixonI21OdO4HtiFtj89RW3
7zUYAq/A38RNW3XD18bQAIwxUZLrxM3DW8vXNcPP4oVMQfRJkEnWuJcuBrsjwhYMQjf0f6BontOF
t5jeaqR7HTvZudLqhK73kOq6DVgam5jdyY0/cGmNqu6QNmGLR4c1fE28CkFcUa1i0ZisYFpxnRY3
jmrlLhmckJeASW9TL3U1rIVTAWeMnbwmKXBVWkSv0SWv0kjAfPNRSZ13XRymnto8tL6bA7tVv6wR
D3rGNdgBjr0eMAG9IoEdA5UE1MjWu85ib9egkoZkpe215wAzExExrvvZl5/wAhJ041G1GU3murCO
hzV5iuzchan1gWTZChJGHMHjrKoj4czlbdOx9xgxu8cg+OjzvuSZC9ntnMyrkfH1KWaXtvlFWCTP
oJOiHpUdgWFNAdvB7PdZIsW+FDEWkjq9cVKn/4xXbnMzjQnBldn8mJrOgPcMHlIh2c57d7a8wwzz
Di0oHvoK5+cPRf4U1Dhb4p7wytQLP782/cT3TPysGR/sUBrbJC7rdWs66sadMDDhWIyXIf0Xw5Pd
yg449HLBaWikSfFQV+y8umLHMcnvvE9NS8n1zCtVf2yyvotvMvlEFv7KzrDK/RHjnNCFsTYxED6U
tufqPUrVlY2Ocli1jchIIi4KNrOMJo/QSzsTsPtiM78gH9kU+MoGkLZyvTAQ+xpQvlBOWuJiULcm
DIuhLleqtD81pV0eh9opj7AXTYU4FK8R0hSAHK1yskF56lEG/mn6o8NHmajZ/8pgiO5qZhgD6t4s
MfZu2pdEP2bCwf3eLqM+POKJI4nl9juHZAVqcd2R5yl08NpMkGYACPPyu8JJEf+EGDfpMFA4hU1C
LzIruD8wnNjXpzDIydH9P/bOrClupE3bf2VizjWhfTmYg6mNYiswxjT2iQKD0b6ltkz9+u9K8Hxt
in4h3vOJ6DCNwSUplcuz3MsghuG69oNkJXJ3jHDhCZN8O7SpwGAWnfEJfIrV/wgLs0AOSJZf6QdI
xMAsH5YYwTVKJW2gprMaK+lN1po/3XDct3lOk0xhuYTaaLqzadRv2DimL5jAGJeWUxsoSQUVsqQu
is6sU5tyd47Uw4hpwt7uxgFCa/xQIOe8DWa7ABEAFRz9fusevVB5wP4AdB70RHNTu/aIL0fpLAeW
a/KYlAFyLYWFnmQZyIjQ0jBOMyBP4S5IKPSjLcX27SZEJ2RLOGfNblR6G/yaxR5fZLBJofKmT5p7
72zr4PiY5P4mDB30EpC5fxth98uSuGNvlntoZew39oyVSTJiuhMK4oSB0PKgHANZZHshrigioaFW
NpUtp0Jaxoo+S9R09+ZNXvGq3Ie8IRUKkt3jRA1fPNYA9wO75w5AxblACHwFhuShLsebWHHMfZxi
6Gj76IIWlCeuBBWFOsdR0xEwqFchy10CoyUIq2NKuVYNwqyu0+bccFXzGZr/XfgfmRakZE1+wUTt
tb/1R05TCwIc1y8wOgdSCpC/Zp/P+npqNygxPlAfj7ZFnxIPeuEM7pxjZ24wADtJ7dnaIdZl4FVJ
M6VZOvBBPef6x+Ph/NP90apGQkmLVr5LyluZNUaIseU+rSr3bJz66rlx8AZbzQMVeyxKXYLtEoh3
vkpzazhoi6SVhersVWsRaKOB9kAoU5+FNtIkyibz7LMW0F+pRu8crHF0gcWAgI4LnH2YEHHGTz72
9ticw8KUJK5bN6jirzRS3Qd4YGjeUBieTlBKD74gfMYBHCtZ3plZlv94ORXrGlzCel4KmgEfj4X1
rtfIu/KIKE2YUh6KUEeTIxmRluP0KvaDT/fFM/qGymierGfHve+ywNgjjIHKFBI4O08gRZeI4dVI
8V/a2r3Ls3Hu80Mb+ACvhGl6dAeD8me/zeClR+TbJx5eaeetO3+2DbyrWHAVChXwXAAr4Bd5lJKO
2MzGft1ke5qJWviAjatufcBiSNAkK7/ABVnlJA/Q16f7j8fYfj/GhCi6O27BmQVXc3Rt9MrdSZRz
ukfhH6hJ6SJwZMRx9KMaCY3p7HnqKjK86A7H37siUt2z0XrzdqCBTQGfXiT2cPQG6ZqWY+igR9MS
TmKRtCf+RskBRuRTF2NWeGrEPYnry93/X736k3q1hZbtH+958zA8/McrMuvwUP367//8n/KhLx7+
rFO//ovfZWqACJhcUqhGY4K6Kay8/y1TWwGMUfAS1B1BOdmo9/z/KnVg/Rclal1mpciqS8jMlN9V
ao8feRS7QzZUSG6gLP6dKrWuhP9xJujbsWwq1KgvId4NtfVoSobBpKpqNN1fKWbi+XNZoVFmbmZy
wW7YDENuq7u8TLJh1ysHcbYe3VXvUcZlW19YDU0/e9caLhoQRRcaCMjX1HSgciNGB2hAmJWRI/Dn
Qq7GkC5Gpo481Jk6uP0OtafFwddg7O0rMFEtuMXEBPCK3OgYYz2ZjwkUDRfGCPLiC54G4YmDXkJH
kpvlXiTWJbITYbyrp7xvsZrtU9pQnxQZjzZFV9eEqaizKcHhdLXI0tuQoel9i3be4v1qeyzNUdHA
rpDWuHCxJLuMEi/iktLK6uq580WmbimbI9O/tlMyRGwmrDn5TJ3qaA/hlgII9wRFwIbgi0XH+1cA
K6RqepE8WSjroTEHrro4WxA/pZ+XGphaF2DJM/xgtDp6SBSWS+TUUCBpm+KhwSCLtDQYQUWflebU
m+kWh9Nl3CANw6vYDlCHlrsUCIght/5SdP5hWQrIyNsqcnvSEzMBFBt9cvi83fnBFzLInhtFUClx
SGYtvB3mOKXgblBQIyczlP/VqzOjuanKuFmu/1iZ16+xzp9IO1bUn7OdC2Gi5brwNDg8IeXqDfqP
gESVVRctIPWfwBrSSdm2ZVy45so2WeHSIae5mvsGszTqAl5pDOvWSoLppsDX5bPg723ooR/Z0S5H
nLnw4iDFHQV/lpMoMv/cf6I4JPwDfeR8GACZG6QTZwnK6J7/7w4yDDf4hS+9MtpSelP789kNKzEC
4MHOY0kZu1GbTrUGyf+Exa36LLLS6+LvSFM/HRsXUSZnHAVttr+318IrqSzazLOfpJX0mfvLxowj
TU9jVF3yswQuEENcKn8cP+NRvptJmo7r6/9o/bHpHsUQ4L56EeVF/yhNwIXLKg/KcLqJqd8xuh/P
Jev9K6RcCtPfh5vL5m0eDWjeNBa4Abt6wojSq4J9BgnsW2kP7FFYqJFUt1cyWmKzumgycmNz601p
sdzlfdASeWCZHkvKfXlcRV9wEaVnuU6n2i4vCqS8QrUfZ9elnfLxTb97MQByvQh+Am/HfC8rYGFR
ARvMrB9rNQjuAiOgIn+eLGV4901T+Y2zifGJo0L18XWPzJSZERoV6oPII7iDdnq8bcWI8MhWeMbP
xTMsqEpR4GXA1oOQnA+LEKe0KW+wTIrgQaVlQlG8E0JEeNEb0p5us2qZRb2CG7kMPxMUWiOskHxE
krxKuRSgPr5b1sXRBOYG6Q/rZRLRIiYofjuBPdIkUY2i+ZmGGWz7VY4Q73Ld+xLxoxWGdQnFwqhv
e/9gILfNauqRW+MwqH2l2Cyjwk3UIxOwyp/9Hr1effy5Be3ZyXKBRb5uwEC22F08CW7ongAOOtJ6
qoKCmTrBauLt1GLwOYYRcMJ7BHxUrLdoo09TLmiTGVBZS+mmfF+UDiFWHaKNjIUNSIVNHsFuv8t3
ttt5rO8unTPoemhQV7/8ebQyi/pi3C/XLP/Iuyf3YmrSFMi5R6vNo3okNxyte7jnbU67w5flcrcA
JZluJ9H50w0SnyW/m9Y5O8gqTf2Gd2an2PnQi3A0yWadO63BQo9DPoPagpnnaUI/psYIbNXPOBoh
xG7BRU1xk6V16J94EyWsL8McaBsb1cmcLbgXbk5tPE8iLm1kc8SvL86sr2YkqvUPTlRk3fcuzLxp
H7tkWZelW4fqZLYAcp2nnaHGs1GOkrkkw1jvfMjIWeo8nPqUw9Kk7seXLoStJvZt2A1UnBskuIti
//sBvHxIedSafr+fb0wzNhhQz6yZfj2dKTaxsgpMo6KoE/t8yYIWSZp13xYQOn9/Rtd2sHPRAvKy
dM2Ua2a5AvyjbdBGrF24tGwh7Z4pp+GZktdRdQEmMXJe2I78wjzj0kyNh7o5CtVppK/oGAFRG4qP
mJWvWhVAWtqw0evp0kQDp5ZTAI/pt3ns59UN8ltNEOxyx9HTpcXSmzU11REEs02CQhbvzJFgDp+h
KlpxsBsSKqVwilyZqceukhNjiL0cjEyU+tB8iL+GJelkvlmCEeAvSob1VGRUsrGWCTe5JR1+poCT
6ofIo9aXl50TT3WybShCcseBPbELbMWCYHC1RZNLz19B+4/vkhA6zHQW9ZPLpzSqcVkKY+6EfGck
Q8DZJexm4JYUT89fznST+OKiz+j6a1J+lqBCuICZ4iy+7+4nP3S4vRx+lo7b4skEC9sjSuDdZyNG
5tka1EbAbeH1pse4m0AGPo9yHhnOJQz0nCsJAd19PkgIU7vE9PUU1aH1dNuGNX9CLSpZwEE+sDcQ
Oi5EGXQ3WOdKqEVvHsjaFg90qYVe0uD9+VBhuhZvAqO5kS/wh53plm4T+tNbSDd0JvaTNPu8upyg
2PKBneghma8XYjE9q50sE8OmLSJd6JVhqZXCc/MWrBc9nI0F1F3vTGmJsc0OEtgOSGTSOruhUIlr
4vu2wChOJrNdrj2ldMMl7On2u9uomuF3EiggJ3LwPZpPgDTNoezMNYZKTnbVYHwFDI1YXb9hOJqK
hqvNWp4o91Fpy2CoCm2nvJYlsMj5HDeHgHtEV4J307mo6HlYyVqoAeC1lauk+QoMOXYBw/ZNJMO1
b2buXG7ZiNlutnCksFxaJy1i59oQwA+Rq4ptf0gRyMtHL0lWYcE26z8uM0TfVG+2imeOcoQUaKWI
VKZpcgE1YrSCw4DKoJ48GVVdZiLyXtg+FirW89IcZc8cip2sK5LzZqECRdfFnkZhHRbPYavEWItR
2lQF76NeSRP1qe4AT9dmy83rbuQt1RY6QcDTFIbc/jrqTL0LwkqFzLAyszYepp05tDO/SQrT8bNB
xHpfKsypkl8ilNyYSCmdTLan1pU+44dHH7sDZhEBa8Gyh54JNXXCoXTH2+8U7VaVMNPDsl+48VQa
I5d2LaCM7Y7tkuNoUm3AKV/BnWPlhW6pD9lhGDumo4QR2dAIDoVif1BharhX0oQ6QjdQVZ4L2GKo
eaSwQa1itdC34fqmMRfqkU4R2cjvPIRdXw/OjNkGrYpCsKvS/Erz2TFOx3wBQ7QKkU7doAlax1vX
HOPuK4V4Hj5rOPzVdlLQ+9tdkM8Go9RUacDCzvGHYPKEGdreCJO+Tmtg1/pnym0cJi7dJx04+w3Y
63ZN54tDC+SLyRg7gYjEjHdQmZisTyPJWLkuXOkAobHUQh/Szth2N31UwJFHpMBS/g+jnkvx1axk
eRsBucmZQwIG/plftzBSEGYe28e24ow5Rz3VcC9j7tRZA9/Muh8Ze+6yK4K6KZ/cvFzETdX4lXiY
YSzMV0tklOZqxu6dKpfjzW1Nba2OvHbdwcjqx908ezikiy6NZbPyK/TQLpySY3Ubh8NkrTveEW5l
jQw7/LbTehLYIScS2wlC+kXMCqFyeq12tEKrRg3fI9sa3a9+OSg3WWO6UUicEUpbxc2qjXj+mHmK
fv/pkHKSletgKedl2URZuZhiFwMsa84li4Mm71BczsBk8MGMgsTZeARoy22S2wAcMkC6wVmPmxM6
i+5gW2twzREwcD8Z+kjrLQT52sSNWawTr0z2ge0MG3w75+U8jmrTPLFmi/pi3CIXCjAT+YAMAL3j
Gddt0VTut5F+dt6cmDQ72g4PY1PKWzlIZ7g0INobN67h9nhV1czqlSd8X3xDeTaptSWfH4j2JJQe
XVbYRQEsgEiiwXcSZ0Mud9isgVNZIULt2Ejli6Xvwp9WlYf1U4rL1SQ3mJuq7leUe1CE1mPQNgFc
794bQKjGdeeFm7EwvdI/iSuj8A+wvIyiOJn8lrA2/ZWGNQAOi+5TMYKDsbxBLf4WOQnHSDDF42Hy
69/Rt6lK9IBv5qRqgFbPTaYPVPwwqtb7NisPc/FNG+O9MhFPmQkxipoCj2gsNmcWjAAiz/yvDZET
QaEcOOljJWIjYXF3oQ4fBQc4yyF1fb3DQTDTEWZmUG6OsWRHd7/UD4Yg+/nSJQYhqZd2E0ePhxwr
pwzyDmBUTlQQ8Jlw7Bsd/fl9oTMHvEsBLK8RcK5oxI9dlfn3HkZ83IrVGkERnaDwTa2hHTuPbdLr
Udy9DQuDUTpBZJUomP6bjqIjNbfsZXlI83o+p2UcA7hwqp6+2WTV/uLsQRuVhEQgLhz2lGrE3h3J
BqMMqTd5XiX0hliVNmf0jG8RoQmtt4EBautAn5y0IyR3ilZfwLXHYAma5euETCI/a2L8UWsSsyZm
LfVeI7h/GpJ6nyzcoORX7NyKuKM6bntLPEQi0vFqFE/sNjbgAP8nLPa62flYcGMx1eQTxyK1Wh1L
1W2gQ5Y0GvQYUdP1B+t5NHqFRwbkm2lEFwe9DdNCvStGoxnjYOEx/OzhSodIL+Uev6/0KfX7BEPC
i3EssPtgR/OjWd+95cQGAwmdOY8a/GUqko5yNBhYtplc38HYGynT539HYulYQquxdbAcWAV1yic2
1eBX7qawahWiMmyUeipmKDeRs1R4ut9DPKT29PoaOTAt6470bxxuAQBKnhjXdot3NKIcYAncBotp
Tq8X5Mji6PtUINJB36X1k2oGzeP50+0SULRPV9bS6uKTEOjlpqetWeugwsSAjhB8tpVO5EO/Y7JU
1OssiUcR0hbY4xZ4gB8wq9fR/NS0QoAoa5N+Cq/hD9hNduHHAdr4e7W4eh04DkwOaEYFQeZt2bt6
iXQAqSh41eCreqx4XB2o0YUiPOwsPcGceMw6+6SzA7gtm+T1dE2nKeHQHDFNYkE5TksU6DtCx5tQ
+piPMf0jImuTEcif4yWo+Ya/179NVCKW67kMA45LK+W+bKxNAx0aFv6IaP/GwrKPm3ldHsXg8V7K
ccad4kT0bHzVhSMd2FhTOEPsQ90hgJUOaom5UK4zRUyQ71zh6rlb1hjGXKKImkzDJimRzh4xcEKh
naAWTVHe7YitBteqF8EjmO2U6WKFpUPraGpI+eCCZ+IBGE1GUxkNpHZgc1Gz61y4Mw4ldMM9m3lW
mbZOApF9IGNDpkK/kN6NCC9JPHnPg/IWde7MNvkTEkxK0tyzna54mFJLMijxa+TTJ+ZErNE3oeBp
M0l7BrTEa0YcLnVEYCCTxCT7qqED8x2OVRSOlWEY8hEf0m65xnLNNNdOiuKVtg4QSW/skVBzxlv0
xB06P8aM4/C1gXOnjtkhYBKFCWnpJD/Ac4u/TBCpmG5jtGF5a0NFQRfFiNBYEJQRk1cTo0Res9wx
6nrHXayOnPe0Q6pg7nX+wHTyPS5PaQ8TTz62ZU/2923gySHdAs1j6u/RSUpJVQogG4+vS6+eaPAs
q9KoIhy8FbqyfQcRb+r1xMBVgNtExUTpKRmYqFlfma6UdceALDrjBgk7MJCzFeglTractJc+qmoE
r2rOk5MYqtH4BRDG0p8iRWKV+7C3ySk42AyX+AARk4mtE3pbw8dE7oCH40ne1ToSRbSWXRzpnZes
URYJFJXTLp8sNikC/tFf91Su7HKLe5bOAl8TizJe9E03wOdUsmaVKd0MDRcyXncKcyY6SZLJ7J/T
uuaVZtaob32sJSfhFrNKkIcQ6mq3uAxaiiP84qKYUQhj6Q1r4DUa6Vpie5LVK0id/UJnIHXq4sFp
pM7Q1evOEcleB7oVtls8y8dVo3+oGcHoRc2Shk7gwR94WzMKZYOiFSbiP2U86DxzQmQp9TY01rsS
6vYoeN5PLnlc7qRMBTDYA2LrWnZI4PT2krhY1aE5+MNPz5919+Z1apShoSu7Hz/d+0sFsFmhDuuG
Ea2po8qqja0SVC2n+YlUiN6fGtDZeJhKNmv2ro+v9VIN/LN+bFE6DiC+IuPoQCQ97rv0ptWXc1k4
P6VTjSQyY1rZzERvQFVcrVMAE5yFwK/YNEbUjXuKKFPZQX6H0UTeTRVCdzYiUl6997zuzL97H7VI
dIpQB17PmRAgycx3H9/+u6FyKAsT2FomkgIWFplv34oUcTUkc+A9DJkluQ8OKJ0WcriSQn18qeM5
hzCda3Ih+Cr8Eb50i/5oaGAQVc+ZPaTfi4ZqwVlWiaH6ZoN2Fhd2P3wi2Xr8XI7mLjgkVj7it4g7
HM02sANJlrZ9/2Pq2ny58/JAb5Toj+mN6OPnst+CY/SnQ8THUBjVUIYRD7S3Y5jM0ixLHAC/1f1g
hpuYbH9Idoh8ZgSGWT4zmBAoloovAfkNpx3qN9EdsY0nwhVcVc60cyIE3e5qZ6dk27YWV59rGaLj
9zApqUAgbpfqLFAaOmoOBwiC6SlWu7qqUlQUE28nJDF5OKPweHUY1OjCKnCsRAch1ljI7tQw0kyV
O1SzEvcTH5Wj8WYMIiIeyPgU7DU/5WgMPGQDI4CL8ttY5Xoixw2VvWJl4OTxGeHG0cv3jxWn3ynA
BJ/+pB9SBjsmcqCOTQnCcuPbEJqKvtboUWkopk6fjCMcHeL711ZVSU+bUahlrYsKv78T06gDamM2
GVzPDXT6T+jUsrHbVR8TgBtFPhrLRR+3KRzNrK2K+UQ5I/HFtqhjoskMwCmn+O86OcVVXXM1ytwm
/lhCc+FnU1PpF74AYPPujZdmUvAayaPjo0siyMnrN5lbLPIZL+NOv3dQkroO87viPL7M3ZwSIQdl
HJMUAPiwKtCnn6CfwrevLwgCl8aXiUoB5AX0+I5fX8cTTCHuVY/l5AT3uUAYb2fTTdj7RYjZmYSf
vkMLMDrHP7WMgWnHNUjIorxDowEtgjoca3oMkHQjQ0GhhT7ZfYsJ93rEwdB/B9o82fssyr9UVKYf
pxaM5coXBqh1Sp/+1eTFzXlqZv0lZNt0IbhNoVsbfe78tdB2mc5iASp41ZaR6W5IsuHOLMbAWVrK
dF73kbh2fVSMdm5pOJeBEtNmaFW3pYVU3uGW5Z6VpU1RLW8xKtk0xUzFe7DKHzQZvXMlExDz49KZ
1sZpRXBrczY+tGljeatY+CkRf9L3JzZaK7dz4GCS5eAvh32b4dbAuj0sOUY0IEujFV/Bjva/SOXG
fS7HfEdVTbUo09OLwQ4zQplrhNFwhr7TdpgjVOLCNM//GhElpsgUg/geZtHcLjnQM3ZrA3Uyw3DX
pm9+cQdl/rTV0P9AAs79lo7euE6lX50XQZ8h0a+yT3RX327WTAi6MGxmHseDhh4dd58B1RdB5yX1
E+9LXgPbr4stfGC0THxh+t8+3kHfLujXiwXgShy2D3RMnaPNOsaDgRA2qp+QxK5oqUvz1qopR6yq
qricXGckXMK76gsV9aD4BDfxbua/PCatbSqcbOLHx/fo9cjYuKJ66uqaOA9pWeQhKwd/tU+OiZdP
+nvbenlKzSty4H+gOxIdx1zShgs80Vp+smCBTyvH5rhYNcQH2UamZXBTA9bV8rJGuzJLL2o3zoSX
1MmUef5GlgMoCbAt/pXwRXRWG13wjfMWHUPS8OGuqggzbbx625U9WO4XFJnr52p0wouaasaXyVb2
X1FOWLeyGgtscVIkVw4SqynSDZVPslNQukbjRTObIvWUNwl+vd0oIC945gMOPc564f19gqI7wqww
JDoM0PhWG2wQAk1Hp4ZlBL10Q7U8YaLE4KeZk544TV5iuygfaisqvztQzDYj6NNyhUuIv3cRJag3
H08/T1/mzZsJNLZJt08RguIYP4LOWEUMoYr6ylMyUmcj+xQFnlNeEG16iop4IbuV3GOKLEfsY9uK
4mhT7RvSvMup9acB4HBiXC1W4u6dRZFnCg2Tg7vvrUVhXGYYfuK8o05qp3JuKRmUVw3suWHlU0dW
62WQVCnzpo/XUJOCG8iScGY0m0P5OfD6AIc7FDG9fZY07VWF3dKwaeJ+/KnKdPyG4HfxxahDDghf
WvPOsQfYLQ76e7cznt7QuTqTB0ilBVN+SKiYBXmXUzfkTPwK2Dq8wGTI/cuiCIQfaFF48pNp/7aL
zytmbDHbJjr20fx4R48dqaDw3oP4qctc74CFa37XZo5Sm6KrzYM11+zLH79O6y1O7OWSxAZ2pLGZ
IFbco/AfFYRSQIbKf6EpCl8KUbeKGEEZ5+T1+Y663cBO7yXiqXXM8i5L5HCRZZH5Bc8dZ/fxvbwI
L7+dWoSabJ8v2mPYBurt54+gV8w4kYVJXf9KJPU4elFN/AO2cDptukphQ2LaUJLGqtG0KI/UGt9G
39unoMc2pBVRhLGMgUmkaPzgPhvQMqBSQsWpNvr0svCzfo/yiTzguosmphck7gohUHte9ejO4scE
k3dcCSts1vhBee2JwbDs8mIwLiPfmviFOTAuXtSUFfKsSIN4WbtLZk7vdYNP8EVFV4SI0sEBYIXF
Wk0Hdoa/M9EjuPMmahzEIv1XEPb1aVqVjliJgO4yM5Hq6tonSb5GU6mmQwEARdIAoAw7IPACT5FW
4eXcRn2/ajJ8WdeMX2OdatlZcWL6if0XGg3Z/YjCzLObIfOOdmIef5Ynvj3kXLI2oCoR4DSwaTa6
U0cThcJuZteUdB+iNHRGtY9VmM931hLopN2Pk/nTJPgY1IVJo4VYF/YO4Djsd7hh0fVOmIAoemjd
VFdNBkn6fw3QV5esbPwz4CJFdCCIYxXfE0sEprii/lJ5n4R8b889sE4eN8HU1MBNj4Ts6NnnepDT
HCXOD7qkNLMUdkTqMeQcZif5eA0cj7JNRMnTEndzNdr1R7trQak6dKzc+jHWTVBcDm2pm4VZTu9o
j+SPrmN/fMGjfIxHA5jHeU5qAOaQhvbbNYc16UIIp8QPUYNcS7fCiXXhhTIN5KB1LIi0Lc6aRKXR
Oihg8antxzfwQof4e9UzuGQo7D9kKUEY8Oj22zugb5XC78JTqEP/BWog6LoFj+AO2lB+8lpInUSq
i/VIQuiK0m+YjoHXB0lGRTBLdje/Dk6Ve7rpDBhJUVdoMHYhv1lwbyIb6Iu5CfsN2YgRzqvMKgbq
R8Hs6fLdpMYG8kgam5QiCDdIpzSLZiSZtGYhUdqC91PnMJbRMx9OM8Cu4UJ0bOhqbz8hzKvWsCcD
+io9St68MyDv5JmoL+lcum0h9dJ9e4UM9TQbyPfwO9Bl3BxrPV3wsy1dvo/zKidNMyFeMv7QhQRY
CXuSKN2ep3UBUOTj4X834UDLo4gBdp2z8v3UHul1pIa5qO9NCptK7JN20E2ZaBl0TfI3iObjS76N
YHnhFH9gqYAaQzkhDI5TUqB76OL14fw9SuBuONsxwzf7krqBXRgHsze5Ay0GTUK3k2jF8iIQ3td3
8/FtvA+oApfCB4hrAHNa7PIooHJsOqGIXRW/QvQBUCOeo/wnKA9F15AzSOuJPC39GJ/6tfFTTfkM
c82f2uqz2/iHExgPHuoAEGkil5X4dv6DlOqrHqLorxhv33HzcsL4y5iWF1npD/gTTNFtJ+pxB6c1
3uIdLL9Dfp2g+WNDffvJmPxDBAKtntoysRBYy2PE7lKN89TIIv+VBKb/tfOt/saG5LUJKOyeE+iP
h7HshrMW15dTtC2ty6EOiMyDcpDXOEaGAJLrebrIjNF5Bjnfeauwy4qvn9zl2xmkgxYfvKtHzAJm
mirZ0ZBNVayqqHPHX1S9u+Qby9XroRKiuD/25nSw/amgp9QvPkxJ4TXP6WIGaIHHdjufOEHT33lR
mVyYwVx8s4U70iEhrN1B6SkZ7iTHIrGj3fv6ov+PZ3GrWugSD08VooEoDIvscfiTNYE6hI7k/rUu
0E3aPP36j9O+fKif/uEf/q1mS8kVwD4rhZ3jT18vWBWsHF0vDahyBWxxdSOG9L//07X/i3/BksJK
mXqqb/Ojv0WBLJcZpGVx+et/QxDotWb59wmmq/SgWtDp4R64L+e4Wt+JZBRVFDV7UjS61SoF7lSA
FwbqFoEatL37uZqmS6oe2Sof2/sy8YxTcw4OdjOSQlVAxzZt71ZfIoBp1+Vo3iHqBjWxLTkeGncO
NwuU+lNhERS7ygDoRwSqvS0PLb3blS2t61zONKyd6tKfy0vHmE/iAXv1QXjReiSsXpUT0I1JZM+j
OWaHinFEGRBsCmFGB9KHI0p6hMKZuZw3kXnNuqc8JWaIBeAZvYL2m6vA5Q3Q5jUXtQLmvg2a8BA4
8gQUXEtHun6OivpytoBlS9wf3WzcuXZxCR3k2s3VuZnwWyI3VjLNHtAKaTZNtzx6Q3FWTtYjXN37
TvW7poStLqrU+Svu3H0mQn81m7DsyPgWKjzhwRqc+2IqHwK43TszmW9MUVzqERgqtDPconzOtZx4
nwz5ztGsdwfm/WqE30E4Pt0mznwT1tIHquknp7S/HucY/IKV6iow1qzAOE6XUpv0zDQfsAZau152
Bu/Dpgklb/1U3cyte586xVkiywfR5bAYvUOQ0hheUWLYujyQzkebQV1TYQt2yhl2XdTCOXdf+BwA
NohQV3Tb8pXdMFB2Ct4HJTVsGnQ5MyuQ3KBj25wPkN63L06ablo9jBY9flOhYzLQ1V3ra8ERUVvk
za/n3rwe7PkEUdHzF5UA+qPnwMFg5RTps0P7butZ2WVRyHObl7MPUa1f5RlP2EBIW2LOVpA05SaL
HGNT9FxoysJ8k8JavAClcNYoMMQuIhapJ28r09tIVeNukYIbgfL4gOMjUFlbPobNcj7ZCVDMVGSH
oiMNk+bPsHOuojlDBA/2p0Lbf/FGse8kyICOTD1rQZ8IZ48jABUWk2ZPMVAnGMfl3G8UXZZZI0cc
FE6igJkAUByenF05q7Y37+rEeowcpDUrjY4YkvLMojndifHWlSUda9r0pt+AL63krRNbKQoMSDUg
QIJmhk9n0bIy0KF63MGfHDAOvEfvMN/5pN8t5e4dRmO3Ds+5SmXAVHT8+ywQag/VBH8lSx5a22h/
5LFBcJyTkArNw3Y0I7uUaAOozvXWAFSmfadp3F3jTafgocNThEGNqyJV5bZb2uqqNlq1M9NyOgNz
1q9to3QeB4jhahL+hRUW6AysZJN17kZA/qFtX3WgcoCdP8RBg6Ro0tpAlHK3q++oud9V0vBh/rh9
hFyCna1lGh/cuvgBnhADEVnSd/WppeBf3aIfve0QG7U2wKr8fJVJkZyFL6XLoDuURnpdN26znQ33
roFpQg/Y87bT6D3IWonHurZHVmWebku/W4WBylctNkK7KkMCwlZNfG0NKPElNdN/ye3HBkUpnL8p
vKUTWFNpAyYJYNtzFzFVZaYhNEdzI8k/r1wzGMEPMOlUEdwHhn8Y7Q4o8iSejVmcQz/+JBJ+G/ro
XZz2bhRS1wTJCjrwKPXKct8dCb2bPXpNxcoBOLmOQ3nIvO5yQaDkk7Dvbdz9ejUSadIeSMBobR0F
n5E7j3AKgnpP6wfEkVWc2aWuSzmfNnjfBksvV9KcJCzgTAK6d25ncxBIJ4/bZo//8UMUsxvq7Ti3
ZkDhWJ00p/yfufvjAL9+Pfv+NR/r9zVRkKehSJXwnT5U4tRUCXr6Hmrw0q3XAzqic7c2yGJnLXyh
nxdnn3PRswF+fGnHIV5+exoTScMEA29IWf5dRQtDqnnJcRnZI1rmoLlZhdcAyUHR9+Z53gBOgp/1
OPdy2hXzNJ3lU8+6jWoAIoA1Up/KHjLSY4Kk2oLySqQVlCgGb+1wPp8xlFgh0qYBY8zVJr+sfbGr
AE7JKrkzgdIhu+UewMwDQ2+AyHoeNlgJBQ4QqWwPHz/pP0whOhtYn0PyJFw/LgjbZRZVje3W+9Tu
d25jXiNWdV0taA18cp1/GlGX+g+hFcnBOwo5Dt6h5IfM1ah0T3t0a5SVuVuzZBNGGwRsbUipIkEa
q5zUdTCY1Rc8xzP8ppPnTiMVdahChgy415bnOBIjNTuPt0YEyUNMJ/S70JnFB2mdJNogSdryPvHQ
rsCcC/N13a8ZTdHf1IW8k4Jjf7Qz92zIQvx8fGC2bp09xxT+kQ2Bxi9k2JxIA0QW8J0wGXdkshze
rbNPFcXCtIbHABl25bSShhBJuT0u14HqnJVt89lIMf8Q2mEosD7VJfiHHQbiXIhdqEkyC6PtbaaH
W3IDA8Kp98tsvYQTkp3Na228xmZn//FLI8J+twrAeNJuBz4SvXOZBHyaBaWr6r1XTDe0Ps6q5rMN
8yUzPVppJGK2C+EdNjRegG+fJ0tpIpemWe+baGp3fSbttRsvj3qnzxZq+ODezwrb3UeGfQBBk26D
ujwzZPxXn+c/Q3/CNqaaBKTi3NmTX3PIRuxOcGwuLSt5RmbG2QY4Q+1LxweO4CEwM5pLf1Fm/nYK
22/09TVENUReXGVqXWo61P9j70ya40a2LP1feo80DI7JrLsWQMxBhsgQSQ0bGDUBcMyOGb++PzAz
+6UolVSvrJf1VpkvRUUQg/v1e8/5Dv0ELP8+rQNT0dS1oCzve/hLgW6m3+ySR5Dj6O0wZafMjpHr
OZIC1Ripfg2GjxjxyVrrrlVpJlthLb+ZE4qfvLF/dRxYh+GXmt9fMAL0ugnbQHkwcg4KQ1Kgu+zA
oplaxu+ccAVSyq1NPnuXwnZoBrVKDxajeNMhy/CirNxqDo2AMWII3mFh3vSJ/n4E2LXxdHcJssG5
RD06QWAUl8Q35cZWrER1RUPHlfMT+r3PS6sHqZu+nSyqQ7/hF1batCe+/QnlFpFfGM/2Vj7u/Xq8
xrbTgzjm+RQ1C1/rMIX1NSExGaAbM6EK+bUafiOO+MlLwp6x/s8gsYNc0O+v0Rg3NBPGoTzA6dpQ
4kwgm/g6mAmCqI5/c0eMV/OPl52KsRq2YPq6WEtfv5OI8memun1JtEFbbg1COTdeJE8RO5VvcH9I
m6dzMK8tQpNlCkPn+zTOb52MArCvIgeSPF27tBjQrTtLEaREigED9z5BPiasz3uTIyJGFky1P5X0
Iq26/VzI5TrlMxlO62bMYxZb2XM0rlUq+EC56LdNz3xhqkCkpd12oEm767ilL8fLRUzY623+oK+y
k6N1/EQ9Drs66hmuIYmFSTTdvRyCohKVxNhl1QnS10PacZD0QDSHCwikwF7GB9XFejALH/L38GBm
xl2jpSeUrvR/3X6DdRCdKv+gFfw/EaL3EKPvsDMEsKP1NWon+1K54wM9eA4QRIbxPsERyxuqJT2S
t1MDRt+t+dMKXUcjMUGUXdTc+Pb0GTISxi4usMzT29SCbOZPlOIiF+9lMlxHdByhVZE/UBYnbZCn
FxaiinmBuy4/cSjeFxE7S0pYbdDydjhjd5sb9sekBa6ZGfZlaIeNZSrEnRyMpgUS94g9+ow455J3
4r2Jrf83+7Hzk9ebWsd+ccTyRL1uS+WzJRsTy/ChdefPZYt6X2ffGzhmRbCZNmv99XLUxtyGbvzF
7LK+8yV6kXls8XJKfqwprE2Gww+vqb/xBmW5wAjjJmQ+Um79iclLvvKXBtJ8gYqJdEtEQvyZwYB/
WyufyLyYfRG3P4wa1vJwca2LqbHGyG5+GizKLV1Z9WrA6tEJdFmQe1TWMQdD9sPEqrghMWW2K/uH
bmAFVWZ3VR5HUr/Pb4e+vwq7T/dVTnplqjLCJ/B4FMn4gN0Z15ShLRDj589Ou2BaqLsrDjV5yFK8
TWwiHDL7B8uZ7tZqvnP/3l//p8P2uw4bskqW0f+8w3abfmZE81x+113784f+6q55IEvYw2mnMhBy
HXrzf9NMNF//Q+gsyVimsd/bkCr+1V/z/jDoeK2IE+ScLKF8i3/114icohmGgvWvrty/0WMzvh9T
2cAGjJecqFU6SKfvtfKkmcibINvPOJfI8Jm4DnGRTge1ZspHiV46JFgkc1HdyMwANZIiKD5O9ZzU
KsALSKRqigPf2BCLbAF6s8mon8F4sNjIc7wO1YI/c16bslXt/h9X+idHoVf7GVURX9hbD14gkGz6
/N/vZx6q6TxSizpbsT5djYRmhg1w7gZ/j34Bi8Ew+9cfaHnrFvmPuoyPRKGx0sfY3uCKvJ6ja2mO
WL2v4rPj+DdV55IZTI8N/pZEBN7oMF205mAovf7gj9RKZJ6KAfOr74BQ2qHtMKpj5KYIvZbBhZ1U
OhFEWLPjxfXK1LVWMD/oSs4mDzlDq2WPwI0g83ZV6UOnhXZFN512WKOaYgmxwSM2i8eSa605A4m9
C1At01iQ0ZY1XigJYSaFfhoN8Va5zL82hOARhDk6CJBDhzsCJrBr+34Xtdp8Ozup+aAo8xoQVkDE
FAkt+1loviJPgoRe5UFkDV0ibeLtmPpjvDXWb64nOCI3TRKbD4ahgWxNXYJpglbJ5gPSOrJ5nZGv
MZmpN20RMNcfzGEkuNghGCF5MyUF38ifbesIvm1F4DQ2ITrgQ03jwZSJ0Z7NisnXZclQCewcd3bq
96bVk6DcccZ9duOWFFCNzWO4Lqo0iTKmX0bknzFpH5GhcOXSFs19MAOgrI4YK4siHFTGD+E856Nz
fIlxUPcZ386UbIrhhAhvoF+G+f4uGgyCpytVon4Q44sXOitt4kni6KmfHf9p6BU/zkEONGSTOvcJ
uNwl1NuGi5TisUSFKLqufZ+MQNwOYtGLAjNoZvWhnVpcllTLIbJOdtcsb+el4rYOzMyNc7yA7z0t
6y1x14vjUxZw/8gtPfsY9AnwzjvNJQtkGG8TzuX3mqcnUwDqdzpYMX2RTdOkRrdt1cxLmPugYgOi
YslgqQasBnix401uN8i5zHGaH4gK6S5wtKBMFjIif4NOIhFqsrNvST1xnghHNi7jUOd3cHziZ5NG
7AEEtvBCtAvu82pVeoeOBWOgsfDIJiNyPbrChCPjYeWKg6bJ5pOJXXba4qj3nzSnabt78sjXmObB
5bEZlMvjNaaFo97oHdrkXWvHZACFRd9Ya14bB334R5In0vw8FhP3LsU6NH6biVipP/CPeHVruurX
tNCBtaLwSMMq5hlpTbppYVKtubKoRZcwz7RmjaEeubfZuBA+jp2t/sCV4eVyyWRZ9hm1fbRrCYNp
36+ZtVcOn7wI2uJygVOTo+U+y/XqTIgwfOdoahnwDhL6soyIZKMobg70jOfpxiLhJSaluOdTwP2S
DW7wttFtnSTXBaEDEr/epn4qk8xUD9myaNqThsGuuelMpam7eSJqe0cJxPK7oHTxH1OhF9k1GmAl
TIWmGrDOpJgsAyQ8CuqCa0kNyLWc9BE5m++vHQM0OOoQ5V4+7QSrSnKqG7yk4cuDjLOVG1dpPu+x
g36bSGol+Fum0WINLUVFvnyPrDsEbZ8476Fo9OYbGWEPZIxuZNVn1xpJxMa6hZ08L/hMLYtJznWj
WMmPylC4aQIbOtUXCytu9k6xQhiIKaPFVm8qwogcD0qbFqEZyGOYD9TLa5wRj9Opbcg+33T45i6S
UNjpnYfzOftqu6UJ5AqfSByRvzOY5puC/WdpArOXsXOMStMrTLJpHF0/JsgeFIHxK6lcS2P9I5bn
NkiJIbpgG/Tf2wNpp1AU3+J8ndZwI0KR5zUeOesISubBaENrDU+21hhlEOMpvKg1XNmw1pzlxC3s
AwxbZ7ypBFlJKUBw0dM2qm2nlBDV56hkkamOde3pTy1NidAqdHzSw5oxBhorWwOh02ScvIORmfGn
vI3cr1NskSsN4uBNlzs3/aiaeUte2XTvVG780baGcksem9gAsLOuuAfLjwajjJ1Z6jTH3YW5lN65
6s6nrEfPh2MPRGdGiFQd548mPJ3A19tuh3oZmOlALvjq8diCz6/fYMksbmxYrdt+dHPaTSZteL9P
3g4ivxuR4co9+iGxa6CNrJZPYrnTKn0bEyv8OBaijXdqTfDGKQ3JOmuWUw4wZ4elFKFHM5awD1w4
tOlgVQ9sOvX70i7qZCOXttx5qV69SxxnvbRFCrHWWcPDHbdnGuBMFsLTodjEkdt+S4GFbfJeiIO5
yHg35qZ5sePWFRvU7CUMhZlyYNMqczg3bVHtvbyZV16/VR3dZDJ3sW3cy6iq9zpGqY3id3wvMd3T
rTAH51hi7R22c0F+edOJ6K2PAH+vwQfY2XTWCM3SFm83zw4oGzRqzGXs+aCX5XwcNcM/Ll02bueW
aNiO42/Y9LM8JGXrPAzpsHzR9Vyefc+nQ/uS6v7rCuWHYk64LrgrYr6hlaIpezW+b6rC8uQaxjd1
NWDYcgVUjxabkNCAW0ud2Rd+q98hkl51xKiKEGrbwLkcKl00/K8aC3SmMIeMtn9qyIb6kIqUhaHG
VuT9RlH16hT48jn4LchjpNqj5/6qKzYkldO3fkzsEsRv1lRdsWaXxGLaL0niv76UP/swWvpI5SiQ
GYK/upSkUrcaQWX+CV8MU9IqoT+7Jp1owBS2v/6oHwtZaK8e141Z909kOw2gnlqbdOfEfMu4EDEN
y3P0c5jG9GBbhsG/O07/UMWCtHJMg8fkpY/5qluKEJPXNi/s08L86unPLYjYd3YMvOdUI206c3l/
/Tu+mpVw71YH3NqdtQQ373WxPhex6HzViZMiU3HAgaRT/LCgsgOXaNLRJTn8VKgVSFAYm0u2j19/
gR8fUhSWNtd5pSWYP3hLqlI0+pRnzqnvsf2OI2N/lMrVb9peP/0UpiO+g44GVeSrpyaPTPgcaeuc
SFXHOJ0SuOp6dE///d+FAyXhYmuCzA9jA6ezzMaGmnB6yZBx6EeH5lT/Nx4TNFyWbnmcdjhuvnpM
MrzdaQ1v5mRG9HhSlfBQrJiRaUs4jXHp6mlYfnOk+3H9Yk1nNeHXwsbIx35/pIOHA1kvd8RJowH4
3ui9mKAJXNUQtpkrw6jSCfBsl9+6In582RlRMuk2+G39H+cHaJXRZ9S2ecpW52uEYPHcOeucSjre
za/v3U9+RR4O5nfU4KjRXy+Wbj6Skgto/TSppAjnwqjOS9vVH3KxorzXE9y0PjW//tCf/X4OryBS
PBtY8Wsl6KCnpZUgtj4xTYYBUZD/kutesueg89s3/WWc+/0heZXq2AjuXR/Z6WsXV7UGSOisJ+RO
tAQESqOwaYq6en6th0VdMFYkGN9nymSkNZwqqLXay9AMpEYKrRUcLmAc5bHZfjGS1qLqXEqSTLzM
qfPfXJYfF16cWqiKEGia+EHNVxtKSbMXHXvEE14gGQ7TKK0/yEljvxwkIFnCNCnrf30nXmH96LcI
5I28VStUGaLma5dHnNMvgcDEI47nWG0nPBP4uqep++Ipgy0zqaP1eZepcWlQBH4YBnvBKEDa87Vp
TcJdG+whzY4qKd13swGI6tdf8GfXhJWSZwU3MXPtV289MazJMni89cXiUXTrtvwIHs06tblVpsHY
6L9r4/zwbOLIWN+GVR1Af+X1BzZpuxb983IaRCSeW13S0J+bksd0Wsngv/7tfvZh9I2QgqORZDt4
9duRS+PrcePPpylm2CrLzL/RW49Tjq3XnJJ+/WE/bAar1+SFG4kOm+XsVV1UZJpRg5mZTw4iJGf1
TfFk8SJySvz1B5nfK115qLCO43tlR+CXQ4/36kFG35BOTu2OVBAqaaE4GBx4NdLfs8dIq5b2XMuB
ToiIBaE9Y0KEQV67loKKvW6DVTNd4STRJ9AQe1thizvow+ISxqFjS/gA0siydnq+dj/GJuNwPOKE
uutKmBq/0+z+eH/AAPgQ5tnXLED469P5D6NKynynhmXYnkwmQ5sR/P25IH9kH+vzv111gbRdRSnI
tGnpWa+3NwY0Zgc9UZ1wElpHz4SFg/AA7JZmTuvoG2Tzb7btdff6x8JIH5710OTVB2duw45+dZfK
BUNfo2xxcppJfHUcczgpEflPLw0RGHB0dZoltx+raTJ/s9KZrx8RpuPYARwHTiFWNyqhVYrwjysr
cqiNECPkCWFWViwbXXpO1u5nBNEWbIgp8j45RpaJzVC1RnvBBMIbaKk4Rd0y48oyTTlfdXzVxWbJ
1n5No9D7Ehul+GcG8KgoC6eV+56/H6XCrJX8TWOKzoNwJTI3QPlU97aENqXWxwvJJtUDSFWjPg1q
rtvAdNrpzh4nWmNtRBLGGYMsG33aECe+8WLyNG5tXcvURjey4n6k23BRTqftJ5E6d9XMgGRfQYoJ
6GKXMNbcxtRvaEvrZdi6du/DhVP1TQePyCC3qyaPtpobjAblkp5GDw2dGHIbllBvJI2PfJM82o7e
N3G61bO1yDUfMjeAkoV9beTGl1F5GU1xTfK++FO9NkPnOEvuBgSk8dZFO1gdkcfR9MZSGiUHhNOc
ispm4b8ujftX8TlkEZ0XP1/rmqbmXUtKhu3f6JanY5gZseLgPitALsfY06ZrPS1FckfkUl7dZHEz
dPctSUbFhmwk3u7KKOrsWi3oNzeq74xmBwBhumY6oYmE3VbZ1a2N9ssEZnChwyvt5avF0FvcqsZY
W1Fjzm2e9JQf5Fe3n+2Rr/u2JqKR0AlTipuBqwlFq+7pzaVZh0PVAcJcbOiD0LliMkYj3CtmBzyf
FfE39sjqibcarfIImbTX3qK046ObbMUn+joZKE2Q5FDo3qBst7urkWpJu4GPQuOV82qlQmN2xzok
C00ch0G1brbpO4joS10SWu+YLOH2EvMEleXAQcJ0EczeiCEyxiMgvzxiXzXIBqpUTk8LJGi77Cd4
kGZA0ARdxrjXJ4XHl1n+HhgqD1iZoEG6aKlib3ipA+jZ8/QtsUOrAWArfTMwuNZ8BowER45uWzV9
87slAgo7THd/tuDsvOfLWJgdH4Q07ec0SrAXtH07Evr48lo5a/6Yvr4zWLml91zaKa230Z6NB2OC
EEk2JBLS0OxIiQmVY/MUNZ6zJnflNtfVbNeeuSVX92UKqmM3pfTh/xzNwKJ4jmxrLSRiQW3nVS6R
eYZcO7GK9nxQS44/k6HTgX/Z/lynp8mY0Ltyb2yXeQSR7umEOhqqYnsmNInXtKg1Jg35LLiwAsqT
tZM+YtT7tmz4IoZO72RXwyO+luB8po/95FraQKPHzrKrB5ayv7Wn3HhwpCxF2Ksonb96GpOMLcmX
prifYZ05m2SmNgb3CJegYD9mDJBUQUK7gmdFMM0h4050lvuOwjzryNtQ3UqHzNOh1iRYAhJoQpZw
NLW5aunWzzlNyR0dtMWjJUF016nQ9YlWGx3yzqNBtvQoY/7c8f9nTvrbOSlvzT9qlh8iH25TjD1t
1T1/Pyh9+am/B6X+HxwzOTgwDsWeRx3zr0Gp+5IzjH/vZRb6MkP924jg/wFaBYsbmp/16Oay6f49
KLX+gJC/uu/oPNjgcf4tMwKilbVe+8f+vbogsNDipVuPighoXhWPVpL5RSdK/VzqGqYuUraFo20g
L0aHtDOmepsJq6uCGce82k0afaWtU3fW12nKXSgCC6Clup/b24n8Kb8KMCEv70AqCvGEx5yU9LE1
PsWeGT8WU++GaezY7wYhuttGjzswcL4W7dJK2jETWc29jUf+Yzg4cDv3CIWzg+pkeXbltBzwkd/n
qrM+aaOIMAi0zeTRYDG7m0H6ony0MsRMN+3SLHrY5zDGSLwqrP6LfBnemu3EbKzSA18SQTa3Ixs+
Sk5L6RaxnFb/AQjGyKypHwrtNrNSe60FChcULPf2bRzlBQITk/jGNSwgfcROjJyC+dcSqlTSXhUO
Se+uqhpAFb15bN0u2ZuT/JJTlwPERKvS6k0qg4G2/l6a6cOcWdmdI5lgHvgj1u1M+l6x6aD4Hjow
kfh9iYvadob2PGVigokhIeSxW7BRlD7sX47+ZM95uJ1pVDb2duGYeTWgG9wOPvMoo+td49j7fsOp
f/Gjp6Xw3LcAxyJkPLPpHQmURb0v29rOz3DvWJldFcn3w6iSrWaZbpiBTuYa1EPQ9FN5cvwqx2Ow
5lmgO0rXyiZiNjzP47nru9gLtbhGspc6yxVCmEj1fRQznckMBw2OoluEe/4wy3EpNzSP4JaICLuK
B2j3IKrCfF8jASyCpdWWBz9Hi4g6f3TTg1gl/k84O/ryMUa76OpbUE/mpG3HLsfjvGc2MuvtMYlt
EGmFzO3UeI7bRcXcudwIbDv3t0UrQrOpBdDeaNxOekQmKhGXR3rXVy+JHBBRAh9BVo0yTNeQelE1
RZg4Pry2vms9hFKalQYtnpdtvkRDiGq0RsnuPmSTvSls84il59bG4hwsI8y4tLqIZmlCKL97MRXR
yc3KXUll+ggm6B4fnBsoPmYXLxNWhGH+YMA+3TFCiHbRML+lm94eG5UQygG6/QZzmX7EXpCh6mrM
k6+x3meUs1vQjTIoxJSeBK2k3ehV6VnL5+WoN7yappObj/5sfiw7T4QNERaBTDotFJ2EpVu6XXcC
USKPVGWf4PjmJ5WK+NwwmdgsS6FvVT3vGZ+FLWq+nVgQMTNg3KSFVoZxo/kauXPADuIk+WovzXt3
YurqM30gBlwHVylU5oW68MYNMU7xTWlPJalYc71v5PK2S7UWWkZqoJKzo1Aoadzx7eVZ2rOmGDx2
9RGBR/+1XgMvvcTi4vCyHZp6IIyXDbKMl+5QNQ0pgPbbxsqvmZfeLEZEXdrroTSXh9Tp9hVWoJOL
6Qdnw5GDionuEYuM5OrHDvj1QTy2TbP35ulWmtoU+HY/IUPK0dBFDNPiSDw5xDwGY1m0G6PIv+ZC
V5DvRod84qR/m2rlrdcYRuh3Ths0jJWnOfVuRU14qCwmJkmY4wPs90BDesKCV9MJw9Fh5NmqwXty
P5w9dU8bgh7sD57KPy/ujEzA1P2Tw3J56vFXBxNUa/SZnTz09FU2vBXGfZw09+Cit5rHL4UB9TJ5
Qj7n62qW9ZEL80a22rmuTXFNzcY5VXWXEGMiKWmm2v/gNsl7XWspZ8zpW9IVxiF2W44oeJFh8XvA
UxlcnsjfsrYty/p9Z411EC+Of8yke40cdc8YXN+xTHjnSmqjG4J+7d6xrmDkGFywtLXVyYs0+yFs
uqzb69yonV41PRMtO7laE4APNemoGzSYnbL40MYmykS/J76y2JVNkwSTrN1gKdtr65SsLvBUol7H
/2xlFl+vEs+JwDRkJewOTYQ+2vD3qewecgJddyaS7beAV25rrVHhZHTyEVnLox1jccFM/dwu/ntI
CEezRwdeG329K/J8ChJz3LWjOlaO3KOHRbwvG3ExjbjZjx7+FXu2tzZU4IPemQ915GY8wBmTjAIv
ztluRv2SGNYVbNhN3iZPDobtwMyXrY5tKmCl3ZI//FH4ICEtjD7ZupbWmnfntda+TeV0nbh15FUO
yPdYRr2PWRQb73Pbc2Dhu7xqGi4C0x2gMA1biFwnTsfdzh4a86wc6QUNTBvG5n6VhNmce3siNZdj
UnWHrpanIY2yPfJr5Oy+VjOq1GCVZVjfI98NvFH4HAtFLz4LAp9YsAnEu8yLLu6TQmichFVzm/eE
8874fbe1tJNP9eSIcDT7mylt2BPG/NEQw6GMqlt/WNhYpU/msereDvRBCY4rPg9TefC9+b10s3wL
rAdDDwh8DHNueoYoeERsYuxEEnkmVGh7uUy2yIfAjpp603MKO9upTWyEZs0wFGPrQ1T19ZXuEbxR
jeFsvYUgTJBoYZV3eGQIl6xU4oQd+1qdjjhLKiSV6H3rXdnX/Y0ZlxEqD5PDS6+nQWRpj4k2rtvz
GG8qxw80z76Mums+IdaAqxnXwJ/FnAt8ljMUqWspNe/ot9lymgbrUUx6/UlTgxYfogJtxM52R6uF
eGSMKhCimocD+6yJNtf/XGjDnZG4xH2Ksbu2dnmHY03jAKndF3PSvyEE6V2rLLXrJ6c6NYvzzmtF
/jCleH40xC80LoeNWebNR5ZXDDIEfz7LxVBbdFDqaE2auZXVkOyd3Enhq9c4RrGfkDU+4KCP4brq
nnYbo1Z6Iq0bhfbQet8cqPkbUG9mYCdW/lzhzXrrjhpCkt77YGUocQuvcJ9cd0k3WuToIWnV8qGM
Sx09Bc1T380JXbVWKKpYXyJumAxglGU7AjlYkH2+XswJZlvIL7XKPs26Bo3HL4d3VjtsyehJLuR7
22S4smW7sjaI/kyVSDgUKxHUusrPZChUB9n3ghqhjG8NMz90WZSFmu3WWwYc1RVxRBOz3Cb9PSwc
77C4TvMOROsBc+X0MBDwvTP81MfAB576puy6LwiOP7M65zguHX/DGa5/TKVxdkrL39c+4cU2Iq8t
Wc5sEByuNx38oDAh86IMtUqaKC0s1Dim3dxIo4XT2rXzTSFG/zBWxrRxk+ZzHhdG2E95atzV9WC8
ZYFsEYz1Vu4FTjcm+V6UMbqKQmRsXq1WfmgYXZ5jZ7Z3GObTJ33EhgcxPPfWhNbZeovZ1fhEQ8X5
JNIyCZqli/0gSjCM0jbf0vfKduYKn1qYsFEADye3X7Qg7Ylntcw3KIthg4BtVX10Svx8U1B5gJBL
hzgJi8igL3lWaCR2GVyat75GIYppP/fDohyelL8cyUv9whgL303tLpuCeRlh1/EqTqnMYJlsP2CT
3HPXTrYUeFQ5yW7yqkLOLvqPQyeIdF5qXIB1BDM+J7FZRVgYNXx0iSjrYI5WV4Fn5AcLoUGQKEmc
rT5uI2VdZCItZEKO2ue1453TpEBGiDmWfGcfmVmyy4dGXVUyiL1ufOrzhIIJPcRWFtEjXacCzI65
iTRhEcte15vWxksC+Ybh7Vxu3SY/LICqw0JNbcBgDUy7ViLVF8MGfVHDcpLaAQLKAUciAZhLlnwc
/e7GocDf6RBsg8KvH0kBrbbkw6AMSgv8X4jGpeEhopsoDdG2AaTH18yemFfHqhJXH3HJ3okJ4yr7
R1Q19hvNWe67gnOK2dnzbkIHGSKMhgo4Y0+pbXWrKaxoYG7NJ4ZuLZi+onicupYGiinZ6mZNrNxD
LbAqtCEJA9XAhBB0Q3f0EUIRiih0WmFaRemXTBkbA/gvYd085VNO1IMuisAhHufRNfIb8rPFRYnV
X9yU3yh+W7Lk2q0hlypMtMzklg5IHdtkt+R98UhAT7rJyanYNaL0t0JQ7JiNZwezJvPbDNNpMI9Z
sQP10VwcL/qktyre+Nnk7CFNTvfNjBTSJ2ovJCWMqscgjZcQmks5zf3F1KsQYtIYLi0AsUTo84Uo
6JNmeHoIANYK3WFgAO+74w1T3y8V543c0D6Y3vIc187eNdr+hmPuzMXIUNYsx8jLhi2qtH2efNO8
hpgjp9VvjFbWhyZTd01qncspYXlMGi9EvKDv6prjLWI6aw+fco8Xm+gkKc8eYgvqBP2kZ96jjbM7
sNLleXL7z1Eff6qqjOensu777tatosdqWPAqT2X8UdPMASVtfuzSZQljy71ZfO+9VxMDAxtgn7E5
Bmbs1ZcoMglwLnXjRoj6Xo5UZ9Ab9bDrFxB1mRfrhJZXI+WZdtc7zeAFWTEtbAky4tdlJ2iQHtTJ
bva89qh4gj/OKvlqZSTxWtE4B4lltioYRd4NGLaLD3klCzIcUqO4sGUJFHOVlVPgVaTdYz4v70dk
lYdBm5pQl062l6kWq7A2lZ6EFcn2H0jtRaZH85NDTt08jvgbaXQmw5GqOjv6blLuhV+KXT0v8XnU
e2cHruRhVkvMqMJ/43u9vCP6z/hmp21/XpLUOdWWpw5mPmcnTDTzzh6FegBXh/lGmc+c4eVtVhJ8
EcX6G+Kdh3BoqxgkOiEcPQr2W1rGAuv0NEHAm5AMDZyWBldouCpcgobSmAKgRPNVWmLFuXOoWtN/
gVfEG3obGuMt/Q2h0ciLa2ltzSSP3jjIhA+gaT55BW34wnQR7eZcMYra27LPMQjJ+WirAdniOFyQ
31FWtAlC1Mz/COI13TSei+4TGGdAuGtJGaSWzZjx17c+0fG8OzGucR7XYoSLIEs6A+RRoa/cJRD+
j9SNRxfCUJjnxbBjubK3rOYzt94ut3mWkg5fv+Ew5V17qYk9R2E6LtYkIe77PpU0MUe3bNXsQiOn
hcvc+mcSGiDmZlJsyEuwgz4rQo2Wd1AZZnN2Z4xgDprLQws/PFSqJliywyLbZfBd2sr61iz97YwM
K1jPFuaSXgxWd+z3cXEnFbexymAIwLnYGnk+wkvQDPJZ0g5WnaedRyHvUhNxI/ket7HjPlWe3+6p
rxusmDz+mEghfup7+GkD/habs4ydzLsefDcTwR7RbNp9XaoaJWF3O9O/D9Qc0eEmdClqOGeZVkmC
XFEGZGfx6+W0a6w2RFvMqmzr0SGpcvTgWW1TtMynkTcVUxytdr2HZ4dtWG0oAD8NrvyUuvbRE83d
hPKacKPZ3HCEPLNEP9UkWu1EP205avEk0+UPuwGbDm+DflmM3iR3ZKSNsrDp0vNFtW1cZ6kdPdlv
l8HJwqYxSp+DzlK+w/dJ22QcR29n0mNm7byacwzLKh66beasLEJvJHuZ42Cn4flb6gCELodUYg9O
iUf/2hblp7KryBSMNW6kZ++bsUk2KA6XRxQVd+7id5upNsyN1eq7rrXdQCglnZBCWds4uTtj7nPl
QxElXz2DTKPFPGee8wweha74c2cU+77zvqlhBqnpQYwojYWss8LfNLIMDfCAm6UZvtWdAvqoZR8J
x0lAB9D6b/F8EdJAGsuag+Uu0o838EHBhhkLZYuMPmK7vlMJCzT8AOVMyHyF+6boB/OkUdPXyGpz
9P4Dh/KhmdUKGeAgBXAL/Sd5MCV5b2qTdC5zfedcF8ZZ6XboyInZzZTl/Y4uDgqcvLeDbDHchh16
bvobJspqL1oTRjsWCXVM84YBCKsaINHWUHZBadwkaHqpyLsHjej6dld4qD13SstGFVqM2Kqzwxlh
Zvkw+3RHfJjRmKT3DbMd1fQceiKIbnosMLj9JgL+biKD7CnV/zmR/f/dr99/rdbk4vZ/r3/xZ4oL
1rmk+4/v/7X989/jr9Xa/f7uX7Zll3bzff9VzdevLVDNvw0765/8r/7HvyKUf9eJRwuAjeg/dyxd
vn5Sr+OXcbitP/RXI963/4CFiomWQfzftqTxa9v9n/9F5KT4Q0eqQyeevvraUf9/QCDrD11H5QDR
60X180/Dkv7vQIDo8bxqu2Mc1FEFWBh9Vk2YeDU2X2Mn9DlKhhurWPwhuV0yZZq885bA1lfeYB4Q
c13QoeT9S3oqFFAk2fhge8o5tqAv3uaFtzJu+Pq3ypDOG1O1zs3ECIvOKXNo5mk5e4tpKQ76S9q/
F21R4HZxG7kZzP9L3Xktx81lWfqJ0AFvbhNpkEmbopVuEKREwQMHwIF9+vmgqpj6mcwmQxVzMxFd
F12hIhLmuL3X+pbXbT3pJtc6Sh0/oxTJpruf9Y1AnORT5TCuZVRYPg3Beqv2bnGbZWp5K4eh++aR
t8naSF/4karucFhEuB35bnb5rNYDBhI1Vuj70iH7lsdu8Q1HIHkw2bxvca+wEXOiW7u25m+qljff
FkX41vD4+VBlxg2+dnnIhDezfTAy2gDauDFjk2JmktX5fUeR5MVxijpI2iqkSjvTIaxr0d4iTYuf
6iLr4LdUKXjfqNe3Xuwgf7fq+Js12ummV01Qm4pajpdNNOiXbt0+kL5K142uCaUYs0cyoBpivi8x
WfuqNr5m48gWG8YGFR+lTy7rpEwJtxZW+wPj0sDpi3f4kGdpce0OfbxVCNE7NAUNolU8EWyW966z
NCQ5iQF9SW51r00DJY9uWOhTYs3GjOK9xbSJdDBQh2q4HOOyuywVjeB5DfLLiqiR6Q7+XbfNaJj7
kprSjcsJJZj0urxyanW4NNtyCgBaGS9gH6sDZ215Bxs4H9lrKNlmcZGDYoop+RfC7K5oZqrbmmAq
covy8qhI1bgjDUx+pxGV/570Vr3X+y5Z29lY3pC1pFwbCRGHliqBpEZi8uux9G4B8hXPoHCx97qi
XJdSVzcD2aG7QbUU+gfN+Kse2vZGkwJBwShHH89wQhoMHw7OIsXzflJ77hq/bjRqfcps4IkBhZ5t
TLuMj7hh1Wxle7VEllnMq0Kt2OUg4uJkZr5grXYv/iiK6aGJa5P8Ib8rVZY5fcYS00YjJEDgxpte
8dJLMdPmziPhBmpv529pGaW3qkANkWTRfJNZqRDQAkIFHJHhQrONWni+9WBTD4Rw0V2UpJIyf8Xx
IcmafIW1hQw6erLP7JDVp2ZMx0vby1SitNruKnEEmN9K1P2xUaL5e50L3QJfj1tWWEl075mZdePW
5qpxRbTre6e8TTAtfNOhdW4yy5Aw6fqZpUzTSgdvbE3rOsY3BOdPOpBaKRWB3XLtcM/ZI9zrFFb2
1pS2+YpCNHv1cKwhKdtETzwyjYjbqczngGAcErO6wtqAWFavnFgrgT/1QvhOnbibhl7WTREV0U0T
m/rarm3jR57kHqoTDptPbRg70Wp0u+mO8Bgj8kWZK5s51eLAssPi0M098NpCcYbQ75Xa6relmFSs
NChTqc6UWXGtcEp5dLSyFqytVSgA5tUhM0ki5vVcVL9yTVXdVWcX45UxO8XEq7GSDFdUrzxGfQvG
KUWdHLKRiEZUg1pa+YhXCJ0fWY2pmLpiPOq5qj01QGQ6kiH1RtTb3K4sdbyCT+6OCS8uKjpcEqAQ
o8Lzo2Gy3YheEAjAu5B93GQ/RE6BB1kacdfTXEAoXB5modOR8qVLPV+szV7PhrsmHSP3pxll5OfQ
O8zVwXooaLvXzsYVHLi3StfJ9NfkCKFlO1oATUMHmcXt//UKj4+XRMzqt3y/pv9Zp/+z4P9/tA9A
2rZgN//3fcDVS1K+/bMb/+//xb83Abb9PziPrUV1DySYxZ5V99+bAKCAKir6RaaHhYCB/Z9NgPM/
YFEc3XWwLoPeVBGZ/acZz8bBgR0EGVA1ce3+zabgRCZoLuQVdHQqsHTEo4gF3ovZJs+g0z4pc8C5
CWGgNV256c0/nsYZd/HHS7AQoK2HmMFPZv/x/hLh0DGEdG8O+tBg9+uuFJjqrs0j/b/P/L+4yvIr
/qHKA9E+gvTjKlB6W+VHNb5J6wsV6lc3ciKppMNqllXPJbr56KjHifP0/Pr5XZwKG11c2Oz9UFkw
+Sz+ivd3MWqUjaWnN4GUtbZzBpKzKd4Z4XWuq3MwI/UmH4BFhpiB5gvp64mcHrbYcmm0tTg7AJae
ombx1o9axNYtADA2bYRhsUlJFQ6UOEzympkspqoWy3Dz+R0vD+0fUpB/XRYJODppbtfWTtSURuth
xEu4LJtEyHhF/2B70xxE9kxvFCLM377D5S4xfCyGd5TZp/p9dICqprgTl2uldV/r9c4Jw3FTs+v8
Qij6R8Ty4c4wWCFPpV32QSHtzfO/3yXC0OEnmtQR5ULY/WJjQlm9zbWraLLVne3O6kscznMgQdj9
61jG4YnT0ZlRsYytj7+Bo4RtgoiBMfr+e8ocQ6KTVJvAgCV/xIkcX4mIff3n7/DDwOCh8grZspoo
fBFov7+KOYZ08QqtCXA7WSj+w8g3ydZbaWYqvnh/524I1ANzMlkmTCgnwzzDqd+TFLr4jup8jcHh
h+1WPz6/na+ucXI7yFV1Spp8I5our2ZK/wS0Hj+/xNmP448zABsV3Ub1RAHleak7cEppAlEOfAid
qh/0qoSF0g/Jc0yM4KYuewqAjdGvBViGvUv8zhevjfyXj6NPQ8e4+LhYhpb39/7NtRza0ogORmAp
ZbMQTml7JOqgb5yBec4Ks5x2J1oSNad1Q9Gm246tMW4obGg7whOHXSKa5lHHTq75ydym60Y6R90q
euy8/Thceo2dbKuwUdeGpIWg9WF4l6h6R+h10aXokegwOamTXgBucny3Ej8KV6xTqsabvNL6oKO9
YIGAUleKp9nrTHHiq1wIao51RzRxgtvbbrp0H6u5c0FHxP6uFE5JWcea4iu1VuyLPFoIM+gONrFi
9RccMTvG4ShzgLVZd9l59CjI9czXJDUiBnDqn7ZeOIcwKYyNq9T9usUEvDP19pKUT/kAU9I8DkSC
7XCW55vKaNK9WXBuyDvN3LYZY8uhwnXlqlmxIelpxAg79t8MR/JHMldeUnuaNtXs6hMWsFa7IvOb
xZd6lB9VXXwM0374SUDrdOxno2tJLQAk4PQp10vmtwHOxXMsuga+lZfPD/aAPH1NqvNb0yDT9a3W
lL+VBZbpjykxMp6euPF2tKV57HuVP7Q8YMvUrqrJ0lEByQLMzkQeTUEk+GVuhwYGapPUw9AqQeHy
+zLfs6SDti1VrtPIfJMtc9QwyUXiNj6Ys/7mkRz9fSRC1zc7JXlGzJzu1anmkTQxa1g5mG+zrBpk
40M9BynewRXGWl6CFc6Skzt/rxj5HSnVqUPhWe0jicCOT/vLuSjcjgmrGEJwF422Q/gbH7Eop/uo
ZFx4DerAQXfVXQUXL1th2Ip8L5xCEPjo1X2Y+tHBmkw9mDXAUCh0IArXqdwNhZsFqZX2d1k1d3dg
iPnHjdfyYaBePpICXhHZE2YHbEcmB5Kq2/T47G5cj8eJ2lAL10Uj9LXORu1awmRP96luF9QoCeim
WJdolHIJVP9m0qY8TlGi3oFCyMaVQMZ/Q3E13cXEh+40swlfqXsbHl+JEl7rg0cROIsdp1uZWgnY
LAzNmylu9DWFWBueRmQeJtHUl7XiaN+0Yu73tifs21AxlF0rYuPW0YrocjCtx7Coaeo5sKb80epV
GAq1rSPwkgjz6Q2PYLvi8JUIHMAyYqjkylA6ZQfM1v1tppn7W4mWnADs+BcN7tfXmHSWTdTVprbC
qaNulFbSAa685XmEamaTcDeiO2x5km0PvpXIRjXQWm0KChoFl3kUmffqmM0bMjk0wpIUS9uBa2zw
55rDs6uH/Y8ytOKjWtRq0CewYteUtWHPgcUx0Jtp7k8ta+WhJm/5ujPG4aUxjJKuR+TdjNps3Oee
BLzVtq6yGWvNuvjjrKGKMm8j0bi3aLXLlym2hmMzQVIZUaVdj20NunZ0pqu29qyLTBjlTuMs6YtJ
2ndiMty1nNmL1IPi9r6l6lyg1pbJi0gweWxm1SlXsxpmDvwZ21onGDO2fTioRJzYWB7ivIrv6qZP
f1mz3QZazySUKUW749OATwybiHaUaEliJmh03YqkBV8Sm5tONeuLfLCXcPWqju9nXL3RKupz/qYV
xgjBPCdEDVHOB35tdK9r1XyYsqm+sFJ9gQyGSHJS3MHpyipSb+9yPNlWYOHWjhl5e4uErC28GTQ1
aqTscKMmsJ5tcgp9FyHtliOJ3KhT0+yVBn7mimbktA3jUIF02CE111Va830oeQ4joapo04C5lXlT
vw61lExjfXbMCTXfxakK2oxZ4AdxPPOm6h0nkJBh3hy1nLf0Ga0LvdTKHUnj9IRcJRWUWyvtVTpl
O2FpTsLfLUivx6kdhxsPof3hzz/XS9tCkUC5fBoj2jczupcbeKrjTetOyOiwk0wbvuGZp0sILHFv
SOP+XDKZRWZiezVpgk7UxdDKSPU1o6f05NDOXvfQUanJNYZCK9KerkoRpdQ0I/3bYmL6nppx9dgn
RbGTHvl46IXCTTJrKttk6kBDrXq+OnYA76ruxfUMucez6GarqEstgH2ZuuysabAQZ3ftScR5UNWo
WzXoQ2D1jf2VpiyyikmrRogwiCgxWmi0bNB/wPBw++IAv2jMIKDYskO/tuwYy0X2p472HHhJZt9p
WFKeZdvPx8RseXWicLGiC7fkKEEy7QoVBJelpgvXYCbXT2vQylVOrdyLxB6IPBx59a4xa5cVprZ9
hx3ul6fxr7M8te8KDBQXoQYzNrLbdo3whcihOlTcHUdfVEBCyR5JxfN2ZVnbd15tKxvLbDzflbLc
RRkimGZZ7FpPa1dK6oy3g+0oG0PrPb/ygLkjih1vjWYyX7Sizjel4AO3wwVJzhftQ6uUm8JUy7eU
NXxPzbC9RwA4P/IhUd6NlQgEZefdlWnR+7bZosxrRLlzG8N+lpx+aYEneniZD4TI0DMqoUOS9X0L
3wUxgqL2b30ZKg+or0MivGSqrV0IcP96T5kcw98TNpPNaBrDVjVhOGE0Ue4jWDwLx2c6pLnebRRr
TL6XXesevaoft4raWU9GRxxX3yjmE2zB6ZqVyt7S01HWU5Ioa4XcIOguCNhmrJvfqrgoNzqMpI2S
EQP156lLCw9G1brujZ6pW+gYJJ80bXoB6Uajdx1XPpSdYcGuqNvRqtQLeqHlpvRSuS8maWxEjRpo
bFSTQUzi9aHTp/wmdLVorxUxUJM/3zIO1fkINxNZIVvvi9lNxmuCAkDCkIWGOl/2NarmMrtR67TY
29NoP3th2O9kyO525SYshups8vrner7K2mq+0up2KXhB5fHVKYuZAjXtW6wkr002jddMCtNeF2F5
4zTzvMYb3wGWasX0qI6VZa0odKfoiqDtOxrO0tyju9plTnpjZLGyxWeXIT8urAuk3eOthmoMsY4Y
b5Ags3TT7Jc7p64UY4XNC6uTruGUITQ19jasTf3e+xPRCZxJXCHoLjW/dMrqvqvGctsx4bAHIjHk
QjN1eVNHM8rrzu4RHefz1TTgkarDP81QTZlWdVYq9yTm4LByi54ds4kCL++ZNtSoZWhKi541kgl0
gG5fG1jT+nIntTJ/VDs+p0LMbKu9RHslwXW6Mou6XZvDoL5OEKtpcCQVYdtmi2qqZWAmgBIgTYCo
ajLHOdiDOW1cuOR7d9J7og6nHgZm4dng42RPCOIKpM18xLnGmAfmVREHz/9zj9qS1gtWuv6yk3DX
Qv7pbWpoOP6quQ6DVkvNXaIa8z51QxskZbJb7uhm4b34s2fF19qc6K3fJcWdPpK7ULlpuZnJ6NlJ
C6PeyrAQgE8YUEFilfWd0Ruk/WWJchGF/W0nJgfVZx37Q6q8ubV0gHWWz0aHCC9Pp/CS28jWAKGY
OQHRNFvXbYZNhYt9BzCIaFL2JRcmNuAOiKdK9bOjSC5mq/BlPN3qYBb8rLWLn06p/Gxn62bUW2Or
j0Ox7NvqvRs7Ov3f5H6oYmwULuJJZivaykrv07MroeJQWfEy91nBs+nL1KBpjIUsXLsDTYTMIE9A
daWyLy1hbnKHXvPSm0Fj1VHiYMYur4ilvhJlHPlZT1SUneRVsqqMvtvNcxr/iLreCrJRy+FwdWOP
bX2u7gSWEqR8kVrjbtHjizi1xW1ZZuIZy+ciJZgQKxM6+1P0jn3naI05rnNUlvuux+6NBw/JP+Lw
QIkJ/FtXUW3emi7p8hCcmjsRJdmmLzpn8mktgf+ebXszYrwgOiuOd7lHiB7KXup/ap4cIjrTCJNk
/eo1c3GhIccLAB5ZHra6KkKSvSW1Pcsu2vKV7b32fUQofaV5nVT9RreqY1+nCMFIDRluQ0x9e0kq
1y7FjriVLomoelGoYpV5CnKFpuEtrsfQeqXfhsyqB/N1Y6KbPpaWrLZdMjXf7Yb9FbqsWL+eQHx+
z/LYOWSoEJ/CyVEBnJed8aguK6SNaXOlxm4cjMS4X8SJa17FRSufSgkjHTTjcMitqL+AZ5j9lGYa
xjT/eblVJ8Pb3hHFr6J11KX/h3e+TStYeqFwDpCkzEuSXKyVTVMXE2lfokVJWrPbTCTdPxilU2yy
0NIy9M19fF0p01vWO+6zjocWlensggzP561FKImf9vQZ2OPNLIVxEXerThmxX04NM1map0Eq+nwl
iHri9bLaHiZOFesKKwKCDuLsW1oXbVLcK3nyjAEPMxCz/IoqsbsuvYlDsSaeGiMFzmrnFA5RMNQd
gkcPV4JnF/dVBn1Szrm+b5qQrdQmKqYwMnwzE26nBEY7KEXAcclW3iaZd2I1NNZe62z3USoIWjh3
ujtOMbhqlIQOpKFIbMFOfstWMX0ZNaN6SOusfhadGJ2dUDBhrpIQ2t6ur6wQ4UPGlsZUZHk0DXIi
EXcl44+swby96ogDPvR69xYNLgRtasmXo+eWFwY725+lUFGIAKta20p2PVcIqVatoeQ7SaStP/Cq
LrNe0BgFqS2vTd2NrlM2Q6vUxNKycV3CEbBehD4cRR3njfNLlmq86ljTvFVHoBeKNDkfvKrtbjNi
uNZmlMeP9GANFi5HI3SjCI8tuMBXgxwNM22HH+Y03s2dDruLFnC/Vijh7NJ6ZmYXioEcvMvvgNwN
0o9jxKGWmqOUDO12a8edugU02KGUic1AcStzF8e2c6ln9sTk0nQOuYseZ9MUfBktcSAHzIQry1Ci
rRuNzj1HHdaTyCt+hAQzrkXkPZmjOVyoiGp2/BUd1Wct78zE/OXkbnPTU09+jXAPbftscHETGVN6
5XnzsAMSyBOrXBcMRjo21Fd4KEboPDl9bN4nfdVs045+mN4g3cKM0vtTbHtwu6wdzSr9ljPI40Jw
uxnFbB/qGjOKHKSNU60MXyoPU2zeDG6AKDq9RlQ2E6OqcIrRG3a3Y2vVPmrwEptrG7HDRYVeFHIv
3ak4holi3zo49dZ2ioVYi3vjt0bipl+lg9g0XRIdoO51N7h74kuIztadKVKvjPxpDpXue0o8ZRjj
xy+Ybje9MMR6lqN6DMPODvJBdH4FbXo39UZ+J5lxF2Gk2Hher+6avLuPOrj7I8FiByOqpp0cmh+x
VzpBiufIH9gIHphIlaAwvP6SrZxzGMwium6jOmP/W5W/acL1KFKleDXqVHwHPNXVHAHqOHut4GCq
F5rowgt3oJ9LtWTgY2v1+w4jEAJLBHXeNf7lCNEdbpRxZTSVsLZ1SXqu78aNd02gSX5fFvSRC2vy
dnHSLmJBr7i39RZzpOxW6sxWpamN5qDOw09YnsUBQWXhs6nikERVE1Z7lu6BwmkbjhOBgoIX9YNr
PZMb/FgQMIRHrooCdoX5mnLHz1ZPunWF5ADhJesr6osAj8CLwxFkTOdLq1HRZuY2lTPKRErnaj9N
Lx8uzAojoV0bFFKyEoN4qAU9tsvfsW1Yt9AH9GM7er+hN9BsZeg96Kgh4rXVVjWc1WYM1yg3HBSo
VrUjC6Pb6Eldrm0ZoYLGCnj9eTX2YxUUWAmIDNhktAb0U5KMPeZ62SuoPQeT+h0N/MhPRMU3We84
jxdfNAbOVctVoFN0eYAY43d/X3N1Rmtkn+RQLa+olpOiaK2SAhYUcoF8/fmNnbsUoblExlg6Inv9
pPyvtrag/Ehhfojd6H5MTZaMtNeuVPllhMu59hGSFaBki1UYnPL7u9IyS8UozqVKhLWXWS6zwEaO
6od8vKs6GotdRcDsF92Ac/ena9h/qcORN356USsJNV2pSM3903jQTR6l3VCy40z6VScFFdeHTgoD
miaVQ5PD/NBJYfKfhVCaAL8MAtU8BBqu1G66z3Qqmjnlj1vxp8WTz/FVl9Pi+fxVnmtK6Ji6Tc8m
yU0/RZ5MkSkAy0Vt4BY0B9h0Ucioh4fPL/JxIJAcZ1HVNEw82rSu3r9E0xKdoVReHUQaqhNZSdsf
tKy+zJW03qOR+iqp++NNcT3SRjymNih6p904fJ+qOwmjDopyZM6wpyM6EeeL0f3xIzHooVuaRbUF
Wd1pWoMXwX8GU4yASxIs0Ar48ZXoL1FCfYUpOnMlboIgcXPJfoRS8/7xeW2SzNPkVgHNTrIzlPbC
mJx70aSPf/2aQGfrqsa7YsIyl7H4j163LYrM8IDGBHOCZTZ/UcgtSrPST+rwi8Ap/eNnjzH4H5c6
mUE4NiK3sblU13vU0kozWhUDNt7V6AE2rftyfpgspkiI7SHsapOCm9rU4XebXSSIf13ihHFKDKec
bMk6oiZVmHN2sNxUHCS+sT3q6vkqzNmaEQ0GtAI8y4atjtzkukzlwenz8XqoOopKUwc0kpNvusLj
Mn9xo+YJ+Ik+NIOKUrvKAIDXddr+JulJMTwoScHcxvLJK5Yw8979Bps0eSnmxRabg5ht8vB7AwR7
62RokLGR7G2b+ETsYL5W43rTu4ciZK8isfqWVfFNDC7JXJz1iLapN6T7UgJI8G6ETWroxHVX/arp
decACZWsA7MyyWUAqCOlq+P3ztI1p2rnMjPRMqQZYqSRDu7ai7CkOKiSTGYwj6elK2zlSE15dcKh
/GK1OjMl0NyFvG7RxWYVPvnWQlJD0CNMPJdUaS97zTP2vPUxIPU3rRab8BB8/nEvX9T7lrWBhfeP
aBbZi3cqgagrEz+kKCp8mxJCflIVmzpqMD0ZQu5CN5KXMdWQezPxvkpaOTN8mWABmulocT5uA0ju
6JW4s8uAk+f03BMF+KOmBHtPpkD69tc3Sc+V2YjjB/85nc1pVbAFnIh0IVyIQmW/cOkpzrZrJS2b
vd1mieu39Lym1aBTR/v84mfuE6WFYdOeYrGm9ft++oCXj8+C/OCgJRkRiX55H40R3deUwIG/vRKU
f8YT7jN2PEA231+JY1kbVbCeAt11n6apHNa6i1SwAYP2158pAgQEUwij2BCop1l1oq0q8tA6/HRa
B2bDphZipDfDYNkAluxff39buHxRPJgajZ3TZStKckEwA+Y9Ot1GQDBiWVHWp8wK2i9rv3iGHweg
qRKOx8KlWfSYTpevmnYtKPyCO1PM+9hQnurZ/ZWOxn002F+oEpax/H7ocSl2ija3xpz/AbMH/G4i
wDQLDJFvDMoXXmXlBCdjKJrLHvsCOu/Pn+T5K4IoRca2DLrT5cUUjovtOwtqrT9knngBP3ZvNFm9
6kAEr+JO/wIa+vHbB9yJvv7ProMrnnyRVosSSWKiD9BLHqa8D0wzu0ls9YvLfNzYLJdht2bgqOJh
nmykelclKYg/jWVNV+4Vh6wPMbIifv70Pk6VXAUfGWpSXQXDeDKQcV2PZZpqAGsMDpkcvvw87X47
pX1Ma0mPy519Y/oKzPuBfweH8c/E4UCqBnt8OtSQRksPIVgWeNZEYSrH+OuXIpuvRo/G2VzSV2ox
ZekreAlZDEMdZ2rZqs5OjnW0z2ntbAe2RfNk1d+8LsuwOQk2B8u2oMbXfIFSxX7w9MEOIixCf4cV
Zpnnx7veIociFuaDBYIuYZxTbMwDCkblJp28lLQ3Sg+fv5izXxm6Sk55BHZ+2HIWZs0yElV5UEon
B57fB2qm3buO/GrXcmbAWuRIoqq0bRgZJx+A5YASFYQrBUCLDXrLIclatjpuP7+bczMQQHJOxpAP
OX+cfMxzquojPqKMfn4LrcBhmRqtjkSMNn/tU/Pvd9EcsJCJsmSQpINB5v2i4coELlnMEJ2y8Nfy
7BrSQIomfPr8rs4NHiBUQOZ4gtzYybMb2wz3WMXgyRPLvc0mjap3aP2i/lltm8hyfw65SPcc4L/C
tJ6b85asb/bVOLo/HHqoZqixYfYZac76jSyVlwW8L9JHAaSG6Xr3+W2em4k49uh87DBUP5xbc+7R
sUWbBSIS2a6wLec4QOhcf36VU1Txn3HFQ3R0liMDmfPJvOp1+gjOoc4CtxvUxyRWq62C4ngVkmaU
Uy53hgdM6ZXfVbK/qacyw+frGDvMOsZmnoRNrwcLjVaH3SYfXFqkXZd+dYTWzj55RzOWkWnAPjt5
5U3YqhYoTFab0aRyJ+sXTXqVj9Cj3SeO+9SBfyHkIaauWIJByIa+3YM2+QE/D8O3kAeBdX6PrtRb
2RNAEy/mPj5/kGfGGm0mtqDEDwBTPl0Qc4ffkIxst6F8/RKzJreqQN8U5rSUp38p+v9XceiZx6H9
kf2R+UTN5nQbo2sTyQCuZGsfar9UJIhQpdSXdsJI7Hiku1G9kl/sMM4MOk2jiM6OhhXrQ6Wtb/KJ
9OaK20utZ/LAFF+nkU5psZlXhj7VD3Uz1GsapH3w+XM9d6+QVrxF48gG8XSmJHsJBZDbVgFnteva
hpBiN/mRAlm0gsb+OLnA4D6/4rk3yZaNMoCOT4Sp7P00xlgZZGvWVaDASfYnjRTREsbacai9Iihs
DtKfX+/MmsMNsocyWNjYLJ6MQKIGzTipeLQj4Sub3GyGtQqFd20gUvtvLuUB3naBC1J6O1kQhEMw
RVFyRNO8qry18hrDuSPtiwRk7RfT17n3ZjCgFh/CUnzT3z/FHpVKOVMZICm5u+/i6s2y6vscXhKx
ivURQJv868MREximCyKLdZxMpwNQGyl/6+1MAK4OG0B1hm9N16wFdYAvLnRmYkZkr4I7Q4uOjWN5
n/8o4oh5QJQRcgTMI+sJhvbOnev7Lz4Jg79xsqF/d42Tb8JTUqz1S3IoGlttZZJjf2it1vqmd2RI
h/mAxzFSQcoPDWgSO40eqqFx6N/TPulcTNSD1iFQKhOaLyDlsNhp2gYWRB4khmwOeNzio+5FhN5M
ffg9FGq5K1r0EpxuoXn1UbiPLRfbgrrgZbUG+VxKR+3b7BXoH0qtzbZV0TY7ta9DjwPUGN2kucru
sEoSgpKT5oZE+3inNe20z8EaXPdGXFz1II8CN/PukyprfZ5wBkcLJfUqRrsToBcCKjXMYhN2sYV+
L1vShCDmAGzutp8/3nPfJqu4o/GdGDgXTr5NcrdqOdl8myj3XupRvrjwD0xD2cIV3oTKUP0Xw449
N5s9BP1YRE6uB3ygrI2IvGRZx0vN6RqS836Q5Reb148lP5NaKbVm9iaU6byTy5hjFmOl9MoAXedR
iKRBxuP+rAGgV9EVPWIIg/qPqCm/ODIZ569LlZYnyuH6dEPmiaIuxGBRE6mm+TkeVVxCjakc0Z6r
+YY2Nmec2irCjcz6ep2X6HaUrmQir/V+byG8tdJB2Rtqp2w14KJ+iFaLD07saEHQVPLSV0vrOaiP
qHMyZwYDI8EsJz1IoUgL7/TMbElIsDA9y9QERzaLaJPyewjNEm/IsLXb1M3nHcFo9RZHF/99MVs4
P2W6cRSgXbVhffUqzs3pNkR/x8OYwwtZHtk/5ghcmlZRZgQNq/IFlMoCs1F3mQY05fMv+dxc9I/r
nG6MetEXxIJALHOtXPVL6g1+AQny84ucWxBtgxxuC76sZp9Gcau1LsgWb4j77irXnyzYjKr+VGUx
Mtd2+sJ0dvZi1Cs5s3i4204PEXbDZFTmjBUlJngTzsKuN8UWURbyRpl88fjOTQQ2ZX9WCyx7Hza/
+TQZdoqwAf5Kc9Rbx/a1cHoC7/EmE9qIsf3Fk9TOfRdLG4oDLF0957RPM7ci5/myT0uxL2O80LWD
OzfDXqcWv64MJQ5MUUswJp7xLVGBpk8ROuOoSmBHRm629YADPjio9FFMhxEW3s/f9Nmfx4RIGYn6
La6y958tCPxWyWK2OUMt3gwveoz1/i43aO3+F9cBXYH2nD7qh81B2yvEpyKRCTiJCqo58qWcFHD0
XfPFQnpu20pxij4quUse//f+hgwypODczUUgkXHHLaqzoTw2RHukrnaTV/V9kXtfFCrOfcD/uOTp
hjWdARFiJS4CZRh3UVe9efD4otA+NFX/xZnDOPf9ciJdssUdPGKnw18Orinm0SmYZvTph4zFb1JJ
bR8unutTvo18RSiJXzAjbxJoSbtI0RaxVIMOB5Lfk0lR5Sms3TbodETEGE2Q/seyuSN6E1pSmZM8
GbbudnQG99G1mDVXNuAf7NvtCBF5KW1W+m910FGYA7YchQqNpbumOy42ki1f4vbDqpiMZNMVk34n
0EGy2GNx//xrOvcUvMWpS4mD7/bUkpXnom1LJMPBLGay52ZtJVXzyRLWBTXTJ5l8GT517hUvZgl6
1w7F1tPHLlItIjiBYZLUnoJUpWugRHP6hSSxcICAteaPf32LrOuL29jDFvPhdOnZk1vAE8yDzIvM
TdxM9gLqn0EkV+1TSpxEgCro9fNr/nFwnmxCaZwTwKwzRDnanpy6IwW0mk2aZWBDHfHjobPvzFjr
/dKYrAsgSPmj0AnmTk0EVH9Uw24s88eim+UGiKi3UyCAxF+8a+1ju8/Ep0jVZ5m1nQ9n32i0ZthJ
jOh2DlGXEfS6RSNGUmq4BE04NkQ120LMZOUbL2pif6Ingxja1NafPx3jzFy5+MIxaJLbQ6NNfz+1
qJgl7UImBb7l1KA1skiNEyOfj8gdS+uC1+XsZYpAENcDeOCcIrKmFPRRiRHrbwdjUAlQDNXnmMxS
X5ez+sy2uIRuxyeFiSHborOxdqhk3yb0kUzZ/ca003iDfM9cN2CdSWMAIkB645INQkRwZtxlRjne
MGzxhUwMhKfY7bxDrjrf1W7K/g97Z9IcuZGk0b/SNnfIsC+HuWDJlcm9yCIvMLJYxA4EAjt+/TxU
S92SakayufetrSUxuWQGPNw/f+9vLub/28/PBIwddGeb0P+5cUS7LS+73uDnL4v5ISUpcphtaKSZ
pqS7v/5d/28vRRaSrAHb6Dw2tirod9UUQ6e2rbbHktfAsBKtuy3YzKI4eWmZPP/1a/34u/35Xb91
fw1urzwG/3z9rxW7HKYq43IwWjFMFQbG7F+spraPRTOGNZzws9ao8W0/69O1rivJnd5DSTSNUuxF
rcrjj2/oP/iGv8M4be+s3/3tfhIqXH+f/nF4q0SXZvL77zEOrOFv/+WvGAdH/cWmvULflr4V76zf
EA76LxaXJU5T3sMkWTbXwm9CBehP22yGLeWNAmUZnEG/MRz0X9ju4l9n3vxjeGP8fxgOP1XvG8OB
7sjWLedx8udaF2zbnLSus6IpBVJnrNztdTv5m0fHTx+e7UWwPDHF5ef86VbYN6Mi8LABPyiQzcxO
tyLsZWeXjao++t3v//afH5J/kNK7pd7su//+r58ugrwUV1B4GCalwk/j1aYCKJMnbArNY8YuRpkV
Z0bpMfB2AU8V+deBXXN0Ratlsoy4NH/z8j/9OpnXIEzkPNrad/g9/3hMAM92rcnW20NeT4/sAj+7
LOb99U+4fYk/Hg68hMVoyGMl++fZg5TKMqix1h4sbXqcLeOJnSh640wLCHC23//6xRg5/vxyjHNd
y6RI/lEt//EnMtgHsGe8BQdzMtpTUlSaYONKqU6FBUunBElvxlOLuiJpe5W0MTBOhGYerueqADQR
Ar7KfEdPYBSlucvWweR4uN9hYYBKLMuEOrDz8trXW01QqaWeL2GCHeFIGu96Pu3B6fSftemygSZ7
VWehz8NFtHhDxUZ3bVyn7eCFSEGMcFCX+WnJY3mV2cmU0BPeYqEmLdNH2+KQzhan8T2CRHdx0lg3
Vl8X97YFPHM0Ye0ixk6uh5H9b2g7cdi4A00B1Wp347CuR3hAF8CUI+2Z6tN0yvsmM7+BPL/rZcP6
Hkv+J6HOr8loQmCtcpt1Lr5mxUpkWIi13RetRWy/1kip5tN3mXrt0cnTG1qDSph5DVI4vRoigFr2
9QyFOvAUOz7pifHkKFp8ytOsD9oOSj5rAuiiFO9xRk4VLlqeX69emzz2Nj6IwYUC5o0JtuyEIPIU
j4S8yjjK8Stf6s4KhhRCZIwJ9Wwlql1EEzD7ZSMLsdkJMQiZQIYV/rF1kG6mpOIC3UXlJH5kj2uh
xdqunqW0v5i1ozynxShv6kbj67io0h4Zh43nUmbDgZwAzUEpWTnFkJqeWSeWl6ZUrYiVHjpuE+x2
aEX5bduwV5RPbBOMy6DvxqxUn8ymcMFqt3OgpJk+vAyZigqCOL12hfY9eczSdo3qjP212K4wTRMe
Zy8y25TPioyv4jiVd2Kt5W0lu6sYUckLmYf+0YQzfWiVVLtos2GTGeS9ABgx2w19Pe/rynhJC2mx
BpHBA84dYz6YXeaxAJXke8UQctuxa26Hcgn1blguyQwyK/BEqe5YP2hfGttiwyezBXC22cr20jOH
cxZPhY+W2b5Ftb5jWR9RX9zTTPW05DUfihRuv/VMy/1kVnHL3WW6E0vBrKsD+zbmyt4EYn3uOyh7
WTqiwxyS6U6JWRjQjYxrErLEwwIk+GiJrj0vFAT4rBKruakWhv68o4mk+gTn1Tsjbpe3TmnUoORD
c8VGlgLNwNb3xuzB2CyhXoF2xS5VxK0TtmrLqyXFtr7kKWwlNDpW0FikCBsVN35xi54OmZtwmYvj
6TzneQ4dYJgCm9WcPSS0mM9+xSKPqcK8iwfAblbhURSX02nV020/w3B3cW57T8wccrBvGflsJ30z
YuPZ01aUF32v3jPKUg/6aLyybnRFTDFh4141fYB8fLYJ8fVmM7BLXEh/ZTMkjCd2v1oW9QKWny9K
1wqSDHEZok/7wDKPFIUM7OK7cTIeYyUZKIXVO1DNu34ms06GDk082+z7teDLclluv2DqciqOp0mh
4JMsFemN8daNRPmaVNhRN+9akRiPliW8oNYKWR9rZ+xuB0UYb9we3GNWTQZo7xRS3IZLS1MYraxv
iPU6LoseeVgsli+N5pZXHEjrUZu9yQe/9iIbuuu65yr+5MZNgEocaquaXiUs46Y8AFCwqGPvJwlm
vrLS6uuuco/lqH8pKmgXeqwB43XlyWRFDTWKEodxobgXFk5pRXrgCtoucgbdfGNZXLzngzHeCGiL
nm+VfPY4EuybbIESB/OpPNoVRCHDZZuDzvj0tQF06FMNbX5oL1/YGLf5ABG2n/NPD8rcs8Yu82Ps
rOYdvj47NEpPC7SyyjufPJCxd8q0j2xEcXxO7PmjqhblpiCFwK+5Dgrp5E9WSht38TJw4C1bFSyQ
zmaACNaKShfx6rA65lVpZBNYIbGOEP9c5UC6YcMzON8Y4LKfOHr83dvYyo9u7jqMfCCOYHerIqmb
C0SMBZ1iYUL2tb2UwF7TnBsm0Aert6wbO2Osz0Jw8upaUZVky75cUn79Yzp/0Ti5Qh0cFuDEpXw0
3ERjtV8TKDv7Qn8wWzuymRE/E9EzX+fRTq9taa/PXW2EDeTfzM8hnlwPmujB1TNS6HEoHcwCBjH6
JyXk4flZF53ux60sdnYSd0eej9NxZMGSBaWZYfwZju2iA68pu+GfdcV/ivy/KfIN6tG/LPKfl4a7
VvL78v7X/+bX8p6hOzxWygmb8l6lQcI9/DdUqwamzaLtZ2wBij+gWq1fthTgNgalsbHNQ/9d4au/
kGpnkKFytSVsxv3wN1TtrxUwlNv/c1L/p5IUFBhvQfIbzCSZFWJi+2MBFw/wnJGSTNdD9ZF0sGrK
v2nS/KlC/OkF/lTzyplktph5ATe3fUIZ/uC9ZeN1Rr+m+vjrcvTHmOp3xa/q0ianrt5uxkDFfuJi
LVqn0VYBQpNb6DpzQR+Qq5i9UMvr1Fiv3Q/UYdrEbq/u1X+yEBtknpARyfW1SfXRtMhCEqyTZsoV
bh9LWCoLe0F0CsFCV1eDNMHUnFWbRl5JZRrLR2D5C6BkbOiPS9vvcj2zTkxumOm0TY5eJQfZjSai
1hE9GtLqfX20FU7waTRgVluk1tLigSR0MkrgAvXoNCHfRMX1xF501vQG/SQ1kX1Z5nI4l3GLdm7d
QFW7iorIqM5Ozwq4Bajh2mVVZnrlOY7oREkq9tJ7XQZE003jxlQcseKX8FLlYVKRddYRq60x8pyg
L3IoBJy9Mvs1kPSfU+PvTg2u5XyS/kUZ/Kk18Ph9fuv+cGb887/4De9s/GKpdHho8zCzdNh8+veZ
odq/QELTGdMyHWYyx8nwa1vAsJEp2vwjsnSg4eg0/+vQ0K1fAERy92RqTYNqayb86ZD4q0ODA2Jr
Hv7uo0bYhfEQN1ndZJ5q8Fp/PDfUXlFGCnT1OLW6fB4V0/G7cvnmznoJHV5pYWLB4phZTrinN3/p
OjF+tce8JYemPLSq7E7DYsP4oLlwoVJTjkts2DH7vHhlh7pV3gZnu4+hOGwPphuzUUrUKOlua8da
jDvTzAqd4Vtdas4RWZCrX3vmqjZfOqQolGpKsTbGXqBvEBdXSNWBmjACdADD5I19xRpXTHxhh1xB
dZB7TVK2X0q37oHdOnVVarhkZhvssx57feSkqtnt0tLUWSzBmET+dIMgq8iC9AWyZVbhKzo5zaI/
mUvSMfki/NdYQW/Gs7tnG2CxjpQRgPmh9GVO/hgvijKMlKrbtDltrOYtr2P3IyEmgcdW7+auhWKL
1tgO3M7J1Id5lUTYer6FDpNGo5/pwK9gEihQznGu0Z6desfqdsh/czQgTY6XG//coUoa8TLXRGp8
Ymc9ZezsRhPX+ZdlpMPhQl6EPZ09JNuEwp+H/NLihDzk+vSUN5mxz3scUhp+2UMxJdCK2ypJn7M5
w4+8jNnRcedLY8ozjffhuUuqGphXd2tUMxv49Ug2d0zsbxwtE73n6WXNrQ6DihcUs3FM5uJpHvva
XzwtPxGtfU8y7rlGXAwPqztw7K0KSH5+pYpBBJ4tmGnfOamzc3VWfjzvflyzJ4yAnw3I6/PaIQzx
iuR6TVucFEP/QvrjVI1NfSj6TIRQIEN4HTrpYWGfhVC1nWzX2zSpGr/QiyfBgYgvSWkiPEHf7ay2
L5WNMBhols0oeVZ8bxgYmxhxWCwDRIQRWNVMeannhh2iapkD5vxlYELNvoqHUl7cfiPd0YU6OkRO
uBgzmRoUpERr17rv2aCPe0h22bubtvNpBhwFTMVS7hOxwNbIk++xETc3ltI/WH02P9TVUvK84kSH
MZwdUMLZIGc45g1oa/g8LIpFejRHzoV0J6Xu7RJYbIGVKt5+tKfvjVVUxz7tmzDm7PDZ0iB3E8/Z
e2OYTTCimoySBE+kpyIhaBqDa03N1d9aUWZZ6lhyGcLN4urzo2bhyJJl8YS5+biuNT2ZDjSI1SvP
FrMC3yjm/JS2FuIHYWafxmDJV2ryINd6Py8mwg/d2EKzGBa1uKrGYjjbds8nfpAueTJzVT7ZDGRZ
a3RdRnGN47KsjTRpXYKlmhXqcnW4J/A2OQ8lbIFbW9WxYLSxzK4FzbCd0QCAjh02+rlVQAEE19EH
vaqtCTK9Rj8B9ZIVM5meV+ONVUCYnvpvQ9mykR+P4y0YJS0YR94Wibe5u2hdLB+t4FCNEseEcNPT
dtf7aZk8GAH8aeg1kYoOuFha3Pu6qf/U2nYjq06x2IFHGdJPcNYen7XJI8tmqq2gJe9a3Utn8W4B
rG6m604bK/Wc1l61nzJXBMgl9L0KtBEIzHR0lhzjT9pwSswT+9uQtSIL6Md2wSFGJlojirFwsGxP
Kw1D0NeZAPSTk4n5GrQet+biGX+Jyr5/0UQVehOQC+Y1yesilADvzrWSfTBDlWEG4uSpkjkQBBu6
94XdrFHzmZYZ4apV2m2LeKot9cIl8WJ4V8Ism5Pm9TvDMcYrGOvinjpTeSDs4rzplZWFgJnaYK08
CWEnSbdNllnXo7ip5x1aCfVix3RY+xg8Fjf6/hrJYBPxdepdg0xgL7dPLao3EtrraOziFg2s0pYp
hcp4S9I+i7KlO0yamnIlQmzOs2R1MW7ZKH2MBVhSYx3MsfK+Sb27c7DDTH5XGCO31f6rjRLdz1RV
iUBgHU2m0WExsAvs99y+PuPGNCNSF8p5Gax0546DFtbq6kWimSnogELtYlPjPHCX62xyi5sN8nRZ
Mi/3WSV0wqyesUlBjwhGB3ZTb+rJPvUANqqT7gYw/QZfaHK/IBriDO4v3sCptRpgNrDg8k7s5/rY
F9CPCJNafqJN9+xbIJNx0fU2ZgWyf2g8ksbzXlla7yjVMWaYPqu+Y3vVt4UhUKSiOgsGTaE30RU4
QdDRx1sV3D16WU5H1C0WVipLL+z69gi/HmSKIj4BI36pMqeJVm8adircuGBa0BcoOP+iFIHUbhiq
+aQU7Qf4u0vZx8NZo03rrxPYhRJu3A23DPVKJ2aMmG/Jd1PWq8eV9a0DYjs49AIUEHz1LHCTgnux
y888FHnp61XBedfar+uqLn7tQsdIi/6VmWFxtkRMhx70O1ojBE/ocLQr3gMdlkmUeoDPPlnf9HbQ
Il4JosMDWqEwEc+y4kvcaLEONpajn7n0eyW0KVDLXt7GhR4H6ah113RnRx7uOqZXNXlpNOtTeO13
s8/KXWlRMIyz+VzJAZ1c0bVPJVY+f5UmhpZh7j/lYEL27PIiNDdfrwNF8pZGRn7n6Y04qq6+XiFC
59fgFK9DFashh2nDqZ2Nz0wXeGD0xgOjVESPCctr+exyrttZ+a5jIAgqHcgN9Ft7l4/OEtSYcndd
vlZXbHJNUb+smKWN5b1LEWONhIL9yeN7mNKiAA7Tuk9koNbbwugafqHAlbh9ORAp+IUJvv2Rqv+F
j33RX/qpdunqooSZDHV5QKV3tMsZE1HpJXdDV063Vh/nLw6cNnYW4IGVCSyUpjsYgwvjZU5zEVkd
Xi86P6n5xbOKDQxpSx9GXmQyBNe37nSyqQAmnD/tBsS3Rxo/SaN/WPVcI0rk7+zrQmtuRm3tDyqR
kQM0A/d1Kjr1ZVDnbzkY0ZtVNRTIG2M6wrPpjRursscIbgkyXlMVZNcIMgaePm5KKMviHaFW963r
WffTonZqwKkJFC7WhR5YQOw+0VKy684HNeFvSmoDLbgj7b0QmsVHprbJr8vOw8EwMPCHk2kQEFmG
wOnVK4Zl+dfO9tR3bASncoKyHOYNZKY2MT5Ku7MeajvTv2m0UqtgNW2PJapsmI/wMGULJi/NgVxY
y/xNLd0yFM3QPayTbI+Qw5zLmIKg8Wr7drXrc9yAvwhHHgfzQVPWnLczQNuPGLp/kJIIu/F6KyNL
Is2LNmRWKKuJSGNmiEA0AjmTbKEINb3R3EvDlFmw8Ku4ngu8kjT7G8t3ejEk4SrdvgrHmbRc7Wbl
PtFkDtRt6ncaIdVI8H3te2kre9imcbVvnTJ75jQrnnnEDV/LaVYfuEXGBzV3siOrEFS8MZ5eSMNM
UNAjQ1pa7Kl8SvQsX86kq7AbranE/qzzgUjVCRE5joaT3kqUlNWsQWZCoBjaY6JGq9rJu36d+2c4
vMOHJSZiul3j4erN+xszSeWXho1W+IVdk/eh0YLzrawUazDTgCePSQPCRsvqpkfmTLoXcE9iKsTy
mGH7JkrmMcJ53hdnejRVFblxaX+ZYoi/X5MCNG44uvPGeBtMjw+iRHG9YHFKIrMw7WsbatzL6IBA
pFgZHsq1XrSwS2vlUtYQ+2L8ZTsZu4wiqnUujwNeDxjEeYLL0qTr6nfVVD2r8Rzfjfyrh7nieJWV
9zBV1MZd3Q7vdQWWT0mdfGf3COZkTUla1mPb+301Vo9aCp6IpRR9P7lVcUXapt3R9Yfrl7RlIJS1
7HxLwnqZsGTclXjZZAhdsvKBycDuyjVEgvUKFBYp22Fw5gTQmREv966Ty+ZmTlJkHeSw1RajF1ET
+EwflUi9hYb5MOi66D4oNzMXxl7htJP50DA4KDqOsYVGiuwOuQd2yJ9wX6znEiZLYHe5hnVcILUy
upRzdMZHSelkG4c+ZeDBUKlC2T0lwjnIgs/iOztWcagqxFmuGHCRxuUtLPMIGhOAK30YUXlj6+D0
Ydp2NfaKOAwMPe+hFXEX0Fplv1p2Go64CE4tcfSj5D0ZDr2RXWH+zYJYH5zPSjbmN7UuCCzKTPb5
Hm4wDEgvzl40zSSziuf40vN59N1uXTd/iet+b5CeHFigpQTX+hTnbSadpzWf1IjWzWpGXlcSkiHy
/6ZSWJ+nRVjwXcvrxtkWb/iyzDvafgtCC0LJZnU/TZp1WhH8BnplitBKNUP4WsoiUwKh1meEQ3XQ
EqGfi3Gz1uWI2c22CgnPm186qsgIALwXIP7Mo4RnHcV5u0SzLvtoKJ2jIuoxbLi43/dJ5u1koepv
Fv3zA7NY4TMqaf2yEe4mfE/3WQIHWTaWe2VkFbssRZdO76WnjHt2dW+MOfU+VPA7I9/Jj9FrIHR9
Ydm2bCmlhuSq4EoLp90zp4j3TbsT3mxFLa1vRPNrqfpanqXRFFdp5JU8xuMZq1pHTc+YhbggGDAj
VFBeB+jJEfm5ZY9WVVVgCOWGAfebLH7tOcpNb6wLLAQa9cjQLnMx1IEFwllSgStlRHM+/S6EbQLD
zjIO2hajcaPw2e04+AeRI+dk/rLKku5/0Y88dKblLu1V73qckyLKseUcCjtjNlkCsVLZBT9lqnbr
gmRkJtHNjNZF8taRsArrZsFMJLTWvcYsj7sUdjd2wBiBaekZL4nHCN6Yuhona5ZWL4roXloDCU46
unvTmoG9wg75AFIJiCVT1+NSAUoBfzdk/mjBX8KyWbL/ANwhdxIb1l75hv4rjUb+WtAQ56/C5RKR
MB5d2486L792Oc5K4KFqEzHGxL85G4CTiBT5ZeYxNs46663osDJWjHsDamZNDbZJTckghGdeYs7t
FerwmndL5+yB5DqBLs1sIy4Xt/QfVDUczHlwyReq43XXU2/n6ggnbGv/zG4njl4LbHWdoFcmuavC
GOeKloOxOmAMHMJJafW7vHfoCAj5rU9nmBxVlgOkLRwcjEOYpos4usJueQArxUl3qvEOUW2yS7L2
nfsapdhS46Q1V8iheLDHAvRXtzyPfdz59HsuBnajJ0qpx0xp28CBIH+GEjXhfFopHJv0GEMV7dgF
V2RYj8MrgrvLpC2MsHL9iZxVAVbPxOwJ+SeY2KN/TmcNMXQr65A0GKG4IbYeUUFavrUW+rle0qsM
53EvHLhBXfogbe2TTAX130J1VCeifkgb/cVImZwZY21+dFYpQzWRRiiU6mlmA+tTiEqBLF27du/T
9aD4ngUhxdWu7mEQMzJt4CiGvXDj11EditGfRxiwvrdM963GSqZfunFM26mfJsiAJiqRvKo07jiz
tS8Gw7snPkMTGgtHA1prjAGCuzLtcaHzGbDVQoJCppRcs2TmqgOO3OTHuRQgZm9G26Sw1goFlSvO
aYyX+lrW0eiWWgdaOhW45W33yP/gHxW1+6lvfOO84fBws/TkCbU4gYT/MmnG9C0uxEDyQSmwFtmD
6TtOXtENn09r5qDBVrUnySMpKFFu+YO+9QLFRmLzBsd3NLTFfCao8gjs7nWLSjjpdI4Ee5bjdCDi
e3DG9jVx0Znzhg/KTKjHIlEusQfWbC2tNspb5yS0sd9hZnMiB6zhSVi0/1pP7QLGbG1AZaqz6dGi
VxvvvLz7UKuMd3y8WJE313etuYnCqsU51uD7fQdZ2p67Cw3EtVJuJt0kZ2h25z5WRDjhKggSNqr3
qcrqB+AR7TDnXM6kNXTHuk9UOhf9BjSzPsQUe3eDotKGi6csSJvltUg0Omf9YsCGkYwJe+M9trBv
T65VhPa8oGvMh2b6bnXO+MDZp/ugJSRY43Y4ScIVrqrl7A0o5qVk5kufJcv0SKoFe/Z2fTH7sgvi
1TCHUM8mb4icRKscP1dTtuZ5Pmre2uyKbAGhDdTyxWKQtYVr1vVboafxHGhLobw1diVvHLVUDjkP
PECtjjOzSpXLK4dRasAILE/DGcAeuOIkMqpleafO4qOViOoNSbl700xGfFn7dPimZPZnIjUoOAwr
ulNLG/puZXkusDIHuKPI1OmLO1vDra4TTb2Ws9sAlHSqZk8XtIJX029kvtWzd1qTaQ7qt2wOhZ7V
kn2GRewyoafcF2LlWsskTHZ20sxDFo+PS2J9oUKwHloiQLukXfoDn4MlsmWncblynyaXsIVIa/0h
UUsRdKlx42pd/FbNtRLg5XYDpn/6po3GVQcnnqKGfV9aqzAT0jM1RD+TBZZNIPPMHk5mzfnj270q
crIS07w1iUqQiPTCqGkqW/M3Cynl3QSsL0A1Jp+kAODetq6L3JgwDoxBlR7fIvI4WDgXXuyG9MQ1
LgD1ceQL2KGLcu15KGDz8zGOaRrRoE79pF66izGI4crh3YP5WEy4C9o6u4JEJmTIA8vzezkkVEzL
BAhU7xlIyX6rhDhlXqrCdl5NCfrNL4a8Pwg3JTCjzLA8O3cjVCVKOQama8wP1iBIftVqwSY21zCX
v4TiPZWwzz+sNMmRpSYxwCF6asv9UoxzEaAFyaK1nUm1Oh0X7xlDcUAJWolwNFggoLyOGBHcLUjr
ISDb6kkUNpM0MZAHAwt6Nyej/gz1tJ5Ddsor7uuWdtu1jZb5ZQt5qbMkz1POsuYWNtP4rJjZcDLS
lr4MOXL3IsGvPhdCUa9VfIV7XWA14vLaGXcd0cJ7YINcX6QWe2dFSfX3hRjhqe/c8YEsIc3QWR/4
lDY1xyowRbeGtt6laZgR7uJDOZk8sYaJrqBvSC/Jr+nw9zxPPBBW51xjzwaC/mTxl67yKO5lkodz
0d2uSWfm7IYLPTJoQz2qpJ1OuclRWZfp8lkihn2JtW3peLUhZdHpkNep5+GCTvKsfR5sq9lNCk/d
BH4+D/upCbnsZBF7S/leKJOr+rRGz5JttOM4gYQWBIuuhFbXaNIZRl81azN96fO6nzllsypMlckM
bGnGHCe9cieKVlxbC1zOKtWSCFC82E+dagaGIB3nK3LqLyT1ja90bxUeYpN4VKnvrmTTTqSsqP5p
Zzo/8L33S5qPgeslI017AkAsGFWXofe+KSNLohxO8cFOrT5UllW7eCMfDSPXWVtsjWOTau5tTXTk
OC3WeLIVZ518m7iHyUCWN43nBPSb5alLvQH1vFNckUd9xzJAxixe1F3uLm/JUqWBbhbcDNyctqIW
V/TK5PKkZNg9HamlkdBXIwIEiIgADlEwykU/gianZ9MUNShawqxhasxaCA7HgdTdUMuqq3zJSgIm
XBVYi5AMbHmQQYZ1nYY+sOaVhJEsfSzvZyslvJfysMmtoinoZ43FlYLZd7IY39Bj1ag0mnSnFQiH
vWa9tlCfRRxodx265xvWNukDj8WT1+lfjYTDGgNPlJkGckKEo14tbd9LGHhMU5qEnVKqRMaVZqdr
hQmmEplMkt+vruCqYFpW4A3qSpZovQHhY8DRbp+Jk+W3djIcYkUHVNj2+3E1x1dlZgyiG8rXjW+0
U1cq5LlVsr0YeVDP7vBWeXl7Nw3t3dDgPvfhcPNo17aLYFoqNyAdNoq4nh7bWtWvzFH5YGY9XBqd
RUzJ+e9njMFo9Hjm136yBoKY89UoxHyUZfv8Yxb7n7H134ytaWNtC3//99j6uoFH/Y/wrWh6iBDf
fyiTjx///V+//oe/Ta/tXywIDgCEQK6C+NuWS39LvGxhGHYmWYPnqPxjqN37BUIeLTPyLhCiSLb8
a3ptWogOQWDzQPunslD7/0yvzR9Ldf8eXm8BbMI2DNEd+AkuS/l/2owhosXpNjv61QqOKFn3wG6X
nlSvrrIM1l2Ab9Prr5DMM4ey8tan5Flf6FTZZF4z7dCNQrmKuaFES6tUO1atGhKOa3dpkvqQSmM4
ue3khLTX7XMz1My7645YdJ0Qq8xczRf0dB9GLJ9fcsDjtT80pDk10Tbc1/OWDgmOEr6ettNbpJ2+
h91wn7cw+vi+ZwRUjGOz9GIbFbW6Zwo0KvEdF5mbuWtCFgZU3+T4P7SQpZEhkvp1SvukcVDHQ+GF
adJ+DJY2hUPO0QUkLg+kUS8Xoi5JNPVqOI/qt1SxM3LaHfKDPNd2i7que6tpGesCywedWz97y5hH
nSgyymlo9bO8wb5gRkDl+zep98audCo3EPQlD0Zl8/oVcQB+U2bY167H7WjI7p0kbcKKS8tBFLTl
pmaJ/UmIETpTfiMXT6VvjNcHc6nGFcCjWafCIkoJW4VJplj+tAm3xqbsTkXmXFLNY0xgVPdMMWmP
x87eq4aDMLeULRReJs2oFEwjUUM9VnFe5aTz0uXJ6sclGPvthyAvEPYDQ95yGZJAWopNqHB4rzoG
JvNMhrvWsrOQ2RIYOqLE1dkp8Np21gpAeChoAbI577BIbh+82Dv1RG4Dt2CwkIGPfmLJkM6/OlhR
t/VYjGGed2BlPbK8FcKKJs0fnZxUUae5Y+g4bIKTS7R2+FqXsJtVEw47LXzLTfbzwAC1NWwaTFr+
KmZhnlvFPS51XME8Mdpw6OSEgIahk8FtCXY5O+04bou8faTP9uTO6xUjfsdPuNDtlBrSp6auzNUo
xVcrf4XwZe5z1Gp4FKYNNJ/TONO970xn8xC0uRXynthik8yneEu4MoEgkxOATYol0FkwDIqkD0a8
HwFddjo9vXVs9Vx7XcxVI8XZnen1vK+LObMb5ooopyV8sOqERjmIL+zCvBcwU7ehkwjzkK7w8M10
mRnc8P8VmvyqdPSqCweUM8ueI7T3pd0TkzWjxvDMnZ2jWYiN/ItkVeUCkL3aGe574nXqCRYh9zph
K4+ExKotQJGaIa3s7J5RtBvU1JJMqdNlLzJPPqLWdkP2HYv7ld2HsOvWS9fLcucyyI50bEm7tWDP
wAL+GdWzlvi9rqi3mS3XSGX3NNI6N4VoUOhh2hvEhxmgHDUdOUKWuONB15Njb436uUPmEip6Kr4M
RDx3Azo+UqQ5lUriTaE1Va2vWpBlOytXvyyxqfq9otl8ctt1x0KtwxOahVK5FvVDoRjLbSwG9aT1
3WQRn7FTRnhsTEe2cKdw7iubjEZdRMYCIoNvlQsAaxL8i8pVjStp3xT2tWIW7xnxVFTfbnkcWyfx
B3dUQmfl9ynWzjo4aUlX31A/5zhlq3ZiXXnzrfu53T8Qkzv+D3vnsSS3sXbbV/njzqGASbjBnRRQ
tqtNtW9OEOwmCe8SJgE8/V2gqHMo3v8YzTWSQs0WywCJz+y9NkmKDrZxN6XItu+dKGtRnVisEP2p
ZVe4JnAJ5uiIQT6GvrhPic2KjOGugLmy0bOUAMBU+wq2bd4VcrlibHNOFX+eMdteOawMK1FVO5dY
mwAZfxPOEYLhBHwusZDp57aO1YbW/6FDmM4cII83Re6uYumhDwyowBC/azOUFSYCnW7sejbd3VCa
n/2WaauXZitnv7MfIpN1Tun622HWUDOTrDaJ9uvIPowWf45ubECre70wjFPkMefNCnPcgm7tWHvl
tPx+6R0SS7+tC/MTpK8zEXfZsbOnZ091jDBSpw+K2XKOg55Wj0DiX4oIrk7TuF+dRJFYEWHqUHHx
aBrDlSt6uQocTmhkCOqq6+Ia4ytNlWQRHlVhZCVeELXtNykHHceIiBhIDfUeQEsaRgRqb1tI6mdE
gyROTtLb2FbkHwp8NZ2VfPLxgz7OYj7UBNZcLQ7S49GcWyQlBRW4x99YLctjO4r0jlSkc2bwEJq0
CC2VYomXG3GxkwPJOnppPzRozEOnb9Orue2OsSQiexwtbRP3A2NHBqthUrbOG4bMV6IOGdPM7pca
NcwmIRoBCX2v9lM1acy/IjrecvRve7b9eoz+qxVifeHquiELLuhts8H7fV9nS72F2rsjGw+DOEaX
o5FoL4NPOg4N6ReLbp+zcBiO3rhIzppUksEeOcyLp/SU4MjBc84ppzwNB4xEn+oVprVPF8vexa4i
4KVo2HGSy7SP3exFjamNlcR7nPvuis06+wst/mZpxHkUVRHtNBcir2gcYweH3dsaBDievIaRa02w
yGbhVN1JBgAhqBsy4t/ZFFb9E8yjCJsKfOLWZwekUGc2wdS3Xq2ee8acLrciRhbW5C1XX+ndklHj
K8LHEzNfbzJMVXZnHVqTvbIBZcwxoydrUJXFtGKeZUcwOPh7Tm8oJwtBgQgIzMi+t0TpOvKNPKlq
qU7SGjtGsRm5DS4pSVmRaklBAI1cpLz+u7z+Xgr/p/IamSQcpX9dXt/mxeekLv9cWv/+S3+U1uI3
IkwMULQgW/Db/xT5TX1MAe04LqbRlR+7UlD+EIa6609WbDhoOnSpP7yiloXxdHUsU/WjD7CpuP+C
KNS2f3G+G8jUcf/7/sr4AdHxK+BK8gyl9zbak+g1gu1FwfOJCatV9t7FTqqkPto0ntWm75LF3pLP
MmhPCerlLxxm6Ak4VCTerKAsyecjBFWz5OMwt8UVXqI0u0MXJj+NMnXfyDysTkwZiiv0iWboazl8
cD1NyxNOJKwRaDypU7LqnDWtVr9VSVNfYyFrln05cxsr9JLxkpgNCmol/bcxnS3v4OlrblDfzs7r
qNhq3M2m7eKVSxOKpboXW8tBuBL4ceOln9kyJq+DJH3lUMsaaHfTUQCee1tP+ninFSWDj0GnSp82
JZIuS90gWMKqv8OjsjQ3ddfxdpOpkwSnVnMmIvAfDmikbVm3Ou7JCnW7x+2O/tS02ae5ZXSDmAS1
PrUsnycSgrkcVBtEcFQp5cfRxUeTRIb+oRQMs2WbJ6mt9E2OsQ+zZcXBkyOMlAvJYs5QWRUaGxNp
wtTzsICG6y3kb4Z21oglyFm6V00gY+ak7Kdw/tVL9mWJ5rmzCXUr49kOR4gvzOxNMcZ7M58ieeOW
RFfpCmudTrjXZiHdCYk7SpOMed2R3OFxH9uNSY3isNGyOqYK47qSNgpl7xy/mT+7TYbpsBjWLdfM
vGxdZY/rUlsyednXnSiPdd0P+/z79rv9vggfi/VgnwJ3SLAOrqtyy0niW9v00dQkxRRCw0Oc09sW
xUlcw2Two4tcl+5RpTF+yCPyIZkBNrfEED7ldRlf8LR2dyoZ3QsNwfiWlN4UsryLTrJJpgvXQ72b
xzp9pgCO7gqznl/ypNHMABHsGKCvjEIsFe6N7+fRc9JM1mFKHO1Wm6K1gpGavxtdaZ0jplJ72Ozo
CwyX1ukZaABijFV70DpG9dDNU474LkpgoNGCWlOQltKdAgBWy7GitGWI03flFkVBf1RMRvaqgDbI
bNC68hcX8YPR2OpR+AbNJBLoNRUml8U3Qwnox5a7sOuIIXVvc7MmLwy5951MF/colf3IbiTsskFY
G2FN7plJPJ66LGXXA11+GG8H8KLovqb6gKNk2PTZzHeN9FdeksKpnmU3VXsWS827MpMXY1V09IXn
nfimy+3cWIL03wZ4/VxMl8jpklNFTYI0w1peB2spy52PTvAjq6V+pS0VUP6WPelJFZO/I/X7K9bg
6GDYOhJzUl/5Bt3swc+94VV3suJlzpf0xVJ9agd26+UvrVb5oUJGeHC0Xu71Vc3ir7qWFCWwqjMK
6VXvkkkL5QtYjJOaOnx21ZxjH+F3tVsW1Si67XUQz8wjvauiDMmu1kwyqHFBchXHwB5sbyo2DEJJ
2dPYuddqaAIVoc3gc2GRh7EtiDWdhrhTp1on7gJECXpxV7Nue00+pYt8yBrN/TLZNdskfLqkHNsK
y1BgNgutoczEVUlWzlnv6fidrItQNcdHf9ULrSN8bo1VQ7SqiWyp1x/OoHsI25f6jlJveW+/644M
DamFX6rmisG7eIoTYQcOkk5yl8sWadbix9eMc4a33tbYZxdxEOWlHiw5PTopyvKEyJNtN5PAr4Vi
R4yW98wOVG1tR03Ecg/WKyuh9GABLfM2k1IzUsCGcIfcwfDS0x9xx+GsuTFaajxSJtd0Ad2rL3nW
sXFresPfFsNk3IxdWq1JKKlOZViqbDqYST/d10p0Ht2lsh7Y8XrvuSo14vGQU1uBVyh/i793vhda
5J3rsbI/oz6ur3wnYuI59wi02ZZY011sVBE7RS/BRamEfu2C9nyckTjfuLE/zKSqWiokyAHjXZfi
wi29MUV1aHhnzTDrmy6ldfKVXSMsnoDXedW9QVdyjLUIylvSEbed4c2z8waNcCums9ab6Tq68T5E
Le1vtSa+pE1rng0X83owr3q4wqdEl5nGTa7l14q2+Nq38vwM7NbJNtnykeigEVodrZSYpqdalw9T
uzBeMADI0PdHm5RedpeCHdjr6eJfWkPWW80xEzLYOtUdYi25KUgN3NERRPQ+0nhJW5s2P7aZemON
zGi971uTTOekLerH2DU4QRLZnFRGK0uqm11c2zVWa7urxuu60uMVH8WKximdfg/iub5w5ZboZH11
l861/NJOdLarqK+g7BHeMxAcceIV4pFWDdhHm+EQnZld3pWRZu+KVe1orLpHHcV9OHd6etZk7AJ0
qup9P0xDKJBcvpkS237hIY4eEVX2nfGerfEYy3etpSrjYeOsKkzhQR2oujoPpzIxkXxP3TeD0Obt
QAjhQwYmekvtT8LkCi0THnAoS2rRAwV0d+PoLtswn0nK3IGKxA9tEWn1XVWKEd8LNJloRzVcyVV/
alfqnQjU4lM7oZmNkQN/KVf56rwKWTn2PiVe8VXmaXe0WDjgxgJL3tr8W7QKYudVGguLQj/qWSHC
MTXMndmnBns4LfvwMw8bSfE9/pLwMeI6CwQThXUyuyzdNT3ROQMFyXYAqXBAyk+m6UTlBR+SXb+Z
jFfpd91vMTEB6lcxsA50B3YbAmHL7aqP3mbDzGt/xNZuBAMxbAdcaW2Q2teLUM2hWsXGeuObO3Sx
H63eXIaB5R7UzgwdzrLniNY2MyN/IxXzJklow9J8ocIodGeb6/WN28iLq4M96tr9wriOHjEHHptU
9x6e2FNWL/EOMJa3rt3ZWqfsygShm91SrBLr4toqNe2e9HS1L5zBP4iZfeFilRctr8gGTJNdX+qw
b2qtCpxivvirUjtP82Lf9U0NopMVvYhr2sZkwOM7WguHsGvdapBxkA9p7iPa7JT8EWzUOCS/Er+K
tv67Npww8I2ZNjYPshzleGUNwK0N/yMt5xYoI5df3WkHZxqri6ONSOJXBfpoDwaMhWY4TqX0oXzE
dL7p4p3Kfr4AA/8kIvfp717qv+ulyJL4t72U/Er98qclhfj+Kz86KTDGv6G7RXWFT85iGcC64Y8l
hSlYYMAwwzMDl48/9Y9OSji/mStwDAMuABmspv/spoSx+nKFy5zph2n3r3RTlvkLyYXNg2XTlJkk
c1g2qqxf4GZ5N0CYHfz0jngeK/MDBvtMz2ScO7fEhwpxEU4LUQxyRsW8M8JKyER8TJ0gj8ZaTTdM
iDnD3XwlMfZp3lv3nEQUAC82w7xcDxwALJtmrKDFL5Wu7npCb78Qoap0BlxdRUwMq07WwuZg1HEC
1ADnx7ivffQbJbvyU5lVqJti2roNt7f3rpmsTJHbxCckHy3RBPFCe+EW9zaBNPt4qZfQ8gv9Ns/T
ekW0OcNAgyM5YZaiweeAAkWDHKm9exNyTUSVuCkI8bkhBzM9pkQunifSWY8uN9knlQ0mG8+GnYCs
nOReul6eAJOZ5juALJGPyECV2Mka3jHK3QUhetcWDaqtJLlq6RHjMY2DPlbOe6rG/qlj3Jnd2Oak
kYLauLcpJ7razOnE+LRwZg5hN0mQG/lkU2EIg9j34Npkj4d8E/MrNpZqo1GzDZt5iuIHtk+Rv2Es
Tc+FyXE8pk6UXC1qml4BJfOIdsSkH1EpjlsfsWwVoM8pjR2ca1pQXC/NC+th2Lhxm1FRuAQtal2F
Ol2zPUImy2jxbr1cIdyyCjR6lAepmW3cKQGchMeukyA73Pmtp3eGLSK5sgIzH8spRFwyhak+WNtO
pyQqtSz55krm5gk5vgfcFMNOxSjd7ZZgxqFO3Eu7iImlDxzz0Jx76jRkPqe5Zr6oowO5aLavthVC
k1MkXKakUtrOF9X4RsgqarhhSrCwnZrrMmG6RfC0QeKk1pxFTODjtV4NutucQC0oPE++XSGp3fJB
MPsqx6Rq7kTeMjJYKnRUG91K55igWI+Z9WYoO3FWESkL6SapmEOsskthrRprPj0sCyRqEkY5ug9l
U5GE6WqT3zwXcnRxqtWdznKdonAjdWYxAZudNf8Vb2nN8yiS/tlp4uRL2bpzE2SFm7s8xedSO2PX
ixFKeRMloOal57HqkysnqhRmp8ShsO0UC8EGSdhxiufEZi+xrq61wtGhpDIeJneKZy3sR4NiNFAg
Y3A6yNLdVXGa3sEzochO2hFobS2jkjs78twIl9ec9njgVoJKEzXjeF6WdGhDUxOgVxK+zbAZS+Z+
eqWBus/oWeI7p9LTLpA8xNxrjI+MHzqbFNLcRVQZA3rmihPEUmcuxXmhuemNxkyZJNcoQn9k4/iV
YVl46tVMO2ovpvZAaPTuHgl+tlz8QfvQFr/intLQGwWsSGf7pq+tjoVEm5T9Lkb9/TpFK4/Fm4fk
caE6YxodNbLa8x8znIbgAfsDJ9EMF8Of6iMkw57CoyhMZ4/U1sT3lkXW0aob+U1p4skenFWJbHfL
w5ibY3NQORnLRxnNU+g1mnFldZ1OIFpmXkSluB8j4WflNos5zewB4HM+t9l+mSzvlGE7ygnd1qbp
PBmqvnItSPAhf1O+97yo2xZGHFGK812hAqP7Cs1FWBfCmHQIT0NShI6fmVe1U/lby8s0f6ulDWNv
gTr0sVlEGupWYfI95ygp3vFfZJ8z/NJPlizGN2rbUW5RmwvuNTER8ZuhJSkNutMjG1gRFNZAtrBD
HyGv+AOC7BAYqYBhTKchydfxljI5iU6ziV6dhWs3rKzmQjCppwMIkJwhEcV8E1tYcFmlokRm8RL1
pYJ8UtvlICjemwFFdRUVjwamlmeM0S+CSxjiQEcA3cZHf3FwPOVeHDs18OZFc9ibCUwqv3L1bbX0
5hYmUBQH4F6m+yrqxE1RIsTfMKEojWsl6xolH4uEvdfW1mvbT6/xNJGJ3JOuZ4RGytAFl6Xed6iq
smm4LlEv3SzgG+7LrEYkVfP8ii/GNEZoGQlbnpf5UFr4YGzqTpBF0antODVuhJcbu7/rqf+qnmIy
/G9n03dfkXrNxfi5Sv88n/79F39UVa4AP2h6hssw8zucgBrtR1Xl6b/Za0qGTwEF64/a6Z9VlUlV
hY1Dp9T5faz9zxm1/xscQ6bThkd4grNOtf/CjNr8joT9p/QDAIIrhAUakeQsKHyQDf/MLUCB1i1l
o7Nwdis8kNQ2XOJ2oawbM5pqf+uzqLYYQcMw2qneaf2N2Ul5pENE1LSQIZIFSYHmEmlCX9hhwlJe
w1caD6H0P5A6RbfKceYrBs16iKxwMjZLCSuNh23XbTNjFuHirGZDzeoMoMToUdmDMrhFkJsly36d
MDBAm3nKZm1yQ0KnTrexLE+RqVmsUws32UofweiWZ1f7EOdyAuHeYvcLMYC6BP5YuAlzAznBpnYs
R63tWx4ilIjCIakOqbukXzXDiD/UoqXXE7/zas81bjRMoOKclEWE49/t9GFDikzHxMSOzW2tKfvO
9xi4wyzJbjEc9Nej6hCtRNmCaItWbUP6zgS8mtoKewL6PZsPJZjoidH+OR0gqtJn9tTgER8L23ry
JB8zBC38moOZ6KcKQdm2ch3BYryNt6bPJ0/WuHFSYIzves1ykEUu5UVfivouI0LiNok8gRmOEOgT
+wie1d4SBbmCEWD6pt4H7PKuK9fAPza7DoM4zERLFlS2/kLwQn8eavHa2XH/QPRUhV5eRj7gJC2L
ocaAyttXcrCepyI3CSu3vH3ZxNkUjEsUgatA9TJbOgP1ulqubXvs7hHnesTaOJF9sjSlf+PJWG1F
ady7413pF1XYKdGirNPvBIaOeq0NrBtGTsPbOl19kqU13Y5dhtyuhA5ItndgIyFmw9eXe5C5xckv
wJyx1KwuNhPAa0TVLymj3BDoWR7OzjDvKgzgDxiW262j2QDS9TLQa6MP8jzL7qOh1W8HrXPDaBLq
GDv1Ps8sb1sKds1kx0MGWOAcoTWqIzxbkb0bnDL/5iv1gc5V2/G8ivDp9YVxz0Ueb7ppao/dsopr
0QpvDbiWIdYUgSLDvtRcbSih8ecBiN+UHn48LelelzKlyp9cbZeYaJttiNEHxLx2EA8ACY3BSAFG
JtorLVZ8bIqkvbcL+B2zsP2T63VYMrVk3koeCwEZNMmNNbZcN1y2ajOBytk3MwDDoUI8memC0rtx
ENt4hj3dI2G2gVGkoo6pvcs5Np5Qn0/pDp+YYulvG1g0hzBDEJl494rUbqcJZs33BiS9MHUebB6r
ADPslqLj2RBcC1vdztIrB7TIpfeSKHmZxIJEeiCS0tpVfg2QsnDQjnvGmN6AEjVffGbzOgJKg3m4
ZGMP1dGoNfsVwXaVHVWNAgT7FfaxzZTpi6j2siaP5GEk7U899JAHGZfFsZZZN7mlj9lbnvdyqULE
oZW7MIDumHI1jo9fscN/HXKZxfFbaaS4hrLEoAzGt1FyeSKz0rcT2lmaOiOdVs2Dmt04RA5AAd6W
Vp/HB6y74m2oK+gIbu4bufPGZ+TziC+GHgtUX1nsD6qIrpJ/OFF+zPQamSlOzqGPHqt8cKgxW5re
wOwlKxFTM6bt30/q/+ZJvca7/7vBR5iiQko/+v+pv/0PXuyhfP/zA/v33//jee385uuMM9AqryOQ
7/OMH89r1/2NRTNaSR0CsG8AJ/7H89ryGHUQxg5lmO6KtTI/+mOn7P3msQdmC0wEPWYHfvQXntf/
H+va13VbZ+NNYLjNkGZ95z+DtWejyg20X/oB7E1Qxt+KWLud5uiYeV5YkSqCJefU6dHWj4ZXjEmb
zOrCnz68/w0ZzBzoZ9KRWF+CRQQijDafXbyx/vwntneN573xvFhn0zvrN5F4nf3m3DFJrpB+rvI+
vW95fDa0p6KIrhsOhz2LUSQl5psYzWBJwgqRyLW+IBCsvV2PF7xxjZs2oQcVNhygJgu1kbtRbz7E
BJcCPx/HGBCjT5hpUK0nm1kInobzU7fU+7QkBVPbzjbz0Jp+CxSnc271sZo3i97X6/O2s6xQzwem
3tXzTHcsuSZgn3ub0gK5aVpXMZzdTUovJ/qO+58daOppPMkyhIm91REnfRbacCmSatjiO9xg2egv
jv9mEMPZxZQZHa+gzOAOOiwYHHy2PK6ZrWyHusBFXgZyyO/RCLFKZMaes6cc++bTwHN5nxbDXdy5
WB2q94XU9D7LA1LTij2GRm+jepwqVlV9lJMgjwY9/mbW1Qfh4GHsDN25WmVthY653cFyVi/Mm63b
uCRI4u/D5b85XEibsrmZ/7VE5fBZfU7Tn8eqP37lj7GqLTgAODOIQSQOgubgHw2A4ei/mWJNI6Bs
tdfp6T8OFJMGgFAoosp06nPiQpi4/jhQDM4a3V8HoLjYDX7yl7Tf9p/vZsa51jrU5WVBWPVQjDG/
/fluRn9eAKKKzYeuaxo4LEvZQc8wENIES1GuVJuYNXZayI/Gzc3HJMm1e4rReV8JjYFQkbKRYfOP
ERyergo1xwh6XwOAMY0Nzb3O/8fRYnNF9NaMbiUhAButsVdrypTvwIUAUzAy/4xUdLpLfHKr0yyf
97U5IzPNIJP7sYs0xNCGryCwkG4kQgnUA2lyO1VFilSj69Vnlj7oJawEd2ec8LEFSTxScchcLju3
0NuTPWvNO4V19pkh53ynEUIamsRwv83ouSATx5h5LZZBX0cZGyzpCnGMTd24xIlzMXqNlDRk1ebT
YE1L/h8O1F/Qcd+/AmdtD0nu1pn5eVwGP38F5SJExq7UeVik5R9tiyqtMScGkn6NMBgwN8b9TWqW
/h1GefNckd7C/tXxQKqluT7ulySbt65r10fYHCMzHzu5MQdRfzHSXHupWru7T2ZtAoKRZdeD3RsJ
IAhyP4oCXyywiGY3dFZ963nyiV0aYNdGnd1YmY9mYgJa8r8gtmvff7pJ/renyJ8xmLxpgPPrBQwY
hFA++tA/v+kGIX4c6RiABRD6N+DC7KHr2ngFyzndaS6hDENmyWOZqR61c4W1udT6ZdfBCL+ehkl/
b3KDj8G31XQb4zg9KZAXD9HMv1FmmV9JwDKuYs1Ut8ngGGdELATjedEzIyRz7+N9f84rNTL0L/RD
ypNzn2iA7vNxBZtg+oCxUXJNW70+XumL9aVyhrOSpnHosTgfZk8iYhAIk5lS5tvJBm5GX5ns7PSt
aAg6hg+kPlDGYBDq8fYiN7GO7lzIg+yNcRMlyRg0I5AyZLz33JT5jQvzn/soTw+59QW/X0bYGmv6
Lsyzxb7yBGLwlFHrEKZp167SaX+PgcrEfjF4oVtV0/1U8S1t8Dpl12VitecZ3ebL3FfNV69oSyRP
SoKhsG2/PUyLC5s8gVLvT016VYCPvkYoMN15lTFe2zmt/Ma0BvzPbbJkeLMS1i2LwLyspf102/UG
H6iZxjtWectB2eu9CWHwgnyMiKKka9/9OI/PQkgfRfE0/YcQpV/OLBtiIxsn5H0WExC+y1VD+PMN
Y8bMZePR1e7Rzy6X3h8q5gRd8TxPJPpIdyDaw1+vHVkvHxCmlqDjqQ4pQc3Jlwyz4M2qCD0B4G9f
3BauBMgDfd96Da2HYBlNp/dUwskP8lESyp6N+JQLvvtzjZyC6iZetjTK03Yua/N+0iUIB3fmrc6D
Nl8L9B4Bx9W8G4VtrgdqnZ+kjZRjCxTO3LJuaPl/4g27kXm9XL5ftg1ulgDu0XwtW9s4G00dAfLz
9FdPK7sXH8T5C5CI9gY2IewweCNMVy2rSt+xke7bWiJcGyYfV7w1DM5ezAsW7txLWIuQSzr/3mf8
S0Lu90XbTyMjPn5mVR68TQfxJK6l9db+qQBUrdFp8SKje1NiHWCRDqN9lq32gCSAd2BkLFicttMe
szkdGZ+TjdZcT7JKpr3HGH7eWNyDw8Ys2ujk5WPzOR8dCeurVU0c4NOM3qRgSr7RzcI4snrRfh9p
/qU3QFHHy4I/bLmm/cv1Uy15xyovdu8Lh+SjKTNYDiLp2rVo0NC4VJwzEIA5L0yHI6ZKbA1MRNV8
1iPdvkLbEn3j3iO2CIXGZwRhxhm1T35CQDlEuxbcwGPhwoZjFRNTwf37c/P78/iXDx8CMqM6k0iL
tQn45cMvwbGgRbDvayTm1UZ1XfSNqznyQDPJ4tlY0uU6m7rptnDHat+XaxKEWVUO3Ih0PKHdwf/g
m5KUTyWPtdtqhCGU/t5XEL4C2Q7VLTmw6dk1ef+KSY2JOlV130YeE3xFqXjvIjUc8T+Be8jbZbob
MBRVexcRXwA+ZtlMJtiUHjzkC+z67KB5mnfq0hbOHdiTXdFZiEPZu71Jp1r2Uo3RMZ3p/RG2VV7Q
m+b01Yg7ziuIL2xkusY0tovV+AAB8nejlAdM5lULV7Fpjkz5o7fK5VanJpjuvt96DGfiLzLSknHr
5PzHocqj0zJJ8x6L9TyEZWaNILHa5IvesJ/B1R+9ceWNX0VBVOrMqz8WmRuh7GKUJehRGDKWnHyE
c+qbGSzbo47bla6hddJXt8w+iCmojy1coGOuTHZM0hzhwxXmOZlUF5IbP91AJOVZ8u8vBIpEvuk/
XQkE9VIzMEqyv5eDv5QNnNXl0EFMvU9gQrjBrHODsdnmbAY/1e7nqE0CN4l4A8kCI4RSrPnsEFt1
WaBi5Nu47FChomzEu1Kc2hSV7GZGPZIH4IDSktFKxfYqX29Xw9XficMsnjj++3c0YuPXIXWFFvqO
XSKNTLw63cMtK67ZAYKBd5HVrLgqq9gUVhEBjjPYfQG4wn/mxQhy5qVxjwB+nrDKMPZ0EwbtgWam
e791tAsRYrMKu0EfvrRYeS9cXwnkHfKdJ2Pp9oK7lggrKHEbff1eEfD3LyxqDraWj3M4memy9a35
xWhQu1i1Z214PQkIz4wbgjA2LtbM7PBqI+z/sFxRhnIc8xPpe/ph8QvWto5FBsnSmkl9jYBa+EFD
+sQzz4H0udOyFe/XKMw1NaDbF+z9/oJsq3ViOPgu7MvS4jTYdEmTfNHAlt9ro1oLHDnVJ91DCap1
pRNKxlTkMiQDyWtTUuq83Zwjr6g7PqhOwdeD4ThwG8wJMufAczohwmIxqsc47olK16FtsdLNrPfE
ijDgxYbT5Fdaj4ioxTh8iYnD1LZL3Orv5I1yrvYtwW8zJ/vKtFmMc2wr4CNcCB5kIJD+mpiJXrfp
+l+NekHsMOvDcskqBgnMv7PpXlJbHvp1mwroZ1m+mU7uHZESaCgUwR/grIywfOlyUVsxjj6kXicl
XEJGwFOkxlWYtlSZmymWYQ8ST9uAMcSbYy3FN9x9933dFmlgU7biecxdQCcqL29c+BV3ZulCKTQL
6A6dPy+X7zfS397mx7n5+n//z+cv0Pj/GIH93KZibdYpuv91Z/vytev/5zmVcfrLhuvHb/4xMXN/
g5HrOIy+mEpZYiXz/7HhInsLZbknHPZcP8K8fjgwhA60G9+7S9+DsshZQwD+mJgxZ2NYBsp/9T6v
2qK/MjFzfn1iAtVYl2U02Dw0qft+TWuPZ6EKEMLJsSvd4ar2KrTvFaC2K2sGQ1eIHusBICDjngUU
J2BMKgxI57DQDXXIEwlgMYoGdyd7Xz7QvoEWIqXjOfX6Aogp6AYrHfw1EoPwIyrHPg9IdbaPXbS4
cjdkQ7QEtiYU3RyJv/ZG5DaEZJ+Fu92U06FFA1p5OYNkOUM/jUsvfjKqDufuaOOM9J3slZ3DM9Vt
hN036uanpR/xkapi3qWjpoe9yIYLd7Bx6usqBSzARAiz74obIcqElcHcpmd+xWhCZvPjHtz4JY2a
rAuTKVMHabXsptVcgX209JdFyvEqg3r5iI7H2uGV4vbzOxoLH4j5hsVN3m3N0knDlMH+znHtkRm3
msuHOAEwaVoTeydu/NDVW+PKN9KnOoepGHv9eO2JeeeNRR9oLeuVeKxHTpJU9A95k7l3kElJmhKW
DvsOioaxq+dhpRF62hL6A/IhdD9iazYjKCU8MCGvOQ+trheBqH2kiZrrbqLJAu2SNwcDk4orWIEY
Q3KL9XHskeugNQldgmUCYSuga0W8iDNS8xFuLWhLzq+l30RlfyCcGQtaN2fZpmE9v9VGQgNENkOB
ll1l833YwxkBx6HP9Lc0w48y8F62edQ/R9Wsn3wlnzBsiMDnkfyJBel8MrCl4qT3ktDOievBAMx2
IY7vO56RVUjCQXHtZWV7U1S4AfmUy8TdNGXtkLvQOXe5RSYNxMPxLZKRecFdn23t2JnOPEa/9iby
FeT5i7ON2jS+W1TWnSa/IBeMUaTlGdO5cHK044bDxrPSooth9a+Ie+DCkZR4TDih4yt87sV4mfy4
bj+juug+6aodvkGBNC5O2dhXWdySVekIBrN2NZwRVbVO0I8lH5lqSnk9mPonhTbjRoNmszWV/lVU
5SdXqRpLvV21hLIg3CiwyN4SUWp0YSln782Lk+Fx0YZ65W4VW4f8oQE+Mkzdgy4GG+CmU1dFUFRK
fUoQzOkhWuW0QWbTYrYGpsQymW95a7t9uU2xPuuXsV6wW+uJfm5aZI7BZMygJBvzTtnG29L5b7ok
+VO3/K10AegAfEqJIxJu8v+4O7fttJElDL9KXgCWjki62WttY7AxsRM7mXFmbljEZkAgofOJp99f
SyIB2ckk6Vxobd1l7Gm3Wt1V1VV//X8UX+UJO0ZZa6NHZCQRAA5XCmD+Cno5L5zESAJem16e2++g
nQ9ByxJJbzcj7XqNzXlgBKBqEDjeJfR62iOnmJXqnsx0AAV5CXlcUmi3iZNAvG0vyng9zuLwL98d
hNlDjK4NU0qmiCot3ucZvNBxtKPOl0M4CBCvnGYKlEaGvpntoD6J7rWDRqUwW0BEP7azajun/kWn
kJuEUAKX1J1uE/pZJ5YOodvGX6iTKExhfbHAO6ukjR7Rb6tMRNfne8UawC2QbK526EWhEKYNpuai
yulBqIrp3kCtY03F91Np6hWBc1TMbdeaGvsUnOSiUiFKg6DwYhdvzXuq7zCWjqBfo7Tsj+18hwoR
qmU32x08K0GWhVc5EmHjXPXXt0VuFqzAVnTRonM2M1M7vi2BBP1ZrC83mTenVWwN4CpBKsgFrjwp
B7o/3YbzUVV+ApYwugziRJuVh8UBsfoknHumEtyqtey1aQzK+CIKIk25NGkgt2a0b9lYqji61+EU
+mibdKGLEsblxoQslBrhobpaDKCVHTvebgctPy08BgLKc7iSUE6I87/ReaKjJc+Ir8Gox1OwWTXd
/Z13WFf/ZJsDTRm5ZU1hoqDwD9N4doUu9xNU3dElQl3UNzYjxOyg08hmkOd44HmE7J6X/Y1jGQGr
8PLr/SEqRIdHMDjATFUU9OH4bvqk7fE2Ey6EyVtUz+iVWqsf1oBNaCmBIt0FMIhOnr298qyBT5zP
9QjWwwtAJzbgAeTi1P2A1vp4D56+Ii26cJBRG3FZmoygkp+PUlri8Nj2NKEn921mqc683FsuFJne
w2IEy7xFdeMKBCP0ppDK/5PB9ytYgaEJ9kNsb6Hm3iU5mmgWOaoP2m69iy6VUn8fI7I4CNCDgDTf
qG434dq9c5WSZhUvhFrvAPGGCXXITZVGiykcOHOYXiNoAsrk2Qxi5AP8sJgQaodvU50azQH9mVl8
cD7DD+LP1ibdFA74iGxXfPZ9+BAUtYLOKMPd0AAyIzu3vs4KT7+EguwuVxcPaYL2oe7DemFnuXkP
55Q/jWlwWVfbh0xJBvfFZvu+ZF1vFqWpcRq9u7XlH6YlvZO4RpeukItRnozgtgBOasCdvb8wc/rn
Y6Os/jB29OAXGev6EFFlHt0ctmmV3VaJsg4mGp6T22xdWE4VvaKuZdQlZ2g8D8pks3DCwwfKds7g
U1EXql3Lgi4JZB+dH00tm843D1Sqxd2uuoaJ/oNpxaMtle4DoUxCM8ldDg0E24rw/UJDXw7mPDX2
VxUk6LShZ1ChaIE2QIh3Gx8edZi6H/1AKW8sSKDmGWQsVxFi7lBU+FY5Evx1+Q16hwWm39uzBvkm
RThPOUxUH4tp07C4rODsBV6cbW9yxcl0wHgWdIyHzL3xhWQCjbokpJ1iWkFK+xxp2YAGBCAzSWVH
08KO1KkOpyyy5HvM6y7SWaBdtSunG2W9/tOoFihUbAW/WrhLCDp8HTo6kh75pXIws4siyGByxbsd
CrrIQ30ehxmsqSnZKChVtCpzqN5tcwW2R3wbgMuNvR0nFk2Wh523uakQ+6Zpwk5y0hibCgkhShoz
aJtoAyTBk9Hgwb37nQrbSToO0kPkTndm5EwCG5VOWKwyMCZcq/6CfmIDrnerbO/tTRw9bJ1tkVD/
q1y459GBTtxFOY1RWrs+qJsyR7oAIpkLpYqt5MKKq/TRAz1/uQBx8dbf2r5gJi2rTwfdhbEjMa90
uOTpaj2AWgaaiIpctHMXwGQg7IfrpcgvBpD0TPRy4N8ZFUIpIgKC4NinljQDJ6Q8kqsUVGEgTsCT
wG8/RUpjD1h7lypjGH3TTxjvw0RnkeaBo36GOY3meMtU/Au+6ALm250gb3RiuDKKNNtWF3AaaOMU
0FFIhXPjv9tHia2SQN/A6G9ubumuDGkD89O3RWaZsxFMJnC0U326Tzyqn6RM996VsR/FEyh69Bs7
S6L80tsb1XO5sCFdIOb+Q6tG1nxBun80dqvcepsohGaXi7W6dm59qtJjrbI+pUDWHoGSg/1cm8bU
GxzWY600lVmsVdRyku129JceGnkxTujzvHapzOFLNOfWQ4BvpQGX5DLsqkvsqXvjFgNakyKDJuec
XAdsLL4Fa0HkwuNBclmDqAH2lGpPtwDQOF009tHpUlm7Cdh70mYlOqSUuvL5wcqLuypZFw8JpJQI
4hTlGLoyiA524WZZkU6MLrQgMKaqi6LHRaiG8STS8hTMFBoK+iKNaE+DQkXLFetZ22vl2zBxD3c2
BAUfwoIG+DH2fIsaiIpkwV7xPq1VxVtf0pzj3ATwkt641LlulHARTS326xz1rtG9fkiLcaGEwIkP
9IcODoKZ2TLCSQUQjNifriTTXGRjKNU3O0yzv58WI3p8tt5gPysVYvHQ8YqPQQyGZ6DEkzSMQLut
4fHbbv38bmtZ2hwjkV9yADksFmS3CY3ltzq0nGOSSyH6Mai7VobqB2TTq+gCHRrOemxs5yHscRMa
wyMCqNR72uxGpkjrbAqI67LRP3kaFM8jpHMgTfKc8jYnM6hPi9gImmzw/839v30RoZg1qSvW99kq
rh5WSQbF8xFKIn5aazx/REcideme+slf+v5ALbNZk1F4gqIrFTNAgajTTwR49CyfUE+pnsr3RvCW
zDh7JlmhO0NTERRpugX1GQ/ZbQ8esPbHAwdKNJX7PLRFGEee5g+eLNG3FuH779es5vd/5+wNvplV
UTXKmT+2Cp0xTlaBtImBjhm96M0qkNk9XQVbHxqAdi1DoXYqHlaJZe/TKhzn1NRkvuzOl1vhe4sA
jIryv1CbPHv70ZDaMTlgBUxV/fTt7TUV8UjZPWAPSVuB8kBOrn4Y8HQVHG0oOusslR7L+gG30bM9
4LxQ/PuGOfj2HjCGFHc1YHjtce9sBRW5UPaISZmBdCEPB6VviyBIYX7EJn5vEWzAg6CDzOZLk1/t
7gQoTgVtTb0GSu92ApF+N9H8szuBXlLTAj3FxaF5yY5JtLQhbaYtXrNfW0BT6LGQ3QNgvrhCQW90
/u2t0dBSVM7I0R/2zhPAKtqFz/3st6/BtRQ5qQW8+u1VxRyaBlIAo969vU09TfbTCxZYKuP0PDfH
v7sFTLq2abAGeNxTRwAXriq9CnxisD6WqSvNW3Y8geUMqYNTRxo1jkBgs/tlBijS8+XkPIE1RGSW
SpsKUFA8HSNIVg/+MkuzwAo0q9S3RVABbclGRpo9BO8AlXL7jmJZT/2hTWRkoxAMMXKzSr2zCkQz
0h7B0IYgg+koQD6wfnjL01VwhGAyHHeIrTc/792BUAExNZ/m1y8JhjHU4cyme6DdDJ3YiIIvFWjs
ht2/qAhCwhf19591jVTRwcOKG3EbIHfPAmZRNLKY9lfn0S+zyPRsWYtA1gCT6IBd/3ofPj0LNhwl
dOAiwtoGEL2LkDFmmrSLtLF7Bi0DVps76XgHhxslwjZcJNq90ASlPcoaaOLCL+kjuSiQ4aZvoo2G
xM3jdC9YXCQE5lzcGuunf96B3E+3n+1n7YJuDbkuaHSctTmSzirYJifCIn9A61z99O9E0DQv6x10
ZQgeByf4JVQ43wuOOqR7xia/0AaVvcsmaoR0stcnfCQ9/pZj2a/7SPYCjRgO5rH9ee8iBcQvDNm9
QLxEZExaGcRs/XROBHaBjmXSim1k1iezCHentIskPwLcz/oSB7wMFAQVMlfs1kX2bxNwqZFdBcjK
KN3CfEQ6rX66LtIQyEOdO0rzl3q1Ceg8lvWNsF6TQFNRe2len0N16hvhq6bwQO4aZuy+3RxpdtQb
J/XrtwXiRBjkaDY7JhE6NkAw4I1MsgiWaErjaUKyPu0CXLr0LiACIkWA4GCbKmGvn+4Camw4TTrV
j6nW/pkC4a5kzwJU7zYwLef4lp2zIOJEVkirmzLFXuifRQAaLesVddJqtk6DcZtV72aUHOJIur2A
YhMe1E//7AKcDLJ7gVu0zoeGgkl86fpbn54IweGE56Tdt12EHlrHWrNLLruIkoKGWVCRG6ufzomA
5G6oshngn+6fXQTV30zq170DESJ1FM0QleXX3t8yuVlCfTE6FiN7aBdfqtX97M3RsMAW0JkhyMWO
J/70LHBCBEssEdLxMPTOItDaKXt/Jq9mUFElUnr9tkCOmZ8AHDO+4lT6lVejM1T+ROicCPrwKeG9
vhc0GOxMggWqb33bBTrXBdldgByMQycAVrH1Cx2LCIGf7QDCAYbQrE//LAJ3OtkYgbNgo4t2vDK9
qDpBiwSHCLRIJ2elX2dB7AVCfSnvSBbFoI4pusiab82O79pF7A63yzaF2aNbAyxRgpZb6v2JFGEP
dHD+7dW5c2sgx07rnybKj4337F2MAFuEPCBJxfnpcIMdLQJveboLuDvpxA+cha95156dBciEGjP1
65GSuEeTSuN21F4bOnuhhmVZ5FUF2VnPyvCUwkQjvdRZEDGSit6J6F2tn64tqP2iSOO34L3+nQUy
is2F9td3ARZREWz8NX3G6SEAiwUxiKCvbUPI3hUXYOKSLjSJEotg3wKl2WyCTjLJsiH+pexMdbr5
eeOH++QWIJ2SLrdxNeYrs55toPwyr2xhDwG//DwY4weW6gv+fQwD2XONfHdXyWvY92/9whHz/fLn
Ld67VvM2vpIs178ogPDN3159IZH7zxmCs0Zjn/zwiM4+/d/bF3z5p1+d1PE/XrureBk/wexa/+l2
mndLH/z8f73l5+W5XCKhKzvv60xeMAJ8MYX/MnCyWx7HEWsigCXHf7/KNPBj46KhFuzPB65xw9IT
jnfLfbJMjlOsp4xkzfHfvz7l8dJz/wniDidCA++SnTX0pEG8fA6OsxSzbhCU8iPv96un1EU/+Gzw
GporO/jlyoMFMV6djtxAH6VH/jHu1i+H8Nd295RVd5/Pd2GDVJOd/9UqgD/jfGQCZMyu7Mjf5p2U
XIzZM5Krx/nVx6YBaslOeOZ5LpLZ5yeywUBJD71/dpcdK9LgiqRHDorzj9dA92SHnb+0TQ0CSHpg
BsiedtXZ92sAJbJDvw0y6OW6y9zANGTHvl26+zPrQRn2d7iX22Vcecv98+lytHh8+SknyfJpkyWr
ND3b0y1aQXp892njrpfnDXYNHER+aHxBEqRnOxuBZFFflx87Qe8RTajQPQ4mbAgtUaKC9jtGD7K4
O/RvmXiwTzubWxNs3/KTvlt9jped6AnMkSjkyq7H3Spfnvuttk4uP3Dx5nrph8nGPXfrjC9qr79j
/JtVnKyq41j1LhFK3sf/8OsR2t2qeHO7Kt2nMzcG4aPAnv+Omf8VxLvjSO28RbJdemh4ZTdvxss4
wFOeH86mheL3/IHL5a579mH0+g0hybuNe77iTSVGdtbfE4GXjHXefVMTUXLg9/8iDiQ5/MMmeF69
mSUvfFuDoJVd8Q9B9o2N2JZVfs8feLkR20y97PAfWf1VkqzOQoo2Cy4/dnl+q2zzyrLj/pEuN0cT
ImyK3iRqZYf9cxUjunN25wPxIpJ/0iO/xgzYJNZkh35c4nf2awjrjtOsV6RJ3UoP/m+0hpJn89FN
noI9etxnc29ybdJzRxqShTkf2REd8t8f+bVM0xfCgJf5pyMdwmv/23lyTfzGk7daxv/5HwAAAP//
</cx:binary>
              </cx:geoCache>
            </cx:geography>
          </cx:layoutPr>
        </cx:series>
      </cx:plotAreaRegion>
    </cx:plotArea>
    <cx:legend pos="r" align="min" overlay="0">
      <cx:spPr>
        <a:solidFill>
          <a:schemeClr val="accent2">
            <a:lumMod val="75000"/>
          </a:schemeClr>
        </a:solidFill>
      </cx:sp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Sales by sub-category</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Sales by sub-category</a:t>
          </a:r>
        </a:p>
      </cx:txPr>
    </cx:title>
    <cx:plotArea>
      <cx:plotAreaRegion>
        <cx:plotSurface>
          <cx:spPr>
            <a:solidFill>
              <a:schemeClr val="accent3">
                <a:lumMod val="75000"/>
              </a:schemeClr>
            </a:solidFill>
          </cx:spPr>
        </cx:plotSurface>
        <cx:series layoutId="funnel" uniqueId="{E9DBDC8C-F8CD-4523-95D4-3827CDE4EC84}">
          <cx:tx>
            <cx:txData>
              <cx:f>_xlchart.v2.8</cx:f>
              <cx:v>Sum of Sales</cx:v>
            </cx:txData>
          </cx:tx>
          <cx:spPr>
            <a:solidFill>
              <a:schemeClr val="accent2">
                <a:lumMod val="75000"/>
              </a:schemeClr>
            </a:solidFill>
          </cx:spPr>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rgbClr val="000000">
                <a:lumMod val="65000"/>
                <a:lumOff val="35000"/>
              </a:srgbClr>
            </a:solidFill>
            <a:latin typeface="Arial"/>
            <a:cs typeface="Arial"/>
          </a:endParaRPr>
        </a:p>
      </cx:txPr>
    </cx:title>
    <cx:plotArea>
      <cx:plotAreaRegion>
        <cx:plotSurface>
          <cx:spPr>
            <a:solidFill>
              <a:schemeClr val="accent3">
                <a:lumMod val="75000"/>
              </a:schemeClr>
            </a:solidFill>
          </cx:spPr>
        </cx:plotSurface>
        <cx:series layoutId="regionMap" uniqueId="{5CF8B556-EBB3-473F-B66E-7526F40C3631}">
          <cx:tx>
            <cx:txData>
              <cx:f>_xlchart.v5.12</cx:f>
              <cx:v>Sum of Sales</cx:v>
            </cx:txData>
          </cx:tx>
          <cx:dataId val="0"/>
          <cx:layoutPr>
            <cx:geography cultureLanguage="en-US" cultureRegion="US" attribution="Powered by Bing">
              <cx:geoCache provider="{E9337A44-BEBE-4D9F-B70C-5C5E7DAFC167}">
                <cx:binary>1H3ZcttItu2vOPx8oULOyI6uE1HgoMmSbcl2V/kFQUsqzEjM09ffBZGyJRRt6UTrPFDdUQyLTGJn
rtzT2jtT/77p/3WT3G3KN32aZNW/bvrf3wZ1nf/rt9+qm+Au3VRHaXhTmsr8XR/dmPQ38/ff4c3d
b7flpgsz/zdqE/7bTbAp67v+7f/8G9/m35l35mZThyb72NyVw9Vd1SR19Yv39r71ZnObhtkyrOoy
vKnJ72//E1Y3JqvC7O2bu6wO6+HTkN/9/vbJx96++W3+Zf948JsEstXNLcZyfiSZ1oJJW29/3r5J
TObv3rYcfaQY1UJoZt//sIdnX25SjH+RSPcCbW5vy7uqwqTuX58MfTIDvHP69s2NabJ6Wjofq/j7
289ZWN/dvrmuN/Vd9fZNWJnF9gMLM03j8/X9vH97uvj/8+/ZL7ASs988wme+bM+99Q94Tm83gXlY
nleBhjnaVpSTLTLOU2gIAXbARTm2eHjqFpRnBdkPyG7YDIzT5UGCsU5MGd5uHhbmv4eDOkcCekDk
Dg2tn8Lh0CPuKMaps19TXiDQfli+D5wBs353kMC8D8LXVBL7iBOgotXOfs2UBKjgHQZc1F779Zw0
+yHZjprh8f7kIPFYbJLwb1Nm4SvqClNHVHApNdHbVSdPdYUQfSSJooo82LYHPd0asJfJtB+bx2Nn
CC3+OEiETpMkzEwIt/dqXt8+InArDpP8Z16fcEcy4Yjv72+fvXMwL5BoPzo/5jLD5vQwrdkfyebb
Jn1N1YHBkpJTStVTnXHkkcNtxqhN92LyAkn2Q/J94AyRPw4TkeM7U/qvaszokeQOdbgme42Zw444
50xx29nrYl4g0H5gvg+cAXN8mGbsjzIcTfaaqsKPqGaUOmRnxWYaQwg5gioJLYW8R4Y8WNCtFXuB
QPuB+T5wBswfXw/Sv3y66zev6FwYOeKSOdwh+/VF6yMGM6aV2hkyhGyPncuz4uwHZTdsBsmnPw8S
kj/KeJNVr4oKP3K0dmxGdi59FihrpC9MI5QWOys2yylfItF+YH6MnGHzx9VBYnN51735y5Txw679
71NLTo8005RPzv3+hz11/UocSbwj5IOhkw/P3hqyl0i0H5sfI2fYXP51kNicw5A0N/HwsD7/PTZI
ZQRV1JHih7V6QpCJI+oopRjZpf0zvXmJRPux+TFyhs35YWKzMKBkNrevmPwz5wgmTQib7/QGDv4x
NsQWR4IrpDlQqMcu5iWi7Aflx8gZKIv3B6kwy7tk023Ku4f1eQWF0Ue27ShJ2Y/c8TEoMGZcOpIz
An80/cwU5iUS7cfmx8gZNsvVQWKzMFl2d1OHN039evBwciSUIIIxsfU1M51RyD8Zsh1CZ7i8UJr9
0DwZPENn8ekg0bk0ZR28WW5iU79iTsMVkknJbIegKnP/MzdpIDzllPU80NAPW2MXCrxQqv0wPZ3T
DKfLwywEnGa34eZV0059BF5Tc+chUp5FayBqoD5KA6Sths0U6QUC7Ufn+8AZMKeXB6lAp6Z7TcWh
R7biUijO98bQmh1NBk8Se/f+LIZ+TpqfQHI/hzkefxwkHuevnXE6KIhxJPlqV3qZeRrtHDHHJkhJ
d4EC6JvHQdrz8uzH5GHcDJXz64NE5X2coKr8qgwzgmKHwcvsAgB7jgsyHnsqYirYsJ0LeozLSyTa
j8yPkTNs3p8fJDbvTBNWr+xc7CPtgDeT38vMT/2/JqBxiAPSc1fv5E+V5kUi7Ufn0dAZPO8O06Bd
bMoh2WS3Dyv0CrkNEk6wATBYT1FRElVmAjJa75joWb75Ekn2g/Jj5AyTi8OMxr6EKM68dq1ZEOpo
JnfmakZsKudIgvcU6KTZWrMZNi+RaD82P0bOsPlyoPoSVpVpyvBV9QWwIE7mu1IAfao3E+kM6kyR
h2xmFipfvECi/dj8GDnD5uIweZqLTVVtboKmuqvr6vUAAvOMNgyGFpn97TMKFTRboOrszIKzF8vz
E3ieTmeO0aHqz00Q+pvX7c50FFdaOftbAB0BssbWMGy792dJzUX4vEQ/Aej7yDk2pwcZql2E4NKq
16Vq5BFDTwCqZruK2TyO5kdEI44GV/OgsFuO5kWy/AyW79OY43KYJMBkp6f/5/lruh1wmBQc9Pfu
pVm4hqZmtARQlA12DM0/1OZFQv0MokeD5yAdZg56YbL6VSk0sJzwKVPX5n6yhthAiCOsk2yW37xA
lJ/A8jCHOSSfDtKeXZvm/4J95mgCQJVZPKT+844a2z6izIbVkzNcXirPfnCejp4hdH2Ymc778s43
rxkLMDQJOKicMfmdlnlcVyPUPkLzBmqefBarPS/JflQexs3weH+obRvfyk0Vbx588X/PBkylNLQw
M6W27WX2PLvRR4BDUVRCt5T0zM1c3j0v0X5kfoycYXN5mJXOy7t285pnNRhazITkXCA4vv+ZcQKE
SEQAAlmNs43dELo9pjifl+dnuGznMUfly0H6mP9sqgAH3OpXtWKobxLChHJ2bMzcw9xbMfTbPlAG
M2ReJtN+dB6PnSH0nz8OEqGpfetkk+bA6TVbODg7kg66zfSD4QJl9tjVgBVAhCApSIOtYZslOC8W
az9Os+EzqC5PDhOq+8L8YlMaHOZ4RSfEUM1hOOD03dTNFErpI+LA0km5c1JzJ/RiuX4C1mz8HK3F
YaIFxTq7K6u74cExvEK4gEM3DCoj2H4yVOE4J1JWHCfexXezEHtSi+dl+glKj8bOETo7SISuAhz8
fXNavW6BByGdpA7OO+960/QscJgsH0HMMJ0quP+BZXwcOLxUqv0oPR09w+nqMIm3adde3PXhzWv2
fSJNpYi7Cd/ZtJl/IrY8Iihha7RRPcXnZdLsR+fx2Bk2lxcHoUM3vzxTv93HWzv35JP/yysFEHyj
YoBGHJQV7n9m6OD8B7o+0JP7UCyd2bnZUf+fi7UfptnwJzM5jHsEPt1NJG91d/ewd/9734MoweFo
YLd3+c48VUXPGuOMTmdyt5jN9OZFIu3H49HQmdZ8OkzK+gPgqYak3bxqGZvbaOzAieldLcGed+Uo
deQwx5maqbaeB57psed5qVT7QXo6eobTh8NMjr7clSlI34dl+u+VCHel2EpQ/G9m0dAzLSWVWsLl
3P/MytgvkGQ/LN8HzhD58ukg/M0TqXF/zZbm/T/IgUCN2nAn9OHE4QwfZ9ItHM/FgdAtPrMc6OVy
7YdpPv7JvDHtxUGi9bneBK+nPBMlh0YDsAY7MnRGlt4f1lVobKNyhs5zcuzHZDtqhsTnw9Sb4xJd
bG8+oXqdPAfIr643+vl732+IWm7qzer+aqlHtx/9+t375ceNV7OhO+e0N5zc+q3T29/fUo7g7/uF
VdNX7MZtK+WzWG427m5T1b+/taQ80ooxtH4jqEQ93sb+6e6mtxDNIF0DTYXuMIH7SBz4zGziK35/
i0SOoVCCKHR31KWaCmoYgg4/RlGZ1ATUvsYVJd+v9PpgkgEVne+rsfv3m6xJP5gwq6vf3zIYnnz7
sWl20xNRltGSMKpwaAPHavD+zeYKrCo+Tf5fQqIyI10s7hzi1Y1e0ZznVrKw8zYcvwjR5PGGW6Wo
1lkxVANf1rQXQb+wjGd/87OSZ9bC0D5WZzoQQ7OMtZUVJ51Ok+oiEWluDa6Je5F/E3Ed9WaJtUoi
tvCV4uRO9WZorpKgV8nGcUTu3bCUFfLSl2GRMzclYQVReC7K9H1A7LrLln4iyjh3TSfS9B1RQwGR
/TQlwzlNWRb9bVWtwZhHkO5ZJBBUT9YIlAjlGnT9FP5gubAjHq+RImnYBDJw7rzOZFFxUqc84ScJ
b6tSnYyVX4fdYgxz3GKT2F5IvfWvH09geJ4+f+pAYzh9C++N4wF6ev8RRmPEnEraMryNSMzicFEb
Jljgak2tIlqXfeeX9bIMap8HrsWtMc8+dJwNFV0QPsqOndUyyKrYNaZgJbkEt1DgvV8LiS38WEaF
ajnDhSxocsQR4GlbPpWxD0KLBiWzbqVVtjZd+qPyVbFOHF4z283KWsqvsbC9GiTCd3V7HpvpuVyj
hx9Gm6KXZf7cvBmMMhZzbv0Be066rZ0n1Z8B92jmu10UNuH7zMNlerUbBAam3f3149GnMZu2wjUC
uHxDcwHXoKZleQSNL9rQsvuA3VoqUQVbiM6WYgNFsupTM4YquQwtYsgFi4uhuY4r2x4DF2R5gkX5
tSSI4J5KIiiKEqivTo0jCABnANQytKMhzrwbT4+ZKI9NkafesLK8tNLD8eCUPVD59SP/OXmUpyTa
9NHqPUU39tPJByrwkmiwy1suO2j5eiByJPFalF1T8VXoeFx+LRuseuFWEo73q7GHttSrNjR23j2z
EcjMkqmpgRYZ4qSouJUOBzeeSuPrMRI6r61vKEWo1Drp62BSiLQ3Ae7qa7qIj3wRptVAc7fXlEEq
EdpBc53mMhoWmUXK7FqnQVpmy0KYkl6lbZhV3369ZpM9fWRvFUpLNg4AoXUEZxyhLTNb0nSeU9rF
2H/ry7rEJrCb2MZi2X3HhOX2JWut65zGxaQ0dWemlzD3m+cWC9nyEzGQSCOZ09JGpQtX9InZvsX6
ZEWbtflXJYyIxCK3wfsWruc1WpcLMioLBsYbtjqcNBzvNfebOieeg7f6rmayWDcde35b8bktQVMN
XKLQhFCUBWB3nyIZ93GVeoHJv+YlsCxWrIodfkFJwIZzVjVDUbjaa5PxSxr0w6DcJii7IljA7HTy
yi9GzzopUx6NX0qrqeSlE8rJTfW8TRN9HDciNcPSVEy3sTu0SrRXeRnF45cxkXEXu3aSTKYz1Inl
1Tg2qgP8kg24O+aLk/Z97blMRANeqtH2a2eZi4pVa6maHqPi3g/h5or7x2vHt4bOdUwf4SsMXBgk
D61s8lB1LtJ401cyK/K1bkvSXnNmxvpdWcZe6SZJWtJ0Yfle2p/4HCb+r8zJPP6ltVtipSvl+PB2
bZEZOMpf79C5IcHqK5ysAQHGlUQpYLY1mDdkPtF58nUkaVX6bk9tlVduZyKTnLKm6LBdf/3EuU7Q
6UgcJfAe4Ev1P55YlXYVdCnr/mJjM23GruGTEtJKxXAhsi2E/OpFbMQm7GhTV/6FIui1L59xYdP5
4SdKwXCvFVUwnyhxUI5Y7em+G1nbFJaW6ZeUZ2nN3No0wrozRVAM4jyIq4ysSk+Z8ENbOf7YuXkg
jL/ynZq2xsUVDF3SujX1i/PEc+R1z8rEGdyqI7K9qh3LDheFGHtzjk1kB25kcy/MXe5JQrIzO7Cx
D00bwMedelFcY4vELdoH3k/3cOWDy+KS9e3xrxeezCy4g7Zpe8pn6P0VBIhMn844ll6QdUWlPrdN
ZiOUEmVJEUq147RvOVw9PwlI12Pb9rFmePHr+/jKkvm0pVkTddS79no5bWlahGNanoQ5ZdihUTFW
NlkXSZtX4fEohhha53XpFNmRwUmhnYoUUKNnpjR3A+icwClLZoOo4oz/w3g4Ba3qoZLmW5YIC2of
IS4DVu1g10CReQIRbeU3uN4mjUQGscs8LYk4cazIgkEoAsSRU0w7BBiVhWPSnvM+zk36zG6brz08
wXQihKKiRuG7pJxF3j3rslxnI/tWeVROC1ZXedJ8KMY6zLNFVwwFhLNU2uI9MxST0XLicbCuuzz3
TitdJpG/SMfRHs7ToMiwkpm2JUxWI2wruZKp9sd0QZme7BK1omHaZiOsGnZW6HUA89cr/1R7BOy1
xO1vtoBDQaqM+xXmeykokBxY7WVQxZP3GNMOLj+vRNZ8HCyn4bjN7VeR377n4WKNLYU/FY+fPk/1
fY5TN3ZziU03+a7eD4rItU0cCuOWFfrg/3fPg0WcCmuoVOPkIb/vL3wc6rHOg6K2YXTpRT6cdBYj
9KFLFSeKrbKqUJjyrx9IZ07aQUjpIA6Bg4YxAnM02yEFy9LRRBn97NQBg5uoc3/SpdpizeSF7l0S
2PIBauYF/eSt4PYn71jmBfa3FRDkRaQX069MEaP1LNGR4idhl0wqXQydkZde0eNTYcAmbR38VFbr
2FIlW+dO2bJqMWCbYus9M7VZSoWpaYKbaHGsBivKEUA/Ba/uY6KSxgyfmd9OTrcuC1jJMRlDc1Pb
Tkwzd6hNMX5RNJvUMrUMgW3pZZr4w2pMJan9tWZW031G2F9iOToVMexw1o5wjFloaVhL3iU53qoa
RAAnIc07aEKNEA8PDGvPxr+QtBIsRepzLEVdq8CqFyJpIuh+oGmEf23XZ/LqU+feyzcwTh5LXKeE
1EU4yOPtf+QOpBu5HGRhfWpTZeDotvkCDZy+jRdI1QM/e8bm0FlkNT2So2WG2oiwUCKeZ7J2ZBCT
5736VDUEO6QecJYnPIbJwfrwKOdGrLzOMn3lyoQNWPCk9TJYSvhvrFJX9kn9QcnK8aK1V3MHfg2+
pb0q0ZuDYCa14MPqPkPMtYPNL7oMS9knTgazD4cwweHH/QSEFYUEL3qIdHtlm9RAEhHHCLNiWU+J
/69Xm+uZZ8Dkp3gG/g73UsP4zlNFxNeV5dv98CkIBpl4bt3ELF94ne1Fl5KOvBxWRVDK3HE1pToK
3LIswuLMThrWCzeHkbXOSz+1+IWXBootis70/o0dJvZJ5zVcLmOVmeSWR8lYXqVGpriefSRJ9563
xO7HpRNlWuSLAm6ratZdJ5z2siwCrzeuTO2UvGN2SfQyy0pNFlFfN6Xnmt4pxsgNsrbk/cLv4xbK
0I5lNyRub4mIR2tNScOvZVIP3F/YPWm65jjXXUA8uA3Pr0/rQMEhLNSYdOMIngBbMT/t48Fr3KLK
I7lutfLZUqRWP37qpKHhl4YnvrdkvKZkMSDhN4Mr/brSSx3SLl74IvFPcGqrXhbG7sZzT2e2fUw6
EtC1b1VOYK/y2KT88yBaP7Y+a2P3/ae+7ll9YVV1Zl0h+FHNrSilLD+PqvUz4+bGkKD6qPsxiY+9
EHTRejTcSY2rY8NosFDlWBXON5JGTnYb0Ny0/RJbZSjudFN3nb2Ik64i0UntZYVwlkisRCKPvdSK
5aUmyorj41bmtEqCu8DJWI1V7glzSn4xMtNiS4+krPLgI26ir6W9yjKe5+q00V4YJO8y0ceFv4pa
v+7ad53w/DBcezztGnHlZZQVpzLige+ssVcki928HW1EqEnlhJ12fYvLol4GXjlGw2nnV1YQHndh
isBpEeuOw8C2ediIP43VSFGdYnN0lrfoGCJwctnkSCC0Ww/M6eX7hCqFl3r7SysME7yHG6Y5Hjea
ihffxqbQtD2LZJn79IT0lqXUYohE3KjjPotImriCt1OIZwsrxHR8JuBUNr034BL+RSQCLfz3Q5d3
ufoQeVbUJWsVM4vmp3EzaKd9LyMmQu0WWk8kjyprEcRflO951njOeVJhpayhgMm+gNUuAnFuMa9U
yTsSFiFJPkRRFzneqotgCPyVCdGVVC5gsiaRhtZKbLqy/WAIi6Wdx1HpLLPatkT2J/VphuelUaL1
58Z3imJRgljAylKnCeFBFkQG05dAfkTfblHoKT3lQYXZL/KAZEyuo6CbVowldYwXUwU1nHmqJpPP
29p31EJ3tcEGGDOEzse1LlN8Lt9ONajFiOUrIly4puBLKg9PSwIyBQQknOAhOQ+o+A9J+mmdM64j
kHNWY5WAwspiJ+B3RYHcvFiXYYikYdE5ZFDFInQC0VhAkDdF86WOsibMsF5WMJrjoBk56S+cSE0i
h0A6H68ldhaewPBW8c2z+mmDydKakBeDhd8lOp2Wpm0JPgoX6xQdZGjx5xswx918ypKx4hsYzAC/
E31u5HUsuKfZgncajJqbq4BgLXa7xxsrja9UkTVNzquH+8VosGvKxS5d02IU079YJeILZoeldb1b
amv78YdF3n4O1AuNLxTNUwhAMitov8WhzMPyOMzYgEkXdMRfxXB9yvzQvkbc7xvtii1QZmxrbDUE
/E3pn2ZED55wSRy0g3yv08ZglVqaJvgIzUFalgvwRl6r3dgepvzNT3GlHnRU+XbxTW9X0OTQINi1
7ZwCGoJuWOQmkx05GRpnSgrsLbTb7SG9OMH6SB5ixEqoZJp8L4cA+9Qn5fSYgAcSvxxMYavg82iF
vKnPMFM2Le92I43N0EBKTHL6FhKWFcahg4Vhd1V1MIm+XVBr7Eb8wyTMcLWybIEw9HSkQvX5sW+D
IrRXXdgY6LS+j1LzqgO+Yato8Y1IP8P2qQSSL0y+bJG3va9QHJi+kLbTC299By9JZk/qkI5ikj9r
pB90n5vET/xwnfkONntQMOKzk7gaFKnP2XavhFGla3W8W3IdtSXE6UMW40vgAQweHuVhDD/fkmKU
9mdEbpHTLvPCqrNwYVe+h4eLKMBl8Ms6yUEWJ8hTwIEBpqA5Vcaf1LmBf8Xv4qGRkbOOESz2wxnT
VdKbk5obO00XieZJ2rpe5YOHJZo0+HxQFxVeEDSK5DItGvx3uE9RhN0RcG8FiiPJZRvXHiL5rozw
dBL4pv0iM69HDuYN47T3Ow1THq17VlBYGKcMksZZJSlcbLrqrczT1anQcFX9X7bsI9gbPzEmjk92
/HxUJ0EZrZsgAXVzM/AKd26e5FGA5Thm9zpTGCfBglVeF3vjFxY4pqs/F6wLOnlSb6fea7/CErG8
H2PMKPa7SqzkaBNYubrk0/IRZEdYTKTJ0xbfEtJOFXdYAdLQab51GFK8lNjg+HwRglu23DAZQdSj
kB1n2gX7Nsj0guWkxCfkQCY6phVNBYpyyxeORCSlt26yovToqe8VI75j3HKZHhgm0LCF4DEIaI/E
YHHSFDRAtqgTcGziPI3lpE8170JUNfzYqWEqmfQG+LxqgKWJ1iBppsVrQjaxXrRxYhQ3oiTzMRx3
a2CWf3UIzzzrrPOqsgwvNYsm1tc0cHcXKvaYrD9yZM+Dt+q9yBqCtexykVRLsHDI8VwFPlN+5T4j
SCHhDPWUuVp8xKxklk5uIxXetN1KWhJsvu1KRrUBtc9CO2TtWTeK1FMf47HprOsSwTQIsjEvtPwK
e4sU2OryESsQcXuag5dnFoz/LmlNQsSriKx1arr8q9RDUJBvvE9kcillkQ/emlNT1dbfXUii3lvB
o7FEuFWCgoK1cBKiyi8gQrq4/mT7ReT7C08MLOivOoXYprjVbdgW9K/Kc8CyHZdx06Z6YdGxir+M
vKHcuA28Qw/eihCDmFIpoRvSYJenkaaLFr+0VOuqDqW+frmbyRbLIo/AuC9wiGWYpnVvbpKkneyf
HvzJmiD6n5Q3rNLpE9l9OcSL6PQ7QWwLnxj8Yfqgx0C0pSuQUFOxKEy8HKrsI1r0Lsd6IPkqgqJO
WqnT6Z3dlkVMCUukcRAAb20LDJM5tfxF2Q8lUy6hpe18aALld8bt7AzlCD6MnqanXZFNWu5b48Rs
V0j58cIRltWnxWhjf3MbBZ1L0CWT5GAUMHT3IFFquLQCW8W63mZsWRiNKnajLG/4x3hrsOItZ17g
+BV2g5UUEyNSlbLkfJn6aWE8NyhkY103ocgx57pDWbQ9C6k/hXEB7/EM1SaTWM29wlkmhh9xPdFM
Sp7TqW67zLp+2pPKG2kcuiKosjRdBVECbVxvFwT002T0Yhzaw/fyiljReUBZopxnONxZQg9aEvYB
O5jCuEnyDzYrqFGUAU1GrwNjJKRWvt9DGzoDM1tYfNKgpAWHGLhtWEyyP5PdgS94VFaZHo+L1HFh
1PYP4MxLBmXTG6urFFjXrWmMUM6AFMgDoEm/ftSMM4U22eCc8Cywr/ivnHipRyW/zokLx0Mo+bBH
7Lg3ZlHkHufvcVHCtLu1DCZQmzACwoaXHJDtjOOvZZlzYOgYwv+nwxPoL8A+p09l8VpGUYmI/Guc
Y4YZCwWZ4vGqwp8BWo0GofNz6/zPB6JHE8SBdDQFT67nJF9Q2iRJbe+q6DM4Cj+Gxz9VQwwzt9Ps
X0+QTCzeD2DRiTOVIWyBC1gcipvx5px8n0Tcz+pEXu0sRheMU/1pkGwQYt3zymnXUe6N5cemY0O0
TJtssueshGmwqpHDHz0j0dOdDomQSk03XDGlBQ7wzeuMg7atTg2suEq2StUhroOO903swa6HThsC
goA3EzuoGZwDQgsrmASJclY046ItkNmvRcqMsN0epmVYwNQX+Dj0wyOX4cCQTy66bYEw35rZX09i
qqA9WlXIj8LfdLEN+lE4CLgZ/dYNYx+Wo4hPVGaVsVioNFXsqyzj4Nkd889HgRV2wHOjvRc50Vwz
U4+mQ+NL/2TrOVuBZB7TpkWKl1/PijwlTPHt6NDAtZd0uugaf1NhXrrK7Drwoj7XN3YEVnW3C6iM
p8imZOmU/XROm6ULO+UlVa4qE9SY3ASRU7WoWdarz1FnQ2efkWvbIvJowUG5YQnuL9zEn+FwcEj6
qaLaNip1Kgyq43KkdlCtqOinLokGN0A05u9qzFBoX5jKB0Wp3dQbkXS5tfBrkp7D6aE1yF+YOAeB
8o5ypPD2h9QTvm9OBrhYYS69PoxJPyw8CrL/r6ooUmQTZUR5VqzSpBlpvbCNLat06ZQCjNU71hPD
5Ae9rfDGEjE9e+9lKSn6i9gPWo1WnqaVIQG1EKGF5ATxugrTZWJFObbIzs8rC8MCN956ZwS6Dmyu
vLcG24g9vl/NLkgpLCAyrMmbdi21EBca6iDczmiD5UakIht1yapkIvKtbYiQo7QB3OzcIWPoxlWd
ktHNqlJn4VLmKoka94E5KOB9AncXD9wHIqi1dljfsXAmX6iKFgQNQvRY0lXuGDwyjRGct2c26leh
v0j6FHdmHIMWT6LkM0P0qNmlHGrN89NI2taUU1dtCbpy2KYzuhsqViyDuEnBXoLIUCDr3SioHeMt
rMb4nZ26BdqlBf2gC52rbuUXOLNTfBKDbkfzCbT9VONEKGVTeWnqClz8pzAHaesvsc/R5rAOyoKQ
aJESxG5/D8jgKudMyL6jX4noh9q5BPvk5R8zraOYrqKssmwklLi5r68XaDFDJWyVmQHYLruejuXg
2hYS/HaBCIcIZzHwwevexbqqq9FFMakLkZRqp0SlPAzs6pjbSd19k3YaD8HS44hbMzdVWVr+mYHA
sBrX2RZhd5FsgWqWL985KcxftM6CRNIGweh9uAL+eAq3hqyebPd2ayT3QVWmkhiZT6nRqZO7bWnL
lKB44xsFMWgcU7eLrVZ/gi00znWeaStZp6HwhRv4fncthlBEyyHsvOOQt+wktNl4mpZ9ewJCwFyp
UtJFr0VwqcI6sUG9tuUnD5v6hPvCVC60L/gWlXnyp2+HZtlr4iGlS1h9jJwRzAzNxLmT219NDHXM
uly+k12YLxUPAqBrW+U6Uj1fRSZs3o9RUtsrBLf1yhlslmDHyvQmyJtrSnh+XnLLP0/bql6JCkwu
GmT8k9Y0ehnozvmo8qBAVS4Pb8Oq8JZJkPvuwLNsKTxdnDkjTdeDl6EvIMsFx1c7Q7bgUabWHb7y
1EFa863sTXOMqqV3W+g4OY57kozuoCOxDiLbXOccFLebgOmoXIsZ/3PXj84msTKBjLhJP3UODVc2
re0zbusgdI1lsXccbNe6rCscBomU9xEcXIg+qprpW4KKCdICkpOrlkZBuM6HzFqRKq2vqpYjb4cp
WFZD35yxqhxiV6Sds/CU9gLnz7ClejhFT0pzU1EekZVp8hrZQpgGg9viT37dObVQ6dLyrPIs1WhQ
WXJSRx/7lsVIN1JzLqqaFAvPCczGjqr8XY9bXM4rSaYd6ompqu633VmPqPDCVnF7ChLZOgtjFtCl
A+t3S7qOZe44OiRA9plbf3V50d0VltUvaEjGTVVFhqLHJEdb4zhW2LlBkicuOrnKZpmPXdyfycYv
fNcmeXg5EAVDjMxk0XYsYWc4Op7kZ2VflGuaN/RcJGnvgjD9Irrhxm4875ITqE9bNfUSDJ0dun6f
tmopBsNWXNXZZR7w8q8h7xHa2Gh48Cu3idEVEy9U6IvctRrGN+hVMC6jSXb8/9k7rx65kS1b/5WL
eSdATwYwuA80mZVlsqpURiW9BFQyDDJoguEYwV8/K9U950h97vTBvF+gW0Ci0tCE2Xutb28uyLer
OJz0o4tm/qiY17zmWncvK/Prm3RiiqvVGVfTSIqhGnB88OBLSFeYeI7tderK7YHEio31vNvhyzCJ
vYJXMr3iqW9rJYSNHgm0+JOIZVkbGdLrtJ/TL6rM3e0A2dxCvU8NfpTqippgRWJnutu8DJa+GiNO
vsgAMXVTIswZqmxQ60O+5fyAhT7Pa9LvxZWOFvYAlx20z8bkS7zM4miNi46DsPkXmdCXDenmy75O
e3lcReqrYZ267x4X5Mh0YUyLaMo/aUkyWsl0hfHJO12FzNpTTrg4rgjnoqorFHkhsybviRPJ8yDp
8m53u383GOCNLZb4LgVqcgyxUzSrW/UTwrSgyrbZ3gZS8c97uMzHZIwoiDGosmfmwxR7mcOKFA59
CVkl4/lVAX+jFmoejjwz8gXMWYLjt/F1FM7JYcgT9Qny1vpAZiavIj+Sp2mS+02nhrV1BZZcZJNT
f57TUF9Lk24Ps6LyWZZl+jXhFotDvHp7Tv2EyQNp6D5KtLlxsthO/eaSBfJHOR9pPqUNskyQn1AP
yGkPJL2llMnHPS7ZSwnb/NO6l/oZG353hclW3O1RoEEg5P1hJDS7hVEcJbWeyNiUu58TjHc5H/Yu
WB44lOyHzi1ircEKhQe5DesnoU3aIUfd91tJUnMDzIAjyZ6W5y7ZyYQ1e3JtUvDyKoJ1Vluxp/el
7RII3DL4FtAYbNytz9K9J7WfHHKCpjBQhstbniW20G2Ip96MuhqJoLdbILoHiBXjOUj9/Dpq+QWf
6aCX9tGrmhDBDKYYzo4MwEIzEfXXZBHxZxNQs9Uj28I7wF/mpY+tXY8sHpO0JiwqblK6yPJAwmkm
1xMrRQM7NN0rC9u4Kck+FdWwa2KrKaHzeQlgm9/4YC1wrfNw0/J2JRZ+SeRktJ3mdJ3uE5cGj8VM
elHnTrKlZUTID0PX26mFc+rZzdTzpW8COWcgNSmNgmNhldo/+HKWhh0voUfYkNXh+SUcV23ZOn7N
kdrKsY4KRC51Nhlq7yA6DKpOTNQ9b8W++HoJx/wWGCGNmi1CiHijkc/q16xHEiWxjkihsxyBUzcD
NLuyOi+us9iF8/C8J57GtvJuDYm5jrHYhacyhbB+XEc/y4ZZlZknEnR8AJPVjURWMqDdyOsgJe6p
T8BRVTFLx8fFR8F+3JCvDXVYrHF4u5HBzXUsIYffFSOW0wZ4y94sEIiuh1j3NYoA+bUOvFPD/eiD
nOwJLv8cuqmB3DHxC7cn4my61zodSt34fMjHGDq1WjAfSriEtYl8PLVpZEZ2yxlMzmqaoZbWu3br
XCWTh39SmIFfzX2aLW23Zdsd76E2NoPr3VXS4dmUTV6GrICyNMjoxDsp4OqZrPBVvMFEznWsz0FG
XFFPA01VVaQ8gaIF6es1EoH8ZglCk0QKHx+XhUZJ21kWm7hGCMeCpYbFDThxqwqWf/BBuhQIzEzp
+7HGSqrxhiUMelQtYxFay7xlYhRV1q2RIy2fiqhgrYjdkmV3UWBz8wJPdKJXw1qmXzprP+876146
Jj53RGRDhTRhetqASLS0pPIYYvMIsUjkEi5Ssd+MPh7PMunNwTJJarGKXVQFICtRTVM2Pcl5zBsp
c1+Zsk+xvlo9fdUd3Q/FMsIN6xy9g1FXhnXk1LY2Ozab9IEoljwVQMpk01tIJhgPGDDgdPrtW7QI
/ijWWZWtKoruVi3z8mRWpbvWuM7SE8TXrqiCyZHTtAxrE8/reOArzQDehFFLNFtuOM2Cu5i79CYW
8P6WTsEDJkiLmjimqI40hTnuLo7HClVz49SExK6qFVG+nEGUbvok5EYrorbQ1SvvhjrNlRUViSYK
AgyIrDmpHCfXemjFTzvF45wp7OP1OMCmaiQm5Vbtnsszdnls/n3Ox6YfEF/gEOgH7Dr9wRQkr80s
2OvQd9FnCFjuAPaFHJeQTIdCFMNDMISytlPO3sJ5ehkHsIEdErdDEdPh07LFeqmyZFk+JSGV1yZO
qKuodENZ99AYr6mIcdJdCKG4d7ZGEp7cD0hLru0W9V85S4rPnHbRG4+S7dbCAG0ysS6nBMrrKzTs
mF/WNCeqZAjXu5zSBHErFsfLIEy/pvySpPt5uuzaLlbviy2Dvh3zHn4iNNklP83Z3C+1kr3TsGz2
BZpbsQ1RnYxYR6o86IfsbhQqfmeMaV7FI46hGsaClTXH99ZQkTAmmBfZacpNXDRI4e0oEWvx7noS
i/4okLWxmoskCT9j491kRYJys1eB5nmjxRBc9WsWv1zs90O0W26q3gfiPsvc8G5sKbA9IPM8LIYC
KlpoltzCAZM3woPNqGSHkObWKSPeeaxdXyuodbbq7ei+au0xVzApkacZATHwm4X5YysYW7adB5tc
Q+vtQB71bkcwD5D4O1pxWnqYCqZvUo/8rQoQjuhmpGuQtcE6gdgLd5u9ajWOnwphXc1VopoxDNbw
bLYieoJJVRLANYjhqlxvbDxuCKqusfrNW+tWxgaEcgShJ2CIYDknbIuC2tALm+mnMBOtFBaVDwA7
MIjqlE1sSLk9dCAfVjLxeuAI0mR7SWNtTf3ax4ipk5nub7MyM7+Pl2hTDbIKyrGkkXzZRS0j043+
GITxMKf3uUloWfFo7ZMvI0DiYK5tULqBHuA7cRfecbbkC6mRbbtUVGZnkzJ1gQ038w2DDVSOlQGL
mfpmtp5O/MaXFJJOrQwSMPEwWqhWSeUAaRJzkEas/VvX8XTpmg1TBW4EqoSSWVbWrUuuDx1itflk
mAmmH2pVzmYtA0Y0zW22wrJ6omEMC+MowBvpuZE+DcLhYTCC4z6kAagjM4Bth5Rugd/j9L9PASlC
XEc1zL4hgrnsLZNZzJ7+0DwDcdHt9UguCmMcUSduUNN5ccBhu1/sBMzDvfjWpTR0+RGk/Y75tkaK
9J+M2FjAqrmEABcgs6XDlmOLwHKsXw2DoFDeagSU7hwOJPRpbTplVn7cYRLhbmHLG5bhPSnNbKcm
G7Xx801icHp71S+AFVQNdiSZ6FOiM9HnbQ50uU+uQ2NWvwDn6TViHOQO3XoQohywHgd6aThgnrsY
TBRCd0GwYnrSI4gq02Ovi8l7ATHTQpDsa5BJZtzStptd2o+t2ACuEGgH81Le7gj9ypYGY05hJllK
hKmidCVpW/g9SY+wz6ZXUZrxJQCkoqt4QVFclRrMnRbQxvQtnDmiLLCrTPJ2yRVhjZXAPVy1xys8
vD03/icje036zj6AR7VXkFP72yWkSc3j3NwNkfdTK5IJzJMl8FNFMD4NxG3FaUUIV1TJLHxauXnj
81HqEDCgK8U2o2jI8m9iDynH0ppOtMqxj5pGJ7v/oPpgcwgQgrFFBIoMkQ4iy44yT/XU0Kl078FO
nRdV1G1r9KHkPc+aDc1+v0r0RZaVGixSg3kPLLIROUSsRTgh1ZVhGbffusBdFBdE1PFc75x1B9SP
WRocJhOVYFzilcw1DdNlaVMfqqtILcWn0Y4pBMuCxt1SQ1DsM2SohVfnqcxD08RhZvQbCALQB0BB
AavVQCNWiwApioHnQNw6d8i8pypdEYffOfhWrtoSXrQFz8froFMLihtMBjQaiJqYQEDE3qimnDMC
ZyfQ7AjqGDemcF1QJUDUrlYxrkNtIJi97/D9MTYoeTRBuOA8d3HII+EePG52kxJaknYAovA9AAME
8XAQ3W2AZVh9RnK5scdimOQl6kri/goRTH4t0yLr37FEJv6Y2HT4sGwJvQNt2H3rZIQrX267A/VF
DZSRfe9dJfpweyldZh42OTKcAsrrYLIW04LVtJhQvsIz8iGCfFg0ZFi2UwTRom82ICYftyRFfWPG
VXo1p8MAyk9mTyvtloOO5/AtlyqqSAGcj8lxR82G2n2Fuix/Rq1n3DexURbFZuOMkgnSW2JPXS4B
eal5B1XZ0c3hcMl4IQyQDddiLnx8gNECuxJPRu1V09nEYukNUAHTV1oUoPSSTq0ICmav7hIjzG0X
R7ZswqwTxQE8gXjeXKEB7+oZZwlTvficSlZ21YQA/H4NLhGvwtNw5woxte+rnFMCqoOvPWuwoQ8A
mCCXPOwTFIBqz4XIW27BqTVJOPXtvjp8pstApYG+mERjE/FjU2xuY6pcvenMfyqwWtgbp2cpmnG1
5QeVSW3wc1m2IiHooQJN8XKXjDS+KdnIC9A21E+VjCi5CQIWv/ux59cuEOoByNtQA6WKv4BpNzPQ
6oL4us/UIOtiS3vfmM0PqhplqWlrWF+OWH9lMt4MUeyzg8637DWgTLgzlCueQAxYJl+NYoo+9QTg
QDWBZzgvADXCttgyj6SAxKhzWWmYTe0UDeyZZ05uNfZNRHWIzxuWyLW8XLf8fks2yNBJvNBzOU7J
2wpYoausGT8lalrepF6WCj0LoT0CTARv1FkM+VF+6oIt7BBbuaAOEHncSQM4X0F3+Tx3JjjJAZO6
kT0v7rXRy7XOVlT/yILfQhcorgIalq9QjPsCw6DL30W8J61LQ/XBSh+fOPqKx/Vgy+0SrYUTCJQZ
Ek+hVHmlEjbnzU4CBE5TT9xxzmI7fkAVb99IiFuNxFBP6zXJTIvwJbqZ/cKA2G3RG6PevRGqo0oo
E6KkM+PtVI70B+jcsEmzVL+UCPePUUqj9wUg91uIj2RV4HDhUATyhiqs8s7BKz8KqzHrSvMFnK9+
ECb0tCr1EkaYB/sD6QKOiCZKpyP2AzkjzVBJUxZgPPDp222N5ccBYkdTOiQqK2qd98qxaHkNyjF9
GliSTnUKVf8kxByB/gewyJPkqzdQ/2XLBfQg+Y4Nik+2gZWMurY3ZLTLJD7IVC1pdq8HtmKVV2hv
AsRHrqjLhtfu/DCt8Brg2y33qQeR4o9bjOqduEmW0Gl2Cg2bhv0EHtrrF9q7LfuazenCr4alnHRa
01SGOmhKm6WbxOLFAYXAawNmMJCoz8MG/Fq0I2wsQ9/XkucydCfjHVTMKo9ddkjTeSs/5/Ossais
go9uxDqWsTBrEOfB7m8Cn3cduJAUqBKoXoTxgJM8arQxaUCDpxmISiaW7+Ea+EI18HbBu7VKbJ4z
oC59xwHdiI5eWGyMwRU2SDd0e7g+2qTUSGH6xOVSvi7lRu3QwM8skfehiKx3w3kYFmWWRm3oChy1
oUiMWt8N323kK3yL6H29LSlCsmoXDCvDFUX55kBqKNaXM0nzLiTjkXXOFutHE3R7nFU9LTn+BqS8
yN1NoBUS5pvBKzrmtQtJWdjD39tzvxu6cA0BLODJbBeLHK4uqjN/9+YglZU6BGz/fVrEparM/oFk
JNks4euqgqUGBJUNXYB6gX6ARfdvDuB3U/1yAPC1UbyLxntwCWEK/X4AfeZRldb1xTf+xwFMf4AS
EycjRlywwBf7wyn9s3/Cwx/O4x99AL4uAoUgHdN/efl/n5cJ//3n5TP/eM/PVgn/fIWnM8hFLT/0
377r+H25NENQf33Tb9+MX//z6C49FH578S/tHP6Hhg0fvisz6v/hj791c/itqcZ/N6S49DvI0BTv
l8HxL+0c6i8o0kea0qOU45+9HP741J/NHKIIT01IUMASXsqsM3Tw/+9mDkEUo+0bHkZyqaz4WcwI
f/rPbg54jEkYwcO9dI1FXT4Kif7j/8C1vTR0SNACIsEXFmVYAioAWvC/aejwFw8cYS9aBMRgtkCE
hKiwSf+Cp2iw7GI1xp3nLUGp9YadsFoSkMM1Lzb7mAeZvx6cnXkbhlx/0ktqX3iqHDAoMq8ff7l6
fw6zX9tLRL/PrZ9Hk6JhwWWIhzDm84tj/wssk85ecMKMPcfrHJ07vs+0MsWChN5ZDZDXbqn5VFgR
9JWcSr3WYIOwFYAzLlLsnsX8jWgd3uM7GALbcYxewFOU0dHnGf0eAXN2/2Yuxn/hFX6WsaFQBHwL
gK6wjP9SVpb2kCbA4ekzQP6ua3KUI7zYFLvGQRd+yVBI6KKh6QvkwHuRIzTyPEyOE/bhCJLQor8x
p1RU94HIGkjRC7KhiYXwymTGQfguA3vgBsoyEhzVwBQhr4qtNyhdyFyLfhf5XS+ZnY5/fx/+9TZg
iQkL3IgcYwNVR7/fhsIHSGDEqM4oEySvS1dGcZXyGENDzMY9bE6SJ0Gj8e3vf/b3hS0LIUOiaq7A
k+MxFvHP5bB+ufsQu7pUqG4+z+UenQFmmzMMfKDulL3+/S9dlshf+Iqfv0RQ13TBnFDac+mq+Osv
iRlg3wpt/Qy7Nv2Cyhw5HqkufVxxwdpwBTNcJ6EvlxpG3Db9u0HzV0oJZ4mS4QwtOlI8Fy/5688D
tOmxgcCxKVaeobDUZF84njU+HlEtoFokAEvlQ9z64zauG8w4vhTfoSCg0IP49Nbl0ADqZBug7g9w
2F+gGsdJw0rvv4vAiiYMYDvUGSw4eZUl+W7+HTjzrzcK9ZpYNoADoSINe+Hvly/MTTZnGQ3uIkOn
Lz0C566KAq7ntEo86sGvN9bzd7Dh8Fr3FQwtNvW+RhpS/NDFvi+1Z12BEGyw33uQl99sJliBtq5/
Vy4HtOqvNxnFaxhEl6cLoOYoKy4FXr8Mp1yWfQiMOrkbUuB2pGw0YfvxUlZEDtoaA+5zDR/t5DOD
bh+sgHA1H1UsxXFMBWrzx3X6INCVxlXFuHUft2FaTl4hsBLZKl7gk5UNBRham2UYelQIJkiN6KDm
8yYChUQKMXfXRWSokPEDIootm67gp4wf4qF76OCPuWo0xXrWdH3W8RQkTW5jXMjex1gbUrPvVbiV
w+3IsvITDaHesryMbneEP6TeQoYoFmO+PwWlRHK0+XJvoi0Lmn1wX4WCF2lApSJznHRxoGo1J3Q5
iZ9Xhv49R1oEUV/tjNN3gjoySJjzGnw2E3x0Afn1BOxanKKVjN96K3LM+2TiTz2hrqgsYsdrSaWp
Pa4DovmY3MMvcC1i1vUQRS6y7QhCD4bdhpqb2saMtpNKJFRRcs8ojOIG9LC+wlYTbzVqB3LE9sX4
5qaQ3cSSiKcMitTRkCGIwaVO+5cyX2SrQjfsB8vL7hAgqP4CaX37AQRKZDWApdBUcxfb7uD0sGBy
bFvrO2vKg1woa0adTFcz3grWMpULLjQc9GpQwxBAF9mAdi2Z26tUj7ROdDBPEGx4212ovMctidKm
VxK0zICRpA+J3og6uqRwtzkEhJGCJVz1NFVwY2B2fWOUxfH+SW2Bu4gHRGIpX77Gfhp0IqFlGiPC
s+YaTBHEqXU/Ap/SFBxKDxRhiMflKUQ/jdPgk8TUBveAwpAJCQQUBm+zmSnFfqhHvq0tOlB0YS1H
HdF7toY5yALui4013o1E3+ZKJxhRG10itdUGe+EhD9hA7y2mTt7VaymQ90cJGmgc5rGXpELQDcml
dXAn6oCSiCAfoEChAZtRFEowgo4kh20sxqlVFFHBIZu7aa/LPcOKOcccrv7EZDACV/CdeoAaBsR4
6fryR2Bs0YdNuMQa8E1pynMGB5Bez0mhi2yoZ6fW3V+pEKsbzKqOFaDEld3XA5Fq7g9+zCd/FSo1
iTqLIQDUhcv8eJSoEQtq3Nb4YyCmPWogB/Opwf9hcA97JAANoef54zBNZDolkuix5eCPP+xGJzDX
IaVFN2xjqphhrsVMH6m0Yn7CZpxcI7OJ+cEIHEG76LHb2zJyOxKSwYvtbirBz7QBpooEmRWZa4mu
XWPT0aQzTYHib1H1hUJ8MqMn0/4dSSbJ4Z9oeEuolmXrKQr79AqRPM9rwEtr0vRLT5vdUI6seJOC
oJxuG9I6AQO9Q4gY9uAmpGN6iAQFQVAwUog2QuuB5cT6aOtaTlKGRhN4XxURyBcYPh3YULf1EH3h
VwSfJfJ1j8INzKP4HO3oWNBXpU2D5NmPW2zOuSB+aWbktXeZmbEldUAe8QECET05oLYxmj/BCZnZ
9Yp6L3dQW7b3Nyiv1s/pEGdfMkchiJYRBi/qPMC5tSrfexw8yC7wgAnqymukhm2P2r5P47Yhshi6
wT4hbdvehWQJnJGto22J7k/waEuK78nGBdWds7TRGd5Tkj4qnUXPkYbDUG05CkhrjZo416KSaOiv
JCw8WOkFNMv7PijI6xyul8E5DKs6FqNi6sH5VJd1uG64N2ybcWALmIvoBjsYeUVyjdE9YZWUDR5j
55aTVoTGD4MEVfMhLmeSnlw6bOZOO30JPpl3DxkPctcu24SfXpZ9hzkQT3oHGFJcTv5y6BvWJxwX
hKVzms04C7OiEKRifOF7TbjF1BFjx/vHGaWPME0NooIOf8OaGuuZ3a9R6qF1JIKFuN0orjZ3U8Cg
G/ahWWETAkNPWm9XcHR4DVMbZ4QFBCbJJU7W8/QK24RcAzjuywrVgxzjAu7zl22GBwAvY/AfEu1C
ddMhzB1uFoFasacSu8VRzWF0Xkm3fkJflny9VKj18fVSdsTcoPEONCsvixXmJjjno4hxWS/Wvf/K
R549OKMg665o5cQ/bvnUqSvYpdMPVEdd1pB+HVmDPKBM2h40mjoINKL4GIR0Okyb6CAfp1jmvNzY
hx7U4w08qSFrsljGKNsYsxTbEYvJq0Qzjq4d4xnTZA9oQk7pvETr9wkLsr/Gw+0xN0C6YIwMGQyW
AywX22KT2dabSJo4rykZtcVOm9gQofc6fJYEGGHgEaZf70TL6BuwNq/QZC4qLKiZGF/lpugCQ22g
lU8Ct2WrAwg2qEK2Vt85X8BMsGqtykJdpRNEjat9u0CO8KPVfhQjX5a7OXfpbaAh2LdsnSd706GM
ltVlpib2jEhEfQvBr4J0LHplK87UBpl4s+WKXcCvTyMM/v4tWvaktBVgHO5fhAZLgS8DANQyFDF3
1wEV2zvrwsCidFHl/NSD9n50KqD7UcJD79t+NxikfayH5MHxcc/OUy4uRr2wYX6XRgwEokd0o9oN
XAGQ3HLuL45iMWHtUGpsI5c42dgRQM5xRwU6DjV1XdF4ChOipgK2+EdIp9HzwCTGGnY68oqxPqmH
mcxoAWZiQVC8NTEADs58QnXuVkYV57Z4yeDkb80GtjkFajWih8BK0cwEmztGdCv6BHcTiYN3t32i
+XJbSMGSB1ApY35CqTz8pt65oLvjMhBbMynYexWiMaPvxpHi+CXK4Q6KlZwBew3Dk19TzHufA19G
sx1WoFE6otL/r6T8P7sR/1MTwfPXEJ7/I37/VyVlQYvwr7r/avSvUsofH/tTSkGLS8gdITDhGI7u
pc3lP6SUIsEDEpF/hxBE0gg+MzKSX6SUDFoCOs+hBAMdUnAcf0opaFFNUDqdldiWLxUj/zspJf2p
/P2SVaZIXZG2hugFhW5tIdLL3xMORCVoobb09mpBS6wmRtu+lu0zqTOt33zO38vQDiAfd90iiyY1
H3JVOec5Figu6lCXz6Ut+XWAUvM7Z8ZbW144oSCHGiKTCq4/IpQBsb+/GHCwdfdDmkxhs3ZolgF+
mxwECXqEQobUyO0fBbWItxgFQJGWvI1WmKNdhN9EBG7rIZrxm+EaNgNXb3YkzybrF8z5JYYvPLzn
gQibEf1d4N3voGVsIU/CyreoZKLeM5uAa8uCFqWMr/AqPqCbyruV+Pk8E2/jAtms03DlUcVQQ2R4
jFipqnjG+aCfCMA8ub7l0YAmBRJh1xbg9NBhFPA1wIXGBsVJyvKEQh6NEBCXxiIk7fSEliAD/xHz
wFV5jku5lFI14YovHS0uQcq7F5wCLkNYniY8pLNBJDfArcUxWJEGLQOOg+5v8XI1pFIcFlQoN/ma
4688fdxKo9vLJ4cUWk1PYPPvcT5XKDlUlQDk3WY62h+7ZXwkaKbejgo/iYgwu8nSFYe/JXFrVhxQ
InLehHv3gmInsDeFKRuyzD/8vGIbTCSILup5s3GPyJyM3Vc6BhGuA3nGs4l0m8yjqFUIJ/FiFRwQ
p5QohrZxLQeinoFjcRCDOWjRYNwP8KD3q63E1UuwsGOVLE5lFDz/HCT96svGp6tqRIFxgIDscbIl
XIOQgN6OLCJO/AMG5NH2OKhu4OkpCSQ5RAO82wXo5XVBdNxabAJNqPFe+NPnXkUcXTxU3BaWDXVO
c6Ql2AwrMyIun7LsjPH8wxEYaTEqNqpx699RWYR7v+PVQDNXoSHd3Gy6hCNtF3xmwlVSkSgb9BnZ
7wCck1oq+fbzfk8dbEg7Ylih4nE/dAxDBpo7bv0Ki9Pk5XgdRt0PTHKM6hzvLRlGZ1lgqCyXudCt
2r+M6NFV5SVQiAgHgplXVlbw/gw474SHFT97ZALttmKeoCcbvd5Q737HCswOUqi3AjhgnaNMDxMO
g6nEbPx5MWaBSbEFeKvg0zvKceOWIui5HmPUVqcUg3bkil77mUQfYFGKGu2EwD5Kb5FgCoGC3jhu
JV/CZpIpLmlocQwdUzelCtyxgy53m6wUPeD0HrccoDE6KyUgbIcZvvyCUTbjj26b+V0ZY6LCewUv
bRlyG9+NbYh5Eo62f7QsO/+cXsmw71charnhA47odrKU7lL1vFThhNudMsKvOxbORxcmvAV0hWnI
IX/9vLfBhNMP6HybowcAlhAMgRl4ELJsXJufoxwFrfthEZIcVZfyFpkBOaDGZmzAQYj65wC4jHBM
8cc+3UFEeyxjBM53m+5kv/p5mzUq8jAPMIwc2KrWDhH9IvosuMoYTnVHqAuEOgqu0G0CqxcsfhS+
4RZE/EeH1AllCZg9YYDZPKFXSx3PEb0OpZlvkXW6c+ayY7kN70HX+ypAffIt5TFvUdjaIy8Og6su
wzxd9iy69UirDkWOQTajt9ttABKn3mcsXyANvgCsLiukTYgq0iNhI4pCAocvizZbpyrJ60KHCdjH
TFXoLCdPG7ofXVLBsnH9FF6FS5agvLfDothFWNw23Lqg4ORITfzI8GDm4x7N/oggDoVHqbV1tuK0
0YOiR5fDCLOoEMvVVGIFmwo4tj/Xppi4uP05aZG0W/SADJ7x3ewhkxgSMksfYz/4Y06DssqgoWPb
2TCYViegrYAx5gvMWWgHM3TF1J1NwX+geS0ujccM+Hmtc5Lxhk/4StDT5JDOkEZSp1UTlBmWwDRD
lI7mlw9x9F/sndly3MaWRb8IN5CY8VqomSwOxUGiXhCUZGKep0x8fS9QcpuibKndz9cPirBCJAqo
RA7n7L32zLm7avKdFzYvjctfF0O64aWvV7g15NHS8mQr2vaLhzVkA0EVl1rjPhYV299Mi2+0abhy
qz5dmZMXHVUiI2pneZeLNWIezDLZVME3lZozrEF/wQdeoA0A8yxn43uiAyUwt+lnI63kWtSpbwcI
oe7tCJll5011eqIiMRwTAE7eCnUkUjyUjtawWXqgq7hK+hsIsE4YrRyRR+62RRuWBirDpiMVNYjN
bMW1wHvZaMc6HJ4RQ1VfO3/8YiV6NawiU2YvXmNqM+UsjU55wPQ/7RE5VFtOLdKvkTyD/K1TxNlF
ao3aOmIpWtP8CU/+VM3aNjfLqbuizu65B06ZXbHv1dxrHxXmmSAeojG/DGPf7FdtmwsnaBSajCt7
dAwFCqQMtXMJ8OAYu879m63Y37Rl3hVSl32N5WBqZ9O7OHnf24ZzHwIAlIhh7yZKYUmMX5KMxcUs
vfuhrUyGFW+dlTDSf31d58cC7rfropzmUOnpLi7NH/dT1LoN5ff1sBfT62THO2gm2ddy0rKVrLOX
X1/tXVH729UWM7pBz43G8LurzRPUpWQuh32uGCDLTsDPQm0DoEr/dl//PQT85hBgwGql0/LPp4Al
keoJT8bbI8D3H/rrDODZbNW/b/PRdPx1BvD/Q26tgTGNdhxwgbdnAJt2Kr1XWq3E29Lr5OTw1xnA
wmi78AV1mrMmv/DPlvH3N+NXfPyfxhCwLuRlRIHTGAQx8G4MidFpRl2PqgPCZxglWRnZ12Y71VfA
1P7128G1OLIssfC+JV5bxG/bG2NHmwdgRHlwzYnC2KjEVTqY/qPiCVw2zexv3nwV/5dZADgqDkfo
o/hJfapgP76NrUYmQO3pXK9AbL2adIDhq1TSqeulZR5oFTrmBnWfAAqXGL+Zgt51JFHEoXXHDc4B
jgn9JwBko+mdrIDYHOa2778WeYFJJ0fWdqnELM8ynH2qW/rvbvmnCYir8rSW2Y8sHPc9ArDv+rSd
2E0e2kLImyyP+6/YwamV+EkrbyJd/esLOoJByuUYvTqn0uUDvWlZUa2WKBtbfx9rYXXhUp5fq7j3
kVGZ2idYVM7Tr7/T9w13Jj2izRwPxSAVct/wrB8vqDrBSSVcDLCVbDJ21CFV03lmO4ru0KJrhQpT
IF0rrQXbIM7NaJePNFLcKYhpfnA8cjv33CvDGFbtaA84++q4uxTSlx+V4f1mFMBi4fP8eMS2BboJ
wRAEIm+8F9+UBZDstOiHPe2+yLrXCsMOL7oo18FnVY23xsgupiPmQJUv1i7KxLyD6qyhqdvjpHec
I8uUeSgwEDxHeE2dVezkjCWgupCWZ09c4WYu4uOoGxS6XkvOhYHRAsOHTW9hMLplT9ImFJ4VR5pt
bUtxhfBOazeDq1cXJFjIs+gdeRPSLctXMz1++7OHCFJBW5vlSGG7obpKp0DeOMwSzhoERObvU33U
PqR57MPKWMTPhzZMIboiyqMZX3F8ioX4g1EqqbyJJEnlqbf80bqVpZouSz2mH8KpHXCxb1mU1JeJ
gK4g76kcO8nOqpc3ftZgx5RhUz8NqVE/za1uHhwIVhSCx7F+8gpzvKHBArvYb2amL4mufJOK1n7G
aCfPNKip1hdjWD+ZcS/PWqOJe7tn30wTgcq/T63uUCpfPjnoC4fAsQSm6Y4z33mwWu60ziwoYXnH
Balqho8G7gK6gt5kP+cDz9GbR55ba4n7wedLo5LoP04wop4diuvnJOr8De5F29wqNmte4EvOBKuO
M8n521iN04iCd2wm1OaTTHZf87RCKWLZ3KyhAEvvugkOPEJJxGxH3w2T4gAXqSl61HO+N2x6DN4f
Ymwbj17NfLrus4E6b6EsxslYOtZz1Xn1UxyhTo6awr/0VbsUMvFprCxKoilC4VoLLHyOFy2SRWh7
dSVvhoFm0ZptGo+Ut7t+kpJmVPCttj+ClqYOEAsTT0JKqRfbOPc6oQJdeVHV7l+fP9ttG6eeZ+FV
cBEhe1rcBQ0A56vXf4OYuQwKpafMG3O817jX29jtx/UU+f6WGi8DOF5eDweIYb3HrxyGF4iYdUor
3QS7oZGef0YRIiglYLqnmdrnnp5e9dhBaZp6BdC0u9opdYSvYSXDcUtnTa1CCgaUPvJE6IdJ9O7I
6RAfVHzs6J5pO6UP6UR5SlPhGamlnbPLtjkMlDH9zksDWtITAoPp64ghkpNc2s3JzaQ0Y/rQ8fhj
+g7lSEMe5vhq1rNqpYGdwOcGuwhyrM1z7u5rM4xhxinkl6WvQPzmAfx1eZjMxtpiWjCvbPgNwThO
nBuVvOijSt47sP6CuA7RNsOQpBtD/w3dnvjY6UazrsG9rnpkO9eaE/fniVp6tOrD0f7UgyazGF9A
8oLIT+TFCNFib3kUS1aDblQYx6r5ymuH6CtldXHlIMA9lknsXNV66aNkmi11Kcqp4AuXGqr5GVfn
jkpC/9VPUJSu8fhFyZrB7R+tEDLuGv8QgA9kM+GjWUJCXQvNeiCoQgsIOnguBYbVNAfYsm8mkylb
uCaDDoMIQ0pldvc1FvzPinlZnlnmGMtGWMbJ3tFCVum5TXboGeonW/T+Y6FiSl5u5BX2yh5HeZ5l
HD5KDENXtSXqJ9UtMkvoy8+Szs9jajtMmJWR3acYZD6kLScyQF42OHodTWhCqfTg1T7uNN8P8dFM
XnXvIJiek7Rcw5Wyoq0wC88+0jjW/Q9zV4tPRatp82FGQOkdTITM5hSIupNbEwdEdnQM0/w8R6Pt
bDAOHf8y9bZdGh8iz79347j5/xh7wd+6d5xBMhfn4XSwzUEb1+bUiOCtw7c0ymuJc2/YQgEjS+JH
q6+ljAYDIqfh71bf0tWsz/ih+fc1K1b7ACbVQG3hTUkLabQOq+3sVUm+MqJssCijZNplkScDj64I
69UMzuWjcr1qn1ild+3GJoVa3qqdK+o2o7cXdk/QftmL1L3tXZp0eAMKenytUFbbTZKj0t5gqI3a
q9br1IH+jXcFUYVlAYMkOuDcobmUp/6lHcLVXWXOzKBZlIDnjgbgGhzXMpSGqIw5p1biigwO5tLG
gS+3Sn1+z4j3duf0sX/ZTXw1QQ4tHBPBkPKZXA8SZVJb/EWclQxBaUb+pZPXMGEiA81Tjh1yr1Cu
FcFoR123g+/gXWINh8APEwWpBYtJEVDulzfIqXmX6NXlO1exjhOIlezMcLaeZ5Uy4b9OgW480PGC
5rYM/UnP4xvynygI4qGyLqdh0Gn92jSm2l7rvpYmVb2VMFtWfmNu7Gc3Z33sEPLSIrKTnAZQU9GY
zAFLsGNQnGt23z6WICsn3zVxyk4i1DSWLxeSxkWTt+1+VGjj+pG9b4FnYyPmnN6jMVFEpuqoCkue
QGoaZqC3fvU0GU0dXxv2yKdOipp7ncaZS5ZtotwzgqW8Y7VwAFQWAGOjJkPITf8AAGwkLec4ZHj/
A5yM6i7UKvvJiQUTq2q19HKqWwkA52/N3RadQnqsEMbv8krTj/UQay/A1H0s9RN1WD4zu5zXrrkh
J4aFl7es5I3fi3tMDSxPUStRfbS4l2c+SbI8UQT2oEJsxbI+1B66xKJlqroLl280TWFPzEOx9P6x
W18BmuXU0BuzThXE7hBybnLPDvVHoSkcAjwntpZ3qMW14W50ABvWQTLFUeyd84wqL0tVjb0bD0/U
KDQhWaJFAjMzu+VoR8gMmgjBdiOnzrZJgCpkQZgXyZriMb5LB2s1Zj32IK4R68cM18sV5q8R8WVM
8hHwi7UERH/M07k+8fU358pjZsnGWPsoNT85aniYEbbELD0kUuwj+tZY3l0KN8Nkcx+Nsy51PEoo
K/FzdmEAtOo28pjSzTYatkKnK9QSk7JqpWwOFVBaAjJycS7h3dB5YZJYYYZKQNKyI+mdInsB/mpv
vbEK9/5c0a3sm5GKUYWYh1nhpWybFy1X1760pgPjmo0BRu1rSib6tV2ocT3qReB0qtjLwYbshPv0
TlJK26Ysouu0ibGIQqGzdHqr0hjKW75t1uVS5kdWvmJnFZlG/8nsA69wNpGfnwakvyuTR3Wtqzp6
qCnFPbWVYV5VY7HIriKdDaRsdrmfQwAdceeIMzs/zD/0iF5sJ7SPJp6sJMFs5Kc4fks8OqG319L5
D7tx+EIsZP2oimxqy8DZ9BwSo0LTGGiswN1KDeMyg8SIYICsDMyGqL0uhsbQDhADmvrUZTmDtIiZ
bRKnZUTOY8h3H8oc2YfKSPgKRrbd3wo6SN3JAfybo/FySvrhVOJxjnJNm8KCoATx/tg/w7TxWfHq
fW2/bvpHPB+rdtn4/vq49tPpxyN/j0KFsDn2WxzcfjytgcPpKdn39T4vsUqjjHbFfdMtcitLiurC
Wfy7x9fp8NfX/akAyHVprtrEZmAB4aT443U5kucmVdV6L9Pcee41SP9FJ1H/TGR6tZuqKNXZcWLm
4mZcdrm/vvqiJn33dJFXcyrmBedDvMe0qS6leoILfw9GnQMILArj3ltm3fRVXNVHNXO+XrccS5ad
N+1ZJvfXj/Dfit1vKnZAGxhj/1ywQ2Batc9fq7cFu28/86f9QcfJgB/J9xEakxq5SJ2/ZVlqQic3
nZoSJRa8LHTvGXV/9uwF9TqDohzibAE90qDO9qf9gXBMQhUprrlMAi6/5N/U66ylaPVmbC3FM89F
IEyqDvGZ/nuyoV7EtQ6FXrvAHdikND9931PDx5ZjdNkeU71wARplVKXidOd21LntSxPhEni2gi6J
26/sSll1dFx8qpl5KjWk7XAv8LxGesoylbdJtxuytJfhLvMSO0ku7WgaaV7O/G047GEgc60H7Mmc
dFkPhmKQ8aUYC5yGgHg8V6O1ryEtGmlvFkdwgbxlmTnl9LGakA7/k1G2S/CY08MOuSNGiQlk41nR
5N56sRxi/zpJaC1itWXOpHWkFQHCPioL+dCS27RC7M8yCd8MMeh/35pvipbfvDVU74xfvjZvE4AX
n9H3H/jfd2Z5MXD3eDrlQIMZ9693BjeRzgoDe0qnFkqc0V/vzGIZEot/4s3L4v5H5z9SlhCkUDbl
PfoXxe3XYuAPLwshKYtLCAkuFeDXqeFtdbJioxdXylMncqi0OUPHWSu1LRzqJUVBCTiTkl3hGEX1
RWdb3Vf89clOJhTDVFO2+xafBegVKiLpQHhYkQh5jpWyb3DYdjod+1wuZj66f/ow0hQuHCuczpqr
ZMnO0h8pgz8QfwLUeT9AiCRi5PVF0vNQA99PXN+xatMW+YCBvNx7MWtXJcN+WiAq2KrdQSThIXSl
llL68Zrxrh55yHfk67lLszU2IBWk2EsveJaWee1loQx0LouVutYdChtEta0ia1b9GaNqQURknlwh
io5hheGvDabSCe9LTNT3M4mre26qWufzoH2GZ5nce0hOSAaAr3ELhoeSedscZjuJtnFFL5EyP1I0
YgzTVZK1lPJ0Um/9alQ58RJydo0SKTJGQzdazRl4xs006WNzYbhzURL+UnryKo6yUTvIqZrUOsu0
SN1pStDaXutAlyKyR2rbcHdGIuNhN4Z61Td7NqSh4AQKIqnJ5NnJiV841RK4Dt8CYQdGMR7+u46+
pkv/ZkYwMPOxrfnnhfRUlf1z+fx2Hf3+M/87KfDmo3tjpWQnhu4eN8ufC6lwWGNRB5E0szhTDbpb
fy6kzCR4wtCifWuJvfERWtZ/iBMFv020E40GirH/Zm6wzMUy9XZysB1mq2WNN200dtb7TkINP9oI
QxVfuzXhGUGuFRp6F7JN0DA4mdq7VWaW2wF43GKWMetTZHDYz7GifkVTMVeUngoD7Y6+lO/iuSmg
70Do/jK3BnNFmXjWyipqdUkyWZt/SGaruayI1PyasumjRDZkclgt86BaF9o4mrtEc6oHl4wu49DB
WBuP0kza6dRSxdzEfSZJDDNyRSyEk53IPrACvEws50q71DmE8jZijQhEWs6A/VT7aRyMdmMYcX6w
2N2rQKWe+IOpZcAgQSdi62NSQwI0lXYcWE6cnPIRUMSAwWevtUN7GKuC/UCblPJ2bLSdkQ7GujL8
D1Mp4dkh+SuCgtokn0rN6QfJ0Zh6r1mvcXdfxpi/KQQDThSQ2TKSt9Hv5CmACNds7X4lSqRklB/b
DplMmM1ixTfPU9bnQdwk8D6OpJt2N5i4U+diYnr7whNRFyh3UjCBIBzmQ4+zXbMu3DaS2UIcWdXW
5BAS0noYsTeGNKZTlVp5YuV7N1eEz5VbZ/aKUQQTdNPe3KdMLFUjA+R64+BezIMkl2oOREc7R6Ib
zoY0hoVE+cAYD6KAaTVekKuTJk6/koJ0xowSHsFD9RpujfU0moY4dxBBb/IGHNNXv3Tr9MVPRfeC
H8WYzCuj7OxC3FEsE1unT1zKUtAv3I/1BOeKw7RP7FKUUTYsh5oHRUxqHCiKIgfycEoTkl52yzLR
bvSkaNHwZ9N1h6xvpdNbYVjKrFrjRY0IPxDi6KUZ0LdIn7czKKtdVsXXIqnluXcGOCBQbIx14rdx
GeRNHx093EywlDDoYesAWrLXqYD1GxLSgFZJvd0ieeqeK6POvxj4+c2tD/vVpo5C1nPvhR7pNfQd
qat3vjh2uI1Wlhnlx7RIUrG3yuFTjHqkX6J/7BuNJ2ivKragn6IWqmmUWijnpa3tRtMq1y6XO+WO
iU1rFvK2rHqxi6fMS68tEbqrovGmYZUZenZhiAgF/2R0I7GRAJJG+EtXpN6lxkr2uQWcM52PcJ90
itY6K8wQP/MZEW3rhdiS9XLlxN2QrQfLuQTyRKS2zMJPcYuUqipmcErUgTZZk5XHQbj1A6X+K7t0
7dtlZF8DE9DxtprlxmnEaU5h5sVJTdXBrKl+JLXR8gRq/aUSSr+u8MV+BBUwX8BdmC6rMcv3HXUi
3FdOtEvTcUkD6zjyN6jnSR/rdrXT+neRpcFIICbvkjLvI1Tt69KkguZqoXMJgMC+rJNG26dpN32w
m2oicJXYuUvSaIwntuISgaOaK7reuW6eUZAMG1F25ovmenER0CaKt9mc9oehz784noWCMQmRw2iE
pRAfNDrWXW1OMg4MJI9fLE9F92SxRTD1stb+3BcVXQC/I0lxrrVD7uVGYAIjoho75gcSwqtjJuF7
eGkKkG/ECmOSqrMnOIyiVo22jLatTLcUjFGIuUOPHQcP9X0PGSnIeT73VGRuGdbV2TPUpT/FGrya
0N9jDiS8zjMb9+ih3PVXpOB4X6VTxjd+7iX7MazKr6jnfIBjpC6t6gJ9BXA7C2qILg6hk577Ap0u
MjyS1Rjdd0Kr6mIlaI3ufbBf0F7mB9pIAjuaDZ7PddErQS5hZh908xP6W9qB8aCt5SSsdC11x36y
KZ2uTVHP50qierPcdvqA76EEapdWJyOvgd2MrvyC6m7E8GP2qP8mSt92M2+o2eHLA2n30Sjn4noW
iX89Sm++UaVdbRF19TdG29YXIcWoO3pdbGG7ps2IUgSlvukA8z979dCuLTlU5xTYV4/oMjaDOB20
FUzh6AVym74vx9J9Mo1+xmrJ0CK8ZcqDuFcj5dII6mdZMfN7U0vtzBudk8G5LuCNNLdWJIyHCLz3
BS3P+FiRy3XTCNiAPf12nqwfqz8S1fZ3xOCBR2oMnIudrnIcN6IrglA2zkqI0UAEodQQAA/7oygS
E/sF1njTBpkj0zoNNLNpL+eymm5zV9sMKvNPlGXshKNeEocH09GyU6yLZi0MjC55Nxr3aZfXJ7f2
1J0+iU6ipY39M2TOfj96vTzQ8UssYHjWFIxxol9jkMs+FH7VfECf296UQx4+1lmYXAyykTiqvPlB
tJba4FRKd6odFWlIfbPSqYTHa4u7rQLZG3p/KPMZgiJ78wfL0mkoJlZXrrXELmlmIwpsyDm+aTri
BkmwDqsjyi+rD4psUhc2gJeMLpgwNl5lmTzHfvpoSXdpXsXODibKGAdpE85HkQjnC0oCnd5hWCY3
UY9Tx0lpOqnZ7va6NbPQe+QZ56su6pKtk2QOotG6vg/dkX6nRnsELG0IynLtTfISkHK77Wpr+B63
+d8i0282xwLdCbvZf94cX1ZD0iXvtsfff+r79tjz/gM/nsgEak2WC5aWPfD37bHPxnmhZXAA/laB
+mt7bJrsqbHiI+5BNQbCgeP09zqTwS+kHISm3SBcXodk9G+2x+a7CrGg6MK8Ywnbpdrl2u+JCrzV
0wA/rD3YZeh6a3zH4sxOdz5hx8OJ0MClBTrs6p87zQ1pZPrtQRVleERqEh671hgDN3cF8Dqn3AG+
Q70/Eqyy8rxMu/fqAjREXNvJptKRPos4lddk4w1/pC0ychlH+SNzBe6GArVzFBfhqdKhlq1LliPo
RWBoRaS3064HPrivmsK5GzCo/CYHZ6lNvzkf8AQsyiL0cDAZuhTb3tWuU0U+cDXWRIm2aKnQGfm7
SOFUMfp+uS8+95shcvPtN79libyT4r1eD8031RM0q9QJl5r2GymVQf1Rsv+rD6/ydxnlnwmno9fD
e/ybK72ryi9X4hDFCU8gIKRs+e7O5sERQN8dluoQt4WRpmpFI1zbQY5K7kYjt3YKz/X5X98e3AUX
NxSDyaMs/uPtAXrvpqLs8sPgxADztQG9OvIF114P0ia84d9fzSbEGnPVkov7HjkULV3rkhzNAzkZ
BKWVbTFvwTyJ6XrAOPTra4l3NdnlefpLuQrZsY6y8X1NVmYRjo1MTw5NLHMzMOOwy9dklFSkkQBT
i1Usr4d2EJdTl437OXf7GhQKDpBff46fBxBSPER/5Df5/Om++1pz0bmqGMz00AxZEa8lEXNrh8zS
e9+p0aH/+mI/jyGb6h0lFY8QbxRa78WVuPzNvnXSQy3m+fbV2NRrvMF1XGcx1IkltwImeOb95rp/
d5NonimzOw5JXO8TnqEYT0kEsuxQTg0r8WIDm8xhWqLsUYP8+h7fXQsEB7+f4j0FCWbBn8BZFmRM
McZ+ckhEE63hBJKlU+utWkyv5sOvr/Vuvn291qITtlA46tZPPSMEF47WaoyhWc2TWFehWxzzxBzF
+tfXed+bWu6JzgadKSYZhqvx42s4IB5snUomqF5scGdygpy0gi+PyZRoirs4SWjlSjB/wDYIUwg3
ehHF3zyl/9h9fDd2lnsVAIUs3k+X3uP7sYNQLUMI0PMZxi5a1wIL+Cqa8byGUAaO0HsgCzmm+s18
/tp2ezOhL5c1mIJoCZKmZtCP/PHWx8gZqzl0k0OMSf9DmzrFkbqxuqrTMt61Zo3qoScbHHufwgtM
cPagRvwwpfwqHCLnvtSjXxwzYkr2eJOLY5iE/DGn2u2vv6G/+5w2Xww9HnYHPtXzHz8nUQDhNLua
tsc86nxm42zBbGtyn68odyZnX5JR5K5USvEBlsOUnXDbEW2IwSo8DFllXfi9Hx4ktPcrX3M6d+uM
cZWuK+AL4+7Xn/XnUesRfoUQXaCNoNn67qPi9e4rqCbJofB1BYErIiMvKDtSYH59nZ/fRFoHfGUo
mqGIga368ZEkmsFD0brkUOE7uSVQg2ZymVX2Baoh++7X13o/nTNOMG/QX2N1RBP/k69CeZ3dWTJl
Okf5v468cFzreT0EOa/KNjTqKKglG3oxSPdJK0p0HJXd/+bBCt1e3sQfh6tH88Il8Y9NAR/n3T3n
bU0sE0eqvTvgwjssLHNv1fvSrA/RUM+3GtXVz69WsyQZKAmpGjlpQLmnBeWJTRKV8RgefcScaHx8
5M5dk9Zt0MBVBm2UYQTk9Bke46QxznNuhi8jFt5HT+Xzac5bSch00zp3biOzo4Hu7WJEmYd6tZiM
sz1kzh0ZgDqxJgB+YuhUw1qvE+0ep9p8qwCKDCBi4/G6gA/5nOOq/zxDfD11GlhytIRl+FJ4ml0f
QaQXpF6NdbifO2F1BA7FQ7wyXRSvKzIhObqXjWE9IzMWX8qhMB8mKg3NCkVnoQWdDK2XfOwtVFBQ
kuJNh/7lFJm82ZbN1CLaMfk8xEzenJftl6jSPCMoC7aNQQlxNAqmxEfngsza2k0WTs41PObuq+fi
OizTxn3ymqn1zpVIGW+8/Qg9ssrn8nXdareeAWlkpXeD+zRbob2WsPlP7vKznV3xMZRNCalJpg79
TpJr935lqhPrTP7YNGq6fn28oTP1G6OM9dvabOLsWM1uHh9CETnm0aDZS1gZQc8bKm1pvcH1xGw1
CHXR9jMzFGgX7VNJbhq2NF0KHUWbmMmSrXl2yvaSDu+sHt9bMrE+EGpD9dqI9PLGzAy3XKcWvwfs
VXxy+jpad42bfG51H1p02LYq2vnwLgAM2SwKqJTNB68EV73SDJ5tAbr4MzQEA29cZT2ndoOgg5cG
rD0K5fnWBiTUU2TCckDTR14nyhrjtWuJ5FPuAA7CgpE/Uhqz8o25jENA++HRQ3obwdny+oR8BcEG
RhTVvC0JCR3w5fXzKZrUoozh6KVWPaCd28LWdD2YC/Y50MVrFaTcAMiLdJrDoGOAbfQurp9jkEN7
pIeMXhvMw00bxoSsAlSXiPQq7d6JMx6YHlnqFGl5esy8fOPPWraWrSWvK8JNt33qin00zZzwkYcH
SqvaW47lyUEHnn8xRZMVJGgh147R6SdhlvNxAG60x7wT3ke9uyFtIHtuHMyviqsFYWi718Xs7rIE
/DxILrnTk9R88jxeuxpKrF5BK9eywVxjsJipwhlGIJyy3UJ3AQVLXgWlBNxmjyCYrxPIycdUEKgW
N+Z2GuLqSFu0XsXaUC/ZdeTYF9wWejSSVzPMhWoEXmx0BF30VK5btzNPUZFct7LHaDyacj0qzyJj
2oBk0yQPeKaLjepq4yK3czqM5CnWfTntMr8gmmEmYyqedQeSPHzzxI/PBDR99mvjuR60bpNqhQmd
wirRLVII0nTvIxJtrMujWeeBkh6r2kBsTWFaR7R+YjUayVXsJNM6s5z7cQwv4KRGH3uIwKhDlTzG
ecEEbC17pMJQV05imqd+7ppbGoPdUSN/cT3PlEhd7OQEZRVobvxsmUSi7o9Gz+q9EhXReiUUciIF
IjPFfGFVYgXmy70kNJsPVOUWsRAjfokHe7bMrUSNh9Z+NPyLXogGGJVtQd9wmC8yV88f0DFEoMz1
6Q6AIvuHqlsoVfU4q1PmAlULC8fdWlnvfaUk3h4QCdIwanyS4KC4mKc20s+ePU1nd1JqY85kPS3r
jw2MoKYmlNRNcdOBoQtc3jTaOeQ9GCsjI4ivVexFMozRZVY60PEBBzAVoT4Hzs+K4Ea+S/Y2R5+B
8bcu2OZt/Vm3dsM0WsQe1EZx3en9o5vP1NamhMQl8pLSYAk6TNe9k1np1k6N4kKru2xbpsBx9EF2
W5Jlog99Gk3Q+eW6JwXpmE6DDvSeWugnkz5PuLJLAz3oyDyJM7SNj2bDvn1lTF63n8eCgZmyd+CI
kGu3uWpdPAvk7lWevSXna3wakBC/9JbM1MophXFvFLb7QU70IXa6jXBYDXDGw2pgP1bKZk+Uon8l
tca5JfBSBaSJLPq7xt1zgvb3vhQGDDwxtH/UWPxht6fq2PTmiUwj/eSHLdVQyxeX9B5LtjCluxvc
3L8l1AJpZGiGJof/NKbfFrfiXks0qg+wDY98qf6dtId5zSJMaFOpjdYXOevdLRh9qgaEv6y9qiGS
DZsZteeSij8QrN3kkvHneP24majQPWSqqyjxdSbRbiI9YKIxTjxBJJgFiTljKHajbTOw/fLkUD4I
QjDmmDlye283rnlJHExH62+2ka82Yo2Qt9rlOkj6fO6856HnlphogNp1U2IGIKmRa5Ir4+3isSQ4
pqR6uoq6MHokfsi8GnSvutbnkG2/b1bOqu60tNyoTKusVZKO+S7PKCVjP6CIUzXRhdRwK6zD0MoP
SvPVHz3H8cvenIbb3oL8j53EHzsoQyVruuVPbVBWo33Fib3eEfLjcgAQ1TEXquft6uvTlBb5Te3Y
/bXXSVKKmi72g8T39gXU7MPkldpqJM/8gr5deEpJwt0RhFd8zsrGhele+80Hcg+breNAE/DtIoE6
gf/8oA0ltaQ0bx/drv6EEFBu0ABbeeDbs5EHXTiPzzrab2iIWqcdopoSNIur3mPNKAnnS+fhgkC0
hIzRdMM3npBQZHyZNL9eJ0NNqAI2zW5TRpE6uf5QfXZFOR5nmQLG9lkDm9icd8pW4RqqSX8j9LEj
lDFjzm5yVg0mARw1fTBaC1zzATBg6XZfwMPRQNatUsYvsQZqvU86qPqR1ZcckwhMb5y4PEm7Nq6S
yR4eCLgaP1tt4j1Fgw91q1yiJOlQzB4yaxu+gVsEVETKveZYiLzRf0abwhk/qF4kV3oGBxyzSi5I
nQOxkNCzDdhFRVfKUETW5NjAieoODzaSF1LSrF7S10v1kzUl+RqwH2tGZRBOEeTDQOIdk1NMPEba
yL0Ip/4ogCQQN2EZFdOZmqM7z0wNFUjbGEC5g1EMBNUhxiWK/CDqZu0+yX2dNmPF98aisCOpqT/W
czJ8qTkbccKA1FDSsH/BIJZ8IviGoUxFSQeDUZOC4xqt3Du6GT4q5ErPmlFrL4YzTJfhaycLul2A
4EbQepH+gyiTcWUMdvsprK2E7aTuB7hhHtgYhxs8ojqOgObsmI9RhH1QzUyvKHQZVMWjbpf6Svf+
h70za47bSLPoL4IDawJ4nNo3FlncqRcEKYnY98SWv34OKKtHkqftdj872uGw3SKLrAKQ33LvPdot
RiKAQW6hyBHzNrbSBNQQORGxDyZ1pDhZuXg92HsznvfosRfEqZUIZeK3NMMutNTokwl6gVZC2vnO
JIl704nhK2HH/pZenvh6RAWbFC3VMs3FwWxzB4ZAbyB66TbEmoVLNA4aoHQuZz0ZIbY5+bZTxquq
+MYRuLytOWGXzPMp29oyHu9qYbLd67zwKin6d61CzlSjzVmIHopfzGB33TLNOsTNlO18nfGAOfYT
93PTbatI6m+pBJ1Lj8+pQyF0sLuSKHHCIUlBk+1Jl2NySo1xm4qQap6Ca0lTDc5oGK8HRCEkso1i
5zR1tNQJeaE1AazQeSC0KAVvRtar+LmSauPJ9qtstHJdaaXaGoK8n7z2PzVwdjfNVImjrJgdsOPa
E/Z16SztNRb2hgDNaVZCnYu8PeRa/TLk6hp89UGW4qFqgiseuQyMslgesTi+J3X4iIzyFtHStqKa
Jnkve/X1eNiqlCGlC0wREyxSBTTxK18znIeS6ElYfebb6BsUVlrIQz4y9xkC7hXC4E3SVccxcocF
YOjPeU+Sgpkz1V6wU0OzhbnjSVnqM5mVe4GsYlO7WTwsJ38Kn3TihIGaNF56sJsKQN3EjqmMLdbh
676OnyEPgFaR0cmpH3Sv7+5rryY9rY3vsJdGO3fw02VT992zZjbeehx6FmL0MKcOACFBg4DGNG/S
D44Vu8+itYttnNcAdNtoaPZxLRiPDvBKlqXrR+O2hL2E3KBJbbLahDrJ3gEJG+XjrWMK/wve9Uk7
ELvMQAfJaevpW7NH6XCUXo5jb1FHuCMzs5m/n1mnyevE0HlgcIEeZB/mkivaHdKqWTDVtBPoMUlm
bIwW884ipR7auVbnamdwEW6M0QxIGrQphqaiHWg5U3atTWcGL16YAmwg1oerm2i3fOEgSGgoRWik
VqZX0haFXPbdquTxwpxp3mlMwLJeOuQbAH1qeozSdI64gMZzzRn36NXBdKXZDl1yzD4SzoXQz4nm
xP1a+hNtRwepsRpaFG+FMXcnBkSkr4kyh+tETMZJN8iWMUIcYIg0ghcMhgy5Q9s1bo3WkWvhsI1k
3tXrb+xdhXMlo35ueX0J0TByqvapLnpKh0wDHFwZVrOntudb40ogEaqkQV85UwiaznDprwYhP4ks
R8/RUP4tSPwgR0XNziqsrRXMN7R9zd5EOrOMWys4WJHDUKClyfc6+BMfm5qP1+srAqemUjTsyS12
NmnWb9Fu5c8ff8T3cvNWF7T9pZv4W9dx1M600uq1zSU92NiYTAk8SJ2DouzRaDbZ9ahC3BFJMc2R
3zCCIsniek7AqjLCxExceasu5V8xvFT6Io4jf6sBiD8AokQFo2SxFbnTPuEu5BeIE74jzxF1aRm8
3OB5Mp6xW/Cpw8vjZybie984Bab3kXqX8B19p9JOAf+ZJokxmN8L8FFwX2EtPNczMQKcVVJvKdVm
Y0KXueQBpjPPM1ZMRRhe8jDoUO8HuJ9WhMg79T4N9Dzn+teVdvLLsHpl+BeTmJkwUfTUkdzc1lyQ
OAPikbMDIEgRKrA66YCjC6GNfnaMwTmWiWJDphyGV4FKDx/XnQbxY9Ozwaf8l9ljBnrnEsmWNK9+
1OafD/Pnu4ZqkqEIbdYl6+b3JOvYshn8K5/VeIawyNvGkHKJ+1FdkScEOncexcE9U1cuMOzrj1CH
EvfTRthcAZIVc7zAlM03zBJxF+KYW/sRbpMqI7FJsl9fjYWrP+c6X5IWdrP/SAaCWse7ZYiRC9aw
3Omq5xutJwWbdlUPmv6Mtwt5RCrJCYpbrvtIo7zG+4k172PwZGhm8K4Mm6FSwtVkKV4yGbXylVEi
BD+O8/5BmqNx8glSOfRRUL4GkY4qN4i4dTRMontU5ewmYcdBCDTK1xSt+96vR81aTG2f6bi8sgCj
0gxnWRSmYPwVAFmjAkbxtsXMbZ7oW5on6c9vb65n6aED0HnVt6V5O6RE+nzcsGabRl9ylVevtUeu
NEd52x8yuHl7ycgVE62ntZj6wmWoM5GTNV/nA7k58vB965yWEBwDonQlq8+F7hEgxTJvC+yUoCfJ
pyNlwM2OvmwZdJPPxKLwtxL2JCn6YrqyGIFfVbjXX5rBmciMFso4ZrCREAKJABuqxU8u6XycVcHj
cKtjTyDdqSG3w5mvgqFiNOdUDiMFxyaPJ/UQvywGv+MqcZX+Nuv9X1lFguJkF8s9XTZOsCrpTjcd
FOcXfGcFuV6kMykagnc3wDe+8OV8DTaEoy5dpwoOcWhij/OsSaHOwVjvei5tnyei/qsn6JOXNBjj
c1vG46ex99hCtRTkDaPUKkRsUZicjFVSn4y2L87RILv7mATxL1VvB+8xeppD70RoHsOBk8mOh3oz
Oe6EGbngCuj9OnhJhONAf2qsJli5JQPuFZbNcvo2fv5H6PBXQgd0BD8Mz/8Qgvk/2evba/6TCJhl
GV/yXeRgo0lgBWuzsEPtwGL7XyIH9A+ceKY1kwXg3X6kwfyuAbYIv9HZpzJ5x2dAF83+6LuZRv/N
NG0Lcw7LBoJA/p7I4Y/bC0GFyk+BTtlkj/HLhD0xKtNuLVvb8RCwEbInXMWdb7f3P7wnf73YZ5/A
qo2gHkQbbErYmP68vFBGS4ie6rVdq0iKSKF1rSwa7et86LX8L1aW847356WB8JFuzNoNtqNMZ39+
LT6LhIQvK5inXP41p15/NSfGHGzF47MSeRz9xQtaxh93MwAw5hgYFt887fVZZ/2DbmFMWwYPbhPs
0IyQRRbUpTyRvUUGSAkZ21l6PnYLeDKWudGJBAPQymFDvhsJhMW2dsJuiXsfjysCXDhaCcJhvxx5
tBFhpr8VY9yQH4n2AkSdv/2IAMjxxTK/H4vD1Bj5JUszf5tpjXwwpCgOfk9SpkZS7hkJV3y2w8Qp
Vhau8C2Z9PmeUI5pXcs2v5iarb6iRlWPEc7aR7cKrxBSx+vBzYghh/m9U1Q4V+y+hYeizuouZtvl
71Tu5TVO/+TBZGa7wD+bMSWlhzNiBjYcIgOheUG5qlVtbr1eL9HJTsPaiMZqQap/e3QNWZ4Raw+0
OKn1qmehtmOvB1W40YZdjYOCcI7RD8TS08zyc+vl+UmofIRQr+iq9ZqsuUXj2Ru9NZuXONX8gVF1
xBi3RjDHLLp9IdjEmVr2MlWycQuXGdAQcJ0v9agEeaxbefHWNW71klADPyV+at76oe5Hy0Fv/S+J
11YJaexz0CkT1pKSA630puk9AG+6Z0VvaYQFmmmCnV2T2egRNwmc68SaqjtOgEbZIalsibquWcEm
5tpLFDMqO06c69iiGBhjplgj6d3MQMWaQJ/mJXfLflOOusQ7DMGHyafIvzSzVSUqos9Tk1Sr0GIH
ha6D0aGhnIgobt6cqAiyqzrL1ZNtmdrFIh3+xPiK3LV2NFIgy72urdI4CXSWSdqdjR1uH9i6veuH
ol1bU5ye9CTsvoStkG+pMSXZWoUKwb0mY//AW9CuokB8rmW2HIyhORdzZTG62Rfd4lhlQIo0U44E
P4cPfkstWHNIbrWKRpZ1F9py8i7pfWx96QexWLiVPCZaYxMzK8OJca2XvLKLDPjDLmFJTPsjDv71
6Ir6Nhgy84RE+YbzezDQTbk2lzZ3D0OT/spKbZOgm/7rmOPmdhpNXqVISN/kXJLxyTpv1Zim1wTq
m6tUSXnLup2dl/Ru69qP152jnhmXWGdSesy1Oan2rIE5WQ++GO6YHHVLMCD9hgiAC+EfT4R0lOYu
TqES2wsJ5nv6XCA6pDbuO+hoAitDgr3Zq/A4qTbpV2mYp86aoos5GmpQWkdvyKZxz1AnZEhEOoCu
M2uDh/aYtoPdE/pjdu2AV0graxwEfZvc203iYTZnisTmZrh3JxmtfSQuId3PLBTGN4CQ3GHNMhcl
RbEljkC4+N7t0NsQ/WSiXfcGdNqs3iZv0yZtXNuYoqTYIMBV4W2fOvxJq4p7tOB1QwtW5k0x3IQA
mz1rUTHej45+oPVIIdpgcF7MKppFSzrBhdF6aEbffEy6QXM29eg77hd3jh5ZRDKS2iHFbN41d2lO
cjf8QL9NX9h2pnd+n8fbRidihRdznV2vU+27wcRMObDMYFoMHYs/Z+yplAbVo3V3NNoiB/DDYTAD
CqVxdHagV2j1GI4Di8yVb9ybZNqjpiJ0DM1yIII7RAPDZ0HEoregDahYPpBuMtvVyKCFWYUaPrP3
VasXh3gk+UHmnWJOjD2Tm50J8rG2bfL43d6lIRcttjB8IGun8iWjN519gzahIteCwP80NvxTDYHk
TrU6bjAHGR8MzX7IL6NlV19tYXs49AOMY6lpkzc1+bladQLJ1LqZhnLv6Zl/nTmxeM1yiJ0LC4I2
9Bc3v2hDOlO9SLdlQCYq/j9Hk/k7me3ZI9mpzBYIpFYrT+XlXZgjwF8QBdUZPDxScheYya8+zvF/
qsC/qgIxBv9Q8fyxCmxiVf5sBcN+xJf8ywmGqQtunIVKzkJU+ZMTjAqR8hCtK9ontC6IIL5XgbMV
lK/6xoz72VJt/IYxe5a6MvtFwej9HaUr6tifayaSM4lCQJCEJggln/2rHDKv3bYdUzGcsMhks2Td
G2SeEc1MYpAOVqL3zBxltitVt01Novz0JyKn4EGmsDFadlO2VM1iRi+a6wxDJ/slbp2irry7WMDJ
FXLZJUVsgMsYRsD3tjWQnsJjdtol2jBo4Iu/WRehT+dtD6MWLizbkCKbiB7q+5jjzPeqguCbZDxQ
VPWMO2M6xMlmoJFYNTIKTTyTz9RvB2LPYbCP/goOZXVKcqKN8mTkrnCc1LxnscrNFJOdMgNSZpoI
Ild/TfgUYU5ZoyjaBNvJWwU8nJWIyfOgYNV+FZPKjpsskjyRmn6GL/hEZ2TbYmQnNPYNAc3Quxhn
5mHtnn1fEkTbTjoHoqbBBhPVJOls074jcEjDe5Db6a5i8bZJVOOSvqMVfGNwxDhYaXh7YmaC4kUO
k3E7sObot2TsylXUtpwUYTWZnKwhOpI2zZsVO9H+GTfY9Bio0hXLJqyrcc9wiT41aJAiQEXQO/M5
yOgzB8fICOgSzdo20n4twqo2yPJuTkNZGhUSBXdYYyaO4OCkg7NH9Os++gmONlPOCKX4A6cUtYy3
2F9DWdKsGbiEXXBtfkCYrJnHJFgCq0WfSHcRfwCbnA94E3n/gJz0DmJpJfp8V8+cp/ED+WTO9Kdh
5kDl4YyEmswZD9WEVcWYf6ZGkfymv5L1zEPU4W7czMXVGsrR9JozuTY3fpPDnyLw4o4VQ3RMgXY9
lzOnKtB7YyB7PZS7rMfivzIblAcsW0kGBAXURCW7QRxzJBvrxgzCCkPkDlMfjsA4Gv96dCBm1UEz
I1qgaCHDGd1FObO1RGbNm6WooxiCSbSfnVd7OfO4hOMGn7gbGojcjC7fAlx3lPOtxOkUytq8D0iN
2g9N7m7MDP4w7XzQ3kFY/oxWV5vFB2oVeDMijDsAyZdbWcQ6fkDEwpknlovMPqQzY2xuKrbk2+Ar
clpyBFbOzCNrP9BkLZAyx86ac+3p6g27YrCCLTQ9Io/Jd8EH4EzTdGBn1cw96ysIaBPiv3PtJCwC
5QcizexZITozN81gBvUgwlqS/e8zWfVjNuAUnmANZJDdpjb8tVal1bYnhkaWHtehG9gc32yALk5U
wx5DoIS3rLDNgSdLYATHambUd46srmGM+IRb69lX4CLTnn4Hv0lEyHNP/hVSBfk5Aby0sqZhYNED
ginJfH9Z2uYrQrQnJ2uYsyAUGld+b2IcXAE75nNESkIYdyduBtApIS+bOmTpNN8awH9Oxb84FYn5
ncNJ/70JZM4GPnxt2q/TTybpb1/2+9EIBoRQUEYcHDuM59AD/WtA4jq/OfwXzzXRAFpzEsL3k9Hm
+GNkgiTQmcmjjKL/bz7i/ebz7VDXz/kzBmL7v3M0Wh8Ay5/GCcQ6uA7QKA5H9Fm/RuiC8SBSntXo
zu815ANFA1ViCpFFHiPyBY+YNYklCB0G5qXOqbLv40JeokoD8JkmBtV/0/RMDT+2NZDeLbQ+VNBm
NTIxDQM7viAPIOgsLYiG93GQqVEboKgakbUyJg630SycZ7q4VzQCS+LE8/u+Dpw7uDnsAcjnL+cN
Byx6NlSlyIJ2gZ8aOQTsgKtuAFq18HA937aCzG9ZSf3ZTw0eiox8zduiYMvQztPWcnaZiIovHAT7
HlJSxnNOeC/ZhYZxGygTaEir+e+025TlVTm3fn2OICHsEyaqqFSqV4Tacq0GtizKZvX18UZBwvJW
jRu98fnHS43zmaLe6Blbp43yth6hMeA6826vUpBpbLv4wtYZWpMBeDURFwH/zX/qE1WHy4J0y2d3
VsF9TPgdc4YQ6KPayYHQ/l4DCKEMb5bBJ9q0aQlkRNtYspuKpN84NN8xfsihtdSOtqrLV6hYtZeu
Q9znSbI9F6KzjBO5e76+nc/IxymFNLDqw854hlvLNCYddb5blmNl8Ai9e1fR4C9HiA88icfoC6n3
47mimNt+/Hzt/FNxZePrSPg7qwrJh1FgrF26wi2GjQ7oYIs0FU6LV6lNXPImtx46kELNyzBXMqAP
PQOvCDC8NB1OAm9htAsydms7KIGNtYkcNyVWDx4wQPQAgFyBXvSgbLKsG1uaC5n03UYyoH6uUJ0J
EHQTG0ouFYZ8Muda8Cq2Lx3UFV4dCk3b4kfCCuXcYQDOHomPzu6iqpmeyb1rT15h+fcJi4pNZJmN
WNUgJg6F04XHoLajJ/B6kAVw0aCV4sP2UKAQUSjZIfYlv+QHeQaxSVtsHSwkPIlrXNLCl2KBA1K9
ICqYtp7NmCvLTOt9ENYAy4ABSEnoH7mWZBAmcbohgUxGZ8ira0f5XVbBKRUmcAT7W0RZ37CcW8sw
bW9RCbF2U4DNrDJFUCn14Cpn/DeSdjJ4W/IzjU0DPeyRrXu6zT2WLyQqRj6SERnn3jY19PZOlvaz
I7PulDv6E8unCboA22Ssxh1xKmuMzFd5GCi5bDFrbGIP1aXtEonQ6dim8R+S6xt3XkM8c1beQNXL
Ly2i5Q0qt5wFnm0cCGskCcGskaIwzNzBG0YM69vqENlzfmDKMnk5ZI71gOFeX5AQR+sZNOyAh5F6
0YZUCMIR+cYSDAoCNdmTF1pKm1jTIFHknbTatq6s9qqz/OR69Kz0WGiDc4PxGExM1DNd0N2WSivM
M1pXj6i9U+bXcbcaRt197pUWX4FJDOcBVELQTrlvJj56VfnwREibGRYJwc0JG21LFBTduvuqap+b
XksIHdyFZV7f1b5eJeuhN6J1F/UWSbBpoR4AQeprRaDdGRlkc1B6VT5qwpm2Zu3SRVgITIEmEOOi
rYtJGbPPRdorlCIMrbrCMbiVHYYNXTaAPRECIW9QlRe2o+2Tz+9vQU5Ff7Sv8pIJllBhc+iQsC21
SXRqkQ7IkBZ5wQ6VaSJYWRW5pbF0oUKCqCMORrgkByzHjCmL2eTJsZdJOi0J+iMpMDFFTFpDhbbY
78dtpIcMF6f8tVR6vSYK0tyXAS1AOXXaPTvkeUdmRmrjDyPrcrfIJCwmTzU3KBzSw8c28UPSb4qe
p1Ir2Dt9PFnqVAbvKIOITWWHCXNCscf/uIsqwUPrQ0HcDDkBwZrOY7U3S2Jv3IkTpilxHI4hj+eq
yIjIkSGCdcNhw1hiMJ89hPPiPutTdTXoAzu9aK7ozhzb07mFbzOtwCH+vjRtaD+P/wwR/pNAGQJg
WAz8+2rpf5oUFs1r+2Ot9O1rvu+S/N/YZ5DZgilGfMwK/lUqYZgVJG4IAdvZmYn1FETfpwjiN4cv
mX0/LHnsjwLr+y4JLy1rqdni8Z2z9jeyptBT/TxGIEKEv6x5kmEAc3B+zRys8VHQBXT2Hg2xt+wc
rT+jAeu3CtXCAfAhOEVELNOyHIbpi0NUzAk1ek0HbhjDbUnAwKIjXvQVVK1+lTq2f4Ylb90LUM0A
XgiBWYWt7Z6jrG9vp6SP7/PWybYp+ZL7PBTGp7IKvDUWleTAwg3RSlu/MUZNdiO0ZfJrEgQSixbf
yGe9SkljDkJhMoVPzbumjdODX2TFMXCtbNtZBGaOqAxLZz4VYQ7yOCOl0ehbYKBxTgBurgmW9Oil
D3nNogQ5HDL5ystgRHr+acJ3gmpKjOZl1BBhuXGKJn6K9auJ5xrhzqVVb0yXRtwozfDZAPt6hgR5
Y5D0eRWYxr3SAboaImAiUNu+xjOqst7BdM9k6ImtCNIW6GJ5I2/8ybAZEMNstWyHdJlmjiN2Mr36
MjDSIIbZShd1TP4tBKr0obYTWKBjZifbKh+Tnd9KuRrsIV/p7mSAZDW7p9KLg2vZRcMFB5z67E/D
9Fw0HamoqTftrClpzgKB88URvDm6acYb6tHuqI+ifqNSRjpfQOKpesQzrkEkixGO48JOi2zXFx9g
dLv7gshlETcOOmWCFcwi5GGtjesuzvRFqpeETTuc1WmVw8kmXIMZ6CqsSzYcfVNva3gG76GPRrNN
yM2Qwh62QsfuZeZRfmMoVzEM0BKkR8S5zmqSpDtW9pQ8hlPsv7g1Sn5GRxWiCSb9FRF+9z5l+BX6
ff2KYfnYL1gLxE+BtNtTQprpnU1UyzYHV+gvhrrUd86YuQlhvZZ1UZMbX4UEjG0m14W+yd7DvQX+
adD3S05B9Eb9SQyxfuM3XCvw9cDAJcrOPnfjWJ0DIbLdNHbWEQNKts0rEb90nhvP9ZZxLsLKueRe
pnYjuNqzrvXW0Rycctd0ZXhNynBLNWZRguZYinOt42kfDAGjBMc7m3VlvsAxE1d1aIMPNbJqlySZ
nRMc1mYbAoCc66wajmY02FyOdbPTQHF1UShfo84j1WEaU2NtVoH7WlsDOa9jvg8n1Hj5lDv7sg7s
zTfShVuYj5adfsYOishNC23zxfWK+7K31GPbVtNWkaRzKaE4FAvCybWDA5uHeQesknPUE5oKkE3U
r6BPkxsXKBixqJblf0YlEm2Lfmb5qTh78GJScXuS69fkpOfHJORDxAXFtK3LwDPbWY74r5Vvlsfu
cyFT416WxZ6GXxzKod4WBdMIViOIO+MsSS+cdNmtE2Q7MSHNFYEq9naKV7mtOngaPCxfgG7FexfW
72aKrXqFtIayqxiTWzYG9lc11gTnppQTajZyJ5WTPrvYVB4oILRLZeblkg/U1RdNlBJFJYzqRmtG
GNyiPtZsEZMlEf8OXcc2aAf9yvN88qmzS0825LMWDOUqFZZxSfTQ2hV0pO2SIqc/k0jUfLbkxE9i
66tBH91taQwglDOjQxbHpPhZugTqYtBVWbwY3Kmkl5jCa9WW6RY/EthoovvcZdOPAh62NpREZExr
tFEtE9eyQ7zi+/1DqCakAFmKtjtjlMhjrqVM8quGqKKKvN4J49jaMLTnxJyNdmiCAQFnPusYUbPm
awpBklj8xK5M32d6q5NwgHARcET5lolIHQNsmBcn98SefmPM0a5q8hJL3EauWyydompfReKO24TJ
+I3eilySwWfp51k8g3iJzgRpYybWuVX6jz6nxhnKV/TEPjg+0V598pUUO05EReBX25/b0Caqpx+S
U5tQo0pU+qe8s5sbmQT1VaIP9aMWxNmZUWq1BrpOyD3KtpUyo2rttLX1lA65uRMIkddN4JWbaEzM
r8oNu6vB8atXm+QWDhc4Ac8R/idEW0afLdgN+hsLhTkS5Chdl1NIHKgRRDeGQQk5+ExAyYsZ73Sa
L9gKjlqh0avW7Wh6R7KIcI6PGYlVlpsMXGjML33UmJju9A4dfWh12yIe5T71VfWQdcE2hp0GRTBQ
N2mPvrbqwUQsJqmj8u60wl444bgRddmfjT40D74Rpp+G2oQ+aQr8TgbHbcwtfoSoUu0Qqox0QnXj
v6RCxKu8GPTnLEDdwJMJY540V5MpnBvVJdrnynZJJJeetslDtyVhq8j2jq0FqOvCFlvL4D3QbAUb
Q6/1u6iPdV7ODXCvTJrYWMxXz81UvxWtmj7rquPx3+Hrgw062nhKLRxOGKLAUrbaEZ252WMxaeKx
XnTl4OTw0ouODMY8jfXLPGzl7E+S8L7DsVXToNXZtKRllZcar8iujLilQZC5acqGtsHk5wZe/e43
Vbrvs8hkiDFop9jE50Vo603fF+lOOt2L0ziIEUqk4NAkhw7Vt3hx4uhVD7p3XEMvXjneFoZiF6ho
WAurBgNTuNOa5PV72rrqUEWue0/4jvkIxa/4PPNgnpqAL+wJhOZSjyfWAocKirjeHaq6rXu5ZQFR
K3FFqVWEAlhnqpONPvd1a1i10WkkmXeF/6fzbmpZT+K5FcF7R+a9x4h74INjOWkiAUFyswxKfdtN
VD1bcnPLK6xUWvlS8QCl9vL7lTHSNtYAKPMD+Ktm1Q6JuaLIS49GOJH81cTuC9K7+pPuBmFyE4xR
dnQjx2juu0hFwTZTwKeL5djiDMRGI53kCxG2rfbg1MHooPnoMbpBdEnLPfZKC8uCDo4OuOqmF+0T
u+xh0RD0sdJZlbBYt58Q/g87IIfucoIZdOZPjhufScyyyyK0+PapI5oGFQYJ+os05JTRXHRF1CIP
hSL2LsIAT165r91FWhyeECoYy7CgsWH0X58bPs2DYu6AcXF4BQ0yHRpfaIvW1rqtUYwToM653LIU
aklcyc0xjtG8blJXTCsi3eXOyyzAD0ght+S/6cspsC+5wtyQ1Fq4V3ZInlgQBIcmN+OD1MOTMDL8
CK5RnVBRyNUUuvWnzhLZ0qMB3sZ1H28SCSQHvi+7iJi5xhDYFZzPKOUgA8O9dPiYdx2bKMQyZs7w
JNDfbXrZaVmlVQw2gJwB4wtJw8J7opOfnTPdNx8NYxkqDoS4Hx6bf5q4/6SJYxf7p03c6mv2Orw2
X39s4r59zfd5N9I+QquRwSG7Y+w5I+9+Tz1i3o04VDgeAjb727r3ew/n/8Y6lbvap4r/mIX/OO8m
RQLtGWpA5OUm2sO/0cMZ/iyP+2XePUsVbd1At/j/RC8kMIIN5de7SUzRM0vHolqJCj/bYkRlsBzd
Jpebqp5ustJUwzKLgAzrrj+7yasNTVmBAMZSxnOAIx/5d5EK7Gv68HUk3WOm3SYc4fQkc7Bb4Wna
go3vJ1trQFOyltoUITvGydLDNeISQrl5E+NdAKP4LoENchopYs5Z4nAHex0cZRcvsr0MmEEfhAEf
oSuB3WrYHrjBmxpDgWiOY828XeQW1fnoJNuBH85cWI2o9q4iXbhENndb+KF9oAv8lLi19hxnOTzW
uhALux6Z0fpmuK5CppsVurBrNZISmI/tpffCL46W8ksG/KZGZF5gXzKh9OHSY3zXFgk07C1Rvu8V
DcWw0LE3AJtgsuIQhbgxa1ltath4t1FvXoQ1YgBw5ZUsa4uBkXmJDe8eddGVEfjFIhqLO8LGSYYC
ikptVuDXQovE3/JTOeUn26ueA/wkS2XIEe1N+Ang9H4+8hdzn4K7+1NN2MnCLcs7XHnqJc3ABVdW
FK1S8vOQOzOijWPKL9e/H61gHbhsCdJAzD9CvRAO3xptubV1latfW6mmbdhlIjpp/eyRSZf9aIxY
Jj5I2CArrI2giqAHkuTg6fl7q6obXTB2DmztIO2pfi1tjhDUND2xkYGJt67KMIOa1U02ODuyZQk5
dGR9PfVR82yn3r1o43JbjuCPjHbisRqk7lq5vrHzMe+QDOo9ZAQx1nQPwwPWX9Ldc+YLIHtnmaMf
dJ81nU3O0q116yKR5J3zuI5IZjUjPJolqV7rLCruLM0Y11bDAnllltZtm0mWkh4sJMuKxBI6Cu7A
uI9XUab1yz4fgbCQxUUFEVaGgbFmYg5vOGRUoOErz6YxdseQ6rbbkCzoPLh4BY92LvRPNr/4qkWc
uSQg1IxZ2qYlaYdeEzRMHib9OEzI1fYlJTCqhUROOB8cRTxVU5bB++S7wxWuIgszZAG6OeNgRX2R
YQrPE+Punwf9f/KgtxyUwn82rnt6baO4CGkkf3zW//5l33U/xDxDKUWq7dA1MhNjXfr7w94w7d9c
DAwmS64fFptz+DPBhjNJUsw6IX6E34d1NttQG6GyzybU5ZHPT/c3HvS8xA+PedicSLG/gRoMTpo/
BHapUtVkE3QCwDza0SXtRDc7x+dtzFC3n354Y26+nR4/5rrN8u7/O1M+XowMKZLPWOwIft15bviD
Pjp04Je7kbQv2Hirl8IuzfuJQJbHFF+TWAhTr15CjFavfp80u//ipcEQE80voFw4vySCxRoWTFka
9kX5Iy/tN5q/7qcBrJrbCePe8kZOg1ZveARhgmbL9+cv/7MYff7NXdM2SbLjLOWD+/XlTYtkCj/J
rAtHCpAVT+vh2+iyU9UhLueXG3PPO/35a5pcI7+83bwol4ptUGHAj/vl7S6YA3Vh5ZsXeFzmfUEH
xWxMqHrjkrj0WM3sMTuerTMdgQDtFkCN/MI6I0ZCDrBtWdNjbCs3TMZdqzVhsFYKbpcg66XmEdjr
xpGsGkiLSOLm0JNqDioZswKc2J//Htwbf/g1BONqBolEwlj2L8lK3uAxTXQ5VhlvcK3Mes0xQ2i7
wRlv3APTKI/jDMz781f9WQr37RMTPrcH8ZO8sP/LBcMyxU1Gp2H8YvTGfaEpFFxuEb3jKa4vH+Ra
x66MM+dkpL7xjP789f94Y6LE8xA9MLPkuvn1Xul9vyBzeTQu3wCa8w0z+dj9wr42/ioO7P+5UFD9
cWdhM/FcVtM/35fB5MpC1zvjYsf+eKtVEZiwPjaAjgSW1X4ZU9t+7XUx353Y/kgSGLhZNGYzN0lK
IvHf/8UtFBsWAgXH+sNVa5Ld69c0N5cOE1nNGjXISkRnud4v4iL1/4ubBGPgfF/yvz+mezIw0WPN
ovICfOb9L3vntRy3kmXRL8IETCbMa/kqeiPKvCAoUYR3CZv4+lko9cxcUhoxep6nI1p9W1ciqgCk
O2fvtTeljslCPKeA9ksmbKFScXSwwl00TcJbDgjIusbGjGoD864xUnKfqwvDJXORtsYUbTPTBvuQ
oSTEgjHdxjFdYn5qyiiTfjmNpyCGVrv7+y1Dy/LbEFnEMWzWWSoC3ti3DzDNo7D3dWDdhWFKnO7s
EWl3fm+mrqi/KgXlKSfx42upuYFowYNtlFAbRJjIBr8+Z80mdGDy/TwCvNpYoQn6SZEb+/fP+aeP
iUaHQ4Xgw4JofPsxDaTtgxsK604CdSPcdYl8smpVf7XM0HokiO+jN3tZQd/MHYucVlA3dUxORnAq
3l2x6FALmHBF7kaSCC9kV8jnMJiWXxzyDXu8C7fKcYkSBGGHrNMc0hjo3aiDh6TPkFE7pe5enAr3
dmoyA5iIr78mDjpuwj2ri/Mtalk1YDvj2b1sB6+6OGd4o6sRRwRohHvrvvrVOP3foYFnjOY/F1IO
MTi+PCxjgkYfaM+3N3L2swAet47uKv7WOoAkhvrTM9Kbxsl1dyjp6I/r1EN4ubElcZHrZCjCeBfE
ET6dnJ9NxWKqcR6n9gDWsPN2w1J9PcRu21tYuSPtrIxQhvOGEkhAlYXO8KfaKKKOBlFV4Z2M9BKl
F3iUPKAaMjLSdgSsXsQuoKWU6DdOIuUd4t34wm+L9BJuWnU9pKHXQIJRCA1qOze+WHAkb6xK5z/M
rLU2YAgU4AM9g4LS0xC/aFlp99TpuNwkHev3CURcAZ7BSaFvY+Ep0AZywFnqckQSerHfUFb0jPqp
L3Pia53Q8x6CoInNVZNGyFAUGDl6FzJSyHbdQCvq87b/HWgX6cogErrsME9zZ6/QAmDxtRudGMcQ
2falHWE8XtVg5Ja27INGxtCvPfwaCnE++ldCL7tSQsuws3hNhl1d08YocrWeAhGHGz/F+RXFPctu
xjtCex7BsVsRQt7g8Y62bA2CLXYoMhkxisnnNhBsE0qf2YYtIBPxUKNFbhO9RGR64E82oVMaa78N
c7GarDT3FjZ+1rMyW7GFD2mmJOrVJ6TJqb5ynaq5NKbAt3aRrooYdmcy+UcRJagusqD74XM8pwlg
x+ZC31KbwAF4omyhdopiKeFB9dfRNOcvVusnJ3vwp43PPuC77iq840nT7gE0hzuSdKpvRdDKL5WD
c6lx6/iFF2X6GVGm6lZzHJWIfnk86zjE0o6oQ24KyxvWvFiF6WCYKydOYdog2sqvuheBowUyShLV
jwZaz+xiKP02E6eyzIPi0YNxD5+EQqSuvA1qW+qWq06Dkwb5LQjzs/lfyx5tWa8zAKbAuRKN7KPY
+JkV1F+MeHAdPm6WlorMUF34O5Lq2fzMZP9VGUamhWNUXZiRz2aIGVzgfB5psKJCrvUKuU/+aTJa
npgOOxYFrUn3GrwlSBV7WrIHSkYlNPYtFlMBdItQIMurvwaq5cmCHeahwvXHiWZS9BhB+xOuHLU8
+mxgyk5EdNd7PoqiGWTYcwgUi3OlyX6VdGdmo4Lg7Smcg6fRttuXluBdemCEdhqCecgTBbkrKm7a
VcMI9ddFsQi5OUvy4Thx4D3xovCpd5GCZLqoLrISRXxjyuUPVXlw2XWIHFdMZ2G4ykVQwA+0On4n
mhEDrsBeW9e2uTjmZy+rsp0vuTnKZqWmNunwJ1Rspdc9un+M3kuUaESmx2XgUSK3pcuinhjMqOc5
kj2cfxlKFlEvpfsYVn77QsAJtzJQWETbtucfz5+26HucPU4jptuKbaeNXjjRt815L5LlKMpvyiJT
hygarOt+5okMgp2htkfrcaCQRQAMPrs+4bjh5CnY/NBmee4mYmPPccva5t5bheZLMSS5UhYP7UuC
gP0+Xf5pALJCYZve6dFcLAE+CSjbYNke1UuAbBNEzdc0K9j9TlD57s8bhTlr4NGdgxftif39gur/
qho+DP2d9EU4OZLzxFsMSRiWrs2YIe1WoYn6Js8qwAqAq9b28mnLqmHhackUB7o33ZupySa8qgCe
SCurv4Z9zmqO04vOaIhs7NltZ8zoAx466u2t4pMP/J1hBWYDCX9jIGZdnzc4/bJVWfIvXn4dfs4x
jDoNltBXqQFDCSNDfe3Vbi9odGn/Mi4kEErPQUvAssMHrO0pnZGMlWMKptwKv+cGnHJgFMsQskJJ
6MVAZBbbIFaebqPGO1+MBLwHLc8IqcbiKGhfgshiAS6FZG6rlqNKFmMQs8ir4cV0CbvnSV+XreMd
+TrVhTMY7n2ie6AwRpzzabFiqMM4suJ2y+spy9y6NqOUlSmjSq626cB2Vfip7q/qMTLiQ0EXml2a
i28SqMTsk7zHfy7tEEHKirhw7hlIz+AJNo33mGZ+k2+7Bh/HrzDlPM7lc1zQj6WXVPD9z5MAYoDp
XicldyXPkuDSpf6Hhp0RVrvL5SEC+et0GfV5Z2E6tarqIkBEfGC73xya0OGpJjZ1RTBTy30Y2YJC
aAifiG2dbicduc/K7xivQEWKrZ1AV9pEhFNfKtXySc5vIrw8q70YE6YAiSBk2loo2Rz2tE3U3gZT
aBNwUS0PKG0EU5ONSO1QKCt4SrqZNKaO42i7nV2QG1QVqcWu7DEqHgiol89OmuKwM7DhroOUY4iY
fAvm9BJi6tgasQPzfID9MQnqrxhKGOgNjenb8zdkJWKP3LrMQAry2v584J1Ho/46Ww5DNOKImjB1
IwzmSPvYN/wm7B0eS7fs0mZ/5Dmdd4znZVMjshuBcxjO0fFjvvuMJ++ytH3Krb1dbFTfc5JZ7hrs
IDxA6Wjl80YtHyd2+RZZEornusdNuC6XxFlKqQyrWTvAExDS7vo2t3ysFBHTUUIw7RqSO7Mjhhfp
rGJeeSQ5pMzdU7WEaTcOHoXyRObFVqJGlfcTjUUQb+MStQwCRj6LaZlZ+NPBUzmZHFtJOjpmTQXQ
idjKMT8VA+yabd7HdvNgkZLEKxJm3Oh5WVwS7MnMfZOdGvsqIoE9ZiuCbHw7i47zSlzwTpxvwK+5
aDm4D6nNvLBMrChOWHHO725IRBQO065Wh8lL9HeY7OHd+f0UNu3jlELAHruWyK4gWCw0C7NXByGz
4RRHmh7/rxeiQG34WsNYGdaFIgscMF6wzXUtnyOXWsr5rQBCxKAgVoz4b4Gb3WpK6zqlGo5+Gnsw
wogSOybUzZKZiLhMg5KsTRFCySWDHPI2p6oRGs4iD8rXSoz8O81GSG04e1rXluAr8MpZjzLGPr9Z
AmL8tRc2rDCe7Ti7qualIXCX2d5JrBtJzN8dJ3VeatNA3bTuRibt8wwIjTIrzpRx0oBCY1m+EXlG
K8cbGTbLAgTqLMJwsq6HjkmhitQQ7hoDoN22PCemp33HMHMazXWjWk/3hRYKYiBHtadgiW2PZMT3
RuLt83bbojNAzqrJWin2QvPDYPnJdOj6oSSaqk3NClpRYV3DGOZTSCCwMyt/xdtuWuGsHmlGswmJ
jAyUwFgjaain5ft6wXgrett76P2puCHE4UdshITrBGl7kHljrjzFaQufW/oaOS2RbUDsUK9ypEaX
TVPEWWzoKf3WZq0TwHIdJc9gAUG49Ks19zmpeaCVHOdpb/SpszNLXw8r9FjdCroVOIG6Tq8c0VrW
mlWzOHKyn5Ct1KVe53UNqq9yKnSsOfsF156YDNlkhis4QR10rqntzFOzTP6nNIwoRAYxyifkGRUn
mBwxgVEhhyupspFTnIej8RClNo8Hmh6/NkRRzaTozFCgTJOekDOqg6OWyb8Z2OMUy5auif3pHrog
OzxQOJi4MPeeD8oZkeMXoxMwVIMYAi3gGD5eSFfhKbMr9gdEWfJJp/NiEsbM27NMquxndQ6MRh4T
bNHdOUfLSMOn0A95g84HwwhBcH2C8FAz5XXMaZU7eSExX5M6eKgQLiEui+NYB9Z1NMmAGPWO1KtZ
o+R1MoHMyuG5lq7N+qkWFkRfRMxWs5vYjwNR1bR4mCIDsq5uZ2RUzvYc1Gnny36zDgP/knwnArfD
mvIVZsuaVg9ujapj3lMNQ6gDD7NPQiM70ULfudEyM88075s1Z7v4YMs4+SkG12wvZN0z4jqDYGyZ
NcGl8WuH0ZDejfzxWGSlL44eIB3vyIFt6g6kL/Q05nqFW7Htd7mwbZ+zSoeREkjuo+8TeM03Zlai
zsMt8VKDZSMMbU4ShcvC4g7afYypWG9myJ5HyD2MhzlapoPzllnSS3Ije1pRJStMXOyF529d3dnY
3fv4MVb99GmKMdvHQief6j7KNi0jhNmZ086M3N/usYeDBrfXRAAbt+ScV9Oa7XTp0/ZxpoMdSeNH
XzvyJQ36+WfOrvIV03jLdnvMIxw22qZy0ZoYZVsooxRXvuBBcvEShiFdx6aBmb1tqqk5SWdKrhMP
flSUusnnou6iB5c9/rTuixz7eSvNvfalvg6cOvwUG172o0LKoTYIXcBWJwY9ydu5NDix5mY0Ik7v
TBqZSM7dr+fqzP/b1z62ry2l8f9dkL3Y165+TsmPN1nZuN6Wv/ZfHR4TDbVJIDZ9GVrwtO3/p8Nz
Dst2CNCg5QGKZin+/1c/f3F24zULQOx77/xri7MbYSY6Axom587Mv9PmWSpC/1MxwkkTcHkE4UIS
qBHI90X0hgDIeYzK9FLZCISe0bJKBGfCQ0pkxgEv2Yo5ExrwIeH8VhjHCtmbVJzevPJQIVzdo1HS
L8qJehROJmZclothvphK1/vZqNzbJLRd1Nwcyi5yyUREFztqEnpbdtZ9tBroZJPpl3ulwmmhIyqx
nDrmlIhryq+ddzdU/UD4de2eo7Cdcy62Ow6d+TX/FZg9C4O5H5euSZR2gmhxPS0B2/bwK207mmVG
+Lb7y2wek65b4T2H0YKHxPplSwc7jEe9RWBhbYn0dXLzc/LLyl7+Mra3ZlGaF4mVZP2W7SULaKt2
XlPrW8ka5HESH1P+qquN+VtdQpj+FQby/wPwgwG4mAX+OgB3JNUnL8//7K/+6+/8a/T55n/wI0za
Q1jHkcf4dDj+1V/1vf+guepKGo/03375Sv9r9FmMPvgMNOSoeNrYR/+7yUpTFhwu0aU0fzzXZsT8
O03Wt31PDAo0HMWSIMbs4FKK5su+6XvioZr9uuoPtt0jxEJSy8Ze2JzbRO9AqvOkKi8hdSTl5swc
/MdkdftrkP+z6/q2Bi4lfWQiM5isiAuhh/YeutU00RwM89Ttx55qL8FI7tZKbNj3XlJ80GX946WA
SKD0ocxvuu8aSbhNB8sqiABB1cE+y7bGldOinwVe0Wz+/W/FrQwcFyGqK96jKmYLr6kWAo3kNHGa
dOC2q67L1t3k9ce/X+ptK/DXDXT4ToLSGBvn9+2xiYyALJfcQKCFwQLDv8MH4b5OA4fvMoRwQblz
tRBj1rUJy/jvF383cZ+fniMdqvy8xdiAlp7KP3rmHWL50Km7bg94nDZDOsXb0hLNB22w3x+cBPlh
E9yFo2hpOr69Sgvmp8VP3O8VnXvFu1m2hNpNjTds07rgiPb3L/W2pbvcUWlbjC3WUFJsEDi8vRyc
CtuJra4nRo4MYSSOPzktvPrYBJGvFBdA5uvV36/4+20EHGIHtoTMtuzE3jWCCAlO6SNX/aImBxFA
2gAPK6i2f7/Kcpv+scqevxd9fk7sHhIH6Sy3+R8Pi0ITu+8m6/dOsiCiDeMyWmAKFpkVk1nID77T
n+7iP6/27qGxCaGmI/N+DxWKAAXgTCDgYWymWb2qII+sVJZ9//sXfKcp+PXkfEro0kGdyAv5birT
cebirWbYWbErbthG5E8RiMyjW82oUys22n0DA1z7HNNE++J2pn/iIHzoI1Xthz4Ytv0Ef0GNXv1j
mhzjSHU7WNlh1zzMWKSRh5DcnTXzBxOT9YfnT1PZWzL34Aj89sb5LSavqmMYJWMv6A8sRKUVBKlh
axgOirvWAv7hU0lwuHtbG+H5N3OmZNfTTLmGd+OsozoKbujYRx+MBfnHj8b8vIxwyX/fDQYqZm42
y7zbT3C98HZLAMZQwhsfC3BL0e4TScZsZUYXS3KFyPo0lam6bGGJEGQxoZwbzJIi54KZ1kDYHasO
N2FJqYFocQLaeltd2+5s4K3HUYKqHKcXwFJIVSp46sfEeOoGP1wHTtJQZzG8nePYRPw4QLPBqJzI
rsFkbOSUTEIZ4BmTF7HIPvXEV1xngj6hduZsp1BtbkajuwE8Oh+aBJINxWPobvDhL81Ym58N1Qz7
tKTQE0r9mmnnvvO7bBVg9jl0btzd8JPL3d/f1t8HiM8b69iMetZgErPeDseJpKMeMC4PvY2vyZAB
ue+bRxjVj/0c1tu+J3fk/3BF5F1ovikpMd+8vSIZB4MfzFm3VySQWa3YgpP5EZTiUjklevHA/fL3
6/0+b0NsYrZBwhUEbH3eTWttFAwlz6bbpzqnUgs88hhVI6VsW+nN3y/1+2tKviF44KW/yZnlvakz
6tGNjkPFKujDu6iMxiKCjGP0/+EqguYhGmY4IO8fWWGGRtFBHd4brjIV7avAOACr8W//fhnrreRl
mceWtEYEzuwWLe83KVqWGHDca0TG02RVG+w+6c6d6HO5bUnvGtgRWwpefBOW/En5n5Ud7Stash9N
S85vCwbSMA4cgEXQ+KH2fvu+NGRvzMngtXuBmXA7EiW5C8e024mxS/y1I2ZxxI4QbJVZ/cyr0buH
xzzuI2kOV8U8w8cj++aDJ2D/8TNxGEUP4wTsWd8tK5EwDCOMnXZfRn15NJXcBmY/rmacjNdhS/pb
7PX111wylPPG0Dd9nUBwTEx7E/hlRdRl/jO3puGaNB7yh8Zv+IPsdZN09YMu+2RVdwmBLYRtn0qd
X2M3/Ghz8ecvECzsV7b0jP/l2f9jFQ4tFcBHGLmpsb6PYEDuIKBEn9AwsOg3XroJIW2u4Sx0rFiq
OOl4fvZp8rTKDY6kmIQcLdUAlLkK7qrZqx598KgzHK4TrYZgN9aR3owZmSZO2uU7lTT1B0uCtTz2
t/sIXot/fIN308jY5XzgSlPyph5NsmJQnjo5kVRmmIQMKSb5HlF8mppHZ2FqtARlffAWOH98CwIf
fg6D0YI58fYmUtsVo5Z9u0+NuKvhK/jyO9uqW4+Yb/Ae5ksFaf2zZ1vxj1atqV5H65SiAWHyKGiG
qN3ZJrRE5QpvNSbWWFBw7mn8c8E98vt0LdLI+qlLy2Kq9HBtZltpphA0jeAzMCh1sAZpXhoAWA5z
VT17g/ngai4UiTM8DpHBB/f8962b73IaRE1BgcY8l3b++dLgqfAyulftvknzz2W4RzyTb4wZj2o1
S+eDfeIfpm3CPjkYsq/nB78PcWzzjAQzJp19HZWvQeJTibdQ5YuJ1vDfJ7rlxPXuTeJKPhmaRDh7
5vuNPajgvvZCyZukosfMcqLPab5ID2hRuIThgKVYma7hn0IXfcTfL/2H1Zeal+1S+2ZhYuP99g3q
IjAAyNFaMqT017DzbyevuTfBmZP6+50jr/vBAnXee/72XaWNjMVeFL7vJZOAmdqJAMh2zzG8vO8d
9j06JHKN9MW1M8w/zbB4rJJ82kS6ZnMjYB2RuqqQNM0ffPU/vkwIt1lZHFR575flpO+gtQ+M3xEd
C3GQHhaSmAgtGl/k08Tp69/v9B+WZmgQSMgBQC6UqncztksTICr6iYes1bTHgxCuZyJkPjgj/vH+
IssUvEmLKv296ixtrQgFdd3uOSOrtT8A4xnKNFi7Ie58iEqMzkH0GyKa8HDQxVlTDci302BcEEP3
0Rz5+6GcSHhOhRzKkfTI9+LmUUPujduMD0ORcBtHXrRr1XylhyWCoLCMdU2IwD72EHNVWW9+MKze
o76X/QPzIjkiSFTR371/10D/4lYpTUVTUsTfaw9fx2pUUXfTJpYsViM4Indd9fwACLEB3b/BJahs
Q9AAsGA4m0QfjoYer4bYicKV3XXo7mT0oYr5DxONDw0E6jo5rosM/O0YjA0/0bJ0m707hWrXi3nY
ihbVCHv55INb8odLBcyfHjpiynDcnbeXSlAd1I3yyBGZw+JVONq7m8sYKhjhLR+Js/94Ld5Ek0wD
hwu++1p1Wc9d7YtmD5hD3cFbcXeVppGUqo4q4n9X+v9QPPvDJMZul7IIW0SSxN9XKuwZt2vVc6UE
M9oG2Vr9ANgTUrTZzitzKgTaw/jfjGxfXq6ASuZiknBR9L7XnkdEk3ZBLJu9xkS+LuBe0/ci2EaZ
9kdJ6ZhVf18h2GnQICBdgGbD+x23n4mqj2aLV0QotMOuxocMF1WMpPkBbc7XLj3ajcuePF83zjAa
O06O/bSdJ88p4FJIBlfiUGM8hq3On2yIH/FGlZnfI8/IQSR1YRM/Y9Q2rjLA5e0uinPEDG25OOBL
vhIwJLfyYQ4MgJx2o2M6+uLMek5IQ5y3lVCApaIsth7d3p5RiYpJ2rvUKiZ3Czcktr8EI8T5n25K
sYSwSU4wMZlTCikHASQq/tTmlaWPeUl1bR8ndAO2dDCsUzFPk7FvUUC117Ioe/9KdL0O79zWyssd
/98YifBCrjdBig6yclNmg4iufK9cXNfSqdJdTwrlw0AWE05fmGsHS2X0j3WkbLUK4uSpaF0HfSZt
7PSIxTmq135f0QDXGeLdbVHrUl2mpN25KAKDegTI2hJbtZkGqYmRG3RoXhRGG5rUHWh0b+pCLpur
BEThswcqQ+Nd7yYoUqJSDzVpkJAgujbVt2PoDQ9lIhSMQqMJvHsTsl+0RYEQ9YteZto1/hQk6BIj
9LqijuYZpQP5M6Viidrm4VL+M+nzAo1ppf8pjZscClZRIYgQ4DpAXdTyUPj9HXXeXT/I+nOIoPdL
bvjmfVeCAwtB7R6MhSLvNMFNn+td2bQ7ksDK+9CjiCpitPIzwhBbZAScBlmxi/rh5ODJWdMpegYa
B66gt0GVppOzQ1eHXM4Yt0OpWz6D8vYuyIxtIBJ3L4K5WrFjnlcIUaKLFt/0d69DMCF62IGlN8Ai
cyGMOwuLFm83tK8n03S3KOSbWxkUamvBIb/NHGQPgASsC7/I4ytn5HlwWkAHiQBrmh25l4Z1RzgT
MiA9hccQjS5tsKxnU4HFMGeV2LStt2QQTcemEx35SVryS3aTUV2aRqFO2TTZm9nMmu3U0QlLYUeu
0e0W6A/iDY5C/xZW3H1hxMi2Rj/ezTMJVhrn4Ca0tb2f2breh1Fef0MJa16WMWRC3TUu6YadenWN
Bjx4N9Qbn4I1KTaVPKo8ACpMRMTRMRP72Goa5RQpTngSd4msLSi6mlCjvvmCzOzgSYHwXX+RU1hu
RyKQseWGXwow8IoRWPjHofdw7BtNuJklVLPAJ78pdEj7jSp/a6bC4Dk0ZCWnwbyJOTfcJ8oYbpuI
6Oi2h/ExOu0lmUEeZIeFQmKUP9tmrA++0yWHpC2KQ1n4w6toSeVdVChUuLIBXZomTaIpkRev2Gku
VqQqCTryQ3y8NzYvz+cCP/S08RALZCymTBJEGYxfsddm183IW5Zq8APofo/kbmii4rsKZ+pMfCYK
5u3EgNiGv4Ii/F+xEXD1vZZQXDsURErMra2+GhaalzSCOWDYfOa9t0RSTB6k24NDdGFP4KjyEANX
locM13AJQMo8n5TDXBMWd6I8a7YUaZvkoBR3CjpNmW9mvxgQOqTT7VnmGRZllhzHFCqzJEHw2hpt
f1clwzivQM2Q+Ju05nfXDNlPUt8lBns284uaRfZH1/qRiwgrgqM5ysTBIt26D4Icr9eA4j7JIiXM
w1UdDuYGicn0KR784lXVCrSOLlrrW4mje8MRTd6QlIDWNChHsvBave/YsTz6oGC+Di0/Rxv5tK06
uzkttq91MpUYHYTTfqYKt3idafhiCe55E2InaL7Ekd/8aGpBXDiptF8QeSWHVIVdfoSsle0Sbbaf
JYIHzofQwDZuKItu088IYFe5bch1ZgqgT64r1wh2nWPfEGrsUULecioN1C7j3FQcCoKUkB4n0fDU
hGM0b32Ja3oVRGOYkAcummBd0BoEjBRD4RuZR06Ao+IHUsXzVeUpggdbbqfxVGLYR9ZfZ0F8Edkz
H9XNhqcBtd94FYVhdJP40JxIDpmvqg6xqIgFP5XghL0wE/dh6GyJRkp7zQnte3yTjoSsUrqzEQhW
8iZSDNVtCVNzN/dTthuriYBrdAHRTZ7Xg7euJTgmBlHDoOLpUoRvTlkRiBsSM+vvajEbiFmhik64
3wkkwv2sS2iZMTeVMA19YfBq3tG3r78TTLsIEN25JoOiSZM9dzY5gNnhxxrYyCwlmlNtpcHlPLT1
907X6ssQc19nz2t+VGT2Nau5j7mtTVmEp4hqxL4PECgFYytvxNzgfRqqILqZEpRh7Hchab/MKdaY
iRV4dCBPOiNJsZcWy3KNvj2FCoU/o8GqHMNyRx0Uok6vkELWliYORVbhp9qNI4LI++obcqRsA3xs
xg5izCFZ2OCPXmTv2FuEfg1xN2a4iYx+uFgIGweMKNMn30iZF6MwOTg1f7s2jeimxxY+I8KX7MDJ
HaNj4TT5UWUhgq4uoIizgW4enhBQ8gfCIVgwRmPebdK5rvrVzDinjFW2n+El6VffQwfuRUKSWq7z
o6VI9l3F+EJws6S2fEiKeHhCsdZ767HiQ+bSzO79TsHETWP3wQhmsFZ1OcY3uBBKaOuiVF/yBtWa
77b9k0lQyT2yXXFjAxi6lIRD3jdi4EIZINvAQyWygF3jG9Fy1/w01rdmZOhXc0buaUwCrCxF+/De
LvCs4Y4pL2Gn8hOrObtnyz59QiLSvszjgPd+VpTEt0YR61ePfI6S2DWw3ivqLa1awaMhrMU1KmJv
RDpjHksMN7wXMUeuVd23jT4WwwCPNkZkezsbDSxJCki8acxZ8Q1ZFDA0C2uubg0npYg7EFZPKbX1
4+GIFcUvIcx2rxXUB+hHZpGum2JsXiECWk8iQm83jK310x1SeJwMveaO2WJ+rewUKCdBHgtKOZX9
T7Sos+SZAYYw6prb4rKSt3tzzCwFTxZpKInGxn3Q4SpOPJeAmNpv7rqwpPDf2PV1N2CpnGA/3Vmd
H92EbpPsuwD2VYJE5Mg8hr6T8HfnWIKM/9wARTDvlOG3zPFVtsDPdMXN8x3vijNxuKsRmTOJgZ2h
btoBCEbN7X9DwN9dh0Ud7Yc8Hw7CLXg0LJuXjhIZTHQvSm5d0da7uhTtJ6TKKCLn+LWLKn6rret6
Ew61810GkdyJGqlvjalhYzsThIbBcfcW92tFR1MQMagYh51T6HurIGr5rPZbcgSe7Dwiwt6oHrpA
XGHpSOhFmglnGYWYtg/Sa7SsJxMk6yktasVlM/fGHFGgxh4KfNfByzIh0rmaXKO+KbUMH9zQro5E
9iLsAZE7w1+i2djgwDvKpDsNmlzOhLF5hV5NXUIBBIEbl3rFVp8tYED7jxLqcwAL/ph5yK6zanBe
Bkj2TWJaTGk+v6CE35auVa+nTlxMUyo+s982V9qcqu/BuPSZqm4XU1k+NmHl0S1DrnQY0kp/9qcx
ujfLeNx5U31wq7zZBCMMoFXSVAd/nJ+p/xVfUQzOSAArjlakX0VM9Jxw1p7WIl6nWdYeM8N0VkNo
mDdZIepd2/c0vqwl0AX0PEaCzNwjh28f+oaEY2cMovu+5SK9DL3b3gTVQWEafB7o+2ewju4TpOb8
kCTe05SaBBIPUcw+kK3cqlhoEVUyxleJT+GmsuxjCJvke2yG427wDXMPSoxsl4RQpHFgMLZ1DHs/
o1QYae1esLkQn1Mh96WcKjLjUybgKuV0GrlgKQLw+K9D1tufp1pY10ERzKgWCvFYwy9bT+xhl1x7
eVGEbf5kSc+70wNPSQ7thE+cfeFKdSrawm6sf6JCzO11jYSWdFheAyBfERTfqQR8WddAKUWRtuup
ThWBOLD9MNJhMnHZ0BM99kx2RHaKxvLQQfcjHUcYEEvgR86m/blLSDFmKO4SMI1L3IhkQ+b114WQ
4SesMGwzxAB9yTMJKUARfe+bat7gtvEvWuwW69CMt7HMs1XmKHlT1BJfGlRui6ZFPh+1roYrVyJT
Z48GXtMVhKPV0ZTe5KlDxG6TzjnjTpUcS3MSvoikrcbhKgi79EthC3cvLQrwlNYwhjRzTUmjTwxs
DaHTXGqK2ZzqvCGBGKigTQaI5e4xpZ4U3otDOJBmjmnt6mxTb8vRY9avsEjQ4CFxvu0uqfvqldum
B2sygi8BPVPOOc+qKntshHJeNyRkYOUsY4hpQ2d9mdCWo87zvluz+zNUVfONHWv+LW+LikkL4JaX
S2PnDH207by+uNMuO5aceDia3mhf19EUxjXboekw2MWQnAynGsVm8MzWO3iZha+qFG51Y4wR6vNS
e9UN5Ru4whiWiETBZ8QkVFky/VYUaXlnN35xB7oMRHWimUBTkitf8tYmrq5N45cmNLFy2qhrbxpU
ACep0upBk+c+flHseHhuCYccTKPEFGPocY55jbntjGhgtaR2NueLWD+iIAlMGeEz+2NOplkRi1OU
Te1LQS76S9u3i1JfE0mX4TWIV+3chd/MNrXIZyNQYlUJfCBtM4XfIBVyCBdhYgTreg7bF7KoSB60
5yGAI5PJ8iFvJiaGNp7GaudF3VDtRDBS0ehJrU5XsY28flWVefUQE/Yl2WNW4TdpYWiGjAgnekMm
cCY3AvEufj5Hd9lmaPmU2xRyE/5yVFpEExNrXkCQEWV7kcyy49xolnCx12M9kg7F5pWfPBvw945i
pPy4iUWgjb2hly0AHgW+Eoep4DKNTVFuXAVuFbcIET0rMAUEv+RTH34b1EDOetRj6SfwVZIW1fdc
FWMNzIZROMG3XzdTDkbUI553rGQ9I4Es1p6FzW/FeaLaO4GM1k6DYHlNLYhbj9W1fJDox8p9nqSU
e1AWJBwws4kYG4sq0I2ND97adXKWF1p11YMcUVTwCOm3kr3XLOlXnqQeomrigi9aVAzDnix2L74K
hm54HVxqo6se12Z85WLafMz0YEOtLcvPBLx4d5lH2OmawBDzEctkqw8TZfjwRvR86YM9mHxGduV8
6qQMeXiunkqD/l+Fi4Rnwtil9h9rJPaCuzgguceYCgj75T/ZO5PutpF02/6Vu94cuRCBJoDBnbAn
JVES1VjyBMtOOdH3PX7920E7qzJdtypXzmtw27I6EgS+ON85+8TXbAq/rMb2Du23OGmTbO/3DZ70
3gfPQ7txTN1OZvL5WY28ncuhQP87jXFrgKstOyY6J7Kr5IgPHBGlYbcCnLaOnYaPOnAQvtbg+bWm
q1mXCXk9tipJ3Di7h4Zurms9QmKQlR2RSxm9iATrap2V5omdNNG2vLce89CbbvEyxa8LbPAXsiTD
9zXYfz2of+VBJa/KWuUf0vC/VHvtv5VNGKMeQ7ePu/n48b//T3z/mn96UDUtzcdkpN3atoUA/rsH
1fkFigfShMLjo/2K/Ee/e1CRtn+AfSzzFwwPNl5TLEo4AuTfspyaPy1IOPKQYOebmUjIqNeu1tD/
sAX3ZVl4xGmzg+WF7yPVFKuu5T7EkvCNjqynBlpioXUfLxdvjDRi1yvqMpCGOq0RMdXLowVl+thq
BakQdEDRl5ztm9mkHUorTZB7mt/mABdkqXUokrssbLU2xUrZvBhXvUorV1aGrlZ5cbwLjAK6c6gu
8OG8h3GJgY51+U0xxiPfrddHxrretoYELarVMkStdT3k93MraYrSilqCtNZojY2iFWdTqlGtxTz2
zzL2U3IrqHKR1udshLpRK3ZtF35ybYQPqdU8pXW9Tit8idb6TK36CbdFbNFKIKP81kYa7JEIe60V
zlo1zJEPqdKjgAjte9NobTHWKmOq9UZLK48VtY57R6uRjdYlR61QjjYqCcS1j06rl+SyAg6aKJoM
NV8kE6SW6U48KfId/LGR4yYaFTXv4ZZ3dTVqlTRHLu2QTVFZ7gOto/ZGPR0qC01uUqW4+Fpv7bTy
ii9nl/vjI8i3/JLiermNM6/pVwkb7ZSDXXbXVFY4bqU3cJcp6vSt58T4yKIetElrdGvLAkyyqsKh
eaotI3iSNqx/O515phk5jTfQqmvuOlV8bspsfAt8bpcYVf3XKbdSqJ5lj3BTonpFAxGbdiS8VOMX
eFQjHfJFZjFIZHJwDp3lVe8qTnhCwabIXou0cG6IfFHYTWzpbBfXJ77QCbHQrJpbxCL612NL8OL5
sqdRskc/aGVVnJoW0gmsYmoba2NhSq29QtVQnVNazkRJ5a2Jsnczs/DYyVEln5VkvthMQUh5o0TP
TSSPcM8K8u2Ux+UTgHJxtqhxv7H1E4BxN/lcVQGPNkL7PLJicku7PAFO3iE0PszOEJ/7Lg2LVR/a
07aNAQcsY07qrNM5VQf756apPZABpkWFDDLX14bY3tGwrD5Zh7S2HDBE8m8igvC8gMYaYZoMm49F
4RmtCJNfx7fEMzH3G7MI5wcZcmk6fTCnB6cd+OPrOZwvEPL5HfOSbC3+8fKmLR2XohOaJbdQ6PmG
YACjmi4+SivngbrlKxAm4vO3j10Wa1ggOfEGRNbpZI1o4KxEEZ/nGqEgrpdhL3qr+uZMnCeDvqzu
r79ZgjvX2w29ztxlUqrHcAECxGPOcddWEHmPBECRxnRBJSU54Bqcon9uE3tcE5tiKxrrP/x6UGWH
272oKecf0joij87ATWSDTXfemn6LXXC0k8/XKw26Bj9twe7Wr8TMeeVa1unZfnk/VmQFVwxnaJwI
LK+Ma/LTWOg9Rpfb6hFur30sdVZXMNNtmoZTCTQPZR+qgTcV0EdxMnLtiZDBWO2yMe8+OhXFcLZL
954u7/mmDoS8BGbiXcbayLcRVyTwYN8JPvsSnWx0qNyE/kgNszF4/EQ1k8HLwsh4Aq9G7YHL1At8
2N+XgAS313eLDG35FIczSfE2DYpuLXBhrsuEV24GnXMr6tYOVq4HVxNxnW/fjyy2VTZx1dNnsmIH
9O4h+a1lXcLxSZZzWwDzgMcJzu15qJnVB6f8XMQoWrREr33vTnY95/rwIRpMuJsdCfik+c0Z/Rvf
4kTSMREXUl2m1uL0EO07d3kNm9bdOObk3boI/IjHhHZaMjfVXK49WZSXjudYv5LaVy1i4V6Yfl5a
kegAH/fwVHjhxlWVtRYK92Ocz+eYKDb9J5s2KE9WoYIHYoXTvSDYvPPKkG3N6LnR3i1TOmj8wd7O
VYqowl75MAxZte68tI42RiM+ipD+nlp+qwsQHTWNpzfJ0rfbQubiiM3210aAwfGcRx6TFDAPvcVc
GgbvRijfWsP7FSgPwPGizXcZfTK4YQqMwLk1bzg4c4yUjRzWleuWTz08ozW00uUjHxzGNfZv2new
q7rpqUj66uSrFCGgi9YORUT7MnbFbqp70vXjnJLpEC/uzNDO0HpMpzk/0opuHUZuwhvT66vtRIgc
ICjA53AB1FyW77XZszEsSvN2Tk11arjw2V644G2G4N0UeQ0tBfC1mH+z5upSxZ76Fks0MHuszc8K
0W4j0vS5w9D4Bbi2teWz3q5iq/bWMIFZQCB0n2yaDiDlLAv3A2vIDiH9AQyvnmmvF9QlP3iq8/Yj
mruAZkVvPrNMHQlxhKxiaE6WJnjkpSEjNcjithTuOeOe/8hlBUDJDcSDBTh+O8q+oMSxN5IDdJFq
Y7cUXrRCVt9aR6bbJZdHyCPpyqqqLz0M2U1N5dYG2NqbGYCrNkue9j5nCYyg/a9EM97ryNqbcx28
jAL8imWlw8pB36T7j81yYzsvAe5nYuWQXxN4jW+gHlo6eq1Nh13hdiSFtmVI8D5s5QwXxRnrJQWI
wgwBbJeNojufxi4YUSRl4E04WZKXRFEDYLd2/q0Fg/oNvSyjCDtXmtMSsJ41kCRce9ylLV8b5iRw
l848qyApH+lfwWYU1UxWGoUzVo13roZq/FyYc/Z5lMI6uzQ3rB0mrFVDFekGRgMG/ryLUY+jwgHk
w77NX7lTEt4OrErEqSVMP0EgWNyz9Ot+54V1bvKRCF87dzLuXQHDKCV0XfMmQsgPmtCgmCrpb/Fa
2VwxBZX0Ze1UIM6Xkcfg1Jfn0hPqZLPn3wa1k2+Dtg5eqX3qLuhLcbJd2rogpO8XxrkLPefIpJDu
hVnW23ii3hNGa2lvqRL6rcilvBfwoV7GJh4PsM7rT27dsZblXrjhWMjZVo3txrArQr9qOaY5Uxgq
snEyS25glZD1ocSntq6aLmHXMwfsvYTHr5Vhg7Czr0CPvFXbBON9CpvvrgmKZgdrptnXEntXP6bB
mpnhbmIrj4F1H8qQc7C3vCdNU1abpBhYYI91Q2o6Fas4ovwit81uTYGfvYeCeUchNEByTTKEhGDt
nKwdHpaUGS8dypYn1+DdzyPb/hrQFfvK1Hi3Ov9Mo3T7bVRw5mvixzu/csNdnwXVyrDos2maON70
zcJHHFO93mFceIKW94UCH1H5/QxxcnRerWraT+MUbiile5pBIZ6nWIoVC6Zkj0NyT3EI1Q+i2ZZD
GX6rp3lvdTzyhrrMtgNoiO1kTtMpHkS77pM2OI51cBuH9cUOHGcD3T45zos73QQJ7lVWG0ZEpQey
7sVPubuKG9UbbqxzPnSfVvs0H5Pw0XKTGihur5vI+YNt2mb9a0l5GNYUlqff28vVtcp8Yv5dbh1G
lXSdXOvO55bm88nTJejO90Z0ntvUo+fUIUDZvNamR/RCDPbKvRaq8zT8xFn6kRbSYZdfW9ftfnwK
dBO70J3sYeKUUKUd+w5h4a1erHi7VO4l9kuDHpUOdrLud88oTLivFZ3vrW5/T3QPvGhFdzfqbviY
kvgmnFnGOfTGewMN8mC47RPA/1Ef3aGjjDTNI7jUl5BRZSt1D/1MIT1RtwAqUJ98GXVbfcyuzeJ5
H5xygy77MDFNUPBtsaagmBS57ryvAnpckK5Bxnn+s29QG0LF0c1iMWgjC3woCbTZrnM6dES6zkr7
1yiTLZp87J/mcHELKu310A91o/tqIhZ+qNRJbseR2jPptfYBcgPL/cR/MgnVgDdjljHYlXfpcVkC
WpJBdc7QPRtqSOC6fsro6b1ro/xXDqBhvi0lbUWrsdMaTRGUm7iIfq3znKe+UecfanD1PSvoul1P
pdyuEWbzzvjibiWbh0sXUKnBDHSx4sS5t5IlbOFsZdbJtH0qUuaFT1pfjK8uNQk3FBYVt0s2gCSr
5y67T4taOThWrOgrhhAT5lcST7tcRDwKTL9h48TRsGQOyHzvwwtNbhxD6IgLuwbvU4eX+32x8uLr
Qg6YKrjAsiEmFcov1r05Fs8U01EIqBf7gV7xg7Gdtp5YjrFe/1faCECVUXqOtTkA2JrYQBXCMeAU
UcxSKaEIRfLD7+uQoSS5ugsKbTRAtNOmA5DcVw8C07O2JEzfDQqWNiugEg2/RdrAoLSVAdpRdZhw
N6Ta5tBqwwOq+m3a9DnnLMwQoAeGh1AbJCgHQcnWpolF2yccbaRotKUi0eYKfrEXDn5Aafyo3NE+
5R2zqxvjKmX8V/X5C9XHIvaLLvLvVZ/nbwUWlPbbtz/qPj++6nfdR/xCjbNmiH7vVPuh+fioOWQ6
WPjxCLV0APefmo/7C9Bl5F4UIbKIQvt1f9eA7F9IXZCwIdTjEL/AY/s3Uv+2+sncp8uofFKj6FLw
B4gl/mTKVHNjGdHoFEdjALBIJ7Nu7xi2AWXrKMm56YmVcLkZ3XZyntc5q92NaDXePQzUoc5tluJO
0IKaIkVzbmvbfZ5SM92S9uCpHrq48MfG2tK6Nr3l01TXmxkh+YtP08ZRVma27n1nZDcX2lsVqI++
qLojH4Rw7zChbVym+TVHKeqT6HnfzwNPFt18UHK2mthBRXVOo63HbiGZyze7qr0vRdPmx34Klx1+
CyBNSm3MDlljoBruXrA2PxRznD3LyBqw3LZ2B8dHuuUbm7t6jwSwnNoh83WJqOt+DTxVRZCXEXBW
eROGd2Uzdy9p0nm3EM3MSz82EmgZcIJe+Hcm9fIbLw/Dz1nU6uaqdDgsqsdeEUPSCVh07xsVFIcx
JujVWPNjWZWKDhhZ7FwjnXFTDIInv38Ki3QDJiV9MLzAwMFHHS0aFo11IViePq2dp8a0sF/Vtrk2
F9u+9ZOpPfbtYhwCUksnG+buKWvZY6ey5k5sJMtGY4PuajdS0bZmr879E1FMxJW9lSz1bkOqE/bg
ivOdrC2H79ouj9Ug2zsVG8GK7eCzO+XTr3Pau+g3SYROlbaPC4GI1Ti72Q5pYdoY1TRfbOSbrz3l
9HB9Ppt53O5FZSUH9plyD88ieB28mCd1ErgfXuym810/y+SO9QNHTq+aojXVDfkWg92wiSPPO7Ru
0+xqF/b9TD4Z444jV6FHHSn9ov5XrynG30JwrLvFLCYypRiktnxu7Ed7Htvsdk6qlwhx7oVVyfzF
cMn5czRxzDv6b4cbdqeYv3OTNzn2SaFXIQ9G2nPZpywpkQfTLe7xD5V32SheosmoOsY2uz7g0Uwf
J5B8J6puh3uZN/6NXccui1Ua8zDHCiNXh94ApLHDHgoB0idTmuK5h+/LLL9LCjn4q2XS1bx2BcJP
1CFQmFLmh7mn9atAOwhX0u7NYo1zLN+gRg6S7phQbVqBWjnJJYeP6Bx8p06RvYr6rnHlF3bZKrgF
DTdFN5XIPrlxoy7wQveB4Qnj2Ma9Hch91pFh5YHjj4X/K2NAHW+p91rul2FqH9qeqggSiVaw3NoF
EDOv618cEFIPjYfdp9/SsvdM/i3Z+k0vtmFW+KexVDJf+WyI500F4PVSsb6ikCrGTnqg+SltXiT2
y3RCK0ghvtIIq0p1KnCOtsYmZ79s0mBFSmCTDzQcB25SYHArw8Ck4bQeOwZ3IzzXs8rVJ7q+ZN1s
W2cWjwTf+uCDtTDlN/HCWcj0V5GwDZAlPeIJgNoUlSAnm6ZZkXgxh4ylm9n5yVdlBLNx8IoBmpaD
aGmsSq/v2cX1DWok7UWaZhjm/muusWUpznmuFHMW4VFEHTS5ogYUV3TK/phtq0v3MpgGKrFmEOAb
0Jj4YjsRBP62cDQleMlCeF+55rphhIZKS7cey0JT47m49/ETuxQu0Er6LYz0HAgv1gIcduW98mZZ
uuu553Tb3cBMccxNyclyFapJhaBZCvcezsC0c2wosaaZkRJqHF5jCKLB/JyNnrxpQLM0LKAaWtcW
hOA9bBP3DisbkkOM5Rm7dLBx0szu1rK31L4Xkk49NXj7MmrSh0JmtwhrQq0a4ZS3U+REN0FVqV05
dnDmMttTfKhgftabvkCE7RJXnjzV7B2Djhc+qwn3r9CNt00IB2EHFsV8Uhk9ZK5sF7G2RsdYuUZR
nFXUlxdvUO4ZPXl4dzD0zWhH/g19VTRG143YpLrvq7tWfy3XGrC8pRGsnuuvPKN036RNZ7LuDcMq
S4WYNGkTw7se7CbEuRdHd43ZunXM1P1jWajae2x6xk7v3U5DYQa/LpBCHuZAbFrlhkduncGBJbj5
lioRb9rc994HUbP87HQDWuLQhYZNZLkj/4GOVk+4ysY5+RxJS5wc3aMGkHDX6Wa16Vqy1kE1qFbJ
QPcajtPlgWROsqXyfd/SzP5ClLAj7z4gljXFsndA19BPJsaRvSs9IqNuelPX0rdmov8ttrjF+wAp
NhXp4dWoe+KgCTsrqZ3zIUnxh0r3yQ26WQ7Hbbh3+QO0f4fiOUG1I7fGxX6zrJpiusGho27wZHcn
1CK+weMpaR6kyy4VgTi4bW190kaOrdSdd5Vuv8MHUW2bosvOqUk3Xq9b8mhlax4gDPm3bLAKWg8B
CrFZAo1vRQQ+S/wKoHLcQ0b9Hup3fIudJvoU6G6+IBDEzZPWZRLQ1X29h0ZR5vT5tRP2u3XMJ//B
wTOxBzvQfMFlD0wZGx+LmA42O85F7CV0BcIX9h/p515uhG4SHNuQOrwpN6m9K81jZIafAt08KOCC
MTwoVhjGTC/htaLQFMbbpFsLbVwAd04cmzfWtdSQp3+9mQwLmUpElB5OonsBNwQQvocA2a5s+H6+
7klsr5WJNSGs9eJ7M6pvKLt1nXsSS66J3IdKz+feWyyPD3UzdIAFY+fLlf462ciIKyws3AmaBgYM
nyq6ldQTpDov5JEX5nEYPbfuXMWP/53vr2vYv5jvQfgI5u5/P9+fy6aL/meNnyaLiz8td3986Y8h
n0ouPuMuLHlmfclNgpH99+WuDahLANsg/KRDcXrv+/tyl8plQuakWihWkHzZHwZ96xf+qSCYiYWC
rTGxnL8x6CtTb3P/kH20fUjwFkh4R583TILPf972qnRCTMiwEU2d5pQKyqcUvvWQ5aIcGp+91VCZ
mDpMFblHbrzsRJhMfW/tLi32Tzm6YAathZrxLQpVWB8MQjNjA2aUDxL8dzjHeUxhyBywNaxKmKQ4
KuxjZ/M0wSaf1O9ZhUnne2vEmGSau6t5gzkfk1sfb+k7UNzqnUpSWLxD0vLUHOk0vaUuy2aqh9mc
+7lRrEsSKS69jtKr9hJTCKNAaugvYVXHczUB+SzrjjsJaXqJrqrXX3jfp0s4gVBEVJwuTYJRHPUU
fwfKmmruQ1mk5al0mtI7ub4Cl+3xpM7ARcMnjmAuiyKE8Iq1ks1eNmGmSXsAiyh0No91KcPmwPlK
PHOYc74oCRyyLI3+wJbEellGDEsFOuShtUz8YS5e+nMoIcqvrtTqxNVkZsojIIfCBm+J/PpL+5Gg
DOIP0g04cQsU2gpqpg6QA/wzGyLBzZUCP4d8HRtGfgFHgO5EFeGnQUrX+GpNv6dBkASE60/81XbK
z/RSi2g+DkP6fzOHybQfTaRmO2bLzuHgjG6Z3HoDhupmjKe7JIgHIuR+Sp214muUoV9PsoKwIPOJ
cusN1zX/n+9vKPxBmiFDzbCVvX6Hhxn/L29p274BmgYsPV4LYajSBshsknKOHw3s2dBorgUY1UAX
48prtYUMbA2vy0gFGc1fk4H/Dlwcfn9lYInd1xQ1DAfUycj81Litbe0QsQxWWuPyWxRodr45FP7r
nI2XbmmdHRFfF48rJQ6vC6X2j2qgeo+MCZxPDj3gs20uwCka9VWLQZIsAqie3UzZJsxLDmAhy0+9
7I30RXTd8EYuntGV6gauBtm0vLO+1cFd9WfHOtIYxfyYKUJG2CFbLj5DYhELBqB5KzVWqHVsIZnX
OkjUEZ6GEf1m4g2mGpwjiefDQaYlgSPUifwsGMzUz4D/og1zvQk+lrdlBe3joJKAlXEy4G5jj8Dv
HS89a9BcLzOJIxI1K8acKyYQPS0tkx4Ri0UTbAd9ncz+VL2zP8ZebnVgOh2oDZ7QVrlOc6x9ktRb
pdm88wADvLIBmzYVfuHrJUyWjNc3peSi1B/2K7k8cKk5GS1NZB8lK+mJNflDvkiW5lj6QUm7Nrhd
qdOuHfxda00JOhfMlbKbYSonfnLFzmeMxXgGefHmqOfNNrlxQN2r3684VjYUDMnA7CEJjyXoa7jl
xqrCTkipWk2qOOOYTbOuLk9YpAdmLHIQU8cY4LUyqd2IWw05rs2ZfwVugAvM0F0JjEW8PoGmyg+S
pdps6gJAJBrreKWxjiXg+4UzNC7qa89CSTyCDTel8ZSOqjayHpJ64IRmNO3M/ZSlxsbMKnVwncbc
mRm2AeZFoBBjZDSrqUz5e62pCcfdgjUxYpJL+ITJhmpimhG5Y+WyHKPL3E7VHctrf3s1UFozn+XU
5/ZMJwN88lxkfJ+rbzxNQdkmHbcMU9eldE5F3cOc2xPnsZp/JKO0fk9NcN4+89s+6CL5rAhhnF3O
FcHOi5JmeWp94JCHqecWaS38wVOackUZPvMRKyhDPOPYpJQqLBUWXKvAMHPKkWj31/qT3pZAcocR
dHKm+dltLLk1cxDhmiK3xgU+uwtva9MCRzdHn0/4BOHhue4BCCcODfKbFLNiscopd093omUbTq8r
5RL+wCci1+jXuPTFc54Lfh/s6KiuA8WsfBKxhcwnTt98exli3AxTUg9x5HB1a68/vBr/tYkdkdzY
FdDqXijCrNdr3pY2X2R2/M1sy/X1jymZjgBdBcAsq9HNpr7tAdGqu8eBhNHEAaLl/ta0TIBZZOnr
0dereiQo/9WwNFv/+y0taUmebioFlHrlBLhujonX1tDgoGc020oY4sF2+XRlMP/oYB55eTm9766f
uHzw7Nex6CaxnmqniXbXO2tZRsLdj0RlXgUngOJ1DMM5/eSMFveJzNZ3KTGMBI4icLq+LiFI+jp/
FFEv115YfBTR5B+bqtIPgxpJBTC95uZe+wjGRbPtM+aHfu2VXiWoYo8KEd3LOZoP3H6sHJR2yNzL
+aIsSHGA9fJvcoyf5HBUMLHSamM/e1yS7Bu9SbqON+uM8PXavFB0Ts5bVJga/N1D7IUbmjd4V4uY
ZMkonQQnaeN+lEX+CsS8OfnBhGq/AtWCtONazTMgwyMAKV7d1i2yZzKy1Q3PGO9BFIpa3KAZrF1T
WzQ0CNGdMdhjeOmpO6SBM3qJVe1grC6Cz3VHPExSedJSF7NuOsXGMeEzsOpzkRvjocPe10Z9BXeY
dW7wYEZsYsnTfSrYqlZVW+8MV/kPlT2sklxdAglk5hMyGCoFiYGcQk2BxYi7KtlQTqRAii2zJ51r
VvlGupIaZAXrmH6X2k7WlVZ9xFUAirUWZNiptUuvApFCKjK1ZuQkEfKRoUaA2rKoonlH6WqmDj6X
JVCFtncmXv7Iv+kgAt17U6dOhHV5zNGBfYivwlWOhGVrLcvQqhZLDu+ktNKVCZuhJPLKbeix4VuZ
1SRXyEP9DSlQ8w68EZJZazjTl4yQ8gsazIudqDq7zTCgPNZpVGzxyI7emuCZv/Mwwf3WamUu0hod
YWW5WrRuVzsq3nhodjuINf7BHOphM2ulL7+KfraNSNBbbXLnEeae73i93A901oIg3BjwHI9NGqnG
F99Pql0aIy6oYPw8IDM6Wm/k5DtfIodNsshqubNSlaxk5zSPLJAixp/CZZuNfpkgZFJLFnD6bds7
L44WSplnZ11ihN+Vs2HvA39Qt5Uf29uwbp9rH3sC63ctm7Z5Xd6BLuAWlcIfdzAXb0PmhlNPOcJJ
to1xcPySXAha321pLeaaF61gwY5eO7llSUCz9ra41tNVoqukuULSB7tONoqp01hScc9DAOOEPRS7
0DPcY6Y1YiSTtVVYxUGi4ew9/YTA1sHyNPT7g5PyhrWU1ry3wVRvyD/5d0viPPYxLICuKMxLysmR
FEXWvchJGrfzVco2rrI2/kn3a3cVuwMpl1M3FfU+ibvyLWF8Z7zrET64vmX6rONmB4VR4Wy6aEg8
eRXGTBtDqDPvkjLNj6Op1Bcjzd/IcCLHC5Xl66Fp2h0du8j1sxqJ5mgNH2czThit63PzDwkJZzyI
2HMdh8L5qPQeQHa02Au9G+BuJY5z0lhfgsZEXQrKdnpjIt4yXTdMgnrHgAcmpXaDvQNof3Hmzt/k
27gUxE5wvRxMvasgxDlvWr2/cMZMjLdRbyixqjDa+T03Eq/htescVu9jmqFoOlkzM4sTu0suMY4K
DGVJbmcHtbQDRb7pFJIrkjXRXEH6yhgKzOsR4H3A/1aALSoyuDE1sXvw0n58NdIWaWgmEeWu4l5A
Pqg6TiB47sAhl3cEw+NNjCnwtcLLdVw47yNW0g7MxmPZ9pHJ/5moGCJ+Zr6M4eRxiVt5SUIvJq8y
SG6keez/SqdkqEt0ztHQtZ+MyO9ppvPu3LRo1zy8gqe8lyYYBNT0Vc/ZpTulNd1Vn1q36k0A7S6m
H4Bti+yxLiT+Dog1/Ht2zAaTU8jBLbgPOn9kmh1oCp7A23vvOC+o0wnYimK3McbZ9IOVI5qF5RAN
JgtmqMzG+B7ifh9Brjhmb717Uc5TV/YYltZeDCtxp0YSvTe1qdESacnItTFJ+HpcPZJ8ndMzg0ZN
xLxGGIZBxB1snk0QtbL5ZBJDuMy6v4dZNFvnWpIFVc189ocT//+B+NA7sJ+Ozmy9PckBWrLG+5mP
S/AR2biLE8qHfAIceVla06fFxk72ZlNFVu9oU2IaKQsCRi7BKx6+//kX+Bmsow/vGFH1/yAvyG/x
E2trjFxRLrILD87kky8naBHiG/FFIM8CgjZJnjCoIJDEUXjTVcFSbCu3Dc5h0ZEDNYHz26XeQvzn
3+r/eFl8hFdgJOShbKXknxWFwuqDMkqIxn3vvpx4+m+nuGQmvbYPdLFk8unzheHIGMLq/T//9J8q
DUFj8Xpoxij/xQj+L2Q8kkdpX9BKd3Bmyp0OiahnYmYteSMMPuRWUZUXa/Ss5xQ9+Cj0+F3YrGdu
Bruu5D1+riGF0JJ2YXTo9Am6qsGf/3atTxoLXT3xF7+wfj3+fBnpLbCjLJ9YgPoXjsrgh7FhGfjt
yZ0QM/HnqW/XkZvq9geHPc66AKS7dae2/pJjrr7UHVoFq1EUgHJqLnlRf49y/NuaQPHz8hd6PDOQ
Tbkwi2H2zD+9g4ajrdHMDQeaMBgbXYMKuQ5J6hWXMHOgZ+jj7yhxc9ussI/VwPmiGInSo0/zSIYI
UukzGK/sf36pfmbL8d4ioGmuDWtw14TO8+dLSw04tfKmjg7YpZhQSduVWb/yx7FR00oRbi+eMCN5
9pEyMu4YE0j69DTYcrj09gAvm3ZD/9U0Z07L9nUuFh3HWCPmEEXOiPE9Dltm7kC7uRqt9RS+ySeb
3BRqSUoRSn83Iwx+fD+Uxvk4XfpFqwDFXFHpE8Qsb4aEXLae475cW0cLkrwpThHYAMtfvE/yJ8aQ
fjkUVc6uQDcg/vEzKC0SBl2OgzL2VsSeayVLuEknD62da0bvlLjxE0rCvm88FXJBPJlIBn6J57hf
WAiQDnoKLZr5sD8DZKCgjP+VF4v/PimAENurPGTJSr/ZDSnMW3w5YXwo2e3ltI9RJLSlVLY5LHPO
T8eciXjD5hbbKNit/OP63v/XafKXSjTw8D98TP4lX3T+Nnz5M+JeQjriS34o0ELYMO5tcnmaDMX9
8J8KNDmkf0jOtoRpryyF78R2BHtLYkG/e0sc/iNojnRg68IV/bH7G5Kz+BmzaTIG6h8jfXRnYu0/
U+eizp6GoqmsOwUu9ZXAjnOcLYH24SyZuZmjHDvIVJUn/Cm1WJWipmoUr9h2ZBLa97RI3zoB56Y3
h238uVRZE93UE6uztazqydn0uNtfrcEe3rqUYyTGO0AO1UwEzx88/IhVR7vp5EbFsMcbLy4cLxCZ
h2C456TCyUEX0vWrdIEhRRa/GXcxt92DahJk0wZH+EpVc7fnw1HhbI+SifxQWNoJ+DoCHvY8K3cX
Td4YHnxbLP2GPivza9JnLZDqOU0/ajJQ93HIEg+vRT7dB4yvqE5hwN+eV/nMMWCKU3Us58aG9yH6
qdq3M2Pexmrx4J56DwWtjhxgCqFROMkGgMaE44BfED2NCvIcsy69jY8o4eWjDy7zsiTpcF9zjq0S
BaNijGA6rYO21EGJRh1yP+MZktglD8146mg+AwNUYLltpq66s1L50lVVpxZoHIFZdvUhEE7c7/NA
hmyFPadIGdea2FzMzZTkDWbqtPCms6UWYBXrbh6MI+1OJZ7oKqwjMjxsQ4oi3cYeWvD0qcUc0VqX
Abf3qmEvU3H7iINhOqeIIX6wzbO48Ymmh02+q7yKOQdvveXCQzSihPlTzMaOSk/Rjmun7SxIXnU/
qI5DvDFg2EElVCUDP1CRG9lEWbAhpDLoCwfgNLO8s+yMKSFwlObumJFi6/q+Ms9izpPOatAtWsTj
fJWOcmzFWxhEHIrepzgDwfXRjQjOOQ7NhSD4f1dv3xOQf3HDY5bVA8m/X70dP75EfyrU+fEV/7jf
0c5hcwXwTLw26rDH+7Fx47b2C8su4UDadz3FPfLHvs32ucOZZKSki1HIdrXd7cfNzxa/oGz6sFAt
h2lLmX9r3+bZPz2zTf0dYITREMJsyobvJ3AzW/O6d1Tgnon8GseQ5tr6pgAfgfLkwbNRtOzJPLXI
cZm+mz0tceX4Xylg+BZxdHrCM4MNS5TWM4V506dUGfGNY6mJ6K/02IVUhevhuFlav9wgN87dBfIC
i+4oHMf6xSxqjGNYMjIrv0l9PFiEY5LkrGgUIY1UZ94OuktxzIMZth7y4DrH2bJBzLU3ELGdXRTT
SLDlePyYVn7XrBJzDG4zkhi32IO6PRaF+sTxbPxYRPbZ5rj2YfstTTwYgfZmFVefmzw118QGXHgu
7Rf214K/l1g1RaF8Nm+WOZoOZlXarAQ841wkRgAhRg3/n73z2G7kSLf1u9zxSa1IE2kGd4KEBwiS
IKtoJrlYrKr0JiJ9Pv35ILOOpNt9+/S8B5IGogFhwvx7729vEwyHOgp1YBE2hLPUm+WwlW2Bg9ZK
x+zeSBLrZeCIQi9KswbU3oRtmgiG5LewUa8w33TipZBp8GWS03w/Vdz/Gyt4oTfY3QxiDiN7KB+d
zFB7p9fWRZelPvTk/EKRpem5HOrxIN0kvQuM4iPoFOklYJIbCTDopEqMGkVtDN9a7hSHOZK3QZ1Z
/LitXJsl880ftmn5iiYzXe8DK/3R95beAHyYXqXpjxU1fWgviqUNR0Dhv1tWD9XYw043+fVLmZYv
yuBXU4vLxSQZB6C4htyQqag3oMW9UDZeWaEfVRy9CuJG5spOg/LJWyZYvSAumsPtHflFDa27BRWC
CYRwJ1ua1SukK9QoHv3grWktHojKgIfBroUG26/c3IyvTm7mD/PcLvfRmIgwWRx1TlD3SAeJSfJb
bKooQWDunIwJyao07PRpdDHZSTiF54Rcwh28ezDpSTQ+jFrpbdW202fnO0W1YqTchX1uND8DOIL9
Kh4dc1d62Xgm/ZDuJ1m15y7ySctO7hh/TyDzhLQCyn3C0Z1K677xTiZBvnqVdp64kKEVK1cH+EQw
UOKSUwzR8RpBSbKnGcMXEAML+FeusGHjOFpbcTJsh8QCGGaUzPTq0gpOQ1mSlOsaB4GbsITeBuN0
ThUPylNuc2yXuf0SYzkvV0NuJT9rYrEb3y+CvUdW96yl8d3FS7iykyTLqEOP4bxo5tiraUGFssF+
bb1MBC9kPfPVoL1TE5EnLn2IFgXjkG+DaxZbi1jcZ66i5Yi2PmDbGhKm+xp/PQm18TWoHfvByCNs
rJ4fbfsOpFZY5eN8qkcDw5ZPhPtIK+rYrMvISDYzBMwHKH31ZlGY3l0XKHg32YD9EHCuBSSgHcXE
/VdAYjWowoqJYxbluEy5nZ6MBiKNxCNUhj7GJCQ0gg0riyJeYOgjvC89zBtzGTKSC9G8SbGxfBkm
NaGMKHObSIFxMph5STonukv8Sj+4rlqbyB7PaU4dL0Olva7s5X7sBWHPyTsy30lHQtvWdEijktzM
6NZ0V1vGxhzxGa84BsxPmOWau7IdrGfLUtl7KugKMlxycT2NZAdMNkl0qETgPU2ZskJmsKE9NeKO
SAfptHp8jB2lb07QDC+lj52o5+UmQZtQ6J7aLAoqWMf2KA6LMr8TY3cvjaOqg2UO1qFse8Z2ZkuP
fNXgw+VF3mmMVesobZg6NTMwT8vunsgvzT8wktKrbnjzfmZg+IgZsEx5FQloEu5JQjOV+c7jmLdO
IxZyYS3dKU366Qu1x85WNVUcuv7g3ompwo1IEfMhAIK/jqBBvdm1SPYzANDQmApo/0430xHaSveN
TXDZO0Fg/DAzdKVpTNCCXaf/mUVGfXGY1F1b5ZqYF0pEVyU+4qWMN8osirVVDwPVMK2hwwYE65u1
xN1Zl8W1JXB8TAK3Cm2tmxN8qI6GQQI26DDLgzDT4L7FGahWXR8tGyd29a50CGlZ9uSv29wfkHQT
50d8C02O3vTZE1INc9ZMOhzzMQk1rJ1zYhAxrBs5vjSQRkPU5eVKdUxA8rd236BT89mw3YYRMXNR
Ktemu4rBLQtWDB5Kps57XgyQgDyVXsyoqnaLqM2PsYwdIszLF5I5EaaV2drLwW3KlcAM+pSm5oQK
s/gHjsJXdIkDpwexCrRtuptczLzAlSWDtZcOjyPXYRxvEkh1X7YMcKvkIeNwX60MFY9fReyqY2Ar
7xhjp/FZQaNgz7qJjNyJc+sZ9hWD4gP3aMBXBRBGvLM559a+f85mq7zRHld8JGhnDUw4bEucHALf
uOYEs4mhYUQhwBjFIfxVn7O62yMJdMUGvmJJZ110hpiS72q37Q+31DGWZnhdYwM7jA9Usu1LpM+4
6xFByF6Br4zKc4y7ha0oGj+SVDQ7YxDuaRla75NZffFNt41xkS2CiV3KJ3ixX8Ts0N8SRIpMEZ3a
ujOWnd97/U3JGb5gU+2PYLI+MprBD0kGXFvl6a3Ah/h5vxSY3SYjbo/ovz3MhNi5tnFVPyw3OiNE
S4lwlj3CJrPeIMmNZ0hJQwI6JhpezDQ1bvZAeS6bNDtaqdzWdoY8i0eYMOXXyRidlcAfvknxKK+8
eCiemYk2O0RJdQ/7CbG0bSBxquiHT/4+JByd7Pw2wE9EqG/fMjGi9dMZT43M41emRWjH7VCvmwUQ
mOPK5SfM3uekrDA95Zn3lOPP23Zm3oU8vnnlZvbdwKq6aRLzPWpJ5DCNh+TY1GdcxDMQtAkPlOl8
KVQOewDg4cYx9LCjsifYplMevet+nvDcpvqdABDpsICpVD1Yw8EbM7pQ3fZ9NFlXAlGa25jxe34L
ZNH7/GH0EiDAbBOC8LPlGATzysvj4jR1J6+m+wXSdInjtAAhT40CgCvhFV8yw62eOFTlp0r5bPXS
JGuUjrmf3d+MGzv6dZoLALht6drNzp+EvgPOCMt4ksaO8W65FYkVn71bhbO2sn4fo/YTgoVB+oAT
YzokTkGimWnUes4y4h7O+N6arLVgM2WzG0dzuW8ALIS5RCarF11tJXruR+9H/m1cC8AxyltX4gaL
VbVyQQsQflimzypPmneGtKHgmPtRxkG05oH8RJZS24wIYB3OlJ4e5lb4YZnlxj5edO7SEp2X2cp0
8uoOJRPUQe64m3EoVYKyGn8HamcBX1pGtjQX7o4MBHaKPLvn3Bt2qSi2I8SirYgadtAxMo8L6wAR
Yk6bpBHEPrIN8dOHN7/q5gL3VAcxoHa7eIPMj6kDS+cGW9OjBPuKbCpmUpVRe6NqWGB/eKnfub/G
e2uKoo1X9VhzSPjn0CoYBYMDaNdqpPebVpvIe1WJQFE1EdlABItHr2FDwgQVZxdz7MzPqfGKewjV
LAiDVQBWyK1tVC1QrJ/8KcKNi93IT+rPFB0PsEhZFUH57E0Iyc4xkn6an7rJD+pnNGWeNShZE0bY
VVBxUl5lGvitDZXD9AZKyjO5hjabe8xsYuYFXZR1NHjM048Giun3EdPhijOCfOV76ncjxksyW0Nz
IKM7acwI1LyI1k+P/eCrO9Xw1XXr1m82nzw7RxHmN4L+puB+3ZO+3KWeZOISN1P1XUfCvKvTyT+4
IO74BHOZu3i9+7wkqDwKoMR3p2jaaIUHuzlRPzVuCNnrqy6VvcrcUgNuaMpHMSYYNKBGkG9Oxn7v
FJ1/Ww3mNac+a107HGG49ZewPdN87+qCNFIhrZOoWjBtgilyyhx9A2uBBIM7lzY+OH6fyJua7q3B
eWnhcU0osQ3Z79Y0LMxFRR4KnjnsUL4M06Kb30YZ3ccZmtdKFAFObZCA6yHD0xF2/SLuMJtZYda1
7VrjAAFjIn23B8zV+Pc+uzADZ7ABENzAZq7aho7Tqcyy59gvureOoyd3pna4zNUSP5Vyabf+7cmO
yiTbGUHH7UtaJRVXEd4c6GTTsHEZfiCutuopikrRrVO0nF1P7uSQt7q6dnEA0VmZ6qtOtPlqgsZ8
rer4a1R64uxYYMigIwhjz9gYuinjc2yIgzhRodw8gYltq3UUNZV3BxXNeawS9eEtGm5Cs0wI8kYi
ltAHH52G6RI7ACqBk93nxVy8ZAJChJ+N0c6n/DbGI21aO65CxK50P34fgCyHDbhAuGBxs+YRVdtM
k8tcTzjmUeo7SVxeAdrsFO0ia8rSxm+YwMAC1gaFtrqeGKp5fk4GBQH6qmPAlEItQDrAiVqb1jfM
Dd2wwQFITXpIaKA9U9SRHkqstRfAeVxgGSmuXWF8K/x6+YJiHcmVa7r8cQjz9UbIfH7JWSos3vkj
gYvMW+6NuSbAT3PQrrOG4lrdzkn2wvtKL1AMTCXo8LGw7zScfMOU0PK+yiITziSFGtw/bwdZU+qz
tDlcp5W44eMWUECzGr2bASAr1WvdjX55b+ZZa0N5drmMKZNdAAZvm2BPS1yS5DAV3eW7AQZhfDAD
wAsuHlF+4GDMLx02q+l5GQ2YKisD75jbPfSitT2LGjTUCRxCtp7GE0+J9mFO/zrhs38b9/1X6Qxt
Qm39dFniibCRp57xK05f/zT++Qc6rPk3xVH4gpJNSaEZpzKmO38fKDP1xWdqm+OF0kS5xpOWYIYc
eEXKg0E/QBS/W6W9GzLraOdyy1yTiCB9vF501/TLpq27DX/qLlgyiMf/SqP9m7/6t8eGEolA4xHP
/LtEW5qDIj9ijZem0Rev4awY7dPh8v9/Bv7RLwHWhQpMVFr8PxN1mXUTl95hvKQWlYT84xrFtvLq
7a+/5j8azL8YSd4mdbzn/vlI8qnuSQOsP4D1/SUL8Ps3/j6ZDNxfHFpEXekHzBJ/mzL+MZkUiDSM
vakdgwP3W0zgj9mk/CVwML9Sa0eq1/Z47dnNuuT//h8kG8e/hQtc6tZcPun/li6DSvRXIZr5p0mZ
qzDpDgks1NXb6PLP4DfRVl0UKePkOObwSCV4uVkcLQ9lseQbZm7tGk+sdbULl+sh/XMbc5iDg2/6
TNnzenyec7c82a1Vhvgh/X2eigHOcpZVIY5A2m65Km2Q1a9xY++dnP7JyNFF6DhYFfv8YcRtyZQ9
xunGUIV0cQYSoaXjM+CIsmqdnMy/cgrrqasUnITGIkljx+XFGYf2ubIDFjyvc9actIrvwqAGwLe/
ZHX20246RVi2f5wDxqFZ7cqdGqUD85oL3DWF/nPEXa1Os4dHBjNWme8G0MXrrKg4sY+udyjjqdxk
0CKOjo6Cbdf2NktwfePh8nRetGtY02p05mg9QLsFOzSRalrNopr3C/6VjWgcwJNSybPQ/r4orGsj
SM3ZXWDelbl5gjxTrjMyi7dQnLXJE0K/eMKibYcxMOQNw3Spgk2t4pw+F8w2MbTakBerPC0dgHxP
Gt6RTd8NozoC1OlQXDdZ8VTtp4rlktslDoy8WJ6UrIBzzMnXYDatL2Mp3cPkeMNbZdYWfBjmHWK2
6+jS6NkSG1JlCC8ho0dTnIYKtvBTpe2cjvN0hMH9SUyDSNgKBd5Ytj0kWixEVd2CxwPugnca82y3
6mSGY8Gu/EsQ40rcjL6yJzK6gxp3Jea4PfrgtGN8CS4mZdB/P5UVQ2uvEx1FDnDGu5W/tPawohVM
nkmMijAz0cc2Rr4YhCkBx5HyJkV7MebUbgy0+omU965u9KL1XZ0VqQGrn8YH9IAVP6j1ALgOU0Ud
KqHrztVvtRXJq144utAq2tapgeUQ/iinBwDiebmrVO1D2kfOGoZxG0SJ6JedszS6uwYIc7P7ZRR9
K56MYXb9GCdfVpQBXuOStoEt25aPWLTK3VqK6W5McQqorWojML1mIcwX3LTT4zgpJKY5qzApMvjL
aqaR8bROTRlEodG3mBIQ+o2vSS7TfG0tHvCfzi2nu9xEtOWYpb7LJVbLuqY57VoVidGErCSKSCFW
wK8REl15MRgwgFdvZkGid3QH0o2YrEISpDVzWGyBxzkzkz2MWmOTLhg8Q9hH85OOEkQJ29DIDWlB
gFUq135XiQM2JS7je5XM6h4Gun9LCjWhm5jVuOMBiLtFtJKIvxLQqopln85V8wA0sfoaMBtERlUm
lByHsybGwMDUB4v09yHxscn6jUdNAGqel6/iDk0XP3TH7Bs7Ly/5Atork3Y3c5JKrE0i2u7aD171
oHx46Z5yCPsO1FFkQ/wcFc10aooGDqQy4uU3s9F/NsR/sSHeLG/sHv98Q7xP0r9IdL9/w+8boS9+
kbi0kNs4q9wibP8j0fnOL2AvTOxQN5rFb26FPzZClDiP7S6waZXkP7dCqt93Qtv/hXO2wAdjW7gL
TPS7f8eh8LfjlONRoelbUiJEUglINO+vG2E0GpCGKikPwyToRLYyihCSoomOVNzRCDjL9iUAX7Nt
NEZsc5yiI7et5g2pa/oiK9Jqjpu1L7AY2pd4Asb7p2fyHxx3/3bavT06mqhI2YA0sJH5/ubOCnpf
R+YYOIdscOoPZMTp4dfSBjDumLUUyvQuaMSt3LPOnX9hVsNU+NdDAkcUm85Z5l0uwoL7a2jxz4cE
5G/yen2qDlFMwQ9dBYQT+jTgnq5rd+02QCMs4ROktWfXO01OkH4xCa29T0u1fPfogBiYqM32MYZa
sQE9Wey6QiN3aVW7j17iNwgzjDYOETjFM4iIZuuwfyIx3NB4UxmYIXeK8j6xZtGEnjmYzD2Vmlcj
ppN13y+sjPAIDMX2CndhIHP+FpOIYbSAnIYXqz55LUcXcp39NanaCnu3U7FbwRiFHqoCuEEs8SQO
UufWPa2NjQ/YoJ+4pmJlV3ihPLepLtphTzWSmw1W1/awn/GIsWgvjBewMwPt8MaBypLITcImQVIo
rWl+rTK/lCujDcwzvOgIAPfcvfh0bt2ktAIrtDCTaQCp7WMSZgSyHZPC3U0ohsyoGETQuGmp6817
/ihahtaUFSnU1VpA0iXooNf0EQWbsbfp1hq4S85sqZ57nSI/BuWtlFusFuIfz2ZfJxsgBWPPcDko
UHgtNl1qGXzUCHtkbgKNUABXyiM2FzZBu1lJl1AKM/3FPlWT5s7ITMQaVzmWYsZCi8PLmhkOU3XL
osvJwU88SvnqZbMPYN+tHvJKT1tipRanBIw7KyrGAPbHAuS3yDK91d1IwJ4k0Y5refxdJRaQPJFu
g24Y1nxSA0Y9XnldLGoGECz67Iiwmq192XkflDU2+6UUyyYomm4/AwqlSwhfLKnpjA0aFrAzwdNX
VbsDO2CewF5MxwAp9Kud3azNYzI2q8KTyQ9nFMO9WZsTw7XKK39gv8uBOy3MjRTsGbR1k2zlah7o
dl25nnazNayFpyQ2MvvS52kv2XMjnCRPpi6RoRnZVTW8enKa9NzSjmWiXXX594oGLxCbnc52lqjH
72S06BQf8gSt76YsE7HgPKbTD8T6otkHFca8+xaM3XHpF3D3ws6GV3dKYwx+0qo/FsPu+jAK+gl5
3FRG91kx6yvWGq0a8bCrnXTT9XTNberIn++G2azmsBVeZ2566DbpEwe/GYEKNGZPCQPVPYyDNL3W
uk/i5p1UIo0+OX6jCoOqpCEoHnOxX8CTsBV01VknY9qsFcmaj7bGE3ozgvJWn8BoEAbMr6bHohlP
hIZwVqXVPcdu72L1NQ1LtMXx2/Ttb5sT1BgdLeaInNBGN8Om0750qZs5K53SWL6Z4ltNfD1xnKjH
hnyDrN/GAT7GKpAD+QdqBGx/05KOMVa9mPpvItO9uMtSLcUliEZM4o3V1B8kzQL4CEaxbH9dygP+
8oRuYWY9XeazjuaAlm84veVr0dowYcN8pK+e2u/IigoaDrkjzR+y70kgHH1IEPwnj4PA4X2EZwIU
QG3SmPMKbrRIW1gCsvro5w7hb9ZLe6o1MEbFPHxYY5yvje3YYyQHP62bnfKt4p5g6jAhtKYUNwJG
nchuxJiT65oPVsqE/F7LAsoRoedarulcHg5T7XUW8dYuKc+loUm6MGK/gcnKhsg2Y2wkAKVvGFhb
Rv26arX3TkhhROhNgQqERbxUJjBusKMrAie+XiXKG99qE7kwcdGf1j442lXECOIQWxQ+5UxdvwHJ
+2JPo3sYiODInUkY4LF3C5sK5NyJuCeSR3NWpp+WJJRqTrMO+A6G1yK/S+whUjfKQnVOilE/W2S/
bjDhXn7KoXJv4GwzASaSbzKrNhZAhhJ/B2j8U5QMyblnctgyzkMFnDj4yY0/aRMsQ9EdAixaHsfH
iKY59hkIaXYwr4HMFTVDtdKzQle2rX9Li0ManDuPLqxqtGdWv8HN9Jp1HHdZLJ3tFLHgtyWtWf+Z
pPyvuAqmvJ1X/vnBkWALZzqd/hmbBmnq9k1/HB7xamHI+m1KYnF0+32EEshfIK7+3dglfgHkwHDE
ugUkGA7yc/44M7p4vhxOoHyB+LeJaZiq/nowwkdAZ7mDUcKH90764XZs+9P0RDOwUD3r4RHrB2P6
oohd5gn0KAGraVxneBNx6V0MKetrSn/nZRkD4p5+KcwQbmW2ARcunrIuX2b0tCm/JyjHRRQATrYK
yLWhhdvH7sbRIX5F6En6E/Cbmh6em1A2etv5xt8ZsFqd0ZMYL9TgeRrE5Qevtv1dCRBxFyEf7Zxf
gT5xaUTrts/d3ZIm+pBjqLzr4Q2ul6VFrLZZq/SqvFGCvKke3/FGztSLAoEL7aTHN2pY3X6o6uha
KzTTVWqM06EX3/J8oXM9L/w7dK7IXunJ7zZ8QYzUBoyI/Ll7P0YT12TTDQrMRBHsFVRNZ59ry/gk
Q6B+eg0+AjuriHRGpf4RT1akwqRszAcI/f2us219dVpnPJJGJIM459mMqyazCJZChskkKVIufDZL
yxy7FypxEQWaxfisXHr0Via5youxYOSYU4XMO6lrhrS3yxN/+JI0XfdEoBNmTGEs+psTefGrNnKW
x146iLwugWsEjmABQ1OxC+ce8WmR6kMig9wLLcvUH2qeRrL/zvjCLcbiSa6Kb0XadftgSbut6aTp
5yL64pwKfc9CI4+57poju96CEahAV5Neu/Umn/JcAL/kvgTmHdQZK85faYRi+MWz1PPTaHjdWq1d
nGbTwxtHwJQ/dAqoyDWj/oytxIBEJJLdpKLiua6c5CXv0lt/dNUAlZ0nkJelKzNzjQcCnSax7JyD
KO+9g9JOf9dTjwoYthaALmdziLbJwr5YxLOgpgBo+LpY7JuAFEzjz5RjFG6Rya4g2xTtsmuypHpI
XdQvBz7XOeZEtpbLjF1P++Vd00GTsAzbnEOwsWjlFO14WIzqBiXJg7UEGC12vjHXZz/NG+nucHnz
VY0o90uzkKUfwJGyWVXmZSll8AinDFCwb6C+l0OYzLDPtbwwrhg+K0CdB6FbdYNGGDSPt/28c0g7
Uy7eue02C7rqS1Bn0atRujF9mwoz0SaoPPO7GkXbrxIx9teBrZRI+Zybb11AzW0Yk/l9NAGsvWs4
3WHQjOZHrm09hMPczdd29Ap/79hskiRJEG5Sa+aMUtoTXQ5AeOGyR6aNTV1gXidH/K0nQckYxuFN
G3p6KfZNXPnvmSe8OzTEWRymIA+eKTYFXDsTVYVqlIAgX4ORqInoV+WHjJPgi06db+TqGm5i2r4z
e3f+IRnnIRsSPa42kR9Vr1SctiY0hKyDSF1U+g1cmabN08uaA7axbl0aA7zRDj/sObGmbt10+pGc
CGQMxjzdRgtCSRwQHJTPZuFqg6tjGRgPT06Trh1uBEjkHQ2UNJoeJf1QDGoT3Cjad7JdjcuK6Cwt
36HBNXVHfVt6BbAoIawKSHCokhHWCE+LN4vLBRNoFtPBEtwLA3xZ2Y6zfnGIZ1tdOGBQ/RHUNsFJ
P3VuJRllxpAq4zqozM4eWcwinDBMQn1c/WPzPnjUVe4dyvj2SgT0p0sxt/cOGd3PWnoI9Ry1hodZ
zQaLy5IEiIMkvVcB1/6t4Sfq3R3n8YcqkvGNW6N5h1RNEUQ3tly1bDnjUL11e90ncxDhZ7GIdbvJ
yEzLwv0XmqJ5ivOWkt08GIGv6TQsi1ytwdAeHSIF66GqiscAM8p6QP09ZAzDN7VJhfgkyue4kv2u
1SN3M5zPENE1DL8VfEhKEbvB3SgxLd8Xe2BUPZi462osQRtRJ3gDCoGpgzxQMfQnB+YypQGOBjH3
stC6Uu2pDahy8eozvgeynGB66rrXvofFfB9N+IWtIHPvTaTXLa5efXXLQlwZwsQPLIuMbv18OQw4
nxipV1cFSfTam23ESTQFCTJSE/vK7NBHC/aq8ZjMcf6V6QDHrhbS5NVPm+qBw3r5wHhHcT8sJW6L
3GFaXALPHhbcxlLHLNvsdsSXZtozrKDfKvxdGYGIsrxkgeDhurkBFgI/2aotGH6SPbM4durWPSuT
h79MnXUnZRWhBdPx9eT42j1kVHg+x73h448eouSHvRjzPaWNfXnDGdfnGRLIJaib5gnovHeI+cM/
G9otDuOsJVZHQv9TpJb33MmmOlwIze1jk+aVzJnxepodnqgOm1OO9ozzLTWXEw3D3q1oBr79mD2o
oifzoiz7PqqL1mGRzaPruESHmurTO1rj6OStFsfjs9bXD/HipRhA3eoZsdqE7bnoPcuFt8uUNu65
Pw42mOVRPlK7k+BncShGxhRlIHtPDb9HdPNxXrz5EcPnuAvmIDgMZt9+1RFIgsEEm8PnySVo3tca
/hGKPS8R5P7VMs9izWU9GcOeZt7H0QbfuWozO8AN6plc71Oxz1Th3Pd5Gd0tEGsOGKFTqC3InqCi
PgWty59ma1s1h3KpXlOMf+9Yx/NDWxvNrrITw1+lVHZ2vP0SNmmnwOWOjd7bpkOWP0QBR5DG8+j7
7kz3zapTH/JExScvuS2a8EKsW4vKKJnraMuqn6o5eKVp7AYBSbDhnVSregZFlY/dcijH4A0GZE4b
WdCqBxcyRbu3KVogGOq6ucQ1hPJ+tlyaQ4AumZWgz7mjKSJk4+eZr62FqbiK1xMZ1HlrJ663bQL3
Rt+v3AiS+a1Rx6qzUwdXq9z3nZG8ysaW6Yfl8hEPsRMKudHjomNgPi6jf/fONKdp6HZ1jGjWH3nL
Wjo/etyCjPYDD/Abx17G79y/P7Nhsr4GXe89g4ZojgCinhX5gU1pq/LgqZahWD9QxVZPV7dY3lgA
fzpp8pF17pvHpO4bkUhOEMh63Gtk/+b9Kvd7fvGA9XMzOqVx5sUBNaQb2E55p37aC7cxzNCKFOOo
bD8lrp4We7pYukdbjjkV272TwNLTQRw/403RG9A+y2OycN5hUkPJifHbFPI/Y/d/MXYn7X27Vvzz
29MBJlhFafyfb0+/f9MftyfvF5pLLObakksAKRh+3h8XKPMXeYv52T5DP7jMPlP5P0bvFv+LWh9y
pjeUnbilWv7nGsV72/PJFkKQC5hA/jujd9f5mwiNPm6RhMbPwQ2PS1bwNxE6dVNiBGabHCfFjWg1
NrVcoSG6p4bgHH7byXTWDoSGpwZSAe0ztFOT0Rh8SW1Gi5F5r80yiqDUFO5xWTwn2hRDvYyrTgiG
KLZTOjsz82bjEa6OflF0VspwoOYqC8E+uaDhrXbAsVmyKRQRrlnYL7CU6V/vXdZcomSsino5LCbS
66rKak4ohWfDmWNIk4Q2p8Rj20YNkH7fUN+CbPY+8YcN6w541yZeEAUIIxZdy6LOhB9ozuhY58AC
ftsGpXs3OnQrlUN/bRmFbr3WxBaGoVDYGMzM9KnJsvlxSkR30bFVXm/FUtWGG5pB+aw/xXJVSRHj
Os6aayEbapjiUeHMr+d9PLrB0UKxOGH/2THY4jyd1CCXZUX9ktUm4Dm60cpJTUv6VJ3Os15Q+yyO
G7p4Mq3J3QSJ8x5TfnwvQWitIdrbD72V6cPACH2dmNZD4i7tmr54b4MYi9OX8dqD7RnFxa7GqxR4
K2VRMEcErpd8Qr5odg6X05AkRX4yy5LyX1bD66AxFzGCSuM77I/OZUwqm8fWL/1ZMBe06voSEQP/
mQ1usB1yh/I5mfphrL32imz0KUlUEi6gEtc1WJfcln9RiPoSOAb0OqRm8GLyOIxg8DxYuk+ZJn1o
T8F0YtcbH9JWqMcmT75BA0w+ZO1yjIynExGJeS1pal0BgmYa6TbG41BP5VOhc+ZwedFeuD8lYccz
whw2f9RF1l2MKYdKwSf2C0D/iE4Ya7rMaQv5aZLWxpQ8UoPa4bUYovh58T3Cm4V/G8FmVY3ju2Iy
jn2gYa7FTnecRf+94Ovv494pHtkeYMdRXRdcvVQ2j4AqAITpKCMGFi/LxWEkHGYNzqac8uPdYvTV
VVi8oz23785W7jgn5u2s27azxULa3tWTvbyRR5Ep6J4uAZqVmOuGeQFiCnnaNTvAuMNAGm8N1Z9c
O2iPInHvhqFVFK4CXoJUDaTazyb8f1Ux5OwwNySNmDElRPTFwfj6auBMooqGk98stpF3criCr2iL
ofCmzx4SmztxR6HwrIN1UDhXduJig6T22bL/H8qs/jrbVCkVVvteerqA+WN18OdT6wTomKbO2ys1
fzfAXjCA7SAs9+LF6YOJW1kQ7ZtxMO5GPwg2Ud/E60w4byyG7T0n9WkLSKcOizwmjQzC6KtDmXk4
ZV5LgEZTkMqV2c0MTAMJppbUeoOIrzY9l4Zd4SkLA+Zx6dJzV0K8UmjVM3VoVYSVleD+ytBOuSZT
VG5Gzt3bfMTb4mDJu/qRXTw2vowPQ8bTPDM1OQDmnx7LqVh2VZdDh8I4toNN4N45eqBM2B4Pena4
XxCEGR9Hp/vak4DdG2qWF8JTScUHrGY8IqiZMpwiWCsTf/bDzOy7PI+1vACA+VarWm5cdwmeM9yJ
WwfQJWX3afQws8HfU2nyUTmMjaWiMmpJzf9m78yW5EauZftFaEMgML7mVDnVXCyy+AIrskjMMxAY
vv6uQHcfNaV7+kjvMpNJ3SbWwEwkENu3+/J3t1aOPpyZ/dcOAsONWcQ1xJrcumgYwMG0HC5pM8o5
Xdk5PsM4f5i57cJF5H6XVy21yoisX5chAJcWcn+m1qW/JvM0f4V3Qf11kZjNM/L0cwlKCB9MWdxX
dMAFGxXgj3yInJB6rhpv7g0uT0yHuaNM6nrT6lRnhH9Z1vT5rqrL4KlPvZ91RY4IkVqwQfMhRLDR
pGnHcLH31m5ZVMjQCfYMDNyDg6BTJy7TwxIvB9/qC5Q0Gn+5uROrmYZXIEGdsNmMlP25KM1YE9CM
5js8zGrewPwdsDfEKEj3WetX7MKqCesTsPblOtmt+zjxwH6WbchHJBu59EhMKOcL9Lf2HLOsRMFG
j//Wc/UnW6H1w60wQs/ejG7tPTVABDGrUqNyrtiqnps5NA5gysvoGDYgoRMZ3ccAMZ991k9wuBXj
QJxR0rANljF+q3272yvLhiMGIPjdx30abAqfwhIqL3v7GskWIJJn13qAH4fwpGoc16NUiiXktFAB
w639Z5nZrPskC8jbXnXdwzxZjbnzKMhtNws9RhT9OAOmHntahs8m8+9705rJG89kWg7HYrilnai4
D5UT/DThpy87MtjyiV4J9dnAlXRXmN7Jwyj7g9C6++GUgcMRM5bNwKJQ0WQTYLh1KnUquNtuO84P
827OUZE2QcirSGAk9l8HNTtXIhL5B9THlH6dATrJxq0TPDyN7b7yHIFUSf7uMBC1NQgheHW4FZmI
o1ObTNP3DHetzc0oosYqK9XD5GG+pd4tNh6S1O3qjSWL9g02d3Yn8zqClMmEheAXFAv1pk32gdsp
e6Ip5jnvcob9ZCnDE8HJgla1mA8r6Kzmni0iFcTdKhdYq3QwW4F5W2s9wdHKQqg1Bl+rDeUqPBgR
rik8aegRrVYmkAYRKaTWK2ytXMwtMw7eHPSMYZU2sM3UX4NV8Ji19lGvMki6SiKBVkeaVSjxtWaS
rvKJMaGkuFpT4TOHvDKsUsusVRd+82AvtRITrqJMuQo0Qms1g1ZtQq3fEKj0tuUq6gDupndqlXoc
wQwCOcDDQYcSBBtfewNs6A5aJ8q1YgTqHSCJVpEarScx8vZ7J4Y+vxFdjbLW9btOK1D5KkZ5Wpea
tELVrWJVoXWrbJWwKOVBzhqmrvqSzVZd7ntKr5lH0mb54XKAug21HiYt95utFTJPa2WVVs3kKqBx
i0dMA/qDsDZqjS1d5bZEK28B0/dX5bSocRAkIkxdzoJQJmf5zRvJK/dawwtWOc9fpb2mJYJbVlZ1
pHCZf8yWIfOPlMXPT34WNmo7WbF4V4GytnXp1F9xifePTkBRGsthy3wbVpkx0opjvYqPtJOKj2CV
JNkqI09SMxR+oVuo/AQ3DflSaiVz0JqmWuVNlmLEtrXmmUbZg7kMyRfmw7sICaLS2qhCJMXXRchx
7oNHuw/Mu0FrqVFQEId1aIe9p1Td2Pgi8m4ayqJY/bfK/hassqytFdpyFWvTVbgVq4grusS8wUgQ
3XW9texHCxHDSnMaLG2n3y21zA+DaaJJk0RlQCx+AEpDL04G1/vhsn6kk0wLypnbt58i0vHfXLsK
D2qVnnk3kaFrrUgjRmbsHrVMHa6SddJGbIYjBJiP2gwYUzFB09eE449bixxvK+KLn/NwAgmphXBT
S+KtFsfbVScXmetfAIsG24gZPy7G6OyvqnqpBXZ/1dpLLbt3vof/kvwyy/k4cag3xH+K5qY1+8wQ
9Xl0bXHlb5hfLa3vh1rpL7TmX9SNOkSBLE9NHskdGNTP9bofEHpVEMnGe5BNQ0hTLxH+u2P8d3aM
FAW5f9vI/cplkZS/VnL/8UV/TMlQ2y0GP+laju3rCibWhn9Myb78jXHXhsPssepzkHj+Z0qWAax3
x8ZyaeLLsoRu1v7HlMx3g/bguZ5vWRro/h8Y1PCh/bpsxJIWaFYP35LfQnN5fl02EgcmCDxH4uj7
cwnYRVX+ttXQ0qWcm2sySiyX4deZIlNdmADk1OS8u7WxZxAtjoY7orQ0FGssKp82Ee459PsPiLM1
ujQA1aoEh8oywj81Yf8SwtPUrQTNuynrrE12SM/RJx5C5auFyeqhLnR1sbKM9sMJS8DPMa4Ue56c
d6QzTZ2yOudd1i5/yNK03d6tjB/Z5E2fMlkV0w86rQIvPSccWu/iytu3SL84ltKLiXvVv3FVWL6M
0o56WkOMwaY/2RJiZ8WV8WLYDuU71Emofe3DUPCalqmDamx7hwgy3Yl2wgPDbu9rzlLSunS98nlZ
2PsfBXPXNa3FAH7ARRIDAFKxH0FFPDB0MPF32Te7WMpLhLOFE+RC/hBW+pc27agSEqG9Mzy0A84y
4ys2gln36VADY3eQqau6qFEtqaXGLxLbJ3NSxlvf5cD5umn6hGOVm10CcWvTLKrxXusuUT0G+QlI
3tIuZNimNEQPDwPNl/cIA1n3TSJBChrIAC9rQfRQ2xrhnuOCsSPbv+KmFC/TKPWrnAlei1gDkYPM
IXE0W6N4IXKsIb61w7fvZW5q5xqE7o4Q+rD1+o7QoaxLcOK+o4Cr0fkI5stoG4DLI6LwRbRUjbI8
5B9zkfK+hrXbuptmKPlzUJv4GoJIGZhUTWa22E9iXu8LKrNtnwyTM7j+tVe23iHGEXS2FbzvVxmW
HHIHwasYDPCira9JkrqX5wVfAH+NYqBzevSALCC5B9CnNb+4nsDM3ti9T0NJO3XLJSixtG/mAgK+
FQlQaykObU3O50WxWGeixmYLTGrDn/kFRrpaor0X4Q7fFiqEfD9q6n8UKg5s7HEkxjIYaPbOJ0Br
3YWs1cND14dmdOprBewsqtL+A5olqSzsTLjZJv1t46qBgQdRBQBbZUDjUBt3BePDO+LbT67+y/tL
z4Z6sTj6bttRWzaXBsPUSuqekHaY4bu+fnNZTGxto+YvEXIme/AT5V7Xn+jSLjsdlAH8HGwp12aj
dEYsHTm7jm0GI5OUCStSe7TUctO2wn43wXdA4o2m6uKabf3WkJpUGNom2sST1LEfV454JrGCn6BF
tt0+dAc47I2l2wYiiWhzMxdUTIO8dD/bfTobr+tv6efLEB3z2U5gAgiHX5aAGFeZYUlxF7Q5Y2We
dcyAnautV1mhmuW5HzOa2qtcv6UEKPRrkrJUvuvnoLqApaN+va3492DWPL3fofdGtSQ3HNG4IIKC
kBYNotyhPHYfRxsLxXxIQH/+XBaHKzJ1DX1NUS1JXNQx/IKlI3LPxRPFNGzjOpsA3GX9uOsDazlS
izs+mbqNQaUzhQpcaZIW4UH4XKclprzADupr7w9boATs+RzLaNgyWXjyh6KMoCq0nXeHWza8pGxV
XnkzCQJK6YmnlCZkQPBtV7/19tCFYD+s6VlxFQPe8osD+3ML7TJycHf13feUsxR9Rjx0XvMgn559
10CisloubKsl+89BpzKurmkb/O2KrJL02MNH2fZ489AHg5KTHy+ZWo5T4HjHUQTe9wbkl9yLsvLl
3sbYzM2hyzBwcW46sazn9Z2nOHxtUXiv7kAzET+wGO9H8BF7piELkyuL1I1FkzmjY2vXJzklkj5y
P4bXwBPjsRR1+YTG6tLAmeHOInseWyzUF+9gjO38w/YKeQ7bPjmmyhcfORHoVz8aJu9gcgu8Nngc
fkg2/S+D48wnUJfFngLTcEsQ4xP8yfaVoo9uR/G1LgUOwPbPgrSlRfXDVUwlrajBVB4I/s/7MjKX
H7C/Mz4BY95dfId8ORZgbybmvITyDatId+nx20IZhuh6GkiG3xZahnXGsdX1Xr1FzXy4eFcnagj2
cFJlBInt/eK3dCNNbIbPcNf9OyL9TyDBrYlcpyCMA9uiE9ccmGrzuNgyPikzuGEtOx0WJdWua7L6
diQdg61wCB9K1XI3mdm+J0Y9PImSHWk0kmrtg26JgCUk8lpnpWl9CmtZveICbp/pSXuIHdUAttU8
xqgTT6EQ3nPpITjlA+0t9w3K/TFhrtpDtza/RNY4XezQf1kiy/2Muce6qSaH4mNnRFzk84FL5qha
HMMclY9Tjd441NZD15EtdYs6dva5GZtIRvSyzsgN5mMXYxmZLI9sUNoKvQJs6ZXGcVjvcS+X5i4O
4/FrWE9FvhU20srBLIaB7romz3GVCqQhJRsq4Cezf0Fy8t8S5t+OR6E074fUHuD7G/VJuTjnt/RW
fJ14vF9Ivg93vWV+HVuiyzX0HdbB41STTsebfO1ccpuA4qznOTCQNKdUPGbC7X/i+W2/zkFUNe+U
bOXqMXHbEA5uuzBE5BkycNN+sRiTH+NYhAwfkGM4Ck5X1RMmZozfKM9tzwP2z/u27d09DQDRjE2i
+JH3AIEaXXQdOrP1CB1bvdFaGO6iInYfgjpw7qdhjJB8SmiGG6Bg9R3NctktJQtWuYsH03jEV0zJ
Mm3Fe14uWvdsdzrXXVF+TYbe3mKFgVVSm+fMbF97Hon0sXOdUtf4JqzolI5pdzVmx/4yjpEkckZe
fivCTtDQGceXLrIJLCFH3Q5ee/SHkWSdZyHgmQIbvVfVk30dYxYYii3Q1opt/JpRTW8VDz+D1hcu
FTOJr/i/qqOVi89hanubKHeLTWtVNsn/Ptu5E6gYUSuuA4u6yHhC54xkEC67yG7cDU19tjiQbDTJ
0Fu1fPQj26Vyoe2fK2Y5HvQlcA1M+f02WxBfvV5Ro5k5m3qIPrlmQyyuNZKdkKC8onJ2MIIXxXOS
Vgx4KcePg1XSvDZZedrta1O7fXuXVrS5i+OHYqJAMZPm/GK2rbrMndRWfr5QuVF1yx1IsRpn67vr
i+BR9qa6qcsh5l8tu77IYmmeYoeiSUAS3bgfqhJgVjxW4jyg9gFHcs1dG7on/Hkw1LNo/kRjTegC
SEIsHOIv2L/DreMInwPFpKJPqgau5nUTgcemk2eoM9NxMiOwHEHsH9zB5X3ABz7SY4FLjwA8IANw
+FlM/sQt+gxblcNCBkgtB684IAXpFflNPdr+ax3wF1f11D7THe8dOpxe6Z7HIcAkmpJ2jY5r+SEt
4lhjwdO6JWakNLZ3yxzhQbZnW8ITm4fL1NpAfCxrkge+Zrr1iolwuMf95gNTo/uTDda4TzIgKEea
wPPvaPGUhbTAGXN9tKqLrt3kCtFlsUWBiF6k7j4xmnpPfXqy9Qd/uB1rgZIJcX6L05ruU9yUF4Cx
6m6h3kl+4vmW3fZlTh3ctgjwg6R9IqlewS05FFPkPuUBPDuQj9hxVA+Dyi9H+1smLDM6ACQiF6ZM
zoKZKzJqm6Zn8C/Ttcy6DvIVNpVt2vnhY8cx4Jb8Ss2dd5bRF6/AwkgJQ8oZyw7eokFUT0s4pvWm
iGLANcN8xa/g3DWACnABMafvhsoZzrLK+8skmvnGL5PpQTh99xKPxbkZm0vtL9OuCazmvuiq7juh
BTxOfdOeiaSFN23kv3JQG9nstXjYWvsxVXOebxyVZdmBfEuUn7t4GcUhCZaFVIsN4WFb5SXN1gUA
kqdBmvW3KSvyiMvHgjQC8SHfSAo5qRylmjMbWqP4PuvGTiOgu9OIl5Yazzpxhm9+X7/Uw1zS8dn+
3viJg1AaJ0yZN9RIek8V1aBoNVN8KdfCUFma7/0Y1Ldg2LJN4nMtnKCY49pe0jkjGJPG3hNGG8f8
nNB3Afhv02Zl+FDVVGE4pB5buMJOPX5edFGGLVs/8h4iq24eePqd+t9LNf6y7/7/hKM0AfoXmLZJ
OoY4tBQoLjYZ618H4ygYh5noa3v02tY+jZJJ1Eli62WZqe8KkLtv/v7nOf+cFQtMW4I+tGzpmTZH
BZSCv9p+We3OwLQ7yAxFG1z7mKN7x435nfwAgHOrGihoN237LlL+IE9tCzKf4AVCWHGLVZVKl5U+
7bKIbu+LVteZGS49Oq1F66GK6blBmOQAaKMnc2wr3O7DjEwZMNDb/fJsubrjjH7J9piALX3r69R5
rxw19s8dwbvusPSCTottCfjB/rowT2QU7kwMbBGUQs76ke5c4Y7xgmRInQ67jg8umfKnv6jyWQYR
J/q+6fjzIA7qN5PSoOmKtOkZ+t5pMmCxrXhcDBa1hwAhj3xNRKXZzB9sSSvUNNK0saBMvRM+RVp6
Fl7Lev7+TdBqx69vOsgDG6XGd1iPY1D49T3IOCGHcCwqkO96Xqb6g9lgIF4b/S6p/a9kdP2N/uUH
UaDFMYAgnPXPVxemMduA2lUd85iiIsSJAg9S2fD+8NnTtUaYjZgNJ4YQOjv/L7T9v/5038ScgWnD
NgM8Evra/4vDvDbw+UIOqsCy19aLyzZplzTJzPkxb4/VZPBT3d5jCDDGgrHt719jgfvjn/7u+D5Y
MgWWwKDxL393YD8G8XIAlqRW+O5qZAl962UNJWlpx9iMdYS/vLLn6tJHmhlutuXA4FdGXn6M7Em8
rL/Qf01A/7cJyOcm8zcmoPIjef+1k5KrVX/Nnx4g+zcv4C7p2Wha3Lf+kaHw/d94g7nCGE9XLw//
158WIPGb52DC5PNFdtddQ7F/ipseyQsMO3zZH86h/0TctLWZ6JcrzefurS9zEr5cZta/9GpgRkmW
eOLBJHmWSoaHd0JDIdznxLTwqQOhoDCsm5dtNxhq3GaRJa5u3Ba3ixva01YI4NKhmSjypqK4X8Kp
/BqYVMHDVMsirIuDUeymKkSiBwPwtXAoyzPJ2d63yej2tPDinMbq6i/URhYw1rqAFGbi+s9em+VP
lACoe1O9F1XLSgDfDMdzE4pAlihju6icgt7MrKd34LTFtEl4GFCTRvNiiF8QwM9G9l6U7Wu3yb7F
LCmI1hOzYwynTGdfWXNyopFz4kCSB8MtLK1Qsjrh5oL4aPk2UAZalbetDFKxIf8ob5ogBpXGDB9f
Zeopf88+LsEYXOauJJCaVd/rrq7fKmqG75gBaemRjMZR0I3ffY4/b3afOKztgYpfkjFrHuc6jd6t
2ML4Q+xqU2ByxQxOrh8Rajsl/ni3OFP1gNJXBRtUEw5GczF6NzlQhjtfFtMj5k2i0fiZ5646eR6d
ARuOUltV4nZltLgZrcR7EE1HBVQqi+9Tlwu2zYX/4DoCOBh09mc5j92OpFC3t8dZHsOF0vJNaQDO
c3qUrXRehos/cRI5LZ1ozgplL9uYkcPhOHEa7+qbhVVuW2POX2VRD8/wIVgUD2Ikt5Ep8SXxsvBL
b0Cpq0en2ZdlYFzHBVMydRDuplpme0uqe6HeWgyf82yuGzAcRXsdw7a5wHtTPzn8LsjRc29kuy4H
9KfsMt/XTVCmVGEEEOsYztUtbh0G5cAdsvcGVWMfcUR3bqKkqIqNlY7d1zTN83w7hg2shqyR0UPp
B6U48lBKnlCq5Gc4EsljsDj8NGl67bOoQenCbLAvwkrxQNCNHR9x+kR446p6Z/WqOUK1V09RzBTu
Ulr5ZpRRe8a0G/yAi+q1B9eEhrkRcvST/dg0wRO+tmXcdn1UGYQDpPsQo+eBpvVDg7hnt2Tf7bqS
AZ4sK9sjshS7wIGn2BSifOF9zD5hRYkfvCntbjsxx2evtaiuE9UIKDgsEcrdOYJw4qfViy8b854c
TtXtDI7LV1FF9i3x3KHaw5yq71KoReQlx4JPOZXLIiVJmf+eq8zotiZlGfwetqxKEfXwWgI1p+5T
V1GTmV9L05zKHonL6JdjMcL7DdVihk/zqOR8JiCVHpvRfRB+ykbe9patlHhPZrsNnqecT8++m4b8
jX520BI5qu/OIwTTbbPawolddM7zMDhDDZhE9NvenoklsRO/s5norj106Btqu4CMVF0O1ZQCjQA9
ee9LsLItn5ensJsw9yUwtz9NqxsHH5aZPnhJR6Hizq7xKj3bSzfSx4tHq3TuLNEYx3FoX23mr0cj
8wMyWNoARMzkrKLSvcWcDmNV24RybRiqh2J+xIRlncj+NptKG4v8ucsfR5IpT/kftqPkEMogh+jD
GwmEYVNom5Jo4ruCw+CgDUwmTiaVnkGi8J2k0dwM2uwU4Hpytf3JwQeVpnj0msrcCF90fBttltK2
KbQE+xRqK5XQpipP26sSfFaBNlyNi4RpqU1YKeXrICO5W884tEpt1QIowGdg/mg7dekXXsOwNy/p
6u+ilZimzC7+NK3mL1xgvjdjB8MX5vCOUS9kPZnaMhbiHcPVcu+OafrQ4yqDwob+MF88bTejPfJZ
JcglxeT121H70swxUztrNatB4KXNLBYZnFy8bMPvtjYMbg2g33MrkQ61920OfHVjaT+c6GZYtzYT
3s6jNvncRh4pa2LJyxuku+6WYJR9cEdBBd9gX1zebaJ5LcmI1Yk3NdUNqWDjhq4oriZIcHcESDDv
dRXxDl87+pp5Dp4kIiWApaTPHzPt/XOD9sOrYpShJBKXpQiavdGhJkMYmlhmqbLBROhz+b14Zhvt
HOFUO2oxrP2ifYeRG813ufYizkq0n5YsQphzQLpaQfLotEbDRwIXY4upD6MYzka4v8WzysPw0dG+
R1s7IJ3KnAlfqEuAtWKXaZ9kPoXvsXZOWtpDaWk3JdOAfHK1w3LQXsteuudOuy+ngUsnNczPjnZm
OtqjSYsG0RmX39TKvO8jzokn3wjIDQ0TBvt5CQ4DeaqfdFfp3OS+017QsUe12rTaIco9xrgiGGAb
bdDbnhyO5zuC99kFNV9uHe00DaYu/m6v9tOg6rotLVFPXIQ5AQ8zf0gdTevTztVEe1iFMB88MoYo
QvhbC+10zZk6d8ag3a+j+OqolvW/MLJnKr7Ye/W4ZcnYk2BZLbTcDrWdVpn0ydteeZhXuy0b4huh
HbiGwovrdON8LP1kOrk9j8gpW9yTkcPm2v33nPzv2AAAzPicLP/mnFyNv8Da/viCPw7JgfkbEBqP
k/MvJ2QYbox/rkC3YX1irX3uf56QpTbJC98DisKMiE3rf9b/tvmbdPWZ28Rwb7MW/o/W/1T3/HpC
ZvqTjo07QQLRwS4vtT3gL5PgXPS9Kr3EP5tNMV2MlFDZmFnZ0ySd7KOg/ew0rvY0aKVY1bLVtbb6
11JtZYM3Yjxg78HghqtJPdiyD1+zhY/3pdFeuBgUQXSqVrManCppbJvVOSdCfLNT7r3OTk/Kv60l
cuJc5OGZdF/+obQHTzWD/xpPFTCwZTXp9athr9TePRZJp1i7+ZT29aWrxc9d7X6ldv5Bzst/lJgB
I3q+iXVNCvJDYz/hZ8Q0OKg6/NlrJ2FkqNsM7jFGrDJJSbjgOLTDSH2eIogIFgrwT0NKbIlB5DQN
62HvoaYFgCP/LDs+6dF0u3itGPWSef7pFYbxWJUpIBdPFdGdMqzw5K6WyAizIbviStpXK06zdEtB
LVsw0r3x+0I885i7Ybd3iI69CeTEaSv9wr/pdKyBJaWbP88iju85MWBfHCq6dUZKLWl/9s/ISerG
rKZa7tiSu88FC3ESTGXMImCesTlhXrYG7LMZp5wdbe/BxyxMlHBSlx6paZ3k4znQb60wa85DmKV7
ALCurgCr3G3eTMGlJSq6BifKjRnU/h1zecCDX3lkWb2iOUZzXB0zw+yYQkK/3wZJkaPRLW793ORj
fxaej02SNdsj5YZ5vzGwBtyTM/bMjR8t6X1CcftAe6OnvuSDSTQaPconW1BBHo0Xyqh5nnsBx043
7FmLjOk+78r2HlY7vq8pIaIJxB2w9jjR3WAmXX/u0wJsnhtP0QNK5U9k0Hk4mv3SJDvDl9XPMSK5
vpHjgt8lsRcIJy3HjmMIDeM1HKb0pGTZ7JdgTqmkK131XouAoWJscb5htjsgIJOYTGUjD6IKGLym
RIz3S99F6WtjEk1XCFl+UuUEJvC/3wAXSp5GsIAPdELMIv/g3bVGmyh6m/DaTmSIje5qLu1cJRSg
0j58F2mGHh4EGK82K6HRAYzhz7D2Ip+fEXZ0sYLhszWPjypBQdZRCFUeocLUB0Oz+zD8u1vFcvKM
Pzc7dEVW8PFmwUjtHI3x8P88TQKkpL4CcgIdsOlFeKAFmKZN8B/7ZALH07IR2uWABS1NGKxMYABT
ZT+BDj2ypnOui+YRziZkwkkzCslc8LoPK7oQ+SbclX7LFWiXjQmuoJrdXdexEsfDDKg8hYJoFbpL
lWQLu+BgvA6aljhqbmIDD6WnQmNpLi6Ju7OlCYuQZoAtJpq76Kaa7Rd0j0vMBzMDzrgAaRTAGl0K
3z/8trJ3qesScE/S7sUYrJxF6+SBOsSfk0yOeMaAw13L10TIQLMhzZUSqXmRqOq011kwJBUwSUjl
r4GmS0ZAWDZGJY8p4ElXEygLzaIMG4J4aWICqGT+9I/gWODra34ltu7xxZQy3pmabulpzqW1Ei+t
1HqiFhX7quZhMjQ4J08zMl1qg6ZNhPHnFgiAiRqbAo4EtvxZ5rbNkoGOrjjjTD/VMbPR0HsvaCzD
pR7dfOImhVDLSo57B7NraHw3l6lC5Mii5d7MWKonZZQ+LIp7Ywbz+Vgttn0cgAxeR2EEExNlNB1C
axm2fWkW27Fz6FRNsuZu9c14baEdjta7SQ/5htYBRWS1oKwvaPo91RkmdGJelMeRAXofLqQ24OLn
vNoWdMyW0HQQfE9YqfOaS4WFXteDAW0wymtCSOCerQrsZdMx9qrMFgYRsJGmX5c79oXDoe384gvT
CM4yFMF5G/H2f0mpEbKcgVaBbCrvBbtu3NyR+UJFTE5DtN2/eeBznr1mKh+bJo72M26sQ04Xy61a
ev9EZqPTphKDhhxAOdx042R4TmxZnf24k+90QM5HKZvxik29vKWLtztOhiPuu87JtmtotyvG+TkS
hetTViOSu14FnMwZ1q6dA53XjCkcV2iaAMB9bpl5dE9QND0mVKhTuTJ4/iZTvoeFXkY7mfZIJST6
l7OZ1/GhQDKCwpuHn2Jg8vGmqJ3uK8c/2JKLoZKrpbLu2EG06PDOT9+KfshIx9fLi1QST3CYemzS
oEVoK1v3iUYJ67rgO73iC6a6LnfNlOutiZ8cdxDPlCFZh6VK691MEdm8dYmpfq6bunuQC768uKsQ
zbgxNUee6NN7nFFgIGPb6zYD7VH7kQpM+hNszFJclWen7R/7NfYdtVJnwM3G1YfbmRGGfPi8hsUp
Z2mTzyxCYGdu+8odeBJlOl++rFFzyl+L/aDz57PUUXQ2s8uHr/PpoU6qt2toPV4D7K3OskdsH29G
4u3jNDU35LGjPRcpAEidgsdYlj9KrSQ5ROSHyAAwpVPz/z0f/1vnYxRNNP7//Xx8eS+791+jpL9/
yZ8nZPs3SMbcqkzWLiwbdWPkHyZZYVq/mQ7bAlYVrEpsjWr885RM4PNP3dilWs2ED4wM7XK6s8V/
ohsjQv/LqThAAvNZ/TnSx2Kro6V/ORVjVfXzNJrcS2HV2tbgemLcuYJgRbMdOqPWHGCc6ahCWaEx
t7hceQS3jmmgHCw9V+VzThOOUZDgdLG27I2FxXh49EOuaHRTBSiehvulvstiNo/egX1dgWe1x8gU
Tyi4HqcDuyNmFAEJzgv3quym+54RCCeND6JFWIa3tXVePLdp6Th0hMhrizS54S+LuC5ryLz5PXHO
/TDFHgfCwLyWk8gdVtgmvnxvjavnjT80D9SjZSTRw+Ctg8XC1M5DV/AhU2l9ccs2RlAmCG9gl674
EbO77Kc1Ks/6nti81Al6qbP0WVO6bw1S7c7QSXuaC3jiMNMeqmGmpGCN5KdrPL9ao/q9Tu1nS5Gf
6LWMv7o602+t8X6hk/4Vkf98mu98s02Je2XFfOK/wls1uPI+0bQA/L4CzhoEgWmFCSjNFRhWxABW
RWgDK3iAQzgQAo7O3BJXNAGuNHWkVbp4GDS5YIoLYgbtPN4Q9J0fg86azzwYtSKdcHAlI2AkxzhP
kw+uB+eREkwQCaqyjHtaXMjAOm577DRLgWGpfIk1X2HRpAUesd5WUUjAeRgg863tKOuzsSIa3AZa
Q2VHwy6oOS4XHqFEpckOea8hD2zVh72wymFvaPDGSH3dQcKNO9IvDSICF9Xy1ZiL+uAnuXFDE8Fy
smNr+Y5cDReCxdrzopkTg6ZPVCuIwtZMimlYXCVoU1F2b7kcPf/4X3Q/W8W3hmNRtrBNTBIcDW7Q
wC7bc1p30Vie0fbGvNp5fdhQ307oF2FFULHA/i7vxmVvxqTLvv/3jvrv3FHxI5t/u5nTcDP9n7pO
/prQ/+Pr/tzO+b8JE++CsMgkoM4RqP/zthoIxAdupsL6x15ON/3+eT9FsiAwL+DDcjt2sez/J/dT
1/+n+6kd4G3EHw2IV8oAshm/yF/vpwlXk5PVXXYidrvcsrWiKdXqMIsvRe3vnD42j32D531jiZ4N
lmhmeLN8vsprZVfzJ+60nPJJWtHIWmW0p8DO1GNMFlpUzCZ2tiOGX79RpNMuFmZCWqkvYeLNw77s
amvPEWS5pYXIPPJbUm05A7rN7uDyqh8ebSnDtkmg77YxMeRNiljy1Bgk0do0nG4w8U8Pi8fvW5O8
uvGUHZ4rR1ut3XIqr/yaYCxDMFjvMigJfZro6uVgyNM8gMBmBLWNssbVXEcDC5dwGYhdkfEUm9kw
fe9DRTJyD2PgGdarDm4n+2LAcpICQzWct9gMGAgpJScXdql6mYFpG4umHh8adOCYZip/jO6WwMD8
VWWwIp/GyHQPFMMUkBKTqDD9AwyC3txRhyKdE4wX/mQk4sD7MrVZXd64jUk9lJFRt+TOEN62oei8
aCeo3ZM+oUZXRHhvCjckjbJpyuhbgd/rXnlzta/MJWcBSgVdvQFk6n9BYe2NfYmfkom08W4Gd9n1
/NumMlX73Ukbdef5KcQv5i6J4CHF45JYFU3AofrS5o8shPMb5kHzFkBUfuMHh7pVhMBV7jaXthgP
jd3U1BWzoXD6GvGgH2BpGoSxHxUJ0k/AvbIveNAy8oBgcqUzVBoA5Pwwyil98rt+2jQw2mhlMYJD
jOXvBEhBvqUOQwDtPdUu8dryhMgMnD/MjwRDclDNafaoJojm9PFEpBPH5sYQI/JzVYLRml/+H3tn
shw5cm7pV2nrPWSYh0VvYo4gg8GZSW5gTGYm4BjdMTmAp+8PoVJfKdW3dLWXFmUmqyKDgfEfzvlO
UDVDs6K3ab97tRU/lnkabEZ2Qcc88aEmacj6gVm025Z0PAIvRfFSD7RiyrDSPSL66MtPqKVXTdxk
9wjx1WcywDBcj7DVUa2HLGShzBqnKqXjXIIAzAc04Gw+lZpfHbt4zgzJKsVP8OTYbv4lGDi++mQa
Mg7BjB8Xi9QHrfzKV0SYsPD5SVhU+DmPubWNJMP31ZAm3Wczt9tsFmCAUu2ucqlvBjf1Lgjui50z
zOw5/CRGLZK4+REviH+O68B6H+0+vLOAMaF21bAys7w44uiDcOfW7XPLoOriaI/ZkFM6NzqdxrsC
lf+BWB3vQRJudsckLsNTmGbvnNFiP469c9MjEj5Qr1MazS76wKSDhBOzEDmJxpnvldcNtyWszg3C
FLYbsQyDxynrkK4ZyPp2BqLyc4jvgk0nLf0KUat5KMYG+pQMhTiB7nMuqAjbW3bz4m0EtI1DedJ4
Z/NBnDs6m+c+7/UT4kxJyEtSbY1RRO9IHLPXZvC7m86rI+ixPT4jk1Aoe2eVaXnv0fUdyR7S+242
oTBkUbhr1OD9Yr6v9gxyp7cxs3PMkcaxymV57Lz4jP6HFKM+NVeaxh9tfXK0I3kzeSYpspGzkrnb
/+grjSgor4qDmTALw+sJk8Jqh30DVnhnp+a4mUdffZcwRm5MpQUl4STWfuXqh6z21F2ah9Ohbnrn
IZ709K2vxQzZwhqgBYj4woigf6PosdaDqyGztl23wUqVHTSVxl66GSb6sq/zFymwbnDauVsMrXZR
kMsfDhUqlU6JymCMya8afaB0qmy6e0ZelY2HH2RyZuN1DFvP/jWTDmwwaYnJ1DCnekMn8CzHfDin
cXkvcTPc2bAJv9kkoO5nBgu70ZmMYWVOwjz7IjfPUZdHdwbJqg/TOBA+yN4suq0RG2IZHS+F6iUB
ANyopx7o32Z2I4xDse6I/iTn6CTrrNokoS/WHIzq3BMqgTeORw3ouhsDfuHJVlTuxG95mCk6A4O1
8qevNNP407WxOIT6NssO7dSq7zkbnhFb2Yl3CcNsVdsfGf6iY0Hnv1dYN58t/F2PSdBBJ+6mcWX0
iixZ0gvVS1v10d2IfeE8tNL4lHVPRCTqusdC1Ao5Zt0Gt5XW04/JqDPAhonyDlXl6ZORlMMebfZw
N3SNc7ILu6IAVOpVe157P3qM3CYXq44jxvSBNxvmn6ivkWtWwa9J5F2BrKtlnB0lP3Q+ZltXzBEj
B7kjhqNH8E7mUWCZ3dqgXM/XkdEahLLkGfFZbcEUtAwtBB62dpjtzEZ2KlJXMTCtum0dyPoYeiUE
Hc/P8l+Va7HBigb1hnXf97dunZTfnSQJ9xVEhHNPYuvNEJJCygIR5GUUHqI+tws6H95v1Ohdcdch
XbtkYdkSTTF12z5s65Oqje5MZLHPWCgHUlEEjOSQg7yFruevbBkN7ZrARPLlWkf3DxANw9sZ9epP
0+mBN0S9WKjTHOMbBtPGc5p6dCvMafdjbtQusAsjq5aHtkR1NxOg15lhfQnyyrkTZlzxWBqmTR6C
ZYbM7YX7gGyP5ZrQCIztiI1nydR6PdZB+Jmbs9yZwvnErVOfDZh7T2GCsoLZu8PCMXJ5DE42gMDZ
REBZnZcTeFJET+2Bvq8H9hEb+g/73KMNx6iMQ6dJibes8Sy/BIxBtggni50CvrE3GIaSneU7W1J6
Wd/nyNGZU8rjNJvtQ+Al7leXNgzeWY2z/dBD9IQdTu4q1ZIqkjbWsxcj5V6XhnTvsZbHzOyGMXoo
kirYa+IZ2G87t2HcQEXxS9c8K9M6d4vJIOrskFhCQ/1Me7brYFI1EaWdCg6BkZGbTZjpuoqn9p7k
S3m/iF8OGXqgA8ulaj17Apu8hu21j60meKMWsJ9H5EhMF9l7/ApLo38vER7s4lx+IzETFlCGyN5u
2ozvZ7Lnp05pDzaPPMARXZaetGyMo18BRFgHcOPxJxhq/hIgfqBWilif7J54vZrX25SHCZem2+4I
dvTuY2rTnSV4WYP/c7OdZjkCFFDN1B8jD+E7J+kV3pvmtTKb8jLowZXreDbdPe+7aofoJN8UnTEh
wbWCg42n6RJYwchbIRDvFGh+uzagKq2gbhx6mcUkMeaIlrCCW/nRKxIUMDWEI11L8pkbd0T7EWAc
I0ysnbYMKPWj32BtR/Sgj745VZcuVwtn3vEbLo4o+EHhm25dN7dRjPFYCQObYnqkUoW3Zpv6aTCL
5MXM6+LFtakB3aSdcYagFbrIvItu5tynWgGNcjQDlB/A9DPHZKzOG2wVDvFR9EMzb8bEyU5ZR4wi
0hNL9JSY4EhLZSftT6eEb4NHIO8mK5QrR4W3cDoQmWCsPLFFVw8A6Jyz6zbTXaQaaxMhOlh3iRpP
aUX3mFD4f5sx0Weu/5z4Qm96G+yN8Cy+pXsq88D6EIFrsyZE5aRiP6IkK30CIclQnowARwa5xBvV
G5g4nPkTQ9l3ERgPoSQZJkoHH8asRbCTEua67siVMR3DXecI1kZahBtRWCSgZskLpwWZ3BS666iN
+o2DXXNlFAJRlnDOree+W62L/3LoiFjK82KT5yHrlLLgwEADJDN9kgy4HZhBsDBPScqKqOrDHamW
0wnjJUBP1351morwxnBEy2AyXdlZgW2vZ2PECJv3LPIA4q1qt4SIOWqgORl+Mwxi+0zMEktDuI9i
L7gQEoihw6/yc8Xl92m0wdYOvPi57Fr/II14YjfYmme0W2IDVdNd4zzjNYci8ihkEO6mtpvXJFt6
6wnr0AqsSHJXGQVvdjDIF8/ky7GLJb+nK+kTyChaw5FpV383B7z/q+D5f1V9eV+DzWn/z//+JyEy
TannONfVOAtt5zchchq7U0FYhDhmGD8o4eBCn5o55Cnt4aV+cs1KfUlqKQa+vZn/Vc/w32qw6W//
QR2K7tmG520jhUYwYUW/fTjhAY0/zVIcrbFuvuasqW6lKNILVNX88c+/Jwv73z8KJSo9zdL9kg/1
20chrs58hkx8lGSXwCYinJAhTkn9888/Z8EJ/NMHuSAFaPqZh/q/68pzohfcJg+SI1GQ0y4FinL0
exD7RSW6eyzteXQ7RKkpOOnlpwywZfJUIXrBII6F5jpO+ev+/E/651Mc2BETTxQQMAcx4/xj79+b
XZh2dBlH9jDz2Sybae9kmg4aotRkbTAYNl8IYTnPFrkN18/+j7L7Xym7EY38aarSzc+q67/y6e+H
R4zNlx/62/BoyUiKmA9Fi8hkGRP9MZEPo78QkrKM6ZkQhctY6f9N5MFWWC6hqf9/bAUqmsVrwDzq
304YtH6/n0LbRDizQDOciFWC/duAnjlT2oRznJwGi40ZSjMreMD2OjMjrbq9UEF0Gszv2cKSlwpq
PDCtMHrE/Ngd4PYNe0dZao820TT/ugP6758p9m+KGjdkCIdPh1WEb7usL5b74e92B9TQk5fboX8M
Blq1S8Qi9xLOPo9YhuxeviIy50kwinG3ggqlS1DDGpK6tWThHv8Iq8p6aC0vVM1WYhAN3mZpJHeA
xDSsZQa772UKAqmBRSlnLMG+EW4KLyO6HFFp2Bob1++M8KBz3JOumVfQIC0Mv+Cwa5fMuxeA5skB
h0eZQfYi+ANuXFuQaBG0NPnIoqNT2PTWIh/PtmMTPbMdSJt+G+nQuZ8tv8eOTY+lG8VMgQ0A5rFe
Z+p7OZXmoxs7mMuGq9EMMjHDhRDguLUbYjstTh1etxwK72JSy8BnPlB/bljT6V3VxK9jnBh0tHNz
Uklm7fveab8ExeklKuFxEoJ1Q1AtHZzfMnNZnHLRyDiu7TvSr9PhNBqDwQBnZmJfoEG+U64z3VZY
7wwB+QNpM348A2OeuTj0DNHWmPXyIv1mkyEcrMze09TotfEAZAmLX5BO7VaLAYNSMD+ZfUJIytSL
1TgDc4fayVhsF+aG+71pSQKPZEr763lsP/HUCf/RDHP5OBAevy7jkNHAMBMIierBys+sxVvCJBOK
udEyxGWe1RahhL1TUUHspYnFtUpB/IzEX+0JuK12Eld2vrYav1+3SGC2MxgnCuhYbskQNlbObCr6
ULovdCx6DcnXf+Coqxt6gWaXBYV5SiwnOjG0CU/ELxLRFFdm8U12VvtcBwgnlLYCb533BnKdVswQ
Nu3x1hnM4EcSpP4OrJTaot2HjmFDFimmodnaou78Fcfd3c1KjxCyyAb8zLnsV5Tn45qwPURbbA0e
zWDQdwyZhxtPt/22cEWEtDkttp0B/sqmceILdc5j2pUN7gSmt0kjUi7ppgzinWbFPYHDdv1vHr9k
bYwFu5gQKrwXAcm3k4w4rGyaftoqic8Kyh+wDRx7rnQxc+Dt9N/Z5MxQNBHjHu1rIkutl3SWuQMi
uGfCjFKfPCESXOxrmgtDB1APuOImIgmXvBeEosazx5goWLnGEggzEg0TSQ/o4chxPA7X7JjSKtLb
BI3FDcNdjp7bxzPpYouWakh3xWR72aoKY/cL0hXuXLGE1MxaVrdRsVTTkjQwmOLE2ThLsI0diuXu
Spe8m4R91bBHs4GvGhGOfggq2FP7IK/9Y941L1Gq5+/BMI/bWLfuMVqCdRBUoVGTS9wOT0L9Plwz
eGS45PGU12ye/JrTw1aHzJ66Jb6nigOqXQ9s4hI3tCT84HZwj+M194eSE/qBdc0Dmq7ZQGQcDcf6
mhjEuAOtXLYECXnXTKFBEC+EkUE/+M1gIU645g9hgC4u0Fskpo0wZS53zSpqWFQR94Vm5s7ncXBT
pkRmQ/gsylcWaepR9E4HJwBazDlWaPwN1SH3DxblPx7S+jlgBYd1vBfuhugrdetzjUbbZnEOEKvV
nLWNh1vYmunV4jAg4stCbNFD0JSEAfF45uHL/Df/ypIOg4K4mhUQd/n3rZgK4xs0X+wMo8LZYF9N
DsHV8JBIgA6kyeGDaGZHnabS0mTDpQxHFr+E1eGcYK62mQ3fION88VWYV4sFCVruTRoN2S7QQ/Pk
OTVmjBi72wN5uvZbPZTiMZjG0jq0TZvcu64rMcJNXV6s7SBtP2omwMQ1gEr09s3iAgGukn+mKlLW
yrPG4dzhxMGcZGmP2Fhy6EjaQslxMRjN5xtvAHOJB6IbfvF8jx5ZHDBVD/z2wzciPoJY1fkWY7qz
yyYnOzY5UAqlcbXwbBiP2eJ0AbVo8Q8uOp7z3OQ5Gm9meSR9rvqZtJfoapfJPJwz1tVEE0z2Yqhp
8dYgYkePgYO5v+lC37+etgNZCDcl22hkY0yV7MEKtm3qf9F+6o0O6bJzNTqvuCTkMWPZfB85Kblf
Tvllq8X2E3m5cxkNeZvFPPpnr7hNpjDGCVQfo4BG1veMcY1Ax9iEZiVhrbnZ3eTVZNeweOYH5tG+
VNzoUDIXQxKUZnNt2729KdMJV0LDP0RoGh/ZYmhq4EDduB7RweuWKL531yMUZFhMULnjBZsGrOR+
qUu+F4tZiqvUc9YA7vBQuVc/FZlk6W1bD4xDeZ02N0642LM8J8WHZbVz4G77yQCAjG0jcnYT0AJC
57FyvPpZ11VbtRi9oCnj+Zqu/i/QDHjBsqsvrLt6xMI00GgxmLLv5dVF1i+GMrFYyxBVcLrST8PN
hothuvnjZPpP+Rh7++zqTXPcBhtL1ab0uVf3GgJy+xLnFSaMLq0/psXm1i2GNxxgnK/46oMziNf5
cDxV8juxydmLYY4BL26MYLHRhQqYScvjjLtosdklV8cddRfuuyLsEBXRMOSfCKTxOlv+xpssB8dU
FslThmeIaGOiWJBq4l5L133Bpm1r1Kp81Cng6npBWLs+MOvxyrX2r4xr2FLGrm8ZvUaal7UXeufU
q1Nsetxit8uCxNsg4Ue4r+npaTRLF3/NAtaOESJ+4WxR38NISaBWjA5PiPf1UmB6NjT6BdI9XXnd
zYLuDq8U72gBendXtjftI1Tk0ZgDBCJZNhAZMXtypa9U8OZKCKc8ad7sbOGGD87CEAdnOD5w10IW
Z58AZTxagONDBhMBtqyo1CFXHM/NqOM05tXqUn/VhRM+jSMA8/rKMncXrHnY5AS9pZEjydT2i+zM
DARAEY92oi2qcHxt7Eg9YtYKPlQckp9yTTHKRQ4C1IoXHmSgqr1qGwTWDJoJREqtmVeGIkhtL5bU
JBv2a3kKl1SlpA/kr6gyXbHGHG0eZZgRwkRAocHotYdrMfaAALobP5xshMT/aev+J7KAJQT+T9u6
p2t6/PqzqaH3/4Ml4Y8f/aO5C8K/LHTBwEfatOgC/q67c/7iLO0LJv6/9X1/yK0cSIYgiJBCOsh8
Fqr/f8kF0GjRO3oQBLl78BK4/45cgNLt9yEGSjDPZIyBywFQlflbd8csmYzPTNSHcUB4BS0+d/S6
qqgd00rJHRNeF25VkoUPESg74gBhNN5pf6w3Q4GnctM4vfWcxcJ589t0uge8Vj0NrR9/MDYBMsgU
VR4CPXsH2TjQ1JY0+xthAJFh1F+Pa73IdzedgQtxBcwiYvhdGOldbtXkhBeoKk79rAq1VZGgQmym
SVvUz8jNN/OQVb/assfVHkSTu8uN1r2k8PzvQfdSv9bjYGxNZTiEdKGZwpvn4fI0nNSG88QgEs3D
5J/BH8Zy3dmYifvScU4abTOFpzArSiFF/FvJH7VRZdz95FNYgjZuRZoti5jWIRNUAZkJ/GLaEq/p
HAkK9VFKkNuZA1LR3kGYSPG29A3lL8EJP+BXGu/xCCKYtGYR/5hRhSKphvXwJmcj4Pfyl725qE/f
Km3mj/Sz4308ivQC57l6li0rkq5thukGt3HibVzeobwd0iAEEVgWwPNNa3H3wSIMH8acv0tBvM9B
78TI1E1HxCjEszFADTDLDytB5BsXNXGTbIZMaxNHDFI3dEf1LmAZtPLIvRllKS+5paJ7jF/QhTIE
KIeW4wfoVcH59YXaz2mqb9M+sndjOrAGZPNTP1mWCh8Ml6slIx91zYLdO5RWUtKosQaJSTk+iomz
w8SX4rcPalDcajCeZhcomB9k1om3gV6rIu/djYDh0R5mo+z4zpYDP1eo73ou1XtDHOSbNIHiQM9W
hCJ4idf+sIwy3DZwPfxVqKfoYZQJRdrkRk92I5IHkPmI+ekvjGjtDc6HHfOSWnHlefamSw39Gc7g
yPLWim6ldIKFP20mbB+zShzgkHXzkaQle9qLuDdu7Xixs2s7QJdnjmHF5JvNSke4XO4RuKthhaH+
8fLbFOH9vUTJ5azoMf2Xyprcc9oapiafr3ANPBqgAmdv7VuUukgWJhbdKyPLtMQowIEA0eGJOnxX
DFfIPo5QSKYSNAnnZ4k0diOnV3obEvuxSxprtvtDXDcGHg0E8OaxUGoSb7ZsI1TD/K9ZVVw+30gH
NJ4m3bRrO49hCJXDjRi69i1V5R2L8eS26EvkgYAkEBOubKesXePEKyuoNoFdmC8effhOzEvi3dzN
27iZ8p2JwgVaJT2bmgmZEp2NGyRK6zPkKIU+o3vE1p1uBAnvIKUzG2pfzjX06vtx4h+4vY1nGH3x
njpqbpYVFVZ2RrByg7ud6K18JMygs9sE7jh/A+ASQTL90Nv9ZupGrFWhmR1Z9HobirfHeg5vu6wl
mosWaR2F9XjSIuu3wSiKrQsGmgCEca8N1/jhMSJQRdyw9IBbGVqAsYWNgEiyWG6n8QmDa7IJEr1n
U+i9Wk1DDGvfky049fVFhyZvfMdesb/htLUR/k+XFTM2TPYU0k92MYC0NvOqG+rj9icV0B1dePzO
qBiSm1bFE/6X8JINNTkjObsUt2iHe9hf8J1YWVE2I4ty/ZlOM5z2hcvyOEVxvSOByqIQ4qesnFWy
aBr6oTyc3+uYacNUBJdZNmf4jfFa2kxH4Lc2exWzDMl8wzw3TYw/FT8F2IP6O0252lfCCrcinuJd
3XQZZY1HrJdlq8Nc1xQhw4CTuBQWSRTTsOqD5GNJvN2gdhLrPJiqDWFfYP/Y2L4xsNIHGrnuBWdC
x4WhjX3SjL/6xgdOmWbTtmugnA6wYD6c3MMEe8XN+JnLtAeMvnnsfcJkD07pejeVEnIXRRTrZGXU
AuN07p4oXVksGUbw0Ms02guMGBs2HGLfYfPgqvDn4A4RAbKiAehntg2V6B6jVsWvkfK4Zb0y3iLV
SxF3hep7VUO5XM1gEb7JoCh3Ftu4JTgi3JVtF+3reZDvUsfmW9QkxrYbcInXuprvCKkCgKl0cyid
Mnxw+BfnFjLspQ2T1wCLm7m2IqgMLAP9u8aOrXGFhiu3Tt6YJbdRXoZw2CqI6kUn+mCNOxc1mvIF
k0VNOLrXgWIabMu5c5jBreYyRSaBuUvsA5Kh94EM8pPRJFBzUb+heOqN106a7RtXXKUQuGp5Y+Il
9wGOPYxzZ945WV5twm7ZWBRcBq7emaPdrkcrdQ82UIvVwG7/2MRB9tNp3fJnj1qMWDwwa+uhi7XH
e9CHqhjwxl5nk/I2vieslzrth8c0ysMfY9gnWxBq4a2K7Q8j6n9RXiffWBKhzpgqE+mA91K5nnHm
nsrX0MGH1WDxnJsnFb8kjbsfIQnScn+FNuyFucYiNMczoz0xfZvw+Gy6orY3QUByJ3l8q8Exj3k6
kkhv2fJnEiNWyDMDZ3LoZIfBBuK4RrINEtKPrfuiZaibtzoHg+nfVQlJ2OXM5HVxwkwr/BkCn3na
aLltrXKGwr6gw8v2R5+lz0hpKKWoL8TsWCvtDMUhsDJiMmPTVtibeLgyElyKGRWuO7dhXMlbbptW
sfi08/zZsP1642hlfqR2IA4IuYOfjdU89oP1K2Z3jvIFzqURvFeFZW6QYAkEE2ZwiibIFhJ+1Ipm
971OkDzMUX/SFfzDPJUSL48ivTAZME2NU3l0Bnn0JijCmW+9CD3ltwXXPOxK39ohT4/2dsYwX5rZ
HkamPNXdCMUgbZdADbI/Bm/dp9n8A3m9iwOUMTr8qWG9MA/yVVw6jOwm6M2eX3f4OdtyN/awMRoj
/IoT+xuT0fjdpCW/OFFQrEtk3MrquK68r9IuraOYezbHqZA3EpzgTa/sn0GpUZ5ZP9owVym20UKu
LTh+hxBzzaplyLgVilHWEMJroGIJHi0iN8mk0NAqqR4vdhXE94TinRpOel00e5Gad4yW2bwHkkvU
CpPNlI6Es1qZdefI7GXMpf8YE20BlA/OGiaDCmodYA4k+wj2Mb94cAdXLq90ZmEtfjp/fu0yQQif
u1NWdWE6B5xbRzckk//yRHJQNsq41DAvjAcvi2KzSEmMalrsi7L8aArW6HM7PjOcvSfh4cIU7Ey1
Jtb84on7PoaqAPaOGrBPCAvlNveuGVSeg8NsNQaud1tlIcDXUlXr1G8AJDBOZZFQzvd2g23+P43f
/6Txs2mv/tSBfv5E9/BZ/fj7fd4fP/S3ls+jR8ONQcfnmgywTdZ2f2z0Amjzkemxm0OPgomabvBv
PV/0F6QH0NAiFyeMw6b8v3q+4C8hgCCLFiVwAzPgX/0bHPpl//2PODQMPiZLswj4k400/R+XZpXZ
Z02Z5vMhSCxvhrXiVrfJmEwvJVPNdZJ43r/Y0/2+QIzAT0GmMj2YGk74T3S/rohSVhD+dBjHrHkw
jWFY+77+V0y/33eBfArN1NIQez4b+d/XlJ3XmoPy0vEwdZCmtT2qB0Q1PLOY4mxNQ6NWbBu9AfZi
PLYajP2fr94J4vun48qy1Y5CFBYo+c1rp/13y0g6AkQnU9CBAcIiuhs1yURFgNx+cL0QX2PanPCY
AtubmBJZKxk7MU58KQyeAEjGn5BfISTidT6dGYPR1iagdwGP63wHPZj/tqgnmiuHjOsBV2qGSNmL
W6w+XThNv3AS5o9OFuYoVEOAn9hfWMX46kRYtPoWY93ex0N5rZwsCCoLJ4CUNTuYD6aC8uY7trxr
dG492+Mw3vPIj0/ab+UnsDxkPExSp19gs+Yd8WXDa9Gz0WkzVPmxRfXVxALnll48BGls1h+pmOS7
lZj8oEbQe9sqVBEIKOLHaAho4YZWmvWRQ7UQDS0Ke+iGruvsefPyNc2gtVm4CZt37RRuyMlLL56a
F38CbHJm6mgXZSCah7oY8IMPAdvarMPf2frpfJ4RJR9is9QbJyatKe9t9dCWXXya+2BEXGPRk3QE
1FpON7xmZjm8qmz2nzg7sFZa095WNkKlHnv11wTzZp2grl0LXU0vaRfX7+zNODNKVubB1xH3kEZI
4XRVdOuzYzzgfZ1+6V5Cl234Eeza7ZuPl/Y2HhP3qJLOeu6LuX3LOl3dEuUd3ZZlyBFBfwgyyS01
BbDfz+jBCoDQLcnia10N9rZWcCKkT7ZxbyWLzBcRjRvzf5PcAnucZPacHNBiEmPj9oqZPLdzaHTT
3ie19QhaSN5NgdRMCjPS50C7N2gvqfmPjBRCwqxQjwVoORHcx/kjUOt85xNqdAe3kayEKBl+5ibT
yarr8h15uiYPDav+EKMaXkl5xfChBn7V4tqQrGFXxP6Gt5E25F2Me2vtG8q7GIk5rF0idLa+m0Wr
LmImAD6VS/FqDrFyMS3NlntJXM5EPEQhXnY5kWrN5HZTQED9pbFSfwYFeRnMZ7Ns0+ENqcjHieNH
H0Tzl8dO5Vwhfn+xQSnuoaejFGxUvmPX3v0wKYSe2TrpTZoU8w4CJquFhPOIG45DvVyiRTUOPyd2
x7uZTCIAaDNnwvVrui6L65+Zr3wvEmRTRZu/a/CZp1QgUUzCX2YfmcNKkEVO9x+XNrYw78O0Jxx2
cdy/JjbX5srG/AE6v8Yw4BYfpNQPPzsXxjT0Ty7K0SZnKOVE+YHR7ci/khdZOu4l6rR36afYeq5E
K997aq4Po3O5WherDK1E/eGU3nSTOYb3NIZTKBkZhKT8Vrr+TMKgrdYCaTfcDPwy1y8XptwE8K6M
x3GSFQFN8AHOGuLUm2wNdhXkS4QrMrXAgcMpOI1FBkhUm+LQ1fBV1iMDqb03iuZL4mzmNJW4q4mS
CNU3S6B5yswJeD0YFHXX+XYS2m+IvPC3vA81COov0fTuu7BA4SeHwZkr9yC62aiYnZCfdKaFir2T
TpzefXTyiUhwQhpekHB1a2zLlKYW8QcbHBn+juvQw5li29RV9djxaOqru75mU9VxhZ1cI7/vzBYS
hlk8Gl5/55ayJHM98B7mZhG9BaNzR6DuU+zF4FuVs0HNmRwSe06PpZ2/IEC0tqxB+m3vom8My37r
Dv0PMPnlETbb10R+7jGd/WRVWb28rdm7bMm3G9dtnHQ/LNGqbSLam7FT8Y4dtHUa5zzaEJEYrAuE
wpC7E3Hnzu50JlF9mNYMDU5+Fp6MHMCGKFQ1r2QUqyN+XdbRxuiuyTbziNzL2TqWRfErkTjrCTBH
Ody3LkHrbvU4wZfZ2qUR3WRpIulAM73zU25YlZXWjZjicdtHYXKcJ06kbQ3m0ayM4VAG9bSWnRPC
wTIwtC9YgwGM2z41A7m2jdK80Z6IDn1iPTHFjXY+IpZbq4qcYmtz7L9aqTWjNxUZM9B+ziHL9G44
2FIEO7y8HxUM0tu+tcl6tM3+mOjIooGLcEV68WI7j9svp9b9PkFBDYKJwPrdAEtuBVSlA0ftq0cm
6Raq6rzdJUOPbzfNyROIwvEj9AZW3E4+3lRjgoS2yPP3COhpsPZHf9pHYhB6HfjYdCD9pOtgcB0U
X456oDpDnbvon4+S5yspZzxEGAblkhA6yX11Zv4CyJ62E42OaR/tUcJMS1Puqnab4CUiM4wrcOos
7yT9ZnyZod/jZSOvK2wrTB0bZzDqE7O++VMWpne0p3J+lpmsE3aQ0WGcvehY9vF0L3Jn3gw47045
UgCovUXJ5U5LXIBP2bYuCp6gdXOKg8lCDNtohrky3CljKLdGVMwrDaluw/wv+xb4sDJDc9KoSZbh
TDQYO0QgNRiJ8qGwDN7lwtRHIZzRWbnDsEmIq3stwsTaM4i1tr5Tp8dwGNmN6dg911HtAugmOKHs
SFCw1DydwNkQq8BGlogFrP3lT5fYhXTJX4iuUQzuNZahYGS7Kd00X+D/1lGmZaDWgr7lplhSHXrW
cvSy3hL2YONqvSGVgpkrkHjzpyxLYmVBcPkj7h5zOM6oAlD+Gs0ePrAH8LgXAlERQRQuCMWv0sn8
xcqGHSNZWcB3vPdoMM2DTnMYeWzMW2ZJI4k4Cxv9e51ZuNUKvdQFUj2MIxmUvoIpvg3RBNwgfFl6
3CnIAi6/Mj02ztDcRqoFoU9oDQEDxHGKw4jGpAVGUnuXyY7FgbZZfreZ7tLxSUagnBuiLpcSKcsc
3kOFNR/wvyFDsZEBh5XsfmAJ0mDytU2uipkvhkvJU/hXVRThRk5G/CjzYLkHcsqEIDYlQQVeT0GU
CggyqfQusxDGowFNkK8rnHTXs2AMNwnOf9wREyBrjANwx2U/S/LeOUnWzNt56qkK/1p8Kaabz5kF
PprAkSzc2OBBqJNLvGyMLSZ7SxnqP40sRdvVUjBWWxspwgZjQXF0gB3eFs08H1yz1Zuyxp4MEB9L
aYnuNt6kXsvLPSpr47FKov5VkMNwSUoqDaKL5V0yX/+K6P+yd17bcRvZGn4izEIG6rYzuxlEiiJF
3mBRgcioQiHj6c+H9gSR8kjHvp4rj8e20AAKVXv/+w/1Z4RNlKXw45dNmXDNVxz6wSJFQHmCe7v1
gW2w+uaQUNNvjNjvObV7tkrscqIV2SYcaotKL8GQ5iFJEWQiaTUgMZ/Zr3HpTycTZf0WZGrYxDFn
uaTYekJnTSzltJS/wpdPQTsWF3bDLTixa92jsppew0mBvcyR3FZZKlZWOjTkSCw4z0rit36RM+K9
/XUT8Sd2zUz6/cCmX8ISgR3obW/G1DiXcWy0h9iw62Mk2Awph4NqXSOQv8VGlvIeYGnT82Kem0mH
2JZWPOyu9X7X0Fg/kYmhfS6/xME6mJ/znrLdSWK+iGNsDyTRNwkqpM67CfzW3saEsRwnl4IwETzZ
NmZIFcSyhIHlOYe5lc+obFiYFXSdxmFYVQ2q/tx1rnvTI/H/NFBx737z4GiO3zW1kOosZ7Gk8PAg
fv9jmXnkQW84zcEglQTwsvI/Tqj0mIdlUHI6Vh1HEQvMAkS9z9sm3JicU8e8GuVLpqibA5ci6Nc/
6txyvu204aLYeI7zo4I/sbXvatZIGjcHMlJr5lPCiTYNFhD4whhoCnWXbNia5+3kkOFEYBQVVMZI
cR8ky2fq9vldNrj10Sn8+dBFnvwG5yG4DVGgbkVbz4fI0BLrgNYzNr/+5d6fLMTAwZjVdGiqMcFb
Aux/ZNZi9eOogqnQYaw50yDWqGxbl7hfyGlkd0qrYSOY17729kQsR+gwkLHslzBTjwOTm21KrMbW
YM656VQpr3ptu0+9UtUVqGl+MpmqPiOhTcYrFQMBnnSShBcRKRAbSA7zLkWSuy/ZSg6xSL0b0yKq
BqYE9WpRiksKyHlXIVc8uQnVvK67YSOXHYZJtXHXx9r/aHjB9FqGsemt7Mp1oW427LG+61P3DrJg
escGlkSopVc0y/QlhFEaxGAsK0THJTvxuVaHRF/fEqqw7CliKdtzCnpIsg2oYOp/dJ1cbe0xQj6L
IOEyQ3S46y0gh7hP+od4Npg5Cs8unpmR5/6xLeYAlko0xDykFB2VMTbtuPXiPMHfWREBRwA3Bk74
hnl2yzR7ww1V9oOMXNJaakL8LgJ/LuIL2EbpBtsn/o+Igj7amFje+esIaDfsVx4V94n8g+ZbUDiY
z7kDNb02E/SYjA6447gS8PzYhEkgGinlg9EiKHuiyKedNg9032yxZBA/mhmtJoEt3rrxDCwASqHm
q1HTuIWJq75MWZfvdApAjbaY7ykfWJFzS0ORVH730KbFc6DpH+fRUk/hUDhEEE5pT1PJsxM5PsbH
eebhc+gYdzqznbNg4zbHsmofoe2u1nAIC8S7oXwBQ5cvLnZu1PsF1k18tvnOQe/0gU40vJzIG4cc
TdPvFxWzcxKaH6HsYBA+shu1S29XJaLABK5lVOvOBULkqRg60O4YqXaT0bVUgYPyOg1uS0d3D6bV
2Vu7suWL1+h0T4jEdFIW3fNGVzMnQCutBmoRgFJdF+q6hXnGF+yym7RRFW6csKUzilwoZGvpzXwj
jdlVTOks/iGm3vVXucTthSUy1YbucOXhjXdAeV4fa1WDykHXxbNQLEdogsHvzpvQAxWlXX/G2y68
tAZgFohx4jK2lD6mU1Bd+swt9poDdE8GlbeWYdU/hAgFVu0wpXukqxTDIe1myWjwEDBL/BQyuXol
byuet2k4qyeoGB/6MVBf2q6l3TY9PLQqt1mVQ7JYovKHVsZSOC+/ekTwa2F4K1kYsljeAeldF9by
qY7L/m4SO79RgCXPXj12u1GTLrPKzMHeotwFGVma13Q0aeCT0a1vTcT9wxoFLst2OYtVFZMGAdYz
QfgD9F+KXnAdx+dRLaCELILpNMf+dDX2oGvnZWgvNG+Wd20exs6YrtwYxMNppvr2jPhg3Ye/Ao60
zNdBTvDBLi4KvAmweaGgKkKCDruIbMgzPGDgW/WldWs6WwBHHv0C5M1pOO1yBSCEicEroojpauZz
wxwXp+xoRSxgsQ5xztiaKK3vauWOEEhRH9KnUJJ1EpVi3RH0llQtrzgemI+PM3eEzRsZjfgzUvVD
tr4nFyMB/stNb606Q26hsQFnqBh+TlXyxcRj6d3YBPt8pOAxNcBX3zy2GSGg7GF5/XmGX0g6TTvU
X2OG9ngOttOnyuAzj2xdXBgLuIJVKdsaHX10PCM1OA3BP6DU0OtqTvmTShuwp57Z4hyLy5/xm/Mh
OeZgt5UkFISUxO8m3hSUy8HCgShKiqW6MbFAPC9NrOl3ygUaqha/BtMqEH1JhPk1+a2XYdvUn6UF
hmY1MZhat9TKA2aS6P/otAj3JetPY13yTRZCPo8xxY42oZwMAfusHBIeYQKL+qtZObyQPEdKQaIF
UA6jyAOEdHG5rOdaL9twE8nmRDgYiKRIA2reXPOfc4jin4+e6j5ZUG/qkuUUoEF7tkKWhDt3zPzq
SL6QNBbfBB0qENSzrJ/cpQFgJ8LajdshIbq4OJe3Ibb+uziv8rsSPv1udjkm/cCy789ng4U0+Ljk
uiJzZjVlC4jaY+N8E8QGHGK8R5iWCsoQLFnse1L4+rUoXfAzrMlxHOLFJ36Git/HwTXteJECgPhi
Kszqcsau/NKz+XBIxMSUnfLwqWkGrXZ6lhTng8Vu5sb9wzRQJqscfM6UhX1vlIyQI/axz5JAp6fE
xxYW/MJfnyHBvgW0DG0VHeMqGTbZSPnZsJsoLAYR8ZIowwqRI8VJS7Nzti5s8eM41IhyK7wqe/kM
QRSAegAzhnxEq9BSODt+PWxswOVFE8/iOW+z4yISADmaThqnpke6+gnLdnsJWSibERRKO/jPANp8
gpo8Hwys9aZ1D+X/JsCzYI/qlNxu4XBq+b2ix3NYawYm8uMAXobjIHpAxs31cVAFIOKyVTomD0Xn
Tn4zhzZkM1KzQb3QtDp4l9B2AZnwTWrQ6aoNpisEXNa9UwfddwLsxn3LT18xcuXDJYOe8rKQ6ktT
akqOminpRVbxkaUK6pYdVM997/HU5gC3Gij5fCo9omIQEHSWVT/Un6lKiMTGN5upH04Vgrql8+DZ
GSab7FBTTkgZUUEy+d70HS98CvP5KreB1M9/e/4wpzLjiDGsDguYgTNVcahcVHM7fhht9NJlwvAS
shcfdEpVGQdLpCzxVvGNq4LZg9GdzlfKn+nIhmDajU3+2rmz9LcYNHJ/C1AcNOrZtelMh6UKmDBD
R1Fgz90eIIE7Hi6CIhsOXeg+zTpOcGejmG0BVLadF3CxXHbhsY2IhDyXq/+THv5GeuigOWXY9t/N
AB/ThkKiSasfZ5X//K/+pT30/wHz04ZsaiOWXeJj/j2rFDZjR6R/QriM7RaK6r+HlW5A5IxDa2Px
T+wgcPgZ//Szcm0mnE5AbDXMVboHfuHfHla6BMrAdHWws1x4sJb/XrRsW2aSd17in0iE1AfNiPKD
Z1X6ME8TccGtJqP6hwf04WeV9Nvp6B8XxCHchJ6KsNA/qyF/mOLh+2QrW5XeCRZ6uLF6zjp4FrA2
i3CxX26s619fj4Gv+k+P+M/ruXRYBPg45P28498ioJsRVwTuiXQA/yUTXMDJ2OUbjy3q15d629Cf
L8Wr5l17ns8Q+f3gVycDIeK55Z7ycvBe0iDTB69dxlmg9NZ1O8/iIchhR2hYqne/vvSf3CUrCePJ
MDQRGFjLU//hqQ513k8YNrqnxibCtgqJFVwRo4CzEIEY5W/mze+a1/ONsgItYYMJU7Yt38iPVxsx
/Sth97mnQaKrWAVK0/YMmUnKWN8GhBFXTqaSYzmO5CtPOumbz64lGYyNBT4Zps0076/evs90GjpA
yAwf54R33XRmJVFXkJtxCgeX2z1nIZvLNOhvXstCRuigf7dYOO8WVIycp0igup6cZsD2yTWWiroc
77rM/l202fIc365dKO34CXhegNKe+f7b55y2eID4kpQMzNRfG3vJVmb28Ju3+fPS4SK+jT8ef2WX
evcyAe/cgFLLxTiDjOks7DlIQljNa2vOKfd//aIWiv9Pt+QwxbIh5fMIw3dvKowcq59h6J4yzH8J
Wum5JoKNxv8jEDqsc+8F5hsfaSrGuylpnQvQSOfiNz/jLZdgWcFQR9j2zOVTdaGFvH2ykQ0fMqLM
PI1YWR5xpLKMFY6hITVNwwqtBRF2eW5rf0WoEsr+88frEUi/ZwfRh1//mj97A4zfBU4HvOngvUQg
Z04zlrni4+2j8Q5B+rA658m7SovtX78UoYYwHSDHOD/lMpLloqUOaueUejxevJP4ZI1iZKsPl4Tx
X1/s7VbP9u1ia2QGwuVkOdNT3j5klbQSTrQyjtFERgCeZlo9VU6BuSEJWR/6amJ3+PUV32OqXBJY
FxaM759f8HtvCoXPGqIoFPNmRE9FwDy0XuSH4x282PEuZXS8MFJnXKDDzL4HOhTbEgjjFGBtOGwI
K4aCW3P8nXeQ1s0V+VGzTZR9lBiztUkt+buHhDvHm0/C4+CHxLnITYSJGoWj8e1jQs2U0chiDNMU
ZrkzZ1ocmfoG5oZN3uE4WE5jvC7IlpbEf2dq8rcWf9it1kZxDgXnN5Kty4uMPAajGNy130Y7Z+nS
LPFd2bXBzovpLOIKz2LGj8WhcF/qJBzvsCPUB2Co9ps2fecCgWOuSR8GKhpsQPy2D+QpjF3nqDMe
4Iqk8OkDLoqGZoxli4cWmWS2TpiiWjSZHn90g1KOdkgkfr4udBo5KEZTAl6KquYaIU/6rGKpa6BR
pmMY+BBfp6xrMrRZIcoFyVpUufPeiGbh00w48kQCV6mXyXqVHNG5t99yUpyeAlXZ6lha6XRnhVQt
BpBeT3NJlN2zNQleWTA7fo7DWzhEDyihWXtt7r/kCHLQMxMb/TJhYP4N1e5yQtNAvJS0hV/VHNmH
vg7qO+3jFsP8rF4HaeyizMEDzFvc7ThhrIlmBaxGntyFi+FGubF2RpcnGqXRA744dH2O05Da1IYY
PIGJw4nh+TDzC+7IEp8fbHyTvynh8p5KmC4PFsylb3kZA775DgGncxNBPMH9TzxAd+HfwgUH5UxU
8aegE7fu55bn5nYmyZbnU67ipN6pBnU10XOJBtt1mbwRzL3wUrBXdqdVWU1zcEyWwsTIAEugTYtL
M7PHO7xWiCMtTAM7Mg9m7DUuvKwa0qK9l8DPeZpTlql23csQw/LehPl0VMt+afRB3eyZDNbF3obh
TFKSF+Ql2hDORV8mfH/SjEn9KufQuk6MsuBVemUbriMZ0qIxpOS8afMoYi5WOazlPjPEQ8OomNTU
lnHciA0ifM6Qs6hFjD/upoJzmUw6xFtM0mMoSUExM/FNS+8FzYz34idIZYjY1KLYeJOlP8bObB/m
mejxjR377nPV9wio53S6QoJEJlIzSlzQiBkKd1ZqAvcVsidvhYiKVQOEC0Volh0ocOTfk3KQIm70
Q5LgAi9b7JxD88QYlnSCMhcCbU7jrEcPQ6apmqf7HLIiYdkQiI85fTSVkZ/DLzeb6ral5SO1O+rK
79LT7WtIM3jh4YZ6TeYTvHcy26Gsdjk703ou2LgGU2HRhjWX+uwjVml22HP4X8c5sEANKvhbDdFW
OyiCASkunSImPJPVvscq+lpkvYXsbG6S5xgeC8kKrbqa/ISI42qKTpjSBfU+bAb/SaVlu5sqNT/7
8SCPkINIdx8Hd34GqEdn7tkETFo9rzGMPLQO+VA9Z0w3WxptwsJzUwf7pRhl4jPWDXxgXRrbmhpw
0Y+UO8JCcCpMEHBUEvSgy7Hlq/IaRbSGHD153fQ9iuWwTYzUuJ2ELD/Dx3CxaiDADjo+UiuMHQh2
1y9BiyQpTGdjEzFFXqMjsHYl3hGZDo1rd0xMtn8nknKVa3TWwESFI0lVr7FJhF3vB0TyLm9eDZdU
uuHBdqzJ21RpP6zcKOJCWPpEGyLZmdaT3Ax/uKHhlpMB/UN2n1Tu14pYsWbH7AtnuMT8WgSN/Izm
H5m1sMZdY0TOBiNwE4urtrzlVJoRPrC9X/pujUdVbPJGMS3KLmUgqg9m26kPRdOyqA3YH+3LFLXW
tWFnfBINzlbjVipyt07+GFFg2w68lzW7bfst1ujo13IWFp4bM0vWJLnhQQcdCqywGz1zu/iw452G
iXu/woqimBkJGPIpstzxQzHWxjqYiMptG8F5HHZeBLHaduVJ6mL506xRNfs8bdmC2I0pzJRktx3p
o5omo4Tz+xl9iXL59DvwwoM7ooA7eFaOkEOxbNcyQHAD4a4qnmzsCqnnEgxkLEfakm8+aeBue1kS
qtdJ9e6q6XHl3hZB2zAWdofvZTjU8drLDe9R+JG40IloDjA1AR3ho2DcVjCB/NL0LWNGz9l6bhrH
a5Q1dfO5mNFpfESJR9BJiFXcdY8Qc+0Xab5NhgH/PjKldxNUgU+ziEvSiQJ3+NR7urxjAvhqF/Pn
EVecm7y12wP7KsCkLVAxuJ2yv8VtEn+DHzB8RD3Mm+OLZ4DX57FYuTF6TFh3KfEzddEER/DSBvX7
UJBM0xBNjQtmh6HIoRWjeXJrOV3VDb4hPqoYY6Vhe2G2zFvI1hQ74sGo+hGxpNUWzIa0CylhLm5q
y+3uyjSs15pByVe3N4qtbGfnixQ+OYG+wn2EgDdiO5vQQTSULI573YyrW1kXbBe4riHiCd0jGZBf
ImUMH4c2zm+trkOvlMbecz74ebzWRSI4KwHxVzW5HtcCN9YrPaIaNUBT/VXSx82LnaJ+IShbbLG4
606QeI1o5bZgdXuLLW9nUMz2mxFKcYQrRRSMu6SonHs/V+rQV878ERAvujSnbr7FPFuuBA5vT12B
t8LWbBo3PY7Eb0HpkKaB2jAawvzaH82B8LqkYx5NWOBlFszyk5ky3l8TRVLixmIEZn7oWDzXAyf8
q9XXzVWnVL8fOQhPZDNDgFEigXcBdO5cJGxu+9yNrHStqCwMRoxBfxvb/eCQPhShe2/Y8p7yscW8
ciq8yzEFeCV7dBLtGn09OLRd6i5ak0lvXwFngvdNokblFRaBy4ZoDd+l7XcReUug63DT3AvXrfHz
XmbPTRekd01p1Z86uCIPmHK62x4623rORshBgU/CoJlgFjHOWbBx1BCkawy4k29m2XIOtSZINiLJ
FE4Pj+pDP9OnVExDGXTKKL2xTVBdUw/GlZe2MHpThuW70HDIfaqWCKi6CTxmQ3Yqmn3H2n2NimR8
VKHTfh28KPg2+K2f7kzld8jrCgv6bsZ4CNnWkj+FJpEoKn2OpQoIqIIhHn9osiW0imjF9uico6yk
RCaVjMzIVi4Z9Eg/Sb0yUJds7XMUloip2eNzQJZ5DsvyuiU4K18ytAw36D8n52CtYMnYMs9xW9GS
vFWdQ7gw+TFuE4NENs7sxsKOVA3F2D2MCf6s7v+wUPzT0nb6HRaKiz/4w3/HQh++YwpStW+Q0D/+
m3+pNqx/uLBdMG8F+F9irGnK/6XacP4Bxw7lBcoCUAhU/P9BQtF6gErYIaDB2VqR7vk/SGiAQxsI
qOeFlkkn9VeQ0Ldgi2ejGAEDAWpdwr/pXN/hICGhSzPiX+8Qhk27wpksXGVx7fwGAFmAhf9AOszd
fIt5l89YeJGtwP542+xFXU9WhoyxTs1wR1v1JlOMcIRjXLXIAko/cC4KHJT0RlLfP/3wPj78cZUf
DSqX9/XTxcE7UKbw2AIe9tuLM30qRpz3Ba2BYL4faHhl/UjzVGKReZdZTONjUSpB7Zw6m2ae0u+j
QWW59bXvQPW2aAM6hhxtHxZrpzYI2csRDzRhxo6ZFdCB2kkzIIwpyrsmwELeL4bN37gJID5hQTf3
WEjvnqCpXUWLO4tDjeHNdnTlvCuNErF7MEyfagcWfGTlEKSNkl1xiQd8GgRthCfjRcoBqoRBAFEL
zOPCldnP6M2WoWKPvxAu+AwVw54JcZl2SxU8txAblxHer+/hLeDzxyIIA18Afy24v/2u44dvipgl
wF84ZS9n6LqM+3u8JBcLs19f6T22sCw3IGGGzSHmMKDDb9+4hyIbsxOudKaenJU7rR/WR93CM4B/
8Dto+N1HdF7eQD7MLFjiWGUuK/AHHNq2mqoqjYLrxQhI2FHwzOrivwb3np+fCzBKJwmHD0XSu+cn
NNtFgYn5QUPjwCAme1WOSA95E97/+vGdccB3n6vHDISNadkXftoUstiyxcAaPNiE4l7McHe2iWDN
TBMvboLJslSwTEalbCH2L0wJOPv5xsUQ4i7pqvlUeh5mS9PCwPTp+FeKBnNR4pJ+ExcMfmXBWDZl
bX7qYya0a7wsmJHH2YAu/8yvGBVSBCu0U/LR/OZx8Of08OubdBZnzLf7AmgLMha4dEEIt89Dnvfj
W4vsiODQWY+HIUNzW9J/XQRx1FwYKOdJ42gWSEK+joU2Nl5eYBgAefdQlFkHHUu1MDa0vsajaaA5
rfAt9ivz0bLz9NpDyvkcDGX56NU+yuHB/miBrBERMRQkMvlRcW+bOQkW2Ndu8FUdPyVxZW+qGK1K
Hu+srI+f2c7yg996HjY9tnfoIcScOF0SDvmI8gl75YNRiQkWUFpuE+r1fePI8J4ZS3aRGVm5qcjw
blcoZr8mHDzrssnjC1LF+xtVWEO9wtDQvSxD4IsecspW9Xjz+S7BQX7ny2LdYtV4yLXMH1qEHqgG
GEqXk3HjCYWl/TQtrhZJu43z1tl7kYvLSuYnGCAjft0Ywezeeolj3quuKR8DjLJfFa7q4yonDQVB
ATbosFqk6axklYyfA0CFTVDajI2EYMI9ZePlXAv/hm4fVlOYVmLllOlw0+En96XKCu/FrBsyHQQg
XJR/N3IjvDKqAuPMOI23RqCPxKjyq32r3ua2uBh7o7qWkSLjYkQqAueH6Cz8pvemyi6X54myF69z
R4Q4H8kBh/fSeWI4SEtMP72Eb5RAXYivjIKmiH9qztdWh9BnNfUJrBzOlzXW0QjNCLu66GbXedGR
T7osz6m6aBHxrOugce5zd1dhrLGF5p6vutpxXmSt5Q7ph0F1OyKOQOqmPwEQd2uZjwOvBi8/UJr4
MEzdLkmcWzuCAMne1l+gU4c2jCtciK28/c1BH7DRvqVuJ11cpZGXrA24IthGF92GTFgN3wtXem2a
R2XTSZux666I1Y0/Vll8BTXjOcEX5JC0rXkX4Rm1hfbziGvdi11W1QYbjwz7cx/s04vCnaO1dRmM
3XCsPGhIEu/CNWZTGIlmtbGCtIFtO850bFEdfpZlRUuXycU/Ixb7vBnBeIwwejJUMvFjxmiX2DlJ
qvhHyBVUnJ7F1Q/BhmMIs1HCHkiQhNi46WLf3uumMU4efhGXLQbyMOe96SUbGvO2Sxu0etWE+dEK
pz5FBqG5gGuNVZ+myXLpdcbiYDkEjhHjae19Y5IEXoranvNua2MzuEoC0sfJXYvWo5lVX3Xvxp+z
yOq++UEzfYauPxzLMOwvciIioXQo91KbZJ/VwHgYsaMn6LAyvzGmHNZRMU2xszJxVLcucD3C1nRj
1Ri0l2aMFwVZcp/c3qx2zGqSCxMB2tYtEAJkU4eXkdOle8uvidUcQRAqup2VJ/nbrOpyvErQEB6F
guLBjGwiOgCW8ZkcFWWIyXp8L+S1OeHZECmKghlMaqUXdpSyy3CTxpwcZ7o+ehn0qz3EOe5YH4OF
gQ03KN8QRwIFrjWbx1kM7o3Nh3pNekfdbfKohTFnKtl/txaKoijM+QBAqr8mAdYpvkwDqPJtdVnh
PnxvmNQX4M/JDWAZ1cnCDpMLm9+PBXzHCAimRnaINHI0/fwOAz9oyoumgdyFYYOXE3CLB2GX7Fpw
eRe9nVrYuJIwvYsauPHbTCTSocggEmaam6wV5ZdfSCSZAtLjNDnq2gFxOwYL03IamOyufSKxN6CD
EJ01BDakHskNfofDxusce3um87meG9/MgaJFxitlkTOJonmMfRh8nXb4JTmavH3ft0vviYvsqnXQ
d63bPPO2jiBx56wAnGFP7AGu0AFkfrHGyDA6UqtAvMP2fkUdqY89WBxwEMJOauD+IYXMTAAf9Pxs
KtDBUNvYAAllvYf07p1ajeBh4gLJxig4eWf8gvjZU+I9o2zT8QpuX3uHrIr/lccdzFwcbXSQWJ/N
0Ds1OaKroK8l6loblzrqRefkjSYsGjYFS3fOde/U7k7ROl6UuU3scJElO+lEyVZW3T2jSns9tG26
8vLB2wapiSlCJTDDSGIY5+jMkj2PP8i/ajesk0vdlHXPavbaVTtW3bRqYTBttIMDyKWISnAF5Hek
mGBv4ibX42CP5fzHrPN/5J3fNKzMdl1UDP+9Yb16aZqXr2BE39u2+bFt/ed/+c+21Rf/EFhcLyN/
j08D4sqPbatHEwfmHULGWebZ/2lbF24PtB0ICbi/wTuh8v5X22r9w3aYQFMmO/QALoygv0Dg+amX
4Armgllb1MX8uncVt3CoLXNlqAPhia8JPP29EUqAtpAp8g9P50/axz+7km0uY/OA6R7T47dVYkFg
tbtwzcFS+XJKUz0rHOZWWDl2vxnj/tmVuIZwcHmwXbaDt1fCvzaaNT7MBzyVOrzgzJumx67IJyfs
L9/S0kGQY8DlTK719kJ9UKA70LM6TJDx8iJ/JRvzNeOvf+cyXuhaAW/8p3fEYcHgxRsVgpJBbLFB
IsKFZnydj+nfeHSsVYHFBmV8aL0nAsXKLF2ZcEd9VOrL0ezgDksbAnf1l1tLImp9xL8272mx23/3
7IK+RAAvcB8ES88R1U93Uzw+YBvzoPo+3Pz6CS596ps+bLkYU32OAop7qG9vX5RheZJvU6oDOkEU
emDLhyzEbkca6YsZ0samrsb1jZnJX1+KoU+niZEOMTvwxN9e2NcSKQvSwwO6Ifmx0wBCnjDyByP7
LTS0PLCf7pEejF0BDghf9dtLzV3WTSmSsAPpWthcMfXd4oUfffz1k/yTbyvE5uTfV1mYMT906Is9
Sm+gyD8Qk+6dbD0+9CWJqPjW/61H98OV3j26IS8TiZsFC6Topo0/Zi+zhMD///i8zJ9vChAwXHpX
2Ca2HbxbHpKTNCylKg+0b3JDuYcnI6Zy44d5MTsUeGZsLMF8sAYEPJh6cTArmFdw0lfHHlNDH3ON
YNyGY0xngIr+61kDGmRMBkRgWrsuyF+n0IWLNFv9lQqaCGORM7mCAC7UivwrGCKTkZgPNt4Wjndg
+FnSgQj7MQ9sxrpRFj33JezioRw9PA6ZBcqpEvshYz3nwejHqCU73ClQzCE/rJkPtG1SbTvmZtsW
ivPH1sjcoynm4Wsdsctbrc9v9y2ukjGsG8KmpwsMwkRuJ7cgL4LYTfyk+D2GDd2jjLjpvCceTYpY
3aDCl5vWw+oFUVKEBZTVFYJMJ5gHez+C1l6bSNmzGuAM1o5BU8PdYQdJfh6j3jXOIjbuJ2wuSZwC
DzJxX1fonHZtQvbOuheWc3RLCJYZ9PiTZbZyE5ZwlUMBfQ0ff/sxTnrvNMZW9hyHsnjwB8h6deOo
J3oD+zHi3rEdHSxmiKXbzfymnh4mCRTjFseZ+NaZ44CpGAgxHpqByg7GfHlrGGn7HPFoTklWqxu/
y15Ni3faZb79WIbp69gM0cfWZ9A+LFtj0kB6mopFIKzhisd827gnf8hoLe4YvTCjsbhbfF3SPf0j
hqSejyFpgd3ZMY2dEIE3uezXsaNId/Pj6hXvcevakhkPsSs8fPqMAZTxvOyLJnaPsxmFl4nPI8ux
jX4kLjFbz24yrUmKi2Ek2NxSHKT5syB9kVHdIDc0sDS0iP3lzJB3cfVLkfirKwtRmNj4ScRshAGe
2NpWz/wWfz3IGj5yn0uDcMTH0Ki8e6TZ5Sum6/LIPU7bCsuEFXxKZrWZJR6YS0G8x+44W3va9EgU
dL2ehjBJernrRigielQOQXvARCtctHJvNdr4A66MGNYLZT10Ddr3jXLN2Vj3LkfcPJHs1Dqq71Ze
Majkoa0M6uMurLIX8DRjJyq+Iz+QtA2p6Iv9mfk2aNF/nvWc7z3VtcVuMLSd7jIFYWs747xTrzRj
027lj7n1ZRaq+WbPfFsuE1VrUwxe84nZsXqKM6wMzyPtEhUbs360lkdYgCkK/gH+qZXzJrwkzp/r
2K6OpHVUqB8be53r7BX1gMB0x3eO/BCc3OJy2hhTQ4uR4D1yHROpsSVDQ+wzgzfUORx9ncOuRjoR
GDNUqI9Zr7t8k6gx+V4pvFyr3EcMB9UCP3qr+6yaiciWUpZ6ifCrtnDhqiPu3a8NHkKr2mgxEFgy
IHX8ve10sEma8WNV24dW9l+6ZEqPZeWj8YqUf+IoDG6TJU4Yp4hxi/6nv6LtFQsapXaEdIPzYFz4
GFpqPpli3JUwZZBcjBB5yiEnKxaFf7py2oJFza4IK67AEabqMnHjUFSiseerz2nhN30PaOQ02EnO
mt2tHNp+j+VbuVYu922X2UvaGOFNOGTeSwHrF4NG2AsSp5v7jCiV49ixonI21OdO4HtiFtj89RW3
7zUYAq/A38RNW3XD18bQAIwxUZLrxM3DW8vXNcPP4oVMQfRJkEnWuJcuBrsjwhYMQjf0f6BontOF
t5jeaqR7HTvZudLqhK73kOq6DVgam5jdyY0/cGmNqu6QNmGLR4c1fE28CkFcUa1i0ZisYFpxnRY3
jmrlLhmckJeASW9TL3U1rIVTAWeMnbwmKXBVWkSv0SWv0kjAfPNRSZ13XRymnto8tL6bA7tVv6wR
D3rGNdgBjr0eMAG9IoEdA5UE1MjWu85ib9egkoZkpe215wAzExExrvvZl5/wAhJ041G1GU3murCO
hzV5iuzchan1gWTZChJGHMHjrKoj4czlbdOx9xgxu8cg+OjzvuSZC9ntnMyrkfH1KWaXtvlFWCTP
oJOiHpUdgWFNAdvB7PdZIsW+FDEWkjq9cVKn/4xXbnMzjQnBldn8mJrOgPcMHlIh2c57d7a8wwzz
Di0oHvoK5+cPRf4U1Dhb4p7wytQLP782/cT3TPysGR/sUBrbJC7rdWs66sadMDDhWIyXIf0Xw5Pd
yg449HLBaWikSfFQV+y8umLHMcnvvE9NS8n1zCtVf2yyvotvMvlEFv7KzrDK/RHjnNCFsTYxED6U
tufqPUrVlY2Ocli1jchIIi4KNrOMJo/QSzsTsPtiM78gH9kU+MoGkLZyvTAQ+xpQvlBOWuJiULcm
DIuhLleqtD81pV0eh9opj7AXTYU4FK8R0hSAHK1yskF56lEG/mn6o8NHmajZ/8pgiO5qZhgD6t4s
MfZu2pdEP2bCwf3eLqM+POKJI4nl9juHZAVqcd2R5yl08NpMkGYACPPyu8JJEf+EGDfpMFA4hU1C
LzIruD8wnNjXpzDIydH9P/bOrClupE3bf2VizjWhfTmYg6mNYiswxjT2iQKD0b6ltkz9+u9K8Hxt
in4h3vOJ6DCNwSUplcuz3MsghuG69oNkJXJ3jHDhCZN8O7SpwGAWnfEJfIrV/wgLs0AOSJZf6QdI
xMAsH5YYwTVKJW2gprMaK+lN1po/3XDct3lOk0xhuYTaaLqzadRv2DimL5jAGJeWUxsoSQUVsqQu
is6sU5tyd47Uw4hpwt7uxgFCa/xQIOe8DWa7ABEAFRz9fusevVB5wP4AdB70RHNTu/aIL0fpLAeW
a/KYlAFyLYWFnmQZyIjQ0jBOMyBP4S5IKPSjLcX27SZEJ2RLOGfNblR6G/yaxR5fZLBJofKmT5p7
72zr4PiY5P4mDB30EpC5fxth98uSuGNvlntoZew39oyVSTJiuhMK4oSB0PKgHANZZHshrigioaFW
NpUtp0Jaxoo+S9R09+ZNXvGq3Ie8IRUKkt3jRA1fPNYA9wO75w5AxblACHwFhuShLsebWHHMfZxi
6Gj76IIWlCeuBBWFOsdR0xEwqFchy10CoyUIq2NKuVYNwqyu0+bccFXzGZr/XfgfmRakZE1+wUTt
tb/1R05TCwIc1y8wOgdSCpC/Zp/P+npqNygxPlAfj7ZFnxIPeuEM7pxjZ24wADtJ7dnaIdZl4FVJ
M6VZOvBBPef6x+Ph/NP90apGQkmLVr5LyluZNUaIseU+rSr3bJz66rlx8AZbzQMVeyxKXYLtEoh3
vkpzazhoi6SVhersVWsRaKOB9kAoU5+FNtIkyibz7LMW0F+pRu8crHF0gcWAgI4LnH2YEHHGTz72
9ticw8KUJK5bN6jirzRS3Qd4YGjeUBieTlBKD74gfMYBHCtZ3plZlv94ORXrGlzCel4KmgEfj4X1
rtfIu/KIKE2YUh6KUEeTIxmRluP0KvaDT/fFM/qGymierGfHve+ywNgjjIHKFBI4O08gRZeI4dVI
8V/a2r3Ls3Hu80Mb+ACvhGl6dAeD8me/zeClR+TbJx5eaeetO3+2DbyrWHAVChXwXAAr4Bd5lJKO
2MzGft1ke5qJWviAjatufcBiSNAkK7/ABVnlJA/Q16f7j8fYfj/GhCi6O27BmQVXc3Rt9MrdSZRz
ukfhH6hJ6SJwZMRx9KMaCY3p7HnqKjK86A7H37siUt2z0XrzdqCBTQGfXiT2cPQG6ZqWY+igR9MS
TmKRtCf+RskBRuRTF2NWeGrEPYnry93/X736k3q1hZbtH+958zA8/McrMuvwUP367//8n/KhLx7+
rFO//ovfZWqACJhcUqhGY4K6Kay8/y1TWwGMUfAS1B1BOdmo9/z/KnVg/Rclal1mpciqS8jMlN9V
ao8feRS7QzZUSG6gLP6dKrWuhP9xJujbsWwq1KgvId4NtfVoSobBpKpqNN1fKWbi+XNZoVFmbmZy
wW7YDENuq7u8TLJh1ysHcbYe3VXvUcZlW19YDU0/e9caLhoQRRcaCMjX1HSgciNGB2hAmJWRI/Dn
Qq7GkC5Gpo481Jk6uP0OtafFwddg7O0rMFEtuMXEBPCK3OgYYz2ZjwkUDRfGCPLiC54G4YmDXkJH
kpvlXiTWJbITYbyrp7xvsZrtU9pQnxQZjzZFV9eEqaizKcHhdLXI0tuQoel9i3be4v1qeyzNUdHA
rpDWuHCxJLuMEi/iktLK6uq580WmbimbI9O/tlMyRGwmrDn5TJ3qaA/hlgII9wRFwIbgi0XH+1cA
K6RqepE8WSjroTEHrro4WxA/pZ+XGphaF2DJM/xgtDp6SBSWS+TUUCBpm+KhwSCLtDQYQUWflebU
m+kWh9Nl3CANw6vYDlCHlrsUCIght/5SdP5hWQrIyNsqcnvSEzMBFBt9cvi83fnBFzLInhtFUClx
SGYtvB3mOKXgblBQIyczlP/VqzOjuanKuFmu/1iZ16+xzp9IO1bUn7OdC2Gi5brwNDg8IeXqDfqP
gESVVRctIPWfwBrSSdm2ZVy45so2WeHSIae5mvsGszTqAl5pDOvWSoLppsDX5bPg723ooR/Z0S5H
nLnw4iDFHQV/lpMoMv/cf6I4JPwDfeR8GACZG6QTZwnK6J7/7w4yDDf4hS+9MtpSelP789kNKzEC
4MHOY0kZu1GbTrUGyf+Exa36LLLS6+LvSFM/HRsXUSZnHAVttr+318IrqSzazLOfpJX0mfvLxowj
TU9jVF3yswQuEENcKn8cP+NRvptJmo7r6/9o/bHpHsUQ4L56EeVF/yhNwIXLKg/KcLqJqd8xuh/P
Jev9K6RcCtPfh5vL5m0eDWjeNBa4Abt6wojSq4J9BgnsW2kP7FFYqJFUt1cyWmKzumgycmNz601p
sdzlfdASeWCZHkvKfXlcRV9wEaVnuU6n2i4vCqS8QrUfZ9elnfLxTb97MQByvQh+Am/HfC8rYGFR
ARvMrB9rNQjuAiOgIn+eLGV4901T+Y2zifGJo0L18XWPzJSZERoV6oPII7iDdnq8bcWI8MhWeMbP
xTMsqEpR4GXA1oOQnA+LEKe0KW+wTIrgQaVlQlG8E0JEeNEb0p5us2qZRb2CG7kMPxMUWiOskHxE
krxKuRSgPr5b1sXRBOYG6Q/rZRLRIiYofjuBPdIkUY2i+ZmGGWz7VY4Q73Ld+xLxoxWGdQnFwqhv
e/9gILfNauqRW+MwqH2l2Cyjwk3UIxOwyp/9Hr1effy5Be3ZyXKBRb5uwEC22F08CW7ongAOOtJ6
qoKCmTrBauLt1GLwOYYRcMJ7BHxUrLdoo09TLmiTGVBZS+mmfF+UDiFWHaKNjIUNSIVNHsFuv8t3
ttt5rO8unTPoemhQV7/8ebQyi/pi3C/XLP/Iuyf3YmrSFMi5R6vNo3okNxyte7jnbU67w5flcrcA
JZluJ9H50w0SnyW/m9Y5O8gqTf2Gd2an2PnQi3A0yWadO63BQo9DPoPagpnnaUI/psYIbNXPOBoh
xG7BRU1xk6V16J94EyWsL8McaBsb1cmcLbgXbk5tPE8iLm1kc8SvL86sr2YkqvUPTlRk3fcuzLxp
H7tkWZelW4fqZLYAcp2nnaHGs1GOkrkkw1jvfMjIWeo8nPqUw9Kk7seXLoStJvZt2A1UnBskuIti
//sBvHxIedSafr+fb0wzNhhQz6yZfj2dKTaxsgpMo6KoE/t8yYIWSZp13xYQOn9/Rtd2sHPRAvKy
dM2Ua2a5AvyjbdBGrF24tGwh7Z4pp+GZktdRdQEmMXJe2I78wjzj0kyNh7o5CtVppK/oGAFRG4qP
mJWvWhVAWtqw0evp0kQDp5ZTAI/pt3ns59UN8ltNEOxyx9HTpcXSmzU11REEs02CQhbvzJFgDp+h
KlpxsBsSKqVwilyZqceukhNjiL0cjEyU+tB8iL+GJelkvlmCEeAvSob1VGRUsrGWCTe5JR1+poCT
6ofIo9aXl50TT3WybShCcseBPbELbMWCYHC1RZNLz19B+4/vkhA6zHQW9ZPLpzSqcVkKY+6EfGck
Q8DZJexm4JYUT89fznST+OKiz+j6a1J+lqBCuICZ4iy+7+4nP3S4vRx+lo7b4skEC9sjSuDdZyNG
5tka1EbAbeH1pse4m0AGPo9yHhnOJQz0nCsJAd19PkgIU7vE9PUU1aH1dNuGNX9CLSpZwEE+sDcQ
Oi5EGXQ3WOdKqEVvHsjaFg90qYVe0uD9+VBhuhZvAqO5kS/wh53plm4T+tNbSDd0JvaTNPu8upyg
2PKBneghma8XYjE9q50sE8OmLSJd6JVhqZXCc/MWrBc9nI0F1F3vTGmJsc0OEtgOSGTSOruhUIlr
4vu2wChOJrNdrj2ldMMl7On2u9uomuF3EiggJ3LwPZpPgDTNoezMNYZKTnbVYHwFDI1YXb9hOJqK
hqvNWp4o91Fpy2CoCm2nvJYlsMj5HDeHgHtEV4J307mo6HlYyVqoAeC1lauk+QoMOXYBw/ZNJMO1
b2buXG7ZiNlutnCksFxaJy1i59oQwA+Rq4ptf0gRyMtHL0lWYcE26z8uM0TfVG+2imeOcoQUaKWI
VKZpcgE1YrSCw4DKoJ48GVVdZiLyXtg+FirW89IcZc8cip2sK5LzZqECRdfFnkZhHRbPYavEWItR
2lQF76NeSRP1qe4AT9dmy83rbuQt1RY6QcDTFIbc/jrqTL0LwkqFzLAyszYepp05tDO/SQrT8bNB
xHpfKsypkl8ilNyYSCmdTLan1pU+44dHH7sDZhEBa8Gyh54JNXXCoXTH2+8U7VaVMNPDsl+48VQa
I5d2LaCM7Y7tkuNoUm3AKV/BnWPlhW6pD9lhGDumo4QR2dAIDoVif1BharhX0oQ6QjdQVZ4L2GKo
eaSwQa1itdC34fqmMRfqkU4R2cjvPIRdXw/OjNkGrYpCsKvS/Erz2TFOx3wBQ7QKkU7doAlax1vX
HOPuK4V4Hj5rOPzVdlLQ+9tdkM8Go9RUacDCzvGHYPKEGdreCJO+Tmtg1/pnym0cJi7dJx04+w3Y
63ZN54tDC+SLyRg7gYjEjHdQmZisTyPJWLkuXOkAobHUQh/Szth2N31UwJFHpMBS/g+jnkvx1axk
eRsBucmZQwIG/plftzBSEGYe28e24ow5Rz3VcC9j7tRZA9/Muh8Ze+6yK4K6KZ/cvFzETdX4lXiY
YSzMV0tklOZqxu6dKpfjzW1Nba2OvHbdwcjqx908ezikiy6NZbPyK/TQLpySY3Ubh8NkrTveEW5l
jQw7/LbTehLYIScS2wlC+kXMCqFyeq12tEKrRg3fI9sa3a9+OSg3WWO6UUicEUpbxc2qjXj+mHmK
fv/pkHKSletgKedl2URZuZhiFwMsa84li4Mm71BczsBk8MGMgsTZeARoy22S2wAcMkC6wVmPmxM6
i+5gW2twzREwcD8Z+kjrLQT52sSNWawTr0z2ge0MG3w75+U8jmrTPLFmi/pi3CIXCjAT+YAMAL3j
Gddt0VTut5F+dt6cmDQ72g4PY1PKWzlIZ7g0INobN67h9nhV1czqlSd8X3xDeTaptSWfH4j2JJQe
XVbYRQEsgEiiwXcSZ0Mud9isgVNZIULt2Ejli6Xvwp9WlYf1U4rL1SQ3mJuq7leUe1CE1mPQNgFc
794bQKjGdeeFm7EwvdI/iSuj8A+wvIyiOJn8lrA2/ZWGNQAOi+5TMYKDsbxBLf4WOQnHSDDF42Hy
69/Rt6lK9IBv5qRqgFbPTaYPVPwwqtb7NisPc/FNG+O9MhFPmQkxipoCj2gsNmcWjAAiz/yvDZET
QaEcOOljJWIjYXF3oQ4fBQc4yyF1fb3DQTDTEWZmUG6OsWRHd7/UD4Yg+/nSJQYhqZd2E0ePhxwr
pwzyDmBUTlQQ8Jlw7Bsd/fl9oTMHvEsBLK8RcK5oxI9dlfn3HkZ83IrVGkERnaDwTa2hHTuPbdLr
Udy9DQuDUTpBZJUomP6bjqIjNbfsZXlI83o+p2UcA7hwqp6+2WTV/uLsQRuVhEQgLhz2lGrE3h3J
BqMMqTd5XiX0hliVNmf0jG8RoQmtt4EBautAn5y0IyR3ilZfwLXHYAma5euETCI/a2L8UWsSsyZm
LfVeI7h/GpJ6nyzcoORX7NyKuKM6bntLPEQi0vFqFE/sNjbgAP8nLPa62flYcGMx1eQTxyK1Wh1L
1W2gQ5Y0GvQYUdP1B+t5NHqFRwbkm2lEFwe9DdNCvStGoxnjYOEx/OzhSodIL+Uev6/0KfX7BEPC
i3EssPtgR/OjWd+95cQGAwmdOY8a/GUqko5yNBhYtplc38HYGynT539HYulYQquxdbAcWAV1yic2
1eBX7qawahWiMmyUeipmKDeRs1R4ut9DPKT29PoaOTAt6470bxxuAQBKnhjXdot3NKIcYAncBotp
Tq8X5Mji6PtUINJB36X1k2oGzeP50+0SULRPV9bS6uKTEOjlpqetWeugwsSAjhB8tpVO5EO/Y7JU
1OssiUcR0hbY4xZ4gB8wq9fR/NS0QoAoa5N+Cq/hD9hNduHHAdr4e7W4eh04DkwOaEYFQeZt2bt6
iXQAqSh41eCreqx4XB2o0YUiPOwsPcGceMw6+6SzA7gtm+T1dE2nKeHQHDFNYkE5TksU6DtCx5tQ
+piPMf0jImuTEcif4yWo+Ya/179NVCKW67kMA45LK+W+bKxNAx0aFv6IaP/GwrKPm3ldHsXg8V7K
ccad4kT0bHzVhSMd2FhTOEPsQ90hgJUOaom5UK4zRUyQ71zh6rlb1hjGXKKImkzDJimRzh4xcEKh
naAWTVHe7YitBteqF8EjmO2U6WKFpUPraGpI+eCCZ+IBGE1GUxkNpHZgc1Gz61y4Mw4ldMM9m3lW
mbZOApF9IGNDpkK/kN6NCC9JPHnPg/IWde7MNvkTEkxK0tyzna54mFJLMijxa+TTJ+ZErNE3oeBp
M0l7BrTEa0YcLnVEYCCTxCT7qqED8x2OVRSOlWEY8hEf0m65xnLNNNdOiuKVtg4QSW/skVBzxlv0
xB06P8aM4/C1gXOnjtkhYBKFCWnpJD/Ac4u/TBCpmG5jtGF5a0NFQRfFiNBYEJQRk1cTo0Res9wx
6nrHXayOnPe0Q6pg7nX+wHTyPS5PaQ8TTz62ZU/2923gySHdAs1j6u/RSUpJVQogG4+vS6+eaPAs
q9KoIhy8FbqyfQcRb+r1xMBVgNtExUTpKRmYqFlfma6UdceALDrjBgk7MJCzFeglTractJc+qmoE
r2rOk5MYqtH4BRDG0p8iRWKV+7C3ySk42AyX+AARk4mtE3pbw8dE7oCH40ne1ToSRbSWXRzpnZes
URYJFJXTLp8sNikC/tFf91Su7HKLe5bOAl8TizJe9E03wOdUsmaVKd0MDRcyXncKcyY6SZLJ7J/T
uuaVZtaob32sJSfhFrNKkIcQ6mq3uAxaiiP84qKYUQhj6Q1r4DUa6Vpie5LVK0id/UJnIHXq4sFp
pM7Q1evOEcleB7oVtls8y8dVo3+oGcHoRc2Shk7gwR94WzMKZYOiFSbiP2U86DxzQmQp9TY01rsS
6vYoeN5PLnlc7qRMBTDYA2LrWnZI4PT2krhY1aE5+MNPz5919+Z1apShoSu7Hz/d+0sFsFmhDuuG
Ea2po8qqja0SVC2n+YlUiN6fGtDZeJhKNmv2ro+v9VIN/LN+bFE6DiC+IuPoQCQ97rv0ptWXc1k4
P6VTjSQyY1rZzERvQFVcrVMAE5yFwK/YNEbUjXuKKFPZQX6H0UTeTRVCdzYiUl6997zuzL97H7VI
dIpQB17PmRAgycx3H9/+u6FyKAsT2FomkgIWFplv34oUcTUkc+A9DJkluQ8OKJ0WcriSQn18qeM5
hzCda3Ih+Cr8Eb50i/5oaGAQVc+ZPaTfi4ZqwVlWiaH6ZoN2Fhd2P3wi2Xr8XI7mLjgkVj7it4g7
HM02sANJlrZ9/2Pq2ny58/JAb5Toj+mN6OPnst+CY/SnQ8THUBjVUIYRD7S3Y5jM0ixLHAC/1f1g
hpuYbH9Idoh8ZgSGWT4zmBAoloovAfkNpx3qN9EdsY0nwhVcVc60cyIE3e5qZ6dk27YWV59rGaLj
9zApqUAgbpfqLFAaOmoOBwiC6SlWu7qqUlQUE28nJDF5OKPweHUY1OjCKnCsRAch1ljI7tQw0kyV
O1SzEvcTH5Wj8WYMIiIeyPgU7DU/5WgMPGQDI4CL8ttY5Xoixw2VvWJl4OTxGeHG0cv3jxWn3ynA
BJ/+pB9SBjsmcqCOTQnCcuPbEJqKvtboUWkopk6fjCMcHeL711ZVSU+bUahlrYsKv78T06gDamM2
GVzPDXT6T+jUsrHbVR8TgBtFPhrLRR+3KRzNrK2K+UQ5I/HFtqhjoskMwCmn+O86OcVVXXM1ytwm
/lhCc+FnU1PpF74AYPPujZdmUvAayaPjo0siyMnrN5lbLPIZL+NOv3dQkroO87viPL7M3ZwSIQdl
HJMUAPiwKtCnn6CfwrevLwgCl8aXiUoB5AX0+I5fX8cTTCHuVY/l5AT3uUAYb2fTTdj7RYjZmYSf
vkMLMDrHP7WMgWnHNUjIorxDowEtgjoca3oMkHQjQ0GhhT7ZfYsJ93rEwdB/B9o82fssyr9UVKYf
pxaM5coXBqh1Sp/+1eTFzXlqZv0lZNt0IbhNoVsbfe78tdB2mc5iASp41ZaR6W5IsuHOLMbAWVrK
dF73kbh2fVSMdm5pOJeBEtNmaFW3pYVU3uGW5Z6VpU1RLW8xKtk0xUzFe7DKHzQZvXMlExDz49KZ
1sZpRXBrczY+tGljeatY+CkRf9L3JzZaK7dz4GCS5eAvh32b4dbAuj0sOUY0IEujFV/Bjva/SOXG
fS7HfEdVTbUo09OLwQ4zQplrhNFwhr7TdpgjVOLCNM//GhElpsgUg/geZtHcLjnQM3ZrA3Uyw3DX
pm9+cQdl/rTV0P9AAs79lo7euE6lX50XQZ8h0a+yT3RX327WTAi6MGxmHseDhh4dd58B1RdB5yX1
E+9LXgPbr4stfGC0THxh+t8+3kHfLujXiwXgShy2D3RMnaPNOsaDgRA2qp+QxK5oqUvz1qopR6yq
qricXGckXMK76gsV9aD4BDfxbua/PCatbSqcbOLHx/fo9cjYuKJ66uqaOA9pWeQhKwd/tU+OiZdP
+nvbenlKzSty4H+gOxIdx1zShgs80Vp+smCBTyvH5rhYNcQH2UamZXBTA9bV8rJGuzJLL2o3zoSX
1MmUef5GlgMoCbAt/pXwRXRWG13wjfMWHUPS8OGuqggzbbx625U9WO4XFJnr52p0wouaasaXyVb2
X1FOWLeyGgtscVIkVw4SqynSDZVPslNQukbjRTObIvWUNwl+vd0oIC945gMOPc564f19gqI7wqww
JDoM0PhWG2wQAk1Hp4ZlBL10Q7U8YaLE4KeZk544TV5iuygfaisqvztQzDYj6NNyhUuIv3cRJag3
H08/T1/mzZsJNLZJt08RguIYP4LOWEUMoYr6ylMyUmcj+xQFnlNeEG16iop4IbuV3GOKLEfsY9uK
4mhT7RvSvMup9acB4HBiXC1W4u6dRZFnCg2Tg7vvrUVhXGYYfuK8o05qp3JuKRmUVw3suWHlU0dW
62WQVCnzpo/XUJOCG8iScGY0m0P5OfD6AIc7FDG9fZY07VWF3dKwaeJ+/KnKdPyG4HfxxahDDghf
WvPOsQfYLQ76e7cznt7QuTqTB0ilBVN+SKiYBXmXUzfkTPwK2Dq8wGTI/cuiCIQfaFF48pNp/7aL
zytmbDHbJjr20fx4R48dqaDw3oP4qctc74CFa37XZo5Sm6KrzYM11+zLH79O6y1O7OWSxAZ2pLGZ
IFbco/AfFYRSQIbKf6EpCl8KUbeKGEEZ5+T1+Y663cBO7yXiqXXM8i5L5HCRZZH5Bc8dZ/fxvbwI
L7+dWoSabJ8v2mPYBurt54+gV8w4kYVJXf9KJPU4elFN/AO2cDptukphQ2LaUJLGqtG0KI/UGt9G
39unoMc2pBVRhLGMgUmkaPzgPhvQMqBSQsWpNvr0svCzfo/yiTzguosmphck7gohUHte9ejO4scE
k3dcCSts1vhBee2JwbDs8mIwLiPfmviFOTAuXtSUFfKsSIN4WbtLZk7vdYNP8EVFV4SI0sEBYIXF
Wk0Hdoa/M9EjuPMmahzEIv1XEPb1aVqVjliJgO4yM5Hq6tonSb5GU6mmQwEARdIAoAw7IPACT5FW
4eXcRn2/ajJ8WdeMX2OdatlZcWL6if0XGg3Z/YjCzLObIfOOdmIef5Ynvj3kXLI2oCoR4DSwaTa6
U0cThcJuZteUdB+iNHRGtY9VmM931hLopN2Pk/nTJPgY1IVJo4VYF/YO4Djsd7hh0fVOmIAoemjd
VFdNBkn6fw3QV5esbPwz4CJFdCCIYxXfE0sEprii/lJ5n4R8b889sE4eN8HU1MBNj4Ts6NnnepDT
HCXOD7qkNLMUdkTqMeQcZif5eA0cj7JNRMnTEndzNdr1R7trQak6dKzc+jHWTVBcDm2pm4VZTu9o
j+SPrmN/fMGjfIxHA5jHeU5qAOaQhvbbNYc16UIIp8QPUYNcS7fCiXXhhTIN5KB1LIi0Lc6aRKXR
Oihg8antxzfwQof4e9UzuGQo7D9kKUEY8Oj22zugb5XC78JTqEP/BWog6LoFj+AO2lB+8lpInUSq
i/VIQuiK0m+YjoHXB0lGRTBLdje/Dk6Ve7rpDBhJUVdoMHYhv1lwbyIb6Iu5CfsN2YgRzqvMKgbq
R8Hs6fLdpMYG8kgam5QiCDdIpzSLZiSZtGYhUdqC91PnMJbRMx9OM8Cu4UJ0bOhqbz8hzKvWsCcD
+io9St68MyDv5JmoL+lcum0h9dJ9e4UM9TQbyPfwO9Bl3BxrPV3wsy1dvo/zKidNMyFeMv7QhQRY
CXuSKN2ep3UBUOTj4X834UDLo4gBdp2z8v3UHul1pIa5qO9NCptK7JN20E2ZaBl0TfI3iObjS76N
YHnhFH9gqYAaQzkhDI5TUqB76OL14fw9SuBuONsxwzf7krqBXRgHsze5Ay0GTUK3k2jF8iIQ3td3
8/FtvA+oApfCB4hrAHNa7PIooHJsOqGIXRW/QvQBUCOeo/wnKA9F15AzSOuJPC39GJ/6tfFTTfkM
c82f2uqz2/iHExgPHuoAEGkil5X4dv6DlOqrHqLorxhv33HzcsL4y5iWF1npD/gTTNFtJ+pxB6c1
3uIdLL9Dfp2g+WNDffvJmPxDBAKtntoysRBYy2PE7lKN89TIIv+VBKb/tfOt/saG5LUJKOyeE+iP
h7HshrMW15dTtC2ty6EOiMyDcpDXOEaGAJLrebrIjNF5Bjnfeauwy4qvn9zl2xmkgxYfvKtHzAJm
mirZ0ZBNVayqqHPHX1S9u+Qby9XroRKiuD/25nSw/amgp9QvPkxJ4TXP6WIGaIHHdjufOEHT33lR
mVyYwVx8s4U70iEhrN1B6SkZ7iTHIrGj3fv6ov+PZ3GrWugSD08VooEoDIvscfiTNYE6hI7k/rUu
0E3aPP36j9O+fKif/uEf/q1mS8kVwD4rhZ3jT18vWBWsHF0vDahyBWxxdSOG9L//07X/i3/BksJK
mXqqb/Ojv0WBLJcZpGVx+et/QxDotWb59wmmq/SgWtDp4R64L+e4Wt+JZBRVFDV7UjS61SoF7lSA
FwbqFoEatL37uZqmS6oe2Sof2/sy8YxTcw4OdjOSQlVAxzZt71ZfIoBp1+Vo3iHqBjWxLTkeGncO
NwuU+lNhERS7ygDoRwSqvS0PLb3blS2t61zONKyd6tKfy0vHmE/iAXv1QXjReiSsXpUT0I1JZM+j
OWaHinFEGRBsCmFGB9KHI0p6hMKZuZw3kXnNuqc8JWaIBeAZvYL2m6vA5Q3Q5jUXtQLmvg2a8BA4
8gQUXEtHun6OivpytoBlS9wf3WzcuXZxCR3k2s3VuZnwWyI3VjLNHtAKaTZNtzx6Q3FWTtYjXN37
TvW7poStLqrU+Svu3H0mQn81m7DsyPgWKjzhwRqc+2IqHwK43TszmW9MUVzqERgqtDPconzOtZx4
nwz5ztGsdwfm/WqE30E4Pt0mznwT1tIHquknp7S/HucY/IKV6iow1qzAOE6XUpv0zDQfsAZau152
Bu/Dpgklb/1U3cyte586xVkiywfR5bAYvUOQ0hheUWLYujyQzkebQV1TYQt2yhl2XdTCOXdf+BwA
NohQV3Tb8pXdMFB2Ct4HJTVsGnQ5MyuQ3KBj25wPkN63L06ablo9jBY9flOhYzLQ1V3ra8ERUVvk
za/n3rwe7PkEUdHzF5UA+qPnwMFg5RTps0P7butZ2WVRyHObl7MPUa1f5RlP2EBIW2LOVpA05SaL
HGNT9FxoysJ8k8JavAClcNYoMMQuIhapJ28r09tIVeNukYIbgfL4gOMjUFlbPobNcj7ZCVDMVGSH
oiMNk+bPsHOuojlDBA/2p0Lbf/FGse8kyICOTD1rQZ8IZ48jABUWk2ZPMVAnGMfl3G8UXZZZI0cc
FE6igJkAUByenF05q7Y37+rEeowcpDUrjY4YkvLMojndifHWlSUda9r0pt+AL63krRNbKQoMSDUg
QIJmhk9n0bIy0KF63MGfHDAOvEfvMN/5pN8t5e4dRmO3Ds+5SmXAVHT8+ywQag/VBH8lSx5a22h/
5LFBcJyTkArNw3Y0I7uUaAOozvXWAFSmfadp3F3jTafgocNThEGNqyJV5bZb2uqqNlq1M9NyOgNz
1q9to3QeB4jhahL+hRUW6AysZJN17kZA/qFtX3WgcoCdP8RBg6Ro0tpAlHK3q++oud9V0vBh/rh9
hFyCna1lGh/cuvgBnhADEVnSd/WppeBf3aIfve0QG7U2wKr8fJVJkZyFL6XLoDuURnpdN26znQ33
roFpQg/Y87bT6D3IWonHurZHVmWebku/W4WBylctNkK7KkMCwlZNfG0NKPElNdN/ye3HBkUpnL8p
vKUTWFNpAyYJYNtzFzFVZaYhNEdzI8k/r1wzGMEPMOlUEdwHhn8Y7Q4o8iSejVmcQz/+JBJ+G/ro
XZz2bhRS1wTJCjrwKPXKct8dCb2bPXpNxcoBOLmOQ3nIvO5yQaDkk7Dvbdz9ejUSadIeSMBobR0F
n5E7j3AKgnpP6wfEkVWc2aWuSzmfNnjfBksvV9KcJCzgTAK6d25ncxBIJ4/bZo//8UMUsxvq7Ti3
ZkDhWJ00p/yfufvjAL9+Pfv+NR/r9zVRkKehSJXwnT5U4tRUCXr6Hmrw0q3XAzqic7c2yGJnLXyh
nxdnn3PRswF+fGnHIV5+exoTScMEA29IWf5dRQtDqnnJcRnZI1rmoLlZhdcAyUHR9+Z53gBOgp/1
OPdy2hXzNJ3lU8+6jWoAIoA1Up/KHjLSY4Kk2oLySqQVlCgGb+1wPp8xlFgh0qYBY8zVJr+sfbGr
AE7JKrkzgdIhu+UewMwDQ2+AyHoeNlgJBQ4QqWwPHz/pP0whOhtYn0PyJFw/LgjbZRZVje3W+9Tu
d25jXiNWdV0taA18cp1/GlGX+g+hFcnBOwo5Dt6h5IfM1ah0T3t0a5SVuVuzZBNGGwRsbUipIkEa
q5zUdTCY1Rc8xzP8ppPnTiMVdahChgy415bnOBIjNTuPt0YEyUNMJ/S70JnFB2mdJNogSdryPvHQ
rsCcC/N13a8ZTdHf1IW8k4Jjf7Qz92zIQvx8fGC2bp09xxT+kQ2Bxi9k2JxIA0QW8J0wGXdkshze
rbNPFcXCtIbHABl25bSShhBJuT0u14HqnJVt89lIMf8Q2mEosD7VJfiHHQbiXIhdqEkyC6PtbaaH
W3IDA8Kp98tsvYQTkp3Na228xmZn//FLI8J+twrAeNJuBz4SvXOZBHyaBaWr6r1XTDe0Ps6q5rMN
8yUzPVppJGK2C+EdNjRegG+fJ0tpIpemWe+baGp3fSbttRsvj3qnzxZq+ODezwrb3UeGfQBBk26D
ujwzZPxXn+c/Q3/CNqaaBKTi3NmTX3PIRuxOcGwuLSt5RmbG2QY4Q+1LxweO4CEwM5pLf1Fm/nYK
22/09TVENUReXGVqXWo61P9j70ya40a2LP1feo80DI7JrLsWQMxBhsgQSQ0bGDUBcMyOGb++PzAz
+6UolVSvrJf1VpkvRUUQg/v1e8/5Dv0ELP8+rQNT0dS1oCzve/hLgW6m3+ySR5Dj6O0wZafMjpHr
OZIC1Ripfg2GjxjxyVrrrlVpJlthLb+ZE4qfvLF/dRxYh+GXmt9fMAL0ugnbQHkwcg4KQ1Kgu+zA
oplaxu+ccAVSyq1NPnuXwnZoBrVKDxajeNMhy/CirNxqDo2AMWII3mFh3vSJ/n4E2LXxdHcJssG5
RD06QWAUl8Q35cZWrER1RUPHlfMT+r3PS6sHqZu+nSyqQ7/hF1batCe+/QnlFpFfGM/2Vj7u/Xq8
xrbTgzjm+RQ1C1/rMIX1NSExGaAbM6EK+bUafiOO+MlLwp6x/s8gsYNc0O+v0Rg3NBPGoTzA6dpQ
4kwgm/g6mAmCqI5/c0eMV/OPl52KsRq2YPq6WEtfv5OI8memun1JtEFbbg1COTdeJE8RO5VvcH9I
m6dzMK8tQpNlCkPn+zTOb52MArCvIgeSPF27tBjQrTtLEaREigED9z5BPiasz3uTIyJGFky1P5X0
Iq26/VzI5TrlMxlO62bMYxZb2XM0rlUq+EC56LdNz3xhqkCkpd12oEm767ilL8fLRUzY623+oK+y
k6N1/EQ9Drs66hmuIYmFSTTdvRyCohKVxNhl1QnS10PacZD0QDSHCwikwF7GB9XFejALH/L38GBm
xl2jpSeUrvR/3X6DdRCdKv+gFfw/EaL3EKPvsDMEsKP1NWon+1K54wM9eA4QRIbxPsERyxuqJT2S
t1MDRt+t+dMKXUcjMUGUXdTc+Pb0GTISxi4usMzT29SCbOZPlOIiF+9lMlxHdByhVZE/UBYnbZCn
FxaiinmBuy4/cSjeFxE7S0pYbdDydjhjd5sb9sekBa6ZGfZlaIeNZSrEnRyMpgUS94g9+ow455J3
4r2Jrf83+7Hzk9ebWsd+ccTyRL1uS+WzJRsTy/ChdefPZYt6X2ffGzhmRbCZNmv99XLUxtyGbvzF
7LK+8yV6kXls8XJKfqwprE2Gww+vqb/xBmW5wAjjJmQ+Um79iclLvvKXBtJ8gYqJdEtEQvyZwYB/
WyufyLyYfRG3P4wa1vJwca2LqbHGyG5+GizKLV1Z9WrA6tEJdFmQe1TWMQdD9sPEqrghMWW2K/uH
bmAFVWZ3VR5HUr/Pb4e+vwq7T/dVTnplqjLCJ/B4FMn4gN0Z15ShLRDj589Ou2BaqLsrDjV5yFK8
TWwiHDL7B8uZ7tZqvnP/3l//p8P2uw4bskqW0f+8w3abfmZE81x+113784f+6q55IEvYw2mnMhBy
HXrzf9NMNF//Q+gsyVimsd/bkCr+1V/z/jDoeK2IE+ScLKF8i3/114icohmGgvWvrty/0WMzvh9T
2cAGjJecqFU6SKfvtfKkmcibINvPOJfI8Jm4DnGRTge1ZspHiV46JFgkc1HdyMwANZIiKD5O9ZzU
KsALSKRqigPf2BCLbAF6s8mon8F4sNjIc7wO1YI/c16bslXt/h9X+idHoVf7GVURX9hbD14gkGz6
/N/vZx6q6TxSizpbsT5djYRmhg1w7gZ/j34Bi8Ew+9cfaHnrFvmPuoyPRKGx0sfY3uCKvJ6ja2mO
WL2v4rPj+DdV55IZTI8N/pZEBN7oMF205mAovf7gj9RKZJ6KAfOr74BQ2qHtMKpj5KYIvZbBhZ1U
OhFEWLPjxfXK1LVWMD/oSs4mDzlDq2WPwI0g83ZV6UOnhXZFN512WKOaYgmxwSM2i8eSa605A4m9
C1At01iQ0ZY1XigJYSaFfhoN8Va5zL82hOARhDk6CJBDhzsCJrBr+34Xtdp8Ozup+aAo8xoQVkDE
FAkt+1loviJPgoRe5UFkDV0ibeLtmPpjvDXWb64nOCI3TRKbD4ahgWxNXYJpglbJ5gPSOrJ5nZGv
MZmpN20RMNcfzGEkuNghGCF5MyUF38ifbesIvm1F4DQ2ITrgQ03jwZSJ0Z7NisnXZclQCewcd3bq
96bVk6DcccZ9duOWFFCNzWO4Lqo0iTKmX0bknzFpH5GhcOXSFs19MAOgrI4YK4siHFTGD+E856Nz
fIlxUPcZ386UbIrhhAhvoF+G+f4uGgyCpytVon4Q44sXOitt4kni6KmfHf9p6BU/zkEONGSTOvcJ
uNwl1NuGi5TisUSFKLqufZ+MQNwOYtGLAjNoZvWhnVpcllTLIbJOdtcsb+el4rYOzMyNc7yA7z0t
6y1x14vjUxZw/8gtPfsY9AnwzjvNJQtkGG8TzuX3mqcnUwDqdzpYMX2RTdOkRrdt1cxLmPugYgOi
YslgqQasBnix401uN8i5zHGaH4gK6S5wtKBMFjIif4NOIhFqsrNvST1xnghHNi7jUOd3cHziZ5NG
7AEEtvBCtAvu82pVeoeOBWOgsfDIJiNyPbrChCPjYeWKg6bJ5pOJXXba4qj3nzSnabt78sjXmObB
5bEZlMvjNaaFo97oHdrkXWvHZACFRd9Ya14bB334R5In0vw8FhP3LsU6NH6biVipP/CPeHVruurX
tNCBtaLwSMMq5hlpTbppYVKtubKoRZcwz7RmjaEeubfZuBA+jp2t/sCV4eVyyWRZ9hm1fbRrCYNp
36+ZtVcOn7wI2uJygVOTo+U+y/XqTIgwfOdoahnwDhL6soyIZKMobg70jOfpxiLhJSaluOdTwP2S
DW7wttFtnSTXBaEDEr/epn4qk8xUD9myaNqThsGuuelMpam7eSJqe0cJxPK7oHTxH1OhF9k1GmAl
TIWmGrDOpJgsAyQ8CuqCa0kNyLWc9BE5m++vHQM0OOoQ5V4+7QSrSnKqG7yk4cuDjLOVG1dpPu+x
g36bSGol+Fum0WINLUVFvnyPrDsEbZ8476Fo9OYbGWEPZIxuZNVn1xpJxMa6hZ08L/hMLYtJznWj
WMmPylC4aQIbOtUXCytu9k6xQhiIKaPFVm8qwogcD0qbFqEZyGOYD9TLa5wRj9Opbcg+33T45i6S
UNjpnYfzOftqu6UJ5AqfSByRvzOY5puC/WdpArOXsXOMStMrTLJpHF0/JsgeFIHxK6lcS2P9I5bn
NkiJIbpgG/Tf2wNpp1AU3+J8ndZwI0KR5zUeOesISubBaENrDU+21hhlEOMpvKg1XNmw1pzlxC3s
AwxbZ7ypBFlJKUBw0dM2qm2nlBDV56hkkamOde3pTy1NidAqdHzSw5oxBhorWwOh02ScvIORmfGn
vI3cr1NskSsN4uBNlzs3/aiaeUte2XTvVG780baGcksem9gAsLOuuAfLjwajjJ1Z6jTH3YW5lN65
6s6nrEfPh2MPRGdGiFQd548mPJ3A19tuh3oZmOlALvjq8diCz6/fYMksbmxYrdt+dHPaTSZteL9P
3g4ivxuR4co9+iGxa6CNrJZPYrnTKn0bEyv8OBaijXdqTfDGKQ3JOmuWUw4wZ4elFKFHM5awD1w4
tOlgVQ9sOvX70i7qZCOXttx5qV69SxxnvbRFCrHWWcPDHbdnGuBMFsLTodjEkdt+S4GFbfJeiIO5
yHg35qZ5sePWFRvU7CUMhZlyYNMqczg3bVHtvbyZV16/VR3dZDJ3sW3cy6iq9zpGqY3id3wvMd3T
rTAH51hi7R22c0F+edOJ6K2PAH+vwQfY2XTWCM3SFm83zw4oGzRqzGXs+aCX5XwcNcM/Ll02bueW
aNiO42/Y9LM8JGXrPAzpsHzR9Vyefc+nQ/uS6v7rCuWHYk64LrgrYr6hlaIpezW+b6rC8uQaxjd1
NWDYcgVUjxabkNCAW0ud2Rd+q98hkl51xKiKEGrbwLkcKl00/K8aC3SmMIeMtn9qyIb6kIqUhaHG
VuT9RlH16hT48jn4LchjpNqj5/6qKzYkldO3fkzsEsRv1lRdsWaXxGLaL0niv76UP/swWvpI5SiQ
GYK/upSkUrcaQWX+CV8MU9IqoT+7Jp1owBS2v/6oHwtZaK8e141Z909kOw2gnlqbdOfEfMu4EDEN
y3P0c5jG9GBbhsG/O07/UMWCtHJMg8fkpY/5qluKEJPXNi/s08L86unPLYjYd3YMvOdUI206c3l/
/Tu+mpVw71YH3NqdtQQ373WxPhex6HzViZMiU3HAgaRT/LCgsgOXaNLRJTn8VKgVSFAYm0u2j19/
gR8fUhSWNtd5pSWYP3hLqlI0+pRnzqnvsf2OI2N/lMrVb9peP/0UpiO+g44GVeSrpyaPTPgcaeuc
SFXHOJ0SuOp6dE///d+FAyXhYmuCzA9jA6ezzMaGmnB6yZBx6EeH5lT/Nx4TNFyWbnmcdjhuvnpM
MrzdaQ1v5mRG9HhSlfBQrJiRaUs4jXHp6mlYfnOk+3H9Yk1nNeHXwsbIx35/pIOHA1kvd8RJowH4
3ui9mKAJXNUQtpkrw6jSCfBsl9+6In582RlRMuk2+G39H+cHaJXRZ9S2ecpW52uEYPHcOeucSjre
za/v3U9+RR4O5nfU4KjRXy+Wbj6Skgto/TSppAjnwqjOS9vVH3KxorzXE9y0PjW//tCf/X4OryBS
PBtY8Wsl6KCnpZUgtj4xTYYBUZD/kutesueg89s3/WWc+/0heZXq2AjuXR/Z6WsXV7UGSOisJ+RO
tAQESqOwaYq6en6th0VdMFYkGN9nymSkNZwqqLXay9AMpEYKrRUcLmAc5bHZfjGS1qLqXEqSTLzM
qfPfXJYfF16cWqiKEGia+EHNVxtKSbMXHXvEE14gGQ7TKK0/yEljvxwkIFnCNCnrf30nXmH96LcI
5I28VStUGaLma5dHnNMvgcDEI47nWG0nPBP4uqep++Ipgy0zqaP1eZepcWlQBH4YBnvBKEDa87Vp
TcJdG+whzY4qKd13swGI6tdf8GfXhJWSZwU3MXPtV289MazJMni89cXiUXTrtvwIHs06tblVpsHY
6L9r4/zwbOLIWN+GVR1Af+X1BzZpuxb983IaRCSeW13S0J+bksd0Wsngv/7tfvZh9I2QgqORZDt4
9duRS+PrcePPpylm2CrLzL/RW49Tjq3XnJJ+/WE/bAar1+SFG4kOm+XsVV1UZJpRg5mZTw4iJGf1
TfFk8SJySvz1B5nfK115qLCO43tlR+CXQ4/36kFG35BOTu2OVBAqaaE4GBx4NdLfs8dIq5b2XMuB
ToiIBaE9Y0KEQV67loKKvW6DVTNd4STRJ9AQe1thizvow+ISxqFjS/gA0siydnq+dj/GJuNwPOKE
uutKmBq/0+z+eH/AAPgQ5tnXLED469P5D6NKynynhmXYnkwmQ5sR/P25IH9kH+vzv111gbRdRSnI
tGnpWa+3NwY0Zgc9UZ1wElpHz4SFg/AA7JZmTuvoG2Tzb7btdff6x8JIH5710OTVB2duw45+dZfK
BUNfo2xxcppJfHUcczgpEflPLw0RGHB0dZoltx+raTJ/s9KZrx8RpuPYARwHTiFWNyqhVYrwjysr
cqiNECPkCWFWViwbXXpO1u5nBNEWbIgp8j45RpaJzVC1RnvBBMIbaKk4Rd0y48oyTTlfdXzVxWbJ
1n5No9D7Ehul+GcG8KgoC6eV+56/H6XCrJX8TWOKzoNwJTI3QPlU97aENqXWxwvJJtUDSFWjPg1q
rtvAdNrpzh4nWmNtRBLGGYMsG33aECe+8WLyNG5tXcvURjey4n6k23BRTqftJ5E6d9XMgGRfQYoJ
6GKXMNbcxtRvaEvrZdi6du/DhVP1TQePyCC3qyaPtpobjAblkp5GDw2dGHIbllBvJI2PfJM82o7e
N3G61bO1yDUfMjeAkoV9beTGl1F5GU1xTfK++FO9NkPnOEvuBgSk8dZFO1gdkcfR9MZSGiUHhNOc
ispm4b8ujftX8TlkEZ0XP1/rmqbmXUtKhu3f6JanY5gZseLgPitALsfY06ZrPS1FckfkUl7dZHEz
dPctSUbFhmwk3u7KKOrsWi3oNzeq74xmBwBhumY6oYmE3VbZ1a2N9ssEZnChwyvt5avF0FvcqsZY
W1Fjzm2e9JQf5Fe3n+2Rr/u2JqKR0AlTipuBqwlFq+7pzaVZh0PVAcJcbOiD0LliMkYj3CtmBzyf
FfE39sjqibcarfIImbTX3qK046ObbMUn+joZKE2Q5FDo3qBst7urkWpJu4GPQuOV82qlQmN2xzok
C00ch0G1brbpO4joS10SWu+YLOH2EvMEleXAQcJ0EczeiCEyxiMgvzxiXzXIBqpUTk8LJGi77Cd4
kGZA0ARdxrjXJ4XHl1n+HhgqD1iZoEG6aKlib3ipA+jZ8/QtsUOrAWArfTMwuNZ8BowER45uWzV9
87slAgo7THd/tuDsvOfLWJgdH4Q07ec0SrAXtH07Evr48lo5a/6Yvr4zWLml91zaKa230Z6NB2OC
EEk2JBLS0OxIiQmVY/MUNZ6zJnflNtfVbNeeuSVX92UKqmM3pfTh/xzNwKJ4jmxrLSRiQW3nVS6R
eYZcO7GK9nxQS44/k6HTgX/Z/lynp8mY0Ltyb2yXeQSR7umEOhqqYnsmNInXtKg1Jg35LLiwAsqT
tZM+YtT7tmz4IoZO72RXwyO+luB8po/95FraQKPHzrKrB5ayv7Wn3HhwpCxF2Ksonb96GpOMLcmX
prifYZ05m2SmNgb3CJegYD9mDJBUQUK7gmdFMM0h4050lvuOwjzryNtQ3UqHzNOh1iRYAhJoQpZw
NLW5aunWzzlNyR0dtMWjJUF016nQ9YlWGx3yzqNBtvQoY/7c8f9nTvrbOSlvzT9qlh8iH25TjD1t
1T1/Pyh9+am/B6X+HxwzOTgwDsWeRx3zr0Gp+5IzjH/vZRb6MkP924jg/wFaBYsbmp/16Oay6f49
KLX+gJC/uu/oPNjgcf4tMwKilbVe+8f+vbogsNDipVuPighoXhWPVpL5RSdK/VzqGqYuUraFo20g
L0aHtDOmepsJq6uCGce82k0afaWtU3fW12nKXSgCC6Clup/b24n8Kb8KMCEv70AqCvGEx5yU9LE1
PsWeGT8WU++GaezY7wYhuttGjzswcL4W7dJK2jETWc29jUf+Yzg4cDv3CIWzg+pkeXbltBzwkd/n
qrM+aaOIMAi0zeTRYDG7m0H6ony0MsRMN+3SLHrY5zDGSLwqrP6LfBnemu3EbKzSA18SQTa3Ixs+
Sk5L6RaxnFb/AQjGyKypHwrtNrNSe60FChcULPf2bRzlBQITk/jGNSwgfcROjJyC+dcSqlTSXhUO
Se+uqhpAFb15bN0u2ZuT/JJTlwPERKvS6k0qg4G2/l6a6cOcWdmdI5lgHvgj1u1M+l6x6aD4Hjow
kfh9iYvadob2PGVigokhIeSxW7BRlD7sX47+ZM95uJ1pVDb2duGYeTWgG9wOPvMoo+td49j7fsOp
f/Gjp6Xw3LcAxyJkPLPpHQmURb0v29rOz3DvWJldFcn3w6iSrWaZbpiBTuYa1EPQ9FN5cvwqx2Ow
5lmgO0rXyiZiNjzP47nru9gLtbhGspc6yxVCmEj1fRQznckMBw2OoluEe/4wy3EpNzSP4JaICLuK
B2j3IKrCfF8jASyCpdWWBz9Hi4g6f3TTg1gl/k84O/ryMUa76OpbUE/mpG3HLsfjvGc2MuvtMYlt
EGmFzO3UeI7bRcXcudwIbDv3t0UrQrOpBdDeaNxOekQmKhGXR3rXVy+JHBBRAh9BVo0yTNeQelE1
RZg4Pry2vms9hFKalQYtnpdtvkRDiGq0RsnuPmSTvSls84il59bG4hwsI8y4tLqIZmlCKL97MRXR
yc3KXUll+ggm6B4fnBsoPmYXLxNWhGH+YMA+3TFCiHbRML+lm94eG5UQygG6/QZzmX7EXpCh6mrM
k6+x3meUs1vQjTIoxJSeBK2k3ehV6VnL5+WoN7yappObj/5sfiw7T4QNERaBTDotFJ2EpVu6XXcC
USKPVGWf4PjmJ5WK+NwwmdgsS6FvVT3vGZ+FLWq+nVgQMTNg3KSFVoZxo/kauXPADuIk+WovzXt3
YurqM30gBlwHVylU5oW68MYNMU7xTWlPJalYc71v5PK2S7UWWkZqoJKzo1Aoadzx7eVZ2rOmGDx2
9RGBR/+1XgMvvcTi4vCyHZp6IIyXDbKMl+5QNQ0pgPbbxsqvmZfeLEZEXdrroTSXh9Tp9hVWoJOL
6Qdnw5GDionuEYuM5OrHDvj1QTy2TbP35ulWmtoU+HY/IUPK0dBFDNPiSDw5xDwGY1m0G6PIv+ZC
V5DvRod84qR/m2rlrdcYRuh3Ths0jJWnOfVuRU14qCwmJkmY4wPs90BDesKCV9MJw9Fh5NmqwXty
P5w9dU8bgh7sD57KPy/ujEzA1P2Tw3J56vFXBxNUa/SZnTz09FU2vBXGfZw09+Cit5rHL4UB9TJ5
Qj7n62qW9ZEL80a22rmuTXFNzcY5VXWXEGMiKWmm2v/gNsl7XWspZ8zpW9IVxiF2W44oeJFh8XvA
UxlcnsjfsrYty/p9Z411EC+Of8yke40cdc8YXN+xTHjnSmqjG4J+7d6xrmDkGFywtLXVyYs0+yFs
uqzb69yonV41PRMtO7laE4APNemoGzSYnbL40MYmykS/J76y2JVNkwSTrN1gKdtr65SsLvBUol7H
/2xlFl+vEs+JwDRkJewOTYQ+2vD3qewecgJddyaS7beAV25rrVHhZHTyEVnLox1jccFM/dwu/ntI
CEezRwdeG329K/J8ChJz3LWjOlaO3KOHRbwvG3ExjbjZjx7+FXu2tzZU4IPemQ915GY8wBmTjAIv
ztluRv2SGNYVbNhN3iZPDobtwMyXrY5tKmCl3ZI//FH4ICEtjD7ZupbWmnfntda+TeV0nbh15FUO
yPdYRr2PWRQb73Pbc2Dhu7xqGi4C0x2gMA1biFwnTsfdzh4a86wc6QUNTBvG5n6VhNmce3siNZdj
UnWHrpanIY2yPfJr5Oy+VjOq1GCVZVjfI98NvFH4HAtFLz4LAp9YsAnEu8yLLu6TQmichFVzm/eE
8874fbe1tJNP9eSIcDT7mylt2BPG/NEQw6GMqlt/WNhYpU/msereDvRBCY4rPg9TefC9+b10s3wL
rAdDDwh8DHNueoYoeERsYuxEEnkmVGh7uUy2yIfAjpp603MKO9upTWyEZs0wFGPrQ1T19ZXuEbxR
jeFsvYUgTJBoYZV3eGQIl6xU4oQd+1qdjjhLKiSV6H3rXdnX/Y0ZlxEqD5PDS6+nQWRpj4k2rtvz
GG8qxw80z76Mums+IdaAqxnXwJ/FnAt8ljMUqWspNe/ot9lymgbrUUx6/UlTgxYfogJtxM52R6uF
eGSMKhCimocD+6yJNtf/XGjDnZG4xH2Ksbu2dnmHY03jAKndF3PSvyEE6V2rLLXrJ6c6NYvzzmtF
/jCleH40xC80LoeNWebNR5ZXDDIEfz7LxVBbdFDqaE2auZXVkOyd3Enhq9c4RrGfkDU+4KCP4brq
nnYbo1Z6Iq0bhfbQet8cqPkbUG9mYCdW/lzhzXrrjhpCkt77YGUocQuvcJ9cd0k3WuToIWnV8qGM
Sx09Bc1T380JXbVWKKpYXyJumAxglGU7AjlYkH2+XswJZlvIL7XKPs26Bo3HL4d3VjtsyehJLuR7
22S4smW7sjaI/kyVSDgUKxHUusrPZChUB9n3ghqhjG8NMz90WZSFmu3WWwYc1RVxRBOz3Cb9PSwc
77C4TvMOROsBc+X0MBDwvTP81MfAB576puy6LwiOP7M65zguHX/DGa5/TKVxdkrL39c+4cU2Iq8t
Wc5sEByuNx38oDAh86IMtUqaKC0s1Dim3dxIo4XT2rXzTSFG/zBWxrRxk+ZzHhdG2E95atzV9WC8
ZYFsEYz1Vu4FTjcm+V6UMbqKQmRsXq1WfmgYXZ5jZ7Z3GObTJ33EhgcxPPfWhNbZeovZ1fhEQ8X5
JNIyCZqli/0gSjCM0jbf0vfKduYKn1qYsFEADye3X7Qg7Ylntcw3KIthg4BtVX10Svx8U1B5gJBL
hzgJi8igL3lWaCR2GVyat75GIYppP/fDohyelL8cyUv9whgL303tLpuCeRlh1/EqTqnMYJlsP2CT
3HPXTrYUeFQ5yW7yqkLOLvqPQyeIdF5qXIB1BDM+J7FZRVgYNXx0iSjrYI5WV4Fn5AcLoUGQKEmc
rT5uI2VdZCItZEKO2ue1453TpEBGiDmWfGcfmVmyy4dGXVUyiL1ufOrzhIIJPcRWFtEjXacCzI65
iTRhEcte15vWxksC+Ybh7Vxu3SY/LICqw0JNbcBgDUy7ViLVF8MGfVHDcpLaAQLKAUciAZhLlnwc
/e7GocDf6RBsg8KvH0kBrbbkw6AMSgv8X4jGpeEhopsoDdG2AaTH18yemFfHqhJXH3HJ3okJ4yr7
R1Q19hvNWe67gnOK2dnzbkIHGSKMhgo4Y0+pbXWrKaxoYG7NJ4ZuLZi+onicupYGiinZ6mZNrNxD
LbAqtCEJA9XAhBB0Q3f0EUIRiih0WmFaRemXTBkbA/gvYd085VNO1IMuisAhHufRNfIb8rPFRYnV
X9yU3yh+W7Lk2q0hlypMtMzklg5IHdtkt+R98UhAT7rJyanYNaL0t0JQ7JiNZwezJvPbDNNpMI9Z
sQP10VwcL/qktyre+Nnk7CFNTvfNjBTSJ2ovJCWMqscgjZcQmks5zf3F1KsQYtIYLi0AsUTo84Uo
6JNmeHoIANYK3WFgAO+74w1T3y8V543c0D6Y3vIc187eNdr+hmPuzMXIUNYsx8jLhi2qtH2efNO8
hpgjp9VvjFbWhyZTd01qncspYXlMGi9EvKDv6prjLWI6aw+fco8Xm+gkKc8eYgvqBP2kZ96jjbM7
sNLleXL7z1Eff6qqjOensu777tatosdqWPAqT2X8UdPMASVtfuzSZQljy71ZfO+9VxMDAxtgn7E5
Bmbs1ZcoMglwLnXjRoj6Xo5UZ9Ab9bDrFxB1mRfrhJZXI+WZdtc7zeAFWTEtbAky4tdlJ2iQHtTJ
bva89qh4gj/OKvlqZSTxWtE4B4lltioYRd4NGLaLD3klCzIcUqO4sGUJFHOVlVPgVaTdYz4v70dk
lYdBm5pQl062l6kWq7A2lZ6EFcn2H0jtRaZH85NDTt08jvgbaXQmw5GqOjv6blLuhV+KXT0v8XnU
e2cHruRhVkvMqMJ/43u9vCP6z/hmp21/XpLUOdWWpw5mPmcnTDTzzh6FegBXh/lGmc+c4eVtVhJ8
EcX6G+Kdh3BoqxgkOiEcPQr2W1rGAuv0NEHAm5AMDZyWBldouCpcgobSmAKgRPNVWmLFuXOoWtN/
gVfEG3obGuMt/Q2h0ciLa2ltzSSP3jjIhA+gaT55BW34wnQR7eZcMYra27LPMQjJ+WirAdniOFyQ
31FWtAlC1Mz/COI13TSei+4TGGdAuGtJGaSWzZjx17c+0fG8OzGucR7XYoSLIEs6A+RRoa/cJRD+
j9SNRxfCUJjnxbBjubK3rOYzt94ut3mWkg5fv+Ew5V17qYk9R2E6LtYkIe77PpU0MUe3bNXsQiOn
hcvc+mcSGiDmZlJsyEuwgz4rQo2Wd1AZZnN2Z4xgDprLQws/PFSqJliywyLbZfBd2sr61iz97YwM
K1jPFuaSXgxWd+z3cXEnFbexymAIwLnYGnk+wkvQDPJZ0g5WnaedRyHvUhNxI/ket7HjPlWe3+6p
rxusmDz+mEghfup7+GkD/habs4ydzLsefDcTwR7RbNp9XaoaJWF3O9O/D9Qc0eEmdClqOGeZVkmC
XFEGZGfx6+W0a6w2RFvMqmzr0SGpcvTgWW1TtMynkTcVUxytdr2HZ4dtWG0oAD8NrvyUuvbRE83d
hPKacKPZ3HCEPLNEP9UkWu1EP205avEk0+UPuwGbDm+DflmM3iR3ZKSNsrDp0vNFtW1cZ6kdPdlv
l8HJwqYxSp+DzlK+w/dJ22QcR29n0mNm7byacwzLKh66beasLEJvJHuZ42Cn4flb6gCELodUYg9O
iUf/2hblp7KryBSMNW6kZ++bsUk2KA6XRxQVd+7id5upNsyN1eq7rrXdQCglnZBCWds4uTtj7nPl
QxElXz2DTKPFPGee8wweha74c2cU+77zvqlhBqnpQYwojYWss8LfNLIMDfCAm6UZvtWdAvqoZR8J
x0lAB9D6b/F8EdJAGsuag+Uu0o838EHBhhkLZYuMPmK7vlMJCzT8AOVMyHyF+6boB/OkUdPXyGpz
9P4Dh/KhmdUKGeAgBXAL/Sd5MCV5b2qTdC5zfedcF8ZZ6XboyInZzZTl/Y4uDgqcvLeDbDHchh16
bvobJspqL1oTRjsWCXVM84YBCKsaINHWUHZBadwkaHqpyLsHjej6dld4qD13SstGFVqM2Kqzwxlh
Zvkw+3RHfJjRmKT3DbMd1fQceiKIbnosMLj9JgL+biKD7CnV/zmR/f/dr99/rdbk4vZ/r3/xZ4oL
1rmk+4/v/7X989/jr9Xa/f7uX7Zll3bzff9VzdevLVDNvw0765/8r/7HvyKUf9eJRwuAjeg/dyxd
vn5Sr+OXcbitP/RXI963/4CFiomWQfzftqTxa9v9n/9F5KT4Q0eqQyeevvraUf9/QCDrD11H5QDR
60X180/Dkv7vQIDo8bxqu2Mc1FEFWBh9Vk2YeDU2X2Mn9DlKhhurWPwhuV0yZZq885bA1lfeYB4Q
c13QoeT9S3oqFFAk2fhge8o5tqAv3uaFtzJu+Pq3ypDOG1O1zs3ECIvOKXNo5mk5e4tpKQ76S9q/
F21R4HZxG7kZzP9L3Xktx81lWfqJ0AFvbhNpkEmbopVuEKREwQMHwIF9+vmgqpj6mcwmQxVzMxFd
F12hIhLmuL3X+pbXbT3pJtc6Sh0/oxTJpruf9Y1AnORT5TCuZVRYPg3Beqv2bnGbZWp5K4eh++aR
t8naSF/4karucFhEuB35bnb5rNYDBhI1Vuj70iH7lsdu8Q1HIHkw2bxvca+wEXOiW7u25m+qljff
FkX41vD4+VBlxg2+dnnIhDezfTAy2gDauDFjk2JmktX5fUeR5MVxijpI2iqkSjvTIaxr0d4iTYuf
6iLr4LdUKXjfqNe3Xuwgf7fq+Js12ummV01Qm4pajpdNNOiXbt0+kL5K142uCaUYs0cyoBpivi8x
WfuqNr5m48gWG8YGFR+lTy7rpEwJtxZW+wPj0sDpi3f4kGdpce0OfbxVCNE7NAUNolU8EWyW966z
NCQ5iQF9SW51r00DJY9uWOhTYs3GjOK9xbSJdDBQh2q4HOOyuywVjeB5DfLLiqiR6Q7+XbfNaJj7
kprSjcsJJZj0urxyanW4NNtyCgBaGS9gH6sDZ215Bxs4H9lrKNlmcZGDYoop+RfC7K5oZqrbmmAq
covy8qhI1bgjDUx+pxGV/570Vr3X+y5Z29lY3pC1pFwbCRGHliqBpEZi8uux9G4B8hXPoHCx97qi
XJdSVzcD2aG7QbUU+gfN+Kse2vZGkwJBwShHH89wQhoMHw7OIsXzflJ77hq/bjRqfcps4IkBhZ5t
TLuMj7hh1Wxle7VEllnMq0Kt2OUg4uJkZr5grXYv/iiK6aGJa5P8Ib8rVZY5fcYS00YjJEDgxpte
8dJLMdPmziPhBmpv529pGaW3qkANkWTRfJNZqRDQAkIFHJHhQrONWni+9WBTD4Rw0V2UpJIyf8Xx
IcmafIW1hQw6erLP7JDVp2ZMx0vby1SitNruKnEEmN9K1P2xUaL5e50L3QJfj1tWWEl075mZdePW
5qpxRbTre6e8TTAtfNOhdW4yy5Aw6fqZpUzTSgdvbE3rOsY3BOdPOpBaKRWB3XLtcM/ZI9zrFFb2
1pS2+YpCNHv1cKwhKdtETzwyjYjbqczngGAcErO6wtqAWFavnFgrgT/1QvhOnbibhl7WTREV0U0T
m/rarm3jR57kHqoTDptPbRg70Wp0u+mO8Bgj8kWZK5s51eLAssPi0M098NpCcYbQ75Xa6relmFSs
NChTqc6UWXGtcEp5dLSyFqytVSgA5tUhM0ki5vVcVL9yTVXdVWcX45UxO8XEq7GSDFdUrzxGfQvG
KUWdHLKRiEZUg1pa+YhXCJ0fWY2pmLpiPOq5qj01QGQ6kiH1RtTb3K4sdbyCT+6OCS8uKjpcEqAQ
o8Lzo2Gy3YheEAjAu5B93GQ/RE6BB1kacdfTXEAoXB5modOR8qVLPV+szV7PhrsmHSP3pxll5OfQ
O8zVwXooaLvXzsYVHLi3StfJ9NfkCKFlO1oATUMHmcXt//UKj4+XRMzqt3y/pv9Zp/+z4P9/tA9A
2rZgN//3fcDVS1K+/bMb/+//xb83Abb9PziPrUV1DySYxZ5V99+bAKCAKir6RaaHhYCB/Z9NgPM/
YFEc3XWwLoPeVBGZ/acZz8bBgR0EGVA1ce3+zabgRCZoLuQVdHQqsHTEo4gF3ovZJs+g0z4pc8C5
CWGgNV256c0/nsYZd/HHS7AQoK2HmMFPZv/x/hLh0DGEdG8O+tBg9+uuFJjqrs0j/b/P/L+4yvIr
/qHKA9E+gvTjKlB6W+VHNb5J6wsV6lc3ciKppMNqllXPJbr56KjHifP0/Pr5XZwKG11c2Oz9UFkw
+Sz+ivd3MWqUjaWnN4GUtbZzBpKzKd4Z4XWuq3MwI/UmH4BFhpiB5gvp64mcHrbYcmm0tTg7AJae
ombx1o9axNYtADA2bYRhsUlJFQ6UOEzympkspqoWy3Dz+R0vD+0fUpB/XRYJODppbtfWTtSURuth
xEu4LJtEyHhF/2B70xxE9kxvFCLM377D5S4xfCyGd5TZp/p9dICqprgTl2uldV/r9c4Jw3FTs+v8
Qij6R8Ty4c4wWCFPpV32QSHtzfO/3yXC0OEnmtQR5ULY/WJjQlm9zbWraLLVne3O6kscznMgQdj9
61jG4YnT0ZlRsYytj7+Bo4RtgoiBMfr+e8ocQ6KTVJvAgCV/xIkcX4mIff3n7/DDwOCh8grZspoo
fBFov7+KOYZ08QqtCXA7WSj+w8g3ydZbaWYqvnh/524I1ANzMlkmTCgnwzzDqd+TFLr4jup8jcHh
h+1WPz6/na+ucXI7yFV1Spp8I5our2ZK/wS0Hj+/xNmP448zABsV3Ub1RAHleak7cEppAlEOfAid
qh/0qoSF0g/Jc0yM4KYuewqAjdGvBViGvUv8zhevjfyXj6NPQ8e4+LhYhpb39/7NtRza0ogORmAp
ZbMQTml7JOqgb5yBec4Ks5x2J1oSNad1Q9Gm246tMW4obGg7whOHXSKa5lHHTq75ydym60Y6R90q
euy8/Thceo2dbKuwUdeGpIWg9WF4l6h6R+h10aXokegwOamTXgBucny3Ej8KV6xTqsabvNL6oKO9
YIGAUleKp9nrTHHiq1wIao51RzRxgtvbbrp0H6u5c0FHxP6uFE5JWcea4iu1VuyLPFoIM+gONrFi
9RccMTvG4ShzgLVZd9l59CjI9czXJDUiBnDqn7ZeOIcwKYyNq9T9usUEvDP19pKUT/kAU9I8DkSC
7XCW55vKaNK9WXBuyDvN3LYZY8uhwnXlqlmxIelpxAg79t8MR/JHMldeUnuaNtXs6hMWsFa7IvOb
xZd6lB9VXXwM0374SUDrdOxno2tJLQAk4PQp10vmtwHOxXMsuga+lZfPD/aAPH1NqvNb0yDT9a3W
lL+VBZbpjykxMp6euPF2tKV57HuVP7Q8YMvUrqrJ0lEByQLMzkQeTUEk+GVuhwYGapPUw9AqQeHy
+zLfs6SDti1VrtPIfJMtc9QwyUXiNj6Ys/7mkRz9fSRC1zc7JXlGzJzu1anmkTQxa1g5mG+zrBpk
40M9BynewRXGWl6CFc6Skzt/rxj5HSnVqUPhWe0jicCOT/vLuSjcjgmrGEJwF422Q/gbH7Eop/uo
ZFx4DerAQXfVXQUXL1th2Ip8L5xCEPjo1X2Y+tHBmkw9mDXAUCh0IArXqdwNhZsFqZX2d1k1d3dg
iPnHjdfyYaBePpICXhHZE2YHbEcmB5Kq2/T47G5cj8eJ2lAL10Uj9LXORu1awmRP96luF9QoCeim
WJdolHIJVP9m0qY8TlGi3oFCyMaVQMZ/Q3E13cXEh+40swlfqXsbHl+JEl7rg0cROIsdp1uZWgnY
LAzNmylu9DWFWBueRmQeJtHUl7XiaN+0Yu73tifs21AxlF0rYuPW0YrocjCtx7Coaeo5sKb80epV
GAq1rSPwkgjz6Q2PYLvi8JUIHMAyYqjkylA6ZQfM1v1tppn7W4mWnADs+BcN7tfXmHSWTdTVprbC
qaNulFbSAa685XmEamaTcDeiO2x5km0PvpXIRjXQWm0KChoFl3kUmffqmM0bMjk0wpIUS9uBa2zw
55rDs6uH/Y8ytOKjWtRq0CewYteUtWHPgcUx0Jtp7k8ta+WhJm/5ujPG4aUxjJKuR+TdjNps3Oee
BLzVtq6yGWvNuvjjrKGKMm8j0bi3aLXLlym2hmMzQVIZUaVdj20NunZ0pqu29qyLTBjlTuMs6YtJ
2ndiMty1nNmL1IPi9r6l6lyg1pbJi0gweWxm1SlXsxpmDvwZ21onGDO2fTioRJzYWB7ivIrv6qZP
f1mz3QZazySUKUW749OATwybiHaUaEliJmh03YqkBV8Sm5tONeuLfLCXcPWqju9nXL3RKupz/qYV
xgjBPCdEDVHOB35tdK9r1XyYsqm+sFJ9gQyGSHJS3MHpyipSb+9yPNlWYOHWjhl5e4uErC28GTQ1
aqTscKMmsJ5tcgp9FyHtliOJ3KhT0+yVBn7mimbktA3jUIF02CE111Va830oeQ4joapo04C5lXlT
vw61lExjfXbMCTXfxakK2oxZ4AdxPPOm6h0nkJBh3hy1nLf0Ga0LvdTKHUnj9IRcJRWUWyvtVTpl
O2FpTsLfLUivx6kdhxsPof3hzz/XS9tCkUC5fBoj2jczupcbeKrjTetOyOiwk0wbvuGZp0sILHFv
SOP+XDKZRWZiezVpgk7UxdDKSPU1o6f05NDOXvfQUanJNYZCK9KerkoRpdQ0I/3bYmL6nppx9dgn
RbGTHvl46IXCTTJrKttk6kBDrXq+OnYA76ruxfUMucez6GarqEstgH2ZuuysabAQZ3ftScR5UNWo
WzXoQ2D1jf2VpiyyikmrRogwiCgxWmi0bNB/wPBw++IAv2jMIKDYskO/tuwYy0X2p472HHhJZt9p
WFKeZdvPx8RseXWicLGiC7fkKEEy7QoVBJelpgvXYCbXT2vQylVOrdyLxB6IPBx59a4xa5cVprZ9
hx3ul6fxr7M8te8KDBQXoQYzNrLbdo3whcihOlTcHUdfVEBCyR5JxfN2ZVnbd15tKxvLbDzflbLc
RRkimGZZ7FpPa1dK6oy3g+0oG0PrPb/ygLkjih1vjWYyX7Sizjel4AO3wwVJzhftQ6uUm8JUy7eU
NXxPzbC9RwA4P/IhUd6NlQgEZefdlWnR+7bZosxrRLlzG8N+lpx+aYEneniZD4TI0DMqoUOS9X0L
3wUxgqL2b30ZKg+or0MivGSqrV0IcP96T5kcw98TNpPNaBrDVjVhOGE0Ue4jWDwLx2c6pLnebRRr
TL6XXesevaoft4raWU9GRxxX3yjmE2zB6ZqVyt7S01HWU5Ioa4XcIOguCNhmrJvfqrgoNzqMpI2S
EQP156lLCw9G1brujZ6pW+gYJJ80bXoB6Uajdx1XPpSdYcGuqNvRqtQLeqHlpvRSuS8maWxEjRpo
bFSTQUzi9aHTp/wmdLVorxUxUJM/3zIO1fkINxNZIVvvi9lNxmuCAkDCkIWGOl/2NarmMrtR67TY
29NoP3th2O9kyO525SYshups8vrner7K2mq+0up2KXhB5fHVKYuZAjXtW6wkr002jddMCtNeF2F5
4zTzvMYb3wGWasX0qI6VZa0odKfoiqDtOxrO0tyju9plTnpjZLGyxWeXIT8urAuk3eOthmoMsY4Y
b5Ags3TT7Jc7p64UY4XNC6uTruGUITQ19jasTf3e+xPRCZxJXCHoLjW/dMrqvqvGctsx4bAHIjHk
QjN1eVNHM8rrzu4RHefz1TTgkarDP81QTZlWdVYq9yTm4LByi54ds4kCL++ZNtSoZWhKi541kgl0
gG5fG1jT+nIntTJ/VDs+p0LMbKu9RHslwXW6Mou6XZvDoL5OEKtpcCQVYdtmi2qqZWAmgBIgTYCo
ajLHOdiDOW1cuOR7d9J7og6nHgZm4dng42RPCOIKpM18xLnGmAfmVREHz/9zj9qS1gtWuv6yk3DX
Qv7pbWpoOP6quQ6DVkvNXaIa8z51QxskZbJb7uhm4b34s2fF19qc6K3fJcWdPpK7ULlpuZnJ6NlJ
C6PeyrAQgE8YUEFilfWd0Ruk/WWJchGF/W0nJgfVZx37Q6q8ubV0gHWWz0aHCC9Pp/CS28jWAKGY
OQHRNFvXbYZNhYt9BzCIaFL2JRcmNuAOiKdK9bOjSC5mq/BlPN3qYBb8rLWLn06p/Gxn62bUW2Or
j0Ox7NvqvRs7Ov3f5H6oYmwULuJJZivaykrv07MroeJQWfEy91nBs+nL1KBpjIUsXLsDTYTMIE9A
daWyLy1hbnKHXvPSm0Fj1VHiYMYur4ilvhJlHPlZT1SUneRVsqqMvtvNcxr/iLreCrJRy+FwdWOP
bX2u7gSWEqR8kVrjbtHjizi1xW1ZZuIZy+ciJZgQKxM6+1P0jn3naI05rnNUlvuux+6NBw/JP+Lw
QIkJ/FtXUW3emi7p8hCcmjsRJdmmLzpn8mktgf+ebXszYrwgOiuOd7lHiB7KXup/ap4cIjrTCJNk
/eo1c3GhIccLAB5ZHra6KkKSvSW1Pcsu2vKV7b32fUQofaV5nVT9RreqY1+nCMFIDRluQ0x9e0kq
1y7FjriVLomoelGoYpV5CnKFpuEtrsfQeqXfhsyqB/N1Y6KbPpaWrLZdMjXf7Yb9FbqsWL+eQHx+
z/LYOWSoEJ/CyVEBnJed8aguK6SNaXOlxm4cjMS4X8SJa17FRSufSgkjHTTjcMitqL+AZ5j9lGYa
xjT/eblVJ8Pb3hHFr6J11KX/h3e+TStYeqFwDpCkzEuSXKyVTVMXE2lfokVJWrPbTCTdPxilU2yy
0NIy9M19fF0p01vWO+6zjocWlensggzP561FKImf9vQZ2OPNLIVxEXerThmxX04NM1map0Eq+nwl
iHri9bLaHiZOFesKKwKCDuLsW1oXbVLcK3nyjAEPMxCz/IoqsbsuvYlDsSaeGiMFzmrnFA5RMNQd
gkcPV4JnF/dVBn1Szrm+b5qQrdQmKqYwMnwzE26nBEY7KEXAcclW3iaZd2I1NNZe62z3USoIWjh3
ujtOMbhqlIQOpKFIbMFOfstWMX0ZNaN6SOusfhadGJ2dUDBhrpIQ2t6ur6wQ4UPGlsZUZHk0DXIi
EXcl44+swby96ogDPvR69xYNLgRtasmXo+eWFwY725+lUFGIAKta20p2PVcIqVatoeQ7SaStP/Cq
LrNe0BgFqS2vTd2NrlM2Q6vUxNKycV3CEbBehD4cRR3njfNLlmq86ljTvFVHoBeKNDkfvKrtbjNi
uNZmlMeP9GANFi5HI3SjCI8tuMBXgxwNM22HH+Y03s2dDruLFnC/Vijh7NJ6ZmYXioEcvMvvgNwN
0o9jxKGWmqOUDO12a8edugU02KGUic1AcStzF8e2c6ln9sTk0nQOuYseZ9MUfBktcSAHzIQry1Ci
rRuNzj1HHdaTyCt+hAQzrkXkPZmjOVyoiGp2/BUd1Wct78zE/OXkbnPTU09+jXAPbftscHETGVN6
5XnzsAMSyBOrXBcMRjo21Fd4KEboPDl9bN4nfdVs045+mN4g3cKM0vtTbHtwu6wdzSr9ljPI40Jw
uxnFbB/qGjOKHKSNU60MXyoPU2zeDG6AKDq9RlQ2E6OqcIrRG3a3Y2vVPmrwEptrG7HDRYVeFHIv
3ak4holi3zo49dZ2ioVYi3vjt0bipl+lg9g0XRIdoO51N7h74kuIztadKVKvjPxpDpXue0o8ZRjj
xy+Ybje9MMR6lqN6DMPODvJBdH4FbXo39UZ+J5lxF2Gk2Hher+6avLuPOrj7I8FiByOqpp0cmh+x
VzpBiufIH9gIHphIlaAwvP6SrZxzGMwium6jOmP/W5W/acL1KFKleDXqVHwHPNXVHAHqOHut4GCq
F5rowgt3oJ9LtWTgY2v1+w4jEAJLBHXeNf7lCNEdbpRxZTSVsLZ1SXqu78aNd02gSX5fFvSRC2vy
dnHSLmJBr7i39RZzpOxW6sxWpamN5qDOw09YnsUBQWXhs6nikERVE1Z7lu6BwmkbjhOBgoIX9YNr
PZMb/FgQMIRHrooCdoX5mnLHz1ZPunWF5ADhJesr6osAj8CLwxFkTOdLq1HRZuY2lTPKRErnaj9N
Lx8uzAojoV0bFFKyEoN4qAU9tsvfsW1Yt9AH9GM7er+hN9BsZeg96Kgh4rXVVjWc1WYM1yg3HBSo
VrUjC6Pb6Eldrm0ZoYLGCnj9eTX2YxUUWAmIDNhktAb0U5KMPeZ62SuoPQeT+h0N/MhPRMU3We84
jxdfNAbOVctVoFN0eYAY43d/X3N1Rmtkn+RQLa+olpOiaK2SAhYUcoF8/fmNnbsUoblExlg6Inv9
pPyvtrag/Ehhfojd6H5MTZaMtNeuVPllhMu59hGSFaBki1UYnPL7u9IyS8UozqVKhLWXWS6zwEaO
6od8vKs6GotdRcDsF92Ac/ena9h/qcORN356USsJNV2pSM3903jQTR6l3VCy40z6VScFFdeHTgoD
miaVQ5PD/NBJYfKfhVCaAL8MAtU8BBqu1G66z3Qqmjnlj1vxp8WTz/FVl9Pi+fxVnmtK6Ji6Tc8m
yU0/RZ5MkSkAy0Vt4BY0B9h0Ucioh4fPL/JxIJAcZ1HVNEw82rSu3r9E0xKdoVReHUQaqhNZSdsf
tKy+zJW03qOR+iqp++NNcT3SRjymNih6p904fJ+qOwmjDopyZM6wpyM6EeeL0f3xIzHooVuaRbUF
Wd1pWoMXwX8GU4yASxIs0Ar48ZXoL1FCfYUpOnMlboIgcXPJfoRS8/7xeW2SzNPkVgHNTrIzlPbC
mJx70aSPf/2aQGfrqsa7YsIyl7H4j163LYrM8IDGBHOCZTZ/UcgtSrPST+rwi8Ap/eNnjzH4H5c6
mUE4NiK3sblU13vU0kozWhUDNt7V6AE2rftyfpgspkiI7SHsapOCm9rU4XebXSSIf13ihHFKDKec
bMk6oiZVmHN2sNxUHCS+sT3q6vkqzNmaEQ0GtAI8y4atjtzkukzlwenz8XqoOopKUwc0kpNvusLj
Mn9xo+YJ+Ik+NIOKUrvKAIDXddr+JulJMTwoScHcxvLJK5Yw8979Bps0eSnmxRabg5ht8vB7AwR7
62RokLGR7G2b+ETsYL5W43rTu4ciZK8isfqWVfFNDC7JXJz1iLapN6T7UgJI8G6ETWroxHVX/arp
decACZWsA7MyyWUAqCOlq+P3ztI1p2rnMjPRMqQZYqSRDu7ai7CkOKiSTGYwj6elK2zlSE15dcKh
/GK1OjMl0NyFvG7RxWYVPvnWQlJD0CNMPJdUaS97zTP2vPUxIPU3rRab8BB8/nEvX9T7lrWBhfeP
aBbZi3cqgagrEz+kKCp8mxJCflIVmzpqMD0ZQu5CN5KXMdWQezPxvkpaOTN8mWABmulocT5uA0ju
6JW4s8uAk+f03BMF+KOmBHtPpkD69tc3Sc+V2YjjB/85nc1pVbAFnIh0IVyIQmW/cOkpzrZrJS2b
vd1mieu39Lym1aBTR/v84mfuE6WFYdOeYrGm9ft++oCXj8+C/OCgJRkRiX55H40R3deUwIG/vRKU
f8YT7jN2PEA231+JY1kbVbCeAt11n6apHNa6i1SwAYP2158pAgQEUwij2BCop1l1oq0q8tA6/HRa
B2bDphZipDfDYNkAluxff39buHxRPJgajZ3TZStKckEwA+Y9Ot1GQDBiWVHWp8wK2i9rv3iGHweg
qRKOx8KlWfSYTpevmnYtKPyCO1PM+9hQnurZ/ZWOxn002F+oEpax/H7ocSl2ija3xpz/AbMH/G4i
wDQLDJFvDMoXXmXlBCdjKJrLHvsCOu/Pn+T5K4IoRca2DLrT5cUUjovtOwtqrT9knngBP3ZvNFm9
6kAEr+JO/wIa+vHbB9yJvv7ProMrnnyRVosSSWKiD9BLHqa8D0wzu0ls9YvLfNzYLJdht2bgqOJh
nmykelclKYg/jWVNV+4Vh6wPMbIifv70Pk6VXAUfGWpSXQXDeDKQcV2PZZpqAGsMDpkcvvw87X47
pX1Ma0mPy519Y/oKzPuBfweH8c/E4UCqBnt8OtSQRksPIVgWeNZEYSrH+OuXIpuvRo/G2VzSV2ox
ZekreAlZDEMdZ2rZqs5OjnW0z2ntbAe2RfNk1d+8LsuwOQk2B8u2oMbXfIFSxX7w9MEOIixCf4cV
Zpnnx7veIociFuaDBYIuYZxTbMwDCkblJp28lLQ3Sg+fv5izXxm6Sk55BHZ+2HIWZs0yElV5UEon
B57fB2qm3buO/GrXcmbAWuRIoqq0bRgZJx+A5YASFYQrBUCLDXrLIclatjpuP7+bczMQQHJOxpAP
OX+cfMxzquojPqKMfn4LrcBhmRqtjkSMNn/tU/Pvd9EcsJCJsmSQpINB5v2i4coELlnMEJ2y8Nfy
7BrSQIomfPr8rs4NHiBUQOZ4gtzYybMb2wz3WMXgyRPLvc0mjap3aP2i/lltm8hyfw65SPcc4L/C
tJ6b85asb/bVOLo/HHqoZqixYfYZac76jSyVlwW8L9JHAaSG6Xr3+W2em4k49uh87DBUP5xbc+7R
sUWbBSIS2a6wLec4QOhcf36VU1Txn3HFQ3R0liMDmfPJvOp1+gjOoc4CtxvUxyRWq62C4ngVkmaU
Uy53hgdM6ZXfVbK/qacyw+frGDvMOsZmnoRNrwcLjVaH3SYfXFqkXZd+dYTWzj55RzOWkWnAPjt5
5U3YqhYoTFab0aRyJ+sXTXqVj9Cj3SeO+9SBfyHkIaauWIJByIa+3YM2+QE/D8O3kAeBdX6PrtRb
2RNAEy/mPj5/kGfGGm0mtqDEDwBTPl0Qc4ffkIxst6F8/RKzJreqQN8U5rSUp38p+v9XceiZx6H9
kf2R+UTN5nQbo2sTyQCuZGsfar9UJIhQpdSXdsJI7Hiku1G9kl/sMM4MOk2jiM6OhhXrQ6Wtb/KJ
9OaK20utZ/LAFF+nkU5psZlXhj7VD3Uz1GsapH3w+XM9d6+QVrxF48gG8XSmJHsJBZDbVgFnteva
hpBiN/mRAlm0gsb+OLnA4D6/4rk3yZaNMoCOT4Sp7P00xlgZZGvWVaDASfYnjRTREsbacai9Iihs
DtKfX+/MmsMNsocyWNjYLJ6MQKIGzTipeLQj4Sub3GyGtQqFd20gUvtvLuUB3naBC1J6O1kQhEMw
RVFyRNO8qry18hrDuSPtiwRk7RfT17n3ZjCgFh/CUnzT3z/FHpVKOVMZICm5u+/i6s2y6vscXhKx
ivURQJv868MREximCyKLdZxMpwNQGyl/6+1MAK4OG0B1hm9N16wFdYAvLnRmYkZkr4I7Q4uOjWN5
n/8o4oh5QJQRcgTMI+sJhvbOnev7Lz4Jg79xsqF/d42Tb8JTUqz1S3IoGlttZZJjf2it1vqmd2RI
h/mAxzFSQcoPDWgSO40eqqFx6N/TPulcTNSD1iFQKhOaLyDlsNhp2gYWRB4khmwOeNzio+5FhN5M
ffg9FGq5K1r0EpxuoXn1UbiPLRfbgrrgZbUG+VxKR+3b7BXoH0qtzbZV0TY7ta9DjwPUGN2kucru
sEoSgpKT5oZE+3inNe20z8EaXPdGXFz1II8CN/PukyprfZ5wBkcLJfUqRrsToBcCKjXMYhN2sYV+
L1vShCDmAGzutp8/3nPfJqu4o/GdGDgXTr5NcrdqOdl8myj3XupRvrjwD0xD2cIV3oTKUP0Xw449
N5s9BP1YRE6uB3ygrI2IvGRZx0vN6RqS836Q5Reb148lP5NaKbVm9iaU6byTy5hjFmOl9MoAXedR
iKRBxuP+rAGgV9EVPWIIg/qPqCm/ODIZ569LlZYnyuH6dEPmiaIuxGBRE6mm+TkeVVxCjakc0Z6r
+YY2Nmec2irCjcz6ep2X6HaUrmQir/V+byG8tdJB2Rtqp2w14KJ+iFaLD07saEHQVPLSV0vrOaiP
qHMyZwYDI8EsJz1IoUgL7/TMbElIsDA9y9QERzaLaJPyewjNEm/IsLXb1M3nHcFo9RZHF/99MVs4
P2W6cRSgXbVhffUqzs3pNkR/x8OYwwtZHtk/5ghcmlZRZgQNq/IFlMoCs1F3mQY05fMv+dxc9I/r
nG6MetEXxIJALHOtXPVL6g1+AQny84ucWxBtgxxuC76sZp9Gcau1LsgWb4j77irXnyzYjKr+VGUx
Mtd2+sJ0dvZi1Cs5s3i4204PEXbDZFTmjBUlJngTzsKuN8UWURbyRpl88fjOTQQ2ZX9WCyx7Hza/
+TQZdoqwAf5Kc9Rbx/a1cHoC7/EmE9qIsf3Fk9TOfRdLG4oDLF0957RPM7ci5/myT0uxL2O80LWD
OzfDXqcWv64MJQ5MUUswJp7xLVGBpk8ROuOoSmBHRm629YADPjio9FFMhxEW3s/f9Nmfx4RIGYn6
La6y958tCPxWyWK2OUMt3gwveoz1/i43aO3+F9cBXYH2nD7qh81B2yvEpyKRCTiJCqo58qWcFHD0
XfPFQnpu20pxij4quUse//f+hgwypODczUUgkXHHLaqzoTw2RHukrnaTV/V9kXtfFCrOfcD/uOTp
hjWdARFiJS4CZRh3UVe9efD4otA+NFX/xZnDOPf9ciJdssUdPGKnw18Orinm0SmYZvTph4zFb1JJ
bR8unutTvo18RSiJXzAjbxJoSbtI0RaxVIMOB5Lfk0lR5Sms3TbodETEGE2Q/seyuSN6E1pSmZM8
GbbudnQG99G1mDVXNuAf7NvtCBF5KW1W+m910FGYA7YchQqNpbumOy42ki1f4vbDqpiMZNMVk34n
0EGy2GNx//xrOvcUvMWpS4mD7/bUkpXnom1LJMPBLGay52ZtJVXzyRLWBTXTJ5l8GT517hUvZgl6
1w7F1tPHLlItIjiBYZLUnoJUpWugRHP6hSSxcICAteaPf32LrOuL29jDFvPhdOnZk1vAE8yDzIvM
TdxM9gLqn0EkV+1TSpxEgCro9fNr/nFwnmxCaZwTwKwzRDnanpy6IwW0mk2aZWBDHfHjobPvzFjr
/dKYrAsgSPmj0AnmTk0EVH9Uw24s88eim+UGiKi3UyCAxF+8a+1ju8/Ep0jVZ5m1nQ9n32i0ZthJ
jOh2DlGXEfS6RSNGUmq4BE04NkQ120LMZOUbL2pif6Ingxja1NafPx3jzFy5+MIxaJLbQ6NNfz+1
qJgl7UImBb7l1KA1skiNEyOfj8gdS+uC1+XsZYpAENcDeOCcIrKmFPRRiRHrbwdjUAlQDNXnmMxS
X5ez+sy2uIRuxyeFiSHborOxdqhk3yb0kUzZ/ca003iDfM9cN2CdSWMAIkB645INQkRwZtxlRjne
MGzxhUwMhKfY7bxDrjrf1W7K/g97Z9IcuZGk0b/SNnfIsC+HuWDJlcm9yCIvMLJYxA4EAjt+/TxU
S92SakayufetrSUxuWQGPNw/f+9vLub/28/PBIwddGeb0P+5cUS7LS+73uDnL4v5ISUpcphtaKSZ
pqS7v/5d/28vRRaSrAHb6Dw2tirod9UUQ6e2rbbHktfAsBKtuy3YzKI4eWmZPP/1a/34u/35Xb91
fw1urzwG/3z9rxW7HKYq43IwWjFMFQbG7F+spraPRTOGNZzws9ao8W0/69O1rivJnd5DSTSNUuxF
rcrjj2/oP/iGv8M4be+s3/3tfhIqXH+f/nF4q0SXZvL77zEOrOFv/+WvGAdH/cWmvULflr4V76zf
EA76LxaXJU5T3sMkWTbXwm9CBehP22yGLeWNAmUZnEG/MRz0X9ju4l9n3vxjeGP8fxgOP1XvG8OB
7sjWLedx8udaF2zbnLSus6IpBVJnrNztdTv5m0fHTx+e7UWwPDHF5ef86VbYN6Mi8LABPyiQzcxO
tyLsZWeXjao++t3v//afH5J/kNK7pd7su//+r58ugrwUV1B4GCalwk/j1aYCKJMnbArNY8YuRpkV
Z0bpMfB2AU8V+deBXXN0Ratlsoy4NH/z8j/9OpnXIEzkPNrad/g9/3hMAM92rcnW20NeT4/sAj+7
LOb99U+4fYk/Hg68hMVoyGMl++fZg5TKMqix1h4sbXqcLeOJnSh640wLCHC23//6xRg5/vxyjHNd
y6RI/lEt//EnMtgHsGe8BQdzMtpTUlSaYONKqU6FBUunBElvxlOLuiJpe5W0MTBOhGYerueqADQR
Ar7KfEdPYBSlucvWweR4uN9hYYBKLMuEOrDz8trXW01QqaWeL2GCHeFIGu96Pu3B6fSftemygSZ7
VWehz8NFtHhDxUZ3bVyn7eCFSEGMcFCX+WnJY3mV2cmU0BPeYqEmLdNH2+KQzhan8T2CRHdx0lg3
Vl8X97YFPHM0Ye0ixk6uh5H9b2g7cdi4A00B1Wp347CuR3hAF8CUI+2Z6tN0yvsmM7+BPL/rZcP6
Hkv+J6HOr8loQmCtcpt1Lr5mxUpkWIi13RetRWy/1kip5tN3mXrt0cnTG1qDSph5DVI4vRoigFr2
9QyFOvAUOz7pifHkKFp8ytOsD9oOSj5rAuiiFO9xRk4VLlqeX69emzz2Nj6IwYUC5o0JtuyEIPIU
j4S8yjjK8Stf6s4KhhRCZIwJ9Wwlql1EEzD7ZSMLsdkJMQiZQIYV/rF1kG6mpOIC3UXlJH5kj2uh
xdqunqW0v5i1ozynxShv6kbj67io0h4Zh43nUmbDgZwAzUEpWTnFkJqeWSeWl6ZUrYiVHjpuE+x2
aEX5bduwV5RPbBOMy6DvxqxUn8ymcMFqt3OgpJk+vAyZigqCOL12hfY9eczSdo3qjP212K4wTRMe
Zy8y25TPioyv4jiVd2Kt5W0lu6sYUckLmYf+0YQzfWiVVLtos2GTGeS9ABgx2w19Pe/rynhJC2mx
BpHBA84dYz6YXeaxAJXke8UQctuxa26Hcgn1blguyQwyK/BEqe5YP2hfGttiwyezBXC22cr20jOH
cxZPhY+W2b5Ftb5jWR9RX9zTTPW05DUfihRuv/VMy/1kVnHL3WW6E0vBrKsD+zbmyt4EYn3uOyh7
WTqiwxyS6U6JWRjQjYxrErLEwwIk+GiJrj0vFAT4rBKruakWhv68o4mk+gTn1Tsjbpe3TmnUoORD
c8VGlgLNwNb3xuzB2CyhXoF2xS5VxK0TtmrLqyXFtr7kKWwlNDpW0FikCBsVN35xi54OmZtwmYvj
6TzneQ4dYJgCm9WcPSS0mM9+xSKPqcK8iwfAblbhURSX02nV020/w3B3cW57T8wccrBvGflsJ30z
YuPZ01aUF32v3jPKUg/6aLyybnRFTDFh4141fYB8fLYJ8fVmM7BLXEh/ZTMkjCd2v1oW9QKWny9K
1wqSDHEZok/7wDKPFIUM7OK7cTIeYyUZKIXVO1DNu34ms06GDk082+z7teDLclluv2DqciqOp0mh
4JMsFemN8daNRPmaVNhRN+9akRiPliW8oNYKWR9rZ+xuB0UYb9we3GNWTQZo7xRS3IZLS1MYraxv
iPU6LoseeVgsli+N5pZXHEjrUZu9yQe/9iIbuuu65yr+5MZNgEocaquaXiUs46Y8AFCwqGPvJwlm
vrLS6uuuco/lqH8pKmgXeqwB43XlyWRFDTWKEodxobgXFk5pRXrgCtoucgbdfGNZXLzngzHeCGiL
nm+VfPY4EuybbIESB/OpPNoVRCHDZZuDzvj0tQF06FMNbX5oL1/YGLf5ABG2n/NPD8rcs8Yu82Ps
rOYdvj47NEpPC7SyyjufPJCxd8q0j2xEcXxO7PmjqhblpiCFwK+5Dgrp5E9WSht38TJw4C1bFSyQ
zmaACNaKShfx6rA65lVpZBNYIbGOEP9c5UC6YcMzON8Y4LKfOHr83dvYyo9u7jqMfCCOYHerIqmb
C0SMBZ1iYUL2tb2UwF7TnBsm0Aert6wbO2Osz0Jw8upaUZVky75cUn79Yzp/0Ti5Qh0cFuDEpXw0
3ERjtV8TKDv7Qn8wWzuymRE/E9EzX+fRTq9taa/PXW2EDeTfzM8hnlwPmujB1TNS6HEoHcwCBjH6
JyXk4flZF53ux60sdnYSd0eej9NxZMGSBaWZYfwZju2iA68pu+GfdcV/ivy/KfIN6tG/LPKfl4a7
VvL78v7X/+bX8p6hOzxWygmb8l6lQcI9/DdUqwamzaLtZ2wBij+gWq1fthTgNgalsbHNQ/9d4au/
kGpnkKFytSVsxv3wN1TtrxUwlNv/c1L/p5IUFBhvQfIbzCSZFWJi+2MBFw/wnJGSTNdD9ZF0sGrK
v2nS/KlC/OkF/lTzyplktph5ATe3fUIZ/uC9ZeN1Rr+m+vjrcvTHmOp3xa/q0ianrt5uxkDFfuJi
LVqn0VYBQpNb6DpzQR+Qq5i9UMvr1Fiv3Q/UYdrEbq/u1X+yEBtknpARyfW1SfXRtMhCEqyTZsoV
bh9LWCoLe0F0CsFCV1eDNMHUnFWbRl5JZRrLR2D5C6BkbOiPS9vvcj2zTkxumOm0TY5eJQfZjSai
1hE9GtLqfX20FU7waTRgVluk1tLigSR0MkrgAvXoNCHfRMX1xF501vQG/SQ1kX1Z5nI4l3GLdm7d
QFW7iorIqM5Ozwq4Bajh2mVVZnrlOY7oREkq9tJ7XQZE003jxlQcseKX8FLlYVKRddYRq60x8pyg
L3IoBJy9Mvs1kPSfU+PvTg2u5XyS/kUZ/Kk18Ph9fuv+cGb887/4De9s/GKpdHho8zCzdNh8+veZ
odq/QELTGdMyHWYyx8nwa1vAsJEp2vwjsnSg4eg0/+vQ0K1fAERy92RqTYNqayb86ZD4q0ODA2Jr
Hv7uo0bYhfEQN1ndZJ5q8Fp/PDfUXlFGCnT1OLW6fB4V0/G7cvnmznoJHV5pYWLB4phZTrinN3/p
OjF+tce8JYemPLSq7E7DYsP4oLlwoVJTjkts2DH7vHhlh7pV3gZnu4+hOGwPphuzUUrUKOlua8da
jDvTzAqd4Vtdas4RWZCrX3vmqjZfOqQolGpKsTbGXqBvEBdXSNWBmjACdADD5I19xRpXTHxhh1xB
dZB7TVK2X0q37oHdOnVVarhkZhvssx57feSkqtnt0tLUWSzBmET+dIMgq8iC9AWyZVbhKzo5zaI/
mUvSMfki/NdYQW/Gs7tnG2CxjpQRgPmh9GVO/hgvijKMlKrbtDltrOYtr2P3IyEmgcdW7+auhWKL
1tgO3M7J1Id5lUTYer6FDpNGo5/pwK9gEihQznGu0Z6desfqdsh/czQgTY6XG//coUoa8TLXRGp8
Ymc9ZezsRhPX+ZdlpMPhQl6EPZ09JNuEwp+H/NLihDzk+vSUN5mxz3scUhp+2UMxJdCK2ypJn7M5
w4+8jNnRcedLY8ozjffhuUuqGphXd2tUMxv49Ug2d0zsbxwtE73n6WXNrQ6DihcUs3FM5uJpHvva
XzwtPxGtfU8y7rlGXAwPqztw7K0KSH5+pYpBBJ4tmGnfOamzc3VWfjzvflyzJ4yAnw3I6/PaIQzx
iuR6TVucFEP/QvrjVI1NfSj6TIRQIEN4HTrpYWGfhVC1nWzX2zSpGr/QiyfBgYgvSWkiPEHf7ay2
L5WNMBhols0oeVZ8bxgYmxhxWCwDRIQRWNVMeannhh2iapkD5vxlYELNvoqHUl7cfiPd0YU6OkRO
uBgzmRoUpERr17rv2aCPe0h22bubtvNpBhwFTMVS7hOxwNbIk++xETc3ltI/WH02P9TVUvK84kSH
MZwdUMLZIGc45g1oa/g8LIpFejRHzoV0J6Xu7RJYbIGVKt5+tKfvjVVUxz7tmzDm7PDZ0iB3E8/Z
e2OYTTCimoySBE+kpyIhaBqDa03N1d9aUWZZ6lhyGcLN4urzo2bhyJJl8YS5+biuNT2ZDjSI1SvP
FrMC3yjm/JS2FuIHYWafxmDJV2ryINd6Py8mwg/d2EKzGBa1uKrGYjjbds8nfpAueTJzVT7ZDGRZ
a3RdRnGN47KsjTRpXYKlmhXqcnW4J/A2OQ8lbIFbW9WxYLSxzK4FzbCd0QCAjh02+rlVQAEE19EH
vaqtCTK9Rj8B9ZIVM5meV+ONVUCYnvpvQ9mykR+P4y0YJS0YR94Wibe5u2hdLB+t4FCNEseEcNPT
dtf7aZk8GAH8aeg1kYoOuFha3Pu6qf/U2nYjq06x2IFHGdJPcNYen7XJI8tmqq2gJe9a3Utn8W4B
rG6m604bK/Wc1l61nzJXBMgl9L0KtBEIzHR0lhzjT9pwSswT+9uQtSIL6Md2wSFGJlojirFwsGxP
Kw1D0NeZAPSTk4n5GrQet+biGX+Jyr5/0UQVehOQC+Y1yesilADvzrWSfTBDlWEG4uSpkjkQBBu6
94XdrFHzmZYZ4apV2m2LeKot9cIl8WJ4V8Ism5Pm9TvDMcYrGOvinjpTeSDs4rzplZWFgJnaYK08
CWEnSbdNllnXo7ip5x1aCfVix3RY+xg8Fjf6/hrJYBPxdepdg0xgL7dPLao3EtrraOziFg2s0pYp
hcp4S9I+i7KlO0yamnIlQmzOs2R1MW7ZKH2MBVhSYx3MsfK+Sb27c7DDTH5XGCO31f6rjRLdz1RV
iUBgHU2m0WExsAvs99y+PuPGNCNSF8p5Gax0546DFtbq6kWimSnogELtYlPjPHCX62xyi5sN8nRZ
Mi/3WSV0wqyesUlBjwhGB3ZTb+rJPvUANqqT7gYw/QZfaHK/IBriDO4v3sCptRpgNrDg8k7s5/rY
F9CPCJNafqJN9+xbIJNx0fU2ZgWyf2g8ksbzXlla7yjVMWaYPqu+Y3vVt4UhUKSiOgsGTaE30RU4
QdDRx1sV3D16WU5H1C0WVipLL+z69gi/HmSKIj4BI36pMqeJVm8adircuGBa0BcoOP+iFIHUbhiq
+aQU7Qf4u0vZx8NZo03rrxPYhRJu3A23DPVKJ2aMmG/Jd1PWq8eV9a0DYjs49AIUEHz1LHCTgnux
y888FHnp61XBedfar+uqLn7tQsdIi/6VmWFxtkRMhx70O1ojBE/ocLQr3gMdlkmUeoDPPlnf9HbQ
Il4JosMDWqEwEc+y4kvcaLEONpajn7n0eyW0KVDLXt7GhR4H6ah113RnRx7uOqZXNXlpNOtTeO13
s8/KXWlRMIyz+VzJAZ1c0bVPJVY+f5UmhpZh7j/lYEL27PIiNDdfrwNF8pZGRn7n6Y04qq6+XiFC
59fgFK9DFashh2nDqZ2Nz0wXeGD0xgOjVESPCctr+exyrttZ+a5jIAgqHcgN9Ft7l4/OEtSYcndd
vlZXbHJNUb+smKWN5b1LEWONhIL9yeN7mNKiAA7Tuk9koNbbwugafqHAlbh9ORAp+IUJvv2Rqv+F
j33RX/qpdunqooSZDHV5QKV3tMsZE1HpJXdDV063Vh/nLw6cNnYW4IGVCSyUpjsYgwvjZU5zEVkd
Xi86P6n5xbOKDQxpSx9GXmQyBNe37nSyqQAmnD/tBsS3Rxo/SaN/WPVcI0rk7+zrQmtuRm3tDyqR
kQM0A/d1Kjr1ZVDnbzkY0ZtVNRTIG2M6wrPpjRursscIbgkyXlMVZNcIMgaePm5KKMviHaFW963r
WffTonZqwKkJFC7WhR5YQOw+0VKy684HNeFvSmoDLbgj7b0QmsVHprbJr8vOw8EwMPCHk2kQEFmG
wOnVK4Zl+dfO9tR3bASncoKyHOYNZKY2MT5Ku7MeajvTv2m0UqtgNW2PJapsmI/wMGULJi/NgVxY
y/xNLd0yFM3QPayTbI+Qw5zLmIKg8Wr7drXrc9yAvwhHHgfzQVPWnLczQNuPGLp/kJIIu/F6KyNL
Is2LNmRWKKuJSGNmiEA0AjmTbKEINb3R3EvDlFmw8Ku4ngu8kjT7G8t3ejEk4SrdvgrHmbRc7Wbl
PtFkDtRt6ncaIdVI8H3te2kre9imcbVvnTJ75jQrnnnEDV/LaVYfuEXGBzV3siOrEFS8MZ5eSMNM
UNAjQ1pa7Kl8SvQsX86kq7AbranE/qzzgUjVCRE5joaT3kqUlNWsQWZCoBjaY6JGq9rJu36d+2c4
vMOHJSZiul3j4erN+xszSeWXho1W+IVdk/eh0YLzrawUazDTgCePSQPCRsvqpkfmTLoXcE9iKsTy
mGH7JkrmMcJ53hdnejRVFblxaX+ZYoi/X5MCNG44uvPGeBtMjw+iRHG9YHFKIrMw7WsbatzL6IBA
pFgZHsq1XrSwS2vlUtYQ+2L8ZTsZu4wiqnUujwNeDxjEeYLL0qTr6nfVVD2r8Rzfjfyrh7nieJWV
9zBV1MZd3Q7vdQWWT0mdfGf3COZkTUla1mPb+301Vo9aCp6IpRR9P7lVcUXapt3R9Yfrl7RlIJS1
7HxLwnqZsGTclXjZZAhdsvKBycDuyjVEgvUKFBYp22Fw5gTQmREv966Ty+ZmTlJkHeSw1RajF1ET
+EwflUi9hYb5MOi66D4oNzMXxl7htJP50DA4KDqOsYVGiuwOuQd2yJ9wX6znEiZLYHe5hnVcILUy
upRzdMZHSelkG4c+ZeDBUKlC2T0lwjnIgs/iOztWcagqxFmuGHCRxuUtLPMIGhOAK30YUXlj6+D0
Ydp2NfaKOAwMPe+hFXEX0Fplv1p2Go64CE4tcfSj5D0ZDr2RXWH+zYJYH5zPSjbmN7UuCCzKTPb5
Hm4wDEgvzl40zSSziuf40vN59N1uXTd/iet+b5CeHFigpQTX+hTnbSadpzWf1IjWzWpGXlcSkiHy
/6ZSWJ+nRVjwXcvrxtkWb/iyzDvafgtCC0LJZnU/TZp1WhH8BnplitBKNUP4WsoiUwKh1meEQ3XQ
EqGfi3Gz1uWI2c22CgnPm186qsgIALwXIP7Mo4RnHcV5u0SzLvtoKJ2jIuoxbLi43/dJ5u1koepv
Fv3zA7NY4TMqaf2yEe4mfE/3WQIHWTaWe2VkFbssRZdO76WnjHt2dW+MOfU+VPA7I9/Jj9FrIHR9
Ydm2bCmlhuSq4EoLp90zp4j3TbsT3mxFLa1vRPNrqfpanqXRFFdp5JU8xuMZq1pHTc+YhbggGDAj
VFBeB+jJEfm5ZY9WVVVgCOWGAfebLH7tOcpNb6wLLAQa9cjQLnMx1IEFwllSgStlRHM+/S6EbQLD
zjIO2hajcaPw2e04+AeRI+dk/rLKku5/0Y88dKblLu1V73qckyLKseUcCjtjNlkCsVLZBT9lqnbr
gmRkJtHNjNZF8taRsArrZsFMJLTWvcYsj7sUdjd2wBiBaekZL4nHCN6Yuhona5ZWL4roXloDCU46
unvTmoG9wg75AFIJiCVT1+NSAUoBfzdk/mjBX8KyWbL/ANwhdxIb1l75hv4rjUb+WtAQ56/C5RKR
MB5d2486L792Oc5K4KFqEzHGxL85G4CTiBT5ZeYxNs46663osDJWjHsDamZNDbZJTckghGdeYs7t
FerwmndL5+yB5DqBLs1sIy4Xt/QfVDUczHlwyReq43XXU2/n6ggnbGv/zG4njl4LbHWdoFcmuavC
GOeKloOxOmAMHMJJafW7vHfoCAj5rU9nmBxVlgOkLRwcjEOYpos4usJueQArxUl3qvEOUW2yS7L2
nfsapdhS46Q1V8iheLDHAvRXtzyPfdz59HsuBnajJ0qpx0xp28CBIH+GEjXhfFopHJv0GEMV7dgF
V2RYj8MrgrvLpC2MsHL9iZxVAVbPxOwJ+SeY2KN/TmcNMXQr65A0GKG4IbYeUUFavrUW+rle0qsM
53EvHLhBXfogbe2TTAX130J1VCeifkgb/cVImZwZY21+dFYpQzWRRiiU6mlmA+tTiEqBLF27du/T
9aD4ngUhxdWu7mEQMzJt4CiGvXDj11EditGfRxiwvrdM963GSqZfunFM26mfJsiAJiqRvKo07jiz
tS8Gw7snPkMTGgtHA1prjAGCuzLtcaHzGbDVQoJCppRcs2TmqgOO3OTHuRQgZm9G26Sw1goFlSvO
aYyX+lrW0eiWWgdaOhW45W33yP/gHxW1+6lvfOO84fBws/TkCbU4gYT/MmnG9C0uxEDyQSmwFtmD
6TtOXtENn09r5qDBVrUnySMpKFFu+YO+9QLFRmLzBsd3NLTFfCao8gjs7nWLSjjpdI4Ee5bjdCDi
e3DG9jVx0Znzhg/KTKjHIlEusQfWbC2tNspb5yS0sd9hZnMiB6zhSVi0/1pP7QLGbG1AZaqz6dGi
VxvvvLz7UKuMd3y8WJE313etuYnCqsU51uD7fQdZ2p67Cw3EtVJuJt0kZ2h25z5WRDjhKggSNqr3
qcrqB+AR7TDnXM6kNXTHuk9UOhf9BjSzPsQUe3eDotKGi6csSJvltUg0Omf9YsCGkYwJe+M9trBv
T65VhPa8oGvMh2b6bnXO+MDZp/ugJSRY43Y4ScIVrqrl7A0o5qVk5kufJcv0SKoFe/Z2fTH7sgvi
1TCHUM8mb4icRKscP1dTtuZ5Pmre2uyKbAGhDdTyxWKQtYVr1vVboafxHGhLobw1diVvHLVUDjkP
PECtjjOzSpXLK4dRasAILE/DGcAeuOIkMqpleafO4qOViOoNSbl700xGfFn7dPimZPZnIjUoOAwr
ulNLG/puZXkusDIHuKPI1OmLO1vDra4TTb2Ws9sAlHSqZk8XtIJX029kvtWzd1qTaQ7qt2wOhZ7V
kn2GRewyoafcF2LlWsskTHZ20sxDFo+PS2J9oUKwHloiQLukXfoDn4MlsmWncblynyaXsIVIa/0h
UUsRdKlx42pd/FbNtRLg5XYDpn/6po3GVQcnnqKGfV9aqzAT0jM1RD+TBZZNIPPMHk5mzfnj270q
crIS07w1iUqQiPTCqGkqW/M3Cynl3QSsL0A1Jp+kAODetq6L3JgwDoxBlR7fIvI4WDgXXuyG9MQ1
LgD1ceQL2KGLcu15KGDz8zGOaRrRoE79pF66izGI4crh3YP5WEy4C9o6u4JEJmTIA8vzezkkVEzL
BAhU7xlIyX6rhDhlXqrCdl5NCfrNL4a8Pwg3JTCjzLA8O3cjVCVKOQama8wP1iBIftVqwSY21zCX
v4TiPZWwzz+sNMmRpSYxwCF6asv9UoxzEaAFyaK1nUm1Oh0X7xlDcUAJWolwNFggoLyOGBHcLUjr
ISDb6kkUNpM0MZAHAwt6Nyej/gz1tJ5Ddsor7uuWdtu1jZb5ZQt5qbMkz1POsuYWNtP4rJjZcDLS
lr4MOXL3IsGvPhdCUa9VfIV7XWA14vLaGXcd0cJ7YINcX6QWe2dFSfX3hRjhqe/c8YEsIc3QWR/4
lDY1xyowRbeGtt6laZgR7uJDOZk8sYaJrqBvSC/Jr+nw9zxPPBBW51xjzwaC/mTxl67yKO5lkodz
0d2uSWfm7IYLPTJoQz2qpJ1OuclRWZfp8lkihn2JtW3peLUhZdHpkNep5+GCTvKsfR5sq9lNCk/d
BH4+D/upCbnsZBF7S/leKJOr+rRGz5JttOM4gYQWBIuuhFbXaNIZRl81azN96fO6nzllsypMlckM
bGnGHCe9cieKVlxbC1zOKtWSCFC82E+dagaGIB3nK3LqLyT1ja90bxUeYpN4VKnvrmTTTqSsqP5p
Zzo/8L33S5qPgeslI017AkAsGFWXofe+KSNLohxO8cFOrT5UllW7eCMfDSPXWVtsjWOTau5tTXTk
OC3WeLIVZ518m7iHyUCWN43nBPSb5alLvQH1vFNckUd9xzJAxixe1F3uLm/JUqWBbhbcDNyctqIW
V/TK5PKkZNg9HamlkdBXIwIEiIgADlEwykU/gianZ9MUNShawqxhasxaCA7HgdTdUMuqq3zJSgIm
XBVYi5AMbHmQQYZ1nYY+sOaVhJEsfSzvZyslvJfysMmtoinoZ43FlYLZd7IY39Bj1ag0mnSnFQiH
vWa9tlCfRRxodx265xvWNukDj8WT1+lfjYTDGgNPlJkGckKEo14tbd9LGHhMU5qEnVKqRMaVZqdr
hQmmEplMkt+vruCqYFpW4A3qSpZovQHhY8DRbp+Jk+W3djIcYkUHVNj2+3E1x1dlZgyiG8rXjW+0
U1cq5LlVsr0YeVDP7vBWeXl7Nw3t3dDgPvfhcPNo17aLYFoqNyAdNoq4nh7bWtWvzFH5YGY9XBqd
RUzJ+e9njMFo9Hjm136yBoKY89UoxHyUZfv8Yxb7n7H134ytaWNtC3//99j6uoFH/Y/wrWh6iBDf
fyiTjx///V+//oe/Ta/tXywIDgCEQK6C+NuWS39LvGxhGHYmWYPnqPxjqN37BUIeLTPyLhCiSLb8
a3ptWogOQWDzQPunslD7/0yvzR9Ldf8eXm8BbMI2DNEd+AkuS/l/2owhosXpNjv61QqOKFn3wG6X
nlSvrrIM1l2Ab9Prr5DMM4ey8tan5Flf6FTZZF4z7dCNQrmKuaFES6tUO1atGhKOa3dpkvqQSmM4
ue3khLTX7XMz1My7645YdJ0Qq8xczRf0dB9GLJ9fcsDjtT80pDk10Tbc1/OWDgmOEr6ettNbpJ2+
h91wn7cw+vi+ZwRUjGOz9GIbFbW6Zwo0KvEdF5mbuWtCFgZU3+T4P7SQpZEhkvp1SvukcVDHQ+GF
adJ+DJY2hUPO0QUkLg+kUS8Xoi5JNPVqOI/qt1SxM3LaHfKDPNd2i7que6tpGesCywedWz97y5hH
nSgyymlo9bO8wb5gRkDl+zep98audCo3EPQlD0Zl8/oVcQB+U2bY167H7WjI7p0kbcKKS8tBFLTl
pmaJ/UmIETpTfiMXT6VvjNcHc6nGFcCjWafCIkoJW4VJplj+tAm3xqbsTkXmXFLNY0xgVPdMMWmP
x87eq4aDMLeULRReJs2oFEwjUUM9VnFe5aTz0uXJ6sclGPvthyAvEPYDQ95yGZJAWopNqHB4rzoG
JvNMhrvWsrOQ2RIYOqLE1dkp8Np21gpAeChoAbI577BIbh+82Dv1RG4Dt2CwkIGPfmLJkM6/OlhR
t/VYjGGed2BlPbK8FcKKJs0fnZxUUae5Y+g4bIKTS7R2+FqXsJtVEw47LXzLTfbzwAC1NWwaTFr+
KmZhnlvFPS51XME8Mdpw6OSEgIahk8FtCXY5O+04bou8faTP9uTO6xUjfsdPuNDtlBrSp6auzNUo
xVcrf4XwZe5z1Gp4FKYNNJ/TONO970xn8xC0uRXynthik8yneEu4MoEgkxOATYol0FkwDIqkD0a8
HwFddjo9vXVs9Vx7XcxVI8XZnen1vK+LObMb5ooopyV8sOqERjmIL+zCvBcwU7ehkwjzkK7w8M10
mRnc8P8VmvyqdPSqCweUM8ueI7T3pd0TkzWjxvDMnZ2jWYiN/ItkVeUCkL3aGe574nXqCRYh9zph
K4+ExKotQJGaIa3s7J5RtBvU1JJMqdNlLzJPPqLWdkP2HYv7ld2HsOvWS9fLcucyyI50bEm7tWDP
wAL+GdWzlvi9rqi3mS3XSGX3NNI6N4VoUOhh2hvEhxmgHDUdOUKWuONB15Njb436uUPmEip6Kr4M
RDx3Azo+UqQ5lUriTaE1Va2vWpBlOytXvyyxqfq9otl8ctt1x0KtwxOahVK5FvVDoRjLbSwG9aT1
3WQRn7FTRnhsTEe2cKdw7iubjEZdRMYCIoNvlQsAaxL8i8pVjStp3xT2tWIW7xnxVFTfbnkcWyfx
B3dUQmfl9ynWzjo4aUlX31A/5zhlq3ZiXXnzrfu53T8Qkzv+D3vnsSS3sXbbV/njzqGASbjBnRRQ
tqtNtW9OEOwmCe8SJgE8/V2gqHMo3v8YzTWSQs0WywCJz+y9NkmKDrZxN6XItu+dKGtRnVisEP2p
ZVe4JnAJ5uiIQT6GvrhPic2KjOGugLmy0bOUAMBU+wq2bd4VcrlibHNOFX+eMdteOawMK1FVO5dY
mwAZfxPOEYLhBHwusZDp57aO1YbW/6FDmM4cII83Re6uYumhDwyowBC/azOUFSYCnW7sejbd3VCa
n/2WaauXZitnv7MfIpN1Tun622HWUDOTrDaJ9uvIPowWf45ubECre70wjFPkMefNCnPcgm7tWHvl
tPx+6R0SS7+tC/MTpK8zEXfZsbOnZ091jDBSpw+K2XKOg55Wj0DiX4oIrk7TuF+dRJFYEWHqUHHx
aBrDlSt6uQocTmhkCOqq6+Ia4ytNlWQRHlVhZCVeELXtNykHHceIiBhIDfUeQEsaRgRqb1tI6mdE
gyROTtLb2FbkHwp8NZ2VfPLxgz7OYj7UBNZcLQ7S49GcWyQlBRW4x99YLctjO4r0jlSkc2bwEJq0
CC2VYomXG3GxkwPJOnppPzRozEOnb9Orue2OsSQiexwtbRP3A2NHBqthUrbOG4bMV6IOGdPM7pca
NcwmIRoBCX2v9lM1acy/IjrecvRve7b9eoz+qxVifeHquiELLuhts8H7fV9nS72F2rsjGw+DOEaX
o5FoL4NPOg4N6ReLbp+zcBiO3rhIzppUksEeOcyLp/SU4MjBc84ppzwNB4xEn+oVprVPF8vexa4i
4KVo2HGSy7SP3exFjamNlcR7nPvuis06+wst/mZpxHkUVRHtNBcir2gcYweH3dsaBDievIaRa02w
yGbhVN1JBgAhqBsy4t/ZFFb9E8yjCJsKfOLWZwekUGc2wdS3Xq2ee8acLrciRhbW5C1XX+ndklHj
K8LHEzNfbzJMVXZnHVqTvbIBZcwxoydrUJXFtGKeZUcwOPh7Tm8oJwtBgQgIzMi+t0TpOvKNPKlq
qU7SGjtGsRm5DS4pSVmRaklBAI1cpLz+u7z+Xgr/p/IamSQcpX9dXt/mxeekLv9cWv/+S3+U1uI3
IkwMULQgW/Db/xT5TX1MAe04LqbRlR+7UlD+EIa6609WbDhoOnSpP7yiloXxdHUsU/WjD7CpuP+C
KNS2f3G+G8jUcf/7/sr4AdHxK+BK8gyl9zbak+g1gu1FwfOJCatV9t7FTqqkPto0ntWm75LF3pLP
MmhPCerlLxxm6Ak4VCTerKAsyecjBFWz5OMwt8UVXqI0u0MXJj+NMnXfyDysTkwZiiv0iWboazl8
cD1NyxNOJKwRaDypU7LqnDWtVr9VSVNfYyFrln05cxsr9JLxkpgNCmol/bcxnS3v4OlrblDfzs7r
qNhq3M2m7eKVSxOKpboXW8tBuBL4ceOln9kyJq+DJH3lUMsaaHfTUQCee1tP+ninFSWDj0GnSp82
JZIuS90gWMKqv8OjsjQ3ddfxdpOpkwSnVnMmIvAfDmikbVm3Ou7JCnW7x+2O/tS02ae5ZXSDmAS1
PrUsnycSgrkcVBtEcFQp5cfRxUeTRIb+oRQMs2WbJ6mt9E2OsQ+zZcXBkyOMlAvJYs5QWRUaGxNp
wtTzsICG6y3kb4Z21oglyFm6V00gY+ak7Kdw/tVL9mWJ5rmzCXUr49kOR4gvzOxNMcZ7M58ieeOW
RFfpCmudTrjXZiHdCYk7SpOMed2R3OFxH9uNSY3isNGyOqYK47qSNgpl7xy/mT+7TYbpsBjWLdfM
vGxdZY/rUlsyednXnSiPdd0P+/z79rv9vggfi/VgnwJ3SLAOrqtyy0niW9v00dQkxRRCw0Oc09sW
xUlcw2Two4tcl+5RpTF+yCPyIZkBNrfEED7ldRlf8LR2dyoZ3QsNwfiWlN4UsryLTrJJpgvXQ72b
xzp9pgCO7gqznl/ypNHMABHsGKCvjEIsFe6N7+fRc9JM1mFKHO1Wm6K1gpGavxtdaZ0jplJ72Ozo
CwyX1ukZaABijFV70DpG9dDNU474LkpgoNGCWlOQltKdAgBWy7GitGWI03flFkVBf1RMRvaqgDbI
bNC68hcX8YPR2OpR+AbNJBLoNRUml8U3Qwnox5a7sOuIIXVvc7MmLwy5951MF/colf3IbiTsskFY
G2FN7plJPJ66LGXXA11+GG8H8KLovqb6gKNk2PTZzHeN9FdeksKpnmU3VXsWS827MpMXY1V09IXn
nfimy+3cWIL03wZ4/VxMl8jpklNFTYI0w1peB2spy52PTvAjq6V+pS0VUP6WPelJFZO/I/X7K9bg
6GDYOhJzUl/5Bt3swc+94VV3suJlzpf0xVJ9agd26+UvrVb5oUJGeHC0Xu71Vc3ir7qWFCWwqjMK
6VXvkkkL5QtYjJOaOnx21ZxjH+F3tVsW1Si67XUQz8wjvauiDMmu1kwyqHFBchXHwB5sbyo2DEJJ
2dPYuddqaAIVoc3gc2GRh7EtiDWdhrhTp1on7gJECXpxV7Nue00+pYt8yBrN/TLZNdskfLqkHNsK
y1BgNgutoczEVUlWzlnv6fidrItQNcdHf9ULrSN8bo1VQ7SqiWyp1x/OoHsI25f6jlJveW+/644M
DamFX6rmisG7eIoTYQcOkk5yl8sWadbix9eMc4a33tbYZxdxEOWlHiw5PTopyvKEyJNtN5PAr4Vi
R4yW98wOVG1tR03Ecg/WKyuh9GABLfM2k1IzUsCGcIfcwfDS0x9xx+GsuTFaajxSJtd0Ad2rL3nW
sXFresPfFsNk3IxdWq1JKKlOZViqbDqYST/d10p0Ht2lsh7Y8XrvuSo14vGQU1uBVyh/i793vhda
5J3rsbI/oz6ur3wnYuI59wi02ZZY011sVBE7RS/BRamEfu2C9nyckTjfuLE/zKSqWiokyAHjXZfi
wi29MUV1aHhnzTDrmy6ldfKVXSMsnoDXedW9QVdyjLUIylvSEbed4c2z8waNcCums9ab6Tq68T5E
Le1vtSa+pE1rng0X83owr3q4wqdEl5nGTa7l14q2+Nq38vwM7NbJNtnykeigEVodrZSYpqdalw9T
uzBeMADI0PdHm5RedpeCHdjr6eJfWkPWW80xEzLYOtUdYi25KUgN3NERRPQ+0nhJW5s2P7aZemON
zGi971uTTOekLerH2DU4QRLZnFRGK0uqm11c2zVWa7urxuu60uMVH8WKximdfg/iub5w5ZboZH11
l861/NJOdLarqK+g7BHeMxAcceIV4pFWDdhHm+EQnZld3pWRZu+KVe1orLpHHcV9OHd6etZk7AJ0
qup9P0xDKJBcvpkS237hIY4eEVX2nfGerfEYy3etpSrjYeOsKkzhQR2oujoPpzIxkXxP3TeD0Obt
QAjhQwYmekvtT8LkCi0THnAoS2rRAwV0d+PoLtswn0nK3IGKxA9tEWn1XVWKEd8LNJloRzVcyVV/
alfqnQjU4lM7oZmNkQN/KVf56rwKWTn2PiVe8VXmaXe0WDjgxgJL3tr8W7QKYudVGguLQj/qWSHC
MTXMndmnBns4LfvwMw8bSfE9/pLwMeI6CwQThXUyuyzdNT3ROQMFyXYAqXBAyk+m6UTlBR+SXb+Z
jFfpd91vMTEB6lcxsA50B3YbAmHL7aqP3mbDzGt/xNZuBAMxbAdcaW2Q2teLUM2hWsXGeuObO3Sx
H63eXIaB5R7UzgwdzrLniNY2MyN/IxXzJklow9J8ocIodGeb6/WN28iLq4M96tr9wriOHjEHHptU
9x6e2FNWL/EOMJa3rt3ZWqfsygShm91SrBLr4toqNe2e9HS1L5zBP4iZfeFilRctr8gGTJNdX+qw
b2qtCpxivvirUjtP82Lf9U0NopMVvYhr2sZkwOM7WguHsGvdapBxkA9p7iPa7JT8EWzUOCS/Er+K
tv67Npww8I2ZNjYPshzleGUNwK0N/yMt5xYoI5df3WkHZxqri6ONSOJXBfpoDwaMhWY4TqX0oXzE
dL7p4p3Kfr4AA/8kIvfp717qv+ulyJL4t72U/Er98qclhfj+Kz86KTDGv6G7RXWFT85iGcC64Y8l
hSlYYMAwwzMDl48/9Y9OSji/mStwDAMuABmspv/spoSx+nKFy5zph2n3r3RTlvkLyYXNg2XTlJkk
c1g2qqxf4GZ5N0CYHfz0jngeK/MDBvtMz2ScO7fEhwpxEU4LUQxyRsW8M8JKyER8TJ0gj8ZaTTdM
iDnD3XwlMfZp3lv3nEQUAC82w7xcDxwALJtmrKDFL5Wu7npCb78Qoap0BlxdRUwMq07WwuZg1HEC
1ADnx7ivffQbJbvyU5lVqJti2roNt7f3rpmsTJHbxCckHy3RBPFCe+EW9zaBNPt4qZfQ8gv9Ns/T
ekW0OcNAgyM5YZaiweeAAkWDHKm9exNyTUSVuCkI8bkhBzM9pkQunifSWY8uN9knlQ0mG8+GnYCs
nOReul6eAJOZ5juALJGPyECV2Mka3jHK3QUhetcWDaqtJLlq6RHjMY2DPlbOe6rG/qlj3Jnd2Oak
kYLauLcpJ7razOnE+LRwZg5hN0mQG/lkU2EIg9j34Npkj4d8E/MrNpZqo1GzDZt5iuIHtk+Rv2Es
Tc+FyXE8pk6UXC1qml4BJfOIdsSkH1EpjlsfsWwVoM8pjR2ca1pQXC/NC+th2Lhxm1FRuAQtal2F
Ol2zPUImy2jxbr1cIdyyCjR6lAepmW3cKQGchMeukyA73Pmtp3eGLSK5sgIzH8spRFwyhak+WNtO
pyQqtSz55krm5gk5vgfcFMNOxSjd7ZZgxqFO3Eu7iImlDxzz0Jx76jRkPqe5Zr6oowO5aLavthVC
k1MkXKakUtrOF9X4RsgqarhhSrCwnZrrMmG6RfC0QeKk1pxFTODjtV4NutucQC0oPE++XSGp3fJB
MPsqx6Rq7kTeMjJYKnRUG91K55igWI+Z9WYoO3FWESkL6SapmEOsskthrRprPj0sCyRqEkY5ug9l
U5GE6WqT3zwXcnRxqtWdznKdonAjdWYxAZudNf8Vb2nN8yiS/tlp4uRL2bpzE2SFm7s8xedSO2PX
ixFKeRMloOal57HqkysnqhRmp8ShsO0UC8EGSdhxiufEZi+xrq61wtGhpDIeJneKZy3sR4NiNFAg
Y3A6yNLdVXGa3sEzochO2hFobS2jkjs78twIl9ec9njgVoJKEzXjeF6WdGhDUxOgVxK+zbAZS+Z+
eqWBus/oWeI7p9LTLpA8xNxrjI+MHzqbFNLcRVQZA3rmihPEUmcuxXmhuemNxkyZJNcoQn9k4/iV
YVl46tVMO2ovpvZAaPTuHgl+tlz8QfvQFr/intLQGwWsSGf7pq+tjoVEm5T9Lkb9/TpFK4/Fm4fk
caE6YxodNbLa8x8znIbgAfsDJ9EMF8Of6iMkw57CoyhMZ4/U1sT3lkXW0aob+U1p4skenFWJbHfL
w5ibY3NQORnLRxnNU+g1mnFldZ1OIFpmXkSluB8j4WflNos5zewB4HM+t9l+mSzvlGE7ygnd1qbp
PBmqvnItSPAhf1O+97yo2xZGHFGK812hAqP7Cs1FWBfCmHQIT0NShI6fmVe1U/lby8s0f6ulDWNv
gTr0sVlEGupWYfI95ygp3vFfZJ8z/NJPlizGN2rbUW5RmwvuNTER8ZuhJSkNutMjG1gRFNZAtrBD
HyGv+AOC7BAYqYBhTKchydfxljI5iU6ziV6dhWs3rKzmQjCppwMIkJwhEcV8E1tYcFmlokRm8RL1
pYJ8UtvlICjemwFFdRUVjwamlmeM0S+CSxjiQEcA3cZHf3FwPOVeHDs18OZFc9ibCUwqv3L1bbX0
5hYmUBQH4F6m+yrqxE1RIsTfMKEojWsl6xolH4uEvdfW1mvbT6/xNJGJ3JOuZ4RGytAFl6Xed6iq
smm4LlEv3SzgG+7LrEYkVfP8ii/GNEZoGQlbnpf5UFr4YGzqTpBF0antODVuhJcbu7/rqf+qnmIy
/G9n03dfkXrNxfi5Sv88n/79F39UVa4AP2h6hssw8zucgBrtR1Xl6b/Za0qGTwEF64/a6Z9VlUlV
hY1Dp9T5faz9zxm1/xscQ6bThkd4grNOtf/CjNr8joT9p/QDAIIrhAUakeQsKHyQDf/MLUCB1i1l
o7Nwdis8kNQ2XOJ2oawbM5pqf+uzqLYYQcMw2qneaf2N2Ul5pENE1LSQIZIFSYHmEmlCX9hhwlJe
w1caD6H0P5A6RbfKceYrBs16iKxwMjZLCSuNh23XbTNjFuHirGZDzeoMoMToUdmDMrhFkJsly36d
MDBAm3nKZm1yQ0KnTrexLE+RqVmsUws32UofweiWZ1f7EOdyAuHeYvcLMYC6BP5YuAlzAznBpnYs
R63tWx4ilIjCIakOqbukXzXDiD/UoqXXE7/zas81bjRMoOKclEWE49/t9GFDikzHxMSOzW2tKfvO
9xi4wyzJbjEc9Nej6hCtRNmCaItWbUP6zgS8mtoKewL6PZsPJZjoidH+OR0gqtJn9tTgER8L23ry
JB8zBC38moOZ6KcKQdm2ch3BYryNt6bPJ0/WuHFSYIzves1ykEUu5UVfivouI0LiNok8gRmOEOgT
+wie1d4SBbmCEWD6pt4H7PKuK9fAPza7DoM4zERLFlS2/kLwQn8eavHa2XH/QPRUhV5eRj7gJC2L
ocaAyttXcrCepyI3CSu3vH3ZxNkUjEsUgatA9TJbOgP1ulqubXvs7hHnesTaOJF9sjSlf+PJWG1F
ady7413pF1XYKdGirNPvBIaOeq0NrBtGTsPbOl19kqU13Y5dhtyuhA5ItndgIyFmw9eXe5C5xckv
wJyx1KwuNhPAa0TVLymj3BDoWR7OzjDvKgzgDxiW262j2QDS9TLQa6MP8jzL7qOh1W8HrXPDaBLq
GDv1Ps8sb1sKds1kx0MGWOAcoTWqIzxbkb0bnDL/5iv1gc5V2/G8ivDp9YVxz0Ueb7ppao/dsopr
0QpvDbiWIdYUgSLDvtRcbSih8ecBiN+UHn48LelelzKlyp9cbZeYaJttiNEHxLx2EA8ACY3BSAFG
JtorLVZ8bIqkvbcL+B2zsP2T63VYMrVk3koeCwEZNMmNNbZcN1y2ajOBytk3MwDDoUI8memC0rtx
ENt4hj3dI2G2gVGkoo6pvcs5Np5Qn0/pDp+YYulvG1g0hzBDEJl494rUbqcJZs33BiS9MHUebB6r
ADPslqLj2RBcC1vdztIrB7TIpfeSKHmZxIJEeiCS0tpVfg2QsnDQjnvGmN6AEjVffGbzOgJKg3m4
ZGMP1dGoNfsVwXaVHVWNAgT7FfaxzZTpi6j2siaP5GEk7U899JAHGZfFsZZZN7mlj9lbnvdyqULE
oZW7MIDumHI1jo9fscN/HXKZxfFbaaS4hrLEoAzGt1FyeSKz0rcT2lmaOiOdVs2Dmt04RA5AAd6W
Vp/HB6y74m2oK+gIbu4bufPGZ+TziC+GHgtUX1nsD6qIrpJ/OFF+zPQamSlOzqGPHqt8cKgxW5re
wOwlKxFTM6bt30/q/+ZJvca7/7vBR5iiQko/+v+pv/0PXuyhfP/zA/v33//jee385uuMM9AqryOQ
7/OMH89r1/2NRTNaSR0CsG8AJ/7H89ryGHUQxg5lmO6KtTI/+mOn7P3msQdmC0wEPWYHfvQXntf/
H+va13VbZ+NNYLjNkGZ95z+DtWejyg20X/oB7E1Qxt+KWLud5uiYeV5YkSqCJefU6dHWj4ZXjEmb
zOrCnz68/w0ZzBzoZ9KRWF+CRQQijDafXbyx/vwntneN573xvFhn0zvrN5F4nf3m3DFJrpB+rvI+
vW95fDa0p6KIrhsOhz2LUSQl5psYzWBJwgqRyLW+IBCsvV2PF7xxjZs2oQcVNhygJgu1kbtRbz7E
BJcCPx/HGBCjT5hpUK0nm1kInobzU7fU+7QkBVPbzjbz0Jp+CxSnc271sZo3i97X6/O2s6xQzwem
3tXzTHcsuSZgn3ub0gK5aVpXMZzdTUovJ/qO+58daOppPMkyhIm91REnfRbacCmSatjiO9xg2egv
jv9mEMPZxZQZHa+gzOAOOiwYHHy2PK6ZrWyHusBFXgZyyO/RCLFKZMaes6cc++bTwHN5nxbDXdy5
WB2q94XU9D7LA1LTij2GRm+jepwqVlV9lJMgjwY9/mbW1Qfh4GHsDN25WmVthY653cFyVi/Mm63b
uCRI4u/D5b85XEibsrmZ/7VE5fBZfU7Tn8eqP37lj7GqLTgAODOIQSQOgubgHw2A4ei/mWJNI6Bs
tdfp6T8OFJMGgFAoosp06nPiQpi4/jhQDM4a3V8HoLjYDX7yl7Tf9p/vZsa51jrU5WVBWPVQjDG/
/fluRn9eAKKKzYeuaxo4LEvZQc8wENIES1GuVJuYNXZayI/Gzc3HJMm1e4rReV8JjYFQkbKRYfOP
ERyergo1xwh6XwOAMY0Nzb3O/8fRYnNF9NaMbiUhAButsVdrypTvwIUAUzAy/4xUdLpLfHKr0yyf
97U5IzPNIJP7sYs0xNCGryCwkG4kQgnUA2lyO1VFilSj69Vnlj7oJawEd2ec8LEFSTxScchcLju3
0NuTPWvNO4V19pkh53ynEUIamsRwv83ouSATx5h5LZZBX0cZGyzpCnGMTd24xIlzMXqNlDRk1ebT
YE1L/h8O1F/Qcd+/AmdtD0nu1pn5eVwGP38F5SJExq7UeVik5R9tiyqtMScGkn6NMBgwN8b9TWqW
/h1GefNckd7C/tXxQKqluT7ulySbt65r10fYHCMzHzu5MQdRfzHSXHupWru7T2ZtAoKRZdeD3RsJ
IAhyP4oCXyywiGY3dFZ963nyiV0aYNdGnd1YmY9mYgJa8r8gtmvff7pJ/renyJ8xmLxpgPPrBQwY
hFA++tA/v+kGIX4c6RiABRD6N+DC7KHr2ngFyzndaS6hDENmyWOZqR61c4W1udT6ZdfBCL+ehkl/
b3KDj8G31XQb4zg9KZAXD9HMv1FmmV9JwDKuYs1Ut8ngGGdELATjedEzIyRz7+N9f84rNTL0L/RD
ypNzn2iA7vNxBZtg+oCxUXJNW70+XumL9aVyhrOSpnHosTgfZk8iYhAIk5lS5tvJBm5GX5ns7PSt
aAg6hg+kPlDGYBDq8fYiN7GO7lzIg+yNcRMlyRg0I5AyZLz33JT5jQvzn/soTw+59QW/X0bYGmv6
Lsyzxb7yBGLwlFHrEKZp167SaX+PgcrEfjF4oVtV0/1U8S1t8Dpl12VitecZ3ebL3FfNV69oSyRP
SoKhsG2/PUyLC5s8gVLvT016VYCPvkYoMN15lTFe2zmt/Ma0BvzPbbJkeLMS1i2LwLyspf102/UG
H6iZxjtWectB2eu9CWHwgnyMiKKka9/9OI/PQkgfRfE0/YcQpV/OLBtiIxsn5H0WExC+y1VD+PMN
Y8bMZePR1e7Rzy6X3h8q5gRd8TxPJPpIdyDaw1+vHVkvHxCmlqDjqQ4pQc3Jlwyz4M2qCD0B4G9f
3BauBMgDfd96Da2HYBlNp/dUwskP8lESyp6N+JQLvvtzjZyC6iZetjTK03Yua/N+0iUIB3fmrc6D
Nl8L9B4Bx9W8G4VtrgdqnZ+kjZRjCxTO3LJuaPl/4g27kXm9XL5ftg1ulgDu0XwtW9s4G00dAfLz
9FdPK7sXH8T5C5CI9gY2IewweCNMVy2rSt+xke7bWiJcGyYfV7w1DM5ezAsW7txLWIuQSzr/3mf8
S0Lu90XbTyMjPn5mVR68TQfxJK6l9db+qQBUrdFp8SKje1NiHWCRDqN9lq32gCSAd2BkLFicttMe
szkdGZ+TjdZcT7JKpr3HGH7eWNyDw8Ys2ujk5WPzOR8dCeurVU0c4NOM3qRgSr7RzcI4snrRfh9p
/qU3QFHHy4I/bLmm/cv1Uy15xyovdu8Lh+SjKTNYDiLp2rVo0NC4VJwzEIA5L0yHI6ZKbA1MRNV8
1iPdvkLbEn3j3iO2CIXGZwRhxhm1T35CQDlEuxbcwGPhwoZjFRNTwf37c/P78/iXDx8CMqM6k0iL
tQn45cMvwbGgRbDvayTm1UZ1XfSNqznyQDPJ4tlY0uU6m7rptnDHat+XaxKEWVUO3Ih0PKHdwf/g
m5KUTyWPtdtqhCGU/t5XEL4C2Q7VLTmw6dk1ef+KSY2JOlV130YeE3xFqXjvIjUc8T+Be8jbZbob
MBRVexcRXwA+ZtlMJtiUHjzkC+z67KB5mnfq0hbOHdiTXdFZiEPZu71Jp1r2Uo3RMZ3p/RG2VV7Q
m+b01Yg7ziuIL2xkusY0tovV+AAB8nejlAdM5lULV7Fpjkz5o7fK5VanJpjuvt96DGfiLzLSknHr
5PzHocqj0zJJ8x6L9TyEZWaNILHa5IvesJ/B1R+9ceWNX0VBVOrMqz8WmRuh7GKUJehRGDKWnHyE
c+qbGSzbo47bla6hddJXt8w+iCmojy1coGOuTHZM0hzhwxXmOZlUF5IbP91AJOVZ8u8vBIpEvuk/
XQkE9VIzMEqyv5eDv5QNnNXl0EFMvU9gQrjBrHODsdnmbAY/1e7nqE0CN4l4A8kCI4RSrPnsEFt1
WaBi5Nu47FChomzEu1Kc2hSV7GZGPZIH4IDSktFKxfYqX29Xw9XficMsnjj++3c0YuPXIXWFFvqO
XSKNTLw63cMtK67ZAYKBd5HVrLgqq9gUVhEBjjPYfQG4wn/mxQhy5qVxjwB+nrDKMPZ0EwbtgWam
e791tAsRYrMKu0EfvrRYeS9cXwnkHfKdJ2Pp9oK7lggrKHEbff1eEfD3LyxqDraWj3M4memy9a35
xWhQu1i1Z214PQkIz4wbgjA2LtbM7PBqI+z/sFxRhnIc8xPpe/ph8QvWto5FBsnSmkl9jYBa+EFD
+sQzz4H0udOyFe/XKMw1NaDbF+z9/oJsq3ViOPgu7MvS4jTYdEmTfNHAlt9ro1oLHDnVJ91DCap1
pRNKxlTkMiQDyWtTUuq83Zwjr6g7PqhOwdeD4ThwG8wJMufAczohwmIxqsc47olK16FtsdLNrPfE
ijDgxYbT5Fdaj4ioxTh8iYnD1LZL3Orv5I1yrvYtwW8zJ/vKtFmMc2wr4CNcCB5kIJD+mpiJXrfp
+l+NekHsMOvDcskqBgnMv7PpXlJbHvp1mwroZ1m+mU7uHZESaCgUwR/grIywfOlyUVsxjj6kXicl
XEJGwFOkxlWYtlSZmymWYQ8ST9uAMcSbYy3FN9x9933dFmlgU7biecxdQCcqL29c+BV3ZulCKTQL
6A6dPy+X7zfS397mx7n5+n//z+cv0Pj/GIH93KZibdYpuv91Z/vytev/5zmVcfrLhuvHb/4xMXN/
g5HrOIy+mEpZYiXz/7HhInsLZbknHPZcP8K8fjgwhA60G9+7S9+DsshZQwD+mJgxZ2NYBsp/9T6v
2qK/MjFzfn1iAtVYl2U02Dw0qft+TWuPZ6EKEMLJsSvd4ar2KrTvFaC2K2sGQ1eIHusBICDjngUU
J2BMKgxI57DQDXXIEwlgMYoGdyd7Xz7QvoEWIqXjOfX6Aogp6AYrHfw1EoPwIyrHPg9IdbaPXbS4
cjdkQ7QEtiYU3RyJv/ZG5DaEZJ+Fu92U06FFA1p5OYNkOUM/jUsvfjKqDufuaOOM9J3slZ3DM9Vt
hN036uanpR/xkapi3qWjpoe9yIYLd7Bx6usqBSzARAiz74obIcqElcHcpmd+xWhCZvPjHtz4JY2a
rAuTKVMHabXsptVcgX209JdFyvEqg3r5iI7H2uGV4vbzOxoLH4j5hsVN3m3N0knDlMH+znHtkRm3
msuHOAEwaVoTeydu/NDVW+PKN9KnOoepGHv9eO2JeeeNRR9oLeuVeKxHTpJU9A95k7l3kElJmhKW
DvsOioaxq+dhpRF62hL6A/IhdD9iazYjKCU8MCGvOQ+trheBqH2kiZrrbqLJAu2SNwcDk4orWIEY
Q3KL9XHskeugNQldgmUCYSuga0W8iDNS8xFuLWhLzq+l30RlfyCcGQtaN2fZpmE9v9VGQgNENkOB
ll1l833YwxkBx6HP9Lc0w48y8F62edQ/R9Wsn3wlnzBsiMDnkfyJBel8MrCl4qT3ktDOievBAMx2
IY7vO56RVUjCQXHtZWV7U1S4AfmUy8TdNGXtkLvQOXe5RSYNxMPxLZKRecFdn23t2JnOPEa/9iby
FeT5i7ON2jS+W1TWnSa/IBeMUaTlGdO5cHK044bDxrPSooth9a+Ie+DCkZR4TDih4yt87sV4mfy4
bj+juug+6aodvkGBNC5O2dhXWdySVekIBrN2NZwRVbVO0I8lH5lqSnk9mPonhTbjRoNmszWV/lVU
5SdXqRpLvV21hLIg3CiwyN4SUWp0YSln782Lk+Fx0YZ65W4VW4f8oQE+Mkzdgy4GG+CmU1dFUFRK
fUoQzOkhWuW0QWbTYrYGpsQymW95a7t9uU2xPuuXsV6wW+uJfm5aZI7BZMygJBvzTtnG29L5b7ok
+VO3/K10AegAfEqJIxJu8v+4O7fttJElDL9KXgCWjki62WttY7AxsRM7mXFmbljEZkAgofOJp99f
SyIB2ckk6Vxobd1l7Gm3Wt1V1VV//X8UX+UJO0ZZa6NHZCQRAA5XCmD+Cno5L5zESAJem16e2++g
nQ9ByxJJbzcj7XqNzXlgBKBqEDjeJfR62iOnmJXqnsx0AAV5CXlcUmi3iZNAvG0vyng9zuLwL98d
hNlDjK4NU0qmiCot3ucZvNBxtKPOl0M4CBCvnGYKlEaGvpntoD6J7rWDRqUwW0BEP7azajun/kWn
kJuEUAKX1J1uE/pZJ5YOodvGX6iTKExhfbHAO6ukjR7Rb6tMRNfne8UawC2QbK526EWhEKYNpuai
yulBqIrp3kCtY03F91Np6hWBc1TMbdeaGvsUnOSiUiFKg6DwYhdvzXuq7zCWjqBfo7Tsj+18hwoR
qmU32x08K0GWhVc5EmHjXPXXt0VuFqzAVnTRonM2M1M7vi2BBP1ZrC83mTenVWwN4CpBKsgFrjwp
B7o/3YbzUVV+ApYwugziRJuVh8UBsfoknHumEtyqtey1aQzK+CIKIk25NGkgt2a0b9lYqji61+EU
+mibdKGLEsblxoQslBrhobpaDKCVHTvebgctPy08BgLKc7iSUE6I87/ReaKjJc+Ir8Gox1OwWTXd
/Z13WFf/ZJsDTRm5ZU1hoqDwD9N4doUu9xNU3dElQl3UNzYjxOyg08hmkOd44HmE7J6X/Y1jGQGr
8PLr/SEqRIdHMDjATFUU9OH4bvqk7fE2Ey6EyVtUz+iVWqsf1oBNaCmBIt0FMIhOnr298qyBT5zP
9QjWwwtAJzbgAeTi1P2A1vp4D56+Ii26cJBRG3FZmoygkp+PUlri8Nj2NKEn921mqc683FsuFJne
w2IEy7xFdeMKBCP0ppDK/5PB9ytYgaEJ9kNsb6Hm3iU5mmgWOaoP2m69iy6VUn8fI7I4CNCDgDTf
qG434dq9c5WSZhUvhFrvAPGGCXXITZVGiykcOHOYXiNoAsrk2Qxi5AP8sJgQaodvU50azQH9mVl8
cD7DD+LP1ibdFA74iGxXfPZ9+BAUtYLOKMPd0AAyIzu3vs4KT7+EguwuVxcPaYL2oe7DemFnuXkP
55Q/jWlwWVfbh0xJBvfFZvu+ZF1vFqWpcRq9u7XlH6YlvZO4RpeukItRnozgtgBOasCdvb8wc/rn
Y6Os/jB29OAXGev6EFFlHt0ctmmV3VaJsg4mGp6T22xdWE4VvaKuZdQlZ2g8D8pks3DCwwfKds7g
U1EXql3Lgi4JZB+dH00tm843D1Sqxd2uuoaJ/oNpxaMtle4DoUxCM8ldDg0E24rw/UJDXw7mPDX2
VxUk6LShZ1ChaIE2QIh3Gx8edZi6H/1AKW8sSKDmGWQsVxFi7lBU+FY5Evx1+Q16hwWm39uzBvkm
RThPOUxUH4tp07C4rODsBV6cbW9yxcl0wHgWdIyHzL3xhWQCjbokpJ1iWkFK+xxp2YAGBCAzSWVH
08KO1KkOpyyy5HvM6y7SWaBdtSunG2W9/tOoFihUbAW/WrhLCDp8HTo6kh75pXIws4siyGByxbsd
CrrIQ30ehxmsqSnZKChVtCpzqN5tcwW2R3wbgMuNvR0nFk2Wh523uakQ+6Zpwk5y0hibCgkhShoz
aJtoAyTBk9Hgwb37nQrbSToO0kPkTndm5EwCG5VOWKwyMCZcq/6CfmIDrnerbO/tTRw9bJ1tkVD/
q1y459GBTtxFOY1RWrs+qJsyR7oAIpkLpYqt5MKKq/TRAz1/uQBx8dbf2r5gJi2rTwfdhbEjMa90
uOTpaj2AWgaaiIpctHMXwGQg7IfrpcgvBpD0TPRy4N8ZFUIpIgKC4NinljQDJ6Q8kqsUVGEgTsCT
wG8/RUpjD1h7lypjGH3TTxjvw0RnkeaBo36GOY3meMtU/Au+6ALm250gb3RiuDKKNNtWF3AaaOMU
0FFIhXPjv9tHia2SQN/A6G9ubumuDGkD89O3RWaZsxFMJnC0U326Tzyqn6RM996VsR/FEyh69Bs7
S6L80tsb1XO5sCFdIOb+Q6tG1nxBun80dqvcepsohGaXi7W6dm59qtJjrbI+pUDWHoGSg/1cm8bU
GxzWY600lVmsVdRyku129JceGnkxTujzvHapzOFLNOfWQ4BvpQGX5DLsqkvsqXvjFgNakyKDJuec
XAdsLL4Fa0HkwuNBclmDqAH2lGpPtwDQOF009tHpUlm7Cdh70mYlOqSUuvL5wcqLuypZFw8JpJQI
4hTlGLoyiA524WZZkU6MLrQgMKaqi6LHRaiG8STS8hTMFBoK+iKNaE+DQkXLFetZ22vl2zBxD3c2
BAUfwoIG+DH2fIsaiIpkwV7xPq1VxVtf0pzj3ATwkt641LlulHARTS326xz1rtG9fkiLcaGEwIkP
9IcODoKZ2TLCSQUQjNifriTTXGRjKNU3O0yzv58WI3p8tt5gPysVYvHQ8YqPQQyGZ6DEkzSMQLut
4fHbbv38bmtZ2hwjkV9yADksFmS3CY3ltzq0nGOSSyH6Mai7VobqB2TTq+gCHRrOemxs5yHscRMa
wyMCqNR72uxGpkjrbAqI67LRP3kaFM8jpHMgTfKc8jYnM6hPi9gImmzw/839v30RoZg1qSvW99kq
rh5WSQbF8xFKIn5aazx/REcideme+slf+v5ALbNZk1F4gqIrFTNAgajTTwR49CyfUE+pnsr3RvCW
zDh7JlmhO0NTERRpugX1GQ/ZbQ8esPbHAwdKNJX7PLRFGEee5g+eLNG3FuH779es5vd/5+wNvplV
UTXKmT+2Cp0xTlaBtImBjhm96M0qkNk9XQVbHxqAdi1DoXYqHlaJZe/TKhzn1NRkvuzOl1vhe4sA
jIryv1CbPHv70ZDaMTlgBUxV/fTt7TUV8UjZPWAPSVuB8kBOrn4Y8HQVHG0oOusslR7L+gG30bM9
4LxQ/PuGOfj2HjCGFHc1YHjtce9sBRW5UPaISZmBdCEPB6VviyBIYX7EJn5vEWzAg6CDzOZLk1/t
7gQoTgVtTb0GSu92ApF+N9H8szuBXlLTAj3FxaF5yY5JtLQhbaYtXrNfW0BT6LGQ3QNgvrhCQW90
/u2t0dBSVM7I0R/2zhPAKtqFz/3st6/BtRQ5qQW8+u1VxRyaBlIAo969vU09TfbTCxZYKuP0PDfH
v7sFTLq2abAGeNxTRwAXriq9CnxisD6WqSvNW3Y8geUMqYNTRxo1jkBgs/tlBijS8+XkPIE1RGSW
SpsKUFA8HSNIVg/+MkuzwAo0q9S3RVABbclGRpo9BO8AlXL7jmJZT/2hTWRkoxAMMXKzSr2zCkQz
0h7B0IYgg+koQD6wfnjL01VwhGAyHHeIrTc/792BUAExNZ/m1y8JhjHU4cyme6DdDJ3YiIIvFWjs
ht2/qAhCwhf19591jVTRwcOKG3EbIHfPAmZRNLKY9lfn0S+zyPRsWYtA1gCT6IBd/3ofPj0LNhwl
dOAiwtoGEL2LkDFmmrSLtLF7Bi0DVps76XgHhxslwjZcJNq90ASlPcoaaOLCL+kjuSiQ4aZvoo2G
xM3jdC9YXCQE5lzcGuunf96B3E+3n+1n7YJuDbkuaHSctTmSzirYJifCIn9A61z99O9E0DQv6x10
ZQgeByf4JVQ43wuOOqR7xia/0AaVvcsmaoR0stcnfCQ9/pZj2a/7SPYCjRgO5rH9ee8iBcQvDNm9
QLxEZExaGcRs/XROBHaBjmXSim1k1iezCHentIskPwLcz/oSB7wMFAQVMlfs1kX2bxNwqZFdBcjK
KN3CfEQ6rX66LtIQyEOdO0rzl3q1Ceg8lvWNsF6TQFNRe2len0N16hvhq6bwQO4aZuy+3RxpdtQb
J/XrtwXiRBjkaDY7JhE6NkAw4I1MsgiWaErjaUKyPu0CXLr0LiACIkWA4GCbKmGvn+4Camw4TTrV
j6nW/pkC4a5kzwJU7zYwLef4lp2zIOJEVkirmzLFXuifRQAaLesVddJqtk6DcZtV72aUHOJIur2A
YhMe1E//7AKcDLJ7gVu0zoeGgkl86fpbn54IweGE56Tdt12EHlrHWrNLLruIkoKGWVCRG6ufzomA
5G6oshngn+6fXQTV30zq170DESJ1FM0QleXX3t8yuVlCfTE6FiN7aBdfqtX97M3RsMAW0JkhyMWO
J/70LHBCBEssEdLxMPTOItDaKXt/Jq9mUFElUnr9tkCOmZ8AHDO+4lT6lVejM1T+ROicCPrwKeG9
vhc0GOxMggWqb33bBTrXBdldgByMQycAVrH1Cx2LCIGf7QDCAYbQrE//LAJ3OtkYgbNgo4t2vDK9
qDpBiwSHCLRIJ2elX2dB7AVCfSnvSBbFoI4pusiab82O79pF7A63yzaF2aNbAyxRgpZb6v2JFGEP
dHD+7dW5c2sgx07rnybKj4337F2MAFuEPCBJxfnpcIMdLQJveboLuDvpxA+cha95156dBciEGjP1
65GSuEeTSuN21F4bOnuhhmVZ5FUF2VnPyvCUwkQjvdRZEDGSit6J6F2tn64tqP2iSOO34L3+nQUy
is2F9td3ARZREWz8NX3G6SEAiwUxiKCvbUPI3hUXYOKSLjSJEotg3wKl2WyCTjLJsiH+pexMdbr5
eeOH++QWIJ2SLrdxNeYrs55toPwyr2xhDwG//DwY4weW6gv+fQwD2XONfHdXyWvY92/9whHz/fLn
Ld67VvM2vpIs178ogPDN3159IZH7zxmCs0Zjn/zwiM4+/d/bF3z5p1+d1PE/XrureBk/wexa/+l2
mndLH/z8f73l5+W5XCKhKzvv60xeMAJ8MYX/MnCyWx7HEWsigCXHf7/KNPBj46KhFuzPB65xw9IT
jnfLfbJMjlOsp4xkzfHfvz7l8dJz/wniDidCA++SnTX0pEG8fA6OsxSzbhCU8iPv96un1EU/+Gzw
GporO/jlyoMFMV6djtxAH6VH/jHu1i+H8Nd295RVd5/Pd2GDVJOd/9UqgD/jfGQCZMyu7Mjf5p2U
XIzZM5Krx/nVx6YBaslOeOZ5LpLZ5yeywUBJD71/dpcdK9LgiqRHDorzj9dA92SHnb+0TQ0CSHpg
BsiedtXZ92sAJbJDvw0y6OW6y9zANGTHvl26+zPrQRn2d7iX22Vcecv98+lytHh8+SknyfJpkyWr
ND3b0y1aQXp892njrpfnDXYNHER+aHxBEqRnOxuBZFFflx87Qe8RTajQPQ4mbAgtUaKC9jtGD7K4
O/RvmXiwTzubWxNs3/KTvlt9jped6AnMkSjkyq7H3Spfnvuttk4uP3Dx5nrph8nGPXfrjC9qr79j
/JtVnKyq41j1LhFK3sf/8OsR2t2qeHO7Kt2nMzcG4aPAnv+Omf8VxLvjSO28RbJdemh4ZTdvxss4
wFOeH86mheL3/IHL5a579mH0+g0hybuNe77iTSVGdtbfE4GXjHXefVMTUXLg9/8iDiQ5/MMmeF69
mSUvfFuDoJVd8Q9B9o2N2JZVfs8feLkR20y97PAfWf1VkqzOQoo2Cy4/dnl+q2zzyrLj/pEuN0cT
ImyK3iRqZYf9cxUjunN25wPxIpJ/0iO/xgzYJNZkh35c4nf2awjrjtOsV6RJ3UoP/m+0hpJn89FN
noI9etxnc29ybdJzRxqShTkf2REd8t8f+bVM0xfCgJf5pyMdwmv/23lyTfzGk7daxv/5HwAAAP//
</cx:binary>
              </cx:geoCache>
            </cx:geography>
          </cx:layoutPr>
        </cx:series>
      </cx:plotAreaRegion>
    </cx:plotArea>
    <cx:legend pos="r" align="min" overlay="0">
      <cx:spPr>
        <a:solidFill>
          <a:schemeClr val="accent2">
            <a:lumMod val="75000"/>
          </a:schemeClr>
        </a:solidFill>
      </cx:sp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8.xml"/><Relationship Id="rId2" Type="http://schemas.openxmlformats.org/officeDocument/2006/relationships/chart" Target="../charts/chart5.xml"/><Relationship Id="rId1" Type="http://schemas.microsoft.com/office/2014/relationships/chartEx" Target="../charts/chartEx3.xml"/><Relationship Id="rId6" Type="http://schemas.openxmlformats.org/officeDocument/2006/relationships/image" Target="../media/image1.jpeg"/><Relationship Id="rId5" Type="http://schemas.microsoft.com/office/2014/relationships/chartEx" Target="../charts/chartEx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95250</xdr:colOff>
      <xdr:row>1</xdr:row>
      <xdr:rowOff>85724</xdr:rowOff>
    </xdr:from>
    <xdr:to>
      <xdr:col>15</xdr:col>
      <xdr:colOff>133350</xdr:colOff>
      <xdr:row>36</xdr:row>
      <xdr:rowOff>66674</xdr:rowOff>
    </xdr:to>
    <mc:AlternateContent xmlns:mc="http://schemas.openxmlformats.org/markup-compatibility/2006">
      <mc:Choice xmlns:cx2="http://schemas.microsoft.com/office/drawing/2015/10/21/chartex" xmlns="" Requires="cx2">
        <xdr:graphicFrame macro="">
          <xdr:nvGraphicFramePr>
            <xdr:cNvPr id="2" name="Chart 1">
              <a:extLst>
                <a:ext uri="{FF2B5EF4-FFF2-40B4-BE49-F238E27FC236}">
                  <a16:creationId xmlns:a16="http://schemas.microsoft.com/office/drawing/2014/main" id="{7E74F791-482E-4208-B64E-11E87B42B6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4333875" y="247649"/>
              <a:ext cx="5524500" cy="5648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933450</xdr:colOff>
      <xdr:row>9</xdr:row>
      <xdr:rowOff>95250</xdr:rowOff>
    </xdr:from>
    <xdr:to>
      <xdr:col>9</xdr:col>
      <xdr:colOff>523875</xdr:colOff>
      <xdr:row>26</xdr:row>
      <xdr:rowOff>85725</xdr:rowOff>
    </xdr:to>
    <xdr:graphicFrame macro="">
      <xdr:nvGraphicFramePr>
        <xdr:cNvPr id="2" name="Chart 1">
          <a:extLst>
            <a:ext uri="{FF2B5EF4-FFF2-40B4-BE49-F238E27FC236}">
              <a16:creationId xmlns:a16="http://schemas.microsoft.com/office/drawing/2014/main" xmlns="" id="{615ACE3B-11D0-4232-8CA9-22DAA9134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76200</xdr:colOff>
      <xdr:row>2</xdr:row>
      <xdr:rowOff>9525</xdr:rowOff>
    </xdr:from>
    <xdr:to>
      <xdr:col>5</xdr:col>
      <xdr:colOff>76200</xdr:colOff>
      <xdr:row>16</xdr:row>
      <xdr:rowOff>66675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xmlns="" id="{3881C25D-6DEB-42E9-BC48-E7206E51ED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76425" y="2762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238125</xdr:colOff>
      <xdr:row>4</xdr:row>
      <xdr:rowOff>28575</xdr:rowOff>
    </xdr:from>
    <xdr:to>
      <xdr:col>12</xdr:col>
      <xdr:colOff>542925</xdr:colOff>
      <xdr:row>20</xdr:row>
      <xdr:rowOff>104775</xdr:rowOff>
    </xdr:to>
    <xdr:graphicFrame macro="">
      <xdr:nvGraphicFramePr>
        <xdr:cNvPr id="3" name="Chart 2">
          <a:extLst>
            <a:ext uri="{FF2B5EF4-FFF2-40B4-BE49-F238E27FC236}">
              <a16:creationId xmlns:a16="http://schemas.microsoft.com/office/drawing/2014/main" xmlns="" id="{8EF5D94D-7424-475F-9A1E-1A1D1146C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0.3125</cdr:x>
      <cdr:y>0</cdr:y>
    </cdr:from>
    <cdr:to>
      <cdr:x>0.675</cdr:x>
      <cdr:y>0.10357</cdr:y>
    </cdr:to>
    <cdr:sp macro="" textlink="">
      <cdr:nvSpPr>
        <cdr:cNvPr id="2" name="TextBox 1">
          <a:extLst xmlns:a="http://schemas.openxmlformats.org/drawingml/2006/main">
            <a:ext uri="{FF2B5EF4-FFF2-40B4-BE49-F238E27FC236}">
              <a16:creationId xmlns:a16="http://schemas.microsoft.com/office/drawing/2014/main" xmlns="" id="{1AFF9ABC-0FCD-4ED4-89DF-83A3D87FCB43}"/>
            </a:ext>
          </a:extLst>
        </cdr:cNvPr>
        <cdr:cNvSpPr txBox="1"/>
      </cdr:nvSpPr>
      <cdr:spPr>
        <a:xfrm xmlns:a="http://schemas.openxmlformats.org/drawingml/2006/main">
          <a:off x="1428750" y="0"/>
          <a:ext cx="1657350"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Sum</a:t>
          </a:r>
          <a:r>
            <a:rPr lang="en-US" sz="1100" baseline="0"/>
            <a:t> of Sales by Year</a:t>
          </a:r>
          <a:endParaRPr lang="en-US" sz="1100"/>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238125</xdr:colOff>
      <xdr:row>2</xdr:row>
      <xdr:rowOff>114300</xdr:rowOff>
    </xdr:from>
    <xdr:to>
      <xdr:col>10</xdr:col>
      <xdr:colOff>428625</xdr:colOff>
      <xdr:row>23</xdr:row>
      <xdr:rowOff>114301</xdr:rowOff>
    </xdr:to>
    <xdr:graphicFrame macro="">
      <xdr:nvGraphicFramePr>
        <xdr:cNvPr id="2" name="Chart 1">
          <a:extLst>
            <a:ext uri="{FF2B5EF4-FFF2-40B4-BE49-F238E27FC236}">
              <a16:creationId xmlns:a16="http://schemas.microsoft.com/office/drawing/2014/main" xmlns="" id="{83985ECD-52DB-49E9-B1C2-9A466185A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0.01923</cdr:x>
      <cdr:y>0.0084</cdr:y>
    </cdr:from>
    <cdr:to>
      <cdr:x>0.4359</cdr:x>
      <cdr:y>0.11204</cdr:y>
    </cdr:to>
    <cdr:sp macro="" textlink="">
      <cdr:nvSpPr>
        <cdr:cNvPr id="2" name="TextBox 1">
          <a:extLst xmlns:a="http://schemas.openxmlformats.org/drawingml/2006/main">
            <a:ext uri="{FF2B5EF4-FFF2-40B4-BE49-F238E27FC236}">
              <a16:creationId xmlns:a16="http://schemas.microsoft.com/office/drawing/2014/main" xmlns="" id="{9F52C339-38C4-4937-8801-7D2937DB72AA}"/>
            </a:ext>
          </a:extLst>
        </cdr:cNvPr>
        <cdr:cNvSpPr txBox="1"/>
      </cdr:nvSpPr>
      <cdr:spPr>
        <a:xfrm xmlns:a="http://schemas.openxmlformats.org/drawingml/2006/main">
          <a:off x="85725" y="28575"/>
          <a:ext cx="1857375" cy="3524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Top 5 Customers</a:t>
          </a:r>
        </a:p>
        <a:p xmlns:a="http://schemas.openxmlformats.org/drawingml/2006/main">
          <a:endParaRPr lang="en-US" sz="1100"/>
        </a:p>
      </cdr:txBody>
    </cdr:sp>
  </cdr:relSizeAnchor>
</c:userShapes>
</file>

<file path=xl/drawings/drawing7.xml><?xml version="1.0" encoding="utf-8"?>
<xdr:wsDr xmlns:xdr="http://schemas.openxmlformats.org/drawingml/2006/spreadsheetDrawing" xmlns:a="http://schemas.openxmlformats.org/drawingml/2006/main">
  <xdr:twoCellAnchor>
    <xdr:from>
      <xdr:col>6</xdr:col>
      <xdr:colOff>223836</xdr:colOff>
      <xdr:row>7</xdr:row>
      <xdr:rowOff>28575</xdr:rowOff>
    </xdr:from>
    <xdr:to>
      <xdr:col>14</xdr:col>
      <xdr:colOff>285749</xdr:colOff>
      <xdr:row>24</xdr:row>
      <xdr:rowOff>19050</xdr:rowOff>
    </xdr:to>
    <mc:AlternateContent xmlns:mc="http://schemas.openxmlformats.org/markup-compatibility/2006">
      <mc:Choice xmlns:cx4="http://schemas.microsoft.com/office/drawing/2016/5/10/chartex" xmlns="" Requires="cx4">
        <xdr:graphicFrame macro="">
          <xdr:nvGraphicFramePr>
            <xdr:cNvPr id="4" name="Chart 3">
              <a:extLst>
                <a:ext uri="{FF2B5EF4-FFF2-40B4-BE49-F238E27FC236}">
                  <a16:creationId xmlns:a16="http://schemas.microsoft.com/office/drawing/2014/main" id="{E7E0586F-96A3-46B4-ABF0-F8E37C3FE0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4481511" y="1162050"/>
              <a:ext cx="4938713"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561975</xdr:colOff>
      <xdr:row>3</xdr:row>
      <xdr:rowOff>85725</xdr:rowOff>
    </xdr:from>
    <xdr:to>
      <xdr:col>10</xdr:col>
      <xdr:colOff>257175</xdr:colOff>
      <xdr:row>20</xdr:row>
      <xdr:rowOff>76200</xdr:rowOff>
    </xdr:to>
    <xdr:graphicFrame macro="">
      <xdr:nvGraphicFramePr>
        <xdr:cNvPr id="2" name="Chart 1">
          <a:extLst>
            <a:ext uri="{FF2B5EF4-FFF2-40B4-BE49-F238E27FC236}">
              <a16:creationId xmlns:a16="http://schemas.microsoft.com/office/drawing/2014/main" xmlns="" id="{47ACA806-1F1B-46F4-AF08-9FC7391F2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xdr:row>
      <xdr:rowOff>114301</xdr:rowOff>
    </xdr:from>
    <xdr:to>
      <xdr:col>5</xdr:col>
      <xdr:colOff>380997</xdr:colOff>
      <xdr:row>49</xdr:row>
      <xdr:rowOff>28575</xdr:rowOff>
    </xdr:to>
    <mc:AlternateContent xmlns:mc="http://schemas.openxmlformats.org/markup-compatibility/2006">
      <mc:Choice xmlns:cx2="http://schemas.microsoft.com/office/drawing/2015/10/21/chartex" xmlns="" Requires="cx2">
        <xdr:graphicFrame macro="">
          <xdr:nvGraphicFramePr>
            <xdr:cNvPr id="3" name="Chart 2">
              <a:extLst>
                <a:ext uri="{FF2B5EF4-FFF2-40B4-BE49-F238E27FC236}">
                  <a16:creationId xmlns:a16="http://schemas.microsoft.com/office/drawing/2014/main" id="{4D444617-2A27-4CEF-B796-6228F3DD4B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0" y="923926"/>
              <a:ext cx="3428997" cy="70389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409574</xdr:colOff>
      <xdr:row>19</xdr:row>
      <xdr:rowOff>76200</xdr:rowOff>
    </xdr:from>
    <xdr:to>
      <xdr:col>27</xdr:col>
      <xdr:colOff>304800</xdr:colOff>
      <xdr:row>30</xdr:row>
      <xdr:rowOff>38099</xdr:rowOff>
    </xdr:to>
    <xdr:graphicFrame macro="">
      <xdr:nvGraphicFramePr>
        <xdr:cNvPr id="5" name="Chart 4">
          <a:extLst>
            <a:ext uri="{FF2B5EF4-FFF2-40B4-BE49-F238E27FC236}">
              <a16:creationId xmlns:a16="http://schemas.microsoft.com/office/drawing/2014/main" xmlns="" id="{F05A7B10-2B43-4821-BC78-378C02DFC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495301</xdr:colOff>
      <xdr:row>3</xdr:row>
      <xdr:rowOff>95251</xdr:rowOff>
    </xdr:from>
    <xdr:to>
      <xdr:col>19</xdr:col>
      <xdr:colOff>85725</xdr:colOff>
      <xdr:row>13</xdr:row>
      <xdr:rowOff>85725</xdr:rowOff>
    </xdr:to>
    <xdr:graphicFrame macro="">
      <xdr:nvGraphicFramePr>
        <xdr:cNvPr id="8" name="Chart 7">
          <a:extLst>
            <a:ext uri="{FF2B5EF4-FFF2-40B4-BE49-F238E27FC236}">
              <a16:creationId xmlns:a16="http://schemas.microsoft.com/office/drawing/2014/main" xmlns="" id="{84C6A1EA-6C36-4ECF-A9D2-3CD60E25F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400050</xdr:colOff>
      <xdr:row>2</xdr:row>
      <xdr:rowOff>133349</xdr:rowOff>
    </xdr:from>
    <xdr:to>
      <xdr:col>11</xdr:col>
      <xdr:colOff>504826</xdr:colOff>
      <xdr:row>19</xdr:row>
      <xdr:rowOff>19050</xdr:rowOff>
    </xdr:to>
    <xdr:graphicFrame macro="">
      <xdr:nvGraphicFramePr>
        <xdr:cNvPr id="15" name="Chart 14">
          <a:extLst>
            <a:ext uri="{FF2B5EF4-FFF2-40B4-BE49-F238E27FC236}">
              <a16:creationId xmlns:a16="http://schemas.microsoft.com/office/drawing/2014/main" xmlns="" id="{AAD7DD1D-9C2E-47D7-B2AB-3A7136D69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504826</xdr:colOff>
      <xdr:row>12</xdr:row>
      <xdr:rowOff>28574</xdr:rowOff>
    </xdr:from>
    <xdr:to>
      <xdr:col>19</xdr:col>
      <xdr:colOff>114300</xdr:colOff>
      <xdr:row>19</xdr:row>
      <xdr:rowOff>47624</xdr:rowOff>
    </xdr:to>
    <mc:AlternateContent xmlns:mc="http://schemas.openxmlformats.org/markup-compatibility/2006">
      <mc:Choice xmlns:cx4="http://schemas.microsoft.com/office/drawing/2016/5/10/chartex" xmlns="" Requires="cx4">
        <xdr:graphicFrame macro="">
          <xdr:nvGraphicFramePr>
            <xdr:cNvPr id="17" name="Chart 16">
              <a:extLst>
                <a:ext uri="{FF2B5EF4-FFF2-40B4-BE49-F238E27FC236}">
                  <a16:creationId xmlns:a16="http://schemas.microsoft.com/office/drawing/2014/main" id="{E22B71DC-F2F8-4C43-8019-460C6C6373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3" name="Rectangle 2"/>
            <xdr:cNvSpPr>
              <a:spLocks noTextEdit="1"/>
            </xdr:cNvSpPr>
          </xdr:nvSpPr>
          <xdr:spPr>
            <a:xfrm>
              <a:off x="7210426" y="1971674"/>
              <a:ext cx="4486274" cy="11525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523875</xdr:colOff>
      <xdr:row>0</xdr:row>
      <xdr:rowOff>28575</xdr:rowOff>
    </xdr:from>
    <xdr:to>
      <xdr:col>19</xdr:col>
      <xdr:colOff>85725</xdr:colOff>
      <xdr:row>3</xdr:row>
      <xdr:rowOff>76200</xdr:rowOff>
    </xdr:to>
    <mc:AlternateContent xmlns:mc="http://schemas.openxmlformats.org/markup-compatibility/2006" xmlns:a14="http://schemas.microsoft.com/office/drawing/2010/main">
      <mc:Choice Requires="a14">
        <xdr:graphicFrame macro="">
          <xdr:nvGraphicFramePr>
            <xdr:cNvPr id="27" name="Year 1">
              <a:extLst>
                <a:ext uri="{FF2B5EF4-FFF2-40B4-BE49-F238E27FC236}">
                  <a16:creationId xmlns:a16="http://schemas.microsoft.com/office/drawing/2014/main" xmlns="" id="{9E74B464-23A1-4919-8F3F-3DF335242E0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229475" y="28575"/>
              <a:ext cx="2524125" cy="533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142875</xdr:colOff>
      <xdr:row>0</xdr:row>
      <xdr:rowOff>28575</xdr:rowOff>
    </xdr:from>
    <xdr:to>
      <xdr:col>11</xdr:col>
      <xdr:colOff>504825</xdr:colOff>
      <xdr:row>2</xdr:row>
      <xdr:rowOff>133350</xdr:rowOff>
    </xdr:to>
    <xdr:sp macro="" textlink="">
      <xdr:nvSpPr>
        <xdr:cNvPr id="31" name="Rectangle: Rounded Corners 30">
          <a:extLst>
            <a:ext uri="{FF2B5EF4-FFF2-40B4-BE49-F238E27FC236}">
              <a16:creationId xmlns:a16="http://schemas.microsoft.com/office/drawing/2014/main" xmlns="" id="{03F9E84B-BCD7-44EE-AEB3-F2DCACA25AE2}"/>
            </a:ext>
          </a:extLst>
        </xdr:cNvPr>
        <xdr:cNvSpPr/>
      </xdr:nvSpPr>
      <xdr:spPr>
        <a:xfrm>
          <a:off x="142875" y="28575"/>
          <a:ext cx="7067550" cy="428625"/>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400050</xdr:colOff>
      <xdr:row>30</xdr:row>
      <xdr:rowOff>47625</xdr:rowOff>
    </xdr:from>
    <xdr:to>
      <xdr:col>27</xdr:col>
      <xdr:colOff>542925</xdr:colOff>
      <xdr:row>49</xdr:row>
      <xdr:rowOff>76200</xdr:rowOff>
    </xdr:to>
    <xdr:sp macro="" textlink="">
      <xdr:nvSpPr>
        <xdr:cNvPr id="33" name="Rectangle: Rounded Corners 32">
          <a:extLst>
            <a:ext uri="{FF2B5EF4-FFF2-40B4-BE49-F238E27FC236}">
              <a16:creationId xmlns:a16="http://schemas.microsoft.com/office/drawing/2014/main" xmlns="" id="{59691C9F-AD28-47E9-8DE2-7DBBFF384106}"/>
            </a:ext>
          </a:extLst>
        </xdr:cNvPr>
        <xdr:cNvSpPr/>
      </xdr:nvSpPr>
      <xdr:spPr>
        <a:xfrm>
          <a:off x="3448050" y="4905375"/>
          <a:ext cx="13554075" cy="3105150"/>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p>
          <a:pPr algn="just"/>
          <a:r>
            <a:rPr lang="en-US"/>
            <a:t>1. Alan Dominguez was the top Customer in Sales Purchase</a:t>
          </a:r>
          <a:r>
            <a:rPr lang="en-US" baseline="0"/>
            <a:t> </a:t>
          </a:r>
          <a:r>
            <a:rPr lang="en-US"/>
            <a:t>and i</a:t>
          </a:r>
          <a:r>
            <a:rPr lang="en-US" baseline="0"/>
            <a:t> recommend that he should be encouraged with a Gift to keep him coming.</a:t>
          </a:r>
        </a:p>
        <a:p>
          <a:pPr algn="just"/>
          <a:endParaRPr lang="en-US" baseline="0"/>
        </a:p>
        <a:p>
          <a:pPr algn="just"/>
          <a:r>
            <a:rPr lang="en-US" baseline="0"/>
            <a:t>2. The highest sales was made from the month of april till july due to high stock availability during this period, i recommend that stocks should be made availalble more consistently for more sales.</a:t>
          </a:r>
        </a:p>
        <a:p>
          <a:pPr algn="just"/>
          <a:endParaRPr lang="en-US" baseline="0"/>
        </a:p>
        <a:p>
          <a:pPr algn="just"/>
          <a:r>
            <a:rPr lang="en-US" baseline="0"/>
            <a:t>3. The Sum of Sales by Category, shows that phones were Purchased the most, I recommend that the phones which had the highest sales and profit should be increased in quauntity for more sales and profit.</a:t>
          </a:r>
        </a:p>
        <a:p>
          <a:pPr algn="just"/>
          <a:endParaRPr lang="en-US" baseline="0"/>
        </a:p>
        <a:p>
          <a:pPr algn="just"/>
          <a:r>
            <a:rPr lang="en-US" baseline="0"/>
            <a:t>4. Looking at the Customer names, 2014 had the highest Customer Count, I recommend that the product bought most in 2014 which attracted the customer should be Purchased more, to keep the customers coming.</a:t>
          </a:r>
        </a:p>
        <a:p>
          <a:pPr algn="just"/>
          <a:endParaRPr lang="en-US" baseline="0"/>
        </a:p>
        <a:p>
          <a:pPr algn="just"/>
          <a:r>
            <a:rPr lang="en-US" baseline="0"/>
            <a:t>5. The Sum of Sales was 200923.24, i recommend that more promo should be done to keep the customers coming and increase the sales.</a:t>
          </a:r>
        </a:p>
        <a:p>
          <a:pPr algn="just"/>
          <a:endParaRPr lang="en-US" baseline="0"/>
        </a:p>
        <a:p>
          <a:pPr algn="just"/>
          <a:r>
            <a:rPr lang="en-US" baseline="0"/>
            <a:t>6. </a:t>
          </a:r>
          <a:r>
            <a:rPr lang="en-US" sz="1100" baseline="0"/>
            <a:t>The sum of profit had the higest count in 2014, i recomend that the company should incresae its stock availabilty and marketing efforts to increasre profit.</a:t>
          </a:r>
          <a:endParaRPr lang="en-US"/>
        </a:p>
      </xdr:txBody>
    </xdr:sp>
    <xdr:clientData/>
  </xdr:twoCellAnchor>
  <xdr:oneCellAnchor>
    <xdr:from>
      <xdr:col>1</xdr:col>
      <xdr:colOff>47625</xdr:colOff>
      <xdr:row>0</xdr:row>
      <xdr:rowOff>95250</xdr:rowOff>
    </xdr:from>
    <xdr:ext cx="8626556" cy="298800"/>
    <xdr:sp macro="" textlink="">
      <xdr:nvSpPr>
        <xdr:cNvPr id="4" name="Rectangle 3">
          <a:extLst>
            <a:ext uri="{FF2B5EF4-FFF2-40B4-BE49-F238E27FC236}">
              <a16:creationId xmlns:a16="http://schemas.microsoft.com/office/drawing/2014/main" xmlns="" id="{22A3390D-7FF1-4545-9BAF-B5E483104BE1}"/>
            </a:ext>
          </a:extLst>
        </xdr:cNvPr>
        <xdr:cNvSpPr/>
      </xdr:nvSpPr>
      <xdr:spPr>
        <a:xfrm>
          <a:off x="657225" y="95250"/>
          <a:ext cx="8626556" cy="298800"/>
        </a:xfrm>
        <a:prstGeom prst="rect">
          <a:avLst/>
        </a:prstGeom>
        <a:noFill/>
      </xdr:spPr>
      <xdr:txBody>
        <a:bodyPr wrap="squar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1400" b="1" cap="none" spc="0">
              <a:ln/>
              <a:solidFill>
                <a:schemeClr val="accent3"/>
              </a:solidFill>
              <a:effectLst/>
            </a:rPr>
            <a:t>SUPREME</a:t>
          </a:r>
          <a:r>
            <a:rPr lang="en-US" sz="1400" b="1" cap="none" spc="0" baseline="0">
              <a:ln/>
              <a:solidFill>
                <a:schemeClr val="accent3"/>
              </a:solidFill>
              <a:effectLst/>
            </a:rPr>
            <a:t> SUPERMARKET DASHBOARD</a:t>
          </a:r>
          <a:endParaRPr lang="en-US" sz="1400" b="1" cap="none" spc="0">
            <a:ln/>
            <a:solidFill>
              <a:schemeClr val="accent3"/>
            </a:solidFill>
            <a:effectLst/>
          </a:endParaRPr>
        </a:p>
      </xdr:txBody>
    </xdr:sp>
    <xdr:clientData/>
  </xdr:oneCellAnchor>
  <xdr:twoCellAnchor editAs="oneCell">
    <xdr:from>
      <xdr:col>4</xdr:col>
      <xdr:colOff>270429</xdr:colOff>
      <xdr:row>0</xdr:row>
      <xdr:rowOff>85724</xdr:rowOff>
    </xdr:from>
    <xdr:to>
      <xdr:col>5</xdr:col>
      <xdr:colOff>85724</xdr:colOff>
      <xdr:row>2</xdr:row>
      <xdr:rowOff>123824</xdr:rowOff>
    </xdr:to>
    <xdr:pic>
      <xdr:nvPicPr>
        <xdr:cNvPr id="34" name="Picture 33" descr="Supermarket Logo Stock Illustrations – 34,617 Supermarket ...">
          <a:extLst>
            <a:ext uri="{FF2B5EF4-FFF2-40B4-BE49-F238E27FC236}">
              <a16:creationId xmlns:a16="http://schemas.microsoft.com/office/drawing/2014/main" xmlns="" id="{79FC0CF7-0BAC-4FC9-A34D-59DFB14EFD3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flipV="1">
          <a:off x="2708829" y="85724"/>
          <a:ext cx="424895"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133350</xdr:colOff>
      <xdr:row>2</xdr:row>
      <xdr:rowOff>142875</xdr:rowOff>
    </xdr:from>
    <xdr:to>
      <xdr:col>1</xdr:col>
      <xdr:colOff>581025</xdr:colOff>
      <xdr:row>5</xdr:row>
      <xdr:rowOff>85725</xdr:rowOff>
    </xdr:to>
    <xdr:sp macro="" textlink="">
      <xdr:nvSpPr>
        <xdr:cNvPr id="14" name="Rectangle: Rounded Corners 13">
          <a:extLst>
            <a:ext uri="{FF2B5EF4-FFF2-40B4-BE49-F238E27FC236}">
              <a16:creationId xmlns:a16="http://schemas.microsoft.com/office/drawing/2014/main" xmlns="" id="{C24528F4-DAE0-4CF1-AC8F-F56CB05E64E5}"/>
            </a:ext>
          </a:extLst>
        </xdr:cNvPr>
        <xdr:cNvSpPr/>
      </xdr:nvSpPr>
      <xdr:spPr>
        <a:xfrm>
          <a:off x="133350" y="466725"/>
          <a:ext cx="1057275" cy="428625"/>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r>
            <a:rPr lang="en-US"/>
            <a:t> $15,222</a:t>
          </a:r>
        </a:p>
      </xdr:txBody>
    </xdr:sp>
    <xdr:clientData/>
  </xdr:twoCellAnchor>
  <xdr:twoCellAnchor>
    <xdr:from>
      <xdr:col>1</xdr:col>
      <xdr:colOff>600074</xdr:colOff>
      <xdr:row>2</xdr:row>
      <xdr:rowOff>142875</xdr:rowOff>
    </xdr:from>
    <xdr:to>
      <xdr:col>3</xdr:col>
      <xdr:colOff>476249</xdr:colOff>
      <xdr:row>5</xdr:row>
      <xdr:rowOff>85725</xdr:rowOff>
    </xdr:to>
    <xdr:sp macro="" textlink="Kpis!A2">
      <xdr:nvSpPr>
        <xdr:cNvPr id="18" name="Rectangle: Rounded Corners 17">
          <a:extLst>
            <a:ext uri="{FF2B5EF4-FFF2-40B4-BE49-F238E27FC236}">
              <a16:creationId xmlns:a16="http://schemas.microsoft.com/office/drawing/2014/main" xmlns="" id="{BEB2C4FF-9929-40D1-BE70-0A02B8E39908}"/>
            </a:ext>
          </a:extLst>
        </xdr:cNvPr>
        <xdr:cNvSpPr/>
      </xdr:nvSpPr>
      <xdr:spPr>
        <a:xfrm>
          <a:off x="1209674" y="466725"/>
          <a:ext cx="1095375" cy="428625"/>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r>
            <a:rPr lang="en-US"/>
            <a:t>$200,924</a:t>
          </a:r>
        </a:p>
      </xdr:txBody>
    </xdr:sp>
    <xdr:clientData/>
  </xdr:twoCellAnchor>
  <xdr:twoCellAnchor>
    <xdr:from>
      <xdr:col>3</xdr:col>
      <xdr:colOff>476251</xdr:colOff>
      <xdr:row>2</xdr:row>
      <xdr:rowOff>133350</xdr:rowOff>
    </xdr:from>
    <xdr:to>
      <xdr:col>5</xdr:col>
      <xdr:colOff>400051</xdr:colOff>
      <xdr:row>5</xdr:row>
      <xdr:rowOff>76200</xdr:rowOff>
    </xdr:to>
    <xdr:sp macro="" textlink="'kpi customer'!A2">
      <xdr:nvSpPr>
        <xdr:cNvPr id="20" name="Rectangle: Rounded Corners 19">
          <a:extLst>
            <a:ext uri="{FF2B5EF4-FFF2-40B4-BE49-F238E27FC236}">
              <a16:creationId xmlns:a16="http://schemas.microsoft.com/office/drawing/2014/main" xmlns="" id="{EA486281-87EC-4EA5-A643-0758EE7F170F}"/>
            </a:ext>
          </a:extLst>
        </xdr:cNvPr>
        <xdr:cNvSpPr/>
      </xdr:nvSpPr>
      <xdr:spPr>
        <a:xfrm>
          <a:off x="2305051" y="457200"/>
          <a:ext cx="1143000" cy="428625"/>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r>
            <a:rPr lang="en-US"/>
            <a:t>668</a:t>
          </a:r>
        </a:p>
      </xdr:txBody>
    </xdr:sp>
    <xdr:clientData/>
  </xdr:twoCellAnchor>
  <xdr:twoCellAnchor>
    <xdr:from>
      <xdr:col>0</xdr:col>
      <xdr:colOff>161925</xdr:colOff>
      <xdr:row>4</xdr:row>
      <xdr:rowOff>133350</xdr:rowOff>
    </xdr:from>
    <xdr:to>
      <xdr:col>1</xdr:col>
      <xdr:colOff>285750</xdr:colOff>
      <xdr:row>6</xdr:row>
      <xdr:rowOff>28575</xdr:rowOff>
    </xdr:to>
    <xdr:sp macro="" textlink="">
      <xdr:nvSpPr>
        <xdr:cNvPr id="22" name="Rectangle: Rounded Corners 21">
          <a:extLst>
            <a:ext uri="{FF2B5EF4-FFF2-40B4-BE49-F238E27FC236}">
              <a16:creationId xmlns:a16="http://schemas.microsoft.com/office/drawing/2014/main" xmlns="" id="{4EC5982B-15A0-4138-BF48-7DC7FBF0AA24}"/>
            </a:ext>
          </a:extLst>
        </xdr:cNvPr>
        <xdr:cNvSpPr/>
      </xdr:nvSpPr>
      <xdr:spPr>
        <a:xfrm>
          <a:off x="161925" y="781050"/>
          <a:ext cx="733425" cy="2190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r>
            <a:rPr lang="en-US" sz="800" u="none"/>
            <a:t>Total</a:t>
          </a:r>
          <a:r>
            <a:rPr lang="en-US" sz="800" baseline="0"/>
            <a:t> sales</a:t>
          </a:r>
          <a:endParaRPr lang="en-US" sz="800"/>
        </a:p>
      </xdr:txBody>
    </xdr:sp>
    <xdr:clientData/>
  </xdr:twoCellAnchor>
  <xdr:twoCellAnchor>
    <xdr:from>
      <xdr:col>3</xdr:col>
      <xdr:colOff>609599</xdr:colOff>
      <xdr:row>4</xdr:row>
      <xdr:rowOff>133350</xdr:rowOff>
    </xdr:from>
    <xdr:to>
      <xdr:col>5</xdr:col>
      <xdr:colOff>66674</xdr:colOff>
      <xdr:row>6</xdr:row>
      <xdr:rowOff>19050</xdr:rowOff>
    </xdr:to>
    <xdr:sp macro="" textlink="">
      <xdr:nvSpPr>
        <xdr:cNvPr id="25" name="Rectangle: Rounded Corners 24">
          <a:extLst>
            <a:ext uri="{FF2B5EF4-FFF2-40B4-BE49-F238E27FC236}">
              <a16:creationId xmlns:a16="http://schemas.microsoft.com/office/drawing/2014/main" xmlns="" id="{B7CE1F86-6D09-45E2-85ED-229DF1905608}"/>
            </a:ext>
          </a:extLst>
        </xdr:cNvPr>
        <xdr:cNvSpPr/>
      </xdr:nvSpPr>
      <xdr:spPr>
        <a:xfrm>
          <a:off x="2438399" y="781050"/>
          <a:ext cx="676275" cy="209550"/>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r>
            <a:rPr lang="en-US" sz="800"/>
            <a:t>Total</a:t>
          </a:r>
          <a:r>
            <a:rPr lang="en-US" sz="800" baseline="0"/>
            <a:t> customers</a:t>
          </a:r>
          <a:endParaRPr lang="en-US" sz="800"/>
        </a:p>
      </xdr:txBody>
    </xdr:sp>
    <xdr:clientData/>
  </xdr:twoCellAnchor>
  <xdr:twoCellAnchor>
    <xdr:from>
      <xdr:col>2</xdr:col>
      <xdr:colOff>95249</xdr:colOff>
      <xdr:row>4</xdr:row>
      <xdr:rowOff>114300</xdr:rowOff>
    </xdr:from>
    <xdr:to>
      <xdr:col>3</xdr:col>
      <xdr:colOff>190500</xdr:colOff>
      <xdr:row>6</xdr:row>
      <xdr:rowOff>9524</xdr:rowOff>
    </xdr:to>
    <xdr:sp macro="" textlink="">
      <xdr:nvSpPr>
        <xdr:cNvPr id="29" name="Rectangle: Rounded Corners 28">
          <a:extLst>
            <a:ext uri="{FF2B5EF4-FFF2-40B4-BE49-F238E27FC236}">
              <a16:creationId xmlns:a16="http://schemas.microsoft.com/office/drawing/2014/main" xmlns="" id="{A191C5B7-EB18-44C6-A259-8BB96C4AD467}"/>
            </a:ext>
          </a:extLst>
        </xdr:cNvPr>
        <xdr:cNvSpPr/>
      </xdr:nvSpPr>
      <xdr:spPr>
        <a:xfrm>
          <a:off x="1314449" y="762000"/>
          <a:ext cx="704851" cy="219074"/>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r>
            <a:rPr lang="en-US" sz="800"/>
            <a:t>Total</a:t>
          </a:r>
          <a:r>
            <a:rPr lang="en-US" sz="800" baseline="0"/>
            <a:t> profit</a:t>
          </a:r>
          <a:endParaRPr lang="en-US" sz="800"/>
        </a:p>
      </xdr:txBody>
    </xdr:sp>
    <xdr:clientData/>
  </xdr:twoCellAnchor>
  <xdr:twoCellAnchor>
    <xdr:from>
      <xdr:col>10</xdr:col>
      <xdr:colOff>590550</xdr:colOff>
      <xdr:row>31</xdr:row>
      <xdr:rowOff>114300</xdr:rowOff>
    </xdr:from>
    <xdr:to>
      <xdr:col>16</xdr:col>
      <xdr:colOff>523875</xdr:colOff>
      <xdr:row>34</xdr:row>
      <xdr:rowOff>142875</xdr:rowOff>
    </xdr:to>
    <xdr:sp macro="" textlink="">
      <xdr:nvSpPr>
        <xdr:cNvPr id="6" name="TextBox 1">
          <a:extLst>
            <a:ext uri="{FF2B5EF4-FFF2-40B4-BE49-F238E27FC236}">
              <a16:creationId xmlns:a16="http://schemas.microsoft.com/office/drawing/2014/main" xmlns="" id="{DE91C9BF-6A74-4962-A5F9-B327056CF915}"/>
            </a:ext>
          </a:extLst>
        </xdr:cNvPr>
        <xdr:cNvSpPr txBox="1"/>
      </xdr:nvSpPr>
      <xdr:spPr>
        <a:xfrm>
          <a:off x="6686550" y="5133975"/>
          <a:ext cx="3590925" cy="514350"/>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1"/>
        </a:p>
        <a:p>
          <a:pPr algn="ctr"/>
          <a:r>
            <a:rPr lang="en-US" sz="1100" b="1"/>
            <a:t>RECOMMENDATIONS</a:t>
          </a:r>
        </a:p>
      </xdr:txBody>
    </xdr:sp>
    <xdr:clientData/>
  </xdr:twoCellAnchor>
  <xdr:twoCellAnchor>
    <xdr:from>
      <xdr:col>19</xdr:col>
      <xdr:colOff>142875</xdr:colOff>
      <xdr:row>0</xdr:row>
      <xdr:rowOff>19050</xdr:rowOff>
    </xdr:from>
    <xdr:to>
      <xdr:col>27</xdr:col>
      <xdr:colOff>304800</xdr:colOff>
      <xdr:row>19</xdr:row>
      <xdr:rowOff>76200</xdr:rowOff>
    </xdr:to>
    <xdr:graphicFrame macro="">
      <xdr:nvGraphicFramePr>
        <xdr:cNvPr id="21" name="Chart 20">
          <a:extLst>
            <a:ext uri="{FF2B5EF4-FFF2-40B4-BE49-F238E27FC236}">
              <a16:creationId xmlns:a16="http://schemas.microsoft.com/office/drawing/2014/main" xmlns="" id="{8EF5D94D-7424-475F-9A1E-1A1D1146C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0.3125</cdr:x>
      <cdr:y>0</cdr:y>
    </cdr:from>
    <cdr:to>
      <cdr:x>0.675</cdr:x>
      <cdr:y>0.10357</cdr:y>
    </cdr:to>
    <cdr:sp macro="" textlink="">
      <cdr:nvSpPr>
        <cdr:cNvPr id="2" name="TextBox 1">
          <a:extLst xmlns:a="http://schemas.openxmlformats.org/drawingml/2006/main">
            <a:ext uri="{FF2B5EF4-FFF2-40B4-BE49-F238E27FC236}">
              <a16:creationId xmlns:a16="http://schemas.microsoft.com/office/drawing/2014/main" xmlns="" id="{1AFF9ABC-0FCD-4ED4-89DF-83A3D87FCB43}"/>
            </a:ext>
          </a:extLst>
        </cdr:cNvPr>
        <cdr:cNvSpPr txBox="1"/>
      </cdr:nvSpPr>
      <cdr:spPr>
        <a:xfrm xmlns:a="http://schemas.openxmlformats.org/drawingml/2006/main">
          <a:off x="1428750" y="0"/>
          <a:ext cx="1657350"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Sum</a:t>
          </a:r>
          <a:r>
            <a:rPr lang="en-US" sz="1100" baseline="0"/>
            <a:t> of Sales by Year</a:t>
          </a:r>
          <a:endParaRPr lang="en-US" sz="1100"/>
        </a:p>
      </cdr:txBody>
    </cdr:sp>
  </cdr:relSizeAnchor>
</c:userShape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227.809831828701" createdVersion="6" refreshedVersion="6" minRefreshableVersion="3" recordCount="668">
  <cacheSource type="worksheet">
    <worksheetSource name="Table2"/>
  </cacheSource>
  <cacheFields count="2">
    <cacheField name="Year" numFmtId="0">
      <sharedItems count="4">
        <s v="2014"/>
        <s v="2015"/>
        <s v="2016"/>
        <s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30.45181111111" createdVersion="6" refreshedVersion="6" minRefreshableVersion="3" recordCount="759">
  <cacheSource type="worksheet">
    <worksheetSource name="Table1"/>
  </cacheSource>
  <cacheFields count="11">
    <cacheField name="Order Date" numFmtId="164">
      <sharedItems containsSemiMixedTypes="0" containsNonDate="0" containsDate="1" containsString="0" minDate="2014-01-02T00:00:00" maxDate="2017-12-29T00:00:00"/>
    </cacheField>
    <cacheField name="Month" numFmtId="164">
      <sharedItems count="12">
        <s v="Jan"/>
        <s v="Feb"/>
        <s v="Mar"/>
        <s v="Apr"/>
        <s v="May"/>
        <s v="Jun"/>
        <s v="Jul"/>
        <s v="Aug"/>
        <s v="Sep"/>
        <s v="Oct"/>
        <s v="Nov"/>
        <s v="Dec"/>
      </sharedItems>
    </cacheField>
    <cacheField name="Year" numFmtId="164">
      <sharedItems count="4">
        <s v="2014"/>
        <s v="2015"/>
        <s v="2016"/>
        <s v="2017"/>
      </sharedItems>
    </cacheField>
    <cacheField name="Customer Name" numFmtId="0">
      <sharedItems count="498">
        <s v="Darren Powers"/>
        <s v="Phillina Ober"/>
        <s v="Mick Brown"/>
        <s v="Lycoris Saunders"/>
        <s v="Vivek Sundaresam"/>
        <s v="Melanie Seite"/>
        <s v="Anthony Jacobs"/>
        <s v="Seth Vernon"/>
        <s v="Chris Selesnick"/>
        <s v="Brendan Sweed"/>
        <s v="Erica Hackney"/>
        <s v="Delfina Latchford"/>
        <s v="David Wiener"/>
        <s v="Toby Swindell"/>
        <s v="Hunter Lopez"/>
        <s v="Tom Boeckenhauer"/>
        <s v="Ionia McGrath"/>
        <s v="Shirley Daniels"/>
        <s v="Ed Jacobs"/>
        <s v="Jasper Cacioppo"/>
        <s v="Mike Vittorini"/>
        <s v="Liz Carlisle"/>
        <s v="Bradley Drucker"/>
        <s v="Cynthia Delaney"/>
        <s v="Deborah Brumfield"/>
        <s v="Neil Ducich"/>
        <s v="Cyma Kinney"/>
        <s v="Nathan Mautz"/>
        <s v="Sanjit Chand"/>
        <s v="Shui Tom"/>
        <s v="Barry Französisch"/>
        <s v="Michael Nguyen"/>
        <s v="Troy Blackwell"/>
        <s v="Linda Cazamias"/>
        <s v="Tamara Manning"/>
        <s v="Michael Grace"/>
        <s v="Joy Smith"/>
        <s v="Dave Brooks"/>
        <s v="Clay Ludtke"/>
        <s v="Aimee Bixby"/>
        <s v="Aaron Bergman"/>
        <s v="Scott Williamson"/>
        <s v="Chloris Kastensmidt"/>
        <s v="Alan Shonely"/>
        <s v="Kristina Nunn"/>
        <s v="Bradley Nguyen"/>
        <s v="Sean Miller"/>
        <s v="Matt Connell"/>
        <s v="Cassandra Brandow"/>
        <s v="Craig Carroll"/>
        <s v="Patrick O'Donnell"/>
        <s v="Carlos Daly"/>
        <s v="Annie Zypern"/>
        <s v="Jonathan Doherty"/>
        <s v="Christina VanderZanden"/>
        <s v="Mike Gockenbach"/>
        <s v="Kunst Miller"/>
        <s v="Alex Avila"/>
        <s v="Rob Dowd"/>
        <s v="Paul Knutson"/>
        <s v="Tracy Hopkins"/>
        <s v="Guy Phonely"/>
        <s v="Pauline Johnson"/>
        <s v="Jim Mitchum"/>
        <s v="Jay Kimmel"/>
        <s v="Kean Nguyen"/>
        <s v="Paul Stevenson"/>
        <s v="John Lee"/>
        <s v="Nicole Fjeld"/>
        <s v="Theresa Swint"/>
        <s v="Dianna Arnett"/>
        <s v="Aleksandra Gannaway"/>
        <s v="Muhammed Yedwab"/>
        <s v="Lauren Leatherbury"/>
        <s v="Andrew Roberts"/>
        <s v="Joni Sundaresam"/>
        <s v="Paul MacIntyre"/>
        <s v="Peter Fuller"/>
        <s v="Harold Pawlan"/>
        <s v="Carol Triggs"/>
        <s v="Kean Thornton"/>
        <s v="Patrick Gardner"/>
        <s v="Arianne Irving"/>
        <s v="Paul Gonzalez"/>
        <s v="Alejandro Grove"/>
        <s v="Anthony Johnson"/>
        <s v="Pete Armstrong"/>
        <s v="Bruce Stewart"/>
        <s v="John Huston"/>
        <s v="Randy Ferguson"/>
        <s v="Mitch Willingham"/>
        <s v="Evan Henry"/>
        <s v="Resi Pölking"/>
        <s v="Janet Lee"/>
        <s v="Maya Herman"/>
        <s v="Patrick Jones"/>
        <s v="Ellis Ballard"/>
        <s v="Jim Karlsson"/>
        <s v="Christine Kargatis"/>
        <s v="Steven Cartwright"/>
        <s v="Mark Packer"/>
        <s v="Bryan Mills"/>
        <s v="Bart Pistole"/>
        <s v="Carlos Soltero"/>
        <s v="Brosina Hoffman"/>
        <s v="Heather Kirkland"/>
        <s v="Sharelle Roach"/>
        <s v="Kelly Lampkin"/>
        <s v="Duane Benoit"/>
        <s v="Mick Crebagga"/>
        <s v="Sam Craven"/>
        <s v="Naresj Patel"/>
        <s v="Joel Eaton"/>
        <s v="Brian Stugart"/>
        <s v="Liz Pelletier"/>
        <s v="Noel Staavos"/>
        <s v="Liz MacKendrick"/>
        <s v="Cynthia Arntzen"/>
        <s v="Dan Lawera"/>
        <s v="Helen Abelman"/>
        <s v="Dorris liebe"/>
        <s v="Eric Hoffmann"/>
        <s v="Katrina Edelman"/>
        <s v="Michael Chen"/>
        <s v="Emily Phan"/>
        <s v="Michelle Huthwaite"/>
        <s v="Alyssa Crouse"/>
        <s v="Grace Kelly"/>
        <s v="Arthur Wiediger"/>
        <s v="Victoria Wilson"/>
        <s v="Adrian Hane"/>
        <s v="Christine Abelman"/>
        <s v="Katherine Murray"/>
        <s v="Michelle Ellison"/>
        <s v="Erin Mull"/>
        <s v="Arthur Gainer"/>
        <s v="Ken Lonsdale"/>
        <s v="Carl Ludwig"/>
        <s v="Giulietta Weimer"/>
        <s v="Tom Stivers"/>
        <s v="Barbara Fisher"/>
        <s v="Nick Zandusky"/>
        <s v="Valerie Dominguez"/>
        <s v="Chad Sievert"/>
        <s v="Roland Fjeld"/>
        <s v="Lena Radford"/>
        <s v="Andy Gerbode"/>
        <s v="Charles Sheldon"/>
        <s v="Keith Herrera"/>
        <s v="Troy Staebel"/>
        <s v="Ken Black"/>
        <s v="Craig Reiter"/>
        <s v="Deanra Eno"/>
        <s v="Rick Hansen"/>
        <s v="Robert Barroso"/>
        <s v="Zuschuss Donatelli"/>
        <s v="Hilary Holden"/>
        <s v="Annie Thurman"/>
        <s v="Shirley Jackson"/>
        <s v="Larry Tron"/>
        <s v="Justin MacKendrick"/>
        <s v="Allen Goldenen"/>
        <s v="Sean Braxton"/>
        <s v="Maribeth Schnelling"/>
        <s v="Liz Willingham"/>
        <s v="Erin Ashbrook"/>
        <s v="Jennifer Braxton"/>
        <s v="Monica Federle"/>
        <s v="Anthony Garverick"/>
        <s v="Philip Fox"/>
        <s v="Jack Garza"/>
        <s v="Julia Dunbar"/>
        <s v="Michelle Tran"/>
        <s v="Thomas Seio"/>
        <s v="George Zrebassa"/>
        <s v="Arthur Prichep"/>
        <s v="Russell Applegate"/>
        <s v="Erin Smith"/>
        <s v="David Flashing"/>
        <s v="Brian Derr"/>
        <s v="Xylona Preis"/>
        <s v="Tanja Norvell"/>
        <s v="Jill Fjeld"/>
        <s v="Zuschuss Carroll"/>
        <s v="Jim Epp"/>
        <s v="Lynn Smith"/>
        <s v="Alan Schoenberger"/>
        <s v="Jeremy Farry"/>
        <s v="Maureen Gastineau"/>
        <s v="Aaron Hawkins"/>
        <s v="Angele Hood"/>
        <s v="Todd Sumrall"/>
        <s v="Sue Ann Reed"/>
        <s v="Roger Demir"/>
        <s v="Maxwell Schwartz"/>
        <s v="George Ashbrook"/>
        <s v="Tamara Chand"/>
        <s v="Emily Burns"/>
        <s v="Ruben Dartt"/>
        <s v="Pete Kriz"/>
        <s v="Roy Französisch"/>
        <s v="Maris LaWare"/>
        <s v="Jamie Frazer"/>
        <s v="Rick Huthwaite"/>
        <s v="Pierre Wener"/>
        <s v="Robert Marley"/>
        <s v="Katharine Harms"/>
        <s v="Ruben Ausman"/>
        <s v="Nathan Gelder"/>
        <s v="Bart Folk"/>
        <s v="Corey-Lock"/>
        <s v="Jeremy Lonsdale"/>
        <s v="Cathy Prescott"/>
        <s v="Luke Foster"/>
        <s v="Patrick O'Brill"/>
        <s v="Thomas Boland"/>
        <s v="Nora Preis"/>
        <s v="Katherine Ducich"/>
        <s v="Mike Kennedy"/>
        <s v="Gary McGarr"/>
        <s v="Khloe Miller"/>
        <s v="Sarah Foster"/>
        <s v="Sung Pak"/>
        <s v="Debra Catini"/>
        <s v="Ken Brennan"/>
        <s v="Pamela Coakley"/>
        <s v="Steven Roelle"/>
        <s v="Yana Sorensen"/>
        <s v="Philip Brown"/>
        <s v="Carl Weiss"/>
        <s v="Elizabeth Moffitt"/>
        <s v="Joseph Holt"/>
        <s v="Jeremy Pistek"/>
        <s v="Karl Braun"/>
        <s v="Allen Armold"/>
        <s v="Damala Kotsonis"/>
        <s v="Lisa Hazard"/>
        <s v="Michael Stewart"/>
        <s v="Nona Balk"/>
        <s v="Roy Phan"/>
        <s v="Ann Blume"/>
        <s v="Penelope Sewall"/>
        <s v="Lindsay Castell"/>
        <s v="Dave Kipp"/>
        <s v="John Lucas"/>
        <s v="Eugene Moren"/>
        <s v="Edward Becker"/>
        <s v="Marc Crier"/>
        <s v="Karen Seio"/>
        <s v="Christopher Martinez"/>
        <s v="Harold Ryan"/>
        <s v="Jesus Ocampo"/>
        <s v="Bart Watters"/>
        <s v="Julia West"/>
        <s v="Dean Braden"/>
        <s v="Dennis Pardue"/>
        <s v="Benjamin Venier"/>
        <s v="Mark Van Huff"/>
        <s v="Alan Barnes"/>
        <s v="Sara Luxemburg"/>
        <s v="Scott Cohen"/>
        <s v="Michael Oakman"/>
        <s v="Greg Guthrie"/>
        <s v="Robert Dilbeck"/>
        <s v="Theone Pippenger"/>
        <s v="Juliana Krohn"/>
        <s v="Jill Stevenson"/>
        <s v="Jim Kriz"/>
        <s v="Noah Childs"/>
        <s v="Anna Gayman"/>
        <s v="Claudia Bergmann"/>
        <s v="Max Engle"/>
        <s v="Cindy Stewart"/>
        <s v="Anna Häberlin"/>
        <s v="Sheri Gordon"/>
        <s v="Sarah Brown"/>
        <s v="Justin Hirsh"/>
        <s v="Neil Knudson"/>
        <s v="Edward Nazzal"/>
        <s v="Stephanie Phelps"/>
        <s v="Eleni McCrary"/>
        <s v="Brian Dahlen"/>
        <s v="Jennifer Jackson"/>
        <s v="Alan Dominguez"/>
        <s v="Logan Haushalter"/>
        <s v="Stewart Carmichael"/>
        <s v="Rick Duston"/>
        <s v="Cathy Hwang"/>
        <s v="Laura Armstrong"/>
        <s v="Richard Bierner"/>
        <s v="Bruce Degenhardt"/>
        <s v="Irene Maddox"/>
        <s v="Kalyca Meade"/>
        <s v="Clytie Kelty"/>
        <s v="Natalie DeCherney"/>
        <s v="Toby Gnade"/>
        <s v="Jessica Myrick"/>
        <s v="Thais Sissman"/>
        <s v="Ralph Kennedy"/>
        <s v="Ross Baird"/>
        <s v="Pauline Chand"/>
        <s v="Thomas Thornton"/>
        <s v="David Smith"/>
        <s v="Odella Nelson"/>
        <s v="Tim Taslimi"/>
        <s v="John Murray"/>
        <s v="Shaun Chance"/>
        <s v="Dave Poirier"/>
        <s v="Tamara Dahlen"/>
        <s v="Chad Cunningham"/>
        <s v="Doug Bickford"/>
        <s v="Julie Creighton"/>
        <s v="Christine Sundaresam"/>
        <s v="Neoma Murray"/>
        <s v="Charles Crestani"/>
        <s v="Christina Anderson"/>
        <s v="Tracy Blumstein"/>
        <s v="Trudy Glocke"/>
        <s v="Stuart Van"/>
        <s v="Ed Braxton"/>
        <s v="Denny Joy"/>
        <s v="Joel Jenkins"/>
        <s v="Charlotte Melton"/>
        <s v="Liz Thompson"/>
        <s v="Maribeth Yedwab"/>
        <s v="Jas O'Carroll"/>
        <s v="Corinna Mitchell"/>
        <s v="George Bell"/>
        <s v="Karen Bern"/>
        <s v="Andrew Gjertsen"/>
        <s v="Lena Cacioppo"/>
        <s v="Philisse Overcash"/>
        <s v="Greg Hansen"/>
        <s v="Victoria Brennan"/>
        <s v="Denny Ordway"/>
        <s v="Dan Reichenbach"/>
        <s v="Sylvia Foulston"/>
        <s v="William Brown"/>
        <s v="Logan Currie"/>
        <s v="Dean Katz"/>
        <s v="Ritsa Hightower"/>
        <s v="Darren Koutras"/>
        <s v="Tonja Turnell"/>
        <s v="Keith Dawkins"/>
        <s v="John Stevenson"/>
        <s v="Joni Blumstein"/>
        <s v="Justin Deggeller"/>
        <s v="Steve Nguyen"/>
        <s v="Brendan Murry"/>
        <s v="Dianna Wilson"/>
        <s v="Jack O'Briant"/>
        <s v="Dean percer"/>
        <s v="Chuck Clark"/>
        <s v="Christy Brittain"/>
        <s v="Henry Goldwyn"/>
        <s v="Todd Boyes"/>
        <s v="Sample Company A"/>
        <s v="Adrian Barton"/>
        <s v="Alan Hwang"/>
        <s v="Matthew Clasen"/>
        <s v="Paul Van Hugh"/>
        <s v="Michael Granlund"/>
        <s v="Julia Barnett"/>
        <s v="Caroline Jumper"/>
        <s v="Tamara Willingham"/>
        <s v="Henia Zydlo"/>
        <s v="Paul Lucas"/>
        <s v="Rose O'Brian"/>
        <s v="Bobby Trafton"/>
        <s v="Kean Takahito"/>
        <s v="Toby Braunhardt"/>
        <s v="Aaron Smayling"/>
        <s v="Maria Etezadi"/>
        <s v="Gary Mitchum"/>
        <s v="Valerie Mitchum"/>
        <s v="Yoseph Carroll"/>
        <s v="Justin Ritter"/>
        <s v="Ben Ferrer"/>
        <s v="Clay Rozendal"/>
        <s v="Sibella Parks"/>
        <s v="Cathy Armstrong"/>
        <s v="Dennis Bolton"/>
        <s v="Bryan Davis"/>
        <s v="Brad Eason"/>
        <s v="Sonia Sunley"/>
        <s v="Eric Barreto"/>
        <s v="Laurel Elliston"/>
        <s v="Rick Bensley"/>
        <s v="Lisa DeCherney"/>
        <s v="Rob Lucas"/>
        <s v="Beth Paige"/>
        <s v="Christine Phan"/>
        <s v="Karen Daniels"/>
        <s v="Roy Collins"/>
        <s v="Olvera Toch"/>
        <s v="Mary Zewe"/>
        <s v="Bill Donatelli"/>
        <s v="Lena Hernandez"/>
        <s v="John Grady"/>
        <s v="Jay Fein"/>
        <s v="Anna Andreadi"/>
        <s v="Steve Chapman"/>
        <s v="Scot Coram"/>
        <s v="Kristen Hastings"/>
        <s v="Dionis Lloyd"/>
        <s v="Alex Grayson"/>
        <s v="Max Ludwig"/>
        <s v="Maureen Fritzler"/>
        <s v="Dorothy Wardle"/>
        <s v="Helen Andreada"/>
        <s v="Jill Matthias"/>
        <s v="Helen Wasserman"/>
        <s v="Stephanie Ulpright"/>
        <s v="Adam Bellavance"/>
        <s v="Parhena Norris"/>
        <s v="Kelly Collister"/>
        <s v="Ben Peterman"/>
        <s v="Henry MacAllister"/>
        <s v="Eugene Hildebrand"/>
        <s v="Greg Maxwell"/>
        <s v="Natalie Fritzler"/>
        <s v="Harry Marie"/>
        <s v="Linda Southworth"/>
        <s v="Tim Brockman"/>
        <s v="Patrick Bzostek"/>
        <s v="Christopher Schild"/>
        <s v="Max Jones"/>
        <s v="Claire Gute"/>
        <s v="Maurice Satty"/>
        <s v="Frank Merwin"/>
        <s v="Luke Schmidt"/>
        <s v="Heather Jas"/>
        <s v="Nick Crebassa"/>
        <s v="Gary Zandusky"/>
        <s v="Becky Martin"/>
        <s v="Gene Hale"/>
        <s v="Janet Molinari"/>
        <s v="Craig Carreira"/>
        <s v="Charles McCrossin"/>
        <s v="Alan Haines"/>
        <s v="Frank Preis"/>
        <s v="Guy Armstrong"/>
        <s v="Ricardo Sperren"/>
        <s v="Robert Waldorf"/>
        <s v="Darrin Sayre"/>
        <s v="Julie Kriz"/>
        <s v="Cynthia Voltz"/>
        <s v="Nicole Hansen"/>
        <s v="Liz Preis"/>
        <s v="Roland Murray"/>
        <s v="Mick Hernandez"/>
        <s v="Karen Ferguson"/>
        <s v="Catherine Glotzbach"/>
        <s v="Bill Eplett"/>
        <s v="Brian Moss"/>
        <s v="Tony Molinari"/>
        <s v="Katherine Hughes"/>
        <s v="Bryan Spruell"/>
        <s v="Luke Weiss"/>
        <s v="Sally Knutson"/>
        <s v="Filia McAdams"/>
        <s v="Nat Carroll"/>
        <s v="Kimberly Carter"/>
        <s v="Lindsay Williams"/>
        <s v="Gary Hansen"/>
        <s v="Dianna Vittorini"/>
        <s v="Clay Cheatham"/>
        <s v="Allen Rosenblatt"/>
        <s v="Dan Campbell"/>
        <s v="Victor Preis"/>
        <s v="Chuck Sachs"/>
        <s v="Cari Schnelling"/>
        <s v="Mark Hamilton"/>
        <s v="Raymond Buch"/>
        <s v="Matt Hagelstein"/>
        <s v="Fred McMath"/>
        <s v="Nat Gilpin"/>
        <s v="Speros Goranitis"/>
        <s v="Brenda Bowman"/>
        <s v="Barry Blumstein"/>
        <s v="Sanjit Jacobs"/>
        <s v="Ken Heidel"/>
        <s v="Amy Cox"/>
        <s v="Evan Bailliet"/>
        <s v="Scot Wooten"/>
        <s v="Frank Gastineau"/>
        <s v="Saphhira Shifley"/>
        <s v="Patricia Hirasaki"/>
        <s v="Tom Ashbrook"/>
        <s v="Grant Thornton"/>
        <s v="Roger Barcio"/>
        <s v="Dana Kaydos"/>
        <s v="Jonathan Howell"/>
        <s v="Janet Martin"/>
        <s v="Ted Trevino"/>
        <s v="Mike Pelletier"/>
        <s v="Michael Moore"/>
        <s v="Sandra Glassco"/>
      </sharedItems>
    </cacheField>
    <cacheField name="State" numFmtId="0">
      <sharedItems count="45">
        <s v="Texas"/>
        <s v="Illinois"/>
        <s v="Pennsylvania"/>
        <s v="California"/>
        <s v="Virginia"/>
        <s v="Delaware"/>
        <s v="Louisiana"/>
        <s v="Georgia"/>
        <s v="Oregon"/>
        <s v="Arizona"/>
        <s v="Arkansas"/>
        <s v="Florida"/>
        <s v="Nevada"/>
        <s v="New York"/>
        <s v="Michigan"/>
        <s v="Wisconsin"/>
        <s v="Washington"/>
        <s v="New Jersey"/>
        <s v="Indiana"/>
        <s v="Ohio"/>
        <s v="South Carolina"/>
        <s v="North Carolina"/>
        <s v="Minnesota"/>
        <s v="Iowa"/>
        <s v="Alabama"/>
        <s v="Maryland"/>
        <s v="Mississippi"/>
        <s v="Kentucky"/>
        <s v="Massachusetts"/>
        <s v="Utah"/>
        <s v="New Hampshire"/>
        <s v="Colorado"/>
        <s v="South Dakota"/>
        <s v="Connecticut"/>
        <s v="Missouri"/>
        <s v="Montana"/>
        <s v="New Mexico"/>
        <s v="Tennessee"/>
        <s v="Kansas"/>
        <s v="Oklahoma"/>
        <s v="Nebraska"/>
        <s v="Vermont"/>
        <s v="North Dakota"/>
        <s v="Idaho"/>
        <s v="Rhode Island"/>
      </sharedItems>
    </cacheField>
    <cacheField name="Category" numFmtId="0">
      <sharedItems count="3">
        <s v="Office Supplies"/>
        <s v="Furniture"/>
        <s v="Technology"/>
      </sharedItems>
    </cacheField>
    <cacheField name="Sub-Category" numFmtId="0">
      <sharedItems count="17">
        <s v="Paper"/>
        <s v="Labels"/>
        <s v="Art"/>
        <s v="Furnishings"/>
        <s v="Envelopes"/>
        <s v="Bookcases"/>
        <s v="Accessories"/>
        <s v="Appliances"/>
        <s v="Binders"/>
        <s v="Phones"/>
        <s v="Storage"/>
        <s v="Fasteners"/>
        <s v="Chairs"/>
        <s v="Machines"/>
        <s v="Tables"/>
        <s v="Copiers"/>
        <s v="Supplies"/>
      </sharedItems>
    </cacheField>
    <cacheField name="Product Name" numFmtId="0">
      <sharedItems/>
    </cacheField>
    <cacheField name="Sales" numFmtId="0">
      <sharedItems containsSemiMixedTypes="0" containsString="0" containsNumber="1" minValue="1.08" maxValue="11199.97"/>
    </cacheField>
    <cacheField name="Quantity" numFmtId="0">
      <sharedItems containsSemiMixedTypes="0" containsString="0" containsNumber="1" containsInteger="1" minValue="1" maxValue="14"/>
    </cacheField>
    <cacheField name="Profit" numFmtId="0">
      <sharedItems containsSemiMixedTypes="0" containsString="0" containsNumber="1" minValue="-3839.99" maxValue="3919.99"/>
    </cacheField>
  </cacheFields>
  <extLst>
    <ext xmlns:x14="http://schemas.microsoft.com/office/spreadsheetml/2009/9/main" uri="{725AE2AE-9491-48be-B2B4-4EB974FC3084}">
      <x14:pivotCacheDefinition pivotCacheId="2065158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8">
  <r>
    <x v="0"/>
    <s v="Phillina Ober"/>
  </r>
  <r>
    <x v="0"/>
    <s v="Mick Brown"/>
  </r>
  <r>
    <x v="0"/>
    <s v="Lycoris Saunders"/>
  </r>
  <r>
    <x v="0"/>
    <s v="Vivek Sundaresam"/>
  </r>
  <r>
    <x v="0"/>
    <s v="Melanie Seite"/>
  </r>
  <r>
    <x v="0"/>
    <s v="Anthony Jacobs"/>
  </r>
  <r>
    <x v="0"/>
    <s v="Seth Vernon"/>
  </r>
  <r>
    <x v="0"/>
    <s v="Chris Selesnick"/>
  </r>
  <r>
    <x v="0"/>
    <s v="Brendan Sweed"/>
  </r>
  <r>
    <x v="0"/>
    <s v="Erica Hackney"/>
  </r>
  <r>
    <x v="0"/>
    <s v="Delfina Latchford"/>
  </r>
  <r>
    <x v="0"/>
    <s v="David Wiener"/>
  </r>
  <r>
    <x v="0"/>
    <s v="Toby Swindell"/>
  </r>
  <r>
    <x v="0"/>
    <s v="Hunter Lopez"/>
  </r>
  <r>
    <x v="0"/>
    <s v="Tom Boeckenhauer"/>
  </r>
  <r>
    <x v="0"/>
    <s v="Ionia McGrath"/>
  </r>
  <r>
    <x v="0"/>
    <s v="Shirley Daniels"/>
  </r>
  <r>
    <x v="0"/>
    <s v="Ed Jacobs"/>
  </r>
  <r>
    <x v="0"/>
    <s v="Jasper Cacioppo"/>
  </r>
  <r>
    <x v="0"/>
    <s v="Mike Vittorini"/>
  </r>
  <r>
    <x v="0"/>
    <s v="Liz Carlisle"/>
  </r>
  <r>
    <x v="0"/>
    <s v="Bradley Drucker"/>
  </r>
  <r>
    <x v="0"/>
    <s v="Cynthia Delaney"/>
  </r>
  <r>
    <x v="0"/>
    <s v="Deborah Brumfield"/>
  </r>
  <r>
    <x v="0"/>
    <s v="Neil Ducich"/>
  </r>
  <r>
    <x v="0"/>
    <s v="Cyma Kinney"/>
  </r>
  <r>
    <x v="0"/>
    <s v="Nathan Mautz"/>
  </r>
  <r>
    <x v="0"/>
    <s v="Sanjit Chand"/>
  </r>
  <r>
    <x v="0"/>
    <s v="Shui Tom"/>
  </r>
  <r>
    <x v="0"/>
    <s v="Barry Französisch"/>
  </r>
  <r>
    <x v="0"/>
    <s v="Michael Nguyen"/>
  </r>
  <r>
    <x v="0"/>
    <s v="Troy Blackwell"/>
  </r>
  <r>
    <x v="0"/>
    <s v="Linda Cazamias"/>
  </r>
  <r>
    <x v="0"/>
    <s v="Tamara Manning"/>
  </r>
  <r>
    <x v="0"/>
    <s v="Michael Grace"/>
  </r>
  <r>
    <x v="0"/>
    <s v="Joy Smith"/>
  </r>
  <r>
    <x v="0"/>
    <s v="Dave Brooks"/>
  </r>
  <r>
    <x v="0"/>
    <s v="Clay Ludtke"/>
  </r>
  <r>
    <x v="0"/>
    <s v="Aimee Bixby"/>
  </r>
  <r>
    <x v="0"/>
    <s v="Aaron Bergman"/>
  </r>
  <r>
    <x v="0"/>
    <s v="Scott Williamson"/>
  </r>
  <r>
    <x v="0"/>
    <s v="Chloris Kastensmidt"/>
  </r>
  <r>
    <x v="0"/>
    <s v="Alan Shonely"/>
  </r>
  <r>
    <x v="0"/>
    <s v="Kristina Nunn"/>
  </r>
  <r>
    <x v="0"/>
    <s v="Bradley Nguyen"/>
  </r>
  <r>
    <x v="0"/>
    <s v="Sean Miller"/>
  </r>
  <r>
    <x v="0"/>
    <s v="Matt Connell"/>
  </r>
  <r>
    <x v="0"/>
    <s v="Cassandra Brandow"/>
  </r>
  <r>
    <x v="0"/>
    <s v="Craig Carroll"/>
  </r>
  <r>
    <x v="0"/>
    <s v="Patrick O'Donnell"/>
  </r>
  <r>
    <x v="0"/>
    <s v="Carlos Daly"/>
  </r>
  <r>
    <x v="0"/>
    <s v="Annie Zypern"/>
  </r>
  <r>
    <x v="0"/>
    <s v="Jonathan Doherty"/>
  </r>
  <r>
    <x v="0"/>
    <s v="Christina VanderZanden"/>
  </r>
  <r>
    <x v="0"/>
    <s v="Mike Gockenbach"/>
  </r>
  <r>
    <x v="0"/>
    <s v="Kunst Miller"/>
  </r>
  <r>
    <x v="0"/>
    <s v="Alex Avila"/>
  </r>
  <r>
    <x v="0"/>
    <s v="Rob Dowd"/>
  </r>
  <r>
    <x v="0"/>
    <s v="Paul Knutson"/>
  </r>
  <r>
    <x v="0"/>
    <s v="Tracy Hopkins"/>
  </r>
  <r>
    <x v="0"/>
    <s v="Guy Phonely"/>
  </r>
  <r>
    <x v="0"/>
    <s v="Pauline Johnson"/>
  </r>
  <r>
    <x v="0"/>
    <s v="Jim Mitchum"/>
  </r>
  <r>
    <x v="0"/>
    <s v="Jay Kimmel"/>
  </r>
  <r>
    <x v="0"/>
    <s v="Kean Nguyen"/>
  </r>
  <r>
    <x v="0"/>
    <s v="Paul Stevenson"/>
  </r>
  <r>
    <x v="0"/>
    <s v="John Lee"/>
  </r>
  <r>
    <x v="0"/>
    <s v="Nicole Fjeld"/>
  </r>
  <r>
    <x v="0"/>
    <s v="Theresa Swint"/>
  </r>
  <r>
    <x v="0"/>
    <s v="Dianna Arnett"/>
  </r>
  <r>
    <x v="0"/>
    <s v="Aleksandra Gannaway"/>
  </r>
  <r>
    <x v="0"/>
    <s v="Muhammed Yedwab"/>
  </r>
  <r>
    <x v="0"/>
    <s v="Lauren Leatherbury"/>
  </r>
  <r>
    <x v="0"/>
    <s v="Andrew Roberts"/>
  </r>
  <r>
    <x v="0"/>
    <s v="Joni Sundaresam"/>
  </r>
  <r>
    <x v="0"/>
    <s v="Paul MacIntyre"/>
  </r>
  <r>
    <x v="0"/>
    <s v="Peter Fuller"/>
  </r>
  <r>
    <x v="0"/>
    <s v="Harold Pawlan"/>
  </r>
  <r>
    <x v="0"/>
    <s v="Carol Triggs"/>
  </r>
  <r>
    <x v="0"/>
    <s v="Kean Thornton"/>
  </r>
  <r>
    <x v="0"/>
    <s v="Patrick Gardner"/>
  </r>
  <r>
    <x v="0"/>
    <s v="Arianne Irving"/>
  </r>
  <r>
    <x v="0"/>
    <s v="Paul Gonzalez"/>
  </r>
  <r>
    <x v="0"/>
    <s v="Alejandro Grove"/>
  </r>
  <r>
    <x v="0"/>
    <s v="Anthony Johnson"/>
  </r>
  <r>
    <x v="0"/>
    <s v="Pete Armstrong"/>
  </r>
  <r>
    <x v="0"/>
    <s v="Bruce Stewart"/>
  </r>
  <r>
    <x v="0"/>
    <s v="John Huston"/>
  </r>
  <r>
    <x v="0"/>
    <s v="Randy Ferguson"/>
  </r>
  <r>
    <x v="0"/>
    <s v="Mitch Willingham"/>
  </r>
  <r>
    <x v="0"/>
    <s v="Evan Henry"/>
  </r>
  <r>
    <x v="0"/>
    <s v="Resi Pölking"/>
  </r>
  <r>
    <x v="1"/>
    <s v="Janet Lee"/>
  </r>
  <r>
    <x v="1"/>
    <s v="Maya Herman"/>
  </r>
  <r>
    <x v="1"/>
    <s v="Patrick Jones"/>
  </r>
  <r>
    <x v="1"/>
    <s v="Ellis Ballard"/>
  </r>
  <r>
    <x v="1"/>
    <s v="Jim Karlsson"/>
  </r>
  <r>
    <x v="1"/>
    <s v="Christine Kargatis"/>
  </r>
  <r>
    <x v="1"/>
    <s v="Steven Cartwright"/>
  </r>
  <r>
    <x v="1"/>
    <s v="Mark Packer"/>
  </r>
  <r>
    <x v="1"/>
    <s v="Bryan Mills"/>
  </r>
  <r>
    <x v="1"/>
    <s v="Bart Pistole"/>
  </r>
  <r>
    <x v="1"/>
    <s v="Carlos Soltero"/>
  </r>
  <r>
    <x v="1"/>
    <s v="Brosina Hoffman"/>
  </r>
  <r>
    <x v="1"/>
    <s v="Heather Kirkland"/>
  </r>
  <r>
    <x v="1"/>
    <s v="Sharelle Roach"/>
  </r>
  <r>
    <x v="1"/>
    <s v="Kelly Lampkin"/>
  </r>
  <r>
    <x v="1"/>
    <s v="Duane Benoit"/>
  </r>
  <r>
    <x v="1"/>
    <s v="Mick Crebagga"/>
  </r>
  <r>
    <x v="1"/>
    <s v="Sam Craven"/>
  </r>
  <r>
    <x v="1"/>
    <s v="Naresj Patel"/>
  </r>
  <r>
    <x v="1"/>
    <s v="Joel Eaton"/>
  </r>
  <r>
    <x v="1"/>
    <s v="Brian Stugart"/>
  </r>
  <r>
    <x v="1"/>
    <s v="Liz Pelletier"/>
  </r>
  <r>
    <x v="1"/>
    <s v="Noel Staavos"/>
  </r>
  <r>
    <x v="1"/>
    <s v="Liz MacKendrick"/>
  </r>
  <r>
    <x v="1"/>
    <s v="Cynthia Arntzen"/>
  </r>
  <r>
    <x v="1"/>
    <s v="Dan Lawera"/>
  </r>
  <r>
    <x v="1"/>
    <s v="Helen Abelman"/>
  </r>
  <r>
    <x v="1"/>
    <s v="Dorris liebe"/>
  </r>
  <r>
    <x v="1"/>
    <s v="Eric Hoffmann"/>
  </r>
  <r>
    <x v="1"/>
    <s v="Katrina Edelman"/>
  </r>
  <r>
    <x v="1"/>
    <s v="Michael Chen"/>
  </r>
  <r>
    <x v="1"/>
    <s v="Emily Phan"/>
  </r>
  <r>
    <x v="1"/>
    <s v="John Lee"/>
  </r>
  <r>
    <x v="1"/>
    <s v="Michelle Huthwaite"/>
  </r>
  <r>
    <x v="1"/>
    <s v="Alyssa Crouse"/>
  </r>
  <r>
    <x v="1"/>
    <s v="Grace Kelly"/>
  </r>
  <r>
    <x v="1"/>
    <s v="Arthur Wiediger"/>
  </r>
  <r>
    <x v="1"/>
    <s v="Victoria Wilson"/>
  </r>
  <r>
    <x v="1"/>
    <s v="Adrian Hane"/>
  </r>
  <r>
    <x v="1"/>
    <s v="Christine Abelman"/>
  </r>
  <r>
    <x v="1"/>
    <s v="Katherine Murray"/>
  </r>
  <r>
    <x v="1"/>
    <s v="Michelle Ellison"/>
  </r>
  <r>
    <x v="1"/>
    <s v="Erin Mull"/>
  </r>
  <r>
    <x v="1"/>
    <s v="Arthur Gainer"/>
  </r>
  <r>
    <x v="1"/>
    <s v="Ken Lonsdale"/>
  </r>
  <r>
    <x v="1"/>
    <s v="Carl Ludwig"/>
  </r>
  <r>
    <x v="1"/>
    <s v="Giulietta Weimer"/>
  </r>
  <r>
    <x v="1"/>
    <s v="Chloris Kastensmidt"/>
  </r>
  <r>
    <x v="1"/>
    <s v="Tom Stivers"/>
  </r>
  <r>
    <x v="1"/>
    <s v="Barbara Fisher"/>
  </r>
  <r>
    <x v="1"/>
    <s v="Nick Zandusky"/>
  </r>
  <r>
    <x v="1"/>
    <s v="Bruce Stewart"/>
  </r>
  <r>
    <x v="1"/>
    <s v="Valerie Dominguez"/>
  </r>
  <r>
    <x v="1"/>
    <s v="Chad Sievert"/>
  </r>
  <r>
    <x v="1"/>
    <s v="Roland Fjeld"/>
  </r>
  <r>
    <x v="1"/>
    <s v="Lena Radford"/>
  </r>
  <r>
    <x v="1"/>
    <s v="Andy Gerbode"/>
  </r>
  <r>
    <x v="1"/>
    <s v="Charles Sheldon"/>
  </r>
  <r>
    <x v="1"/>
    <s v="Keith Herrera"/>
  </r>
  <r>
    <x v="1"/>
    <s v="Troy Staebel"/>
  </r>
  <r>
    <x v="1"/>
    <s v="Ken Black"/>
  </r>
  <r>
    <x v="1"/>
    <s v="Craig Reiter"/>
  </r>
  <r>
    <x v="1"/>
    <s v="Deanra Eno"/>
  </r>
  <r>
    <x v="1"/>
    <s v="Rick Hansen"/>
  </r>
  <r>
    <x v="1"/>
    <s v="Robert Barroso"/>
  </r>
  <r>
    <x v="1"/>
    <s v="Zuschuss Donatelli"/>
  </r>
  <r>
    <x v="1"/>
    <s v="Hilary Holden"/>
  </r>
  <r>
    <x v="1"/>
    <s v="Annie Thurman"/>
  </r>
  <r>
    <x v="1"/>
    <s v="Shirley Jackson"/>
  </r>
  <r>
    <x v="1"/>
    <s v="Larry Tron"/>
  </r>
  <r>
    <x v="1"/>
    <s v="Justin MacKendrick"/>
  </r>
  <r>
    <x v="1"/>
    <s v="Allen Goldenen"/>
  </r>
  <r>
    <x v="2"/>
    <s v="Sean Braxton"/>
  </r>
  <r>
    <x v="2"/>
    <s v="Maribeth Schnelling"/>
  </r>
  <r>
    <x v="2"/>
    <s v="Liz Willingham"/>
  </r>
  <r>
    <x v="2"/>
    <s v="Shirley Daniels"/>
  </r>
  <r>
    <x v="2"/>
    <s v="Erin Ashbrook"/>
  </r>
  <r>
    <x v="2"/>
    <s v="Jennifer Braxton"/>
  </r>
  <r>
    <x v="2"/>
    <s v="Monica Federle"/>
  </r>
  <r>
    <x v="2"/>
    <s v="Randy Ferguson"/>
  </r>
  <r>
    <x v="2"/>
    <s v="Anthony Garverick"/>
  </r>
  <r>
    <x v="2"/>
    <s v="Philip Fox"/>
  </r>
  <r>
    <x v="2"/>
    <s v="Jack Garza"/>
  </r>
  <r>
    <x v="2"/>
    <s v="Julia Dunbar"/>
  </r>
  <r>
    <x v="2"/>
    <s v="Michelle Tran"/>
  </r>
  <r>
    <x v="2"/>
    <s v="Thomas Seio"/>
  </r>
  <r>
    <x v="2"/>
    <s v="George Zrebassa"/>
  </r>
  <r>
    <x v="2"/>
    <s v="Arthur Prichep"/>
  </r>
  <r>
    <x v="2"/>
    <s v="Russell Applegate"/>
  </r>
  <r>
    <x v="2"/>
    <s v="Erin Smith"/>
  </r>
  <r>
    <x v="2"/>
    <s v="David Flashing"/>
  </r>
  <r>
    <x v="2"/>
    <s v="Brian Derr"/>
  </r>
  <r>
    <x v="2"/>
    <s v="Xylona Preis"/>
  </r>
  <r>
    <x v="2"/>
    <s v="Tanja Norvell"/>
  </r>
  <r>
    <x v="2"/>
    <s v="Jill Fjeld"/>
  </r>
  <r>
    <x v="2"/>
    <s v="Zuschuss Carroll"/>
  </r>
  <r>
    <x v="2"/>
    <s v="Jim Epp"/>
  </r>
  <r>
    <x v="2"/>
    <s v="Dan Lawera"/>
  </r>
  <r>
    <x v="2"/>
    <s v="Lynn Smith"/>
  </r>
  <r>
    <x v="2"/>
    <s v="Alan Schoenberger"/>
  </r>
  <r>
    <x v="2"/>
    <s v="Jeremy Farry"/>
  </r>
  <r>
    <x v="2"/>
    <s v="Maureen Gastineau"/>
  </r>
  <r>
    <x v="2"/>
    <s v="Aaron Hawkins"/>
  </r>
  <r>
    <x v="2"/>
    <s v="Angele Hood"/>
  </r>
  <r>
    <x v="2"/>
    <s v="Todd Sumrall"/>
  </r>
  <r>
    <x v="2"/>
    <s v="Sue Ann Reed"/>
  </r>
  <r>
    <x v="2"/>
    <s v="Roger Demir"/>
  </r>
  <r>
    <x v="2"/>
    <s v="Maxwell Schwartz"/>
  </r>
  <r>
    <x v="2"/>
    <s v="Nathan Mautz"/>
  </r>
  <r>
    <x v="2"/>
    <s v="Deanra Eno"/>
  </r>
  <r>
    <x v="2"/>
    <s v="George Ashbrook"/>
  </r>
  <r>
    <x v="2"/>
    <s v="Tamara Chand"/>
  </r>
  <r>
    <x v="2"/>
    <s v="Emily Burns"/>
  </r>
  <r>
    <x v="2"/>
    <s v="Ruben Dartt"/>
  </r>
  <r>
    <x v="2"/>
    <s v="Pete Kriz"/>
  </r>
  <r>
    <x v="2"/>
    <s v="Roy Französisch"/>
  </r>
  <r>
    <x v="2"/>
    <s v="Maris LaWare"/>
  </r>
  <r>
    <x v="2"/>
    <s v="Jamie Frazer"/>
  </r>
  <r>
    <x v="2"/>
    <s v="Rick Huthwaite"/>
  </r>
  <r>
    <x v="2"/>
    <s v="Mark Packer"/>
  </r>
  <r>
    <x v="2"/>
    <s v="Pierre Wener"/>
  </r>
  <r>
    <x v="2"/>
    <s v="Robert Marley"/>
  </r>
  <r>
    <x v="2"/>
    <s v="Katharine Harms"/>
  </r>
  <r>
    <x v="2"/>
    <s v="Ruben Ausman"/>
  </r>
  <r>
    <x v="2"/>
    <s v="Sanjit Chand"/>
  </r>
  <r>
    <x v="2"/>
    <s v="Nathan Gelder"/>
  </r>
  <r>
    <x v="2"/>
    <s v="Joel Eaton"/>
  </r>
  <r>
    <x v="2"/>
    <s v="Bart Folk"/>
  </r>
  <r>
    <x v="2"/>
    <s v="Corey-Lock"/>
  </r>
  <r>
    <x v="2"/>
    <s v="Jeremy Lonsdale"/>
  </r>
  <r>
    <x v="2"/>
    <s v="Resi Pölking"/>
  </r>
  <r>
    <x v="2"/>
    <s v="Cathy Prescott"/>
  </r>
  <r>
    <x v="2"/>
    <s v="Brendan Sweed"/>
  </r>
  <r>
    <x v="2"/>
    <s v="Luke Foster"/>
  </r>
  <r>
    <x v="2"/>
    <s v="Patrick O'Brill"/>
  </r>
  <r>
    <x v="2"/>
    <s v="Thomas Boland"/>
  </r>
  <r>
    <x v="2"/>
    <s v="Cyma Kinney"/>
  </r>
  <r>
    <x v="2"/>
    <s v="Nora Preis"/>
  </r>
  <r>
    <x v="2"/>
    <s v="Katherine Ducich"/>
  </r>
  <r>
    <x v="2"/>
    <s v="Mick Crebagga"/>
  </r>
  <r>
    <x v="2"/>
    <s v="Kean Nguyen"/>
  </r>
  <r>
    <x v="2"/>
    <s v="Mike Kennedy"/>
  </r>
  <r>
    <x v="3"/>
    <s v="Gary McGarr"/>
  </r>
  <r>
    <x v="3"/>
    <s v="Khloe Miller"/>
  </r>
  <r>
    <x v="3"/>
    <s v="Sarah Foster"/>
  </r>
  <r>
    <x v="3"/>
    <s v="Luke Foster"/>
  </r>
  <r>
    <x v="3"/>
    <s v="Sung Pak"/>
  </r>
  <r>
    <x v="3"/>
    <s v="Debra Catini"/>
  </r>
  <r>
    <x v="3"/>
    <s v="Ken Brennan"/>
  </r>
  <r>
    <x v="3"/>
    <s v="Pamela Coakley"/>
  </r>
  <r>
    <x v="3"/>
    <s v="Victoria Wilson"/>
  </r>
  <r>
    <x v="3"/>
    <s v="Steven Roelle"/>
  </r>
  <r>
    <x v="3"/>
    <s v="Yana Sorensen"/>
  </r>
  <r>
    <x v="3"/>
    <s v="Philip Brown"/>
  </r>
  <r>
    <x v="3"/>
    <s v="Joni Sundaresam"/>
  </r>
  <r>
    <x v="3"/>
    <s v="Carl Weiss"/>
  </r>
  <r>
    <x v="3"/>
    <s v="Elizabeth Moffitt"/>
  </r>
  <r>
    <x v="3"/>
    <s v="Seth Vernon"/>
  </r>
  <r>
    <x v="3"/>
    <s v="Joseph Holt"/>
  </r>
  <r>
    <x v="3"/>
    <s v="Jeremy Pistek"/>
  </r>
  <r>
    <x v="3"/>
    <s v="Karl Braun"/>
  </r>
  <r>
    <x v="3"/>
    <s v="Allen Armold"/>
  </r>
  <r>
    <x v="3"/>
    <s v="Damala Kotsonis"/>
  </r>
  <r>
    <x v="3"/>
    <s v="Lisa Hazard"/>
  </r>
  <r>
    <x v="3"/>
    <s v="Michael Stewart"/>
  </r>
  <r>
    <x v="3"/>
    <s v="Nona Balk"/>
  </r>
  <r>
    <x v="3"/>
    <s v="Roy Phan"/>
  </r>
  <r>
    <x v="3"/>
    <s v="Ann Blume"/>
  </r>
  <r>
    <x v="3"/>
    <s v="Liz MacKendrick"/>
  </r>
  <r>
    <x v="3"/>
    <s v="Penelope Sewall"/>
  </r>
  <r>
    <x v="3"/>
    <s v="Lindsay Castell"/>
  </r>
  <r>
    <x v="3"/>
    <s v="Valerie Dominguez"/>
  </r>
  <r>
    <x v="3"/>
    <s v="Shui Tom"/>
  </r>
  <r>
    <x v="3"/>
    <s v="Dave Kipp"/>
  </r>
  <r>
    <x v="3"/>
    <s v="John Lucas"/>
  </r>
  <r>
    <x v="3"/>
    <s v="Eugene Moren"/>
  </r>
  <r>
    <x v="3"/>
    <s v="Noel Staavos"/>
  </r>
  <r>
    <x v="3"/>
    <s v="Toby Swindell"/>
  </r>
  <r>
    <x v="3"/>
    <s v="Edward Becker"/>
  </r>
  <r>
    <x v="3"/>
    <s v="Marc Crier"/>
  </r>
  <r>
    <x v="3"/>
    <s v="Karen Seio"/>
  </r>
  <r>
    <x v="3"/>
    <s v="Christopher Martinez"/>
  </r>
  <r>
    <x v="3"/>
    <s v="Harold Ryan"/>
  </r>
  <r>
    <x v="3"/>
    <s v="Jesus Ocampo"/>
  </r>
  <r>
    <x v="3"/>
    <s v="Bart Watters"/>
  </r>
  <r>
    <x v="3"/>
    <s v="Julia West"/>
  </r>
  <r>
    <x v="3"/>
    <s v="Dean Braden"/>
  </r>
  <r>
    <x v="3"/>
    <s v="Dennis Pardue"/>
  </r>
  <r>
    <x v="3"/>
    <s v="Benjamin Venier"/>
  </r>
  <r>
    <x v="3"/>
    <s v="Mark Van Huff"/>
  </r>
  <r>
    <x v="3"/>
    <s v="Alan Barnes"/>
  </r>
  <r>
    <x v="3"/>
    <s v="Sara Luxemburg"/>
  </r>
  <r>
    <x v="3"/>
    <s v="Scott Cohen"/>
  </r>
  <r>
    <x v="0"/>
    <s v="Michael Oakman"/>
  </r>
  <r>
    <x v="1"/>
    <s v="Greg Guthrie"/>
  </r>
  <r>
    <x v="1"/>
    <s v="Peter Fuller"/>
  </r>
  <r>
    <x v="2"/>
    <s v="Jay Kimmel"/>
  </r>
  <r>
    <x v="3"/>
    <s v="Robert Dilbeck"/>
  </r>
  <r>
    <x v="0"/>
    <s v="Zuschuss Carroll"/>
  </r>
  <r>
    <x v="1"/>
    <s v="Theone Pippenger"/>
  </r>
  <r>
    <x v="0"/>
    <s v="George Ashbrook"/>
  </r>
  <r>
    <x v="1"/>
    <s v="Patrick Gardner"/>
  </r>
  <r>
    <x v="2"/>
    <s v="Juliana Krohn"/>
  </r>
  <r>
    <x v="1"/>
    <s v="Jill Stevenson"/>
  </r>
  <r>
    <x v="3"/>
    <s v="Russell Applegate"/>
  </r>
  <r>
    <x v="1"/>
    <s v="Jim Kriz"/>
  </r>
  <r>
    <x v="2"/>
    <s v="Paul Stevenson"/>
  </r>
  <r>
    <x v="0"/>
    <s v="Jennifer Braxton"/>
  </r>
  <r>
    <x v="3"/>
    <s v="Noah Childs"/>
  </r>
  <r>
    <x v="0"/>
    <s v="Alan Schoenberger"/>
  </r>
  <r>
    <x v="1"/>
    <s v="Anna Gayman"/>
  </r>
  <r>
    <x v="2"/>
    <s v="Claudia Bergmann"/>
  </r>
  <r>
    <x v="0"/>
    <s v="Max Engle"/>
  </r>
  <r>
    <x v="0"/>
    <s v="Dennis Pardue"/>
  </r>
  <r>
    <x v="0"/>
    <s v="Cindy Stewart"/>
  </r>
  <r>
    <x v="2"/>
    <s v="Anna Häberlin"/>
  </r>
  <r>
    <x v="1"/>
    <s v="Tracy Hopkins"/>
  </r>
  <r>
    <x v="2"/>
    <s v="Sheri Gordon"/>
  </r>
  <r>
    <x v="0"/>
    <s v="Joel Eaton"/>
  </r>
  <r>
    <x v="1"/>
    <s v="Sarah Brown"/>
  </r>
  <r>
    <x v="2"/>
    <s v="Justin Hirsh"/>
  </r>
  <r>
    <x v="0"/>
    <s v="Neil Knudson"/>
  </r>
  <r>
    <x v="1"/>
    <s v="John Lucas"/>
  </r>
  <r>
    <x v="2"/>
    <s v="Edward Nazzal"/>
  </r>
  <r>
    <x v="2"/>
    <s v="Stephanie Phelps"/>
  </r>
  <r>
    <x v="0"/>
    <s v="Katrina Edelman"/>
  </r>
  <r>
    <x v="1"/>
    <s v="Edward Becker"/>
  </r>
  <r>
    <x v="0"/>
    <s v="Eleni McCrary"/>
  </r>
  <r>
    <x v="0"/>
    <s v="Brian Dahlen"/>
  </r>
  <r>
    <x v="1"/>
    <s v="Jennifer Jackson"/>
  </r>
  <r>
    <x v="2"/>
    <s v="Alan Dominguez"/>
  </r>
  <r>
    <x v="2"/>
    <s v="Philip Brown"/>
  </r>
  <r>
    <x v="3"/>
    <s v="Logan Haushalter"/>
  </r>
  <r>
    <x v="0"/>
    <s v="Stewart Carmichael"/>
  </r>
  <r>
    <x v="2"/>
    <s v="Rick Duston"/>
  </r>
  <r>
    <x v="3"/>
    <s v="Cathy Hwang"/>
  </r>
  <r>
    <x v="0"/>
    <s v="Laura Armstrong"/>
  </r>
  <r>
    <x v="1"/>
    <s v="Richard Bierner"/>
  </r>
  <r>
    <x v="2"/>
    <s v="Bruce Degenhardt"/>
  </r>
  <r>
    <x v="0"/>
    <s v="Irene Maddox"/>
  </r>
  <r>
    <x v="1"/>
    <s v="Kalyca Meade"/>
  </r>
  <r>
    <x v="0"/>
    <s v="Eric Hoffmann"/>
  </r>
  <r>
    <x v="2"/>
    <s v="Clytie Kelty"/>
  </r>
  <r>
    <x v="1"/>
    <s v="Natalie DeCherney"/>
  </r>
  <r>
    <x v="2"/>
    <s v="Toby Gnade"/>
  </r>
  <r>
    <x v="2"/>
    <s v="Jessica Myrick"/>
  </r>
  <r>
    <x v="3"/>
    <s v="Roland Fjeld"/>
  </r>
  <r>
    <x v="0"/>
    <s v="Thais Sissman"/>
  </r>
  <r>
    <x v="2"/>
    <s v="Ralph Kennedy"/>
  </r>
  <r>
    <x v="0"/>
    <s v="Ross Baird"/>
  </r>
  <r>
    <x v="2"/>
    <s v="Patrick Gardner"/>
  </r>
  <r>
    <x v="0"/>
    <s v="Rick Hansen"/>
  </r>
  <r>
    <x v="2"/>
    <s v="Pauline Chand"/>
  </r>
  <r>
    <x v="3"/>
    <s v="Corey-Lock"/>
  </r>
  <r>
    <x v="0"/>
    <s v="Anna Häberlin"/>
  </r>
  <r>
    <x v="1"/>
    <s v="Michael Stewart"/>
  </r>
  <r>
    <x v="2"/>
    <s v="Thomas Thornton"/>
  </r>
  <r>
    <x v="3"/>
    <s v="David Smith"/>
  </r>
  <r>
    <x v="0"/>
    <s v="Odella Nelson"/>
  </r>
  <r>
    <x v="2"/>
    <s v="Tim Taslimi"/>
  </r>
  <r>
    <x v="3"/>
    <s v="John Murray"/>
  </r>
  <r>
    <x v="0"/>
    <s v="Shaun Chance"/>
  </r>
  <r>
    <x v="3"/>
    <s v="Nick Zandusky"/>
  </r>
  <r>
    <x v="0"/>
    <s v="Dave Poirier"/>
  </r>
  <r>
    <x v="0"/>
    <s v="Tamara Dahlen"/>
  </r>
  <r>
    <x v="1"/>
    <s v="Chad Cunningham"/>
  </r>
  <r>
    <x v="2"/>
    <s v="Doug Bickford"/>
  </r>
  <r>
    <x v="3"/>
    <s v="Julie Creighton"/>
  </r>
  <r>
    <x v="0"/>
    <s v="Christine Sundaresam"/>
  </r>
  <r>
    <x v="1"/>
    <s v="Neoma Murray"/>
  </r>
  <r>
    <x v="3"/>
    <s v="Charles Crestani"/>
  </r>
  <r>
    <x v="2"/>
    <s v="Paul Gonzalez"/>
  </r>
  <r>
    <x v="1"/>
    <s v="Christina Anderson"/>
  </r>
  <r>
    <x v="0"/>
    <s v="Tracy Blumstein"/>
  </r>
  <r>
    <x v="1"/>
    <s v="Trudy Glocke"/>
  </r>
  <r>
    <x v="3"/>
    <s v="Stuart Van"/>
  </r>
  <r>
    <x v="0"/>
    <s v="Emily Burns"/>
  </r>
  <r>
    <x v="2"/>
    <s v="Ed Braxton"/>
  </r>
  <r>
    <x v="1"/>
    <s v="Denny Joy"/>
  </r>
  <r>
    <x v="2"/>
    <s v="Joel Jenkins"/>
  </r>
  <r>
    <x v="3"/>
    <s v="Charlotte Melton"/>
  </r>
  <r>
    <x v="1"/>
    <s v="Tracy Blumstein"/>
  </r>
  <r>
    <x v="1"/>
    <s v="Liz Thompson"/>
  </r>
  <r>
    <x v="2"/>
    <s v="Maribeth Yedwab"/>
  </r>
  <r>
    <x v="2"/>
    <s v="Nona Balk"/>
  </r>
  <r>
    <x v="0"/>
    <s v="Cathy Hwang"/>
  </r>
  <r>
    <x v="1"/>
    <s v="Jas O'Carroll"/>
  </r>
  <r>
    <x v="0"/>
    <s v="Corinna Mitchell"/>
  </r>
  <r>
    <x v="1"/>
    <s v="George Bell"/>
  </r>
  <r>
    <x v="0"/>
    <s v="Karen Bern"/>
  </r>
  <r>
    <x v="1"/>
    <s v="Charlotte Melton"/>
  </r>
  <r>
    <x v="2"/>
    <s v="Andrew Gjertsen"/>
  </r>
  <r>
    <x v="3"/>
    <s v="Lena Cacioppo"/>
  </r>
  <r>
    <x v="0"/>
    <s v="Patrick Jones"/>
  </r>
  <r>
    <x v="1"/>
    <s v="Philisse Overcash"/>
  </r>
  <r>
    <x v="3"/>
    <s v="Greg Hansen"/>
  </r>
  <r>
    <x v="2"/>
    <s v="Harold Pawlan"/>
  </r>
  <r>
    <x v="3"/>
    <s v="Victoria Brennan"/>
  </r>
  <r>
    <x v="0"/>
    <s v="Denny Ordway"/>
  </r>
  <r>
    <x v="1"/>
    <s v="Dan Reichenbach"/>
  </r>
  <r>
    <x v="3"/>
    <s v="Sylvia Foulston"/>
  </r>
  <r>
    <x v="0"/>
    <s v="William Brown"/>
  </r>
  <r>
    <x v="2"/>
    <s v="Logan Currie"/>
  </r>
  <r>
    <x v="0"/>
    <s v="Dean Katz"/>
  </r>
  <r>
    <x v="2"/>
    <s v="Ritsa Hightower"/>
  </r>
  <r>
    <x v="0"/>
    <s v="Darren Koutras"/>
  </r>
  <r>
    <x v="1"/>
    <s v="Tonja Turnell"/>
  </r>
  <r>
    <x v="2"/>
    <s v="Keith Dawkins"/>
  </r>
  <r>
    <x v="0"/>
    <s v="Liz Thompson"/>
  </r>
  <r>
    <x v="2"/>
    <s v="Liz MacKendrick"/>
  </r>
  <r>
    <x v="0"/>
    <s v="John Stevenson"/>
  </r>
  <r>
    <x v="1"/>
    <s v="Bradley Drucker"/>
  </r>
  <r>
    <x v="2"/>
    <s v="Joni Blumstein"/>
  </r>
  <r>
    <x v="3"/>
    <s v="Justin Deggeller"/>
  </r>
  <r>
    <x v="1"/>
    <s v="Steve Nguyen"/>
  </r>
  <r>
    <x v="0"/>
    <s v="Brendan Murry"/>
  </r>
  <r>
    <x v="2"/>
    <s v="Anthony Johnson"/>
  </r>
  <r>
    <x v="1"/>
    <s v="Dianna Wilson"/>
  </r>
  <r>
    <x v="2"/>
    <s v="Jack O'Briant"/>
  </r>
  <r>
    <x v="3"/>
    <s v="Ken Black"/>
  </r>
  <r>
    <x v="3"/>
    <s v="Anna Gayman"/>
  </r>
  <r>
    <x v="0"/>
    <s v="Dean percer"/>
  </r>
  <r>
    <x v="1"/>
    <s v="Chuck Clark"/>
  </r>
  <r>
    <x v="2"/>
    <s v="Christy Brittain"/>
  </r>
  <r>
    <x v="3"/>
    <s v="Henry Goldwyn"/>
  </r>
  <r>
    <x v="0"/>
    <s v="Todd Boyes"/>
  </r>
  <r>
    <x v="1"/>
    <s v="Sample Company A"/>
  </r>
  <r>
    <x v="0"/>
    <s v="Adrian Barton"/>
  </r>
  <r>
    <x v="2"/>
    <s v="Liz Carlisle"/>
  </r>
  <r>
    <x v="3"/>
    <s v="Karen Bern"/>
  </r>
  <r>
    <x v="0"/>
    <s v="Christina Anderson"/>
  </r>
  <r>
    <x v="1"/>
    <s v="Cathy Hwang"/>
  </r>
  <r>
    <x v="2"/>
    <s v="John Stevenson"/>
  </r>
  <r>
    <x v="0"/>
    <s v="Erin Ashbrook"/>
  </r>
  <r>
    <x v="2"/>
    <s v="Alan Hwang"/>
  </r>
  <r>
    <x v="0"/>
    <s v="Matthew Clasen"/>
  </r>
  <r>
    <x v="1"/>
    <s v="Paul Van Hugh"/>
  </r>
  <r>
    <x v="0"/>
    <s v="Alyssa Crouse"/>
  </r>
  <r>
    <x v="3"/>
    <s v="Dan Lawera"/>
  </r>
  <r>
    <x v="0"/>
    <s v="Brosina Hoffman"/>
  </r>
  <r>
    <x v="2"/>
    <s v="Michael Granlund"/>
  </r>
  <r>
    <x v="3"/>
    <s v="Julia Barnett"/>
  </r>
  <r>
    <x v="0"/>
    <s v="Ed Braxton"/>
  </r>
  <r>
    <x v="1"/>
    <s v="Caroline Jumper"/>
  </r>
  <r>
    <x v="2"/>
    <s v="Tamara Willingham"/>
  </r>
  <r>
    <x v="1"/>
    <s v="Henia Zydlo"/>
  </r>
  <r>
    <x v="2"/>
    <s v="Paul Lucas"/>
  </r>
  <r>
    <x v="3"/>
    <s v="Rose O'Brian"/>
  </r>
  <r>
    <x v="0"/>
    <s v="Bobby Trafton"/>
  </r>
  <r>
    <x v="1"/>
    <s v="Kean Takahito"/>
  </r>
  <r>
    <x v="2"/>
    <s v="Robert Barroso"/>
  </r>
  <r>
    <x v="3"/>
    <s v="Dan Reichenbach"/>
  </r>
  <r>
    <x v="0"/>
    <s v="Toby Braunhardt"/>
  </r>
  <r>
    <x v="1"/>
    <s v="David Smith"/>
  </r>
  <r>
    <x v="2"/>
    <s v="Aaron Smayling"/>
  </r>
  <r>
    <x v="0"/>
    <s v="Maria Etezadi"/>
  </r>
  <r>
    <x v="2"/>
    <s v="Denny Joy"/>
  </r>
  <r>
    <x v="0"/>
    <s v="Carlos Soltero"/>
  </r>
  <r>
    <x v="2"/>
    <s v="Maria Etezadi"/>
  </r>
  <r>
    <x v="0"/>
    <s v="Gary Mitchum"/>
  </r>
  <r>
    <x v="1"/>
    <s v="Valerie Mitchum"/>
  </r>
  <r>
    <x v="2"/>
    <s v="Yoseph Carroll"/>
  </r>
  <r>
    <x v="3"/>
    <s v="Jeremy Lonsdale"/>
  </r>
  <r>
    <x v="0"/>
    <s v="Justin Ritter"/>
  </r>
  <r>
    <x v="3"/>
    <s v="Ben Ferrer"/>
  </r>
  <r>
    <x v="0"/>
    <s v="Clay Rozendal"/>
  </r>
  <r>
    <x v="2"/>
    <s v="Gary Mitchum"/>
  </r>
  <r>
    <x v="3"/>
    <s v="Sibella Parks"/>
  </r>
  <r>
    <x v="0"/>
    <s v="Cathy Armstrong"/>
  </r>
  <r>
    <x v="2"/>
    <s v="Dennis Bolton"/>
  </r>
  <r>
    <x v="1"/>
    <s v="Bryan Davis"/>
  </r>
  <r>
    <x v="3"/>
    <s v="Brad Eason"/>
  </r>
  <r>
    <x v="0"/>
    <s v="Caroline Jumper"/>
  </r>
  <r>
    <x v="1"/>
    <s v="Sonia Sunley"/>
  </r>
  <r>
    <x v="0"/>
    <s v="Logan Haushalter"/>
  </r>
  <r>
    <x v="0"/>
    <s v="Steve Nguyen"/>
  </r>
  <r>
    <x v="1"/>
    <s v="Roy Phan"/>
  </r>
  <r>
    <x v="2"/>
    <s v="Eric Barreto"/>
  </r>
  <r>
    <x v="0"/>
    <s v="Laurel Elliston"/>
  </r>
  <r>
    <x v="1"/>
    <s v="Rick Bensley"/>
  </r>
  <r>
    <x v="3"/>
    <s v="Lisa DeCherney"/>
  </r>
  <r>
    <x v="1"/>
    <s v="Julia Barnett"/>
  </r>
  <r>
    <x v="2"/>
    <s v="Laura Armstrong"/>
  </r>
  <r>
    <x v="0"/>
    <s v="Rob Lucas"/>
  </r>
  <r>
    <x v="1"/>
    <s v="Beth Paige"/>
  </r>
  <r>
    <x v="3"/>
    <s v="Christine Phan"/>
  </r>
  <r>
    <x v="1"/>
    <s v="Karen Daniels"/>
  </r>
  <r>
    <x v="2"/>
    <s v="Roy Collins"/>
  </r>
  <r>
    <x v="0"/>
    <s v="Olvera Toch"/>
  </r>
  <r>
    <x v="1"/>
    <s v="Mary Zewe"/>
  </r>
  <r>
    <x v="2"/>
    <s v="Sample Company A"/>
  </r>
  <r>
    <x v="0"/>
    <s v="Paul Van Hugh"/>
  </r>
  <r>
    <x v="1"/>
    <s v="Lynn Smith"/>
  </r>
  <r>
    <x v="0"/>
    <s v="Bill Donatelli"/>
  </r>
  <r>
    <x v="3"/>
    <s v="Bobby Trafton"/>
  </r>
  <r>
    <x v="0"/>
    <s v="Lena Hernandez"/>
  </r>
  <r>
    <x v="2"/>
    <s v="Irene Maddox"/>
  </r>
  <r>
    <x v="1"/>
    <s v="Theresa Swint"/>
  </r>
  <r>
    <x v="0"/>
    <s v="John Grady"/>
  </r>
  <r>
    <x v="1"/>
    <s v="Katharine Harms"/>
  </r>
  <r>
    <x v="3"/>
    <s v="Philip Fox"/>
  </r>
  <r>
    <x v="0"/>
    <s v="Jay Fein"/>
  </r>
  <r>
    <x v="2"/>
    <s v="Anna Andreadi"/>
  </r>
  <r>
    <x v="0"/>
    <s v="Steve Chapman"/>
  </r>
  <r>
    <x v="3"/>
    <s v="Scot Coram"/>
  </r>
  <r>
    <x v="0"/>
    <s v="Allen Armold"/>
  </r>
  <r>
    <x v="1"/>
    <s v="Kristen Hastings"/>
  </r>
  <r>
    <x v="0"/>
    <s v="Rick Huthwaite"/>
  </r>
  <r>
    <x v="1"/>
    <s v="Joy Smith"/>
  </r>
  <r>
    <x v="2"/>
    <s v="Pauline Johnson"/>
  </r>
  <r>
    <x v="3"/>
    <s v="Dionis Lloyd"/>
  </r>
  <r>
    <x v="3"/>
    <s v="Ken Lonsdale"/>
  </r>
  <r>
    <x v="3"/>
    <s v="Alex Grayson"/>
  </r>
  <r>
    <x v="0"/>
    <s v="Max Ludwig"/>
  </r>
  <r>
    <x v="2"/>
    <s v="Maureen Fritzler"/>
  </r>
  <r>
    <x v="0"/>
    <s v="Dorothy Wardle"/>
  </r>
  <r>
    <x v="1"/>
    <s v="Helen Andreada"/>
  </r>
  <r>
    <x v="2"/>
    <s v="Lena Cacioppo"/>
  </r>
  <r>
    <x v="0"/>
    <s v="Erin Mull"/>
  </r>
  <r>
    <x v="0"/>
    <s v="Jill Matthias"/>
  </r>
  <r>
    <x v="1"/>
    <s v="Max Engle"/>
  </r>
  <r>
    <x v="3"/>
    <s v="Helen Wasserman"/>
  </r>
  <r>
    <x v="2"/>
    <s v="Dianna Wilson"/>
  </r>
  <r>
    <x v="0"/>
    <s v="Stephanie Ulpright"/>
  </r>
  <r>
    <x v="2"/>
    <s v="Rick Bensley"/>
  </r>
  <r>
    <x v="3"/>
    <s v="Patrick O'Brill"/>
  </r>
  <r>
    <x v="0"/>
    <s v="Adam Bellavance"/>
  </r>
  <r>
    <x v="2"/>
    <s v="Paul Knutson"/>
  </r>
  <r>
    <x v="2"/>
    <s v="Parhena Norris"/>
  </r>
  <r>
    <x v="3"/>
    <s v="Kelly Collister"/>
  </r>
  <r>
    <x v="0"/>
    <s v="Ben Peterman"/>
  </r>
  <r>
    <x v="1"/>
    <s v="Dean Braden"/>
  </r>
  <r>
    <x v="2"/>
    <s v="Henry MacAllister"/>
  </r>
  <r>
    <x v="3"/>
    <s v="Eugene Hildebrand"/>
  </r>
  <r>
    <x v="1"/>
    <s v="Greg Maxwell"/>
  </r>
  <r>
    <x v="2"/>
    <s v="Kelly Lampkin"/>
  </r>
  <r>
    <x v="3"/>
    <s v="Pete Kriz"/>
  </r>
  <r>
    <x v="0"/>
    <s v="Natalie Fritzler"/>
  </r>
  <r>
    <x v="0"/>
    <s v="Harry Marie"/>
  </r>
  <r>
    <x v="2"/>
    <s v="Linda Southworth"/>
  </r>
  <r>
    <x v="0"/>
    <s v="Tim Taslimi"/>
  </r>
  <r>
    <x v="3"/>
    <s v="Tim Brockman"/>
  </r>
  <r>
    <x v="0"/>
    <s v="Bart Watters"/>
  </r>
  <r>
    <x v="1"/>
    <s v="Christine Phan"/>
  </r>
  <r>
    <x v="2"/>
    <s v="Patrick Bzostek"/>
  </r>
  <r>
    <x v="3"/>
    <s v="Neil Knudson"/>
  </r>
  <r>
    <x v="1"/>
    <s v="Christopher Schild"/>
  </r>
  <r>
    <x v="2"/>
    <s v="Max Jones"/>
  </r>
  <r>
    <x v="3"/>
    <s v="Claire Gute"/>
  </r>
  <r>
    <x v="2"/>
    <s v="Pamela Coakley"/>
  </r>
  <r>
    <x v="3"/>
    <s v="Bryan Davis"/>
  </r>
  <r>
    <x v="0"/>
    <s v="Maurice Satty"/>
  </r>
  <r>
    <x v="2"/>
    <s v="Frank Merwin"/>
  </r>
  <r>
    <x v="1"/>
    <s v="Stewart Carmichael"/>
  </r>
  <r>
    <x v="2"/>
    <s v="Arthur Wiediger"/>
  </r>
  <r>
    <x v="0"/>
    <s v="Justin Hirsh"/>
  </r>
  <r>
    <x v="1"/>
    <s v="Todd Boyes"/>
  </r>
  <r>
    <x v="2"/>
    <s v="Luke Schmidt"/>
  </r>
  <r>
    <x v="3"/>
    <s v="Heather Jas"/>
  </r>
  <r>
    <x v="0"/>
    <s v="Nick Crebassa"/>
  </r>
  <r>
    <x v="2"/>
    <s v="Gary Zandusky"/>
  </r>
  <r>
    <x v="0"/>
    <s v="Becky Martin"/>
  </r>
  <r>
    <x v="1"/>
    <s v="Gene Hale"/>
  </r>
  <r>
    <x v="2"/>
    <s v="Janet Molinari"/>
  </r>
  <r>
    <x v="3"/>
    <s v="Michael Chen"/>
  </r>
  <r>
    <x v="3"/>
    <s v="Craig Carreira"/>
  </r>
  <r>
    <x v="0"/>
    <s v="Charles McCrossin"/>
  </r>
  <r>
    <x v="1"/>
    <s v="Alan Haines"/>
  </r>
  <r>
    <x v="0"/>
    <s v="Erin Smith"/>
  </r>
  <r>
    <x v="1"/>
    <s v="Ross Baird"/>
  </r>
  <r>
    <x v="2"/>
    <s v="Grace Kelly"/>
  </r>
  <r>
    <x v="0"/>
    <s v="Frank Preis"/>
  </r>
  <r>
    <x v="1"/>
    <s v="Troy Blackwell"/>
  </r>
  <r>
    <x v="0"/>
    <s v="Kelly Lampkin"/>
  </r>
  <r>
    <x v="1"/>
    <s v="Guy Armstrong"/>
  </r>
  <r>
    <x v="3"/>
    <s v="Aaron Smayling"/>
  </r>
  <r>
    <x v="2"/>
    <s v="Dennis Pardue"/>
  </r>
  <r>
    <x v="3"/>
    <s v="Ricardo Sperren"/>
  </r>
  <r>
    <x v="1"/>
    <s v="Robert Waldorf"/>
  </r>
  <r>
    <x v="0"/>
    <s v="Darrin Sayre"/>
  </r>
  <r>
    <x v="1"/>
    <s v="Alan Dominguez"/>
  </r>
  <r>
    <x v="3"/>
    <s v="Theone Pippenger"/>
  </r>
  <r>
    <x v="1"/>
    <s v="Benjamin Venier"/>
  </r>
  <r>
    <x v="2"/>
    <s v="Mark Van Huff"/>
  </r>
  <r>
    <x v="0"/>
    <s v="Luke Foster"/>
  </r>
  <r>
    <x v="1"/>
    <s v="Julie Kriz"/>
  </r>
  <r>
    <x v="3"/>
    <s v="Cynthia Voltz"/>
  </r>
  <r>
    <x v="0"/>
    <s v="Nicole Hansen"/>
  </r>
  <r>
    <x v="3"/>
    <s v="Michelle Huthwaite"/>
  </r>
  <r>
    <x v="1"/>
    <s v="Liz Preis"/>
  </r>
  <r>
    <x v="0"/>
    <s v="Pete Kriz"/>
  </r>
  <r>
    <x v="2"/>
    <s v="Roland Murray"/>
  </r>
  <r>
    <x v="1"/>
    <s v="Mick Hernandez"/>
  </r>
  <r>
    <x v="3"/>
    <s v="Karen Ferguson"/>
  </r>
  <r>
    <x v="3"/>
    <s v="Catherine Glotzbach"/>
  </r>
  <r>
    <x v="2"/>
    <s v="Bill Eplett"/>
  </r>
  <r>
    <x v="0"/>
    <s v="Brian Moss"/>
  </r>
  <r>
    <x v="2"/>
    <s v="Gary McGarr"/>
  </r>
  <r>
    <x v="1"/>
    <s v="Cyma Kinney"/>
  </r>
  <r>
    <x v="0"/>
    <s v="Roger Demir"/>
  </r>
  <r>
    <x v="3"/>
    <s v="Tony Molinari"/>
  </r>
  <r>
    <x v="0"/>
    <s v="David Smith"/>
  </r>
  <r>
    <x v="2"/>
    <s v="Katherine Hughes"/>
  </r>
  <r>
    <x v="1"/>
    <s v="Bryan Spruell"/>
  </r>
  <r>
    <x v="3"/>
    <s v="Luke Weiss"/>
  </r>
  <r>
    <x v="3"/>
    <s v="Sally Knutson"/>
  </r>
  <r>
    <x v="0"/>
    <s v="Damala Kotsonis"/>
  </r>
  <r>
    <x v="1"/>
    <s v="Cynthia Voltz"/>
  </r>
  <r>
    <x v="1"/>
    <s v="Filia McAdams"/>
  </r>
  <r>
    <x v="1"/>
    <s v="Max Ludwig"/>
  </r>
  <r>
    <x v="2"/>
    <s v="John Murray"/>
  </r>
  <r>
    <x v="3"/>
    <s v="Nat Carroll"/>
  </r>
  <r>
    <x v="0"/>
    <s v="Mick Hernandez"/>
  </r>
  <r>
    <x v="1"/>
    <s v="Kimberly Carter"/>
  </r>
  <r>
    <x v="0"/>
    <s v="Heather Kirkland"/>
  </r>
  <r>
    <x v="1"/>
    <s v="Lindsay Williams"/>
  </r>
  <r>
    <x v="0"/>
    <s v="Gary Hansen"/>
  </r>
  <r>
    <x v="0"/>
    <s v="Dorris liebe"/>
  </r>
  <r>
    <x v="3"/>
    <s v="Dianna Vittorini"/>
  </r>
  <r>
    <x v="0"/>
    <s v="Clay Cheatham"/>
  </r>
  <r>
    <x v="0"/>
    <s v="Allen Rosenblatt"/>
  </r>
  <r>
    <x v="1"/>
    <s v="Dan Campbell"/>
  </r>
  <r>
    <x v="1"/>
    <s v="Victor Preis"/>
  </r>
  <r>
    <x v="0"/>
    <s v="Chuck Sachs"/>
  </r>
  <r>
    <x v="3"/>
    <s v="Linda Southworth"/>
  </r>
  <r>
    <x v="1"/>
    <s v="Cari Schnelling"/>
  </r>
  <r>
    <x v="2"/>
    <s v="Mark Hamilton"/>
  </r>
  <r>
    <x v="3"/>
    <s v="Raymond Buch"/>
  </r>
  <r>
    <x v="0"/>
    <s v="George Zrebassa"/>
  </r>
  <r>
    <x v="1"/>
    <s v="Matt Hagelstein"/>
  </r>
  <r>
    <x v="1"/>
    <s v="Fred McMath"/>
  </r>
  <r>
    <x v="2"/>
    <s v="Nat Gilpin"/>
  </r>
  <r>
    <x v="0"/>
    <s v="Patrick O'Brill"/>
  </r>
  <r>
    <x v="3"/>
    <s v="Alan Haines"/>
  </r>
  <r>
    <x v="0"/>
    <s v="Guy Armstrong"/>
  </r>
  <r>
    <x v="1"/>
    <s v="Allen Rosenblatt"/>
  </r>
  <r>
    <x v="2"/>
    <s v="Bradley Nguyen"/>
  </r>
  <r>
    <x v="0"/>
    <s v="Emily Phan"/>
  </r>
  <r>
    <x v="2"/>
    <s v="Linda Cazamias"/>
  </r>
  <r>
    <x v="0"/>
    <s v="Jessica Myrick"/>
  </r>
  <r>
    <x v="1"/>
    <s v="Speros Goranitis"/>
  </r>
  <r>
    <x v="3"/>
    <s v="Brenda Bowman"/>
  </r>
  <r>
    <x v="0"/>
    <s v="Barry Blumstein"/>
  </r>
  <r>
    <x v="1"/>
    <s v="Seth Vernon"/>
  </r>
  <r>
    <x v="2"/>
    <s v="Rick Hansen"/>
  </r>
  <r>
    <x v="3"/>
    <s v="Sanjit Jacobs"/>
  </r>
  <r>
    <x v="0"/>
    <s v="Ken Heidel"/>
  </r>
  <r>
    <x v="1"/>
    <s v="Amy Cox"/>
  </r>
  <r>
    <x v="2"/>
    <s v="Nick Zandusky"/>
  </r>
  <r>
    <x v="1"/>
    <s v="Evan Bailliet"/>
  </r>
  <r>
    <x v="3"/>
    <s v="Scot Wooten"/>
  </r>
  <r>
    <x v="3"/>
    <s v="Frank Gastineau"/>
  </r>
  <r>
    <x v="0"/>
    <s v="Saphhira Shifley"/>
  </r>
  <r>
    <x v="1"/>
    <s v="Patricia Hirasaki"/>
  </r>
  <r>
    <x v="0"/>
    <s v="Tom Ashbrook"/>
  </r>
  <r>
    <x v="1"/>
    <s v="Patrick O'Brill"/>
  </r>
  <r>
    <x v="2"/>
    <s v="George Bell"/>
  </r>
  <r>
    <x v="3"/>
    <s v="Grant Thornton"/>
  </r>
  <r>
    <x v="0"/>
    <s v="Troy Staebel"/>
  </r>
  <r>
    <x v="0"/>
    <s v="Roger Barcio"/>
  </r>
  <r>
    <x v="1"/>
    <s v="Dana Kaydos"/>
  </r>
  <r>
    <x v="1"/>
    <s v="Jonathan Howell"/>
  </r>
  <r>
    <x v="2"/>
    <s v="Janet Martin"/>
  </r>
  <r>
    <x v="3"/>
    <s v="Lynn Smith"/>
  </r>
  <r>
    <x v="1"/>
    <s v="Ted Trevino"/>
  </r>
  <r>
    <x v="1"/>
    <s v="Joseph Holt"/>
  </r>
  <r>
    <x v="2"/>
    <s v="Victoria Wilson"/>
  </r>
  <r>
    <x v="1"/>
    <s v="Ken Brennan"/>
  </r>
  <r>
    <x v="2"/>
    <s v="Ben Peterman"/>
  </r>
  <r>
    <x v="3"/>
    <s v="Mike Vittorini"/>
  </r>
  <r>
    <x v="0"/>
    <s v="Mike Pelletier"/>
  </r>
  <r>
    <x v="1"/>
    <s v="Paul Lucas"/>
  </r>
  <r>
    <x v="1"/>
    <s v="Michael Moore"/>
  </r>
  <r>
    <x v="2"/>
    <s v="Sandra Glassco"/>
  </r>
  <r>
    <x v="0"/>
    <s v="Gary Zandusky"/>
  </r>
  <r>
    <x v="2"/>
    <s v="Kristen Hasting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9">
  <r>
    <d v="2014-01-02T00:00:00"/>
    <x v="0"/>
    <x v="0"/>
    <x v="0"/>
    <x v="0"/>
    <x v="0"/>
    <x v="0"/>
    <s v="Message Book, Wirebound, Four 5 1/2&quot; X 4&quot; Forms/Pg., 200 Dupl. Sets/Book"/>
    <n v="16.45"/>
    <n v="2"/>
    <n v="5.55"/>
  </r>
  <r>
    <d v="2014-01-03T00:00:00"/>
    <x v="0"/>
    <x v="0"/>
    <x v="1"/>
    <x v="1"/>
    <x v="0"/>
    <x v="1"/>
    <s v="Avery 508"/>
    <n v="11.78"/>
    <n v="3"/>
    <n v="4.2699999999999996"/>
  </r>
  <r>
    <d v="2014-01-04T00:00:00"/>
    <x v="0"/>
    <x v="0"/>
    <x v="2"/>
    <x v="2"/>
    <x v="0"/>
    <x v="2"/>
    <s v="Avery Hi-Liter EverBold Pen Style Fluorescent Highlighters, 4/Pack"/>
    <n v="19.54"/>
    <n v="3"/>
    <n v="4.88"/>
  </r>
  <r>
    <d v="2014-01-07T00:00:00"/>
    <x v="0"/>
    <x v="0"/>
    <x v="3"/>
    <x v="3"/>
    <x v="0"/>
    <x v="0"/>
    <s v="Xerox 225"/>
    <n v="19.440000000000001"/>
    <n v="3"/>
    <n v="9.33"/>
  </r>
  <r>
    <d v="2014-01-08T00:00:00"/>
    <x v="0"/>
    <x v="0"/>
    <x v="4"/>
    <x v="0"/>
    <x v="1"/>
    <x v="3"/>
    <s v="Howard Miller 14-1/2&quot; Diameter Chrome Round Wall Clock"/>
    <n v="76.73"/>
    <n v="3"/>
    <n v="-53.71"/>
  </r>
  <r>
    <d v="2014-01-09T00:00:00"/>
    <x v="0"/>
    <x v="0"/>
    <x v="5"/>
    <x v="0"/>
    <x v="0"/>
    <x v="2"/>
    <s v="Newell 312"/>
    <n v="9.34"/>
    <n v="2"/>
    <n v="1.17"/>
  </r>
  <r>
    <d v="2014-01-11T00:00:00"/>
    <x v="0"/>
    <x v="0"/>
    <x v="6"/>
    <x v="4"/>
    <x v="0"/>
    <x v="1"/>
    <s v="Avery 482"/>
    <n v="2.89"/>
    <n v="1"/>
    <n v="1.36"/>
  </r>
  <r>
    <d v="2014-01-12T00:00:00"/>
    <x v="0"/>
    <x v="0"/>
    <x v="7"/>
    <x v="5"/>
    <x v="1"/>
    <x v="3"/>
    <s v="DAX Value U-Channel Document Frames, Easel Back"/>
    <n v="9.94"/>
    <n v="2"/>
    <n v="3.08"/>
  </r>
  <r>
    <d v="2014-02-02T00:00:00"/>
    <x v="1"/>
    <x v="0"/>
    <x v="8"/>
    <x v="6"/>
    <x v="0"/>
    <x v="4"/>
    <s v="Staple envelope"/>
    <n v="11.36"/>
    <n v="2"/>
    <n v="5.34"/>
  </r>
  <r>
    <d v="2014-02-04T00:00:00"/>
    <x v="1"/>
    <x v="0"/>
    <x v="9"/>
    <x v="2"/>
    <x v="1"/>
    <x v="5"/>
    <s v="Sauder Cornerstone Collection Library"/>
    <n v="61.96"/>
    <n v="4"/>
    <n v="-53.29"/>
  </r>
  <r>
    <d v="2014-02-05T00:00:00"/>
    <x v="1"/>
    <x v="0"/>
    <x v="10"/>
    <x v="7"/>
    <x v="2"/>
    <x v="6"/>
    <s v="Logitech 910-002974 M325 Wireless Mouse for Web Scrolling"/>
    <n v="149.94999999999999"/>
    <n v="5"/>
    <n v="65.98"/>
  </r>
  <r>
    <d v="2014-02-06T00:00:00"/>
    <x v="1"/>
    <x v="0"/>
    <x v="11"/>
    <x v="2"/>
    <x v="1"/>
    <x v="3"/>
    <s v="DAX Black Cherry Wood-Tone Poster Frame"/>
    <n v="127.1"/>
    <n v="6"/>
    <n v="28.6"/>
  </r>
  <r>
    <d v="2014-02-07T00:00:00"/>
    <x v="1"/>
    <x v="0"/>
    <x v="12"/>
    <x v="8"/>
    <x v="0"/>
    <x v="7"/>
    <s v="Fellowes Mighty 8 Compact Surge Protector"/>
    <n v="64.86"/>
    <n v="4"/>
    <n v="6.49"/>
  </r>
  <r>
    <d v="2014-02-08T00:00:00"/>
    <x v="1"/>
    <x v="0"/>
    <x v="13"/>
    <x v="9"/>
    <x v="0"/>
    <x v="8"/>
    <s v="GBC Standard Recycled Report Covers, Clear Plastic Sheets"/>
    <n v="32.340000000000003"/>
    <n v="10"/>
    <n v="-23.72"/>
  </r>
  <r>
    <d v="2014-02-09T00:00:00"/>
    <x v="1"/>
    <x v="0"/>
    <x v="14"/>
    <x v="10"/>
    <x v="2"/>
    <x v="9"/>
    <s v="Apple iPhone 5C"/>
    <n v="699.93"/>
    <n v="7"/>
    <n v="181.98"/>
  </r>
  <r>
    <d v="2014-02-10T00:00:00"/>
    <x v="1"/>
    <x v="0"/>
    <x v="15"/>
    <x v="11"/>
    <x v="1"/>
    <x v="3"/>
    <s v="Ultra Door Pull Handle"/>
    <n v="25.25"/>
    <n v="3"/>
    <n v="4.0999999999999996"/>
  </r>
  <r>
    <d v="2014-02-11T00:00:00"/>
    <x v="1"/>
    <x v="0"/>
    <x v="16"/>
    <x v="12"/>
    <x v="0"/>
    <x v="0"/>
    <s v="Xerox 195"/>
    <n v="40.08"/>
    <n v="6"/>
    <n v="19.239999999999998"/>
  </r>
  <r>
    <d v="2014-03-01T00:00:00"/>
    <x v="2"/>
    <x v="0"/>
    <x v="17"/>
    <x v="4"/>
    <x v="1"/>
    <x v="3"/>
    <s v="GE General Use Halogen Bulbs, 100 Watts, 1 Bulb per Pack"/>
    <n v="62.82"/>
    <n v="3"/>
    <n v="30.78"/>
  </r>
  <r>
    <d v="2014-03-02T00:00:00"/>
    <x v="2"/>
    <x v="0"/>
    <x v="18"/>
    <x v="3"/>
    <x v="0"/>
    <x v="10"/>
    <s v="Recycled Steel Personal File for Hanging File Folders"/>
    <n v="57.23"/>
    <n v="1"/>
    <n v="14.31"/>
  </r>
  <r>
    <d v="2014-03-05T00:00:00"/>
    <x v="2"/>
    <x v="0"/>
    <x v="19"/>
    <x v="13"/>
    <x v="0"/>
    <x v="8"/>
    <s v="Pressboard Covers with Storage Hooks, 9 1/2&quot; x 11&quot;, Light Blue"/>
    <n v="3.93"/>
    <n v="1"/>
    <n v="1.33"/>
  </r>
  <r>
    <d v="2014-03-06T00:00:00"/>
    <x v="2"/>
    <x v="0"/>
    <x v="20"/>
    <x v="14"/>
    <x v="0"/>
    <x v="0"/>
    <s v="Xerox 1972"/>
    <n v="10.56"/>
    <n v="2"/>
    <n v="4.75"/>
  </r>
  <r>
    <d v="2014-03-08T00:00:00"/>
    <x v="2"/>
    <x v="0"/>
    <x v="21"/>
    <x v="3"/>
    <x v="1"/>
    <x v="5"/>
    <s v="Sauder Facets Collection Library, Sky Alder Finish"/>
    <n v="290.67"/>
    <n v="2"/>
    <n v="3.42"/>
  </r>
  <r>
    <d v="2014-03-09T00:00:00"/>
    <x v="2"/>
    <x v="0"/>
    <x v="22"/>
    <x v="15"/>
    <x v="2"/>
    <x v="6"/>
    <s v="Enermax Aurora Lite Keyboard"/>
    <n v="468.9"/>
    <n v="6"/>
    <n v="206.32"/>
  </r>
  <r>
    <d v="2014-03-11T00:00:00"/>
    <x v="2"/>
    <x v="0"/>
    <x v="23"/>
    <x v="3"/>
    <x v="0"/>
    <x v="11"/>
    <s v="Staples"/>
    <n v="12.35"/>
    <n v="5"/>
    <n v="5.8"/>
  </r>
  <r>
    <d v="2014-03-12T00:00:00"/>
    <x v="2"/>
    <x v="0"/>
    <x v="15"/>
    <x v="16"/>
    <x v="0"/>
    <x v="8"/>
    <s v="Ibico Laser Imprintable Binding System Covers"/>
    <n v="83.84"/>
    <n v="2"/>
    <n v="27.25"/>
  </r>
  <r>
    <d v="2014-04-01T00:00:00"/>
    <x v="3"/>
    <x v="0"/>
    <x v="24"/>
    <x v="3"/>
    <x v="0"/>
    <x v="8"/>
    <s v="GBC Recycled Grain Textured Covers"/>
    <n v="82.9"/>
    <n v="3"/>
    <n v="29.01"/>
  </r>
  <r>
    <d v="2014-04-02T00:00:00"/>
    <x v="3"/>
    <x v="0"/>
    <x v="25"/>
    <x v="4"/>
    <x v="0"/>
    <x v="1"/>
    <s v="Avery 480"/>
    <n v="15"/>
    <n v="4"/>
    <n v="7.2"/>
  </r>
  <r>
    <d v="2014-04-03T00:00:00"/>
    <x v="3"/>
    <x v="0"/>
    <x v="26"/>
    <x v="17"/>
    <x v="2"/>
    <x v="6"/>
    <s v="Maxell DVD-RAM Discs"/>
    <n v="115.36"/>
    <n v="7"/>
    <n v="49.6"/>
  </r>
  <r>
    <d v="2014-04-04T00:00:00"/>
    <x v="3"/>
    <x v="0"/>
    <x v="27"/>
    <x v="12"/>
    <x v="1"/>
    <x v="3"/>
    <s v="Master Caster Door Stop, Large Brown"/>
    <n v="14.56"/>
    <n v="2"/>
    <n v="5.53"/>
  </r>
  <r>
    <d v="2014-04-05T00:00:00"/>
    <x v="3"/>
    <x v="0"/>
    <x v="28"/>
    <x v="3"/>
    <x v="1"/>
    <x v="12"/>
    <s v="Global Geo Office Task Chair, Gray"/>
    <n v="129.57"/>
    <n v="2"/>
    <n v="-24.29"/>
  </r>
  <r>
    <d v="2014-04-06T00:00:00"/>
    <x v="3"/>
    <x v="0"/>
    <x v="29"/>
    <x v="0"/>
    <x v="0"/>
    <x v="0"/>
    <s v="Memo Book, 100 Message Capacity, 5 3/8 x 11"/>
    <n v="16.18"/>
    <n v="3"/>
    <n v="6.07"/>
  </r>
  <r>
    <d v="2014-04-07T00:00:00"/>
    <x v="3"/>
    <x v="0"/>
    <x v="30"/>
    <x v="16"/>
    <x v="0"/>
    <x v="8"/>
    <s v="Pressboard Data Binders by Wilson Jones"/>
    <n v="21.36"/>
    <n v="5"/>
    <n v="7.21"/>
  </r>
  <r>
    <d v="2014-04-08T00:00:00"/>
    <x v="3"/>
    <x v="0"/>
    <x v="31"/>
    <x v="0"/>
    <x v="0"/>
    <x v="8"/>
    <s v="Wilson Jones Easy Flow II Sheet Lifters"/>
    <n v="1.08"/>
    <n v="3"/>
    <n v="-1.73"/>
  </r>
  <r>
    <d v="2014-04-10T00:00:00"/>
    <x v="3"/>
    <x v="0"/>
    <x v="11"/>
    <x v="1"/>
    <x v="0"/>
    <x v="2"/>
    <s v="Staples in misc. colors"/>
    <n v="54.21"/>
    <n v="14"/>
    <n v="8.81"/>
  </r>
  <r>
    <d v="2014-04-11T00:00:00"/>
    <x v="3"/>
    <x v="0"/>
    <x v="32"/>
    <x v="0"/>
    <x v="1"/>
    <x v="3"/>
    <s v="DAX Copper Panel Document Frame, 5 x 7 Size"/>
    <n v="25.16"/>
    <n v="5"/>
    <n v="-11.32"/>
  </r>
  <r>
    <d v="2014-04-12T00:00:00"/>
    <x v="3"/>
    <x v="0"/>
    <x v="33"/>
    <x v="18"/>
    <x v="2"/>
    <x v="6"/>
    <s v="Enermax Briskie RF Wireless Keyboard and Mouse Combo"/>
    <n v="62.31"/>
    <n v="3"/>
    <n v="22.43"/>
  </r>
  <r>
    <d v="2014-05-01T00:00:00"/>
    <x v="4"/>
    <x v="0"/>
    <x v="34"/>
    <x v="1"/>
    <x v="0"/>
    <x v="8"/>
    <s v="GBC Standard Plastic Binding Systems Combs"/>
    <n v="8.85"/>
    <n v="5"/>
    <n v="-13.72"/>
  </r>
  <r>
    <d v="2014-05-03T00:00:00"/>
    <x v="4"/>
    <x v="0"/>
    <x v="35"/>
    <x v="0"/>
    <x v="0"/>
    <x v="1"/>
    <s v="Staple-on labels"/>
    <n v="6.94"/>
    <n v="3"/>
    <n v="2.34"/>
  </r>
  <r>
    <d v="2014-05-04T00:00:00"/>
    <x v="4"/>
    <x v="0"/>
    <x v="36"/>
    <x v="19"/>
    <x v="0"/>
    <x v="2"/>
    <s v="Zebra Zazzle Fluorescent Highlighters"/>
    <n v="19.46"/>
    <n v="4"/>
    <n v="3.4"/>
  </r>
  <r>
    <d v="2014-05-05T00:00:00"/>
    <x v="4"/>
    <x v="0"/>
    <x v="37"/>
    <x v="16"/>
    <x v="1"/>
    <x v="12"/>
    <s v="Global Deluxe High-Back Manager's Chair"/>
    <n v="457.57"/>
    <n v="2"/>
    <n v="51.48"/>
  </r>
  <r>
    <d v="2014-05-07T00:00:00"/>
    <x v="4"/>
    <x v="0"/>
    <x v="38"/>
    <x v="20"/>
    <x v="0"/>
    <x v="10"/>
    <s v="Sensible Storage WireTech Storage Systems"/>
    <n v="354.9"/>
    <n v="5"/>
    <n v="17.75"/>
  </r>
  <r>
    <d v="2014-05-08T00:00:00"/>
    <x v="4"/>
    <x v="0"/>
    <x v="39"/>
    <x v="13"/>
    <x v="0"/>
    <x v="2"/>
    <s v="Newell 345"/>
    <n v="59.52"/>
    <n v="3"/>
    <n v="15.48"/>
  </r>
  <r>
    <d v="2014-05-10T00:00:00"/>
    <x v="4"/>
    <x v="0"/>
    <x v="40"/>
    <x v="16"/>
    <x v="1"/>
    <x v="12"/>
    <s v="Global Push Button Manager's Chair, Indigo"/>
    <n v="48.71"/>
    <n v="1"/>
    <n v="5.48"/>
  </r>
  <r>
    <d v="2014-05-11T00:00:00"/>
    <x v="4"/>
    <x v="0"/>
    <x v="41"/>
    <x v="14"/>
    <x v="0"/>
    <x v="0"/>
    <s v="Geographics Note Cards, Blank, White, 8 1/2&quot; x 11&quot;"/>
    <n v="22.38"/>
    <n v="2"/>
    <n v="10.74"/>
  </r>
  <r>
    <d v="2014-05-12T00:00:00"/>
    <x v="4"/>
    <x v="0"/>
    <x v="42"/>
    <x v="19"/>
    <x v="1"/>
    <x v="3"/>
    <s v="Eldon Wave Desk Accessories"/>
    <n v="8.32"/>
    <n v="5"/>
    <n v="2.29"/>
  </r>
  <r>
    <d v="2014-06-01T00:00:00"/>
    <x v="5"/>
    <x v="0"/>
    <x v="43"/>
    <x v="11"/>
    <x v="0"/>
    <x v="10"/>
    <s v="Hot File 7-Pocket, Floor Stand"/>
    <n v="142.78"/>
    <n v="1"/>
    <n v="17.850000000000001"/>
  </r>
  <r>
    <d v="2014-06-02T00:00:00"/>
    <x v="5"/>
    <x v="0"/>
    <x v="44"/>
    <x v="21"/>
    <x v="2"/>
    <x v="9"/>
    <s v="Polycom VoiceStation 500 Conference phone"/>
    <n v="471.92"/>
    <n v="2"/>
    <n v="29.5"/>
  </r>
  <r>
    <d v="2014-06-04T00:00:00"/>
    <x v="5"/>
    <x v="0"/>
    <x v="45"/>
    <x v="22"/>
    <x v="0"/>
    <x v="7"/>
    <s v="Bionaire Personal Warm Mist Humidifier/Vaporizer"/>
    <n v="93.78"/>
    <n v="2"/>
    <n v="36.57"/>
  </r>
  <r>
    <d v="2014-06-05T00:00:00"/>
    <x v="5"/>
    <x v="0"/>
    <x v="46"/>
    <x v="11"/>
    <x v="2"/>
    <x v="13"/>
    <s v="Hewlett-Packard Deskjet 6540 Color Inkjet Printer"/>
    <n v="821.3"/>
    <n v="4"/>
    <n v="-16.43"/>
  </r>
  <r>
    <d v="2014-06-06T00:00:00"/>
    <x v="5"/>
    <x v="0"/>
    <x v="47"/>
    <x v="11"/>
    <x v="2"/>
    <x v="9"/>
    <s v="Cisco 8x8 Inc. 6753i IP Business Phone System"/>
    <n v="323.98"/>
    <n v="3"/>
    <n v="28.35"/>
  </r>
  <r>
    <d v="2014-06-07T00:00:00"/>
    <x v="5"/>
    <x v="0"/>
    <x v="48"/>
    <x v="19"/>
    <x v="0"/>
    <x v="2"/>
    <s v="Binney &amp; Smith Crayola Metallic Colored Pencils, 8-Color Set"/>
    <n v="7.41"/>
    <n v="2"/>
    <n v="1.2"/>
  </r>
  <r>
    <d v="2014-06-08T00:00:00"/>
    <x v="5"/>
    <x v="0"/>
    <x v="49"/>
    <x v="21"/>
    <x v="0"/>
    <x v="8"/>
    <s v="C-Line Peel &amp; Stick Add-On Filing Pockets, 8-3/4 x 5-1/8, 10/Pack"/>
    <n v="7.64"/>
    <n v="4"/>
    <n v="-5.86"/>
  </r>
  <r>
    <d v="2014-06-10T00:00:00"/>
    <x v="5"/>
    <x v="0"/>
    <x v="50"/>
    <x v="3"/>
    <x v="0"/>
    <x v="10"/>
    <s v="Economy Rollaway Files"/>
    <n v="330.4"/>
    <n v="2"/>
    <n v="85.9"/>
  </r>
  <r>
    <d v="2014-06-11T00:00:00"/>
    <x v="5"/>
    <x v="0"/>
    <x v="51"/>
    <x v="13"/>
    <x v="0"/>
    <x v="0"/>
    <s v="Xerox 190"/>
    <n v="24.9"/>
    <n v="5"/>
    <n v="11.7"/>
  </r>
  <r>
    <d v="2014-06-12T00:00:00"/>
    <x v="5"/>
    <x v="0"/>
    <x v="52"/>
    <x v="13"/>
    <x v="1"/>
    <x v="12"/>
    <s v="Iceberg Nesting Folding Chair, 19w x 6d x 43h"/>
    <n v="366.79"/>
    <n v="7"/>
    <n v="65.209999999999994"/>
  </r>
  <r>
    <d v="2014-07-01T00:00:00"/>
    <x v="6"/>
    <x v="0"/>
    <x v="53"/>
    <x v="3"/>
    <x v="2"/>
    <x v="6"/>
    <s v="SanDisk Ultra 32 GB MicroSDHC Class 10 Memory Card"/>
    <n v="66.3"/>
    <n v="3"/>
    <n v="8.6199999999999992"/>
  </r>
  <r>
    <d v="2014-07-02T00:00:00"/>
    <x v="6"/>
    <x v="0"/>
    <x v="54"/>
    <x v="23"/>
    <x v="0"/>
    <x v="4"/>
    <s v="Poly String Tie Envelopes"/>
    <n v="6.12"/>
    <n v="3"/>
    <n v="2.88"/>
  </r>
  <r>
    <d v="2014-07-03T00:00:00"/>
    <x v="6"/>
    <x v="0"/>
    <x v="55"/>
    <x v="0"/>
    <x v="1"/>
    <x v="14"/>
    <s v="Bush Advantage Collection Racetrack Conference Table"/>
    <n v="890.84"/>
    <n v="3"/>
    <n v="-152.72"/>
  </r>
  <r>
    <d v="2014-07-04T00:00:00"/>
    <x v="6"/>
    <x v="0"/>
    <x v="56"/>
    <x v="13"/>
    <x v="0"/>
    <x v="2"/>
    <s v="Peel-Off China Markers"/>
    <n v="49.65"/>
    <n v="5"/>
    <n v="20.85"/>
  </r>
  <r>
    <d v="2014-07-05T00:00:00"/>
    <x v="6"/>
    <x v="0"/>
    <x v="57"/>
    <x v="3"/>
    <x v="0"/>
    <x v="8"/>
    <s v="GBC DocuBind 200 Manual Binding Machine"/>
    <n v="673.57"/>
    <n v="2"/>
    <n v="252.59"/>
  </r>
  <r>
    <d v="2014-07-06T00:00:00"/>
    <x v="6"/>
    <x v="0"/>
    <x v="56"/>
    <x v="3"/>
    <x v="0"/>
    <x v="1"/>
    <s v="Avery 490"/>
    <n v="29.6"/>
    <n v="2"/>
    <n v="14.8"/>
  </r>
  <r>
    <d v="2014-07-07T00:00:00"/>
    <x v="6"/>
    <x v="0"/>
    <x v="58"/>
    <x v="7"/>
    <x v="0"/>
    <x v="0"/>
    <s v="Xerox 1990"/>
    <n v="15.84"/>
    <n v="3"/>
    <n v="7.13"/>
  </r>
  <r>
    <d v="2014-07-09T00:00:00"/>
    <x v="6"/>
    <x v="0"/>
    <x v="59"/>
    <x v="3"/>
    <x v="0"/>
    <x v="1"/>
    <s v="Avery 518"/>
    <n v="18.899999999999999"/>
    <n v="6"/>
    <n v="9.07"/>
  </r>
  <r>
    <d v="2014-07-11T00:00:00"/>
    <x v="6"/>
    <x v="0"/>
    <x v="60"/>
    <x v="13"/>
    <x v="0"/>
    <x v="0"/>
    <s v="Eaton Premium Continuous-Feed Paper, 25% Cotton, Letter Size, White, 1000 Shts/Box"/>
    <n v="55.48"/>
    <n v="1"/>
    <n v="26.63"/>
  </r>
  <r>
    <d v="2014-07-12T00:00:00"/>
    <x v="6"/>
    <x v="0"/>
    <x v="61"/>
    <x v="2"/>
    <x v="0"/>
    <x v="8"/>
    <s v="Large Capacity Hanging Post Binders"/>
    <n v="44.91"/>
    <n v="6"/>
    <n v="-35.93"/>
  </r>
  <r>
    <d v="2014-08-02T00:00:00"/>
    <x v="7"/>
    <x v="0"/>
    <x v="62"/>
    <x v="24"/>
    <x v="1"/>
    <x v="3"/>
    <s v="Stacking Tray, Side-Loading, Legal, Smoke"/>
    <n v="8.9600000000000009"/>
    <n v="2"/>
    <n v="2.78"/>
  </r>
  <r>
    <d v="2014-08-04T00:00:00"/>
    <x v="7"/>
    <x v="0"/>
    <x v="63"/>
    <x v="9"/>
    <x v="0"/>
    <x v="11"/>
    <s v="Binder Clips by OIC"/>
    <n v="2.37"/>
    <n v="2"/>
    <n v="0.83"/>
  </r>
  <r>
    <d v="2014-08-05T00:00:00"/>
    <x v="7"/>
    <x v="0"/>
    <x v="64"/>
    <x v="11"/>
    <x v="0"/>
    <x v="11"/>
    <s v="Acco Banker's Clasps, 5 3/4&quot;-Long"/>
    <n v="6.91"/>
    <n v="3"/>
    <n v="2.33"/>
  </r>
  <r>
    <d v="2014-08-06T00:00:00"/>
    <x v="7"/>
    <x v="0"/>
    <x v="65"/>
    <x v="3"/>
    <x v="2"/>
    <x v="9"/>
    <s v="Pyle PMP37LED"/>
    <n v="1075.0899999999999"/>
    <n v="14"/>
    <n v="94.07"/>
  </r>
  <r>
    <d v="2014-08-07T00:00:00"/>
    <x v="7"/>
    <x v="0"/>
    <x v="53"/>
    <x v="2"/>
    <x v="0"/>
    <x v="2"/>
    <s v="Newell 314"/>
    <n v="17.86"/>
    <n v="4"/>
    <n v="1.1200000000000001"/>
  </r>
  <r>
    <d v="2014-08-08T00:00:00"/>
    <x v="7"/>
    <x v="0"/>
    <x v="66"/>
    <x v="3"/>
    <x v="0"/>
    <x v="7"/>
    <s v="Belkin F9G930V10-GRY 9 Outlet Surge"/>
    <n v="106.96"/>
    <n v="2"/>
    <n v="31.02"/>
  </r>
  <r>
    <d v="2014-08-10T00:00:00"/>
    <x v="7"/>
    <x v="0"/>
    <x v="67"/>
    <x v="3"/>
    <x v="2"/>
    <x v="13"/>
    <s v="Ativa MDM8000 8-Sheet Micro-Cut Shredder"/>
    <n v="287.97000000000003"/>
    <n v="4"/>
    <n v="97.19"/>
  </r>
  <r>
    <d v="2014-08-11T00:00:00"/>
    <x v="7"/>
    <x v="0"/>
    <x v="68"/>
    <x v="3"/>
    <x v="1"/>
    <x v="3"/>
    <s v="Executive Impressions 13&quot; Chairman Wall Clock"/>
    <n v="76.14"/>
    <n v="3"/>
    <n v="26.65"/>
  </r>
  <r>
    <d v="2014-08-12T00:00:00"/>
    <x v="7"/>
    <x v="0"/>
    <x v="7"/>
    <x v="0"/>
    <x v="1"/>
    <x v="14"/>
    <s v="Bush Advantage Collection Round Conference Table"/>
    <n v="744.1"/>
    <n v="5"/>
    <n v="-95.67"/>
  </r>
  <r>
    <d v="2014-09-01T00:00:00"/>
    <x v="8"/>
    <x v="0"/>
    <x v="69"/>
    <x v="2"/>
    <x v="0"/>
    <x v="8"/>
    <s v="Wilson Jones Suede Grain Vinyl Binders"/>
    <n v="2.5"/>
    <n v="3"/>
    <n v="-1.75"/>
  </r>
  <r>
    <d v="2014-09-05T00:00:00"/>
    <x v="8"/>
    <x v="0"/>
    <x v="70"/>
    <x v="0"/>
    <x v="0"/>
    <x v="0"/>
    <s v="Xerox 1985"/>
    <n v="10.37"/>
    <n v="2"/>
    <n v="3.63"/>
  </r>
  <r>
    <d v="2014-09-06T00:00:00"/>
    <x v="8"/>
    <x v="0"/>
    <x v="71"/>
    <x v="3"/>
    <x v="1"/>
    <x v="12"/>
    <s v="Bevis Steel Folding Chairs"/>
    <n v="230.28"/>
    <n v="3"/>
    <n v="23.03"/>
  </r>
  <r>
    <d v="2014-09-08T00:00:00"/>
    <x v="8"/>
    <x v="0"/>
    <x v="72"/>
    <x v="25"/>
    <x v="0"/>
    <x v="8"/>
    <s v="Acco Data Flex Cable Posts For Top &amp; Bottom Load Binders, 6&quot; Capacity"/>
    <n v="20.86"/>
    <n v="2"/>
    <n v="9.39"/>
  </r>
  <r>
    <d v="2014-09-09T00:00:00"/>
    <x v="8"/>
    <x v="0"/>
    <x v="73"/>
    <x v="13"/>
    <x v="1"/>
    <x v="3"/>
    <s v="Dax Clear Box Frame"/>
    <n v="17.46"/>
    <n v="2"/>
    <n v="5.94"/>
  </r>
  <r>
    <d v="2014-09-12T00:00:00"/>
    <x v="8"/>
    <x v="0"/>
    <x v="34"/>
    <x v="26"/>
    <x v="2"/>
    <x v="6"/>
    <s v="Maxell 4.7GB DVD-RW 3/Pack"/>
    <n v="47.79"/>
    <n v="3"/>
    <n v="16.25"/>
  </r>
  <r>
    <d v="2014-10-01T00:00:00"/>
    <x v="9"/>
    <x v="0"/>
    <x v="74"/>
    <x v="19"/>
    <x v="0"/>
    <x v="7"/>
    <s v="Belkin 6 Outlet Metallic Surge Strip"/>
    <n v="26.14"/>
    <n v="3"/>
    <n v="1.96"/>
  </r>
  <r>
    <d v="2014-10-03T00:00:00"/>
    <x v="9"/>
    <x v="0"/>
    <x v="75"/>
    <x v="15"/>
    <x v="0"/>
    <x v="1"/>
    <s v="Avery 481"/>
    <n v="21.56"/>
    <n v="7"/>
    <n v="10.35"/>
  </r>
  <r>
    <d v="2014-10-05T00:00:00"/>
    <x v="9"/>
    <x v="0"/>
    <x v="76"/>
    <x v="14"/>
    <x v="0"/>
    <x v="8"/>
    <s v="Fellowes Binding Cases"/>
    <n v="46.8"/>
    <n v="4"/>
    <n v="21.06"/>
  </r>
  <r>
    <d v="2014-10-06T00:00:00"/>
    <x v="9"/>
    <x v="0"/>
    <x v="77"/>
    <x v="27"/>
    <x v="0"/>
    <x v="0"/>
    <s v="Adams &quot;While You Were Out&quot; Message Pads"/>
    <n v="9.42"/>
    <n v="3"/>
    <n v="4.24"/>
  </r>
  <r>
    <d v="2014-10-10T00:00:00"/>
    <x v="9"/>
    <x v="0"/>
    <x v="78"/>
    <x v="3"/>
    <x v="0"/>
    <x v="8"/>
    <s v="Wilson Jones Legal Size Ring Binders"/>
    <n v="140.74"/>
    <n v="8"/>
    <n v="52.78"/>
  </r>
  <r>
    <d v="2014-10-11T00:00:00"/>
    <x v="9"/>
    <x v="0"/>
    <x v="79"/>
    <x v="28"/>
    <x v="0"/>
    <x v="8"/>
    <s v="Acco PRESSTEX Data Binder with Storage Hooks, Dark Blue, 14 7/8&quot; X 11&quot;"/>
    <n v="16.14"/>
    <n v="3"/>
    <n v="7.91"/>
  </r>
  <r>
    <d v="2014-11-01T00:00:00"/>
    <x v="10"/>
    <x v="0"/>
    <x v="80"/>
    <x v="2"/>
    <x v="2"/>
    <x v="15"/>
    <s v="Hewlett Packard LaserJet 3310 Copier"/>
    <n v="1799.97"/>
    <n v="5"/>
    <n v="240"/>
  </r>
  <r>
    <d v="2014-11-03T00:00:00"/>
    <x v="10"/>
    <x v="0"/>
    <x v="81"/>
    <x v="3"/>
    <x v="2"/>
    <x v="6"/>
    <s v="Kingston Digital DataTraveler 32GB USB 2.0"/>
    <n v="67.8"/>
    <n v="4"/>
    <n v="4.07"/>
  </r>
  <r>
    <d v="2014-11-04T00:00:00"/>
    <x v="10"/>
    <x v="0"/>
    <x v="82"/>
    <x v="16"/>
    <x v="0"/>
    <x v="4"/>
    <s v="Strathmore #10 Envelopes, Ultimate White"/>
    <n v="158.13"/>
    <n v="3"/>
    <n v="77.48"/>
  </r>
  <r>
    <d v="2014-11-05T00:00:00"/>
    <x v="10"/>
    <x v="0"/>
    <x v="83"/>
    <x v="0"/>
    <x v="2"/>
    <x v="6"/>
    <s v="SanDisk Cruzer 64 GB USB Flash Drive"/>
    <n v="58.11"/>
    <n v="2"/>
    <n v="7.26"/>
  </r>
  <r>
    <d v="2014-11-09T00:00:00"/>
    <x v="10"/>
    <x v="0"/>
    <x v="84"/>
    <x v="29"/>
    <x v="0"/>
    <x v="10"/>
    <s v="Fellowes Super Stor/Drawer"/>
    <n v="55.5"/>
    <n v="2"/>
    <n v="9.99"/>
  </r>
  <r>
    <d v="2014-11-10T00:00:00"/>
    <x v="10"/>
    <x v="0"/>
    <x v="85"/>
    <x v="11"/>
    <x v="1"/>
    <x v="3"/>
    <s v="Electrix Halogen Magnifier Lamp"/>
    <n v="310.88"/>
    <n v="2"/>
    <n v="23.32"/>
  </r>
  <r>
    <d v="2014-11-11T00:00:00"/>
    <x v="10"/>
    <x v="0"/>
    <x v="86"/>
    <x v="15"/>
    <x v="0"/>
    <x v="8"/>
    <s v="Surelock Post Binders"/>
    <n v="91.68"/>
    <n v="3"/>
    <n v="45.84"/>
  </r>
  <r>
    <d v="2014-12-02T00:00:00"/>
    <x v="11"/>
    <x v="0"/>
    <x v="87"/>
    <x v="19"/>
    <x v="2"/>
    <x v="9"/>
    <s v="Apple iPhone 5"/>
    <n v="779.8"/>
    <n v="2"/>
    <n v="-168.96"/>
  </r>
  <r>
    <d v="2014-12-04T00:00:00"/>
    <x v="11"/>
    <x v="0"/>
    <x v="88"/>
    <x v="14"/>
    <x v="0"/>
    <x v="8"/>
    <s v="Avery Heavy-Duty EZD View Binder with Locking Rings"/>
    <n v="57.42"/>
    <n v="9"/>
    <n v="26.41"/>
  </r>
  <r>
    <d v="2014-12-07T00:00:00"/>
    <x v="11"/>
    <x v="0"/>
    <x v="89"/>
    <x v="30"/>
    <x v="0"/>
    <x v="7"/>
    <s v="Acco 6 Outlet Guardian Basic Surge Suppressor"/>
    <n v="33.28"/>
    <n v="4"/>
    <n v="9.32"/>
  </r>
  <r>
    <d v="2014-12-08T00:00:00"/>
    <x v="11"/>
    <x v="0"/>
    <x v="90"/>
    <x v="4"/>
    <x v="0"/>
    <x v="8"/>
    <s v="Fellowes PB300 Plastic Comb Binding Machine"/>
    <n v="2715.93"/>
    <n v="7"/>
    <n v="1276.49"/>
  </r>
  <r>
    <d v="2014-12-09T00:00:00"/>
    <x v="11"/>
    <x v="0"/>
    <x v="91"/>
    <x v="24"/>
    <x v="2"/>
    <x v="9"/>
    <s v="Nortel Networks T7316 E Nt8 B27"/>
    <n v="135.97999999999999"/>
    <n v="2"/>
    <n v="34"/>
  </r>
  <r>
    <d v="2014-12-11T00:00:00"/>
    <x v="11"/>
    <x v="0"/>
    <x v="74"/>
    <x v="2"/>
    <x v="0"/>
    <x v="8"/>
    <s v="Angle-D Ring Binders"/>
    <n v="3.28"/>
    <n v="2"/>
    <n v="-2.63"/>
  </r>
  <r>
    <d v="2014-12-12T00:00:00"/>
    <x v="11"/>
    <x v="0"/>
    <x v="92"/>
    <x v="25"/>
    <x v="0"/>
    <x v="0"/>
    <s v="Xerox 1944"/>
    <n v="116.28"/>
    <n v="3"/>
    <n v="56.98"/>
  </r>
  <r>
    <d v="2015-01-03T00:00:00"/>
    <x v="0"/>
    <x v="1"/>
    <x v="93"/>
    <x v="1"/>
    <x v="0"/>
    <x v="7"/>
    <s v="Harmony Air Purifier"/>
    <n v="75.599999999999994"/>
    <n v="2"/>
    <n v="-166.32"/>
  </r>
  <r>
    <d v="2015-01-05T00:00:00"/>
    <x v="0"/>
    <x v="1"/>
    <x v="94"/>
    <x v="3"/>
    <x v="1"/>
    <x v="14"/>
    <s v="KI Conference Tables"/>
    <n v="567.12"/>
    <n v="10"/>
    <n v="-28.36"/>
  </r>
  <r>
    <d v="2015-01-06T00:00:00"/>
    <x v="0"/>
    <x v="1"/>
    <x v="95"/>
    <x v="16"/>
    <x v="2"/>
    <x v="9"/>
    <s v="I Need's 3d Hello Kitty Hybrid Silicone Case Cover for HTC One X 4g with 3d Hello Kitty Stylus Pen Green/pink"/>
    <n v="57.41"/>
    <n v="6"/>
    <n v="5.74"/>
  </r>
  <r>
    <d v="2015-01-08T00:00:00"/>
    <x v="0"/>
    <x v="1"/>
    <x v="96"/>
    <x v="4"/>
    <x v="0"/>
    <x v="0"/>
    <s v="Ampad Poly Cover Wirebound Steno Book, 6&quot; x 9&quot; Assorted Colors, Gregg Ruled"/>
    <n v="13.62"/>
    <n v="3"/>
    <n v="6.13"/>
  </r>
  <r>
    <d v="2015-01-09T00:00:00"/>
    <x v="0"/>
    <x v="1"/>
    <x v="97"/>
    <x v="26"/>
    <x v="2"/>
    <x v="9"/>
    <s v="Samsung Galaxy Note 3"/>
    <n v="659.97"/>
    <n v="3"/>
    <n v="197.99"/>
  </r>
  <r>
    <d v="2015-01-10T00:00:00"/>
    <x v="0"/>
    <x v="1"/>
    <x v="98"/>
    <x v="29"/>
    <x v="0"/>
    <x v="8"/>
    <s v="GBC Standard Therm-A-Bind Covers"/>
    <n v="59.81"/>
    <n v="3"/>
    <n v="19.440000000000001"/>
  </r>
  <r>
    <d v="2015-01-12T00:00:00"/>
    <x v="0"/>
    <x v="1"/>
    <x v="99"/>
    <x v="16"/>
    <x v="1"/>
    <x v="14"/>
    <s v="KI Adjustable-Height Table"/>
    <n v="515.88"/>
    <n v="6"/>
    <n v="113.49"/>
  </r>
  <r>
    <d v="2015-02-01T00:00:00"/>
    <x v="1"/>
    <x v="1"/>
    <x v="100"/>
    <x v="19"/>
    <x v="0"/>
    <x v="0"/>
    <s v="Easy-staple paper"/>
    <n v="16.22"/>
    <n v="2"/>
    <n v="5.88"/>
  </r>
  <r>
    <d v="2015-02-03T00:00:00"/>
    <x v="1"/>
    <x v="1"/>
    <x v="101"/>
    <x v="13"/>
    <x v="0"/>
    <x v="2"/>
    <s v="Sanford Liquid Accent Highlighters"/>
    <n v="13.36"/>
    <n v="2"/>
    <n v="4.9400000000000004"/>
  </r>
  <r>
    <d v="2015-02-04T00:00:00"/>
    <x v="1"/>
    <x v="1"/>
    <x v="102"/>
    <x v="1"/>
    <x v="0"/>
    <x v="8"/>
    <s v="Wilson Jones Century Plastic Molded Ring Binders"/>
    <n v="12.46"/>
    <n v="3"/>
    <n v="-20.56"/>
  </r>
  <r>
    <d v="2015-02-05T00:00:00"/>
    <x v="1"/>
    <x v="1"/>
    <x v="103"/>
    <x v="16"/>
    <x v="1"/>
    <x v="12"/>
    <s v="Hon Deluxe Fabric Upholstered Stacking Chairs, Squared Back"/>
    <n v="585.54999999999995"/>
    <n v="3"/>
    <n v="73.19"/>
  </r>
  <r>
    <d v="2015-02-07T00:00:00"/>
    <x v="1"/>
    <x v="1"/>
    <x v="104"/>
    <x v="3"/>
    <x v="1"/>
    <x v="3"/>
    <s v="Eldon Expressions Wood and Plastic Desk Accessories, Cherry Wood"/>
    <n v="48.86"/>
    <n v="7"/>
    <n v="14.17"/>
  </r>
  <r>
    <d v="2015-02-08T00:00:00"/>
    <x v="1"/>
    <x v="1"/>
    <x v="105"/>
    <x v="14"/>
    <x v="0"/>
    <x v="1"/>
    <s v="Dot Matrix Printer Tape Reel Labels, White, 5000/Box"/>
    <n v="491.55"/>
    <n v="5"/>
    <n v="240.86"/>
  </r>
  <r>
    <d v="2015-02-10T00:00:00"/>
    <x v="1"/>
    <x v="1"/>
    <x v="106"/>
    <x v="14"/>
    <x v="1"/>
    <x v="5"/>
    <s v="Hon Metal Bookcases, Gray"/>
    <n v="212.94"/>
    <n v="3"/>
    <n v="57.49"/>
  </r>
  <r>
    <d v="2015-02-11T00:00:00"/>
    <x v="1"/>
    <x v="1"/>
    <x v="107"/>
    <x v="0"/>
    <x v="1"/>
    <x v="14"/>
    <s v="Lesro Sheffield Collection Coffee Table, End Table, Center Table, Corner Table"/>
    <n v="99.92"/>
    <n v="2"/>
    <n v="-18.559999999999999"/>
  </r>
  <r>
    <d v="2015-03-02T00:00:00"/>
    <x v="2"/>
    <x v="1"/>
    <x v="108"/>
    <x v="5"/>
    <x v="2"/>
    <x v="13"/>
    <s v="Texas Instruments TI-34 Scientific Calculator"/>
    <n v="65.97"/>
    <n v="3"/>
    <n v="31.01"/>
  </r>
  <r>
    <d v="2015-03-07T00:00:00"/>
    <x v="2"/>
    <x v="1"/>
    <x v="109"/>
    <x v="3"/>
    <x v="2"/>
    <x v="9"/>
    <s v="Plantronics Cordless Phone Headset with In-line Volume - M214C"/>
    <n v="139.80000000000001"/>
    <n v="5"/>
    <n v="12.23"/>
  </r>
  <r>
    <d v="2015-03-09T00:00:00"/>
    <x v="2"/>
    <x v="1"/>
    <x v="110"/>
    <x v="0"/>
    <x v="2"/>
    <x v="9"/>
    <s v="HTC One Mini"/>
    <n v="201.58"/>
    <n v="2"/>
    <n v="20.16"/>
  </r>
  <r>
    <d v="2015-03-11T00:00:00"/>
    <x v="2"/>
    <x v="1"/>
    <x v="111"/>
    <x v="4"/>
    <x v="1"/>
    <x v="3"/>
    <s v="Luxo Professional Magnifying Clamp-On Fluorescent Lamps"/>
    <n v="104.01"/>
    <n v="1"/>
    <n v="14.56"/>
  </r>
  <r>
    <d v="2015-03-12T00:00:00"/>
    <x v="2"/>
    <x v="1"/>
    <x v="112"/>
    <x v="31"/>
    <x v="2"/>
    <x v="6"/>
    <s v="KeyTronic 6101 Series - Keyboard - Black"/>
    <n v="196.75"/>
    <n v="6"/>
    <n v="56.57"/>
  </r>
  <r>
    <d v="2015-04-05T00:00:00"/>
    <x v="3"/>
    <x v="1"/>
    <x v="113"/>
    <x v="2"/>
    <x v="2"/>
    <x v="6"/>
    <s v="Sony 64GB Class 10 Micro SDHC R40 Memory Card"/>
    <n v="86.38"/>
    <n v="3"/>
    <n v="1.08"/>
  </r>
  <r>
    <d v="2015-04-07T00:00:00"/>
    <x v="3"/>
    <x v="1"/>
    <x v="114"/>
    <x v="9"/>
    <x v="1"/>
    <x v="3"/>
    <s v="Acrylic Self-Standing Desk Frames"/>
    <n v="4.2699999999999996"/>
    <n v="2"/>
    <n v="0.96"/>
  </r>
  <r>
    <d v="2015-04-09T00:00:00"/>
    <x v="3"/>
    <x v="1"/>
    <x v="115"/>
    <x v="3"/>
    <x v="1"/>
    <x v="14"/>
    <s v="Hon 4060 Series Tables"/>
    <n v="447.84"/>
    <n v="5"/>
    <n v="11.2"/>
  </r>
  <r>
    <d v="2015-04-10T00:00:00"/>
    <x v="3"/>
    <x v="1"/>
    <x v="116"/>
    <x v="26"/>
    <x v="0"/>
    <x v="10"/>
    <s v="SAFCO Commercial Wire Shelving, 72h"/>
    <n v="306.2"/>
    <n v="5"/>
    <n v="0"/>
  </r>
  <r>
    <d v="2015-04-12T00:00:00"/>
    <x v="3"/>
    <x v="1"/>
    <x v="117"/>
    <x v="2"/>
    <x v="0"/>
    <x v="0"/>
    <s v="Xerox 1995"/>
    <n v="41.47"/>
    <n v="8"/>
    <n v="14.52"/>
  </r>
  <r>
    <d v="2015-05-01T00:00:00"/>
    <x v="4"/>
    <x v="1"/>
    <x v="118"/>
    <x v="19"/>
    <x v="0"/>
    <x v="2"/>
    <s v="Dixon My First Ticonderoga Pencil, #2"/>
    <n v="32.76"/>
    <n v="7"/>
    <n v="3.69"/>
  </r>
  <r>
    <d v="2015-05-04T00:00:00"/>
    <x v="4"/>
    <x v="1"/>
    <x v="119"/>
    <x v="13"/>
    <x v="0"/>
    <x v="8"/>
    <s v="GBC Recycled Regency Composition Covers"/>
    <n v="334.77"/>
    <n v="7"/>
    <n v="108.8"/>
  </r>
  <r>
    <d v="2015-05-06T00:00:00"/>
    <x v="4"/>
    <x v="1"/>
    <x v="120"/>
    <x v="16"/>
    <x v="0"/>
    <x v="8"/>
    <s v="Cardinal Holdit Business Card Pockets"/>
    <n v="19.920000000000002"/>
    <n v="5"/>
    <n v="6.97"/>
  </r>
  <r>
    <d v="2015-05-08T00:00:00"/>
    <x v="4"/>
    <x v="1"/>
    <x v="121"/>
    <x v="17"/>
    <x v="2"/>
    <x v="9"/>
    <s v="Logitech B530 USB Headset - headset - Full size, Binaural"/>
    <n v="73.98"/>
    <n v="2"/>
    <n v="19.97"/>
  </r>
  <r>
    <d v="2015-05-09T00:00:00"/>
    <x v="4"/>
    <x v="1"/>
    <x v="122"/>
    <x v="31"/>
    <x v="0"/>
    <x v="0"/>
    <s v="Xerox 194"/>
    <n v="177.54"/>
    <n v="4"/>
    <n v="62.14"/>
  </r>
  <r>
    <d v="2015-05-10T00:00:00"/>
    <x v="4"/>
    <x v="1"/>
    <x v="123"/>
    <x v="26"/>
    <x v="2"/>
    <x v="6"/>
    <s v="NETGEAR AC1750 Dual Band Gigabit Smart WiFi Router"/>
    <n v="479.97"/>
    <n v="3"/>
    <n v="163.19"/>
  </r>
  <r>
    <d v="2015-05-11T00:00:00"/>
    <x v="4"/>
    <x v="1"/>
    <x v="124"/>
    <x v="13"/>
    <x v="2"/>
    <x v="15"/>
    <s v="Canon Imageclass D680 Copier / Fax"/>
    <n v="559.99"/>
    <n v="1"/>
    <n v="175"/>
  </r>
  <r>
    <d v="2015-06-03T00:00:00"/>
    <x v="5"/>
    <x v="1"/>
    <x v="67"/>
    <x v="2"/>
    <x v="1"/>
    <x v="12"/>
    <s v="Global High-Back Leather Tilter, Burgundy"/>
    <n v="172.19"/>
    <n v="2"/>
    <n v="-46.74"/>
  </r>
  <r>
    <d v="2015-06-07T00:00:00"/>
    <x v="5"/>
    <x v="1"/>
    <x v="125"/>
    <x v="13"/>
    <x v="1"/>
    <x v="12"/>
    <s v="Situations Contoured Folding Chairs, 4/Set"/>
    <n v="63.88"/>
    <n v="1"/>
    <n v="10.65"/>
  </r>
  <r>
    <d v="2015-06-08T00:00:00"/>
    <x v="5"/>
    <x v="1"/>
    <x v="126"/>
    <x v="3"/>
    <x v="0"/>
    <x v="8"/>
    <s v="Tuff Stuff Recycled Round Ring Binders"/>
    <n v="7.71"/>
    <n v="2"/>
    <n v="2.8"/>
  </r>
  <r>
    <d v="2015-07-02T00:00:00"/>
    <x v="6"/>
    <x v="1"/>
    <x v="127"/>
    <x v="3"/>
    <x v="1"/>
    <x v="14"/>
    <s v="Bevis Round Conference Table Top &amp; Single Column Base"/>
    <n v="351.22"/>
    <n v="3"/>
    <n v="4.3899999999999997"/>
  </r>
  <r>
    <d v="2015-07-03T00:00:00"/>
    <x v="6"/>
    <x v="1"/>
    <x v="128"/>
    <x v="1"/>
    <x v="0"/>
    <x v="8"/>
    <s v="Acco D-Ring Binder w/DublLock"/>
    <n v="29.93"/>
    <n v="7"/>
    <n v="-46.39"/>
  </r>
  <r>
    <d v="2015-07-04T00:00:00"/>
    <x v="6"/>
    <x v="1"/>
    <x v="129"/>
    <x v="32"/>
    <x v="2"/>
    <x v="6"/>
    <s v="Maxell 4.7GB DVD-R 5/Pack"/>
    <n v="2.97"/>
    <n v="3"/>
    <n v="1.31"/>
  </r>
  <r>
    <d v="2015-07-05T00:00:00"/>
    <x v="6"/>
    <x v="1"/>
    <x v="130"/>
    <x v="9"/>
    <x v="1"/>
    <x v="12"/>
    <s v="Office Star - Ergonomically Designed Knee Chair"/>
    <n v="259.14"/>
    <n v="4"/>
    <n v="-25.91"/>
  </r>
  <r>
    <d v="2015-07-06T00:00:00"/>
    <x v="6"/>
    <x v="1"/>
    <x v="131"/>
    <x v="33"/>
    <x v="2"/>
    <x v="9"/>
    <s v="Polycom VVX 310 VoIP phone"/>
    <n v="359.98"/>
    <n v="2"/>
    <n v="93.59"/>
  </r>
  <r>
    <d v="2015-07-11T00:00:00"/>
    <x v="6"/>
    <x v="1"/>
    <x v="132"/>
    <x v="0"/>
    <x v="0"/>
    <x v="10"/>
    <s v="Letter Size Cart"/>
    <n v="342.86"/>
    <n v="3"/>
    <n v="38.57"/>
  </r>
  <r>
    <d v="2015-07-12T00:00:00"/>
    <x v="6"/>
    <x v="1"/>
    <x v="133"/>
    <x v="3"/>
    <x v="0"/>
    <x v="2"/>
    <s v="Newell 334"/>
    <n v="99.2"/>
    <n v="5"/>
    <n v="25.79"/>
  </r>
  <r>
    <d v="2015-08-02T00:00:00"/>
    <x v="7"/>
    <x v="1"/>
    <x v="134"/>
    <x v="13"/>
    <x v="0"/>
    <x v="2"/>
    <s v="Premium Writing Pencils, Soft, #2 by Central Association for the Blind"/>
    <n v="5.96"/>
    <n v="2"/>
    <n v="1.67"/>
  </r>
  <r>
    <d v="2015-08-05T00:00:00"/>
    <x v="7"/>
    <x v="1"/>
    <x v="135"/>
    <x v="9"/>
    <x v="0"/>
    <x v="8"/>
    <s v="Wilson Jones Custom Binder Spines &amp; Labels"/>
    <n v="8.16"/>
    <n v="5"/>
    <n v="-5.71"/>
  </r>
  <r>
    <d v="2015-08-08T00:00:00"/>
    <x v="7"/>
    <x v="1"/>
    <x v="136"/>
    <x v="3"/>
    <x v="0"/>
    <x v="10"/>
    <s v="Fellowes Personal Hanging Folder Files, Navy"/>
    <n v="53.72"/>
    <n v="4"/>
    <n v="15.04"/>
  </r>
  <r>
    <d v="2015-08-09T00:00:00"/>
    <x v="7"/>
    <x v="1"/>
    <x v="137"/>
    <x v="1"/>
    <x v="0"/>
    <x v="10"/>
    <s v="Belkin 19&quot; Vented Equipment Shelf, Black"/>
    <n v="123.55"/>
    <n v="3"/>
    <n v="-29.34"/>
  </r>
  <r>
    <d v="2015-08-11T00:00:00"/>
    <x v="7"/>
    <x v="1"/>
    <x v="138"/>
    <x v="3"/>
    <x v="2"/>
    <x v="6"/>
    <s v="WD My Passport Ultra 2TB Portable External Hard Drive"/>
    <n v="238"/>
    <n v="2"/>
    <n v="38.08"/>
  </r>
  <r>
    <d v="2015-08-12T00:00:00"/>
    <x v="7"/>
    <x v="1"/>
    <x v="42"/>
    <x v="11"/>
    <x v="0"/>
    <x v="11"/>
    <s v="OIC Colored Binder Clips, Assorted Sizes"/>
    <n v="14.32"/>
    <n v="5"/>
    <n v="5.19"/>
  </r>
  <r>
    <d v="2015-09-02T00:00:00"/>
    <x v="8"/>
    <x v="1"/>
    <x v="139"/>
    <x v="16"/>
    <x v="1"/>
    <x v="5"/>
    <s v="Rush Hierlooms Collection 1&quot; Thick Stackable Bookcases"/>
    <n v="1367.84"/>
    <n v="8"/>
    <n v="259.89"/>
  </r>
  <r>
    <d v="2015-09-03T00:00:00"/>
    <x v="8"/>
    <x v="1"/>
    <x v="140"/>
    <x v="21"/>
    <x v="0"/>
    <x v="1"/>
    <s v="Self-Adhesive Address Labels for Typewriters by Universal"/>
    <n v="17.54"/>
    <n v="3"/>
    <n v="5.92"/>
  </r>
  <r>
    <d v="2015-09-04T00:00:00"/>
    <x v="8"/>
    <x v="1"/>
    <x v="141"/>
    <x v="34"/>
    <x v="0"/>
    <x v="8"/>
    <s v="Wilson Jones 14 Line Acrylic Coated Pressboard Data Binders"/>
    <n v="26.7"/>
    <n v="5"/>
    <n v="12.55"/>
  </r>
  <r>
    <d v="2015-09-05T00:00:00"/>
    <x v="8"/>
    <x v="1"/>
    <x v="87"/>
    <x v="31"/>
    <x v="1"/>
    <x v="14"/>
    <s v="BoxOffice By Design Rectangular and Half-Moon Meeting Room Tables"/>
    <n v="218.75"/>
    <n v="2"/>
    <n v="-161.88"/>
  </r>
  <r>
    <d v="2015-09-06T00:00:00"/>
    <x v="8"/>
    <x v="1"/>
    <x v="142"/>
    <x v="29"/>
    <x v="0"/>
    <x v="7"/>
    <s v="Hoover WindTunnel Plus Canister Vacuum"/>
    <n v="1089.75"/>
    <n v="3"/>
    <n v="305.13"/>
  </r>
  <r>
    <d v="2015-09-07T00:00:00"/>
    <x v="8"/>
    <x v="1"/>
    <x v="143"/>
    <x v="3"/>
    <x v="0"/>
    <x v="0"/>
    <s v="Adams Phone Message Book, Professional, 400 Message Capacity, 5 3/6 x 11"/>
    <n v="20.94"/>
    <n v="3"/>
    <n v="9.84"/>
  </r>
  <r>
    <d v="2015-09-08T00:00:00"/>
    <x v="8"/>
    <x v="1"/>
    <x v="144"/>
    <x v="20"/>
    <x v="2"/>
    <x v="6"/>
    <s v="Maxell 74 Minute CD-R Spindle, 50/Pack"/>
    <n v="62.91"/>
    <n v="3"/>
    <n v="22.65"/>
  </r>
  <r>
    <d v="2015-09-11T00:00:00"/>
    <x v="8"/>
    <x v="1"/>
    <x v="145"/>
    <x v="3"/>
    <x v="0"/>
    <x v="7"/>
    <s v="Fellowes Superior 10 Outlet Split Surge Protector"/>
    <n v="76.12"/>
    <n v="2"/>
    <n v="22.07"/>
  </r>
  <r>
    <d v="2015-10-02T00:00:00"/>
    <x v="9"/>
    <x v="1"/>
    <x v="146"/>
    <x v="11"/>
    <x v="2"/>
    <x v="9"/>
    <s v="AT&amp;T 1070 Corded Phone"/>
    <n v="178.38"/>
    <n v="2"/>
    <n v="22.3"/>
  </r>
  <r>
    <d v="2015-10-03T00:00:00"/>
    <x v="9"/>
    <x v="1"/>
    <x v="147"/>
    <x v="17"/>
    <x v="0"/>
    <x v="8"/>
    <s v="Performers Binder/Pad Holder, Black"/>
    <n v="196.21"/>
    <n v="7"/>
    <n v="98.11"/>
  </r>
  <r>
    <d v="2015-10-05T00:00:00"/>
    <x v="9"/>
    <x v="1"/>
    <x v="148"/>
    <x v="0"/>
    <x v="0"/>
    <x v="8"/>
    <s v="GBC Durable Plastic Covers"/>
    <n v="30.96"/>
    <n v="8"/>
    <n v="-52.63"/>
  </r>
  <r>
    <d v="2015-10-07T00:00:00"/>
    <x v="9"/>
    <x v="1"/>
    <x v="149"/>
    <x v="2"/>
    <x v="1"/>
    <x v="14"/>
    <s v="Chromcraft Rectangular Conference Tables"/>
    <n v="853.09"/>
    <n v="6"/>
    <n v="-227.49"/>
  </r>
  <r>
    <d v="2015-10-09T00:00:00"/>
    <x v="9"/>
    <x v="1"/>
    <x v="150"/>
    <x v="0"/>
    <x v="0"/>
    <x v="0"/>
    <s v="Xerox 203"/>
    <n v="15.55"/>
    <n v="3"/>
    <n v="5.44"/>
  </r>
  <r>
    <d v="2015-10-12T00:00:00"/>
    <x v="9"/>
    <x v="1"/>
    <x v="97"/>
    <x v="19"/>
    <x v="0"/>
    <x v="2"/>
    <s v="Turquoise Lead Holder with Pocket Clip"/>
    <n v="10.72"/>
    <n v="2"/>
    <n v="1.74"/>
  </r>
  <r>
    <d v="2015-11-05T00:00:00"/>
    <x v="10"/>
    <x v="1"/>
    <x v="151"/>
    <x v="1"/>
    <x v="1"/>
    <x v="12"/>
    <s v="Global Leather and Oak Executive Chair, Black"/>
    <n v="421.37"/>
    <n v="2"/>
    <n v="-6.02"/>
  </r>
  <r>
    <d v="2015-11-06T00:00:00"/>
    <x v="10"/>
    <x v="1"/>
    <x v="152"/>
    <x v="19"/>
    <x v="0"/>
    <x v="2"/>
    <s v="Faber Castell Col-Erase Pencils"/>
    <n v="3.91"/>
    <n v="1"/>
    <n v="1.03"/>
  </r>
  <r>
    <d v="2015-11-07T00:00:00"/>
    <x v="10"/>
    <x v="1"/>
    <x v="153"/>
    <x v="13"/>
    <x v="0"/>
    <x v="0"/>
    <s v="Xerox 1994"/>
    <n v="25.92"/>
    <n v="4"/>
    <n v="12.44"/>
  </r>
  <r>
    <d v="2015-11-09T00:00:00"/>
    <x v="10"/>
    <x v="1"/>
    <x v="154"/>
    <x v="35"/>
    <x v="0"/>
    <x v="8"/>
    <s v="SlimView Poly Binder, 3/8&quot;"/>
    <n v="8.2899999999999991"/>
    <n v="2"/>
    <n v="2.69"/>
  </r>
  <r>
    <d v="2015-11-11T00:00:00"/>
    <x v="10"/>
    <x v="1"/>
    <x v="155"/>
    <x v="3"/>
    <x v="0"/>
    <x v="2"/>
    <s v="Newell 341"/>
    <n v="8.56"/>
    <n v="2"/>
    <n v="2.48"/>
  </r>
  <r>
    <d v="2015-12-01T00:00:00"/>
    <x v="11"/>
    <x v="1"/>
    <x v="156"/>
    <x v="3"/>
    <x v="0"/>
    <x v="0"/>
    <s v="Xerox 1940"/>
    <n v="109.92"/>
    <n v="2"/>
    <n v="53.86"/>
  </r>
  <r>
    <d v="2015-12-03T00:00:00"/>
    <x v="11"/>
    <x v="1"/>
    <x v="157"/>
    <x v="33"/>
    <x v="0"/>
    <x v="8"/>
    <s v="Wilson Jones Standard D-Ring Binders"/>
    <n v="25.3"/>
    <n v="5"/>
    <n v="11.89"/>
  </r>
  <r>
    <d v="2015-12-04T00:00:00"/>
    <x v="11"/>
    <x v="1"/>
    <x v="158"/>
    <x v="36"/>
    <x v="2"/>
    <x v="6"/>
    <s v="KeyTronic KT400U2 - Keyboard - Black"/>
    <n v="92.52"/>
    <n v="9"/>
    <n v="18.5"/>
  </r>
  <r>
    <d v="2015-12-05T00:00:00"/>
    <x v="11"/>
    <x v="1"/>
    <x v="159"/>
    <x v="3"/>
    <x v="0"/>
    <x v="2"/>
    <s v="BOSTON Model 1800 Electric Pencil Sharpeners, Putty/Woodgrain"/>
    <n v="53.94"/>
    <n v="3"/>
    <n v="15.64"/>
  </r>
  <r>
    <d v="2015-12-09T00:00:00"/>
    <x v="11"/>
    <x v="1"/>
    <x v="160"/>
    <x v="13"/>
    <x v="0"/>
    <x v="7"/>
    <s v="Holmes Cool Mist Humidifier for the Whole House with 8-Gallon Output per Day, Extended Life Filter"/>
    <n v="19.899999999999999"/>
    <n v="1"/>
    <n v="8.9600000000000009"/>
  </r>
  <r>
    <d v="2015-12-12T00:00:00"/>
    <x v="11"/>
    <x v="1"/>
    <x v="161"/>
    <x v="13"/>
    <x v="0"/>
    <x v="1"/>
    <s v="Avery 514"/>
    <n v="14.4"/>
    <n v="5"/>
    <n v="7.06"/>
  </r>
  <r>
    <d v="2016-01-02T00:00:00"/>
    <x v="0"/>
    <x v="2"/>
    <x v="162"/>
    <x v="2"/>
    <x v="0"/>
    <x v="10"/>
    <s v="Carina 42&quot;Hx23 3/4&quot;W Media Storage Unit"/>
    <n v="64.78"/>
    <n v="1"/>
    <n v="-14.58"/>
  </r>
  <r>
    <d v="2016-01-07T00:00:00"/>
    <x v="0"/>
    <x v="2"/>
    <x v="163"/>
    <x v="14"/>
    <x v="0"/>
    <x v="1"/>
    <s v="Alphabetical Labels for Top Tab Filing"/>
    <n v="103.6"/>
    <n v="7"/>
    <n v="51.8"/>
  </r>
  <r>
    <d v="2016-01-09T00:00:00"/>
    <x v="0"/>
    <x v="2"/>
    <x v="164"/>
    <x v="3"/>
    <x v="1"/>
    <x v="3"/>
    <s v="Deflect-o DuraMat Lighweight, Studded, Beveled Mat for Low Pile Carpeting"/>
    <n v="127.95"/>
    <n v="3"/>
    <n v="21.75"/>
  </r>
  <r>
    <d v="2016-01-11T00:00:00"/>
    <x v="0"/>
    <x v="2"/>
    <x v="17"/>
    <x v="13"/>
    <x v="2"/>
    <x v="13"/>
    <s v="Epson WorkForce WF-2530 All-in-One Printer, Copier Scanner"/>
    <n v="69.989999999999995"/>
    <n v="1"/>
    <n v="30.1"/>
  </r>
  <r>
    <d v="2016-01-12T00:00:00"/>
    <x v="0"/>
    <x v="2"/>
    <x v="165"/>
    <x v="21"/>
    <x v="0"/>
    <x v="8"/>
    <s v="GBC Instant Index System for Binding Systems"/>
    <n v="18.649999999999999"/>
    <n v="7"/>
    <n v="-12.43"/>
  </r>
  <r>
    <d v="2016-02-01T00:00:00"/>
    <x v="1"/>
    <x v="2"/>
    <x v="166"/>
    <x v="1"/>
    <x v="0"/>
    <x v="7"/>
    <s v="Kensington 7 Outlet MasterPiece HOMEOFFICE Power Control Center"/>
    <n v="52.45"/>
    <n v="2"/>
    <n v="-131.12"/>
  </r>
  <r>
    <d v="2016-02-02T00:00:00"/>
    <x v="1"/>
    <x v="2"/>
    <x v="167"/>
    <x v="2"/>
    <x v="1"/>
    <x v="3"/>
    <s v="Seth Thomas 16&quot; Steel Case Clock"/>
    <n v="103.94"/>
    <n v="4"/>
    <n v="16.89"/>
  </r>
  <r>
    <d v="2016-02-04T00:00:00"/>
    <x v="1"/>
    <x v="2"/>
    <x v="89"/>
    <x v="13"/>
    <x v="0"/>
    <x v="8"/>
    <s v="Avery Trapezoid Extra Heavy Duty 4&quot; Binders"/>
    <n v="33.549999999999997"/>
    <n v="1"/>
    <n v="12.58"/>
  </r>
  <r>
    <d v="2016-02-05T00:00:00"/>
    <x v="1"/>
    <x v="2"/>
    <x v="168"/>
    <x v="2"/>
    <x v="0"/>
    <x v="8"/>
    <s v="Acco Pressboard Covers with Storage Hooks, 14 7/8&quot; x 11&quot;, Light Blue"/>
    <n v="5.89"/>
    <n v="4"/>
    <n v="-4.12"/>
  </r>
  <r>
    <d v="2016-02-07T00:00:00"/>
    <x v="1"/>
    <x v="2"/>
    <x v="162"/>
    <x v="0"/>
    <x v="2"/>
    <x v="13"/>
    <s v="Lexmark MX611dhe Monochrome Laser Printer"/>
    <n v="3059.98"/>
    <n v="3"/>
    <n v="-510"/>
  </r>
  <r>
    <d v="2016-02-08T00:00:00"/>
    <x v="1"/>
    <x v="2"/>
    <x v="169"/>
    <x v="1"/>
    <x v="1"/>
    <x v="14"/>
    <s v="Bevis 44 x 96 Conference Tables"/>
    <n v="617.70000000000005"/>
    <n v="6"/>
    <n v="-407.68"/>
  </r>
  <r>
    <d v="2016-02-09T00:00:00"/>
    <x v="1"/>
    <x v="2"/>
    <x v="170"/>
    <x v="16"/>
    <x v="2"/>
    <x v="9"/>
    <s v="Nortel Meridian M3904 Professional Digital phone"/>
    <n v="246.38"/>
    <n v="2"/>
    <n v="27.72"/>
  </r>
  <r>
    <d v="2016-02-10T00:00:00"/>
    <x v="1"/>
    <x v="2"/>
    <x v="171"/>
    <x v="3"/>
    <x v="0"/>
    <x v="10"/>
    <s v="Gould Plastics 9-Pocket Panel Bin, 18-3/8w x 5-1/4d x 20-1/2h, Black"/>
    <n v="211.96"/>
    <n v="4"/>
    <n v="8.48"/>
  </r>
  <r>
    <d v="2016-03-02T00:00:00"/>
    <x v="2"/>
    <x v="2"/>
    <x v="172"/>
    <x v="0"/>
    <x v="0"/>
    <x v="0"/>
    <s v="Xerox 1954"/>
    <n v="33.79"/>
    <n v="8"/>
    <n v="10.56"/>
  </r>
  <r>
    <d v="2016-03-03T00:00:00"/>
    <x v="2"/>
    <x v="2"/>
    <x v="173"/>
    <x v="17"/>
    <x v="1"/>
    <x v="3"/>
    <s v="Deflect-o SuperTray Unbreakable Stackable Tray, Letter, Black"/>
    <n v="87.54"/>
    <n v="3"/>
    <n v="37.64"/>
  </r>
  <r>
    <d v="2016-03-04T00:00:00"/>
    <x v="2"/>
    <x v="2"/>
    <x v="174"/>
    <x v="28"/>
    <x v="0"/>
    <x v="10"/>
    <s v="Decoflex Hanging Personal Folder File, Blue"/>
    <n v="46.26"/>
    <n v="3"/>
    <n v="12.49"/>
  </r>
  <r>
    <d v="2016-03-05T00:00:00"/>
    <x v="2"/>
    <x v="2"/>
    <x v="175"/>
    <x v="3"/>
    <x v="1"/>
    <x v="3"/>
    <s v="Luxo Professional Combination Clamp-On Lamps"/>
    <n v="204.6"/>
    <n v="2"/>
    <n v="53.2"/>
  </r>
  <r>
    <d v="2016-03-06T00:00:00"/>
    <x v="2"/>
    <x v="2"/>
    <x v="176"/>
    <x v="13"/>
    <x v="0"/>
    <x v="0"/>
    <s v="Tops Green Bar Computer Printout Paper"/>
    <n v="48.94"/>
    <n v="1"/>
    <n v="24.47"/>
  </r>
  <r>
    <d v="2016-03-08T00:00:00"/>
    <x v="2"/>
    <x v="2"/>
    <x v="177"/>
    <x v="9"/>
    <x v="0"/>
    <x v="0"/>
    <s v="Adams Telephone Message Book W/Dividers/Space For Phone Numbers, 5 1/4&quot;X8 1/2&quot;, 300/Messages"/>
    <n v="9.41"/>
    <n v="2"/>
    <n v="3.41"/>
  </r>
  <r>
    <d v="2016-03-09T00:00:00"/>
    <x v="2"/>
    <x v="2"/>
    <x v="178"/>
    <x v="3"/>
    <x v="0"/>
    <x v="1"/>
    <s v="Avery 512"/>
    <n v="14.45"/>
    <n v="5"/>
    <n v="6.79"/>
  </r>
  <r>
    <d v="2016-03-11T00:00:00"/>
    <x v="2"/>
    <x v="2"/>
    <x v="179"/>
    <x v="19"/>
    <x v="0"/>
    <x v="7"/>
    <s v="Belkin F5C206VTEL 6 Outlet Surge"/>
    <n v="91.92"/>
    <n v="5"/>
    <n v="11.49"/>
  </r>
  <r>
    <d v="2016-04-02T00:00:00"/>
    <x v="3"/>
    <x v="2"/>
    <x v="180"/>
    <x v="3"/>
    <x v="2"/>
    <x v="6"/>
    <s v="Imation USB 2.0 Swivel Flash Drive USB flash drive - 4 GB - Pink"/>
    <n v="9.09"/>
    <n v="3"/>
    <n v="1.91"/>
  </r>
  <r>
    <d v="2016-04-03T00:00:00"/>
    <x v="3"/>
    <x v="2"/>
    <x v="170"/>
    <x v="21"/>
    <x v="2"/>
    <x v="6"/>
    <s v="Maxell 74 Minute CDR, 10/Pack"/>
    <n v="23.47"/>
    <n v="3"/>
    <n v="4.99"/>
  </r>
  <r>
    <d v="2016-04-04T00:00:00"/>
    <x v="3"/>
    <x v="2"/>
    <x v="181"/>
    <x v="3"/>
    <x v="1"/>
    <x v="12"/>
    <s v="Global Deluxe Stacking Chair, Gray"/>
    <n v="122.35"/>
    <n v="3"/>
    <n v="13.76"/>
  </r>
  <r>
    <d v="2016-04-06T00:00:00"/>
    <x v="3"/>
    <x v="2"/>
    <x v="182"/>
    <x v="2"/>
    <x v="0"/>
    <x v="10"/>
    <s v="Fellowes High-Stak Drawer Files"/>
    <n v="281.89999999999998"/>
    <n v="2"/>
    <n v="10.57"/>
  </r>
  <r>
    <d v="2016-04-07T00:00:00"/>
    <x v="3"/>
    <x v="2"/>
    <x v="183"/>
    <x v="16"/>
    <x v="0"/>
    <x v="2"/>
    <s v="Newell 32"/>
    <n v="11.52"/>
    <n v="4"/>
    <n v="3.23"/>
  </r>
  <r>
    <d v="2016-04-08T00:00:00"/>
    <x v="3"/>
    <x v="2"/>
    <x v="184"/>
    <x v="30"/>
    <x v="0"/>
    <x v="8"/>
    <s v="Avery Metallic Poly Binders"/>
    <n v="22.92"/>
    <n v="4"/>
    <n v="11"/>
  </r>
  <r>
    <d v="2016-04-12T00:00:00"/>
    <x v="3"/>
    <x v="2"/>
    <x v="118"/>
    <x v="11"/>
    <x v="1"/>
    <x v="3"/>
    <s v="Executive Impressions 13&quot; Clairmont Wall Clock"/>
    <n v="15.38"/>
    <n v="1"/>
    <n v="4.04"/>
  </r>
  <r>
    <d v="2016-05-01T00:00:00"/>
    <x v="4"/>
    <x v="2"/>
    <x v="185"/>
    <x v="3"/>
    <x v="0"/>
    <x v="8"/>
    <s v="Avery Non-Stick Heavy Duty View Round Locking Ring Binders"/>
    <n v="14.35"/>
    <n v="3"/>
    <n v="5.0199999999999996"/>
  </r>
  <r>
    <d v="2016-05-04T00:00:00"/>
    <x v="4"/>
    <x v="2"/>
    <x v="186"/>
    <x v="24"/>
    <x v="0"/>
    <x v="10"/>
    <s v="Gould Plastics 18-Pocket Panel Bin, 34w x 5-1/4d x 20-1/2h"/>
    <n v="275.97000000000003"/>
    <n v="3"/>
    <n v="11.04"/>
  </r>
  <r>
    <d v="2016-05-08T00:00:00"/>
    <x v="4"/>
    <x v="2"/>
    <x v="187"/>
    <x v="3"/>
    <x v="0"/>
    <x v="0"/>
    <s v="Spiral Phone Message Books with Labels by Adams"/>
    <n v="13.44"/>
    <n v="3"/>
    <n v="6.59"/>
  </r>
  <r>
    <d v="2016-05-11T00:00:00"/>
    <x v="4"/>
    <x v="2"/>
    <x v="188"/>
    <x v="19"/>
    <x v="1"/>
    <x v="3"/>
    <s v="Seth Thomas 14&quot; Putty-Colored Wall Clock"/>
    <n v="93.89"/>
    <n v="4"/>
    <n v="12.91"/>
  </r>
  <r>
    <d v="2016-06-02T00:00:00"/>
    <x v="5"/>
    <x v="2"/>
    <x v="189"/>
    <x v="3"/>
    <x v="0"/>
    <x v="8"/>
    <s v="GBC VeloBind Cover Sets"/>
    <n v="49.41"/>
    <n v="4"/>
    <n v="18.53"/>
  </r>
  <r>
    <d v="2016-06-03T00:00:00"/>
    <x v="5"/>
    <x v="2"/>
    <x v="190"/>
    <x v="16"/>
    <x v="1"/>
    <x v="3"/>
    <s v="Tenex Chairmats For Use With Carpeted Floors"/>
    <n v="63.92"/>
    <n v="4"/>
    <n v="3.2"/>
  </r>
  <r>
    <d v="2016-06-04T00:00:00"/>
    <x v="5"/>
    <x v="2"/>
    <x v="191"/>
    <x v="3"/>
    <x v="0"/>
    <x v="8"/>
    <s v="Avery Non-Stick Binders"/>
    <n v="7.18"/>
    <n v="2"/>
    <n v="2.25"/>
  </r>
  <r>
    <d v="2016-06-05T00:00:00"/>
    <x v="5"/>
    <x v="2"/>
    <x v="192"/>
    <x v="1"/>
    <x v="2"/>
    <x v="9"/>
    <s v="Apple iPhone 5S"/>
    <n v="2735.95"/>
    <n v="6"/>
    <n v="341.99"/>
  </r>
  <r>
    <d v="2016-06-06T00:00:00"/>
    <x v="5"/>
    <x v="2"/>
    <x v="176"/>
    <x v="31"/>
    <x v="0"/>
    <x v="2"/>
    <s v="Model L Table or Wall-Mount Pencil Sharpener"/>
    <n v="43.18"/>
    <n v="3"/>
    <n v="4.32"/>
  </r>
  <r>
    <d v="2016-07-01T00:00:00"/>
    <x v="6"/>
    <x v="2"/>
    <x v="193"/>
    <x v="13"/>
    <x v="0"/>
    <x v="1"/>
    <s v="Avery 499"/>
    <n v="34.86"/>
    <n v="7"/>
    <n v="16.04"/>
  </r>
  <r>
    <d v="2016-07-02T00:00:00"/>
    <x v="6"/>
    <x v="2"/>
    <x v="194"/>
    <x v="2"/>
    <x v="0"/>
    <x v="16"/>
    <s v="Compact Automatic Electric Letter Opener"/>
    <n v="286.33999999999997"/>
    <n v="3"/>
    <n v="-64.430000000000007"/>
  </r>
  <r>
    <d v="2016-07-03T00:00:00"/>
    <x v="6"/>
    <x v="2"/>
    <x v="27"/>
    <x v="13"/>
    <x v="1"/>
    <x v="12"/>
    <s v="DMI Arturo Collection Mission-style Design Wood Chair"/>
    <n v="135.88"/>
    <n v="1"/>
    <n v="24.16"/>
  </r>
  <r>
    <d v="2016-07-04T00:00:00"/>
    <x v="6"/>
    <x v="2"/>
    <x v="152"/>
    <x v="3"/>
    <x v="1"/>
    <x v="3"/>
    <s v="OIC Stacking Trays"/>
    <n v="20.04"/>
    <n v="6"/>
    <n v="8.82"/>
  </r>
  <r>
    <d v="2016-07-05T00:00:00"/>
    <x v="6"/>
    <x v="2"/>
    <x v="195"/>
    <x v="7"/>
    <x v="0"/>
    <x v="0"/>
    <s v="Array Parchment Paper, Assorted Colors"/>
    <n v="43.68"/>
    <n v="6"/>
    <n v="20.97"/>
  </r>
  <r>
    <d v="2016-07-07T00:00:00"/>
    <x v="6"/>
    <x v="2"/>
    <x v="196"/>
    <x v="0"/>
    <x v="0"/>
    <x v="8"/>
    <s v="Satellite Sectional Post Binders"/>
    <n v="26.05"/>
    <n v="3"/>
    <n v="-44.28"/>
  </r>
  <r>
    <d v="2016-07-08T00:00:00"/>
    <x v="6"/>
    <x v="2"/>
    <x v="197"/>
    <x v="3"/>
    <x v="2"/>
    <x v="9"/>
    <s v="Toshiba IPT2010-SD IP Telephone"/>
    <n v="333.58"/>
    <n v="3"/>
    <n v="25.02"/>
  </r>
  <r>
    <d v="2016-07-10T00:00:00"/>
    <x v="6"/>
    <x v="2"/>
    <x v="198"/>
    <x v="3"/>
    <x v="2"/>
    <x v="9"/>
    <s v="Jabra SPEAK 410"/>
    <n v="601.54"/>
    <n v="8"/>
    <n v="60.15"/>
  </r>
  <r>
    <d v="2016-07-11T00:00:00"/>
    <x v="6"/>
    <x v="2"/>
    <x v="199"/>
    <x v="15"/>
    <x v="0"/>
    <x v="10"/>
    <s v="Stur-D-Stor Shelving, Vertical 5-Shelf: 72&quot;H x 36&quot;W x 18 1/2&quot;D"/>
    <n v="665.88"/>
    <n v="6"/>
    <n v="13.32"/>
  </r>
  <r>
    <d v="2016-08-01T00:00:00"/>
    <x v="7"/>
    <x v="2"/>
    <x v="200"/>
    <x v="0"/>
    <x v="0"/>
    <x v="10"/>
    <s v="Personal Filing Tote with Lid, Black/Gray"/>
    <n v="49.63"/>
    <n v="4"/>
    <n v="4.96"/>
  </r>
  <r>
    <d v="2016-08-02T00:00:00"/>
    <x v="7"/>
    <x v="2"/>
    <x v="201"/>
    <x v="33"/>
    <x v="2"/>
    <x v="9"/>
    <s v="Polycom SoundPoint Pro SE-225 Corded phone"/>
    <n v="832.93"/>
    <n v="7"/>
    <n v="233.22"/>
  </r>
  <r>
    <d v="2016-08-03T00:00:00"/>
    <x v="7"/>
    <x v="2"/>
    <x v="202"/>
    <x v="37"/>
    <x v="0"/>
    <x v="2"/>
    <s v="Newell 310"/>
    <n v="4.22"/>
    <n v="3"/>
    <n v="0.48"/>
  </r>
  <r>
    <d v="2016-08-04T00:00:00"/>
    <x v="7"/>
    <x v="2"/>
    <x v="203"/>
    <x v="38"/>
    <x v="2"/>
    <x v="9"/>
    <s v="Jawbone MINI JAMBOX Wireless Bluetooth Speaker"/>
    <n v="273.95999999999998"/>
    <n v="2"/>
    <n v="10.96"/>
  </r>
  <r>
    <d v="2016-08-07T00:00:00"/>
    <x v="7"/>
    <x v="2"/>
    <x v="100"/>
    <x v="22"/>
    <x v="1"/>
    <x v="12"/>
    <s v="Global Super Steno Chair"/>
    <n v="479.9"/>
    <n v="5"/>
    <n v="81.58"/>
  </r>
  <r>
    <d v="2016-08-09T00:00:00"/>
    <x v="7"/>
    <x v="2"/>
    <x v="204"/>
    <x v="31"/>
    <x v="1"/>
    <x v="14"/>
    <s v="Bevis Rectangular Conference Tables"/>
    <n v="145.97999999999999"/>
    <n v="2"/>
    <n v="-99.27"/>
  </r>
  <r>
    <d v="2016-08-10T00:00:00"/>
    <x v="7"/>
    <x v="2"/>
    <x v="205"/>
    <x v="6"/>
    <x v="2"/>
    <x v="9"/>
    <s v="AT&amp;T TR1909W"/>
    <n v="503.96"/>
    <n v="4"/>
    <n v="131.03"/>
  </r>
  <r>
    <d v="2016-08-11T00:00:00"/>
    <x v="7"/>
    <x v="2"/>
    <x v="206"/>
    <x v="13"/>
    <x v="0"/>
    <x v="4"/>
    <s v="Peel &amp; Seel Recycled Catalog Envelopes, Brown"/>
    <n v="34.74"/>
    <n v="3"/>
    <n v="17.37"/>
  </r>
  <r>
    <d v="2016-08-12T00:00:00"/>
    <x v="7"/>
    <x v="2"/>
    <x v="207"/>
    <x v="7"/>
    <x v="0"/>
    <x v="4"/>
    <s v="Fashion Color Clasp Envelopes"/>
    <n v="16.23"/>
    <n v="3"/>
    <n v="7.95"/>
  </r>
  <r>
    <d v="2016-09-01T00:00:00"/>
    <x v="8"/>
    <x v="2"/>
    <x v="28"/>
    <x v="3"/>
    <x v="1"/>
    <x v="12"/>
    <s v="Novimex Swivel Fabric Task Chair"/>
    <n v="603.91999999999996"/>
    <n v="5"/>
    <n v="-67.94"/>
  </r>
  <r>
    <d v="2016-09-05T00:00:00"/>
    <x v="8"/>
    <x v="2"/>
    <x v="208"/>
    <x v="19"/>
    <x v="0"/>
    <x v="2"/>
    <s v="Crayola Colored Pencils"/>
    <n v="2.62"/>
    <n v="1"/>
    <n v="0.43"/>
  </r>
  <r>
    <d v="2016-09-08T00:00:00"/>
    <x v="8"/>
    <x v="2"/>
    <x v="112"/>
    <x v="0"/>
    <x v="1"/>
    <x v="3"/>
    <s v="Eldon Expressions Desk Accessory, Wood Pencil Holder, Oak"/>
    <n v="19.3"/>
    <n v="5"/>
    <n v="-14.48"/>
  </r>
  <r>
    <d v="2016-10-01T00:00:00"/>
    <x v="9"/>
    <x v="2"/>
    <x v="209"/>
    <x v="24"/>
    <x v="0"/>
    <x v="2"/>
    <s v="Newell 331"/>
    <n v="14.67"/>
    <n v="3"/>
    <n v="3.96"/>
  </r>
  <r>
    <d v="2016-10-03T00:00:00"/>
    <x v="9"/>
    <x v="2"/>
    <x v="210"/>
    <x v="2"/>
    <x v="0"/>
    <x v="1"/>
    <s v="Avery 488"/>
    <n v="5.04"/>
    <n v="2"/>
    <n v="1.76"/>
  </r>
  <r>
    <d v="2016-10-04T00:00:00"/>
    <x v="9"/>
    <x v="2"/>
    <x v="211"/>
    <x v="13"/>
    <x v="0"/>
    <x v="4"/>
    <s v="Park Ridge Embossed Executive Business Envelopes"/>
    <n v="62.28"/>
    <n v="4"/>
    <n v="29.27"/>
  </r>
  <r>
    <d v="2016-10-05T00:00:00"/>
    <x v="9"/>
    <x v="2"/>
    <x v="92"/>
    <x v="15"/>
    <x v="1"/>
    <x v="12"/>
    <s v="Office Star - Professional Matrix Back Chair with 2-to-1 Synchro Tilt and Mesh Fabric Seat"/>
    <n v="2807.84"/>
    <n v="8"/>
    <n v="673.88"/>
  </r>
  <r>
    <d v="2016-10-06T00:00:00"/>
    <x v="9"/>
    <x v="2"/>
    <x v="208"/>
    <x v="39"/>
    <x v="2"/>
    <x v="9"/>
    <s v="Jabra Supreme Plus Driver Edition Headset"/>
    <n v="479.96"/>
    <n v="4"/>
    <n v="134.38999999999999"/>
  </r>
  <r>
    <d v="2016-10-07T00:00:00"/>
    <x v="9"/>
    <x v="2"/>
    <x v="212"/>
    <x v="13"/>
    <x v="2"/>
    <x v="9"/>
    <s v="Plantronics Voyager Pro HD - Bluetooth Headset"/>
    <n v="129.97999999999999"/>
    <n v="2"/>
    <n v="62.39"/>
  </r>
  <r>
    <d v="2016-10-09T00:00:00"/>
    <x v="9"/>
    <x v="2"/>
    <x v="9"/>
    <x v="9"/>
    <x v="0"/>
    <x v="2"/>
    <s v="Hunt BOSTON Model 1606 High-Volume Electric Pencil Sharpener, Beige"/>
    <n v="1113.02"/>
    <n v="8"/>
    <n v="111.3"/>
  </r>
  <r>
    <d v="2016-10-11T00:00:00"/>
    <x v="9"/>
    <x v="2"/>
    <x v="213"/>
    <x v="0"/>
    <x v="1"/>
    <x v="3"/>
    <s v="12-1/2 Diameter Round Wall Clock"/>
    <n v="23.98"/>
    <n v="3"/>
    <n v="-14.39"/>
  </r>
  <r>
    <d v="2016-11-06T00:00:00"/>
    <x v="10"/>
    <x v="2"/>
    <x v="214"/>
    <x v="4"/>
    <x v="0"/>
    <x v="0"/>
    <s v="Xerox 1909"/>
    <n v="105.52"/>
    <n v="4"/>
    <n v="48.54"/>
  </r>
  <r>
    <d v="2016-11-09T00:00:00"/>
    <x v="10"/>
    <x v="2"/>
    <x v="215"/>
    <x v="0"/>
    <x v="0"/>
    <x v="10"/>
    <s v="Companion Letter/Legal File, Black"/>
    <n v="60.42"/>
    <n v="2"/>
    <n v="6.04"/>
  </r>
  <r>
    <d v="2016-11-11T00:00:00"/>
    <x v="10"/>
    <x v="2"/>
    <x v="26"/>
    <x v="3"/>
    <x v="0"/>
    <x v="0"/>
    <s v="Xerox 1987"/>
    <n v="34.68"/>
    <n v="6"/>
    <n v="16.989999999999998"/>
  </r>
  <r>
    <d v="2016-11-12T00:00:00"/>
    <x v="10"/>
    <x v="2"/>
    <x v="216"/>
    <x v="3"/>
    <x v="1"/>
    <x v="14"/>
    <s v="Hon Non-Folding Utility Tables"/>
    <n v="764.69"/>
    <n v="6"/>
    <n v="95.59"/>
  </r>
  <r>
    <d v="2016-12-02T00:00:00"/>
    <x v="11"/>
    <x v="2"/>
    <x v="217"/>
    <x v="3"/>
    <x v="0"/>
    <x v="0"/>
    <s v="White GlueTop Scratch Pads"/>
    <n v="90.24"/>
    <n v="6"/>
    <n v="41.51"/>
  </r>
  <r>
    <d v="2016-12-07T00:00:00"/>
    <x v="11"/>
    <x v="2"/>
    <x v="109"/>
    <x v="0"/>
    <x v="2"/>
    <x v="9"/>
    <s v="ARKON Windshield Dashboard Air Vent Car Mount Holder"/>
    <n v="40.68"/>
    <n v="3"/>
    <n v="-9.15"/>
  </r>
  <r>
    <d v="2016-12-08T00:00:00"/>
    <x v="11"/>
    <x v="2"/>
    <x v="65"/>
    <x v="11"/>
    <x v="0"/>
    <x v="8"/>
    <s v="Avery Binder Labels"/>
    <n v="1.17"/>
    <n v="1"/>
    <n v="-0.86"/>
  </r>
  <r>
    <d v="2016-12-09T00:00:00"/>
    <x v="11"/>
    <x v="2"/>
    <x v="200"/>
    <x v="7"/>
    <x v="0"/>
    <x v="2"/>
    <s v="Stanley Contemporary Battery Pencil Sharpeners"/>
    <n v="40.049999999999997"/>
    <n v="3"/>
    <n v="11.21"/>
  </r>
  <r>
    <d v="2016-12-11T00:00:00"/>
    <x v="11"/>
    <x v="2"/>
    <x v="218"/>
    <x v="11"/>
    <x v="0"/>
    <x v="8"/>
    <s v="Insertable Tab Post Binder Dividers"/>
    <n v="4.8099999999999996"/>
    <n v="2"/>
    <n v="-3.69"/>
  </r>
  <r>
    <d v="2017-01-01T00:00:00"/>
    <x v="0"/>
    <x v="3"/>
    <x v="219"/>
    <x v="3"/>
    <x v="1"/>
    <x v="12"/>
    <s v="SAFCO Arco Folding Chair"/>
    <n v="1325.76"/>
    <n v="6"/>
    <n v="149.15"/>
  </r>
  <r>
    <d v="2017-01-09T00:00:00"/>
    <x v="0"/>
    <x v="3"/>
    <x v="220"/>
    <x v="3"/>
    <x v="0"/>
    <x v="2"/>
    <s v="Newell 332"/>
    <n v="11.76"/>
    <n v="4"/>
    <n v="3.18"/>
  </r>
  <r>
    <d v="2017-01-10T00:00:00"/>
    <x v="0"/>
    <x v="3"/>
    <x v="221"/>
    <x v="18"/>
    <x v="0"/>
    <x v="7"/>
    <s v="Belkin F9H710-06 7 Outlet SurgeMaster Surge Protector"/>
    <n v="207.24"/>
    <n v="11"/>
    <n v="58.03"/>
  </r>
  <r>
    <d v="2017-01-12T00:00:00"/>
    <x v="0"/>
    <x v="3"/>
    <x v="213"/>
    <x v="11"/>
    <x v="0"/>
    <x v="0"/>
    <s v="Xerox 1974"/>
    <n v="9.57"/>
    <n v="2"/>
    <n v="3.47"/>
  </r>
  <r>
    <d v="2017-02-01T00:00:00"/>
    <x v="1"/>
    <x v="3"/>
    <x v="222"/>
    <x v="2"/>
    <x v="0"/>
    <x v="2"/>
    <s v="Boston School Pro Electric Pencil Sharpener, 1670"/>
    <n v="99.14"/>
    <n v="4"/>
    <n v="8.67"/>
  </r>
  <r>
    <d v="2017-02-03T00:00:00"/>
    <x v="1"/>
    <x v="3"/>
    <x v="223"/>
    <x v="22"/>
    <x v="0"/>
    <x v="10"/>
    <s v="Recycled Eldon Regeneration Jumbo File"/>
    <n v="24.56"/>
    <n v="2"/>
    <n v="6.88"/>
  </r>
  <r>
    <d v="2017-02-05T00:00:00"/>
    <x v="1"/>
    <x v="3"/>
    <x v="224"/>
    <x v="14"/>
    <x v="0"/>
    <x v="2"/>
    <s v="Newell 350"/>
    <n v="9.84"/>
    <n v="3"/>
    <n v="2.85"/>
  </r>
  <r>
    <d v="2017-02-12T00:00:00"/>
    <x v="1"/>
    <x v="3"/>
    <x v="225"/>
    <x v="13"/>
    <x v="1"/>
    <x v="5"/>
    <s v="Atlantic Metals Mobile 4-Shelf Bookcases, Custom Colors"/>
    <n v="1573.49"/>
    <n v="7"/>
    <n v="196.69"/>
  </r>
  <r>
    <d v="2017-03-01T00:00:00"/>
    <x v="2"/>
    <x v="3"/>
    <x v="129"/>
    <x v="19"/>
    <x v="0"/>
    <x v="1"/>
    <s v="Avery 505"/>
    <n v="23.68"/>
    <n v="2"/>
    <n v="8.8800000000000008"/>
  </r>
  <r>
    <d v="2017-03-03T00:00:00"/>
    <x v="2"/>
    <x v="3"/>
    <x v="226"/>
    <x v="16"/>
    <x v="1"/>
    <x v="12"/>
    <s v="Global Deluxe Steno Chair"/>
    <n v="61.58"/>
    <n v="1"/>
    <n v="-6.93"/>
  </r>
  <r>
    <d v="2017-03-04T00:00:00"/>
    <x v="2"/>
    <x v="3"/>
    <x v="227"/>
    <x v="5"/>
    <x v="0"/>
    <x v="10"/>
    <s v="Dual Level, Single-Width Filing Carts"/>
    <n v="465.18"/>
    <n v="3"/>
    <n v="120.95"/>
  </r>
  <r>
    <d v="2017-03-06T00:00:00"/>
    <x v="2"/>
    <x v="3"/>
    <x v="228"/>
    <x v="3"/>
    <x v="0"/>
    <x v="8"/>
    <s v="Binding Machine Supplies"/>
    <n v="70.010000000000005"/>
    <n v="3"/>
    <n v="24.5"/>
  </r>
  <r>
    <d v="2017-03-07T00:00:00"/>
    <x v="2"/>
    <x v="3"/>
    <x v="75"/>
    <x v="1"/>
    <x v="1"/>
    <x v="3"/>
    <s v="Eldon ClusterMat Chair Mat with Cordless Antistatic Protection"/>
    <n v="254.74"/>
    <n v="7"/>
    <n v="-312.06"/>
  </r>
  <r>
    <d v="2017-03-08T00:00:00"/>
    <x v="2"/>
    <x v="3"/>
    <x v="229"/>
    <x v="35"/>
    <x v="0"/>
    <x v="0"/>
    <s v="Wirebound Service Call Books, 5 1/2&quot; x 4&quot;"/>
    <n v="29.04"/>
    <n v="3"/>
    <n v="13.94"/>
  </r>
  <r>
    <d v="2017-03-09T00:00:00"/>
    <x v="2"/>
    <x v="3"/>
    <x v="230"/>
    <x v="3"/>
    <x v="0"/>
    <x v="0"/>
    <s v="Xerox 1991"/>
    <n v="182.72"/>
    <n v="8"/>
    <n v="84.05"/>
  </r>
  <r>
    <d v="2017-03-10T00:00:00"/>
    <x v="2"/>
    <x v="3"/>
    <x v="7"/>
    <x v="19"/>
    <x v="1"/>
    <x v="12"/>
    <s v="High-Back Leather Manager's Chair"/>
    <n v="181.99"/>
    <n v="2"/>
    <n v="-54.6"/>
  </r>
  <r>
    <d v="2017-04-06T00:00:00"/>
    <x v="3"/>
    <x v="3"/>
    <x v="231"/>
    <x v="21"/>
    <x v="1"/>
    <x v="14"/>
    <s v="Chromcraft Bull-Nose Wood Oval Conference Tables &amp; Bases"/>
    <n v="4297.6400000000003"/>
    <n v="13"/>
    <n v="-1862.31"/>
  </r>
  <r>
    <d v="2017-04-11T00:00:00"/>
    <x v="3"/>
    <x v="3"/>
    <x v="232"/>
    <x v="0"/>
    <x v="0"/>
    <x v="0"/>
    <s v="Rediform Voice Mail Log Books"/>
    <n v="14.3"/>
    <n v="6"/>
    <n v="5.01"/>
  </r>
  <r>
    <d v="2017-05-03T00:00:00"/>
    <x v="4"/>
    <x v="3"/>
    <x v="233"/>
    <x v="22"/>
    <x v="0"/>
    <x v="0"/>
    <s v="Xerox 1999"/>
    <n v="12.96"/>
    <n v="2"/>
    <n v="6.22"/>
  </r>
  <r>
    <d v="2017-05-07T00:00:00"/>
    <x v="4"/>
    <x v="3"/>
    <x v="234"/>
    <x v="40"/>
    <x v="1"/>
    <x v="3"/>
    <s v="Coloredge Poster Frame"/>
    <n v="28.4"/>
    <n v="2"/>
    <n v="11.08"/>
  </r>
  <r>
    <d v="2017-05-11T00:00:00"/>
    <x v="4"/>
    <x v="3"/>
    <x v="235"/>
    <x v="4"/>
    <x v="0"/>
    <x v="4"/>
    <s v="Cameo Buff Policy Envelopes"/>
    <n v="311.14999999999998"/>
    <n v="5"/>
    <n v="146.24"/>
  </r>
  <r>
    <d v="2017-06-01T00:00:00"/>
    <x v="5"/>
    <x v="3"/>
    <x v="236"/>
    <x v="19"/>
    <x v="2"/>
    <x v="9"/>
    <s v="JBL Micro Wireless Portable Bluetooth Speaker"/>
    <n v="107.98"/>
    <n v="3"/>
    <n v="-27"/>
  </r>
  <r>
    <d v="2017-06-02T00:00:00"/>
    <x v="5"/>
    <x v="3"/>
    <x v="237"/>
    <x v="0"/>
    <x v="2"/>
    <x v="6"/>
    <s v="Memorex Micro Travel Drive 8 GB"/>
    <n v="20.8"/>
    <n v="2"/>
    <n v="6.5"/>
  </r>
  <r>
    <d v="2017-06-03T00:00:00"/>
    <x v="5"/>
    <x v="3"/>
    <x v="238"/>
    <x v="2"/>
    <x v="0"/>
    <x v="10"/>
    <s v="Eldon ProFile File 'N Store Portable File Tub Letter/Legal Size Black"/>
    <n v="77.239999999999995"/>
    <n v="5"/>
    <n v="7.72"/>
  </r>
  <r>
    <d v="2017-06-05T00:00:00"/>
    <x v="5"/>
    <x v="3"/>
    <x v="239"/>
    <x v="15"/>
    <x v="2"/>
    <x v="9"/>
    <s v="Innergie mMini Combo Duo USB Travel Charging Kit"/>
    <n v="134.97"/>
    <n v="3"/>
    <n v="64.790000000000006"/>
  </r>
  <r>
    <d v="2017-06-06T00:00:00"/>
    <x v="5"/>
    <x v="3"/>
    <x v="222"/>
    <x v="30"/>
    <x v="0"/>
    <x v="0"/>
    <s v="Xerox 1920"/>
    <n v="35.880000000000003"/>
    <n v="6"/>
    <n v="16.149999999999999"/>
  </r>
  <r>
    <d v="2017-06-10T00:00:00"/>
    <x v="5"/>
    <x v="3"/>
    <x v="240"/>
    <x v="3"/>
    <x v="0"/>
    <x v="1"/>
    <s v="Smead Alpha-Z Color-Coded Second Alphabetical Labels and Starter Set"/>
    <n v="9.24"/>
    <n v="3"/>
    <n v="4.4400000000000004"/>
  </r>
  <r>
    <d v="2017-06-11T00:00:00"/>
    <x v="5"/>
    <x v="3"/>
    <x v="116"/>
    <x v="10"/>
    <x v="2"/>
    <x v="6"/>
    <s v="Anker Ultrathin Bluetooth Wireless Keyboard Aluminum Cover with Stand"/>
    <n v="29.99"/>
    <n v="1"/>
    <n v="3"/>
  </r>
  <r>
    <d v="2017-07-07T00:00:00"/>
    <x v="6"/>
    <x v="3"/>
    <x v="241"/>
    <x v="14"/>
    <x v="0"/>
    <x v="2"/>
    <s v="Newell 34"/>
    <n v="79.36"/>
    <n v="4"/>
    <n v="20.63"/>
  </r>
  <r>
    <d v="2017-07-08T00:00:00"/>
    <x v="6"/>
    <x v="3"/>
    <x v="242"/>
    <x v="13"/>
    <x v="0"/>
    <x v="7"/>
    <s v="Hoover Portapower Portable Vacuum"/>
    <n v="26.88"/>
    <n v="6"/>
    <n v="6.72"/>
  </r>
  <r>
    <d v="2017-07-12T00:00:00"/>
    <x v="6"/>
    <x v="3"/>
    <x v="142"/>
    <x v="37"/>
    <x v="1"/>
    <x v="12"/>
    <s v="Global Low Back Tilter Chair"/>
    <n v="161.57"/>
    <n v="2"/>
    <n v="-28.27"/>
  </r>
  <r>
    <d v="2017-08-01T00:00:00"/>
    <x v="7"/>
    <x v="3"/>
    <x v="29"/>
    <x v="7"/>
    <x v="0"/>
    <x v="8"/>
    <s v="XtraLife ClearVue Slant-D Ring Binder, White, 3&quot;"/>
    <n v="58.72"/>
    <n v="4"/>
    <n v="27.01"/>
  </r>
  <r>
    <d v="2017-08-06T00:00:00"/>
    <x v="7"/>
    <x v="3"/>
    <x v="243"/>
    <x v="16"/>
    <x v="1"/>
    <x v="14"/>
    <s v="Hon Racetrack Conference Tables"/>
    <n v="787.53"/>
    <n v="3"/>
    <n v="165.38"/>
  </r>
  <r>
    <d v="2017-08-10T00:00:00"/>
    <x v="7"/>
    <x v="3"/>
    <x v="244"/>
    <x v="3"/>
    <x v="1"/>
    <x v="3"/>
    <s v="Deflect-o Glass Clear Studded Chair Mats"/>
    <n v="435.26"/>
    <n v="7"/>
    <n v="95.76"/>
  </r>
  <r>
    <d v="2017-09-04T00:00:00"/>
    <x v="8"/>
    <x v="3"/>
    <x v="245"/>
    <x v="5"/>
    <x v="2"/>
    <x v="6"/>
    <s v="Microsoft Sculpt Comfort Mouse"/>
    <n v="119.85"/>
    <n v="3"/>
    <n v="52.73"/>
  </r>
  <r>
    <d v="2017-09-10T00:00:00"/>
    <x v="8"/>
    <x v="3"/>
    <x v="115"/>
    <x v="0"/>
    <x v="2"/>
    <x v="6"/>
    <s v="Maxell 4.7GB DVD-R"/>
    <n v="113.52"/>
    <n v="5"/>
    <n v="29.8"/>
  </r>
  <r>
    <d v="2017-09-11T00:00:00"/>
    <x v="8"/>
    <x v="3"/>
    <x v="13"/>
    <x v="0"/>
    <x v="0"/>
    <x v="8"/>
    <s v="Acco Suede Grain Vinyl Round Ring Binder"/>
    <n v="1.1100000000000001"/>
    <n v="2"/>
    <n v="-1.89"/>
  </r>
  <r>
    <d v="2017-09-12T00:00:00"/>
    <x v="8"/>
    <x v="3"/>
    <x v="246"/>
    <x v="11"/>
    <x v="0"/>
    <x v="4"/>
    <s v="Convenience Packs of Business Envelopes"/>
    <n v="8.69"/>
    <n v="3"/>
    <n v="2.93"/>
  </r>
  <r>
    <d v="2017-10-03T00:00:00"/>
    <x v="9"/>
    <x v="3"/>
    <x v="247"/>
    <x v="16"/>
    <x v="1"/>
    <x v="5"/>
    <s v="Safco Value Mate Series Steel Bookcases, Baked Enamel Finish on Steel, Gray"/>
    <n v="141.96"/>
    <n v="2"/>
    <n v="39.75"/>
  </r>
  <r>
    <d v="2017-10-09T00:00:00"/>
    <x v="9"/>
    <x v="3"/>
    <x v="248"/>
    <x v="29"/>
    <x v="2"/>
    <x v="9"/>
    <s v="SmartStand Mobile Device Holder, Assorted Colors"/>
    <n v="16.78"/>
    <n v="3"/>
    <n v="1.68"/>
  </r>
  <r>
    <d v="2017-10-10T00:00:00"/>
    <x v="9"/>
    <x v="3"/>
    <x v="249"/>
    <x v="7"/>
    <x v="0"/>
    <x v="2"/>
    <s v="Rogers Handheld Barrel Pencil Sharpener"/>
    <n v="2.74"/>
    <n v="1"/>
    <n v="0.74"/>
  </r>
  <r>
    <d v="2017-10-12T00:00:00"/>
    <x v="9"/>
    <x v="3"/>
    <x v="250"/>
    <x v="13"/>
    <x v="2"/>
    <x v="6"/>
    <s v="KeyTronic KT800P2 - Keyboard - Black"/>
    <n v="15.02"/>
    <n v="1"/>
    <n v="2.7"/>
  </r>
  <r>
    <d v="2017-11-02T00:00:00"/>
    <x v="10"/>
    <x v="3"/>
    <x v="251"/>
    <x v="16"/>
    <x v="2"/>
    <x v="9"/>
    <s v="Wireless Extenders zBoost YX545 SOHO Signal Booster"/>
    <n v="453.58"/>
    <n v="3"/>
    <n v="39.69"/>
  </r>
  <r>
    <d v="2017-11-03T00:00:00"/>
    <x v="10"/>
    <x v="3"/>
    <x v="252"/>
    <x v="15"/>
    <x v="0"/>
    <x v="0"/>
    <s v="Xerox 205"/>
    <n v="51.84"/>
    <n v="8"/>
    <n v="24.88"/>
  </r>
  <r>
    <d v="2017-11-04T00:00:00"/>
    <x v="10"/>
    <x v="3"/>
    <x v="253"/>
    <x v="21"/>
    <x v="0"/>
    <x v="7"/>
    <s v="Honeywell Enviracaire Portable HEPA Air Cleaner for 17' x 22' Room"/>
    <n v="962.08"/>
    <n v="4"/>
    <n v="156.34"/>
  </r>
  <r>
    <d v="2017-11-06T00:00:00"/>
    <x v="10"/>
    <x v="3"/>
    <x v="254"/>
    <x v="0"/>
    <x v="2"/>
    <x v="6"/>
    <s v="Verbatim 25 GB 6x Blu-ray Single Layer Recordable Disc, 25/Pack"/>
    <n v="18.39"/>
    <n v="1"/>
    <n v="5.29"/>
  </r>
  <r>
    <d v="2017-11-11T00:00:00"/>
    <x v="10"/>
    <x v="3"/>
    <x v="255"/>
    <x v="1"/>
    <x v="1"/>
    <x v="5"/>
    <s v="Sauder Inglewood Library Bookcases"/>
    <n v="359.06"/>
    <n v="3"/>
    <n v="-35.909999999999997"/>
  </r>
  <r>
    <d v="2017-11-12T00:00:00"/>
    <x v="10"/>
    <x v="3"/>
    <x v="256"/>
    <x v="11"/>
    <x v="0"/>
    <x v="0"/>
    <s v="Xerox 1988"/>
    <n v="74.349999999999994"/>
    <n v="3"/>
    <n v="23.24"/>
  </r>
  <r>
    <d v="2017-12-06T00:00:00"/>
    <x v="11"/>
    <x v="3"/>
    <x v="257"/>
    <x v="16"/>
    <x v="0"/>
    <x v="10"/>
    <s v="Rogers Profile Extra Capacity Storage Tub"/>
    <n v="83.7"/>
    <n v="5"/>
    <n v="3.35"/>
  </r>
  <r>
    <d v="2017-12-07T00:00:00"/>
    <x v="11"/>
    <x v="3"/>
    <x v="258"/>
    <x v="3"/>
    <x v="2"/>
    <x v="6"/>
    <s v="Imation Bio 8GB USB Flash Drive Imation Corp"/>
    <n v="166.24"/>
    <n v="1"/>
    <n v="24.94"/>
  </r>
  <r>
    <d v="2017-12-09T00:00:00"/>
    <x v="11"/>
    <x v="3"/>
    <x v="259"/>
    <x v="11"/>
    <x v="1"/>
    <x v="12"/>
    <s v="Hon 4070 Series Pagoda Armless Upholstered Stacking Chairs"/>
    <n v="1166.92"/>
    <n v="5"/>
    <n v="131.28"/>
  </r>
  <r>
    <d v="2017-12-10T00:00:00"/>
    <x v="11"/>
    <x v="3"/>
    <x v="260"/>
    <x v="11"/>
    <x v="2"/>
    <x v="9"/>
    <s v="PureGear Roll-On Screen Protector"/>
    <n v="79.959999999999994"/>
    <n v="5"/>
    <n v="27.99"/>
  </r>
  <r>
    <d v="2014-01-13T00:00:00"/>
    <x v="0"/>
    <x v="0"/>
    <x v="261"/>
    <x v="0"/>
    <x v="0"/>
    <x v="7"/>
    <s v="APC 7 Outlet Network SurgeArrest Surge Protector"/>
    <n v="32.19"/>
    <n v="2"/>
    <n v="-80.48"/>
  </r>
  <r>
    <d v="2015-01-13T00:00:00"/>
    <x v="0"/>
    <x v="1"/>
    <x v="262"/>
    <x v="37"/>
    <x v="0"/>
    <x v="8"/>
    <s v="GBC DocuBind 300 Electric Binding Machine"/>
    <n v="157.79"/>
    <n v="1"/>
    <n v="-115.72"/>
  </r>
  <r>
    <d v="2015-03-13T00:00:00"/>
    <x v="2"/>
    <x v="1"/>
    <x v="77"/>
    <x v="0"/>
    <x v="0"/>
    <x v="7"/>
    <s v="Hoover Upright Vacuum With Dirt Cup"/>
    <n v="463.25"/>
    <n v="8"/>
    <n v="-1181.28"/>
  </r>
  <r>
    <d v="2016-03-13T00:00:00"/>
    <x v="2"/>
    <x v="2"/>
    <x v="64"/>
    <x v="3"/>
    <x v="1"/>
    <x v="14"/>
    <s v="Laminate Occasional Tables"/>
    <n v="369.91"/>
    <n v="3"/>
    <n v="-13.87"/>
  </r>
  <r>
    <d v="2017-03-13T00:00:00"/>
    <x v="2"/>
    <x v="3"/>
    <x v="263"/>
    <x v="16"/>
    <x v="0"/>
    <x v="10"/>
    <s v="Rogers Jumbo File, Granite"/>
    <n v="40.74"/>
    <n v="3"/>
    <n v="0.41"/>
  </r>
  <r>
    <d v="2014-04-13T00:00:00"/>
    <x v="3"/>
    <x v="0"/>
    <x v="183"/>
    <x v="3"/>
    <x v="2"/>
    <x v="6"/>
    <s v="Plantronics Audio 478 Stereo USB Headset"/>
    <n v="199.96"/>
    <n v="4"/>
    <n v="69.989999999999995"/>
  </r>
  <r>
    <d v="2015-04-13T00:00:00"/>
    <x v="3"/>
    <x v="1"/>
    <x v="264"/>
    <x v="8"/>
    <x v="0"/>
    <x v="7"/>
    <s v="Acco Smartsocket Color-Coded Six-Outlet AC Adapter Model Surge Protectors"/>
    <n v="35.21"/>
    <n v="1"/>
    <n v="2.64"/>
  </r>
  <r>
    <d v="2014-05-13T00:00:00"/>
    <x v="4"/>
    <x v="0"/>
    <x v="195"/>
    <x v="3"/>
    <x v="0"/>
    <x v="2"/>
    <s v="Prang Drawing Pencil Set"/>
    <n v="5.56"/>
    <n v="2"/>
    <n v="2.2200000000000002"/>
  </r>
  <r>
    <d v="2015-06-13T00:00:00"/>
    <x v="5"/>
    <x v="1"/>
    <x v="81"/>
    <x v="0"/>
    <x v="0"/>
    <x v="7"/>
    <s v="Fellowes Premier Superior Surge Suppressor, 10-Outlet, With Phone and Remote"/>
    <n v="19.57"/>
    <n v="2"/>
    <n v="-52.83"/>
  </r>
  <r>
    <d v="2016-06-13T00:00:00"/>
    <x v="5"/>
    <x v="2"/>
    <x v="265"/>
    <x v="27"/>
    <x v="1"/>
    <x v="12"/>
    <s v="Global Deluxe Office Fabric Chairs"/>
    <n v="191.96"/>
    <n v="2"/>
    <n v="51.83"/>
  </r>
  <r>
    <d v="2014-07-13T00:00:00"/>
    <x v="6"/>
    <x v="0"/>
    <x v="24"/>
    <x v="13"/>
    <x v="0"/>
    <x v="2"/>
    <s v="BOSTON Ranger #55 Pencil Sharpener, Black"/>
    <n v="25.99"/>
    <n v="1"/>
    <n v="7.54"/>
  </r>
  <r>
    <d v="2015-07-13T00:00:00"/>
    <x v="6"/>
    <x v="1"/>
    <x v="266"/>
    <x v="3"/>
    <x v="0"/>
    <x v="8"/>
    <s v="Fellowes Black Plastic Comb Bindings"/>
    <n v="13.94"/>
    <n v="3"/>
    <n v="4.53"/>
  </r>
  <r>
    <d v="2017-07-13T00:00:00"/>
    <x v="6"/>
    <x v="3"/>
    <x v="176"/>
    <x v="0"/>
    <x v="0"/>
    <x v="7"/>
    <s v="Holmes Odor Grabber"/>
    <n v="8.65"/>
    <n v="3"/>
    <n v="-20.329999999999998"/>
  </r>
  <r>
    <d v="2015-08-13T00:00:00"/>
    <x v="7"/>
    <x v="1"/>
    <x v="267"/>
    <x v="2"/>
    <x v="0"/>
    <x v="0"/>
    <s v="Xerox 1949"/>
    <n v="7.97"/>
    <n v="2"/>
    <n v="2.89"/>
  </r>
  <r>
    <d v="2016-08-13T00:00:00"/>
    <x v="7"/>
    <x v="2"/>
    <x v="66"/>
    <x v="1"/>
    <x v="1"/>
    <x v="12"/>
    <s v="Global Value Mid-Back Manager's Chair, Gray"/>
    <n v="213.12"/>
    <n v="5"/>
    <n v="-15.22"/>
  </r>
  <r>
    <d v="2014-09-13T00:00:00"/>
    <x v="8"/>
    <x v="0"/>
    <x v="166"/>
    <x v="3"/>
    <x v="2"/>
    <x v="9"/>
    <s v="OtterBox Defender Series Case - iPhone 5c"/>
    <n v="88.75"/>
    <n v="3"/>
    <n v="11.09"/>
  </r>
  <r>
    <d v="2017-09-13T00:00:00"/>
    <x v="8"/>
    <x v="3"/>
    <x v="268"/>
    <x v="0"/>
    <x v="0"/>
    <x v="1"/>
    <s v="Avery 501"/>
    <n v="8.86"/>
    <n v="3"/>
    <n v="2.99"/>
  </r>
  <r>
    <d v="2014-10-13T00:00:00"/>
    <x v="9"/>
    <x v="0"/>
    <x v="186"/>
    <x v="13"/>
    <x v="1"/>
    <x v="3"/>
    <s v="Electrix 20W Halogen Replacement Bulb for Zoom-In Desk Lamp"/>
    <n v="26.8"/>
    <n v="2"/>
    <n v="12.86"/>
  </r>
  <r>
    <d v="2015-11-13T00:00:00"/>
    <x v="10"/>
    <x v="1"/>
    <x v="269"/>
    <x v="0"/>
    <x v="1"/>
    <x v="14"/>
    <s v="Chromcraft Round Conference Tables"/>
    <n v="244.01"/>
    <n v="2"/>
    <n v="-31.37"/>
  </r>
  <r>
    <d v="2016-11-13T00:00:00"/>
    <x v="10"/>
    <x v="2"/>
    <x v="270"/>
    <x v="19"/>
    <x v="1"/>
    <x v="3"/>
    <s v="Eldon Regeneration Recycled Desk Accessories, Smoke"/>
    <n v="8.35"/>
    <n v="6"/>
    <n v="1.25"/>
  </r>
  <r>
    <d v="2014-12-13T00:00:00"/>
    <x v="11"/>
    <x v="0"/>
    <x v="271"/>
    <x v="27"/>
    <x v="0"/>
    <x v="8"/>
    <s v="Acco Flexible ACCOHIDE Square Ring Data Binder, Dark Blue, 11 1/2&quot; X 14&quot; 7/8&quot;"/>
    <n v="48.81"/>
    <n v="3"/>
    <n v="23.92"/>
  </r>
  <r>
    <d v="2014-01-14T00:00:00"/>
    <x v="0"/>
    <x v="0"/>
    <x v="255"/>
    <x v="1"/>
    <x v="0"/>
    <x v="7"/>
    <s v="Tripp Lite Isotel 8 Ultra 8 Outlet Metal Surge"/>
    <n v="70.97"/>
    <n v="5"/>
    <n v="-191.62"/>
  </r>
  <r>
    <d v="2016-01-14T00:00:00"/>
    <x v="0"/>
    <x v="2"/>
    <x v="66"/>
    <x v="9"/>
    <x v="1"/>
    <x v="12"/>
    <s v="Global Chrome Stack Chair"/>
    <n v="191.97"/>
    <n v="7"/>
    <n v="16.8"/>
  </r>
  <r>
    <d v="2014-02-14T00:00:00"/>
    <x v="1"/>
    <x v="0"/>
    <x v="272"/>
    <x v="3"/>
    <x v="0"/>
    <x v="0"/>
    <s v="Xerox 1962"/>
    <n v="12.84"/>
    <n v="3"/>
    <n v="5.78"/>
  </r>
  <r>
    <d v="2016-03-14T00:00:00"/>
    <x v="2"/>
    <x v="2"/>
    <x v="273"/>
    <x v="7"/>
    <x v="0"/>
    <x v="4"/>
    <s v="Wausau Papers Astrobrights Colored Envelopes"/>
    <n v="17.940000000000001"/>
    <n v="3"/>
    <n v="8.7899999999999991"/>
  </r>
  <r>
    <d v="2015-04-14T00:00:00"/>
    <x v="3"/>
    <x v="1"/>
    <x v="60"/>
    <x v="11"/>
    <x v="2"/>
    <x v="6"/>
    <s v="Razer Kraken PRO Over Ear PC and Music Headset"/>
    <n v="255.97"/>
    <n v="4"/>
    <n v="32"/>
  </r>
  <r>
    <d v="2014-05-14T00:00:00"/>
    <x v="4"/>
    <x v="0"/>
    <x v="6"/>
    <x v="3"/>
    <x v="0"/>
    <x v="0"/>
    <s v="Wirebound Message Book, 4 per Page"/>
    <n v="10.86"/>
    <n v="2"/>
    <n v="5.32"/>
  </r>
  <r>
    <d v="2016-05-14T00:00:00"/>
    <x v="4"/>
    <x v="2"/>
    <x v="274"/>
    <x v="21"/>
    <x v="1"/>
    <x v="3"/>
    <s v="Dana Fluorescent Magnifying Lamp, White, 36&quot;"/>
    <n v="163.13999999999999"/>
    <n v="4"/>
    <n v="20.39"/>
  </r>
  <r>
    <d v="2014-06-14T00:00:00"/>
    <x v="5"/>
    <x v="0"/>
    <x v="112"/>
    <x v="1"/>
    <x v="0"/>
    <x v="7"/>
    <s v="Fellowes Basic Home/Office Series Surge Protectors"/>
    <n v="20.77"/>
    <n v="8"/>
    <n v="-52.96"/>
  </r>
  <r>
    <d v="2015-06-14T00:00:00"/>
    <x v="5"/>
    <x v="1"/>
    <x v="275"/>
    <x v="3"/>
    <x v="0"/>
    <x v="1"/>
    <s v="Avery 476"/>
    <n v="8.26"/>
    <n v="2"/>
    <n v="3.8"/>
  </r>
  <r>
    <d v="2016-06-14T00:00:00"/>
    <x v="5"/>
    <x v="2"/>
    <x v="276"/>
    <x v="31"/>
    <x v="0"/>
    <x v="7"/>
    <s v="Kensington 4 Outlet MasterPiece Compact Power Control Center"/>
    <n v="845.73"/>
    <n v="13"/>
    <n v="84.57"/>
  </r>
  <r>
    <d v="2014-07-14T00:00:00"/>
    <x v="6"/>
    <x v="0"/>
    <x v="277"/>
    <x v="16"/>
    <x v="0"/>
    <x v="2"/>
    <s v="Newell 311"/>
    <n v="6.63"/>
    <n v="3"/>
    <n v="1.79"/>
  </r>
  <r>
    <d v="2015-07-14T00:00:00"/>
    <x v="6"/>
    <x v="1"/>
    <x v="244"/>
    <x v="16"/>
    <x v="0"/>
    <x v="0"/>
    <s v="Xerox 1894"/>
    <n v="32.4"/>
    <n v="5"/>
    <n v="15.55"/>
  </r>
  <r>
    <d v="2016-07-14T00:00:00"/>
    <x v="6"/>
    <x v="2"/>
    <x v="278"/>
    <x v="13"/>
    <x v="2"/>
    <x v="9"/>
    <s v="RCA H5401RE1 DECT 6.0 4-Line Cordless Handset With Caller ID/Call Waiting"/>
    <n v="239.97"/>
    <n v="3"/>
    <n v="2.4"/>
  </r>
  <r>
    <d v="2016-08-14T00:00:00"/>
    <x v="7"/>
    <x v="2"/>
    <x v="279"/>
    <x v="3"/>
    <x v="0"/>
    <x v="0"/>
    <s v="Southworth 25% Cotton Antique Laid Paper &amp; Envelopes"/>
    <n v="58.38"/>
    <n v="7"/>
    <n v="26.27"/>
  </r>
  <r>
    <d v="2014-09-14T00:00:00"/>
    <x v="8"/>
    <x v="0"/>
    <x v="122"/>
    <x v="0"/>
    <x v="0"/>
    <x v="8"/>
    <s v="Avery Poly Binder Pockets"/>
    <n v="5.73"/>
    <n v="8"/>
    <n v="-9.16"/>
  </r>
  <r>
    <d v="2015-09-14T00:00:00"/>
    <x v="8"/>
    <x v="1"/>
    <x v="246"/>
    <x v="13"/>
    <x v="1"/>
    <x v="12"/>
    <s v="Hon Every-Day Series Multi-Task Chairs"/>
    <n v="1522.64"/>
    <n v="9"/>
    <n v="169.18"/>
  </r>
  <r>
    <d v="2014-10-14T00:00:00"/>
    <x v="9"/>
    <x v="0"/>
    <x v="280"/>
    <x v="3"/>
    <x v="0"/>
    <x v="8"/>
    <s v="3-ring staple pack"/>
    <n v="7.52"/>
    <n v="5"/>
    <n v="2.63"/>
  </r>
  <r>
    <d v="2016-10-14T00:00:00"/>
    <x v="9"/>
    <x v="2"/>
    <x v="168"/>
    <x v="4"/>
    <x v="0"/>
    <x v="8"/>
    <s v="Vinyl Sectional Post Binders"/>
    <n v="113.1"/>
    <n v="3"/>
    <n v="56.55"/>
  </r>
  <r>
    <d v="2014-11-14T00:00:00"/>
    <x v="10"/>
    <x v="0"/>
    <x v="281"/>
    <x v="6"/>
    <x v="2"/>
    <x v="6"/>
    <s v="Kingston Digital DataTraveler 16GB USB 2.0"/>
    <n v="53.7"/>
    <n v="6"/>
    <n v="10.199999999999999"/>
  </r>
  <r>
    <d v="2015-11-14T00:00:00"/>
    <x v="10"/>
    <x v="1"/>
    <x v="282"/>
    <x v="3"/>
    <x v="0"/>
    <x v="8"/>
    <s v="Aluminum Screw Posts"/>
    <n v="36.619999999999997"/>
    <n v="3"/>
    <n v="13.73"/>
  </r>
  <r>
    <d v="2016-11-14T00:00:00"/>
    <x v="10"/>
    <x v="2"/>
    <x v="283"/>
    <x v="2"/>
    <x v="1"/>
    <x v="3"/>
    <s v="Eldon Expressions Punched Metal &amp; Wood Desk Accessories, Pewter &amp; Cherry"/>
    <n v="51.07"/>
    <n v="6"/>
    <n v="5.1100000000000003"/>
  </r>
  <r>
    <d v="2016-12-14T00:00:00"/>
    <x v="11"/>
    <x v="2"/>
    <x v="228"/>
    <x v="2"/>
    <x v="0"/>
    <x v="4"/>
    <s v="Peel &amp; Seel Envelopes"/>
    <n v="6.21"/>
    <n v="2"/>
    <n v="2.17"/>
  </r>
  <r>
    <d v="2017-12-14T00:00:00"/>
    <x v="11"/>
    <x v="3"/>
    <x v="284"/>
    <x v="3"/>
    <x v="1"/>
    <x v="3"/>
    <s v="Eldon 200 Class Desk Accessories"/>
    <n v="12.56"/>
    <n v="2"/>
    <n v="4.0199999999999996"/>
  </r>
  <r>
    <d v="2014-01-15T00:00:00"/>
    <x v="0"/>
    <x v="0"/>
    <x v="285"/>
    <x v="3"/>
    <x v="1"/>
    <x v="3"/>
    <s v="Howard Miller 13&quot; Diameter Pewter Finish Round Wall Clock"/>
    <n v="257.64"/>
    <n v="6"/>
    <n v="100.48"/>
  </r>
  <r>
    <d v="2016-01-15T00:00:00"/>
    <x v="0"/>
    <x v="2"/>
    <x v="286"/>
    <x v="16"/>
    <x v="2"/>
    <x v="9"/>
    <s v="Pyle PRT45 Retro Home Telephone"/>
    <n v="201.57"/>
    <n v="4"/>
    <n v="22.68"/>
  </r>
  <r>
    <d v="2017-01-15T00:00:00"/>
    <x v="0"/>
    <x v="3"/>
    <x v="287"/>
    <x v="2"/>
    <x v="0"/>
    <x v="0"/>
    <s v="Xerox 211"/>
    <n v="31.1"/>
    <n v="6"/>
    <n v="10.89"/>
  </r>
  <r>
    <d v="2014-02-15T00:00:00"/>
    <x v="1"/>
    <x v="0"/>
    <x v="288"/>
    <x v="14"/>
    <x v="2"/>
    <x v="6"/>
    <s v="Sony 32GB Class 10 Micro SDHC R40 Memory Card"/>
    <n v="41.9"/>
    <n v="2"/>
    <n v="8.8000000000000007"/>
  </r>
  <r>
    <d v="2015-02-15T00:00:00"/>
    <x v="1"/>
    <x v="1"/>
    <x v="289"/>
    <x v="0"/>
    <x v="0"/>
    <x v="7"/>
    <s v="Belkin 8 Outlet Surge Protector"/>
    <n v="32.78"/>
    <n v="4"/>
    <n v="-85.24"/>
  </r>
  <r>
    <d v="2016-02-15T00:00:00"/>
    <x v="1"/>
    <x v="2"/>
    <x v="290"/>
    <x v="27"/>
    <x v="1"/>
    <x v="12"/>
    <s v="Novimex High-Tech Fabric Mesh Task Chair"/>
    <n v="70.98"/>
    <n v="1"/>
    <n v="4.97"/>
  </r>
  <r>
    <d v="2014-03-15T00:00:00"/>
    <x v="2"/>
    <x v="0"/>
    <x v="291"/>
    <x v="15"/>
    <x v="2"/>
    <x v="9"/>
    <s v="Mitel MiVoice 5330e IP Phone"/>
    <n v="1099.96"/>
    <n v="4"/>
    <n v="285.99"/>
  </r>
  <r>
    <d v="2015-03-15T00:00:00"/>
    <x v="2"/>
    <x v="1"/>
    <x v="292"/>
    <x v="13"/>
    <x v="1"/>
    <x v="3"/>
    <s v="G.E. Halogen Desk Lamp Bulbs"/>
    <n v="13.96"/>
    <n v="2"/>
    <n v="6.7"/>
  </r>
  <r>
    <d v="2016-03-15T00:00:00"/>
    <x v="2"/>
    <x v="2"/>
    <x v="270"/>
    <x v="28"/>
    <x v="0"/>
    <x v="0"/>
    <s v="Tops Wirebound Message Log Books"/>
    <n v="6.58"/>
    <n v="2"/>
    <n v="3.03"/>
  </r>
  <r>
    <d v="2014-04-15T00:00:00"/>
    <x v="3"/>
    <x v="0"/>
    <x v="121"/>
    <x v="9"/>
    <x v="0"/>
    <x v="8"/>
    <s v="Accohide Poly Flexible Ring Binders"/>
    <n v="3.37"/>
    <n v="3"/>
    <n v="-2.2400000000000002"/>
  </r>
  <r>
    <d v="2016-04-15T00:00:00"/>
    <x v="3"/>
    <x v="2"/>
    <x v="293"/>
    <x v="2"/>
    <x v="1"/>
    <x v="3"/>
    <s v="Howard Miller 13-3/4&quot; Diameter Brushed Chrome Round Wall Clock"/>
    <n v="289.8"/>
    <n v="7"/>
    <n v="36.229999999999997"/>
  </r>
  <r>
    <d v="2015-05-15T00:00:00"/>
    <x v="4"/>
    <x v="1"/>
    <x v="294"/>
    <x v="13"/>
    <x v="0"/>
    <x v="8"/>
    <s v="GBC Plastic Binding Combs"/>
    <n v="11.81"/>
    <n v="2"/>
    <n v="4.28"/>
  </r>
  <r>
    <d v="2016-05-15T00:00:00"/>
    <x v="4"/>
    <x v="2"/>
    <x v="295"/>
    <x v="9"/>
    <x v="0"/>
    <x v="10"/>
    <s v="SAFCO Boltless Steel Shelving"/>
    <n v="272.74"/>
    <n v="3"/>
    <n v="-64.77"/>
  </r>
  <r>
    <d v="2014-06-15T00:00:00"/>
    <x v="5"/>
    <x v="0"/>
    <x v="280"/>
    <x v="3"/>
    <x v="1"/>
    <x v="12"/>
    <s v="Hon 2090 Pillow Soft Series Mid Back Swivel/Tilt Chairs"/>
    <n v="1348.7"/>
    <n v="6"/>
    <n v="-219.16"/>
  </r>
  <r>
    <d v="2016-06-15T00:00:00"/>
    <x v="5"/>
    <x v="2"/>
    <x v="296"/>
    <x v="3"/>
    <x v="1"/>
    <x v="5"/>
    <s v="Sauder Camden County Collection Libraries, Planked Cherry Finish"/>
    <n v="195.47"/>
    <n v="2"/>
    <n v="-13.8"/>
  </r>
  <r>
    <d v="2017-06-15T00:00:00"/>
    <x v="5"/>
    <x v="3"/>
    <x v="144"/>
    <x v="3"/>
    <x v="2"/>
    <x v="6"/>
    <s v="Logitech G35 7.1-Channel Surround Sound Headset"/>
    <n v="519.96"/>
    <n v="4"/>
    <n v="176.79"/>
  </r>
  <r>
    <d v="2014-07-15T00:00:00"/>
    <x v="6"/>
    <x v="0"/>
    <x v="297"/>
    <x v="9"/>
    <x v="0"/>
    <x v="8"/>
    <s v="Wilson Jones DublLock D-Ring Binders"/>
    <n v="2.0299999999999998"/>
    <n v="1"/>
    <n v="-1.35"/>
  </r>
  <r>
    <d v="2016-07-15T00:00:00"/>
    <x v="6"/>
    <x v="2"/>
    <x v="298"/>
    <x v="18"/>
    <x v="0"/>
    <x v="10"/>
    <s v="Multi-Use Personal File Cart and Caster Set, Three Stacking Bins"/>
    <n v="34.76"/>
    <n v="1"/>
    <n v="9.73"/>
  </r>
  <r>
    <d v="2014-08-15T00:00:00"/>
    <x v="7"/>
    <x v="0"/>
    <x v="299"/>
    <x v="2"/>
    <x v="0"/>
    <x v="8"/>
    <s v="GBC Premium Transparent Covers with Diagonal Lined Pattern"/>
    <n v="25.18"/>
    <n v="4"/>
    <n v="-18.46"/>
  </r>
  <r>
    <d v="2015-08-15T00:00:00"/>
    <x v="7"/>
    <x v="1"/>
    <x v="117"/>
    <x v="9"/>
    <x v="1"/>
    <x v="14"/>
    <s v="Bevis Boat-Shaped Conference Table"/>
    <n v="393.17"/>
    <n v="3"/>
    <n v="-204.45"/>
  </r>
  <r>
    <d v="2016-08-15T00:00:00"/>
    <x v="7"/>
    <x v="2"/>
    <x v="81"/>
    <x v="27"/>
    <x v="2"/>
    <x v="9"/>
    <s v="Mediabridge Sport Armband iPhone 5s"/>
    <n v="29.97"/>
    <n v="3"/>
    <n v="0.3"/>
  </r>
  <r>
    <d v="2014-09-15T00:00:00"/>
    <x v="8"/>
    <x v="0"/>
    <x v="153"/>
    <x v="13"/>
    <x v="2"/>
    <x v="6"/>
    <s v="Plantronics CS510 - Over-the-Head monaural Wireless Headset System"/>
    <n v="2309.65"/>
    <n v="7"/>
    <n v="762.18"/>
  </r>
  <r>
    <d v="2016-09-15T00:00:00"/>
    <x v="8"/>
    <x v="2"/>
    <x v="300"/>
    <x v="3"/>
    <x v="0"/>
    <x v="2"/>
    <s v="Prang Dustless Chalk Sticks"/>
    <n v="6.72"/>
    <n v="4"/>
    <n v="3.36"/>
  </r>
  <r>
    <d v="2017-09-15T00:00:00"/>
    <x v="8"/>
    <x v="3"/>
    <x v="210"/>
    <x v="16"/>
    <x v="0"/>
    <x v="8"/>
    <s v="Ibico Presentation Index for Binding Systems"/>
    <n v="6.37"/>
    <n v="2"/>
    <n v="2.15"/>
  </r>
  <r>
    <d v="2014-10-15T00:00:00"/>
    <x v="9"/>
    <x v="0"/>
    <x v="273"/>
    <x v="0"/>
    <x v="0"/>
    <x v="10"/>
    <s v="Perma STOR-ALL Hanging File Box, 13 1/8&quot;W x 12 1/4&quot;D x 10 1/2&quot;H"/>
    <n v="33.49"/>
    <n v="7"/>
    <n v="-1.26"/>
  </r>
  <r>
    <d v="2015-10-15T00:00:00"/>
    <x v="9"/>
    <x v="1"/>
    <x v="237"/>
    <x v="0"/>
    <x v="0"/>
    <x v="0"/>
    <s v="Xerox 188"/>
    <n v="27.22"/>
    <n v="3"/>
    <n v="9.8699999999999992"/>
  </r>
  <r>
    <d v="2016-10-15T00:00:00"/>
    <x v="9"/>
    <x v="2"/>
    <x v="301"/>
    <x v="3"/>
    <x v="0"/>
    <x v="8"/>
    <s v="ACCOHIDE 3-Ring Binder, Blue, 1&quot;"/>
    <n v="6.61"/>
    <n v="2"/>
    <n v="2.23"/>
  </r>
  <r>
    <d v="2017-10-15T00:00:00"/>
    <x v="9"/>
    <x v="3"/>
    <x v="302"/>
    <x v="14"/>
    <x v="0"/>
    <x v="2"/>
    <s v="Sanford Uni-Blazer View Highlighters, Chisel Tip, Yellow"/>
    <n v="2.2000000000000002"/>
    <n v="1"/>
    <n v="0.97"/>
  </r>
  <r>
    <d v="2014-11-15T00:00:00"/>
    <x v="10"/>
    <x v="0"/>
    <x v="303"/>
    <x v="3"/>
    <x v="0"/>
    <x v="2"/>
    <s v="50 Colored Long Pencils"/>
    <n v="50.8"/>
    <n v="5"/>
    <n v="13.21"/>
  </r>
  <r>
    <d v="2016-11-15T00:00:00"/>
    <x v="10"/>
    <x v="2"/>
    <x v="304"/>
    <x v="3"/>
    <x v="0"/>
    <x v="10"/>
    <s v="Fellowes Super Stor/Drawer Files"/>
    <n v="323.10000000000002"/>
    <n v="2"/>
    <n v="61.39"/>
  </r>
  <r>
    <d v="2017-11-15T00:00:00"/>
    <x v="10"/>
    <x v="3"/>
    <x v="305"/>
    <x v="9"/>
    <x v="0"/>
    <x v="2"/>
    <s v="Newell 346"/>
    <n v="2.2999999999999998"/>
    <n v="1"/>
    <n v="0.26"/>
  </r>
  <r>
    <d v="2014-12-15T00:00:00"/>
    <x v="11"/>
    <x v="0"/>
    <x v="306"/>
    <x v="28"/>
    <x v="0"/>
    <x v="8"/>
    <s v="Wilson Jones Snap Scratch Pad Binder Tool for Ring Binders"/>
    <n v="52.2"/>
    <n v="9"/>
    <n v="23.49"/>
  </r>
  <r>
    <d v="2017-12-15T00:00:00"/>
    <x v="11"/>
    <x v="3"/>
    <x v="141"/>
    <x v="3"/>
    <x v="1"/>
    <x v="12"/>
    <s v="Hon GuestStacker Chair"/>
    <n v="544.01"/>
    <n v="3"/>
    <n v="40.799999999999997"/>
  </r>
  <r>
    <d v="2014-01-16T00:00:00"/>
    <x v="0"/>
    <x v="0"/>
    <x v="307"/>
    <x v="13"/>
    <x v="0"/>
    <x v="8"/>
    <s v="Avery 3 1/2&quot; Diskette Storage Pages, 10/Pack"/>
    <n v="50.11"/>
    <n v="6"/>
    <n v="16.29"/>
  </r>
  <r>
    <d v="2014-02-16T00:00:00"/>
    <x v="1"/>
    <x v="0"/>
    <x v="308"/>
    <x v="1"/>
    <x v="0"/>
    <x v="16"/>
    <s v="Acme Tagit Stainless Steel Antibacterial Scissors"/>
    <n v="31.68"/>
    <n v="4"/>
    <n v="2.77"/>
  </r>
  <r>
    <d v="2015-02-16T00:00:00"/>
    <x v="1"/>
    <x v="1"/>
    <x v="309"/>
    <x v="14"/>
    <x v="2"/>
    <x v="9"/>
    <s v="Samsung Rugby III"/>
    <n v="131.97999999999999"/>
    <n v="2"/>
    <n v="35.630000000000003"/>
  </r>
  <r>
    <d v="2016-02-16T00:00:00"/>
    <x v="1"/>
    <x v="2"/>
    <x v="310"/>
    <x v="3"/>
    <x v="0"/>
    <x v="8"/>
    <s v="Storex Dura Pro Binders"/>
    <n v="4.75"/>
    <n v="1"/>
    <n v="1.6"/>
  </r>
  <r>
    <d v="2017-02-16T00:00:00"/>
    <x v="1"/>
    <x v="3"/>
    <x v="311"/>
    <x v="21"/>
    <x v="0"/>
    <x v="4"/>
    <s v="Jet-Pak Recycled Peel 'N' Seal Padded Mailers"/>
    <n v="200.98"/>
    <n v="7"/>
    <n v="62.81"/>
  </r>
  <r>
    <d v="2014-03-16T00:00:00"/>
    <x v="2"/>
    <x v="0"/>
    <x v="312"/>
    <x v="7"/>
    <x v="0"/>
    <x v="0"/>
    <s v="Xerox 1908"/>
    <n v="279.89999999999998"/>
    <n v="5"/>
    <n v="137.15"/>
  </r>
  <r>
    <d v="2015-03-16T00:00:00"/>
    <x v="2"/>
    <x v="1"/>
    <x v="135"/>
    <x v="3"/>
    <x v="1"/>
    <x v="5"/>
    <s v="Sauder Camden County Barrister Bookcase, Planked Cherry Finish"/>
    <n v="411.33"/>
    <n v="4"/>
    <n v="-4.84"/>
  </r>
  <r>
    <d v="2015-05-16T00:00:00"/>
    <x v="4"/>
    <x v="1"/>
    <x v="313"/>
    <x v="3"/>
    <x v="0"/>
    <x v="0"/>
    <s v="Xerox 1928"/>
    <n v="26.4"/>
    <n v="5"/>
    <n v="11.88"/>
  </r>
  <r>
    <d v="2017-05-16T00:00:00"/>
    <x v="4"/>
    <x v="3"/>
    <x v="314"/>
    <x v="3"/>
    <x v="0"/>
    <x v="16"/>
    <s v="Martin-Yale Premier Letter Opener"/>
    <n v="51.52"/>
    <n v="4"/>
    <n v="1.55"/>
  </r>
  <r>
    <d v="2015-06-16T00:00:00"/>
    <x v="5"/>
    <x v="1"/>
    <x v="99"/>
    <x v="3"/>
    <x v="0"/>
    <x v="2"/>
    <s v="Boston 19500 Mighty Mite Electric Pencil Sharpener"/>
    <n v="181.35"/>
    <n v="9"/>
    <n v="48.96"/>
  </r>
  <r>
    <d v="2016-06-16T00:00:00"/>
    <x v="5"/>
    <x v="2"/>
    <x v="83"/>
    <x v="13"/>
    <x v="2"/>
    <x v="15"/>
    <s v="Hewlett Packard 310 Color Digital Copier"/>
    <n v="479.98"/>
    <n v="2"/>
    <n v="60"/>
  </r>
  <r>
    <d v="2015-07-16T00:00:00"/>
    <x v="6"/>
    <x v="1"/>
    <x v="315"/>
    <x v="29"/>
    <x v="1"/>
    <x v="14"/>
    <s v="Lesro Round Back Collection Coffee Table, End Table"/>
    <n v="912.75"/>
    <n v="5"/>
    <n v="118.66"/>
  </r>
  <r>
    <d v="2014-08-16T00:00:00"/>
    <x v="7"/>
    <x v="0"/>
    <x v="316"/>
    <x v="2"/>
    <x v="1"/>
    <x v="5"/>
    <s v="Riverside Palais Royal Lawyers Bookcase, Royale Cherry Finish"/>
    <n v="3083.43"/>
    <n v="7"/>
    <n v="-1665.05"/>
  </r>
  <r>
    <d v="2015-08-16T00:00:00"/>
    <x v="7"/>
    <x v="1"/>
    <x v="317"/>
    <x v="3"/>
    <x v="0"/>
    <x v="0"/>
    <s v="Personal Creations Ink Jet Cards and Labels"/>
    <n v="160.72"/>
    <n v="14"/>
    <n v="78.75"/>
  </r>
  <r>
    <d v="2014-09-16T00:00:00"/>
    <x v="8"/>
    <x v="0"/>
    <x v="84"/>
    <x v="28"/>
    <x v="0"/>
    <x v="8"/>
    <s v="GBC Standard Plastic Binding Systems' Combs"/>
    <n v="37.68"/>
    <n v="6"/>
    <n v="16.96"/>
  </r>
  <r>
    <d v="2017-09-16T00:00:00"/>
    <x v="8"/>
    <x v="3"/>
    <x v="318"/>
    <x v="0"/>
    <x v="2"/>
    <x v="9"/>
    <s v="ShoreTel ShorePhone IP 230 VoIP phone"/>
    <n v="946.34"/>
    <n v="7"/>
    <n v="118.29"/>
  </r>
  <r>
    <d v="2014-10-16T00:00:00"/>
    <x v="9"/>
    <x v="0"/>
    <x v="303"/>
    <x v="2"/>
    <x v="0"/>
    <x v="2"/>
    <s v="Newell 320"/>
    <n v="6.85"/>
    <n v="2"/>
    <n v="0.6"/>
  </r>
  <r>
    <d v="2014-11-16T00:00:00"/>
    <x v="10"/>
    <x v="0"/>
    <x v="197"/>
    <x v="29"/>
    <x v="1"/>
    <x v="14"/>
    <s v="Bretford CR4500 Series Slim Rectangular Table"/>
    <n v="1044.6300000000001"/>
    <n v="3"/>
    <n v="240.26"/>
  </r>
  <r>
    <d v="2015-11-16T00:00:00"/>
    <x v="10"/>
    <x v="1"/>
    <x v="99"/>
    <x v="0"/>
    <x v="0"/>
    <x v="8"/>
    <s v="Round Ring Binders"/>
    <n v="2.08"/>
    <n v="5"/>
    <n v="-3.43"/>
  </r>
  <r>
    <d v="2014-12-16T00:00:00"/>
    <x v="11"/>
    <x v="0"/>
    <x v="306"/>
    <x v="31"/>
    <x v="0"/>
    <x v="10"/>
    <s v="Trav-L-File Heavy-Duty Shuttle II, Black"/>
    <n v="139.41999999999999"/>
    <n v="4"/>
    <n v="17.43"/>
  </r>
  <r>
    <d v="2016-12-16T00:00:00"/>
    <x v="11"/>
    <x v="2"/>
    <x v="319"/>
    <x v="3"/>
    <x v="0"/>
    <x v="8"/>
    <s v="GBC Personal VeloBind Strips"/>
    <n v="57.5"/>
    <n v="6"/>
    <n v="20.13"/>
  </r>
  <r>
    <d v="2015-01-17T00:00:00"/>
    <x v="0"/>
    <x v="1"/>
    <x v="320"/>
    <x v="7"/>
    <x v="1"/>
    <x v="12"/>
    <s v="Office Star - Mesh Screen back chair with Vinyl seat"/>
    <n v="392.94"/>
    <n v="3"/>
    <n v="43.22"/>
  </r>
  <r>
    <d v="2016-01-17T00:00:00"/>
    <x v="0"/>
    <x v="2"/>
    <x v="321"/>
    <x v="4"/>
    <x v="0"/>
    <x v="2"/>
    <s v="Newell 324"/>
    <n v="46.2"/>
    <n v="4"/>
    <n v="12.94"/>
  </r>
  <r>
    <d v="2014-02-17T00:00:00"/>
    <x v="1"/>
    <x v="0"/>
    <x v="86"/>
    <x v="1"/>
    <x v="2"/>
    <x v="6"/>
    <s v="Logitech Gaming G510s - Keyboard"/>
    <n v="339.96"/>
    <n v="5"/>
    <n v="67.989999999999995"/>
  </r>
  <r>
    <d v="2017-02-17T00:00:00"/>
    <x v="1"/>
    <x v="3"/>
    <x v="322"/>
    <x v="3"/>
    <x v="0"/>
    <x v="10"/>
    <s v="Eldon Base for stackable storage shelf, platinum"/>
    <n v="77.88"/>
    <n v="2"/>
    <n v="3.89"/>
  </r>
  <r>
    <d v="2014-03-17T00:00:00"/>
    <x v="2"/>
    <x v="0"/>
    <x v="44"/>
    <x v="0"/>
    <x v="2"/>
    <x v="6"/>
    <s v="Verbatim Slim CD and DVD Storage Cases, 50/Pack"/>
    <n v="27.7"/>
    <n v="3"/>
    <n v="3.46"/>
  </r>
  <r>
    <d v="2015-03-17T00:00:00"/>
    <x v="2"/>
    <x v="1"/>
    <x v="316"/>
    <x v="30"/>
    <x v="0"/>
    <x v="0"/>
    <s v="Southworth 100% Cotton The Best Paper"/>
    <n v="34.44"/>
    <n v="3"/>
    <n v="17.22"/>
  </r>
  <r>
    <d v="2015-04-17T00:00:00"/>
    <x v="3"/>
    <x v="1"/>
    <x v="323"/>
    <x v="1"/>
    <x v="0"/>
    <x v="8"/>
    <s v="GBC Instant Report Kit"/>
    <n v="5.18"/>
    <n v="4"/>
    <n v="-7.76"/>
  </r>
  <r>
    <d v="2016-04-17T00:00:00"/>
    <x v="3"/>
    <x v="2"/>
    <x v="324"/>
    <x v="3"/>
    <x v="0"/>
    <x v="1"/>
    <s v="Avery 507"/>
    <n v="5.76"/>
    <n v="2"/>
    <n v="2.65"/>
  </r>
  <r>
    <d v="2014-05-17T00:00:00"/>
    <x v="4"/>
    <x v="0"/>
    <x v="58"/>
    <x v="27"/>
    <x v="0"/>
    <x v="4"/>
    <s v="Laser &amp; Ink Jet Business Envelopes"/>
    <n v="10.67"/>
    <n v="1"/>
    <n v="4.91"/>
  </r>
  <r>
    <d v="2016-05-17T00:00:00"/>
    <x v="4"/>
    <x v="2"/>
    <x v="238"/>
    <x v="3"/>
    <x v="0"/>
    <x v="0"/>
    <s v="Xerox 1898"/>
    <n v="33.4"/>
    <n v="5"/>
    <n v="16.03"/>
  </r>
  <r>
    <d v="2014-06-17T00:00:00"/>
    <x v="5"/>
    <x v="0"/>
    <x v="287"/>
    <x v="14"/>
    <x v="2"/>
    <x v="9"/>
    <s v="Panasonic KX T7736-B Digital phone"/>
    <n v="299.89999999999998"/>
    <n v="2"/>
    <n v="74.98"/>
  </r>
  <r>
    <d v="2015-07-17T00:00:00"/>
    <x v="6"/>
    <x v="1"/>
    <x v="325"/>
    <x v="3"/>
    <x v="1"/>
    <x v="14"/>
    <s v="Bevis Round Bullnose 29&quot; High Table Top"/>
    <n v="1038.8399999999999"/>
    <n v="5"/>
    <n v="51.94"/>
  </r>
  <r>
    <d v="2014-08-17T00:00:00"/>
    <x v="7"/>
    <x v="0"/>
    <x v="326"/>
    <x v="3"/>
    <x v="2"/>
    <x v="9"/>
    <s v="Cisco IP Phone 7961G-GE VoIP phone"/>
    <n v="1212.8499999999999"/>
    <n v="7"/>
    <n v="106.12"/>
  </r>
  <r>
    <d v="2015-08-17T00:00:00"/>
    <x v="7"/>
    <x v="1"/>
    <x v="327"/>
    <x v="21"/>
    <x v="1"/>
    <x v="12"/>
    <s v="Harbour Creations Steel Folding Chair"/>
    <n v="207"/>
    <n v="3"/>
    <n v="25.88"/>
  </r>
  <r>
    <d v="2014-09-17T00:00:00"/>
    <x v="8"/>
    <x v="0"/>
    <x v="328"/>
    <x v="3"/>
    <x v="1"/>
    <x v="12"/>
    <s v="Safco Contoured Stacking Chairs"/>
    <n v="190.72"/>
    <n v="1"/>
    <n v="11.92"/>
  </r>
  <r>
    <d v="2015-09-17T00:00:00"/>
    <x v="8"/>
    <x v="1"/>
    <x v="119"/>
    <x v="28"/>
    <x v="0"/>
    <x v="2"/>
    <s v="American Pencil"/>
    <n v="11.65"/>
    <n v="5"/>
    <n v="3.38"/>
  </r>
  <r>
    <d v="2015-10-17T00:00:00"/>
    <x v="9"/>
    <x v="1"/>
    <x v="322"/>
    <x v="2"/>
    <x v="0"/>
    <x v="0"/>
    <s v="While You Were Out Pads, 50 per Pad, 4 x 5 1/4, Green Cycle"/>
    <n v="11.35"/>
    <n v="3"/>
    <n v="4.12"/>
  </r>
  <r>
    <d v="2016-10-17T00:00:00"/>
    <x v="9"/>
    <x v="2"/>
    <x v="329"/>
    <x v="14"/>
    <x v="0"/>
    <x v="10"/>
    <s v="Advantus 10-Drawer Portable Organizer, Chrome Metal Frame, Smoke Drawers"/>
    <n v="418.32"/>
    <n v="7"/>
    <n v="117.13"/>
  </r>
  <r>
    <d v="2017-10-17T00:00:00"/>
    <x v="9"/>
    <x v="3"/>
    <x v="330"/>
    <x v="31"/>
    <x v="2"/>
    <x v="6"/>
    <s v="Logitech K350 2.4Ghz Wireless Keyboard"/>
    <n v="238.9"/>
    <n v="6"/>
    <n v="-26.88"/>
  </r>
  <r>
    <d v="2014-11-17T00:00:00"/>
    <x v="10"/>
    <x v="0"/>
    <x v="95"/>
    <x v="13"/>
    <x v="2"/>
    <x v="6"/>
    <s v="Imation Clip USB flash drive - 8 GB"/>
    <n v="37.6"/>
    <n v="2"/>
    <n v="2.2599999999999998"/>
  </r>
  <r>
    <d v="2015-11-17T00:00:00"/>
    <x v="10"/>
    <x v="1"/>
    <x v="331"/>
    <x v="13"/>
    <x v="0"/>
    <x v="7"/>
    <s v="Eureka The Boss Plus 12-Amp Hard Box Upright Vacuum, Red"/>
    <n v="523.25"/>
    <n v="5"/>
    <n v="141.28"/>
  </r>
  <r>
    <d v="2017-11-17T00:00:00"/>
    <x v="10"/>
    <x v="3"/>
    <x v="332"/>
    <x v="1"/>
    <x v="0"/>
    <x v="16"/>
    <s v="Acme Box Cutter Scissors"/>
    <n v="40.92"/>
    <n v="5"/>
    <n v="3.07"/>
  </r>
  <r>
    <d v="2014-12-17T00:00:00"/>
    <x v="11"/>
    <x v="0"/>
    <x v="112"/>
    <x v="19"/>
    <x v="1"/>
    <x v="12"/>
    <s v="Padded Folding Chairs, Black, 4/Carton"/>
    <n v="396.8"/>
    <n v="7"/>
    <n v="-11.34"/>
  </r>
  <r>
    <d v="2016-12-17T00:00:00"/>
    <x v="11"/>
    <x v="2"/>
    <x v="78"/>
    <x v="0"/>
    <x v="0"/>
    <x v="7"/>
    <s v="Holmes Replacement Filter for HEPA Air Cleaner, Very Large Room, HEPA Filter"/>
    <n v="68.81"/>
    <n v="5"/>
    <n v="-123.86"/>
  </r>
  <r>
    <d v="2017-12-17T00:00:00"/>
    <x v="11"/>
    <x v="3"/>
    <x v="333"/>
    <x v="0"/>
    <x v="0"/>
    <x v="0"/>
    <s v="Xerox 1915"/>
    <n v="335.52"/>
    <n v="4"/>
    <n v="117.43"/>
  </r>
  <r>
    <d v="2014-01-18T00:00:00"/>
    <x v="0"/>
    <x v="0"/>
    <x v="56"/>
    <x v="3"/>
    <x v="2"/>
    <x v="6"/>
    <s v="Verbatim 25 GB 6x Blu-ray Single Layer Recordable Disc, 3/Pack"/>
    <n v="13.98"/>
    <n v="2"/>
    <n v="6.15"/>
  </r>
  <r>
    <d v="2014-02-18T00:00:00"/>
    <x v="1"/>
    <x v="0"/>
    <x v="334"/>
    <x v="11"/>
    <x v="1"/>
    <x v="14"/>
    <s v="Hon Practical Foundations 30 x 60 Training Table, Light Gray/Charcoal"/>
    <n v="375.46"/>
    <n v="3"/>
    <n v="-157.01"/>
  </r>
  <r>
    <d v="2015-02-18T00:00:00"/>
    <x v="1"/>
    <x v="1"/>
    <x v="335"/>
    <x v="1"/>
    <x v="1"/>
    <x v="3"/>
    <s v="Eldon 100 Class Desk Accessories"/>
    <n v="12.13"/>
    <n v="9"/>
    <n v="-8.49"/>
  </r>
  <r>
    <d v="2017-02-18T00:00:00"/>
    <x v="1"/>
    <x v="3"/>
    <x v="336"/>
    <x v="14"/>
    <x v="1"/>
    <x v="12"/>
    <s v="Global Manager's Adjustable Task Chair, Storm"/>
    <n v="301.95999999999998"/>
    <n v="2"/>
    <n v="87.57"/>
  </r>
  <r>
    <d v="2014-03-18T00:00:00"/>
    <x v="2"/>
    <x v="0"/>
    <x v="337"/>
    <x v="2"/>
    <x v="0"/>
    <x v="8"/>
    <s v="Fellowes PB200 Plastic Comb Binding Machine"/>
    <n v="152.99"/>
    <n v="3"/>
    <n v="-122.39"/>
  </r>
  <r>
    <d v="2016-03-18T00:00:00"/>
    <x v="2"/>
    <x v="2"/>
    <x v="338"/>
    <x v="16"/>
    <x v="0"/>
    <x v="8"/>
    <s v="Wilson Jones Heavy-Duty Casebound Ring Binders with Metal Hinges"/>
    <n v="55.42"/>
    <n v="2"/>
    <n v="19.399999999999999"/>
  </r>
  <r>
    <d v="2014-04-18T00:00:00"/>
    <x v="3"/>
    <x v="0"/>
    <x v="339"/>
    <x v="2"/>
    <x v="2"/>
    <x v="13"/>
    <s v="Lexmark MarkNet N8150 Wireless Print Server"/>
    <n v="482.34"/>
    <n v="4"/>
    <n v="-337.64"/>
  </r>
  <r>
    <d v="2016-04-18T00:00:00"/>
    <x v="3"/>
    <x v="2"/>
    <x v="340"/>
    <x v="11"/>
    <x v="0"/>
    <x v="8"/>
    <s v="SpineVue Locking Slant-D Ring Binders by Cardinal"/>
    <n v="8.23"/>
    <n v="3"/>
    <n v="-6.03"/>
  </r>
  <r>
    <d v="2014-05-18T00:00:00"/>
    <x v="4"/>
    <x v="0"/>
    <x v="341"/>
    <x v="27"/>
    <x v="0"/>
    <x v="7"/>
    <s v="Eureka The Boss Cordless Rechargeable Stick Vac"/>
    <n v="152.94"/>
    <n v="3"/>
    <n v="41.29"/>
  </r>
  <r>
    <d v="2015-05-18T00:00:00"/>
    <x v="4"/>
    <x v="1"/>
    <x v="342"/>
    <x v="0"/>
    <x v="0"/>
    <x v="0"/>
    <s v="Xerox 1945"/>
    <n v="360.71"/>
    <n v="11"/>
    <n v="130.76"/>
  </r>
  <r>
    <d v="2016-05-18T00:00:00"/>
    <x v="4"/>
    <x v="2"/>
    <x v="343"/>
    <x v="14"/>
    <x v="0"/>
    <x v="2"/>
    <s v="Avery Hi-Liter Comfort Grip Fluorescent Highlighter, Yellow Ink"/>
    <n v="3.9"/>
    <n v="2"/>
    <n v="1.52"/>
  </r>
  <r>
    <d v="2014-06-18T00:00:00"/>
    <x v="5"/>
    <x v="0"/>
    <x v="323"/>
    <x v="3"/>
    <x v="1"/>
    <x v="12"/>
    <s v="Lifetime Advantage Folding Chairs, 4/Carton"/>
    <n v="348.93"/>
    <n v="2"/>
    <n v="34.89"/>
  </r>
  <r>
    <d v="2016-06-18T00:00:00"/>
    <x v="5"/>
    <x v="2"/>
    <x v="116"/>
    <x v="19"/>
    <x v="0"/>
    <x v="10"/>
    <s v="Fellowes Officeware Wire Shelving"/>
    <n v="646.78"/>
    <n v="9"/>
    <n v="-145.52000000000001"/>
  </r>
  <r>
    <d v="2014-07-18T00:00:00"/>
    <x v="6"/>
    <x v="0"/>
    <x v="344"/>
    <x v="16"/>
    <x v="1"/>
    <x v="14"/>
    <s v="Bevis 36 x 72 Conference Tables"/>
    <n v="1618.37"/>
    <n v="13"/>
    <n v="356.04"/>
  </r>
  <r>
    <d v="2015-07-18T00:00:00"/>
    <x v="6"/>
    <x v="1"/>
    <x v="22"/>
    <x v="4"/>
    <x v="0"/>
    <x v="7"/>
    <s v="Belkin Premiere Surge Master II 8-outlet surge protector"/>
    <n v="194.32"/>
    <n v="4"/>
    <n v="56.35"/>
  </r>
  <r>
    <d v="2016-08-18T00:00:00"/>
    <x v="7"/>
    <x v="2"/>
    <x v="345"/>
    <x v="19"/>
    <x v="0"/>
    <x v="11"/>
    <s v="OIC Bulk Pack Metal Binder Clips"/>
    <n v="5.58"/>
    <n v="2"/>
    <n v="1.81"/>
  </r>
  <r>
    <d v="2017-08-18T00:00:00"/>
    <x v="7"/>
    <x v="3"/>
    <x v="346"/>
    <x v="2"/>
    <x v="1"/>
    <x v="3"/>
    <s v="Tenex Antistatic Computer Chair Mats"/>
    <n v="547.14"/>
    <n v="4"/>
    <n v="-68.39"/>
  </r>
  <r>
    <d v="2015-09-18T00:00:00"/>
    <x v="8"/>
    <x v="1"/>
    <x v="347"/>
    <x v="0"/>
    <x v="0"/>
    <x v="4"/>
    <s v="#10-4 1/8&quot; x 9 1/2&quot; Premium Diagonal Seam Envelopes"/>
    <n v="113.33"/>
    <n v="9"/>
    <n v="35.42"/>
  </r>
  <r>
    <d v="2016-09-18T00:00:00"/>
    <x v="8"/>
    <x v="2"/>
    <x v="200"/>
    <x v="13"/>
    <x v="0"/>
    <x v="16"/>
    <s v="Acme Serrated Blade Letter Opener"/>
    <n v="6.36"/>
    <n v="2"/>
    <n v="0.06"/>
  </r>
  <r>
    <d v="2014-10-18T00:00:00"/>
    <x v="9"/>
    <x v="0"/>
    <x v="38"/>
    <x v="3"/>
    <x v="0"/>
    <x v="0"/>
    <s v="Xerox 1929"/>
    <n v="68.52"/>
    <n v="3"/>
    <n v="31.52"/>
  </r>
  <r>
    <d v="2015-10-18T00:00:00"/>
    <x v="9"/>
    <x v="1"/>
    <x v="325"/>
    <x v="35"/>
    <x v="0"/>
    <x v="8"/>
    <s v="Ibico Hi-Tech Manual Binding System"/>
    <n v="487.98"/>
    <n v="2"/>
    <n v="152.5"/>
  </r>
  <r>
    <d v="2014-11-18T00:00:00"/>
    <x v="10"/>
    <x v="0"/>
    <x v="348"/>
    <x v="25"/>
    <x v="1"/>
    <x v="5"/>
    <s v="Bush Westfield Collection Bookcases, Medium Cherry Finish"/>
    <n v="173.94"/>
    <n v="3"/>
    <n v="38.270000000000003"/>
  </r>
  <r>
    <d v="2016-11-18T00:00:00"/>
    <x v="10"/>
    <x v="2"/>
    <x v="85"/>
    <x v="11"/>
    <x v="2"/>
    <x v="6"/>
    <s v="Logitech MX Performance Wireless Mouse"/>
    <n v="191.47"/>
    <n v="6"/>
    <n v="40.69"/>
  </r>
  <r>
    <d v="2015-12-18T00:00:00"/>
    <x v="11"/>
    <x v="1"/>
    <x v="349"/>
    <x v="3"/>
    <x v="0"/>
    <x v="2"/>
    <s v="Panasonic KP-350BK Electric Pencil Sharpener with Auto Stop"/>
    <n v="34.58"/>
    <n v="1"/>
    <n v="10.029999999999999"/>
  </r>
  <r>
    <d v="2016-12-18T00:00:00"/>
    <x v="11"/>
    <x v="2"/>
    <x v="350"/>
    <x v="15"/>
    <x v="1"/>
    <x v="5"/>
    <s v="Atlantic Metals Mobile 3-Shelf Bookcases, Custom Colors"/>
    <n v="1565.88"/>
    <n v="6"/>
    <n v="407.13"/>
  </r>
  <r>
    <d v="2014-01-19T00:00:00"/>
    <x v="0"/>
    <x v="0"/>
    <x v="288"/>
    <x v="3"/>
    <x v="2"/>
    <x v="6"/>
    <s v="Logitech G500s Laser Gaming Mouse with Adjustable Weight Tuning"/>
    <n v="349.95"/>
    <n v="5"/>
    <n v="118.98"/>
  </r>
  <r>
    <d v="2017-01-19T00:00:00"/>
    <x v="0"/>
    <x v="3"/>
    <x v="150"/>
    <x v="16"/>
    <x v="1"/>
    <x v="3"/>
    <s v="24-Hour Round Wall Clock"/>
    <n v="79.92"/>
    <n v="4"/>
    <n v="34.369999999999997"/>
  </r>
  <r>
    <d v="2017-02-19T00:00:00"/>
    <x v="1"/>
    <x v="3"/>
    <x v="269"/>
    <x v="21"/>
    <x v="0"/>
    <x v="0"/>
    <s v="Xerox 1882"/>
    <n v="89.57"/>
    <n v="2"/>
    <n v="32.47"/>
  </r>
  <r>
    <d v="2014-03-19T00:00:00"/>
    <x v="2"/>
    <x v="0"/>
    <x v="351"/>
    <x v="17"/>
    <x v="0"/>
    <x v="4"/>
    <s v="Quality Park Security Envelopes"/>
    <n v="52.34"/>
    <n v="2"/>
    <n v="24.6"/>
  </r>
  <r>
    <d v="2015-03-19T00:00:00"/>
    <x v="2"/>
    <x v="1"/>
    <x v="352"/>
    <x v="30"/>
    <x v="1"/>
    <x v="3"/>
    <s v="Tenex Contemporary Contur Chairmats for Low and Medium Pile Carpet, Computer, 39&quot; x 49&quot;"/>
    <n v="322.58999999999997"/>
    <n v="3"/>
    <n v="64.52"/>
  </r>
  <r>
    <d v="2016-03-19T00:00:00"/>
    <x v="2"/>
    <x v="2"/>
    <x v="353"/>
    <x v="3"/>
    <x v="1"/>
    <x v="3"/>
    <s v="DAX Cubicle Frames, 8-1/2 x 11"/>
    <n v="59.99"/>
    <n v="7"/>
    <n v="21.6"/>
  </r>
  <r>
    <d v="2017-03-19T00:00:00"/>
    <x v="2"/>
    <x v="3"/>
    <x v="354"/>
    <x v="26"/>
    <x v="0"/>
    <x v="8"/>
    <s v="XtraLife ClearVue Slant-D Ring Binders by Cardinal"/>
    <n v="31.36"/>
    <n v="4"/>
    <n v="15.68"/>
  </r>
  <r>
    <d v="2014-04-19T00:00:00"/>
    <x v="3"/>
    <x v="0"/>
    <x v="355"/>
    <x v="17"/>
    <x v="0"/>
    <x v="2"/>
    <s v="Dixon Ticonderoga Maple Cedar Pencil, #2"/>
    <n v="9.2100000000000009"/>
    <n v="3"/>
    <n v="2.2999999999999998"/>
  </r>
  <r>
    <d v="2015-04-19T00:00:00"/>
    <x v="3"/>
    <x v="1"/>
    <x v="356"/>
    <x v="3"/>
    <x v="2"/>
    <x v="9"/>
    <s v="AT&amp;T 1080 Phone"/>
    <n v="109.59"/>
    <n v="1"/>
    <n v="8.2200000000000006"/>
  </r>
  <r>
    <d v="2016-04-19T00:00:00"/>
    <x v="3"/>
    <x v="2"/>
    <x v="26"/>
    <x v="4"/>
    <x v="0"/>
    <x v="10"/>
    <s v="X-Rack File for Hanging Folders"/>
    <n v="56.45"/>
    <n v="5"/>
    <n v="14.68"/>
  </r>
  <r>
    <d v="2014-05-19T00:00:00"/>
    <x v="4"/>
    <x v="0"/>
    <x v="357"/>
    <x v="13"/>
    <x v="0"/>
    <x v="10"/>
    <s v="Belkin 19&quot; Center-Weighted Shelf, Gray"/>
    <n v="117.96"/>
    <n v="2"/>
    <n v="5.9"/>
  </r>
  <r>
    <d v="2016-05-19T00:00:00"/>
    <x v="4"/>
    <x v="2"/>
    <x v="21"/>
    <x v="27"/>
    <x v="1"/>
    <x v="12"/>
    <s v="Hon Multipurpose Stacking Arm Chairs"/>
    <n v="866.4"/>
    <n v="4"/>
    <n v="225.26"/>
  </r>
  <r>
    <d v="2015-06-19T00:00:00"/>
    <x v="5"/>
    <x v="1"/>
    <x v="316"/>
    <x v="9"/>
    <x v="1"/>
    <x v="3"/>
    <s v="Nu-Dell Float Frame 11 x 14 1/2"/>
    <n v="14.37"/>
    <n v="2"/>
    <n v="3.95"/>
  </r>
  <r>
    <d v="2017-06-19T00:00:00"/>
    <x v="5"/>
    <x v="3"/>
    <x v="328"/>
    <x v="37"/>
    <x v="1"/>
    <x v="3"/>
    <s v="Deflect-o EconoMat Studded, No Bevel Mat for Low Pile Carpeting"/>
    <n v="132.22"/>
    <n v="4"/>
    <n v="-18.18"/>
  </r>
  <r>
    <d v="2014-07-19T00:00:00"/>
    <x v="6"/>
    <x v="0"/>
    <x v="315"/>
    <x v="4"/>
    <x v="2"/>
    <x v="6"/>
    <s v="Micro Innovations USB RF Wireless Keyboard with Mouse"/>
    <n v="100"/>
    <n v="4"/>
    <n v="21"/>
  </r>
  <r>
    <d v="2015-07-19T00:00:00"/>
    <x v="6"/>
    <x v="1"/>
    <x v="287"/>
    <x v="21"/>
    <x v="2"/>
    <x v="9"/>
    <s v="Samsung Galaxy S4 Mini"/>
    <n v="1127.98"/>
    <n v="3"/>
    <n v="126.9"/>
  </r>
  <r>
    <d v="2016-07-19T00:00:00"/>
    <x v="6"/>
    <x v="2"/>
    <x v="344"/>
    <x v="7"/>
    <x v="0"/>
    <x v="10"/>
    <s v="Tennsco Double-Tier Lockers"/>
    <n v="1350.12"/>
    <n v="6"/>
    <n v="175.52"/>
  </r>
  <r>
    <d v="2014-08-19T00:00:00"/>
    <x v="7"/>
    <x v="0"/>
    <x v="81"/>
    <x v="13"/>
    <x v="0"/>
    <x v="8"/>
    <s v="GBC DocuBind P100 Manual Binding Machine"/>
    <n v="398.35"/>
    <n v="3"/>
    <n v="124.49"/>
  </r>
  <r>
    <d v="2014-09-19T00:00:00"/>
    <x v="8"/>
    <x v="0"/>
    <x v="165"/>
    <x v="1"/>
    <x v="0"/>
    <x v="7"/>
    <s v="Honeywell Enviracaire Portable Air Cleaner for up to 8 x 10 Room"/>
    <n v="92.06"/>
    <n v="6"/>
    <n v="-225.56"/>
  </r>
  <r>
    <d v="2016-09-19T00:00:00"/>
    <x v="8"/>
    <x v="2"/>
    <x v="358"/>
    <x v="37"/>
    <x v="0"/>
    <x v="0"/>
    <s v="Speediset Carbonless Redi-Letter 7&quot; x 8 1/2&quot;"/>
    <n v="16.5"/>
    <n v="2"/>
    <n v="5.57"/>
  </r>
  <r>
    <d v="2014-10-19T00:00:00"/>
    <x v="9"/>
    <x v="0"/>
    <x v="359"/>
    <x v="3"/>
    <x v="2"/>
    <x v="6"/>
    <s v="SanDisk Ultra 16 GB MicroSDHC Class 10 Memory Card"/>
    <n v="12.99"/>
    <n v="1"/>
    <n v="0.78"/>
  </r>
  <r>
    <d v="2015-10-19T00:00:00"/>
    <x v="9"/>
    <x v="1"/>
    <x v="360"/>
    <x v="15"/>
    <x v="0"/>
    <x v="7"/>
    <s v="Belkin 5 Outlet SurgeMaster Power Centers"/>
    <n v="490.32"/>
    <n v="9"/>
    <n v="137.29"/>
  </r>
  <r>
    <d v="2014-11-19T00:00:00"/>
    <x v="10"/>
    <x v="0"/>
    <x v="126"/>
    <x v="2"/>
    <x v="0"/>
    <x v="4"/>
    <s v="Recycled Interoffice Envelopes with String and Button Closure, 10 x 13"/>
    <n v="57.58"/>
    <n v="3"/>
    <n v="21.59"/>
  </r>
  <r>
    <d v="2017-11-19T00:00:00"/>
    <x v="10"/>
    <x v="3"/>
    <x v="118"/>
    <x v="13"/>
    <x v="0"/>
    <x v="7"/>
    <s v="Conquest 14 Commercial Heavy-Duty Upright Vacuum, Collection System, Accessory Kit"/>
    <n v="170.88"/>
    <n v="3"/>
    <n v="49.56"/>
  </r>
  <r>
    <d v="2014-12-19T00:00:00"/>
    <x v="11"/>
    <x v="0"/>
    <x v="104"/>
    <x v="5"/>
    <x v="0"/>
    <x v="8"/>
    <s v="GBC ProClick Punch Binding System"/>
    <n v="447.86"/>
    <n v="7"/>
    <n v="219.45"/>
  </r>
  <r>
    <d v="2016-12-19T00:00:00"/>
    <x v="11"/>
    <x v="2"/>
    <x v="361"/>
    <x v="3"/>
    <x v="0"/>
    <x v="2"/>
    <s v="Berol Giant Pencil Sharpener"/>
    <n v="16.989999999999998"/>
    <n v="1"/>
    <n v="4.93"/>
  </r>
  <r>
    <d v="2017-12-19T00:00:00"/>
    <x v="11"/>
    <x v="3"/>
    <x v="362"/>
    <x v="2"/>
    <x v="2"/>
    <x v="9"/>
    <s v="Wilson SignalBoost 841262 DB PRO Amplifier Kit"/>
    <n v="431.94"/>
    <n v="2"/>
    <n v="-71.989999999999995"/>
  </r>
  <r>
    <d v="2014-01-20T00:00:00"/>
    <x v="0"/>
    <x v="0"/>
    <x v="319"/>
    <x v="0"/>
    <x v="2"/>
    <x v="9"/>
    <s v="Belkin Grip Candy Sheer Case / Cover for iPhone 5 and 5S"/>
    <n v="21.07"/>
    <n v="3"/>
    <n v="1.58"/>
  </r>
  <r>
    <d v="2014-02-20T00:00:00"/>
    <x v="1"/>
    <x v="0"/>
    <x v="183"/>
    <x v="11"/>
    <x v="2"/>
    <x v="9"/>
    <s v="Cisco Unified IP Phone 7945G VoIP phone"/>
    <n v="1363.96"/>
    <n v="5"/>
    <n v="85.25"/>
  </r>
  <r>
    <d v="2015-02-20T00:00:00"/>
    <x v="1"/>
    <x v="1"/>
    <x v="363"/>
    <x v="13"/>
    <x v="1"/>
    <x v="5"/>
    <s v="O'Sullivan Living Dimensions 5-Shelf Bookcases"/>
    <n v="176.78"/>
    <n v="1"/>
    <n v="-22.1"/>
  </r>
  <r>
    <d v="2016-02-20T00:00:00"/>
    <x v="1"/>
    <x v="2"/>
    <x v="364"/>
    <x v="9"/>
    <x v="0"/>
    <x v="7"/>
    <s v="Belkin 7 Outlet SurgeMaster Surge Protector with Phone Protection"/>
    <n v="157.91999999999999"/>
    <n v="5"/>
    <n v="17.77"/>
  </r>
  <r>
    <d v="2015-03-20T00:00:00"/>
    <x v="2"/>
    <x v="1"/>
    <x v="365"/>
    <x v="19"/>
    <x v="1"/>
    <x v="3"/>
    <s v="Advantus Panel Wall Acrylic Frame"/>
    <n v="21.88"/>
    <n v="5"/>
    <n v="6.29"/>
  </r>
  <r>
    <d v="2016-03-20T00:00:00"/>
    <x v="2"/>
    <x v="2"/>
    <x v="366"/>
    <x v="2"/>
    <x v="2"/>
    <x v="6"/>
    <s v="V7 USB Numeric Keypad"/>
    <n v="83.98"/>
    <n v="3"/>
    <n v="-13.65"/>
  </r>
  <r>
    <d v="2017-03-20T00:00:00"/>
    <x v="2"/>
    <x v="3"/>
    <x v="367"/>
    <x v="37"/>
    <x v="1"/>
    <x v="14"/>
    <s v="Balt Solid Wood Rectangular Table"/>
    <n v="189.88"/>
    <n v="3"/>
    <n v="-94.94"/>
  </r>
  <r>
    <d v="2014-04-20T00:00:00"/>
    <x v="3"/>
    <x v="0"/>
    <x v="368"/>
    <x v="31"/>
    <x v="1"/>
    <x v="5"/>
    <s v="Atlantic Metals Mobile 2-Shelf Bookcases, Custom Colors"/>
    <n v="72.290000000000006"/>
    <n v="1"/>
    <n v="-98.8"/>
  </r>
  <r>
    <d v="2014-05-20T00:00:00"/>
    <x v="4"/>
    <x v="0"/>
    <x v="183"/>
    <x v="8"/>
    <x v="2"/>
    <x v="9"/>
    <s v="i.Sound Portable Power - 8000 mAh"/>
    <n v="84.78"/>
    <n v="2"/>
    <n v="-20.14"/>
  </r>
  <r>
    <d v="2015-05-20T00:00:00"/>
    <x v="4"/>
    <x v="1"/>
    <x v="369"/>
    <x v="1"/>
    <x v="0"/>
    <x v="8"/>
    <s v="Avery Durable Slant Ring Binders"/>
    <n v="3.17"/>
    <n v="2"/>
    <n v="-4.75"/>
  </r>
  <r>
    <d v="2016-05-20T00:00:00"/>
    <x v="4"/>
    <x v="2"/>
    <x v="154"/>
    <x v="12"/>
    <x v="2"/>
    <x v="6"/>
    <s v="Logitech ClearChat Comfort/USB Headset H390"/>
    <n v="58.58"/>
    <n v="2"/>
    <n v="19.329999999999998"/>
  </r>
  <r>
    <d v="2017-05-20T00:00:00"/>
    <x v="4"/>
    <x v="3"/>
    <x v="335"/>
    <x v="8"/>
    <x v="2"/>
    <x v="9"/>
    <s v="BlackBerry Q10"/>
    <n v="403.17"/>
    <n v="4"/>
    <n v="25.2"/>
  </r>
  <r>
    <d v="2014-06-20T00:00:00"/>
    <x v="5"/>
    <x v="0"/>
    <x v="370"/>
    <x v="39"/>
    <x v="2"/>
    <x v="6"/>
    <s v="Logitech P710e Mobile Speakerphone"/>
    <n v="1287.45"/>
    <n v="5"/>
    <n v="244.62"/>
  </r>
  <r>
    <d v="2015-06-20T00:00:00"/>
    <x v="5"/>
    <x v="1"/>
    <x v="302"/>
    <x v="7"/>
    <x v="1"/>
    <x v="3"/>
    <s v="DAX Two-Tone Silver Metal Document Frame"/>
    <n v="20.239999999999998"/>
    <n v="1"/>
    <n v="8.6999999999999993"/>
  </r>
  <r>
    <d v="2016-06-20T00:00:00"/>
    <x v="5"/>
    <x v="2"/>
    <x v="371"/>
    <x v="4"/>
    <x v="0"/>
    <x v="10"/>
    <s v="Hanging Personal Folder File"/>
    <n v="31.4"/>
    <n v="2"/>
    <n v="7.85"/>
  </r>
  <r>
    <d v="2014-07-20T00:00:00"/>
    <x v="6"/>
    <x v="0"/>
    <x v="372"/>
    <x v="1"/>
    <x v="0"/>
    <x v="0"/>
    <s v="Computer Printout Paper with Letter-Trim Perforations"/>
    <n v="45.53"/>
    <n v="3"/>
    <n v="15.93"/>
  </r>
  <r>
    <d v="2015-07-20T00:00:00"/>
    <x v="6"/>
    <x v="1"/>
    <x v="103"/>
    <x v="2"/>
    <x v="2"/>
    <x v="9"/>
    <s v="LG Exalt"/>
    <n v="280.77999999999997"/>
    <n v="3"/>
    <n v="-60.84"/>
  </r>
  <r>
    <d v="2016-07-20T00:00:00"/>
    <x v="6"/>
    <x v="2"/>
    <x v="320"/>
    <x v="15"/>
    <x v="1"/>
    <x v="12"/>
    <s v="Global Executive Mid-Back Manager's Chair"/>
    <n v="1454.9"/>
    <n v="5"/>
    <n v="378.27"/>
  </r>
  <r>
    <d v="2014-08-20T00:00:00"/>
    <x v="7"/>
    <x v="0"/>
    <x v="103"/>
    <x v="2"/>
    <x v="0"/>
    <x v="8"/>
    <s v="GBC Velobind Prepunched Cover Sets, Regency Series"/>
    <n v="99.85"/>
    <n v="9"/>
    <n v="-83.21"/>
  </r>
  <r>
    <d v="2016-08-20T00:00:00"/>
    <x v="7"/>
    <x v="2"/>
    <x v="372"/>
    <x v="4"/>
    <x v="2"/>
    <x v="9"/>
    <s v="Anker Astro 15000mAh USB Portable Charger"/>
    <n v="149.97"/>
    <n v="3"/>
    <n v="6"/>
  </r>
  <r>
    <d v="2014-09-20T00:00:00"/>
    <x v="8"/>
    <x v="0"/>
    <x v="373"/>
    <x v="0"/>
    <x v="0"/>
    <x v="10"/>
    <s v="Eldon Portable Mobile Manager"/>
    <n v="158.37"/>
    <n v="7"/>
    <n v="13.86"/>
  </r>
  <r>
    <d v="2015-09-20T00:00:00"/>
    <x v="8"/>
    <x v="1"/>
    <x v="374"/>
    <x v="41"/>
    <x v="2"/>
    <x v="9"/>
    <s v="Nortel Meridian M5316 Digital phone"/>
    <n v="1294.75"/>
    <n v="5"/>
    <n v="336.64"/>
  </r>
  <r>
    <d v="2016-09-20T00:00:00"/>
    <x v="8"/>
    <x v="2"/>
    <x v="375"/>
    <x v="3"/>
    <x v="2"/>
    <x v="15"/>
    <s v="Hewlett Packard 610 Color Digital Copier / Printer"/>
    <n v="1199.98"/>
    <n v="3"/>
    <n v="374.99"/>
  </r>
  <r>
    <d v="2017-09-20T00:00:00"/>
    <x v="8"/>
    <x v="3"/>
    <x v="211"/>
    <x v="13"/>
    <x v="1"/>
    <x v="5"/>
    <s v="Sauder Barrister Bookcases"/>
    <n v="388.7"/>
    <n v="6"/>
    <n v="-4.8600000000000003"/>
  </r>
  <r>
    <d v="2014-11-20T00:00:00"/>
    <x v="10"/>
    <x v="0"/>
    <x v="376"/>
    <x v="19"/>
    <x v="0"/>
    <x v="8"/>
    <s v="Wilson Jones Hanging Recycled Pressboard Data Binders"/>
    <n v="8.9"/>
    <n v="2"/>
    <n v="-6.53"/>
  </r>
  <r>
    <d v="2014-01-21T00:00:00"/>
    <x v="0"/>
    <x v="0"/>
    <x v="299"/>
    <x v="21"/>
    <x v="0"/>
    <x v="8"/>
    <s v="GBC ProClick 150 Presentation Binding System"/>
    <n v="189.59"/>
    <n v="2"/>
    <n v="-145.35"/>
  </r>
  <r>
    <d v="2017-01-21T00:00:00"/>
    <x v="0"/>
    <x v="3"/>
    <x v="377"/>
    <x v="21"/>
    <x v="2"/>
    <x v="9"/>
    <s v="Motorola L804"/>
    <n v="36.79"/>
    <n v="1"/>
    <n v="4.1399999999999997"/>
  </r>
  <r>
    <d v="2014-02-21T00:00:00"/>
    <x v="1"/>
    <x v="0"/>
    <x v="378"/>
    <x v="1"/>
    <x v="0"/>
    <x v="10"/>
    <s v="Safco Industrial Wire Shelving"/>
    <n v="230.38"/>
    <n v="3"/>
    <n v="-48.95"/>
  </r>
  <r>
    <d v="2016-02-21T00:00:00"/>
    <x v="1"/>
    <x v="2"/>
    <x v="373"/>
    <x v="19"/>
    <x v="1"/>
    <x v="14"/>
    <s v="Bush Andora Conference Table, Maple/Graphite Gray Finish"/>
    <n v="205.18"/>
    <n v="2"/>
    <n v="-58.13"/>
  </r>
  <r>
    <d v="2017-02-21T00:00:00"/>
    <x v="1"/>
    <x v="3"/>
    <x v="379"/>
    <x v="1"/>
    <x v="0"/>
    <x v="10"/>
    <s v="Fellowes Bankers Box Stor/Drawer Steel Plus"/>
    <n v="102.34"/>
    <n v="4"/>
    <n v="-12.79"/>
  </r>
  <r>
    <d v="2014-03-21T00:00:00"/>
    <x v="2"/>
    <x v="0"/>
    <x v="380"/>
    <x v="0"/>
    <x v="2"/>
    <x v="6"/>
    <s v="Plantronics S12 Corded Telephone Headset System"/>
    <n v="258.7"/>
    <n v="3"/>
    <n v="64.67"/>
  </r>
  <r>
    <d v="2015-03-21T00:00:00"/>
    <x v="2"/>
    <x v="1"/>
    <x v="244"/>
    <x v="2"/>
    <x v="2"/>
    <x v="9"/>
    <s v="AT&amp;T 841000 Phone"/>
    <n v="82.8"/>
    <n v="2"/>
    <n v="-20.7"/>
  </r>
  <r>
    <d v="2016-03-21T00:00:00"/>
    <x v="2"/>
    <x v="2"/>
    <x v="381"/>
    <x v="13"/>
    <x v="1"/>
    <x v="12"/>
    <s v="Office Star - Mid Back Dual function Ergonomic High Back Chair with 2-Way Adjustable Arms"/>
    <n v="434.65"/>
    <n v="3"/>
    <n v="62.78"/>
  </r>
  <r>
    <d v="2015-04-21T00:00:00"/>
    <x v="3"/>
    <x v="1"/>
    <x v="382"/>
    <x v="0"/>
    <x v="0"/>
    <x v="2"/>
    <s v="Panasonic KP-380BK Classic Electric Pencil Sharpener"/>
    <n v="86.35"/>
    <n v="3"/>
    <n v="5.4"/>
  </r>
  <r>
    <d v="2016-04-21T00:00:00"/>
    <x v="3"/>
    <x v="2"/>
    <x v="353"/>
    <x v="1"/>
    <x v="0"/>
    <x v="8"/>
    <s v="Heavy-Duty E-Z-D Binders"/>
    <n v="2.1800000000000002"/>
    <n v="1"/>
    <n v="-3.6"/>
  </r>
  <r>
    <d v="2017-04-21T00:00:00"/>
    <x v="3"/>
    <x v="3"/>
    <x v="383"/>
    <x v="19"/>
    <x v="0"/>
    <x v="11"/>
    <s v="Advantus T-Pin Paper Clips"/>
    <n v="7.22"/>
    <n v="2"/>
    <n v="1.71"/>
  </r>
  <r>
    <d v="2014-05-21T00:00:00"/>
    <x v="4"/>
    <x v="0"/>
    <x v="363"/>
    <x v="13"/>
    <x v="0"/>
    <x v="8"/>
    <s v="GBC Twin Loop Wire Binding Elements, 9/16&quot; Spine, Black"/>
    <n v="85.23"/>
    <n v="7"/>
    <n v="30.9"/>
  </r>
  <r>
    <d v="2015-05-21T00:00:00"/>
    <x v="4"/>
    <x v="1"/>
    <x v="384"/>
    <x v="16"/>
    <x v="2"/>
    <x v="6"/>
    <s v="Sony Micro Vault Click 8 GB USB 2.0 Flash Drive"/>
    <n v="93.98"/>
    <n v="2"/>
    <n v="13.16"/>
  </r>
  <r>
    <d v="2016-05-21T00:00:00"/>
    <x v="4"/>
    <x v="2"/>
    <x v="193"/>
    <x v="16"/>
    <x v="0"/>
    <x v="0"/>
    <s v="Xerox 1965"/>
    <n v="11.96"/>
    <n v="2"/>
    <n v="5.86"/>
  </r>
  <r>
    <d v="2014-06-21T00:00:00"/>
    <x v="5"/>
    <x v="0"/>
    <x v="284"/>
    <x v="19"/>
    <x v="1"/>
    <x v="3"/>
    <s v="GE 48&quot; Fluorescent Tube, Cool White Energy Saver, 34 Watts, 30/Box"/>
    <n v="79.38"/>
    <n v="1"/>
    <n v="29.77"/>
  </r>
  <r>
    <d v="2014-07-21T00:00:00"/>
    <x v="6"/>
    <x v="0"/>
    <x v="347"/>
    <x v="26"/>
    <x v="0"/>
    <x v="8"/>
    <s v="GBC DocuBind P50 Personal Binding Machine"/>
    <n v="511.84"/>
    <n v="8"/>
    <n v="240.56"/>
  </r>
  <r>
    <d v="2015-08-21T00:00:00"/>
    <x v="7"/>
    <x v="1"/>
    <x v="239"/>
    <x v="11"/>
    <x v="0"/>
    <x v="8"/>
    <s v="Pressboard Hanging Data Binders for Unburst Sheets"/>
    <n v="2.95"/>
    <n v="2"/>
    <n v="-2.16"/>
  </r>
  <r>
    <d v="2016-08-21T00:00:00"/>
    <x v="7"/>
    <x v="2"/>
    <x v="385"/>
    <x v="3"/>
    <x v="0"/>
    <x v="10"/>
    <s v="Home/Office Personal File Carts"/>
    <n v="104.28"/>
    <n v="3"/>
    <n v="26.07"/>
  </r>
  <r>
    <d v="2014-09-21T00:00:00"/>
    <x v="8"/>
    <x v="0"/>
    <x v="386"/>
    <x v="4"/>
    <x v="1"/>
    <x v="12"/>
    <s v="Hon 4070 Series Pagoda Round Back Stacking Chairs"/>
    <n v="641.96"/>
    <n v="2"/>
    <n v="179.75"/>
  </r>
  <r>
    <d v="2015-09-21T00:00:00"/>
    <x v="8"/>
    <x v="1"/>
    <x v="387"/>
    <x v="3"/>
    <x v="1"/>
    <x v="3"/>
    <s v="Luxo Professional Fluorescent Magnifier Lamp with Clamp-Mount Base"/>
    <n v="1049.2"/>
    <n v="5"/>
    <n v="272.79000000000002"/>
  </r>
  <r>
    <d v="2017-09-21T00:00:00"/>
    <x v="8"/>
    <x v="3"/>
    <x v="284"/>
    <x v="3"/>
    <x v="2"/>
    <x v="9"/>
    <s v="Motorola HK250 Universal Bluetooth Headset"/>
    <n v="55.18"/>
    <n v="3"/>
    <n v="-12.41"/>
  </r>
  <r>
    <d v="2017-10-21T00:00:00"/>
    <x v="9"/>
    <x v="3"/>
    <x v="388"/>
    <x v="3"/>
    <x v="1"/>
    <x v="3"/>
    <s v="Eldon Image Series Desk Accessories, Ebony"/>
    <n v="37.049999999999997"/>
    <n v="3"/>
    <n v="16.3"/>
  </r>
  <r>
    <d v="2015-11-21T00:00:00"/>
    <x v="10"/>
    <x v="1"/>
    <x v="362"/>
    <x v="7"/>
    <x v="1"/>
    <x v="3"/>
    <s v="Eldon Expressions Mahogany Wood Desk Collection"/>
    <n v="24.96"/>
    <n v="4"/>
    <n v="6.24"/>
  </r>
  <r>
    <d v="2016-11-21T00:00:00"/>
    <x v="10"/>
    <x v="2"/>
    <x v="288"/>
    <x v="14"/>
    <x v="1"/>
    <x v="12"/>
    <s v="HON 5400 Series Task Chairs for Big and Tall"/>
    <n v="3504.9"/>
    <n v="5"/>
    <n v="700.98"/>
  </r>
  <r>
    <d v="2014-12-21T00:00:00"/>
    <x v="11"/>
    <x v="0"/>
    <x v="389"/>
    <x v="24"/>
    <x v="2"/>
    <x v="9"/>
    <s v="Panasonic KX-TG9471B"/>
    <n v="979.95"/>
    <n v="5"/>
    <n v="274.39"/>
  </r>
  <r>
    <d v="2015-12-21T00:00:00"/>
    <x v="11"/>
    <x v="1"/>
    <x v="390"/>
    <x v="1"/>
    <x v="1"/>
    <x v="3"/>
    <s v="Executive Impressions 16-1/2&quot; Circular Wall Clock"/>
    <n v="32.06"/>
    <n v="3"/>
    <n v="-12.83"/>
  </r>
  <r>
    <d v="2017-01-22T00:00:00"/>
    <x v="0"/>
    <x v="3"/>
    <x v="391"/>
    <x v="3"/>
    <x v="1"/>
    <x v="14"/>
    <s v="Hon 61000 Series Interactive Training Tables"/>
    <n v="71.09"/>
    <n v="2"/>
    <n v="-1.78"/>
  </r>
  <r>
    <d v="2015-02-22T00:00:00"/>
    <x v="1"/>
    <x v="1"/>
    <x v="392"/>
    <x v="4"/>
    <x v="0"/>
    <x v="0"/>
    <s v="Snap-A-Way Black Print Carbonless Ruled Speed Letter, Triplicate"/>
    <n v="75.88"/>
    <n v="2"/>
    <n v="35.659999999999997"/>
  </r>
  <r>
    <d v="2016-02-22T00:00:00"/>
    <x v="1"/>
    <x v="2"/>
    <x v="393"/>
    <x v="1"/>
    <x v="2"/>
    <x v="9"/>
    <s v="Cisco Small Business SPA 502G VoIP phone"/>
    <n v="328.22"/>
    <n v="4"/>
    <n v="28.72"/>
  </r>
  <r>
    <d v="2014-03-22T00:00:00"/>
    <x v="2"/>
    <x v="0"/>
    <x v="394"/>
    <x v="3"/>
    <x v="0"/>
    <x v="1"/>
    <s v="Avery 473"/>
    <n v="20.7"/>
    <n v="2"/>
    <n v="9.94"/>
  </r>
  <r>
    <d v="2015-03-22T00:00:00"/>
    <x v="2"/>
    <x v="1"/>
    <x v="395"/>
    <x v="0"/>
    <x v="0"/>
    <x v="8"/>
    <s v="Computer Printout Index Tabs"/>
    <n v="1.34"/>
    <n v="4"/>
    <n v="-2.15"/>
  </r>
  <r>
    <d v="2016-03-22T00:00:00"/>
    <x v="2"/>
    <x v="2"/>
    <x v="356"/>
    <x v="14"/>
    <x v="2"/>
    <x v="9"/>
    <s v="Ooma Telo VoIP Home Phone System"/>
    <n v="377.97"/>
    <n v="3"/>
    <n v="94.49"/>
  </r>
  <r>
    <d v="2014-05-22T00:00:00"/>
    <x v="4"/>
    <x v="0"/>
    <x v="360"/>
    <x v="3"/>
    <x v="0"/>
    <x v="2"/>
    <s v="Newell 326"/>
    <n v="7.04"/>
    <n v="4"/>
    <n v="2.04"/>
  </r>
  <r>
    <d v="2015-05-22T00:00:00"/>
    <x v="4"/>
    <x v="1"/>
    <x v="185"/>
    <x v="0"/>
    <x v="0"/>
    <x v="0"/>
    <s v="Xerox 19"/>
    <n v="173.49"/>
    <n v="7"/>
    <n v="54.22"/>
  </r>
  <r>
    <d v="2014-06-22T00:00:00"/>
    <x v="5"/>
    <x v="0"/>
    <x v="396"/>
    <x v="3"/>
    <x v="0"/>
    <x v="0"/>
    <s v="Wirebound Message Books, Four 2 3/4&quot; x 5&quot; Forms per Page, 600 Sets per Book"/>
    <n v="46.35"/>
    <n v="5"/>
    <n v="21.78"/>
  </r>
  <r>
    <d v="2017-06-22T00:00:00"/>
    <x v="5"/>
    <x v="3"/>
    <x v="368"/>
    <x v="1"/>
    <x v="0"/>
    <x v="0"/>
    <s v="Xerox 1937"/>
    <n v="76.86"/>
    <n v="2"/>
    <n v="26.9"/>
  </r>
  <r>
    <d v="2014-07-22T00:00:00"/>
    <x v="6"/>
    <x v="0"/>
    <x v="397"/>
    <x v="5"/>
    <x v="2"/>
    <x v="6"/>
    <s v="Imation 8gb Micro Traveldrive Usb 2.0 Flash Drive"/>
    <n v="45"/>
    <n v="3"/>
    <n v="4.95"/>
  </r>
  <r>
    <d v="2016-07-22T00:00:00"/>
    <x v="6"/>
    <x v="2"/>
    <x v="291"/>
    <x v="13"/>
    <x v="0"/>
    <x v="1"/>
    <s v="Avery 4027 File Folder Labels for Dot Matrix Printers, 5000 Labels per Box, White"/>
    <n v="122.12"/>
    <n v="4"/>
    <n v="56.18"/>
  </r>
  <r>
    <d v="2014-08-22T00:00:00"/>
    <x v="7"/>
    <x v="0"/>
    <x v="396"/>
    <x v="3"/>
    <x v="2"/>
    <x v="9"/>
    <s v="Macally Suction Cup Mount"/>
    <n v="38.24"/>
    <n v="4"/>
    <n v="-9.56"/>
  </r>
  <r>
    <d v="2015-08-22T00:00:00"/>
    <x v="7"/>
    <x v="1"/>
    <x v="69"/>
    <x v="2"/>
    <x v="1"/>
    <x v="12"/>
    <s v="Global Leather Highback Executive Chair with Pneumatic Height Adjustment, Black"/>
    <n v="422.06"/>
    <n v="3"/>
    <n v="-18.09"/>
  </r>
  <r>
    <d v="2014-10-22T00:00:00"/>
    <x v="9"/>
    <x v="0"/>
    <x v="398"/>
    <x v="13"/>
    <x v="0"/>
    <x v="2"/>
    <s v="Prang Colored Pencils"/>
    <n v="14.7"/>
    <n v="5"/>
    <n v="6.62"/>
  </r>
  <r>
    <d v="2015-10-22T00:00:00"/>
    <x v="9"/>
    <x v="1"/>
    <x v="206"/>
    <x v="1"/>
    <x v="0"/>
    <x v="0"/>
    <s v="Wirebound Message Books, Four 2 3/4 x 5 White Forms per Page"/>
    <n v="37.46"/>
    <n v="7"/>
    <n v="12.18"/>
  </r>
  <r>
    <d v="2017-10-22T00:00:00"/>
    <x v="9"/>
    <x v="3"/>
    <x v="169"/>
    <x v="7"/>
    <x v="0"/>
    <x v="2"/>
    <s v="Bulldog Vacuum Base Pencil Sharpener"/>
    <n v="35.97"/>
    <n v="3"/>
    <n v="9.7100000000000009"/>
  </r>
  <r>
    <d v="2014-11-22T00:00:00"/>
    <x v="10"/>
    <x v="0"/>
    <x v="399"/>
    <x v="20"/>
    <x v="0"/>
    <x v="8"/>
    <s v="Wilson Jones Hanging View Binder, White, 1&quot;"/>
    <n v="14.2"/>
    <n v="2"/>
    <n v="6.53"/>
  </r>
  <r>
    <d v="2015-11-22T00:00:00"/>
    <x v="10"/>
    <x v="1"/>
    <x v="327"/>
    <x v="3"/>
    <x v="1"/>
    <x v="12"/>
    <s v="Hon Deluxe Fabric Upholstered Stacking Chairs"/>
    <n v="195.18"/>
    <n v="1"/>
    <n v="19.52"/>
  </r>
  <r>
    <d v="2016-11-22T00:00:00"/>
    <x v="10"/>
    <x v="2"/>
    <x v="400"/>
    <x v="3"/>
    <x v="1"/>
    <x v="3"/>
    <s v="Master Caster Door Stop, Brown"/>
    <n v="25.4"/>
    <n v="5"/>
    <n v="8.64"/>
  </r>
  <r>
    <d v="2014-12-22T00:00:00"/>
    <x v="11"/>
    <x v="0"/>
    <x v="401"/>
    <x v="11"/>
    <x v="0"/>
    <x v="16"/>
    <s v="Acme Softgrip Scissors"/>
    <n v="45.58"/>
    <n v="7"/>
    <n v="5.13"/>
  </r>
  <r>
    <d v="2017-12-22T00:00:00"/>
    <x v="11"/>
    <x v="3"/>
    <x v="402"/>
    <x v="0"/>
    <x v="2"/>
    <x v="9"/>
    <s v="Cisco SPA 502G IP Phone"/>
    <n v="863.64"/>
    <n v="9"/>
    <n v="107.96"/>
  </r>
  <r>
    <d v="2014-01-23T00:00:00"/>
    <x v="0"/>
    <x v="0"/>
    <x v="234"/>
    <x v="9"/>
    <x v="0"/>
    <x v="10"/>
    <s v="Sterilite Officeware Hinged File Box"/>
    <n v="16.77"/>
    <n v="2"/>
    <n v="1.47"/>
  </r>
  <r>
    <d v="2015-01-23T00:00:00"/>
    <x v="0"/>
    <x v="1"/>
    <x v="403"/>
    <x v="3"/>
    <x v="2"/>
    <x v="9"/>
    <s v="Cisco SPA525G2 IP Phone - Wireless"/>
    <n v="95.76"/>
    <n v="6"/>
    <n v="7.18"/>
  </r>
  <r>
    <d v="2016-01-23T00:00:00"/>
    <x v="0"/>
    <x v="2"/>
    <x v="177"/>
    <x v="9"/>
    <x v="2"/>
    <x v="9"/>
    <s v="LG Electronics Tone+ HBS-730 Bluetooth Headset"/>
    <n v="380.86"/>
    <n v="8"/>
    <n v="38.090000000000003"/>
  </r>
  <r>
    <d v="2014-02-23T00:00:00"/>
    <x v="1"/>
    <x v="0"/>
    <x v="203"/>
    <x v="29"/>
    <x v="0"/>
    <x v="16"/>
    <s v="Fiskars Home &amp; Office Scissors"/>
    <n v="44.4"/>
    <n v="5"/>
    <n v="12.43"/>
  </r>
  <r>
    <d v="2015-02-23T00:00:00"/>
    <x v="1"/>
    <x v="1"/>
    <x v="36"/>
    <x v="26"/>
    <x v="1"/>
    <x v="3"/>
    <s v="Advantus Employee of the Month Certificate Frame, 11 x 13-1/2"/>
    <n v="185.58"/>
    <n v="6"/>
    <n v="76.09"/>
  </r>
  <r>
    <d v="2016-02-23T00:00:00"/>
    <x v="1"/>
    <x v="2"/>
    <x v="62"/>
    <x v="13"/>
    <x v="2"/>
    <x v="9"/>
    <s v="invisibleSHIELD by ZAGG Smudge-Free Screen Protector"/>
    <n v="89.95"/>
    <n v="5"/>
    <n v="43.18"/>
  </r>
  <r>
    <d v="2017-02-23T00:00:00"/>
    <x v="1"/>
    <x v="3"/>
    <x v="404"/>
    <x v="3"/>
    <x v="0"/>
    <x v="1"/>
    <s v="Self-Adhesive Removable Labels"/>
    <n v="6.3"/>
    <n v="2"/>
    <n v="3.02"/>
  </r>
  <r>
    <d v="2014-03-23T00:00:00"/>
    <x v="2"/>
    <x v="0"/>
    <x v="28"/>
    <x v="3"/>
    <x v="0"/>
    <x v="8"/>
    <s v="Clear Mylar Reinforcing Strips"/>
    <n v="119.62"/>
    <n v="8"/>
    <n v="40.369999999999997"/>
  </r>
  <r>
    <d v="2017-03-23T00:00:00"/>
    <x v="2"/>
    <x v="3"/>
    <x v="136"/>
    <x v="14"/>
    <x v="0"/>
    <x v="7"/>
    <s v="Honeywell Quietcare HEPA Air Cleaner"/>
    <n v="283.14"/>
    <n v="4"/>
    <n v="72.36"/>
  </r>
  <r>
    <d v="2014-04-23T00:00:00"/>
    <x v="3"/>
    <x v="0"/>
    <x v="30"/>
    <x v="3"/>
    <x v="1"/>
    <x v="14"/>
    <s v="Barricks Non-Folding Utility Table with Steel Legs, Laminate Tops"/>
    <n v="136.46"/>
    <n v="2"/>
    <n v="15.35"/>
  </r>
  <r>
    <d v="2017-04-23T00:00:00"/>
    <x v="3"/>
    <x v="3"/>
    <x v="405"/>
    <x v="39"/>
    <x v="0"/>
    <x v="4"/>
    <s v="Tyvek  Top-Opening Peel &amp; Seel Envelopes, Plain White"/>
    <n v="81.540000000000006"/>
    <n v="3"/>
    <n v="38.32"/>
  </r>
  <r>
    <d v="2014-05-23T00:00:00"/>
    <x v="4"/>
    <x v="0"/>
    <x v="406"/>
    <x v="4"/>
    <x v="0"/>
    <x v="16"/>
    <s v="Acme 10&quot; Easy Grip Assistive Scissors"/>
    <n v="35.06"/>
    <n v="2"/>
    <n v="10.52"/>
  </r>
  <r>
    <d v="2016-05-23T00:00:00"/>
    <x v="4"/>
    <x v="2"/>
    <x v="407"/>
    <x v="24"/>
    <x v="0"/>
    <x v="2"/>
    <s v="Boston Model 1800 Electric Pencil Sharpener, Gray"/>
    <n v="197.05"/>
    <n v="7"/>
    <n v="59.12"/>
  </r>
  <r>
    <d v="2014-06-23T00:00:00"/>
    <x v="5"/>
    <x v="0"/>
    <x v="408"/>
    <x v="16"/>
    <x v="2"/>
    <x v="6"/>
    <s v="Logitech Illuminated - Keyboard"/>
    <n v="179.97"/>
    <n v="3"/>
    <n v="86.39"/>
  </r>
  <r>
    <d v="2015-06-23T00:00:00"/>
    <x v="5"/>
    <x v="1"/>
    <x v="409"/>
    <x v="21"/>
    <x v="0"/>
    <x v="0"/>
    <s v="Xerox 199"/>
    <n v="30.82"/>
    <n v="9"/>
    <n v="9.6300000000000008"/>
  </r>
  <r>
    <d v="2016-06-23T00:00:00"/>
    <x v="5"/>
    <x v="2"/>
    <x v="330"/>
    <x v="23"/>
    <x v="0"/>
    <x v="0"/>
    <s v="Xerox 224"/>
    <n v="6.48"/>
    <n v="1"/>
    <n v="3.11"/>
  </r>
  <r>
    <d v="2014-07-23T00:00:00"/>
    <x v="6"/>
    <x v="0"/>
    <x v="134"/>
    <x v="21"/>
    <x v="0"/>
    <x v="8"/>
    <s v="Acco Translucent Poly Ring Binders"/>
    <n v="11.23"/>
    <n v="8"/>
    <n v="-8.24"/>
  </r>
  <r>
    <d v="2014-08-23T00:00:00"/>
    <x v="7"/>
    <x v="0"/>
    <x v="410"/>
    <x v="3"/>
    <x v="0"/>
    <x v="0"/>
    <s v="Array Memo Cubes"/>
    <n v="15.54"/>
    <n v="3"/>
    <n v="7.61"/>
  </r>
  <r>
    <d v="2015-08-23T00:00:00"/>
    <x v="7"/>
    <x v="1"/>
    <x v="271"/>
    <x v="31"/>
    <x v="0"/>
    <x v="8"/>
    <s v="Premium Transparent Presentation Covers by GBC"/>
    <n v="18.88"/>
    <n v="3"/>
    <n v="-13.85"/>
  </r>
  <r>
    <d v="2017-08-23T00:00:00"/>
    <x v="7"/>
    <x v="3"/>
    <x v="411"/>
    <x v="13"/>
    <x v="0"/>
    <x v="7"/>
    <s v="Belkin 7 Outlet SurgeMaster II"/>
    <n v="355.32"/>
    <n v="9"/>
    <n v="99.49"/>
  </r>
  <r>
    <d v="2016-09-23T00:00:00"/>
    <x v="8"/>
    <x v="2"/>
    <x v="349"/>
    <x v="14"/>
    <x v="2"/>
    <x v="9"/>
    <s v="SKILCRAFT Telephone Shoulder Rest, 2&quot; x 6.5&quot; x 2.5&quot;, Black"/>
    <n v="14.78"/>
    <n v="2"/>
    <n v="3.99"/>
  </r>
  <r>
    <d v="2014-11-23T00:00:00"/>
    <x v="10"/>
    <x v="0"/>
    <x v="412"/>
    <x v="21"/>
    <x v="0"/>
    <x v="1"/>
    <s v="Avery 49"/>
    <n v="9.2200000000000006"/>
    <n v="4"/>
    <n v="3.34"/>
  </r>
  <r>
    <d v="2015-11-23T00:00:00"/>
    <x v="10"/>
    <x v="1"/>
    <x v="143"/>
    <x v="31"/>
    <x v="0"/>
    <x v="0"/>
    <s v="Wirebound Four 2-3/4 x 5 Forms per Page, 400 Sets per Book"/>
    <n v="15.48"/>
    <n v="3"/>
    <n v="5.61"/>
  </r>
  <r>
    <d v="2016-11-23T00:00:00"/>
    <x v="10"/>
    <x v="2"/>
    <x v="387"/>
    <x v="1"/>
    <x v="0"/>
    <x v="0"/>
    <s v="Avery Personal Creations Heavyweight Cards"/>
    <n v="64.62"/>
    <n v="7"/>
    <n v="22.62"/>
  </r>
  <r>
    <d v="2017-11-23T00:00:00"/>
    <x v="10"/>
    <x v="3"/>
    <x v="214"/>
    <x v="2"/>
    <x v="2"/>
    <x v="9"/>
    <s v="Aastra 57i VoIP phone"/>
    <n v="290.89999999999998"/>
    <n v="3"/>
    <n v="-67.88"/>
  </r>
  <r>
    <d v="2014-12-23T00:00:00"/>
    <x v="11"/>
    <x v="0"/>
    <x v="413"/>
    <x v="13"/>
    <x v="2"/>
    <x v="6"/>
    <s v="Sabrent 4-Port USB 2.0 Hub"/>
    <n v="6.79"/>
    <n v="1"/>
    <n v="2.31"/>
  </r>
  <r>
    <d v="2015-12-23T00:00:00"/>
    <x v="11"/>
    <x v="1"/>
    <x v="392"/>
    <x v="13"/>
    <x v="0"/>
    <x v="2"/>
    <s v="Panasonic KP-150 Electric Pencil Sharpener"/>
    <n v="75.48"/>
    <n v="2"/>
    <n v="19.62"/>
  </r>
  <r>
    <d v="2016-12-23T00:00:00"/>
    <x v="11"/>
    <x v="2"/>
    <x v="59"/>
    <x v="2"/>
    <x v="0"/>
    <x v="8"/>
    <s v="GBC Ibimaster 500 Manual ProClick Binding System"/>
    <n v="1141.47"/>
    <n v="5"/>
    <n v="-760.98"/>
  </r>
  <r>
    <d v="2017-12-23T00:00:00"/>
    <x v="11"/>
    <x v="3"/>
    <x v="269"/>
    <x v="0"/>
    <x v="0"/>
    <x v="10"/>
    <s v="Super Decoflex Portable Personal File"/>
    <n v="35.950000000000003"/>
    <n v="3"/>
    <n v="3.6"/>
  </r>
  <r>
    <d v="2016-01-24T00:00:00"/>
    <x v="0"/>
    <x v="2"/>
    <x v="414"/>
    <x v="13"/>
    <x v="0"/>
    <x v="10"/>
    <s v="Acco Perma 2700 Stacking Storage Drawers"/>
    <n v="59.48"/>
    <n v="2"/>
    <n v="8.92"/>
  </r>
  <r>
    <d v="2017-01-24T00:00:00"/>
    <x v="0"/>
    <x v="3"/>
    <x v="415"/>
    <x v="3"/>
    <x v="0"/>
    <x v="0"/>
    <s v="Wirebound Message Books, Two 4 1/4&quot; x 5&quot; Forms per Page"/>
    <n v="7.61"/>
    <n v="1"/>
    <n v="3.58"/>
  </r>
  <r>
    <d v="2014-03-24T00:00:00"/>
    <x v="2"/>
    <x v="0"/>
    <x v="416"/>
    <x v="31"/>
    <x v="1"/>
    <x v="3"/>
    <s v="C-Line Cubicle Keepers Polyproplyene Holder With Velcro Backings"/>
    <n v="15.14"/>
    <n v="4"/>
    <n v="3.59"/>
  </r>
  <r>
    <d v="2015-03-24T00:00:00"/>
    <x v="2"/>
    <x v="1"/>
    <x v="254"/>
    <x v="2"/>
    <x v="0"/>
    <x v="0"/>
    <s v="Xerox 1968"/>
    <n v="5.34"/>
    <n v="1"/>
    <n v="1.87"/>
  </r>
  <r>
    <d v="2016-03-24T00:00:00"/>
    <x v="2"/>
    <x v="2"/>
    <x v="417"/>
    <x v="13"/>
    <x v="0"/>
    <x v="8"/>
    <s v="Avery Binding System Hidden Tab Executive Style Index Sets"/>
    <n v="4.62"/>
    <n v="1"/>
    <n v="1.73"/>
  </r>
  <r>
    <d v="2017-03-24T00:00:00"/>
    <x v="2"/>
    <x v="3"/>
    <x v="418"/>
    <x v="1"/>
    <x v="1"/>
    <x v="12"/>
    <s v="Global Troy Executive Leather Low-Back Tilter"/>
    <n v="701.37"/>
    <n v="2"/>
    <n v="-50.1"/>
  </r>
  <r>
    <d v="2015-04-24T00:00:00"/>
    <x v="3"/>
    <x v="1"/>
    <x v="419"/>
    <x v="3"/>
    <x v="0"/>
    <x v="0"/>
    <s v="Strathmore Photo Frame Cards"/>
    <n v="65.790000000000006"/>
    <n v="9"/>
    <n v="30.26"/>
  </r>
  <r>
    <d v="2016-04-24T00:00:00"/>
    <x v="3"/>
    <x v="2"/>
    <x v="107"/>
    <x v="19"/>
    <x v="1"/>
    <x v="3"/>
    <s v="Rubbermaid ClusterMat Chairmats, Mat Size- 66&quot; x 60&quot;, Lip 20&quot; x 11&quot; -90 Degree Angle"/>
    <n v="532.70000000000005"/>
    <n v="6"/>
    <n v="-26.64"/>
  </r>
  <r>
    <d v="2017-04-24T00:00:00"/>
    <x v="3"/>
    <x v="3"/>
    <x v="199"/>
    <x v="19"/>
    <x v="1"/>
    <x v="12"/>
    <s v="Office Star - Contemporary Task Swivel Chair"/>
    <n v="155.37"/>
    <n v="2"/>
    <n v="-13.32"/>
  </r>
  <r>
    <d v="2014-05-24T00:00:00"/>
    <x v="4"/>
    <x v="0"/>
    <x v="420"/>
    <x v="1"/>
    <x v="1"/>
    <x v="12"/>
    <s v="Hon 4700 Series Mobuis Mid-Back Task Chairs with Adjustable Arms"/>
    <n v="747.56"/>
    <n v="3"/>
    <n v="-96.11"/>
  </r>
  <r>
    <d v="2014-06-24T00:00:00"/>
    <x v="5"/>
    <x v="0"/>
    <x v="421"/>
    <x v="0"/>
    <x v="1"/>
    <x v="5"/>
    <s v="O'Sullivan Plantations 2-Door Library in Landvery Oak"/>
    <n v="956.66"/>
    <n v="7"/>
    <n v="-225.1"/>
  </r>
  <r>
    <d v="2016-06-24T00:00:00"/>
    <x v="5"/>
    <x v="2"/>
    <x v="422"/>
    <x v="2"/>
    <x v="0"/>
    <x v="1"/>
    <s v="Avery 483"/>
    <n v="15.94"/>
    <n v="4"/>
    <n v="5.18"/>
  </r>
  <r>
    <d v="2014-08-24T00:00:00"/>
    <x v="7"/>
    <x v="0"/>
    <x v="304"/>
    <x v="13"/>
    <x v="0"/>
    <x v="7"/>
    <s v="Kensington 6 Outlet Guardian Standard Surge Protector"/>
    <n v="61.44"/>
    <n v="3"/>
    <n v="16.59"/>
  </r>
  <r>
    <d v="2017-08-24T00:00:00"/>
    <x v="7"/>
    <x v="3"/>
    <x v="423"/>
    <x v="3"/>
    <x v="0"/>
    <x v="8"/>
    <s v="GBC Recycled VeloBinder Covers"/>
    <n v="27.26"/>
    <n v="2"/>
    <n v="8.86"/>
  </r>
  <r>
    <d v="2014-09-24T00:00:00"/>
    <x v="8"/>
    <x v="0"/>
    <x v="252"/>
    <x v="0"/>
    <x v="1"/>
    <x v="3"/>
    <s v="Contemporary Wood/Metal Frame"/>
    <n v="51.71"/>
    <n v="8"/>
    <n v="-32.32"/>
  </r>
  <r>
    <d v="2015-09-24T00:00:00"/>
    <x v="8"/>
    <x v="1"/>
    <x v="391"/>
    <x v="16"/>
    <x v="2"/>
    <x v="6"/>
    <s v="WD My Passport Ultra 500GB Portable External Hard Drive"/>
    <n v="177"/>
    <n v="3"/>
    <n v="30.09"/>
  </r>
  <r>
    <d v="2016-09-24T00:00:00"/>
    <x v="8"/>
    <x v="2"/>
    <x v="424"/>
    <x v="29"/>
    <x v="0"/>
    <x v="0"/>
    <s v="Xerox 1982"/>
    <n v="45.68"/>
    <n v="2"/>
    <n v="21.01"/>
  </r>
  <r>
    <d v="2017-10-24T00:00:00"/>
    <x v="9"/>
    <x v="3"/>
    <x v="277"/>
    <x v="3"/>
    <x v="0"/>
    <x v="8"/>
    <s v="Avery Durable Plastic 1&quot; Binders"/>
    <n v="18.16"/>
    <n v="5"/>
    <n v="6.58"/>
  </r>
  <r>
    <d v="2014-11-24T00:00:00"/>
    <x v="10"/>
    <x v="0"/>
    <x v="396"/>
    <x v="2"/>
    <x v="1"/>
    <x v="12"/>
    <s v="Hon Olson Stacker Stools"/>
    <n v="492.84"/>
    <n v="5"/>
    <n v="-14.08"/>
  </r>
  <r>
    <d v="2015-11-24T00:00:00"/>
    <x v="10"/>
    <x v="1"/>
    <x v="132"/>
    <x v="4"/>
    <x v="2"/>
    <x v="9"/>
    <s v="LF Elite 3D Dazzle Designer Hard Case Cover, Lf Stylus Pen and Wiper For Apple Iphone 5c Mini Lite"/>
    <n v="21.8"/>
    <n v="2"/>
    <n v="6.1"/>
  </r>
  <r>
    <d v="2014-12-24T00:00:00"/>
    <x v="11"/>
    <x v="0"/>
    <x v="38"/>
    <x v="23"/>
    <x v="0"/>
    <x v="2"/>
    <s v="Hunt PowerHouse Electric Pencil Sharpener, Blue"/>
    <n v="75.959999999999994"/>
    <n v="2"/>
    <n v="22.79"/>
  </r>
  <r>
    <d v="2015-12-24T00:00:00"/>
    <x v="11"/>
    <x v="1"/>
    <x v="425"/>
    <x v="3"/>
    <x v="0"/>
    <x v="8"/>
    <s v="Cardinal Holdit Data Disk Pockets"/>
    <n v="29.12"/>
    <n v="5"/>
    <n v="9.83"/>
  </r>
  <r>
    <d v="2016-12-24T00:00:00"/>
    <x v="11"/>
    <x v="2"/>
    <x v="426"/>
    <x v="16"/>
    <x v="0"/>
    <x v="8"/>
    <s v="Wilson Jones International Size A4 Ring Binders"/>
    <n v="27.68"/>
    <n v="2"/>
    <n v="9.69"/>
  </r>
  <r>
    <d v="2017-12-24T00:00:00"/>
    <x v="11"/>
    <x v="3"/>
    <x v="427"/>
    <x v="27"/>
    <x v="1"/>
    <x v="5"/>
    <s v="Bush Somerset Collection Bookcase"/>
    <n v="261.95999999999998"/>
    <n v="2"/>
    <n v="41.91"/>
  </r>
  <r>
    <d v="2016-01-25T00:00:00"/>
    <x v="0"/>
    <x v="2"/>
    <x v="225"/>
    <x v="3"/>
    <x v="0"/>
    <x v="10"/>
    <s v="File Shuttle I and Handi-File"/>
    <n v="155.82"/>
    <n v="7"/>
    <n v="42.07"/>
  </r>
  <r>
    <d v="2017-02-25T00:00:00"/>
    <x v="1"/>
    <x v="3"/>
    <x v="382"/>
    <x v="13"/>
    <x v="2"/>
    <x v="6"/>
    <s v="Micropad Numeric Keypads"/>
    <n v="59.97"/>
    <n v="3"/>
    <n v="14.99"/>
  </r>
  <r>
    <d v="2014-03-25T00:00:00"/>
    <x v="2"/>
    <x v="0"/>
    <x v="428"/>
    <x v="9"/>
    <x v="0"/>
    <x v="8"/>
    <s v="Avery Durable Slant Ring Binders With Label Holder"/>
    <n v="6.27"/>
    <n v="5"/>
    <n v="-4.5999999999999996"/>
  </r>
  <r>
    <d v="2016-03-25T00:00:00"/>
    <x v="2"/>
    <x v="2"/>
    <x v="429"/>
    <x v="16"/>
    <x v="0"/>
    <x v="2"/>
    <s v="Boston 16801 Nautilus Battery Pencil Sharpener"/>
    <n v="44.02"/>
    <n v="2"/>
    <n v="11.45"/>
  </r>
  <r>
    <d v="2014-04-25T00:00:00"/>
    <x v="3"/>
    <x v="0"/>
    <x v="234"/>
    <x v="7"/>
    <x v="2"/>
    <x v="6"/>
    <s v="Logitech diNovo Edge Keyboard"/>
    <n v="499.98"/>
    <n v="2"/>
    <n v="115"/>
  </r>
  <r>
    <d v="2015-04-25T00:00:00"/>
    <x v="3"/>
    <x v="1"/>
    <x v="285"/>
    <x v="3"/>
    <x v="2"/>
    <x v="6"/>
    <s v="Imation 16GB Mini TravelDrive USB 2.0 Flash Drive"/>
    <n v="99.39"/>
    <n v="3"/>
    <n v="40.75"/>
  </r>
  <r>
    <d v="2016-04-25T00:00:00"/>
    <x v="3"/>
    <x v="2"/>
    <x v="128"/>
    <x v="39"/>
    <x v="0"/>
    <x v="10"/>
    <s v="Tennsco Snap-Together Open Shelving Units, Starter Sets and Add-On Units"/>
    <n v="1117.92"/>
    <n v="4"/>
    <n v="55.9"/>
  </r>
  <r>
    <d v="2014-05-25T00:00:00"/>
    <x v="4"/>
    <x v="0"/>
    <x v="276"/>
    <x v="8"/>
    <x v="1"/>
    <x v="12"/>
    <s v="Novimex Fabric Task Chair"/>
    <n v="195.14"/>
    <n v="4"/>
    <n v="-12.2"/>
  </r>
  <r>
    <d v="2015-05-25T00:00:00"/>
    <x v="4"/>
    <x v="1"/>
    <x v="355"/>
    <x v="13"/>
    <x v="1"/>
    <x v="3"/>
    <s v="Luxo Economy Swing Arm Lamp"/>
    <n v="39.880000000000003"/>
    <n v="2"/>
    <n v="11.17"/>
  </r>
  <r>
    <d v="2016-05-25T00:00:00"/>
    <x v="4"/>
    <x v="2"/>
    <x v="430"/>
    <x v="2"/>
    <x v="0"/>
    <x v="11"/>
    <s v="Advantus Map Pennant Flags and Round Head Tacks"/>
    <n v="15.8"/>
    <n v="5"/>
    <n v="2.37"/>
  </r>
  <r>
    <d v="2017-05-25T00:00:00"/>
    <x v="4"/>
    <x v="3"/>
    <x v="431"/>
    <x v="11"/>
    <x v="0"/>
    <x v="0"/>
    <s v="Telephone Message Books with Fax/Mobile Section, 5 1/2&quot; x 3 3/16&quot;"/>
    <n v="5.08"/>
    <n v="1"/>
    <n v="1.65"/>
  </r>
  <r>
    <d v="2014-06-25T00:00:00"/>
    <x v="5"/>
    <x v="0"/>
    <x v="432"/>
    <x v="0"/>
    <x v="2"/>
    <x v="6"/>
    <s v="Memorex Micro Travel Drive 32 GB"/>
    <n v="58.42"/>
    <n v="2"/>
    <n v="16.79"/>
  </r>
  <r>
    <d v="2015-06-25T00:00:00"/>
    <x v="5"/>
    <x v="1"/>
    <x v="254"/>
    <x v="21"/>
    <x v="2"/>
    <x v="9"/>
    <s v="AT&amp;T 17929 Lendline Telephone"/>
    <n v="36.19"/>
    <n v="1"/>
    <n v="2.71"/>
  </r>
  <r>
    <d v="2016-06-25T00:00:00"/>
    <x v="5"/>
    <x v="2"/>
    <x v="433"/>
    <x v="22"/>
    <x v="0"/>
    <x v="0"/>
    <s v="Universal Premium White Copier/Laser Paper (20Lb. and 87 Bright)"/>
    <n v="23.92"/>
    <n v="4"/>
    <n v="11.72"/>
  </r>
  <r>
    <d v="2014-07-25T00:00:00"/>
    <x v="6"/>
    <x v="0"/>
    <x v="434"/>
    <x v="13"/>
    <x v="1"/>
    <x v="3"/>
    <s v="Eldon Delta Triangular Chair Mat, 52&quot; x 58&quot;, Clear"/>
    <n v="113.79"/>
    <n v="3"/>
    <n v="20.48"/>
  </r>
  <r>
    <d v="2015-07-25T00:00:00"/>
    <x v="6"/>
    <x v="1"/>
    <x v="435"/>
    <x v="0"/>
    <x v="2"/>
    <x v="9"/>
    <s v="GE 30524EE4"/>
    <n v="1097.54"/>
    <n v="7"/>
    <n v="123.47"/>
  </r>
  <r>
    <d v="2016-07-25T00:00:00"/>
    <x v="6"/>
    <x v="2"/>
    <x v="436"/>
    <x v="13"/>
    <x v="0"/>
    <x v="11"/>
    <s v="Advantus Push Pins"/>
    <n v="15.26"/>
    <n v="7"/>
    <n v="6.26"/>
  </r>
  <r>
    <d v="2017-07-25T00:00:00"/>
    <x v="6"/>
    <x v="3"/>
    <x v="123"/>
    <x v="26"/>
    <x v="1"/>
    <x v="3"/>
    <s v="Executive Impressions 14&quot;"/>
    <n v="133.38"/>
    <n v="6"/>
    <n v="58.69"/>
  </r>
  <r>
    <d v="2017-08-25T00:00:00"/>
    <x v="7"/>
    <x v="3"/>
    <x v="437"/>
    <x v="1"/>
    <x v="0"/>
    <x v="8"/>
    <s v="Cardinal Hold-It CD Pocket"/>
    <n v="4.79"/>
    <n v="3"/>
    <n v="-7.9"/>
  </r>
  <r>
    <d v="2014-09-25T00:00:00"/>
    <x v="8"/>
    <x v="0"/>
    <x v="438"/>
    <x v="3"/>
    <x v="1"/>
    <x v="14"/>
    <s v="Bretford Just In Time Height-Adjustable Multi-Task Work Tables"/>
    <n v="2003.52"/>
    <n v="6"/>
    <n v="-325.57"/>
  </r>
  <r>
    <d v="2015-09-25T00:00:00"/>
    <x v="8"/>
    <x v="1"/>
    <x v="439"/>
    <x v="11"/>
    <x v="0"/>
    <x v="8"/>
    <s v="GBC VeloBinder Electric Binding Machine"/>
    <n v="254.06"/>
    <n v="7"/>
    <n v="-169.37"/>
  </r>
  <r>
    <d v="2014-10-25T00:00:00"/>
    <x v="9"/>
    <x v="0"/>
    <x v="177"/>
    <x v="9"/>
    <x v="1"/>
    <x v="14"/>
    <s v="SAFCO PlanMaster Boards, 60w x 37-1/2d, White Melamine"/>
    <n v="455.97"/>
    <n v="6"/>
    <n v="-218.87"/>
  </r>
  <r>
    <d v="2016-11-25T00:00:00"/>
    <x v="10"/>
    <x v="2"/>
    <x v="338"/>
    <x v="4"/>
    <x v="1"/>
    <x v="3"/>
    <s v="Electrix Architect's Clamp-On Swing Arm Lamp, Black"/>
    <n v="572.76"/>
    <n v="6"/>
    <n v="166.1"/>
  </r>
  <r>
    <d v="2015-12-25T00:00:00"/>
    <x v="11"/>
    <x v="1"/>
    <x v="299"/>
    <x v="21"/>
    <x v="0"/>
    <x v="8"/>
    <s v="GBC Linen Binding Covers"/>
    <n v="27.88"/>
    <n v="3"/>
    <n v="-20.45"/>
  </r>
  <r>
    <d v="2016-12-25T00:00:00"/>
    <x v="11"/>
    <x v="2"/>
    <x v="127"/>
    <x v="3"/>
    <x v="2"/>
    <x v="9"/>
    <s v="Samsung Galaxy Note 2"/>
    <n v="2575.94"/>
    <n v="7"/>
    <n v="257.58999999999997"/>
  </r>
  <r>
    <d v="2014-01-26T00:00:00"/>
    <x v="0"/>
    <x v="0"/>
    <x v="440"/>
    <x v="16"/>
    <x v="0"/>
    <x v="0"/>
    <s v="Strathmore Photo Mount Cards"/>
    <n v="33.9"/>
    <n v="5"/>
    <n v="15.59"/>
  </r>
  <r>
    <d v="2015-01-26T00:00:00"/>
    <x v="0"/>
    <x v="1"/>
    <x v="32"/>
    <x v="15"/>
    <x v="1"/>
    <x v="12"/>
    <s v="Global Leather &amp; Oak Executive Chair, Burgundy"/>
    <n v="754.45"/>
    <n v="5"/>
    <n v="60.36"/>
  </r>
  <r>
    <d v="2014-03-26T00:00:00"/>
    <x v="2"/>
    <x v="0"/>
    <x v="107"/>
    <x v="12"/>
    <x v="0"/>
    <x v="2"/>
    <s v="Crayola Anti Dust Chalk, 12/Pack"/>
    <n v="3.64"/>
    <n v="2"/>
    <n v="1.64"/>
  </r>
  <r>
    <d v="2015-03-26T00:00:00"/>
    <x v="2"/>
    <x v="1"/>
    <x v="441"/>
    <x v="19"/>
    <x v="1"/>
    <x v="3"/>
    <s v="Linden 10&quot; Round Wall Clock, Black"/>
    <n v="48.9"/>
    <n v="4"/>
    <n v="8.56"/>
  </r>
  <r>
    <d v="2017-03-26T00:00:00"/>
    <x v="2"/>
    <x v="3"/>
    <x v="371"/>
    <x v="21"/>
    <x v="2"/>
    <x v="13"/>
    <s v="Cisco CP-7937G Unified IP Conference Station Phone"/>
    <n v="695.7"/>
    <n v="2"/>
    <n v="-27.83"/>
  </r>
  <r>
    <d v="2014-04-26T00:00:00"/>
    <x v="3"/>
    <x v="0"/>
    <x v="11"/>
    <x v="3"/>
    <x v="0"/>
    <x v="0"/>
    <s v="Xerox 1905"/>
    <n v="38.880000000000003"/>
    <n v="6"/>
    <n v="18.66"/>
  </r>
  <r>
    <d v="2016-04-26T00:00:00"/>
    <x v="3"/>
    <x v="2"/>
    <x v="255"/>
    <x v="24"/>
    <x v="0"/>
    <x v="8"/>
    <s v="Wilson Jones Turn Tabs Binder Tool for Ring Binders"/>
    <n v="33.74"/>
    <n v="7"/>
    <n v="15.52"/>
  </r>
  <r>
    <d v="2017-05-26T00:00:00"/>
    <x v="4"/>
    <x v="3"/>
    <x v="442"/>
    <x v="16"/>
    <x v="1"/>
    <x v="14"/>
    <s v="Balt Solid Wood Round Tables"/>
    <n v="892.98"/>
    <n v="2"/>
    <n v="80.37"/>
  </r>
  <r>
    <d v="2015-06-26T00:00:00"/>
    <x v="5"/>
    <x v="1"/>
    <x v="443"/>
    <x v="2"/>
    <x v="0"/>
    <x v="7"/>
    <s v="Belkin F9M820V08 8 Outlet Surge"/>
    <n v="34.380000000000003"/>
    <n v="1"/>
    <n v="3.87"/>
  </r>
  <r>
    <d v="2016-06-26T00:00:00"/>
    <x v="5"/>
    <x v="2"/>
    <x v="118"/>
    <x v="0"/>
    <x v="0"/>
    <x v="1"/>
    <s v="Avery 510"/>
    <n v="6"/>
    <n v="2"/>
    <n v="2.1"/>
  </r>
  <r>
    <d v="2014-07-26T00:00:00"/>
    <x v="6"/>
    <x v="0"/>
    <x v="444"/>
    <x v="16"/>
    <x v="0"/>
    <x v="10"/>
    <s v="Carina Double Wide Media Storage Towers in Natural &amp; Black"/>
    <n v="242.94"/>
    <n v="3"/>
    <n v="9.7200000000000006"/>
  </r>
  <r>
    <d v="2015-07-26T00:00:00"/>
    <x v="6"/>
    <x v="1"/>
    <x v="283"/>
    <x v="35"/>
    <x v="2"/>
    <x v="15"/>
    <s v="Canon Image Class D660 Copier"/>
    <n v="2999.95"/>
    <n v="5"/>
    <n v="1379.98"/>
  </r>
  <r>
    <d v="2017-07-26T00:00:00"/>
    <x v="6"/>
    <x v="3"/>
    <x v="264"/>
    <x v="7"/>
    <x v="0"/>
    <x v="11"/>
    <s v="Revere Boxed Rubber Bands by Revere"/>
    <n v="5.67"/>
    <n v="3"/>
    <n v="0.11"/>
  </r>
  <r>
    <d v="2015-09-26T00:00:00"/>
    <x v="8"/>
    <x v="1"/>
    <x v="256"/>
    <x v="23"/>
    <x v="0"/>
    <x v="8"/>
    <s v="Cardinal EasyOpen D-Ring Binders"/>
    <n v="18.28"/>
    <n v="2"/>
    <n v="9.14"/>
  </r>
  <r>
    <d v="2016-09-26T00:00:00"/>
    <x v="8"/>
    <x v="2"/>
    <x v="257"/>
    <x v="4"/>
    <x v="1"/>
    <x v="5"/>
    <s v="Bush Andora Bookcase, Maple/Graphite Gray Finish"/>
    <n v="359.97"/>
    <n v="3"/>
    <n v="79.19"/>
  </r>
  <r>
    <d v="2017-09-26T00:00:00"/>
    <x v="8"/>
    <x v="3"/>
    <x v="129"/>
    <x v="3"/>
    <x v="0"/>
    <x v="8"/>
    <s v="Acco Pressboard Covers with Storage Hooks, 14 7/8&quot; x 11&quot;, Dark Blue"/>
    <n v="21.34"/>
    <n v="7"/>
    <n v="7.73"/>
  </r>
  <r>
    <d v="2014-10-26T00:00:00"/>
    <x v="9"/>
    <x v="0"/>
    <x v="213"/>
    <x v="13"/>
    <x v="0"/>
    <x v="0"/>
    <s v="Xerox 1912"/>
    <n v="37.94"/>
    <n v="2"/>
    <n v="18.21"/>
  </r>
  <r>
    <d v="2015-10-26T00:00:00"/>
    <x v="9"/>
    <x v="1"/>
    <x v="445"/>
    <x v="1"/>
    <x v="1"/>
    <x v="14"/>
    <s v="Chromcraft 48&quot; x 96&quot; Racetrack Double Pedestal Table"/>
    <n v="480.96"/>
    <n v="3"/>
    <n v="-269.33999999999997"/>
  </r>
  <r>
    <d v="2017-10-26T00:00:00"/>
    <x v="9"/>
    <x v="3"/>
    <x v="446"/>
    <x v="3"/>
    <x v="2"/>
    <x v="9"/>
    <s v="iHome FM Clock Radio with Lightning Dock"/>
    <n v="167.98"/>
    <n v="3"/>
    <n v="10.5"/>
  </r>
  <r>
    <d v="2014-11-26T00:00:00"/>
    <x v="10"/>
    <x v="0"/>
    <x v="447"/>
    <x v="7"/>
    <x v="0"/>
    <x v="7"/>
    <s v="Kensington 7 Outlet MasterPiece Power Center"/>
    <n v="1245.8599999999999"/>
    <n v="7"/>
    <n v="361.3"/>
  </r>
  <r>
    <d v="2017-11-26T00:00:00"/>
    <x v="10"/>
    <x v="3"/>
    <x v="243"/>
    <x v="0"/>
    <x v="2"/>
    <x v="6"/>
    <s v="Microsoft Natural Keyboard Elite"/>
    <n v="47.9"/>
    <n v="1"/>
    <n v="-2.99"/>
  </r>
  <r>
    <d v="2016-12-26T00:00:00"/>
    <x v="11"/>
    <x v="2"/>
    <x v="293"/>
    <x v="3"/>
    <x v="0"/>
    <x v="0"/>
    <s v="Ampad Phone Message Book, Recycled, 400 Message Capacity, 5 ¾ x 11"/>
    <n v="37.44"/>
    <n v="6"/>
    <n v="16.850000000000001"/>
  </r>
  <r>
    <d v="2017-12-26T00:00:00"/>
    <x v="11"/>
    <x v="3"/>
    <x v="125"/>
    <x v="1"/>
    <x v="0"/>
    <x v="8"/>
    <s v="Avery Hidden Tab Dividers for Binding Systems"/>
    <n v="1.79"/>
    <n v="3"/>
    <n v="-3.04"/>
  </r>
  <r>
    <d v="2014-01-27T00:00:00"/>
    <x v="0"/>
    <x v="0"/>
    <x v="285"/>
    <x v="0"/>
    <x v="0"/>
    <x v="16"/>
    <s v="Staple remover"/>
    <n v="6.98"/>
    <n v="4"/>
    <n v="-1.4"/>
  </r>
  <r>
    <d v="2015-01-27T00:00:00"/>
    <x v="0"/>
    <x v="1"/>
    <x v="448"/>
    <x v="27"/>
    <x v="0"/>
    <x v="7"/>
    <s v="Acco 6 Outlet Guardian Premium Surge Suppressor"/>
    <n v="72.8"/>
    <n v="5"/>
    <n v="19.66"/>
  </r>
  <r>
    <d v="2014-02-27T00:00:00"/>
    <x v="1"/>
    <x v="0"/>
    <x v="199"/>
    <x v="15"/>
    <x v="0"/>
    <x v="1"/>
    <s v="Avery 515"/>
    <n v="25.06"/>
    <n v="2"/>
    <n v="11.78"/>
  </r>
  <r>
    <d v="2016-02-27T00:00:00"/>
    <x v="1"/>
    <x v="2"/>
    <x v="449"/>
    <x v="13"/>
    <x v="0"/>
    <x v="0"/>
    <s v="Xerox 1883"/>
    <n v="26.38"/>
    <n v="1"/>
    <n v="12.13"/>
  </r>
  <r>
    <d v="2015-03-27T00:00:00"/>
    <x v="2"/>
    <x v="1"/>
    <x v="450"/>
    <x v="2"/>
    <x v="0"/>
    <x v="2"/>
    <s v="Newell 337"/>
    <n v="5.25"/>
    <n v="2"/>
    <n v="0.59"/>
  </r>
  <r>
    <d v="2016-03-27T00:00:00"/>
    <x v="2"/>
    <x v="2"/>
    <x v="426"/>
    <x v="14"/>
    <x v="0"/>
    <x v="8"/>
    <s v="GBC DocuBind TL200 Manual Binding Machine"/>
    <n v="895.92"/>
    <n v="4"/>
    <n v="421.08"/>
  </r>
  <r>
    <d v="2017-03-27T00:00:00"/>
    <x v="2"/>
    <x v="3"/>
    <x v="451"/>
    <x v="3"/>
    <x v="0"/>
    <x v="0"/>
    <s v="Multicolor Computer Printout Paper"/>
    <n v="314.55"/>
    <n v="3"/>
    <n v="150.97999999999999"/>
  </r>
  <r>
    <d v="2017-04-27T00:00:00"/>
    <x v="3"/>
    <x v="3"/>
    <x v="452"/>
    <x v="13"/>
    <x v="0"/>
    <x v="1"/>
    <s v="Avery 506"/>
    <n v="28.91"/>
    <n v="7"/>
    <n v="13.3"/>
  </r>
  <r>
    <d v="2014-05-27T00:00:00"/>
    <x v="4"/>
    <x v="0"/>
    <x v="32"/>
    <x v="18"/>
    <x v="1"/>
    <x v="3"/>
    <s v="GE General Purpose, Extra Long Life, Showcase &amp; Floodlight Incandescent Bulbs"/>
    <n v="2.91"/>
    <n v="1"/>
    <n v="1.37"/>
  </r>
  <r>
    <d v="2016-05-27T00:00:00"/>
    <x v="4"/>
    <x v="2"/>
    <x v="453"/>
    <x v="3"/>
    <x v="1"/>
    <x v="3"/>
    <s v="DAX Natural Wood-Tone Poster Frame"/>
    <n v="211.84"/>
    <n v="8"/>
    <n v="76.260000000000005"/>
  </r>
  <r>
    <d v="2014-06-27T00:00:00"/>
    <x v="5"/>
    <x v="0"/>
    <x v="454"/>
    <x v="13"/>
    <x v="0"/>
    <x v="0"/>
    <s v="Xerox 1888"/>
    <n v="221.92"/>
    <n v="4"/>
    <n v="106.52"/>
  </r>
  <r>
    <d v="2016-06-27T00:00:00"/>
    <x v="5"/>
    <x v="2"/>
    <x v="219"/>
    <x v="13"/>
    <x v="1"/>
    <x v="5"/>
    <s v="Sauder Forest Hills Library with Doors, Woodland Oak Finish"/>
    <n v="257.57"/>
    <n v="2"/>
    <n v="-28.98"/>
  </r>
  <r>
    <d v="2014-07-27T00:00:00"/>
    <x v="6"/>
    <x v="0"/>
    <x v="84"/>
    <x v="2"/>
    <x v="1"/>
    <x v="3"/>
    <s v="Eldon Expressions Punched Metal &amp; Wood Desk Accessories, Black &amp; Cherry"/>
    <n v="15.01"/>
    <n v="2"/>
    <n v="1.5"/>
  </r>
  <r>
    <d v="2015-07-27T00:00:00"/>
    <x v="6"/>
    <x v="1"/>
    <x v="26"/>
    <x v="11"/>
    <x v="0"/>
    <x v="8"/>
    <s v="Canvas Sectional Post Binders"/>
    <n v="68.739999999999995"/>
    <n v="9"/>
    <n v="-48.12"/>
  </r>
  <r>
    <d v="2014-08-27T00:00:00"/>
    <x v="7"/>
    <x v="0"/>
    <x v="193"/>
    <x v="18"/>
    <x v="0"/>
    <x v="10"/>
    <s v="Adjustable Personal File Tote"/>
    <n v="81.400000000000006"/>
    <n v="5"/>
    <n v="21.16"/>
  </r>
  <r>
    <d v="2017-08-27T00:00:00"/>
    <x v="7"/>
    <x v="3"/>
    <x v="455"/>
    <x v="39"/>
    <x v="0"/>
    <x v="4"/>
    <s v="Multimedia Mailers"/>
    <n v="325.86"/>
    <n v="2"/>
    <n v="149.9"/>
  </r>
  <r>
    <d v="2014-09-27T00:00:00"/>
    <x v="8"/>
    <x v="0"/>
    <x v="302"/>
    <x v="0"/>
    <x v="1"/>
    <x v="5"/>
    <s v="Bush Mission Pointe Library"/>
    <n v="205.33"/>
    <n v="2"/>
    <n v="-36.24"/>
  </r>
  <r>
    <d v="2016-09-27T00:00:00"/>
    <x v="8"/>
    <x v="2"/>
    <x v="456"/>
    <x v="2"/>
    <x v="1"/>
    <x v="3"/>
    <s v="Staple-based wall hangings"/>
    <n v="25.47"/>
    <n v="4"/>
    <n v="7.64"/>
  </r>
  <r>
    <d v="2015-11-27T00:00:00"/>
    <x v="10"/>
    <x v="1"/>
    <x v="457"/>
    <x v="13"/>
    <x v="0"/>
    <x v="1"/>
    <s v="Color-Coded Legal Exhibit Labels"/>
    <n v="9.82"/>
    <n v="2"/>
    <n v="4.8099999999999996"/>
  </r>
  <r>
    <d v="2017-11-27T00:00:00"/>
    <x v="10"/>
    <x v="3"/>
    <x v="458"/>
    <x v="3"/>
    <x v="2"/>
    <x v="6"/>
    <s v="SanDisk Ultra 64 GB MicroSDHC Class 10 Memory Card"/>
    <n v="199.95"/>
    <n v="5"/>
    <n v="21.99"/>
  </r>
  <r>
    <d v="2015-12-27T00:00:00"/>
    <x v="11"/>
    <x v="1"/>
    <x v="158"/>
    <x v="0"/>
    <x v="0"/>
    <x v="7"/>
    <s v="Acco 7-Outlet Masterpiece Power Center, Wihtout Fax/Phone Line Protection"/>
    <n v="97.26"/>
    <n v="4"/>
    <n v="-243.16"/>
  </r>
  <r>
    <d v="2017-12-27T00:00:00"/>
    <x v="11"/>
    <x v="3"/>
    <x v="459"/>
    <x v="13"/>
    <x v="0"/>
    <x v="7"/>
    <s v="Tripp Lite Isotel 6 Outlet Surge Protector with Fax/Modem Protection"/>
    <n v="121.94"/>
    <n v="2"/>
    <n v="35.36"/>
  </r>
  <r>
    <d v="2014-01-28T00:00:00"/>
    <x v="0"/>
    <x v="0"/>
    <x v="235"/>
    <x v="2"/>
    <x v="0"/>
    <x v="7"/>
    <s v="Acco Smartsocket Table Surge Protector, 6 Color-Coded Adapter Outlets"/>
    <n v="99.28"/>
    <n v="2"/>
    <n v="12.41"/>
  </r>
  <r>
    <d v="2015-01-28T00:00:00"/>
    <x v="0"/>
    <x v="1"/>
    <x v="446"/>
    <x v="0"/>
    <x v="0"/>
    <x v="1"/>
    <s v="Avery Address/Shipping Labels for Typewriters, 4&quot; x 2&quot;"/>
    <n v="33.119999999999997"/>
    <n v="4"/>
    <n v="11.59"/>
  </r>
  <r>
    <d v="2015-02-28T00:00:00"/>
    <x v="1"/>
    <x v="1"/>
    <x v="460"/>
    <x v="19"/>
    <x v="1"/>
    <x v="14"/>
    <s v="SAFCO PlanMaster Heigh-Adjustable Drafting Table Base, 43w x 30d x 30-37h, Black"/>
    <n v="1048.3499999999999"/>
    <n v="5"/>
    <n v="-69.89"/>
  </r>
  <r>
    <d v="2014-03-28T00:00:00"/>
    <x v="2"/>
    <x v="0"/>
    <x v="408"/>
    <x v="17"/>
    <x v="1"/>
    <x v="3"/>
    <s v="Eldon Advantage Chair Mats for Low to Medium Pile Carpets"/>
    <n v="129.93"/>
    <n v="3"/>
    <n v="12.99"/>
  </r>
  <r>
    <d v="2015-03-28T00:00:00"/>
    <x v="2"/>
    <x v="1"/>
    <x v="406"/>
    <x v="1"/>
    <x v="0"/>
    <x v="2"/>
    <s v="Blackstonian Pencils"/>
    <n v="6.41"/>
    <n v="3"/>
    <n v="0.64"/>
  </r>
  <r>
    <d v="2016-03-28T00:00:00"/>
    <x v="2"/>
    <x v="2"/>
    <x v="305"/>
    <x v="19"/>
    <x v="0"/>
    <x v="10"/>
    <s v="SAFCO Commercial Wire Shelving, Black"/>
    <n v="221.02"/>
    <n v="2"/>
    <n v="-55.26"/>
  </r>
  <r>
    <d v="2017-03-28T00:00:00"/>
    <x v="2"/>
    <x v="3"/>
    <x v="461"/>
    <x v="42"/>
    <x v="0"/>
    <x v="2"/>
    <s v="Boston 1645 Deluxe Heavier-Duty Electric Pencil Sharpener"/>
    <n v="131.94"/>
    <n v="3"/>
    <n v="35.619999999999997"/>
  </r>
  <r>
    <d v="2014-04-28T00:00:00"/>
    <x v="3"/>
    <x v="0"/>
    <x v="450"/>
    <x v="7"/>
    <x v="0"/>
    <x v="8"/>
    <s v="Recycled Easel Ring Binders"/>
    <n v="29.84"/>
    <n v="2"/>
    <n v="13.43"/>
  </r>
  <r>
    <d v="2015-04-28T00:00:00"/>
    <x v="3"/>
    <x v="1"/>
    <x v="462"/>
    <x v="27"/>
    <x v="0"/>
    <x v="7"/>
    <s v="Belkin 8-Outlet Premiere SurgeMaster II Surge Protectors"/>
    <n v="208.44"/>
    <n v="3"/>
    <n v="62.53"/>
  </r>
  <r>
    <d v="2014-05-28T00:00:00"/>
    <x v="4"/>
    <x v="0"/>
    <x v="105"/>
    <x v="37"/>
    <x v="1"/>
    <x v="3"/>
    <s v="Eldon 200 Class Desk Accessories, Burgundy"/>
    <n v="35.17"/>
    <n v="7"/>
    <n v="9.67"/>
  </r>
  <r>
    <d v="2015-05-28T00:00:00"/>
    <x v="4"/>
    <x v="1"/>
    <x v="463"/>
    <x v="21"/>
    <x v="1"/>
    <x v="3"/>
    <s v="Telescoping Adjustable Floor Lamp"/>
    <n v="31.98"/>
    <n v="2"/>
    <n v="2"/>
  </r>
  <r>
    <d v="2014-06-28T00:00:00"/>
    <x v="5"/>
    <x v="0"/>
    <x v="464"/>
    <x v="3"/>
    <x v="1"/>
    <x v="3"/>
    <s v="Eldon 300 Class Desk Accessories, Black"/>
    <n v="4.95"/>
    <n v="1"/>
    <n v="2.1800000000000002"/>
  </r>
  <r>
    <d v="2014-07-28T00:00:00"/>
    <x v="6"/>
    <x v="0"/>
    <x v="120"/>
    <x v="0"/>
    <x v="0"/>
    <x v="7"/>
    <s v="Eureka Disposable Bags for Sanitaire Vibra Groomer I Upright Vac"/>
    <n v="1.62"/>
    <n v="2"/>
    <n v="-4.47"/>
  </r>
  <r>
    <d v="2017-07-28T00:00:00"/>
    <x v="6"/>
    <x v="3"/>
    <x v="465"/>
    <x v="3"/>
    <x v="0"/>
    <x v="0"/>
    <s v="White Dual Perf Computer Printout Paper, 2700 Sheets, 1 Part, Heavyweight, 20 lbs., 14 7/8 x 11"/>
    <n v="122.97"/>
    <n v="3"/>
    <n v="60.26"/>
  </r>
  <r>
    <d v="2016-08-28T00:00:00"/>
    <x v="7"/>
    <x v="2"/>
    <x v="372"/>
    <x v="7"/>
    <x v="0"/>
    <x v="8"/>
    <s v="Ibico Plastic Spiral Binding Combs"/>
    <n v="91.2"/>
    <n v="3"/>
    <n v="41.95"/>
  </r>
  <r>
    <d v="2014-09-28T00:00:00"/>
    <x v="8"/>
    <x v="0"/>
    <x v="466"/>
    <x v="3"/>
    <x v="2"/>
    <x v="9"/>
    <s v="Anker 36W 4-Port USB Wall Charger Travel Power Adapter for iPhone 5s 5c 5"/>
    <n v="47.98"/>
    <n v="3"/>
    <n v="4.8"/>
  </r>
  <r>
    <d v="2014-10-28T00:00:00"/>
    <x v="9"/>
    <x v="0"/>
    <x v="467"/>
    <x v="13"/>
    <x v="0"/>
    <x v="0"/>
    <s v="Xerox 1943"/>
    <n v="97.82"/>
    <n v="2"/>
    <n v="45.98"/>
  </r>
  <r>
    <d v="2015-10-28T00:00:00"/>
    <x v="9"/>
    <x v="1"/>
    <x v="468"/>
    <x v="11"/>
    <x v="0"/>
    <x v="4"/>
    <s v="#10 White Business Envelopes,4 1/8 x 9 1/2"/>
    <n v="37.61"/>
    <n v="3"/>
    <n v="12.69"/>
  </r>
  <r>
    <d v="2014-11-28T00:00:00"/>
    <x v="10"/>
    <x v="0"/>
    <x v="339"/>
    <x v="3"/>
    <x v="0"/>
    <x v="10"/>
    <s v="Tennsco 16-Compartment Lockers with Coat Rack"/>
    <n v="1295.78"/>
    <n v="2"/>
    <n v="310.99"/>
  </r>
  <r>
    <d v="2015-11-28T00:00:00"/>
    <x v="10"/>
    <x v="1"/>
    <x v="469"/>
    <x v="12"/>
    <x v="0"/>
    <x v="8"/>
    <s v="Tuf-Vin Binders"/>
    <n v="75.790000000000006"/>
    <n v="3"/>
    <n v="25.58"/>
  </r>
  <r>
    <d v="2014-12-28T00:00:00"/>
    <x v="11"/>
    <x v="0"/>
    <x v="470"/>
    <x v="7"/>
    <x v="1"/>
    <x v="3"/>
    <s v="Westinghouse Floor Lamp with Metal Mesh Shade, Black"/>
    <n v="23.99"/>
    <n v="1"/>
    <n v="5.52"/>
  </r>
  <r>
    <d v="2017-12-28T00:00:00"/>
    <x v="11"/>
    <x v="3"/>
    <x v="422"/>
    <x v="0"/>
    <x v="1"/>
    <x v="3"/>
    <s v="Deflect-o RollaMat Studded, Beveled Mat for Medium Pile Carpeting"/>
    <n v="332.03"/>
    <n v="9"/>
    <n v="-348.63"/>
  </r>
  <r>
    <d v="2014-03-29T00:00:00"/>
    <x v="2"/>
    <x v="0"/>
    <x v="312"/>
    <x v="13"/>
    <x v="0"/>
    <x v="8"/>
    <s v="Wilson Jones Active Use Binders"/>
    <n v="17.47"/>
    <n v="3"/>
    <n v="6.33"/>
  </r>
  <r>
    <d v="2015-03-29T00:00:00"/>
    <x v="2"/>
    <x v="1"/>
    <x v="471"/>
    <x v="19"/>
    <x v="0"/>
    <x v="0"/>
    <s v="Wirebound Message Books, Four 2 3/4 x 5 Forms per Page, 200 Sets per Book"/>
    <n v="3.82"/>
    <n v="1"/>
    <n v="1.19"/>
  </r>
  <r>
    <d v="2016-03-29T00:00:00"/>
    <x v="2"/>
    <x v="2"/>
    <x v="472"/>
    <x v="2"/>
    <x v="2"/>
    <x v="9"/>
    <s v="Cisco SPA508G"/>
    <n v="39.590000000000003"/>
    <n v="1"/>
    <n v="-7.26"/>
  </r>
  <r>
    <d v="2017-03-29T00:00:00"/>
    <x v="2"/>
    <x v="3"/>
    <x v="473"/>
    <x v="32"/>
    <x v="0"/>
    <x v="1"/>
    <s v="Avery 498"/>
    <n v="20.23"/>
    <n v="7"/>
    <n v="9.51"/>
  </r>
  <r>
    <d v="2014-04-29T00:00:00"/>
    <x v="3"/>
    <x v="0"/>
    <x v="174"/>
    <x v="3"/>
    <x v="2"/>
    <x v="6"/>
    <s v="Logitech Z-906 Speaker sys - home theater - 5.1-CH"/>
    <n v="1649.95"/>
    <n v="5"/>
    <n v="659.98"/>
  </r>
  <r>
    <d v="2015-04-29T00:00:00"/>
    <x v="3"/>
    <x v="1"/>
    <x v="474"/>
    <x v="3"/>
    <x v="0"/>
    <x v="8"/>
    <s v="Zipper Ring Binder Pockets"/>
    <n v="9.98"/>
    <n v="4"/>
    <n v="3.62"/>
  </r>
  <r>
    <d v="2017-04-29T00:00:00"/>
    <x v="3"/>
    <x v="3"/>
    <x v="322"/>
    <x v="1"/>
    <x v="1"/>
    <x v="5"/>
    <s v="O'Sullivan Elevations Bookcase, Cherry Finish"/>
    <n v="183.37"/>
    <n v="2"/>
    <n v="-36.67"/>
  </r>
  <r>
    <d v="2015-05-29T00:00:00"/>
    <x v="4"/>
    <x v="1"/>
    <x v="475"/>
    <x v="21"/>
    <x v="2"/>
    <x v="6"/>
    <s v="Logitech G700s Rechargeable Gaming Mouse"/>
    <n v="79.989999999999995"/>
    <n v="1"/>
    <n v="22"/>
  </r>
  <r>
    <d v="2016-05-29T00:00:00"/>
    <x v="4"/>
    <x v="2"/>
    <x v="476"/>
    <x v="13"/>
    <x v="1"/>
    <x v="3"/>
    <s v="DAX Metal Frame, Desktop, Stepped-Edge"/>
    <n v="40.479999999999997"/>
    <n v="2"/>
    <n v="15.79"/>
  </r>
  <r>
    <d v="2014-06-29T00:00:00"/>
    <x v="5"/>
    <x v="0"/>
    <x v="214"/>
    <x v="11"/>
    <x v="2"/>
    <x v="9"/>
    <s v="Samsung Galaxy Mega 6.3"/>
    <n v="4367.8999999999996"/>
    <n v="13"/>
    <n v="327.58999999999997"/>
  </r>
  <r>
    <d v="2017-06-29T00:00:00"/>
    <x v="5"/>
    <x v="3"/>
    <x v="439"/>
    <x v="13"/>
    <x v="0"/>
    <x v="8"/>
    <s v="DXL Angle-View Binders with Locking Rings by Samsill"/>
    <n v="24.67"/>
    <n v="4"/>
    <n v="7.71"/>
  </r>
  <r>
    <d v="2014-08-29T00:00:00"/>
    <x v="7"/>
    <x v="0"/>
    <x v="441"/>
    <x v="21"/>
    <x v="0"/>
    <x v="0"/>
    <s v="Xerox 1910"/>
    <n v="192.16"/>
    <n v="5"/>
    <n v="67.260000000000005"/>
  </r>
  <r>
    <d v="2015-08-29T00:00:00"/>
    <x v="7"/>
    <x v="1"/>
    <x v="467"/>
    <x v="28"/>
    <x v="1"/>
    <x v="14"/>
    <s v="Office Impressions End Table, 20-1/2&quot;H x 24&quot;W x 20&quot;D"/>
    <n v="1488.42"/>
    <n v="7"/>
    <n v="-297.68"/>
  </r>
  <r>
    <d v="2016-08-29T00:00:00"/>
    <x v="7"/>
    <x v="2"/>
    <x v="45"/>
    <x v="13"/>
    <x v="1"/>
    <x v="3"/>
    <s v="Seth Thomas 12&quot; Clock w/ Goldtone Case"/>
    <n v="114.9"/>
    <n v="5"/>
    <n v="39.07"/>
  </r>
  <r>
    <d v="2014-09-29T00:00:00"/>
    <x v="8"/>
    <x v="0"/>
    <x v="124"/>
    <x v="1"/>
    <x v="0"/>
    <x v="8"/>
    <s v="Premier Elliptical Ring Binder, Black"/>
    <n v="42.62"/>
    <n v="7"/>
    <n v="-68.19"/>
  </r>
  <r>
    <d v="2016-09-29T00:00:00"/>
    <x v="8"/>
    <x v="2"/>
    <x v="33"/>
    <x v="1"/>
    <x v="2"/>
    <x v="9"/>
    <s v="Panasonic Kx-TS550"/>
    <n v="147.16999999999999"/>
    <n v="4"/>
    <n v="16.559999999999999"/>
  </r>
  <r>
    <d v="2014-10-29T00:00:00"/>
    <x v="9"/>
    <x v="0"/>
    <x v="296"/>
    <x v="3"/>
    <x v="1"/>
    <x v="3"/>
    <s v="Eldon Image Series Desk Accessories, Burgundy"/>
    <n v="8.36"/>
    <n v="2"/>
    <n v="3.01"/>
  </r>
  <r>
    <d v="2015-10-29T00:00:00"/>
    <x v="9"/>
    <x v="1"/>
    <x v="477"/>
    <x v="21"/>
    <x v="0"/>
    <x v="2"/>
    <s v="Fluorescent Highlighters by Dixon"/>
    <n v="15.92"/>
    <n v="5"/>
    <n v="2.79"/>
  </r>
  <r>
    <d v="2017-10-29T00:00:00"/>
    <x v="9"/>
    <x v="3"/>
    <x v="478"/>
    <x v="0"/>
    <x v="0"/>
    <x v="0"/>
    <s v="Xerox 1897"/>
    <n v="31.87"/>
    <n v="8"/>
    <n v="11.55"/>
  </r>
  <r>
    <d v="2014-11-29T00:00:00"/>
    <x v="10"/>
    <x v="0"/>
    <x v="479"/>
    <x v="3"/>
    <x v="0"/>
    <x v="0"/>
    <s v="Ampad Gold Fibre Wirebound Steno Books, 6&quot; x 9&quot;, Gregg Ruled"/>
    <n v="8.82"/>
    <n v="2"/>
    <n v="4.0599999999999996"/>
  </r>
  <r>
    <d v="2015-11-29T00:00:00"/>
    <x v="10"/>
    <x v="1"/>
    <x v="7"/>
    <x v="13"/>
    <x v="1"/>
    <x v="12"/>
    <s v="Hon Valutask Swivel Chairs"/>
    <n v="272.64999999999998"/>
    <n v="3"/>
    <n v="18.18"/>
  </r>
  <r>
    <d v="2016-11-29T00:00:00"/>
    <x v="10"/>
    <x v="2"/>
    <x v="153"/>
    <x v="22"/>
    <x v="0"/>
    <x v="8"/>
    <s v="Avery Durable Binders"/>
    <n v="20.16"/>
    <n v="7"/>
    <n v="9.8800000000000008"/>
  </r>
  <r>
    <d v="2017-11-29T00:00:00"/>
    <x v="10"/>
    <x v="3"/>
    <x v="480"/>
    <x v="11"/>
    <x v="1"/>
    <x v="12"/>
    <s v="Office Star - Contemporary Task Swivel chair with Loop Arms, Charcoal"/>
    <n v="419.14"/>
    <n v="4"/>
    <n v="-57.63"/>
  </r>
  <r>
    <d v="2014-12-29T00:00:00"/>
    <x v="11"/>
    <x v="0"/>
    <x v="481"/>
    <x v="0"/>
    <x v="0"/>
    <x v="2"/>
    <s v="Design Ebony Sketching Pencil"/>
    <n v="6.67"/>
    <n v="6"/>
    <n v="0.5"/>
  </r>
  <r>
    <d v="2015-12-29T00:00:00"/>
    <x v="11"/>
    <x v="1"/>
    <x v="482"/>
    <x v="22"/>
    <x v="0"/>
    <x v="8"/>
    <s v="GBC DocuBind TL300 Electric Binding System"/>
    <n v="1793.98"/>
    <n v="2"/>
    <n v="843.17"/>
  </r>
  <r>
    <d v="2016-12-29T00:00:00"/>
    <x v="11"/>
    <x v="2"/>
    <x v="141"/>
    <x v="43"/>
    <x v="1"/>
    <x v="3"/>
    <s v="36X48 HARDFLOOR CHAIRMAT"/>
    <n v="41.96"/>
    <n v="2"/>
    <n v="2.94"/>
  </r>
  <r>
    <d v="2014-01-30T00:00:00"/>
    <x v="0"/>
    <x v="0"/>
    <x v="8"/>
    <x v="3"/>
    <x v="2"/>
    <x v="9"/>
    <s v="Digium D40 VoIP phone"/>
    <n v="103.19"/>
    <n v="1"/>
    <n v="11.61"/>
  </r>
  <r>
    <d v="2015-01-30T00:00:00"/>
    <x v="0"/>
    <x v="1"/>
    <x v="483"/>
    <x v="21"/>
    <x v="0"/>
    <x v="0"/>
    <s v="Avoid Verbal Orders Carbonless Minifold Book"/>
    <n v="10.82"/>
    <n v="4"/>
    <n v="3.52"/>
  </r>
  <r>
    <d v="2017-01-30T00:00:00"/>
    <x v="0"/>
    <x v="3"/>
    <x v="484"/>
    <x v="1"/>
    <x v="1"/>
    <x v="12"/>
    <s v="Hon Comfortask Task/Swivel Chairs"/>
    <n v="239.36"/>
    <n v="3"/>
    <n v="-47.87"/>
  </r>
  <r>
    <d v="2014-03-30T00:00:00"/>
    <x v="2"/>
    <x v="0"/>
    <x v="347"/>
    <x v="1"/>
    <x v="1"/>
    <x v="12"/>
    <s v="Global Stack Chair without Arms, Black"/>
    <n v="254.6"/>
    <n v="14"/>
    <n v="-18.190000000000001"/>
  </r>
  <r>
    <d v="2017-03-30T00:00:00"/>
    <x v="2"/>
    <x v="3"/>
    <x v="485"/>
    <x v="3"/>
    <x v="0"/>
    <x v="2"/>
    <s v="Panasonic KP-310 Heavy-Duty Electric Pencil Sharpener"/>
    <n v="87.92"/>
    <n v="4"/>
    <n v="26.38"/>
  </r>
  <r>
    <d v="2014-04-30T00:00:00"/>
    <x v="3"/>
    <x v="0"/>
    <x v="486"/>
    <x v="44"/>
    <x v="0"/>
    <x v="10"/>
    <s v="2300 Heavy-Duty Transfer File Systems by Perma"/>
    <n v="49.96"/>
    <n v="2"/>
    <n v="9.49"/>
  </r>
  <r>
    <d v="2015-04-30T00:00:00"/>
    <x v="3"/>
    <x v="1"/>
    <x v="487"/>
    <x v="11"/>
    <x v="1"/>
    <x v="12"/>
    <s v="Global Commerce Series High-Back Swivel/Tilt Chairs"/>
    <n v="683.95"/>
    <n v="3"/>
    <n v="42.75"/>
  </r>
  <r>
    <d v="2014-05-30T00:00:00"/>
    <x v="4"/>
    <x v="0"/>
    <x v="488"/>
    <x v="13"/>
    <x v="2"/>
    <x v="15"/>
    <s v="Canon imageCLASS 2200 Advanced Copier"/>
    <n v="11199.97"/>
    <n v="4"/>
    <n v="3919.99"/>
  </r>
  <r>
    <d v="2015-05-30T00:00:00"/>
    <x v="4"/>
    <x v="1"/>
    <x v="214"/>
    <x v="0"/>
    <x v="1"/>
    <x v="14"/>
    <s v="Hon 2111 Invitation Series Straight Table"/>
    <n v="517.41"/>
    <n v="5"/>
    <n v="-81.31"/>
  </r>
  <r>
    <d v="2014-06-30T00:00:00"/>
    <x v="5"/>
    <x v="0"/>
    <x v="83"/>
    <x v="22"/>
    <x v="2"/>
    <x v="6"/>
    <s v="Logitech LS21 Speaker System - PC Multimedia - 2.1-CH - Wired"/>
    <n v="19.989999999999998"/>
    <n v="1"/>
    <n v="6.8"/>
  </r>
  <r>
    <d v="2016-06-30T00:00:00"/>
    <x v="5"/>
    <x v="2"/>
    <x v="327"/>
    <x v="13"/>
    <x v="0"/>
    <x v="0"/>
    <s v="Things To Do Today Pad"/>
    <n v="46.96"/>
    <n v="8"/>
    <n v="22.54"/>
  </r>
  <r>
    <d v="2017-06-30T00:00:00"/>
    <x v="5"/>
    <x v="3"/>
    <x v="489"/>
    <x v="21"/>
    <x v="2"/>
    <x v="13"/>
    <s v="Cubify CubeX 3D Printer Triple Head Print"/>
    <n v="7999.98"/>
    <n v="4"/>
    <n v="-3839.99"/>
  </r>
  <r>
    <d v="2014-07-30T00:00:00"/>
    <x v="6"/>
    <x v="0"/>
    <x v="149"/>
    <x v="9"/>
    <x v="0"/>
    <x v="8"/>
    <s v="Avery Durable Slant Ring Binders, No Labels"/>
    <n v="2.39"/>
    <n v="2"/>
    <n v="-1.83"/>
  </r>
  <r>
    <d v="2014-08-30T00:00:00"/>
    <x v="7"/>
    <x v="0"/>
    <x v="490"/>
    <x v="8"/>
    <x v="0"/>
    <x v="8"/>
    <s v="Flexible Leather- Look Classic Collection Ring Binder"/>
    <n v="5.68"/>
    <n v="1"/>
    <n v="-3.79"/>
  </r>
  <r>
    <d v="2016-08-30T00:00:00"/>
    <x v="7"/>
    <x v="2"/>
    <x v="414"/>
    <x v="13"/>
    <x v="1"/>
    <x v="3"/>
    <s v="9-3/4 Diameter Round Wall Clock"/>
    <n v="96.53"/>
    <n v="7"/>
    <n v="40.54"/>
  </r>
  <r>
    <d v="2014-09-30T00:00:00"/>
    <x v="8"/>
    <x v="0"/>
    <x v="308"/>
    <x v="0"/>
    <x v="0"/>
    <x v="1"/>
    <s v="Permanent Self-Adhesive File Folder Labels for Typewriters by Universal"/>
    <n v="10.44"/>
    <n v="5"/>
    <n v="3.39"/>
  </r>
  <r>
    <d v="2015-10-30T00:00:00"/>
    <x v="9"/>
    <x v="1"/>
    <x v="491"/>
    <x v="11"/>
    <x v="1"/>
    <x v="3"/>
    <s v="Howard Miller 13-1/2&quot; Diameter Rosebrook Wall Clock"/>
    <n v="220.06"/>
    <n v="4"/>
    <n v="55.02"/>
  </r>
  <r>
    <d v="2014-11-30T00:00:00"/>
    <x v="10"/>
    <x v="0"/>
    <x v="312"/>
    <x v="4"/>
    <x v="0"/>
    <x v="7"/>
    <s v="Bionaire 99.97% HEPA Air Cleaner"/>
    <n v="35.04"/>
    <n v="2"/>
    <n v="12.26"/>
  </r>
  <r>
    <d v="2015-11-30T00:00:00"/>
    <x v="10"/>
    <x v="1"/>
    <x v="492"/>
    <x v="1"/>
    <x v="1"/>
    <x v="14"/>
    <s v="BPI Conference Tables"/>
    <n v="219.08"/>
    <n v="3"/>
    <n v="-131.44999999999999"/>
  </r>
  <r>
    <d v="2016-11-30T00:00:00"/>
    <x v="10"/>
    <x v="2"/>
    <x v="493"/>
    <x v="21"/>
    <x v="2"/>
    <x v="6"/>
    <s v="Memorex Mini Travel Drive 8 GB USB 2.0 Flash Drive"/>
    <n v="74.11"/>
    <n v="8"/>
    <n v="17.600000000000001"/>
  </r>
  <r>
    <d v="2017-11-30T00:00:00"/>
    <x v="10"/>
    <x v="3"/>
    <x v="185"/>
    <x v="34"/>
    <x v="1"/>
    <x v="3"/>
    <s v="Executive Impressions Supervisor Wall Clock"/>
    <n v="126.3"/>
    <n v="3"/>
    <n v="40.42"/>
  </r>
  <r>
    <d v="2014-12-30T00:00:00"/>
    <x v="11"/>
    <x v="0"/>
    <x v="454"/>
    <x v="15"/>
    <x v="1"/>
    <x v="3"/>
    <s v="Howard Miller 13&quot; Diameter Goldtone Round Wall Clock"/>
    <n v="46.94"/>
    <n v="1"/>
    <n v="19.25"/>
  </r>
  <r>
    <d v="2015-12-30T00:00:00"/>
    <x v="11"/>
    <x v="1"/>
    <x v="494"/>
    <x v="37"/>
    <x v="1"/>
    <x v="12"/>
    <s v="Hon Deluxe Fabric Upholstered Stacking Chairs, Rounded Back"/>
    <n v="390.37"/>
    <n v="2"/>
    <n v="48.8"/>
  </r>
  <r>
    <d v="2014-01-31T00:00:00"/>
    <x v="0"/>
    <x v="0"/>
    <x v="78"/>
    <x v="13"/>
    <x v="0"/>
    <x v="8"/>
    <s v="Lock-Up Easel 'Spel-Binder'"/>
    <n v="68.47"/>
    <n v="3"/>
    <n v="23.11"/>
  </r>
  <r>
    <d v="2015-01-31T00:00:00"/>
    <x v="0"/>
    <x v="1"/>
    <x v="231"/>
    <x v="14"/>
    <x v="0"/>
    <x v="10"/>
    <s v="Tennsco Lockers, Gray"/>
    <n v="83.92"/>
    <n v="4"/>
    <n v="5.87"/>
  </r>
  <r>
    <d v="2016-01-31T00:00:00"/>
    <x v="0"/>
    <x v="2"/>
    <x v="129"/>
    <x v="3"/>
    <x v="0"/>
    <x v="10"/>
    <s v="Fellowes Mobile File Cart, Black"/>
    <n v="559.62"/>
    <n v="9"/>
    <n v="151.1"/>
  </r>
  <r>
    <d v="2014-03-31T00:00:00"/>
    <x v="2"/>
    <x v="0"/>
    <x v="440"/>
    <x v="3"/>
    <x v="2"/>
    <x v="9"/>
    <s v="Cisco SPA301"/>
    <n v="374.38"/>
    <n v="3"/>
    <n v="46.8"/>
  </r>
  <r>
    <d v="2015-03-31T00:00:00"/>
    <x v="2"/>
    <x v="1"/>
    <x v="224"/>
    <x v="0"/>
    <x v="0"/>
    <x v="8"/>
    <s v="Economy Binders"/>
    <n v="1.25"/>
    <n v="3"/>
    <n v="-1.93"/>
  </r>
  <r>
    <d v="2016-03-31T00:00:00"/>
    <x v="2"/>
    <x v="2"/>
    <x v="416"/>
    <x v="3"/>
    <x v="0"/>
    <x v="8"/>
    <s v="Avery Hole Reinforcements"/>
    <n v="19.940000000000001"/>
    <n v="4"/>
    <n v="7.23"/>
  </r>
  <r>
    <d v="2017-03-31T00:00:00"/>
    <x v="2"/>
    <x v="3"/>
    <x v="20"/>
    <x v="13"/>
    <x v="0"/>
    <x v="8"/>
    <s v="Angle-D Binders with Locking Rings, Label Holders"/>
    <n v="23.36"/>
    <n v="4"/>
    <n v="7.88"/>
  </r>
  <r>
    <d v="2014-05-31T00:00:00"/>
    <x v="4"/>
    <x v="0"/>
    <x v="495"/>
    <x v="3"/>
    <x v="1"/>
    <x v="3"/>
    <s v="Eldon 400 Class Desk Accessories, Black Carbon"/>
    <n v="26.25"/>
    <n v="3"/>
    <n v="11.03"/>
  </r>
  <r>
    <d v="2015-05-31T00:00:00"/>
    <x v="4"/>
    <x v="1"/>
    <x v="366"/>
    <x v="16"/>
    <x v="1"/>
    <x v="3"/>
    <s v="Master Giant Foot Doorstop, Safety Yellow"/>
    <n v="22.77"/>
    <n v="3"/>
    <n v="9.7899999999999991"/>
  </r>
  <r>
    <d v="2016-05-31T00:00:00"/>
    <x v="4"/>
    <x v="2"/>
    <x v="338"/>
    <x v="0"/>
    <x v="0"/>
    <x v="7"/>
    <s v="Eureka Sanitaire  Commercial Upright"/>
    <n v="66.28"/>
    <n v="2"/>
    <n v="-178.97"/>
  </r>
  <r>
    <d v="2015-07-31T00:00:00"/>
    <x v="6"/>
    <x v="1"/>
    <x v="496"/>
    <x v="3"/>
    <x v="0"/>
    <x v="8"/>
    <s v="Deluxe Heavy-Duty Vinyl Round Ring Binder"/>
    <n v="36.67"/>
    <n v="2"/>
    <n v="11.46"/>
  </r>
  <r>
    <d v="2016-07-31T00:00:00"/>
    <x v="6"/>
    <x v="2"/>
    <x v="497"/>
    <x v="34"/>
    <x v="0"/>
    <x v="7"/>
    <s v="Sanyo 2.5 Cubic Foot Mid-Size Office Refrigerators"/>
    <n v="839.43"/>
    <n v="3"/>
    <n v="218.25"/>
  </r>
  <r>
    <d v="2014-08-31T00:00:00"/>
    <x v="7"/>
    <x v="0"/>
    <x v="433"/>
    <x v="3"/>
    <x v="0"/>
    <x v="2"/>
    <s v="Binney &amp; Smith Crayola Metallic Crayons, 16-Color Pack"/>
    <n v="13.48"/>
    <n v="4"/>
    <n v="5.93"/>
  </r>
  <r>
    <d v="2016-10-31T00:00:00"/>
    <x v="9"/>
    <x v="2"/>
    <x v="200"/>
    <x v="13"/>
    <x v="0"/>
    <x v="7"/>
    <s v="Staple holder"/>
    <n v="35.909999999999997"/>
    <n v="3"/>
    <n v="9.6999999999999993"/>
  </r>
  <r>
    <d v="2014-12-31T00:00:00"/>
    <x v="11"/>
    <x v="0"/>
    <x v="214"/>
    <x v="23"/>
    <x v="0"/>
    <x v="0"/>
    <s v="Recycled Desk Saver Line &quot;While You Were Out&quot; Book, 5 1/2&quot; X 4&quot;"/>
    <n v="44.75"/>
    <n v="5"/>
    <n v="20.59"/>
  </r>
  <r>
    <d v="2015-12-31T00:00:00"/>
    <x v="11"/>
    <x v="1"/>
    <x v="335"/>
    <x v="19"/>
    <x v="2"/>
    <x v="9"/>
    <s v="AT&amp;T 1080 Corded phone"/>
    <n v="164.39"/>
    <n v="2"/>
    <n v="-35.619999999999997"/>
  </r>
  <r>
    <d v="2016-12-31T00:00:00"/>
    <x v="11"/>
    <x v="2"/>
    <x v="403"/>
    <x v="3"/>
    <x v="0"/>
    <x v="10"/>
    <s v="Adjustable Depth Letter/Legal Cart"/>
    <n v="725.84"/>
    <n v="4"/>
    <n v="210.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7" minRefreshableVersion="3" useAutoFormatting="1" rowGrandTotals="0" itemPrintTitles="1" createdVersion="6" indent="0" outline="1" outlineData="1" multipleFieldFilters="0">
  <location ref="A3:B20" firstHeaderRow="1" firstDataRow="1" firstDataCol="1"/>
  <pivotFields count="11">
    <pivotField numFmtId="164" showAll="0"/>
    <pivotField showAll="0"/>
    <pivotField showAll="0">
      <items count="5">
        <item x="0"/>
        <item h="1" x="1"/>
        <item h="1" x="2"/>
        <item h="1" x="3"/>
        <item t="default"/>
      </items>
    </pivotField>
    <pivotField showAll="0"/>
    <pivotField showAll="0"/>
    <pivotField showAll="0"/>
    <pivotField axis="axisRow" showAll="0" sortType="descending">
      <items count="18">
        <item x="6"/>
        <item x="7"/>
        <item x="2"/>
        <item x="8"/>
        <item x="5"/>
        <item x="12"/>
        <item x="15"/>
        <item x="4"/>
        <item x="11"/>
        <item x="3"/>
        <item x="1"/>
        <item x="13"/>
        <item x="0"/>
        <item x="9"/>
        <item x="10"/>
        <item x="16"/>
        <item x="1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6"/>
    </i>
    <i>
      <x/>
    </i>
    <i>
      <x v="16"/>
    </i>
    <i>
      <x v="3"/>
    </i>
    <i>
      <x v="5"/>
    </i>
    <i>
      <x v="4"/>
    </i>
    <i>
      <x v="14"/>
    </i>
    <i>
      <x v="1"/>
    </i>
    <i>
      <x v="9"/>
    </i>
    <i>
      <x v="11"/>
    </i>
    <i>
      <x v="12"/>
    </i>
    <i>
      <x v="2"/>
    </i>
    <i>
      <x v="7"/>
    </i>
    <i>
      <x v="10"/>
    </i>
    <i>
      <x v="15"/>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3:E6" firstHeaderRow="1" firstDataRow="2" firstDataCol="1"/>
  <pivotFields count="11">
    <pivotField numFmtId="164" showAll="0"/>
    <pivotField showAll="0"/>
    <pivotField axis="axisRow" showAll="0">
      <items count="5">
        <item x="0"/>
        <item h="1" x="1"/>
        <item h="1" x="2"/>
        <item h="1" x="3"/>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2"/>
  </rowFields>
  <rowItems count="2">
    <i>
      <x/>
    </i>
    <i t="grand">
      <x/>
    </i>
  </rowItems>
  <colFields count="1">
    <field x="5"/>
  </colFields>
  <colItems count="4">
    <i>
      <x/>
    </i>
    <i>
      <x v="1"/>
    </i>
    <i>
      <x v="2"/>
    </i>
    <i t="grand">
      <x/>
    </i>
  </colItems>
  <dataFields count="1">
    <dataField name="Sum of Profit" fld="10"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5" minRefreshableVersion="3" useAutoFormatting="1" rowGrandTotals="0" itemPrintTitles="1" createdVersion="6" indent="0" outline="1" outlineData="1" multipleFieldFilters="0" chartFormat="13">
  <location ref="A3:B15" firstHeaderRow="1" firstDataRow="1" firstDataCol="1"/>
  <pivotFields count="11">
    <pivotField numFmtId="164" showAll="0"/>
    <pivotField axis="axisRow" showAll="0">
      <items count="13">
        <item x="0"/>
        <item x="1"/>
        <item x="2"/>
        <item x="3"/>
        <item x="4"/>
        <item x="5"/>
        <item x="6"/>
        <item x="7"/>
        <item x="8"/>
        <item x="9"/>
        <item x="10"/>
        <item x="11"/>
        <item t="default"/>
      </items>
    </pivotField>
    <pivotField showAll="0">
      <items count="5">
        <item x="0"/>
        <item h="1" x="1"/>
        <item h="1" x="2"/>
        <item h="1" x="3"/>
        <item t="default"/>
      </items>
    </pivotField>
    <pivotField showAll="0"/>
    <pivotField showAll="0"/>
    <pivotField showAll="0"/>
    <pivotField showAll="0"/>
    <pivotField showAll="0"/>
    <pivotField dataField="1" showAll="0"/>
    <pivotField showAll="0"/>
    <pivotField showAll="0"/>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7" minRefreshableVersion="3" useAutoFormatting="1" rowGrandTotals="0" itemPrintTitles="1" createdVersion="6" indent="0" outline="1" outlineData="1" multipleFieldFilters="0" chartFormat="7">
  <location ref="A3:B8" firstHeaderRow="1" firstDataRow="1" firstDataCol="1"/>
  <pivotFields count="11">
    <pivotField numFmtId="164" showAll="0"/>
    <pivotField showAll="0"/>
    <pivotField showAll="0">
      <items count="5">
        <item x="0"/>
        <item h="1" x="1"/>
        <item h="1" x="2"/>
        <item h="1" x="3"/>
        <item t="default"/>
      </items>
    </pivotField>
    <pivotField axis="axisRow" showAll="0" measureFilter="1" sortType="descending">
      <items count="499">
        <item x="40"/>
        <item x="189"/>
        <item x="371"/>
        <item x="413"/>
        <item x="357"/>
        <item x="130"/>
        <item x="39"/>
        <item x="258"/>
        <item x="283"/>
        <item x="439"/>
        <item x="358"/>
        <item x="186"/>
        <item x="43"/>
        <item x="84"/>
        <item x="71"/>
        <item x="57"/>
        <item x="405"/>
        <item x="234"/>
        <item x="161"/>
        <item x="467"/>
        <item x="126"/>
        <item x="482"/>
        <item x="329"/>
        <item x="74"/>
        <item x="146"/>
        <item x="190"/>
        <item x="240"/>
        <item x="400"/>
        <item x="269"/>
        <item x="273"/>
        <item x="157"/>
        <item x="52"/>
        <item x="168"/>
        <item x="6"/>
        <item x="85"/>
        <item x="82"/>
        <item x="135"/>
        <item x="175"/>
        <item x="128"/>
        <item x="140"/>
        <item x="479"/>
        <item x="30"/>
        <item x="209"/>
        <item x="102"/>
        <item x="252"/>
        <item x="434"/>
        <item x="377"/>
        <item x="416"/>
        <item x="256"/>
        <item x="390"/>
        <item x="396"/>
        <item x="453"/>
        <item x="368"/>
        <item x="383"/>
        <item x="22"/>
        <item x="45"/>
        <item x="478"/>
        <item x="348"/>
        <item x="9"/>
        <item x="281"/>
        <item x="179"/>
        <item x="454"/>
        <item x="113"/>
        <item x="104"/>
        <item x="290"/>
        <item x="87"/>
        <item x="382"/>
        <item x="101"/>
        <item x="457"/>
        <item x="471"/>
        <item x="137"/>
        <item x="229"/>
        <item x="51"/>
        <item x="103"/>
        <item x="79"/>
        <item x="363"/>
        <item x="48"/>
        <item x="452"/>
        <item x="380"/>
        <item x="287"/>
        <item x="212"/>
        <item x="309"/>
        <item x="143"/>
        <item x="314"/>
        <item x="438"/>
        <item x="147"/>
        <item x="322"/>
        <item x="42"/>
        <item x="8"/>
        <item x="315"/>
        <item x="54"/>
        <item x="131"/>
        <item x="98"/>
        <item x="391"/>
        <item x="312"/>
        <item x="249"/>
        <item x="425"/>
        <item x="353"/>
        <item x="352"/>
        <item x="470"/>
        <item x="272"/>
        <item x="427"/>
        <item x="270"/>
        <item x="466"/>
        <item x="38"/>
        <item x="378"/>
        <item x="293"/>
        <item x="210"/>
        <item x="326"/>
        <item x="437"/>
        <item x="49"/>
        <item x="151"/>
        <item x="26"/>
        <item x="117"/>
        <item x="23"/>
        <item x="446"/>
        <item x="235"/>
        <item x="468"/>
        <item x="118"/>
        <item x="335"/>
        <item x="491"/>
        <item x="341"/>
        <item x="0"/>
        <item x="444"/>
        <item x="37"/>
        <item x="243"/>
        <item x="307"/>
        <item x="178"/>
        <item x="302"/>
        <item x="12"/>
        <item x="254"/>
        <item x="339"/>
        <item x="351"/>
        <item x="152"/>
        <item x="24"/>
        <item x="223"/>
        <item x="11"/>
        <item x="381"/>
        <item x="255"/>
        <item x="320"/>
        <item x="334"/>
        <item x="70"/>
        <item x="465"/>
        <item x="349"/>
        <item x="404"/>
        <item x="408"/>
        <item x="120"/>
        <item x="310"/>
        <item x="108"/>
        <item x="319"/>
        <item x="18"/>
        <item x="246"/>
        <item x="278"/>
        <item x="280"/>
        <item x="230"/>
        <item x="96"/>
        <item x="197"/>
        <item x="124"/>
        <item x="385"/>
        <item x="121"/>
        <item x="10"/>
        <item x="165"/>
        <item x="134"/>
        <item x="177"/>
        <item x="418"/>
        <item x="245"/>
        <item x="483"/>
        <item x="91"/>
        <item x="460"/>
        <item x="485"/>
        <item x="429"/>
        <item x="440"/>
        <item x="475"/>
        <item x="464"/>
        <item x="219"/>
        <item x="373"/>
        <item x="433"/>
        <item x="435"/>
        <item x="195"/>
        <item x="327"/>
        <item x="174"/>
        <item x="138"/>
        <item x="127"/>
        <item x="489"/>
        <item x="262"/>
        <item x="332"/>
        <item x="419"/>
        <item x="441"/>
        <item x="61"/>
        <item x="78"/>
        <item x="250"/>
        <item x="421"/>
        <item x="431"/>
        <item x="105"/>
        <item x="119"/>
        <item x="409"/>
        <item x="411"/>
        <item x="365"/>
        <item x="354"/>
        <item x="417"/>
        <item x="156"/>
        <item x="14"/>
        <item x="16"/>
        <item x="291"/>
        <item x="170"/>
        <item x="350"/>
        <item x="202"/>
        <item x="93"/>
        <item x="493"/>
        <item x="436"/>
        <item x="325"/>
        <item x="19"/>
        <item x="399"/>
        <item x="64"/>
        <item x="166"/>
        <item x="282"/>
        <item x="187"/>
        <item x="211"/>
        <item x="232"/>
        <item x="296"/>
        <item x="251"/>
        <item x="182"/>
        <item x="410"/>
        <item x="266"/>
        <item x="184"/>
        <item x="97"/>
        <item x="267"/>
        <item x="63"/>
        <item x="112"/>
        <item x="321"/>
        <item x="398"/>
        <item x="88"/>
        <item x="67"/>
        <item x="244"/>
        <item x="305"/>
        <item x="344"/>
        <item x="53"/>
        <item x="492"/>
        <item x="345"/>
        <item x="75"/>
        <item x="231"/>
        <item x="36"/>
        <item x="362"/>
        <item x="171"/>
        <item x="253"/>
        <item x="265"/>
        <item x="311"/>
        <item x="445"/>
        <item x="346"/>
        <item x="276"/>
        <item x="160"/>
        <item x="376"/>
        <item x="292"/>
        <item x="328"/>
        <item x="392"/>
        <item x="451"/>
        <item x="248"/>
        <item x="233"/>
        <item x="206"/>
        <item x="217"/>
        <item x="456"/>
        <item x="132"/>
        <item x="122"/>
        <item x="65"/>
        <item x="369"/>
        <item x="80"/>
        <item x="343"/>
        <item x="148"/>
        <item x="415"/>
        <item x="107"/>
        <item x="150"/>
        <item x="224"/>
        <item x="481"/>
        <item x="136"/>
        <item x="220"/>
        <item x="462"/>
        <item x="403"/>
        <item x="44"/>
        <item x="56"/>
        <item x="159"/>
        <item x="288"/>
        <item x="386"/>
        <item x="73"/>
        <item x="330"/>
        <item x="397"/>
        <item x="145"/>
        <item x="33"/>
        <item x="422"/>
        <item x="242"/>
        <item x="463"/>
        <item x="388"/>
        <item x="236"/>
        <item x="21"/>
        <item x="116"/>
        <item x="114"/>
        <item x="448"/>
        <item x="323"/>
        <item x="164"/>
        <item x="338"/>
        <item x="284"/>
        <item x="213"/>
        <item x="430"/>
        <item x="458"/>
        <item x="3"/>
        <item x="185"/>
        <item x="247"/>
        <item x="372"/>
        <item x="163"/>
        <item x="324"/>
        <item x="201"/>
        <item x="472"/>
        <item x="100"/>
        <item x="257"/>
        <item x="395"/>
        <item x="47"/>
        <item x="474"/>
        <item x="359"/>
        <item x="407"/>
        <item x="188"/>
        <item x="428"/>
        <item x="271"/>
        <item x="426"/>
        <item x="406"/>
        <item x="194"/>
        <item x="94"/>
        <item x="5"/>
        <item x="123"/>
        <item x="35"/>
        <item x="361"/>
        <item x="496"/>
        <item x="31"/>
        <item x="261"/>
        <item x="237"/>
        <item x="133"/>
        <item x="125"/>
        <item x="172"/>
        <item x="2"/>
        <item x="109"/>
        <item x="450"/>
        <item x="55"/>
        <item x="218"/>
        <item x="495"/>
        <item x="20"/>
        <item x="90"/>
        <item x="167"/>
        <item x="72"/>
        <item x="111"/>
        <item x="461"/>
        <item x="476"/>
        <item x="294"/>
        <item x="420"/>
        <item x="208"/>
        <item x="27"/>
        <item x="25"/>
        <item x="277"/>
        <item x="313"/>
        <item x="432"/>
        <item x="141"/>
        <item x="68"/>
        <item x="447"/>
        <item x="268"/>
        <item x="115"/>
        <item x="238"/>
        <item x="216"/>
        <item x="303"/>
        <item x="394"/>
        <item x="225"/>
        <item x="414"/>
        <item x="487"/>
        <item x="424"/>
        <item x="81"/>
        <item x="95"/>
        <item x="214"/>
        <item x="50"/>
        <item x="83"/>
        <item x="59"/>
        <item x="366"/>
        <item x="76"/>
        <item x="66"/>
        <item x="360"/>
        <item x="300"/>
        <item x="62"/>
        <item x="241"/>
        <item x="86"/>
        <item x="199"/>
        <item x="77"/>
        <item x="228"/>
        <item x="169"/>
        <item x="331"/>
        <item x="1"/>
        <item x="204"/>
        <item x="298"/>
        <item x="89"/>
        <item x="473"/>
        <item x="92"/>
        <item x="442"/>
        <item x="289"/>
        <item x="387"/>
        <item x="286"/>
        <item x="153"/>
        <item x="203"/>
        <item x="340"/>
        <item x="58"/>
        <item x="389"/>
        <item x="154"/>
        <item x="263"/>
        <item x="205"/>
        <item x="443"/>
        <item x="490"/>
        <item x="193"/>
        <item x="144"/>
        <item x="449"/>
        <item x="367"/>
        <item x="299"/>
        <item x="393"/>
        <item x="200"/>
        <item x="239"/>
        <item x="207"/>
        <item x="198"/>
        <item x="176"/>
        <item x="459"/>
        <item x="110"/>
        <item x="356"/>
        <item x="497"/>
        <item x="28"/>
        <item x="480"/>
        <item x="486"/>
        <item x="259"/>
        <item x="275"/>
        <item x="221"/>
        <item x="402"/>
        <item x="484"/>
        <item x="260"/>
        <item x="41"/>
        <item x="162"/>
        <item x="46"/>
        <item x="7"/>
        <item x="106"/>
        <item x="306"/>
        <item x="274"/>
        <item x="17"/>
        <item x="158"/>
        <item x="29"/>
        <item x="379"/>
        <item x="384"/>
        <item x="477"/>
        <item x="279"/>
        <item x="412"/>
        <item x="401"/>
        <item x="347"/>
        <item x="99"/>
        <item x="226"/>
        <item x="285"/>
        <item x="318"/>
        <item x="192"/>
        <item x="222"/>
        <item x="336"/>
        <item x="196"/>
        <item x="308"/>
        <item x="34"/>
        <item x="364"/>
        <item x="181"/>
        <item x="494"/>
        <item x="297"/>
        <item x="264"/>
        <item x="69"/>
        <item x="215"/>
        <item x="173"/>
        <item x="301"/>
        <item x="423"/>
        <item x="304"/>
        <item x="370"/>
        <item x="295"/>
        <item x="13"/>
        <item x="355"/>
        <item x="191"/>
        <item x="488"/>
        <item x="15"/>
        <item x="139"/>
        <item x="342"/>
        <item x="455"/>
        <item x="316"/>
        <item x="60"/>
        <item x="32"/>
        <item x="149"/>
        <item x="317"/>
        <item x="142"/>
        <item x="374"/>
        <item x="469"/>
        <item x="333"/>
        <item x="129"/>
        <item x="4"/>
        <item x="337"/>
        <item x="180"/>
        <item x="227"/>
        <item x="375"/>
        <item x="183"/>
        <item x="1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3"/>
  </rowFields>
  <rowItems count="5">
    <i>
      <x v="476"/>
    </i>
    <i>
      <x v="343"/>
    </i>
    <i>
      <x v="399"/>
    </i>
    <i>
      <x v="180"/>
    </i>
    <i>
      <x v="359"/>
    </i>
  </rowItems>
  <colItems count="1">
    <i/>
  </colItems>
  <dataFields count="1">
    <dataField name="Sum of Profit" fld="10" baseField="0" baseItem="0"/>
  </dataFields>
  <chartFormats count="84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476"/>
          </reference>
        </references>
      </pivotArea>
    </chartFormat>
    <chartFormat chart="1" format="3">
      <pivotArea type="data" outline="0" fieldPosition="0">
        <references count="2">
          <reference field="4294967294" count="1" selected="0">
            <x v="0"/>
          </reference>
          <reference field="3" count="1" selected="0">
            <x v="8"/>
          </reference>
        </references>
      </pivotArea>
    </chartFormat>
    <chartFormat chart="1" format="4">
      <pivotArea type="data" outline="0" fieldPosition="0">
        <references count="2">
          <reference field="4294967294" count="1" selected="0">
            <x v="0"/>
          </reference>
          <reference field="3" count="1" selected="0">
            <x v="343"/>
          </reference>
        </references>
      </pivotArea>
    </chartFormat>
    <chartFormat chart="1" format="5">
      <pivotArea type="data" outline="0" fieldPosition="0">
        <references count="2">
          <reference field="4294967294" count="1" selected="0">
            <x v="0"/>
          </reference>
          <reference field="3" count="1" selected="0">
            <x v="21"/>
          </reference>
        </references>
      </pivotArea>
    </chartFormat>
    <chartFormat chart="1" format="6">
      <pivotArea type="data" outline="0" fieldPosition="0">
        <references count="2">
          <reference field="4294967294" count="1" selected="0">
            <x v="0"/>
          </reference>
          <reference field="3" count="1" selected="0">
            <x v="280"/>
          </reference>
        </references>
      </pivotArea>
    </chartFormat>
    <chartFormat chart="1" format="7">
      <pivotArea type="data" outline="0" fieldPosition="0">
        <references count="2">
          <reference field="4294967294" count="1" selected="0">
            <x v="0"/>
          </reference>
          <reference field="3" count="1" selected="0">
            <x v="399"/>
          </reference>
        </references>
      </pivotArea>
    </chartFormat>
    <chartFormat chart="1" format="8">
      <pivotArea type="data" outline="0" fieldPosition="0">
        <references count="2">
          <reference field="4294967294" count="1" selected="0">
            <x v="0"/>
          </reference>
          <reference field="3" count="1" selected="0">
            <x v="394"/>
          </reference>
        </references>
      </pivotArea>
    </chartFormat>
    <chartFormat chart="1" format="9">
      <pivotArea type="data" outline="0" fieldPosition="0">
        <references count="2">
          <reference field="4294967294" count="1" selected="0">
            <x v="0"/>
          </reference>
          <reference field="3" count="1" selected="0">
            <x v="180"/>
          </reference>
        </references>
      </pivotArea>
    </chartFormat>
    <chartFormat chart="1" format="10">
      <pivotArea type="data" outline="0" fieldPosition="0">
        <references count="2">
          <reference field="4294967294" count="1" selected="0">
            <x v="0"/>
          </reference>
          <reference field="3" count="1" selected="0">
            <x v="235"/>
          </reference>
        </references>
      </pivotArea>
    </chartFormat>
    <chartFormat chart="1" format="11">
      <pivotArea type="data" outline="0" fieldPosition="0">
        <references count="2">
          <reference field="4294967294" count="1" selected="0">
            <x v="0"/>
          </reference>
          <reference field="3" count="1" selected="0">
            <x v="321"/>
          </reference>
        </references>
      </pivotArea>
    </chartFormat>
    <chartFormat chart="1" format="12">
      <pivotArea type="data" outline="0" fieldPosition="0">
        <references count="2">
          <reference field="4294967294" count="1" selected="0">
            <x v="0"/>
          </reference>
          <reference field="3" count="1" selected="0">
            <x v="139"/>
          </reference>
        </references>
      </pivotArea>
    </chartFormat>
    <chartFormat chart="1" format="13">
      <pivotArea type="data" outline="0" fieldPosition="0">
        <references count="2">
          <reference field="4294967294" count="1" selected="0">
            <x v="0"/>
          </reference>
          <reference field="3" count="1" selected="0">
            <x v="205"/>
          </reference>
        </references>
      </pivotArea>
    </chartFormat>
    <chartFormat chart="1" format="14">
      <pivotArea type="data" outline="0" fieldPosition="0">
        <references count="2">
          <reference field="4294967294" count="1" selected="0">
            <x v="0"/>
          </reference>
          <reference field="3" count="1" selected="0">
            <x v="495"/>
          </reference>
        </references>
      </pivotArea>
    </chartFormat>
    <chartFormat chart="1" format="15">
      <pivotArea type="data" outline="0" fieldPosition="0">
        <references count="2">
          <reference field="4294967294" count="1" selected="0">
            <x v="0"/>
          </reference>
          <reference field="3" count="1" selected="0">
            <x v="359"/>
          </reference>
        </references>
      </pivotArea>
    </chartFormat>
    <chartFormat chart="1" format="16">
      <pivotArea type="data" outline="0" fieldPosition="0">
        <references count="2">
          <reference field="4294967294" count="1" selected="0">
            <x v="0"/>
          </reference>
          <reference field="3" count="1" selected="0">
            <x v="203"/>
          </reference>
        </references>
      </pivotArea>
    </chartFormat>
    <chartFormat chart="1" format="17">
      <pivotArea type="data" outline="0" fieldPosition="0">
        <references count="2">
          <reference field="4294967294" count="1" selected="0">
            <x v="0"/>
          </reference>
          <reference field="3" count="1" selected="0">
            <x v="454"/>
          </reference>
        </references>
      </pivotArea>
    </chartFormat>
    <chartFormat chart="1" format="18">
      <pivotArea type="data" outline="0" fieldPosition="0">
        <references count="2">
          <reference field="4294967294" count="1" selected="0">
            <x v="0"/>
          </reference>
          <reference field="3" count="1" selected="0">
            <x v="487"/>
          </reference>
        </references>
      </pivotArea>
    </chartFormat>
    <chartFormat chart="1" format="19">
      <pivotArea type="data" outline="0" fieldPosition="0">
        <references count="2">
          <reference field="4294967294" count="1" selected="0">
            <x v="0"/>
          </reference>
          <reference field="3" count="1" selected="0">
            <x v="397"/>
          </reference>
        </references>
      </pivotArea>
    </chartFormat>
    <chartFormat chart="1" format="20">
      <pivotArea type="data" outline="0" fieldPosition="0">
        <references count="2">
          <reference field="4294967294" count="1" selected="0">
            <x v="0"/>
          </reference>
          <reference field="3" count="1" selected="0">
            <x v="486"/>
          </reference>
        </references>
      </pivotArea>
    </chartFormat>
    <chartFormat chart="1" format="21">
      <pivotArea type="data" outline="0" fieldPosition="0">
        <references count="2">
          <reference field="4294967294" count="1" selected="0">
            <x v="0"/>
          </reference>
          <reference field="3" count="1" selected="0">
            <x v="403"/>
          </reference>
        </references>
      </pivotArea>
    </chartFormat>
    <chartFormat chart="1" format="22">
      <pivotArea type="data" outline="0" fieldPosition="0">
        <references count="2">
          <reference field="4294967294" count="1" selected="0">
            <x v="0"/>
          </reference>
          <reference field="3" count="1" selected="0">
            <x v="156"/>
          </reference>
        </references>
      </pivotArea>
    </chartFormat>
    <chartFormat chart="1" format="23">
      <pivotArea type="data" outline="0" fieldPosition="0">
        <references count="2">
          <reference field="4294967294" count="1" selected="0">
            <x v="0"/>
          </reference>
          <reference field="3" count="1" selected="0">
            <x v="54"/>
          </reference>
        </references>
      </pivotArea>
    </chartFormat>
    <chartFormat chart="1" format="24">
      <pivotArea type="data" outline="0" fieldPosition="0">
        <references count="2">
          <reference field="4294967294" count="1" selected="0">
            <x v="0"/>
          </reference>
          <reference field="3" count="1" selected="0">
            <x v="182"/>
          </reference>
        </references>
      </pivotArea>
    </chartFormat>
    <chartFormat chart="1" format="25">
      <pivotArea type="data" outline="0" fieldPosition="0">
        <references count="2">
          <reference field="4294967294" count="1" selected="0">
            <x v="0"/>
          </reference>
          <reference field="3" count="1" selected="0">
            <x v="478"/>
          </reference>
        </references>
      </pivotArea>
    </chartFormat>
    <chartFormat chart="1" format="26">
      <pivotArea type="data" outline="0" fieldPosition="0">
        <references count="2">
          <reference field="4294967294" count="1" selected="0">
            <x v="0"/>
          </reference>
          <reference field="3" count="1" selected="0">
            <x v="449"/>
          </reference>
        </references>
      </pivotArea>
    </chartFormat>
    <chartFormat chart="1" format="27">
      <pivotArea type="data" outline="0" fieldPosition="0">
        <references count="2">
          <reference field="4294967294" count="1" selected="0">
            <x v="0"/>
          </reference>
          <reference field="3" count="1" selected="0">
            <x v="15"/>
          </reference>
        </references>
      </pivotArea>
    </chartFormat>
    <chartFormat chart="1" format="28">
      <pivotArea type="data" outline="0" fieldPosition="0">
        <references count="2">
          <reference field="4294967294" count="1" selected="0">
            <x v="0"/>
          </reference>
          <reference field="3" count="1" selected="0">
            <x v="193"/>
          </reference>
        </references>
      </pivotArea>
    </chartFormat>
    <chartFormat chart="1" format="29">
      <pivotArea type="data" outline="0" fieldPosition="0">
        <references count="2">
          <reference field="4294967294" count="1" selected="0">
            <x v="0"/>
          </reference>
          <reference field="3" count="1" selected="0">
            <x v="372"/>
          </reference>
        </references>
      </pivotArea>
    </chartFormat>
    <chartFormat chart="1" format="30">
      <pivotArea type="data" outline="0" fieldPosition="0">
        <references count="2">
          <reference field="4294967294" count="1" selected="0">
            <x v="0"/>
          </reference>
          <reference field="3" count="1" selected="0">
            <x v="471"/>
          </reference>
        </references>
      </pivotArea>
    </chartFormat>
    <chartFormat chart="1" format="31">
      <pivotArea type="data" outline="0" fieldPosition="0">
        <references count="2">
          <reference field="4294967294" count="1" selected="0">
            <x v="0"/>
          </reference>
          <reference field="3" count="1" selected="0">
            <x v="265"/>
          </reference>
        </references>
      </pivotArea>
    </chartFormat>
    <chartFormat chart="1" format="32">
      <pivotArea type="data" outline="0" fieldPosition="0">
        <references count="2">
          <reference field="4294967294" count="1" selected="0">
            <x v="0"/>
          </reference>
          <reference field="3" count="1" selected="0">
            <x v="366"/>
          </reference>
        </references>
      </pivotArea>
    </chartFormat>
    <chartFormat chart="1" format="33">
      <pivotArea type="data" outline="0" fieldPosition="0">
        <references count="2">
          <reference field="4294967294" count="1" selected="0">
            <x v="0"/>
          </reference>
          <reference field="3" count="1" selected="0">
            <x v="63"/>
          </reference>
        </references>
      </pivotArea>
    </chartFormat>
    <chartFormat chart="1" format="34">
      <pivotArea type="data" outline="0" fieldPosition="0">
        <references count="2">
          <reference field="4294967294" count="1" selected="0">
            <x v="0"/>
          </reference>
          <reference field="3" count="1" selected="0">
            <x v="309"/>
          </reference>
        </references>
      </pivotArea>
    </chartFormat>
    <chartFormat chart="1" format="35">
      <pivotArea type="data" outline="0" fieldPosition="0">
        <references count="2">
          <reference field="4294967294" count="1" selected="0">
            <x v="0"/>
          </reference>
          <reference field="3" count="1" selected="0">
            <x v="292"/>
          </reference>
        </references>
      </pivotArea>
    </chartFormat>
    <chartFormat chart="1" format="36">
      <pivotArea type="data" outline="0" fieldPosition="0">
        <references count="2">
          <reference field="4294967294" count="1" selected="0">
            <x v="0"/>
          </reference>
          <reference field="3" count="1" selected="0">
            <x v="326"/>
          </reference>
        </references>
      </pivotArea>
    </chartFormat>
    <chartFormat chart="1" format="37">
      <pivotArea type="data" outline="0" fieldPosition="0">
        <references count="2">
          <reference field="4294967294" count="1" selected="0">
            <x v="0"/>
          </reference>
          <reference field="3" count="1" selected="0">
            <x v="423"/>
          </reference>
        </references>
      </pivotArea>
    </chartFormat>
    <chartFormat chart="1" format="38">
      <pivotArea type="data" outline="0" fieldPosition="0">
        <references count="2">
          <reference field="4294967294" count="1" selected="0">
            <x v="0"/>
          </reference>
          <reference field="3" count="1" selected="0">
            <x v="276"/>
          </reference>
        </references>
      </pivotArea>
    </chartFormat>
    <chartFormat chart="1" format="39">
      <pivotArea type="data" outline="0" fieldPosition="0">
        <references count="2">
          <reference field="4294967294" count="1" selected="0">
            <x v="0"/>
          </reference>
          <reference field="3" count="1" selected="0">
            <x v="79"/>
          </reference>
        </references>
      </pivotArea>
    </chartFormat>
    <chartFormat chart="1" format="40">
      <pivotArea type="data" outline="0" fieldPosition="0">
        <references count="2">
          <reference field="4294967294" count="1" selected="0">
            <x v="0"/>
          </reference>
          <reference field="3" count="1" selected="0">
            <x v="210"/>
          </reference>
        </references>
      </pivotArea>
    </chartFormat>
    <chartFormat chart="1" format="41">
      <pivotArea type="data" outline="0" fieldPosition="0">
        <references count="2">
          <reference field="4294967294" count="1" selected="0">
            <x v="0"/>
          </reference>
          <reference field="3" count="1" selected="0">
            <x v="225"/>
          </reference>
        </references>
      </pivotArea>
    </chartFormat>
    <chartFormat chart="1" format="42">
      <pivotArea type="data" outline="0" fieldPosition="0">
        <references count="2">
          <reference field="4294967294" count="1" selected="0">
            <x v="0"/>
          </reference>
          <reference field="3" count="1" selected="0">
            <x v="410"/>
          </reference>
        </references>
      </pivotArea>
    </chartFormat>
    <chartFormat chart="1" format="43">
      <pivotArea type="data" outline="0" fieldPosition="0">
        <references count="2">
          <reference field="4294967294" count="1" selected="0">
            <x v="0"/>
          </reference>
          <reference field="3" count="1" selected="0">
            <x v="201"/>
          </reference>
        </references>
      </pivotArea>
    </chartFormat>
    <chartFormat chart="1" format="44">
      <pivotArea type="data" outline="0" fieldPosition="0">
        <references count="2">
          <reference field="4294967294" count="1" selected="0">
            <x v="0"/>
          </reference>
          <reference field="3" count="1" selected="0">
            <x v="281"/>
          </reference>
        </references>
      </pivotArea>
    </chartFormat>
    <chartFormat chart="1" format="45">
      <pivotArea type="data" outline="0" fieldPosition="0">
        <references count="2">
          <reference field="4294967294" count="1" selected="0">
            <x v="0"/>
          </reference>
          <reference field="3" count="1" selected="0">
            <x v="151"/>
          </reference>
        </references>
      </pivotArea>
    </chartFormat>
    <chartFormat chart="1" format="46">
      <pivotArea type="data" outline="0" fieldPosition="0">
        <references count="2">
          <reference field="4294967294" count="1" selected="0">
            <x v="0"/>
          </reference>
          <reference field="3" count="1" selected="0">
            <x v="490"/>
          </reference>
        </references>
      </pivotArea>
    </chartFormat>
    <chartFormat chart="1" format="47">
      <pivotArea type="data" outline="0" fieldPosition="0">
        <references count="2">
          <reference field="4294967294" count="1" selected="0">
            <x v="0"/>
          </reference>
          <reference field="3" count="1" selected="0">
            <x v="125"/>
          </reference>
        </references>
      </pivotArea>
    </chartFormat>
    <chartFormat chart="1" format="48">
      <pivotArea type="data" outline="0" fieldPosition="0">
        <references count="2">
          <reference field="4294967294" count="1" selected="0">
            <x v="0"/>
          </reference>
          <reference field="3" count="1" selected="0">
            <x v="450"/>
          </reference>
        </references>
      </pivotArea>
    </chartFormat>
    <chartFormat chart="1" format="49">
      <pivotArea type="data" outline="0" fieldPosition="0">
        <references count="2">
          <reference field="4294967294" count="1" selected="0">
            <x v="0"/>
          </reference>
          <reference field="3" count="1" selected="0">
            <x v="116"/>
          </reference>
        </references>
      </pivotArea>
    </chartFormat>
    <chartFormat chart="1" format="50">
      <pivotArea type="data" outline="0" fieldPosition="0">
        <references count="2">
          <reference field="4294967294" count="1" selected="0">
            <x v="0"/>
          </reference>
          <reference field="3" count="1" selected="0">
            <x v="244"/>
          </reference>
        </references>
      </pivotArea>
    </chartFormat>
    <chartFormat chart="1" format="51">
      <pivotArea type="data" outline="0" fieldPosition="0">
        <references count="2">
          <reference field="4294967294" count="1" selected="0">
            <x v="0"/>
          </reference>
          <reference field="3" count="1" selected="0">
            <x v="94"/>
          </reference>
        </references>
      </pivotArea>
    </chartFormat>
    <chartFormat chart="1" format="52">
      <pivotArea type="data" outline="0" fieldPosition="0">
        <references count="2">
          <reference field="4294967294" count="1" selected="0">
            <x v="0"/>
          </reference>
          <reference field="3" count="1" selected="0">
            <x v="255"/>
          </reference>
        </references>
      </pivotArea>
    </chartFormat>
    <chartFormat chart="1" format="53">
      <pivotArea type="data" outline="0" fieldPosition="0">
        <references count="2">
          <reference field="4294967294" count="1" selected="0">
            <x v="0"/>
          </reference>
          <reference field="3" count="1" selected="0">
            <x v="480"/>
          </reference>
        </references>
      </pivotArea>
    </chartFormat>
    <chartFormat chart="1" format="54">
      <pivotArea type="data" outline="0" fieldPosition="0">
        <references count="2">
          <reference field="4294967294" count="1" selected="0">
            <x v="0"/>
          </reference>
          <reference field="3" count="1" selected="0">
            <x v="388"/>
          </reference>
        </references>
      </pivotArea>
    </chartFormat>
    <chartFormat chart="1" format="55">
      <pivotArea type="data" outline="0" fieldPosition="0">
        <references count="2">
          <reference field="4294967294" count="1" selected="0">
            <x v="0"/>
          </reference>
          <reference field="3" count="1" selected="0">
            <x v="452"/>
          </reference>
        </references>
      </pivotArea>
    </chartFormat>
    <chartFormat chart="1" format="56">
      <pivotArea type="data" outline="0" fieldPosition="0">
        <references count="2">
          <reference field="4294967294" count="1" selected="0">
            <x v="0"/>
          </reference>
          <reference field="3" count="1" selected="0">
            <x v="89"/>
          </reference>
        </references>
      </pivotArea>
    </chartFormat>
    <chartFormat chart="1" format="57">
      <pivotArea type="data" outline="0" fieldPosition="0">
        <references count="2">
          <reference field="4294967294" count="1" selected="0">
            <x v="0"/>
          </reference>
          <reference field="3" count="1" selected="0">
            <x v="379"/>
          </reference>
        </references>
      </pivotArea>
    </chartFormat>
    <chartFormat chart="1" format="58">
      <pivotArea type="data" outline="0" fieldPosition="0">
        <references count="2">
          <reference field="4294967294" count="1" selected="0">
            <x v="0"/>
          </reference>
          <reference field="3" count="1" selected="0">
            <x v="496"/>
          </reference>
        </references>
      </pivotArea>
    </chartFormat>
    <chartFormat chart="1" format="59">
      <pivotArea type="data" outline="0" fieldPosition="0">
        <references count="2">
          <reference field="4294967294" count="1" selected="0">
            <x v="0"/>
          </reference>
          <reference field="3" count="1" selected="0">
            <x v="351"/>
          </reference>
        </references>
      </pivotArea>
    </chartFormat>
    <chartFormat chart="1" format="60">
      <pivotArea type="data" outline="0" fieldPosition="0">
        <references count="2">
          <reference field="4294967294" count="1" selected="0">
            <x v="0"/>
          </reference>
          <reference field="3" count="1" selected="0">
            <x v="427"/>
          </reference>
        </references>
      </pivotArea>
    </chartFormat>
    <chartFormat chart="1" format="61">
      <pivotArea type="data" outline="0" fieldPosition="0">
        <references count="2">
          <reference field="4294967294" count="1" selected="0">
            <x v="0"/>
          </reference>
          <reference field="3" count="1" selected="0">
            <x v="406"/>
          </reference>
        </references>
      </pivotArea>
    </chartFormat>
    <chartFormat chart="1" format="62">
      <pivotArea type="data" outline="0" fieldPosition="0">
        <references count="2">
          <reference field="4294967294" count="1" selected="0">
            <x v="0"/>
          </reference>
          <reference field="3" count="1" selected="0">
            <x v="479"/>
          </reference>
        </references>
      </pivotArea>
    </chartFormat>
    <chartFormat chart="1" format="63">
      <pivotArea type="data" outline="0" fieldPosition="0">
        <references count="2">
          <reference field="4294967294" count="1" selected="0">
            <x v="0"/>
          </reference>
          <reference field="3" count="1" selected="0">
            <x v="17"/>
          </reference>
        </references>
      </pivotArea>
    </chartFormat>
    <chartFormat chart="1" format="64">
      <pivotArea type="data" outline="0" fieldPosition="0">
        <references count="2">
          <reference field="4294967294" count="1" selected="0">
            <x v="0"/>
          </reference>
          <reference field="3" count="1" selected="0">
            <x v="61"/>
          </reference>
        </references>
      </pivotArea>
    </chartFormat>
    <chartFormat chart="1" format="65">
      <pivotArea type="data" outline="0" fieldPosition="0">
        <references count="2">
          <reference field="4294967294" count="1" selected="0">
            <x v="0"/>
          </reference>
          <reference field="3" count="1" selected="0">
            <x v="177"/>
          </reference>
        </references>
      </pivotArea>
    </chartFormat>
    <chartFormat chart="1" format="66">
      <pivotArea type="data" outline="0" fieldPosition="0">
        <references count="2">
          <reference field="4294967294" count="1" selected="0">
            <x v="0"/>
          </reference>
          <reference field="3" count="1" selected="0">
            <x v="494"/>
          </reference>
        </references>
      </pivotArea>
    </chartFormat>
    <chartFormat chart="1" format="67">
      <pivotArea type="data" outline="0" fieldPosition="0">
        <references count="2">
          <reference field="4294967294" count="1" selected="0">
            <x v="0"/>
          </reference>
          <reference field="3" count="1" selected="0">
            <x v="174"/>
          </reference>
        </references>
      </pivotArea>
    </chartFormat>
    <chartFormat chart="1" format="68">
      <pivotArea type="data" outline="0" fieldPosition="0">
        <references count="2">
          <reference field="4294967294" count="1" selected="0">
            <x v="0"/>
          </reference>
          <reference field="3" count="1" selected="0">
            <x v="453"/>
          </reference>
        </references>
      </pivotArea>
    </chartFormat>
    <chartFormat chart="1" format="69">
      <pivotArea type="data" outline="0" fieldPosition="0">
        <references count="2">
          <reference field="4294967294" count="1" selected="0">
            <x v="0"/>
          </reference>
          <reference field="3" count="1" selected="0">
            <x v="489"/>
          </reference>
        </references>
      </pivotArea>
    </chartFormat>
    <chartFormat chart="1" format="70">
      <pivotArea type="data" outline="0" fieldPosition="0">
        <references count="2">
          <reference field="4294967294" count="1" selected="0">
            <x v="0"/>
          </reference>
          <reference field="3" count="1" selected="0">
            <x v="22"/>
          </reference>
        </references>
      </pivotArea>
    </chartFormat>
    <chartFormat chart="1" format="71">
      <pivotArea type="data" outline="0" fieldPosition="0">
        <references count="2">
          <reference field="4294967294" count="1" selected="0">
            <x v="0"/>
          </reference>
          <reference field="3" count="1" selected="0">
            <x v="383"/>
          </reference>
        </references>
      </pivotArea>
    </chartFormat>
    <chartFormat chart="1" format="72">
      <pivotArea type="data" outline="0" fieldPosition="0">
        <references count="2">
          <reference field="4294967294" count="1" selected="0">
            <x v="0"/>
          </reference>
          <reference field="3" count="1" selected="0">
            <x v="194"/>
          </reference>
        </references>
      </pivotArea>
    </chartFormat>
    <chartFormat chart="1" format="73">
      <pivotArea type="data" outline="0" fieldPosition="0">
        <references count="2">
          <reference field="4294967294" count="1" selected="0">
            <x v="0"/>
          </reference>
          <reference field="3" count="1" selected="0">
            <x v="430"/>
          </reference>
        </references>
      </pivotArea>
    </chartFormat>
    <chartFormat chart="1" format="74">
      <pivotArea type="data" outline="0" fieldPosition="0">
        <references count="2">
          <reference field="4294967294" count="1" selected="0">
            <x v="0"/>
          </reference>
          <reference field="3" count="1" selected="0">
            <x v="157"/>
          </reference>
        </references>
      </pivotArea>
    </chartFormat>
    <chartFormat chart="1" format="75">
      <pivotArea type="data" outline="0" fieldPosition="0">
        <references count="2">
          <reference field="4294967294" count="1" selected="0">
            <x v="0"/>
          </reference>
          <reference field="3" count="1" selected="0">
            <x v="108"/>
          </reference>
        </references>
      </pivotArea>
    </chartFormat>
    <chartFormat chart="1" format="76">
      <pivotArea type="data" outline="0" fieldPosition="0">
        <references count="2">
          <reference field="4294967294" count="1" selected="0">
            <x v="0"/>
          </reference>
          <reference field="3" count="1" selected="0">
            <x v="422"/>
          </reference>
        </references>
      </pivotArea>
    </chartFormat>
    <chartFormat chart="1" format="77">
      <pivotArea type="data" outline="0" fieldPosition="0">
        <references count="2">
          <reference field="4294967294" count="1" selected="0">
            <x v="0"/>
          </reference>
          <reference field="3" count="1" selected="0">
            <x v="304"/>
          </reference>
        </references>
      </pivotArea>
    </chartFormat>
    <chartFormat chart="1" format="78">
      <pivotArea type="data" outline="0" fieldPosition="0">
        <references count="2">
          <reference field="4294967294" count="1" selected="0">
            <x v="0"/>
          </reference>
          <reference field="3" count="1" selected="0">
            <x v="196"/>
          </reference>
        </references>
      </pivotArea>
    </chartFormat>
    <chartFormat chart="1" format="79">
      <pivotArea type="data" outline="0" fieldPosition="0">
        <references count="2">
          <reference field="4294967294" count="1" selected="0">
            <x v="0"/>
          </reference>
          <reference field="3" count="1" selected="0">
            <x v="145"/>
          </reference>
        </references>
      </pivotArea>
    </chartFormat>
    <chartFormat chart="1" format="80">
      <pivotArea type="data" outline="0" fieldPosition="0">
        <references count="2">
          <reference field="4294967294" count="1" selected="0">
            <x v="0"/>
          </reference>
          <reference field="3" count="1" selected="0">
            <x v="85"/>
          </reference>
        </references>
      </pivotArea>
    </chartFormat>
    <chartFormat chart="1" format="81">
      <pivotArea type="data" outline="0" fieldPosition="0">
        <references count="2">
          <reference field="4294967294" count="1" selected="0">
            <x v="0"/>
          </reference>
          <reference field="3" count="1" selected="0">
            <x v="363"/>
          </reference>
        </references>
      </pivotArea>
    </chartFormat>
    <chartFormat chart="1" format="82">
      <pivotArea type="data" outline="0" fieldPosition="0">
        <references count="2">
          <reference field="4294967294" count="1" selected="0">
            <x v="0"/>
          </reference>
          <reference field="3" count="1" selected="0">
            <x v="91"/>
          </reference>
        </references>
      </pivotArea>
    </chartFormat>
    <chartFormat chart="1" format="83">
      <pivotArea type="data" outline="0" fieldPosition="0">
        <references count="2">
          <reference field="4294967294" count="1" selected="0">
            <x v="0"/>
          </reference>
          <reference field="3" count="1" selected="0">
            <x v="263"/>
          </reference>
        </references>
      </pivotArea>
    </chartFormat>
    <chartFormat chart="1" format="84">
      <pivotArea type="data" outline="0" fieldPosition="0">
        <references count="2">
          <reference field="4294967294" count="1" selected="0">
            <x v="0"/>
          </reference>
          <reference field="3" count="1" selected="0">
            <x v="233"/>
          </reference>
        </references>
      </pivotArea>
    </chartFormat>
    <chartFormat chart="1" format="85">
      <pivotArea type="data" outline="0" fieldPosition="0">
        <references count="2">
          <reference field="4294967294" count="1" selected="0">
            <x v="0"/>
          </reference>
          <reference field="3" count="1" selected="0">
            <x v="456"/>
          </reference>
        </references>
      </pivotArea>
    </chartFormat>
    <chartFormat chart="1" format="86">
      <pivotArea type="data" outline="0" fieldPosition="0">
        <references count="2">
          <reference field="4294967294" count="1" selected="0">
            <x v="0"/>
          </reference>
          <reference field="3" count="1" selected="0">
            <x v="311"/>
          </reference>
        </references>
      </pivotArea>
    </chartFormat>
    <chartFormat chart="1" format="87">
      <pivotArea type="data" outline="0" fieldPosition="0">
        <references count="2">
          <reference field="4294967294" count="1" selected="0">
            <x v="0"/>
          </reference>
          <reference field="3" count="1" selected="0">
            <x v="273"/>
          </reference>
        </references>
      </pivotArea>
    </chartFormat>
    <chartFormat chart="1" format="88">
      <pivotArea type="data" outline="0" fieldPosition="0">
        <references count="2">
          <reference field="4294967294" count="1" selected="0">
            <x v="0"/>
          </reference>
          <reference field="3" count="1" selected="0">
            <x v="373"/>
          </reference>
        </references>
      </pivotArea>
    </chartFormat>
    <chartFormat chart="1" format="89">
      <pivotArea type="data" outline="0" fieldPosition="0">
        <references count="2">
          <reference field="4294967294" count="1" selected="0">
            <x v="0"/>
          </reference>
          <reference field="3" count="1" selected="0">
            <x v="154"/>
          </reference>
        </references>
      </pivotArea>
    </chartFormat>
    <chartFormat chart="1" format="90">
      <pivotArea type="data" outline="0" fieldPosition="0">
        <references count="2">
          <reference field="4294967294" count="1" selected="0">
            <x v="0"/>
          </reference>
          <reference field="3" count="1" selected="0">
            <x v="312"/>
          </reference>
        </references>
      </pivotArea>
    </chartFormat>
    <chartFormat chart="1" format="91">
      <pivotArea type="data" outline="0" fieldPosition="0">
        <references count="2">
          <reference field="4294967294" count="1" selected="0">
            <x v="0"/>
          </reference>
          <reference field="3" count="1" selected="0">
            <x v="395"/>
          </reference>
        </references>
      </pivotArea>
    </chartFormat>
    <chartFormat chart="1" format="92">
      <pivotArea type="data" outline="0" fieldPosition="0">
        <references count="2">
          <reference field="4294967294" count="1" selected="0">
            <x v="0"/>
          </reference>
          <reference field="3" count="1" selected="0">
            <x v="241"/>
          </reference>
        </references>
      </pivotArea>
    </chartFormat>
    <chartFormat chart="1" format="93">
      <pivotArea type="data" outline="0" fieldPosition="0">
        <references count="2">
          <reference field="4294967294" count="1" selected="0">
            <x v="0"/>
          </reference>
          <reference field="3" count="1" selected="0">
            <x v="485"/>
          </reference>
        </references>
      </pivotArea>
    </chartFormat>
    <chartFormat chart="1" format="94">
      <pivotArea type="data" outline="0" fieldPosition="0">
        <references count="2">
          <reference field="4294967294" count="1" selected="0">
            <x v="0"/>
          </reference>
          <reference field="3" count="1" selected="0">
            <x v="470"/>
          </reference>
        </references>
      </pivotArea>
    </chartFormat>
    <chartFormat chart="1" format="95">
      <pivotArea type="data" outline="0" fieldPosition="0">
        <references count="2">
          <reference field="4294967294" count="1" selected="0">
            <x v="0"/>
          </reference>
          <reference field="3" count="1" selected="0">
            <x v="35"/>
          </reference>
        </references>
      </pivotArea>
    </chartFormat>
    <chartFormat chart="1" format="96">
      <pivotArea type="data" outline="0" fieldPosition="0">
        <references count="2">
          <reference field="4294967294" count="1" selected="0">
            <x v="0"/>
          </reference>
          <reference field="3" count="1" selected="0">
            <x v="51"/>
          </reference>
        </references>
      </pivotArea>
    </chartFormat>
    <chartFormat chart="1" format="97">
      <pivotArea type="data" outline="0" fieldPosition="0">
        <references count="2">
          <reference field="4294967294" count="1" selected="0">
            <x v="0"/>
          </reference>
          <reference field="3" count="1" selected="0">
            <x v="370"/>
          </reference>
        </references>
      </pivotArea>
    </chartFormat>
    <chartFormat chart="1" format="98">
      <pivotArea type="data" outline="0" fieldPosition="0">
        <references count="2">
          <reference field="4294967294" count="1" selected="0">
            <x v="0"/>
          </reference>
          <reference field="3" count="1" selected="0">
            <x v="187"/>
          </reference>
        </references>
      </pivotArea>
    </chartFormat>
    <chartFormat chart="1" format="99">
      <pivotArea type="data" outline="0" fieldPosition="0">
        <references count="2">
          <reference field="4294967294" count="1" selected="0">
            <x v="0"/>
          </reference>
          <reference field="3" count="1" selected="0">
            <x v="55"/>
          </reference>
        </references>
      </pivotArea>
    </chartFormat>
    <chartFormat chart="1" format="100">
      <pivotArea type="data" outline="0" fieldPosition="0">
        <references count="2">
          <reference field="4294967294" count="1" selected="0">
            <x v="0"/>
          </reference>
          <reference field="3" count="1" selected="0">
            <x v="374"/>
          </reference>
        </references>
      </pivotArea>
    </chartFormat>
    <chartFormat chart="1" format="101">
      <pivotArea type="data" outline="0" fieldPosition="0">
        <references count="2">
          <reference field="4294967294" count="1" selected="0">
            <x v="0"/>
          </reference>
          <reference field="3" count="1" selected="0">
            <x v="249"/>
          </reference>
        </references>
      </pivotArea>
    </chartFormat>
    <chartFormat chart="1" format="102">
      <pivotArea type="data" outline="0" fieldPosition="0">
        <references count="2">
          <reference field="4294967294" count="1" selected="0">
            <x v="0"/>
          </reference>
          <reference field="3" count="1" selected="0">
            <x v="104"/>
          </reference>
        </references>
      </pivotArea>
    </chartFormat>
    <chartFormat chart="1" format="103">
      <pivotArea type="data" outline="0" fieldPosition="0">
        <references count="2">
          <reference field="4294967294" count="1" selected="0">
            <x v="0"/>
          </reference>
          <reference field="3" count="1" selected="0">
            <x v="179"/>
          </reference>
        </references>
      </pivotArea>
    </chartFormat>
    <chartFormat chart="1" format="104">
      <pivotArea type="data" outline="0" fieldPosition="0">
        <references count="2">
          <reference field="4294967294" count="1" selected="0">
            <x v="0"/>
          </reference>
          <reference field="3" count="1" selected="0">
            <x v="160"/>
          </reference>
        </references>
      </pivotArea>
    </chartFormat>
    <chartFormat chart="1" format="105">
      <pivotArea type="data" outline="0" fieldPosition="0">
        <references count="2">
          <reference field="4294967294" count="1" selected="0">
            <x v="0"/>
          </reference>
          <reference field="3" count="1" selected="0">
            <x v="31"/>
          </reference>
        </references>
      </pivotArea>
    </chartFormat>
    <chartFormat chart="1" format="106">
      <pivotArea type="data" outline="0" fieldPosition="0">
        <references count="2">
          <reference field="4294967294" count="1" selected="0">
            <x v="0"/>
          </reference>
          <reference field="3" count="1" selected="0">
            <x v="78"/>
          </reference>
        </references>
      </pivotArea>
    </chartFormat>
    <chartFormat chart="1" format="107">
      <pivotArea type="data" outline="0" fieldPosition="0">
        <references count="2">
          <reference field="4294967294" count="1" selected="0">
            <x v="0"/>
          </reference>
          <reference field="3" count="1" selected="0">
            <x v="98"/>
          </reference>
        </references>
      </pivotArea>
    </chartFormat>
    <chartFormat chart="1" format="108">
      <pivotArea type="data" outline="0" fieldPosition="0">
        <references count="2">
          <reference field="4294967294" count="1" selected="0">
            <x v="0"/>
          </reference>
          <reference field="3" count="1" selected="0">
            <x v="34"/>
          </reference>
        </references>
      </pivotArea>
    </chartFormat>
    <chartFormat chart="1" format="109">
      <pivotArea type="data" outline="0" fieldPosition="0">
        <references count="2">
          <reference field="4294967294" count="1" selected="0">
            <x v="0"/>
          </reference>
          <reference field="3" count="1" selected="0">
            <x v="306"/>
          </reference>
        </references>
      </pivotArea>
    </chartFormat>
    <chartFormat chart="1" format="110">
      <pivotArea type="data" outline="0" fieldPosition="0">
        <references count="2">
          <reference field="4294967294" count="1" selected="0">
            <x v="0"/>
          </reference>
          <reference field="3" count="1" selected="0">
            <x v="246"/>
          </reference>
        </references>
      </pivotArea>
    </chartFormat>
    <chartFormat chart="1" format="111">
      <pivotArea type="data" outline="0" fieldPosition="0">
        <references count="2">
          <reference field="4294967294" count="1" selected="0">
            <x v="0"/>
          </reference>
          <reference field="3" count="1" selected="0">
            <x v="137"/>
          </reference>
        </references>
      </pivotArea>
    </chartFormat>
    <chartFormat chart="1" format="112">
      <pivotArea type="data" outline="0" fieldPosition="0">
        <references count="2">
          <reference field="4294967294" count="1" selected="0">
            <x v="0"/>
          </reference>
          <reference field="3" count="1" selected="0">
            <x v="416"/>
          </reference>
        </references>
      </pivotArea>
    </chartFormat>
    <chartFormat chart="1" format="113">
      <pivotArea type="data" outline="0" fieldPosition="0">
        <references count="2">
          <reference field="4294967294" count="1" selected="0">
            <x v="0"/>
          </reference>
          <reference field="3" count="1" selected="0">
            <x v="275"/>
          </reference>
        </references>
      </pivotArea>
    </chartFormat>
    <chartFormat chart="1" format="114">
      <pivotArea type="data" outline="0" fieldPosition="0">
        <references count="2">
          <reference field="4294967294" count="1" selected="0">
            <x v="0"/>
          </reference>
          <reference field="3" count="1" selected="0">
            <x v="80"/>
          </reference>
        </references>
      </pivotArea>
    </chartFormat>
    <chartFormat chart="1" format="115">
      <pivotArea type="data" outline="0" fieldPosition="0">
        <references count="2">
          <reference field="4294967294" count="1" selected="0">
            <x v="0"/>
          </reference>
          <reference field="3" count="1" selected="0">
            <x v="171"/>
          </reference>
        </references>
      </pivotArea>
    </chartFormat>
    <chartFormat chart="1" format="116">
      <pivotArea type="data" outline="0" fieldPosition="0">
        <references count="2">
          <reference field="4294967294" count="1" selected="0">
            <x v="0"/>
          </reference>
          <reference field="3" count="1" selected="0">
            <x v="440"/>
          </reference>
        </references>
      </pivotArea>
    </chartFormat>
    <chartFormat chart="1" format="117">
      <pivotArea type="data" outline="0" fieldPosition="0">
        <references count="2">
          <reference field="4294967294" count="1" selected="0">
            <x v="0"/>
          </reference>
          <reference field="3" count="1" selected="0">
            <x v="142"/>
          </reference>
        </references>
      </pivotArea>
    </chartFormat>
    <chartFormat chart="1" format="118">
      <pivotArea type="data" outline="0" fieldPosition="0">
        <references count="2">
          <reference field="4294967294" count="1" selected="0">
            <x v="0"/>
          </reference>
          <reference field="3" count="1" selected="0">
            <x v="418"/>
          </reference>
        </references>
      </pivotArea>
    </chartFormat>
    <chartFormat chart="1" format="119">
      <pivotArea type="data" outline="0" fieldPosition="0">
        <references count="2">
          <reference field="4294967294" count="1" selected="0">
            <x v="0"/>
          </reference>
          <reference field="3" count="1" selected="0">
            <x v="118"/>
          </reference>
        </references>
      </pivotArea>
    </chartFormat>
    <chartFormat chart="1" format="120">
      <pivotArea type="data" outline="0" fieldPosition="0">
        <references count="2">
          <reference field="4294967294" count="1" selected="0">
            <x v="0"/>
          </reference>
          <reference field="3" count="1" selected="0">
            <x v="317"/>
          </reference>
        </references>
      </pivotArea>
    </chartFormat>
    <chartFormat chart="1" format="121">
      <pivotArea type="data" outline="0" fieldPosition="0">
        <references count="2">
          <reference field="4294967294" count="1" selected="0">
            <x v="0"/>
          </reference>
          <reference field="3" count="1" selected="0">
            <x v="482"/>
          </reference>
        </references>
      </pivotArea>
    </chartFormat>
    <chartFormat chart="1" format="122">
      <pivotArea type="data" outline="0" fieldPosition="0">
        <references count="2">
          <reference field="4294967294" count="1" selected="0">
            <x v="0"/>
          </reference>
          <reference field="3" count="1" selected="0">
            <x v="429"/>
          </reference>
        </references>
      </pivotArea>
    </chartFormat>
    <chartFormat chart="1" format="123">
      <pivotArea type="data" outline="0" fieldPosition="0">
        <references count="2">
          <reference field="4294967294" count="1" selected="0">
            <x v="0"/>
          </reference>
          <reference field="3" count="1" selected="0">
            <x v="58"/>
          </reference>
        </references>
      </pivotArea>
    </chartFormat>
    <chartFormat chart="1" format="124">
      <pivotArea type="data" outline="0" fieldPosition="0">
        <references count="2">
          <reference field="4294967294" count="1" selected="0">
            <x v="0"/>
          </reference>
          <reference field="3" count="1" selected="0">
            <x v="437"/>
          </reference>
        </references>
      </pivotArea>
    </chartFormat>
    <chartFormat chart="1" format="125">
      <pivotArea type="data" outline="0" fieldPosition="0">
        <references count="2">
          <reference field="4294967294" count="1" selected="0">
            <x v="0"/>
          </reference>
          <reference field="3" count="1" selected="0">
            <x v="357"/>
          </reference>
        </references>
      </pivotArea>
    </chartFormat>
    <chartFormat chart="1" format="126">
      <pivotArea type="data" outline="0" fieldPosition="0">
        <references count="2">
          <reference field="4294967294" count="1" selected="0">
            <x v="0"/>
          </reference>
          <reference field="3" count="1" selected="0">
            <x v="136"/>
          </reference>
        </references>
      </pivotArea>
    </chartFormat>
    <chartFormat chart="1" format="127">
      <pivotArea type="data" outline="0" fieldPosition="0">
        <references count="2">
          <reference field="4294967294" count="1" selected="0">
            <x v="0"/>
          </reference>
          <reference field="3" count="1" selected="0">
            <x v="254"/>
          </reference>
        </references>
      </pivotArea>
    </chartFormat>
    <chartFormat chart="1" format="128">
      <pivotArea type="data" outline="0" fieldPosition="0">
        <references count="2">
          <reference field="4294967294" count="1" selected="0">
            <x v="0"/>
          </reference>
          <reference field="3" count="1" selected="0">
            <x v="120"/>
          </reference>
        </references>
      </pivotArea>
    </chartFormat>
    <chartFormat chart="1" format="129">
      <pivotArea type="data" outline="0" fieldPosition="0">
        <references count="2">
          <reference field="4294967294" count="1" selected="0">
            <x v="0"/>
          </reference>
          <reference field="3" count="1" selected="0">
            <x v="200"/>
          </reference>
        </references>
      </pivotArea>
    </chartFormat>
    <chartFormat chart="1" format="130">
      <pivotArea type="data" outline="0" fieldPosition="0">
        <references count="2">
          <reference field="4294967294" count="1" selected="0">
            <x v="0"/>
          </reference>
          <reference field="3" count="1" selected="0">
            <x v="37"/>
          </reference>
        </references>
      </pivotArea>
    </chartFormat>
    <chartFormat chart="1" format="131">
      <pivotArea type="data" outline="0" fieldPosition="0">
        <references count="2">
          <reference field="4294967294" count="1" selected="0">
            <x v="0"/>
          </reference>
          <reference field="3" count="1" selected="0">
            <x v="106"/>
          </reference>
        </references>
      </pivotArea>
    </chartFormat>
    <chartFormat chart="1" format="132">
      <pivotArea type="data" outline="0" fieldPosition="0">
        <references count="2">
          <reference field="4294967294" count="1" selected="0">
            <x v="0"/>
          </reference>
          <reference field="3" count="1" selected="0">
            <x v="262"/>
          </reference>
        </references>
      </pivotArea>
    </chartFormat>
    <chartFormat chart="1" format="133">
      <pivotArea type="data" outline="0" fieldPosition="0">
        <references count="2">
          <reference field="4294967294" count="1" selected="0">
            <x v="0"/>
          </reference>
          <reference field="3" count="1" selected="0">
            <x v="165"/>
          </reference>
        </references>
      </pivotArea>
    </chartFormat>
    <chartFormat chart="1" format="134">
      <pivotArea type="data" outline="0" fieldPosition="0">
        <references count="2">
          <reference field="4294967294" count="1" selected="0">
            <x v="0"/>
          </reference>
          <reference field="3" count="1" selected="0">
            <x v="32"/>
          </reference>
        </references>
      </pivotArea>
    </chartFormat>
    <chartFormat chart="1" format="135">
      <pivotArea type="data" outline="0" fieldPosition="0">
        <references count="2">
          <reference field="4294967294" count="1" selected="0">
            <x v="0"/>
          </reference>
          <reference field="3" count="1" selected="0">
            <x v="245"/>
          </reference>
        </references>
      </pivotArea>
    </chartFormat>
    <chartFormat chart="1" format="136">
      <pivotArea type="data" outline="0" fieldPosition="0">
        <references count="2">
          <reference field="4294967294" count="1" selected="0">
            <x v="0"/>
          </reference>
          <reference field="3" count="1" selected="0">
            <x v="307"/>
          </reference>
        </references>
      </pivotArea>
    </chartFormat>
    <chartFormat chart="1" format="137">
      <pivotArea type="data" outline="0" fieldPosition="0">
        <references count="2">
          <reference field="4294967294" count="1" selected="0">
            <x v="0"/>
          </reference>
          <reference field="3" count="1" selected="0">
            <x v="124"/>
          </reference>
        </references>
      </pivotArea>
    </chartFormat>
    <chartFormat chart="1" format="138">
      <pivotArea type="data" outline="0" fieldPosition="0">
        <references count="2">
          <reference field="4294967294" count="1" selected="0">
            <x v="0"/>
          </reference>
          <reference field="3" count="1" selected="0">
            <x v="232"/>
          </reference>
        </references>
      </pivotArea>
    </chartFormat>
    <chartFormat chart="1" format="139">
      <pivotArea type="data" outline="0" fieldPosition="0">
        <references count="2">
          <reference field="4294967294" count="1" selected="0">
            <x v="0"/>
          </reference>
          <reference field="3" count="1" selected="0">
            <x v="483"/>
          </reference>
        </references>
      </pivotArea>
    </chartFormat>
    <chartFormat chart="1" format="140">
      <pivotArea type="data" outline="0" fieldPosition="0">
        <references count="2">
          <reference field="4294967294" count="1" selected="0">
            <x v="0"/>
          </reference>
          <reference field="3" count="1" selected="0">
            <x v="367"/>
          </reference>
        </references>
      </pivotArea>
    </chartFormat>
    <chartFormat chart="1" format="141">
      <pivotArea type="data" outline="0" fieldPosition="0">
        <references count="2">
          <reference field="4294967294" count="1" selected="0">
            <x v="0"/>
          </reference>
          <reference field="3" count="1" selected="0">
            <x v="462"/>
          </reference>
        </references>
      </pivotArea>
    </chartFormat>
    <chartFormat chart="1" format="142">
      <pivotArea type="data" outline="0" fieldPosition="0">
        <references count="2">
          <reference field="4294967294" count="1" selected="0">
            <x v="0"/>
          </reference>
          <reference field="3" count="1" selected="0">
            <x v="381"/>
          </reference>
        </references>
      </pivotArea>
    </chartFormat>
    <chartFormat chart="1" format="143">
      <pivotArea type="data" outline="0" fieldPosition="0">
        <references count="2">
          <reference field="4294967294" count="1" selected="0">
            <x v="0"/>
          </reference>
          <reference field="3" count="1" selected="0">
            <x v="261"/>
          </reference>
        </references>
      </pivotArea>
    </chartFormat>
    <chartFormat chart="1" format="144">
      <pivotArea type="data" outline="0" fieldPosition="0">
        <references count="2">
          <reference field="4294967294" count="1" selected="0">
            <x v="0"/>
          </reference>
          <reference field="3" count="1" selected="0">
            <x v="409"/>
          </reference>
        </references>
      </pivotArea>
    </chartFormat>
    <chartFormat chart="1" format="145">
      <pivotArea type="data" outline="0" fieldPosition="0">
        <references count="2">
          <reference field="4294967294" count="1" selected="0">
            <x v="0"/>
          </reference>
          <reference field="3" count="1" selected="0">
            <x v="368"/>
          </reference>
        </references>
      </pivotArea>
    </chartFormat>
    <chartFormat chart="1" format="146">
      <pivotArea type="data" outline="0" fieldPosition="0">
        <references count="2">
          <reference field="4294967294" count="1" selected="0">
            <x v="0"/>
          </reference>
          <reference field="3" count="1" selected="0">
            <x v="101"/>
          </reference>
        </references>
      </pivotArea>
    </chartFormat>
    <chartFormat chart="1" format="147">
      <pivotArea type="data" outline="0" fieldPosition="0">
        <references count="2">
          <reference field="4294967294" count="1" selected="0">
            <x v="0"/>
          </reference>
          <reference field="3" count="1" selected="0">
            <x v="278"/>
          </reference>
        </references>
      </pivotArea>
    </chartFormat>
    <chartFormat chart="1" format="148">
      <pivotArea type="data" outline="0" fieldPosition="0">
        <references count="2">
          <reference field="4294967294" count="1" selected="0">
            <x v="0"/>
          </reference>
          <reference field="3" count="1" selected="0">
            <x v="259"/>
          </reference>
        </references>
      </pivotArea>
    </chartFormat>
    <chartFormat chart="1" format="149">
      <pivotArea type="data" outline="0" fieldPosition="0">
        <references count="2">
          <reference field="4294967294" count="1" selected="0">
            <x v="0"/>
          </reference>
          <reference field="3" count="1" selected="0">
            <x v="121"/>
          </reference>
        </references>
      </pivotArea>
    </chartFormat>
    <chartFormat chart="1" format="150">
      <pivotArea type="data" outline="0" fieldPosition="0">
        <references count="2">
          <reference field="4294967294" count="1" selected="0">
            <x v="0"/>
          </reference>
          <reference field="3" count="1" selected="0">
            <x v="361"/>
          </reference>
        </references>
      </pivotArea>
    </chartFormat>
    <chartFormat chart="1" format="151">
      <pivotArea type="data" outline="0" fieldPosition="0">
        <references count="2">
          <reference field="4294967294" count="1" selected="0">
            <x v="0"/>
          </reference>
          <reference field="3" count="1" selected="0">
            <x v="438"/>
          </reference>
        </references>
      </pivotArea>
    </chartFormat>
    <chartFormat chart="1" format="152">
      <pivotArea type="data" outline="0" fieldPosition="0">
        <references count="2">
          <reference field="4294967294" count="1" selected="0">
            <x v="0"/>
          </reference>
          <reference field="3" count="1" selected="0">
            <x v="270"/>
          </reference>
        </references>
      </pivotArea>
    </chartFormat>
    <chartFormat chart="1" format="153">
      <pivotArea type="data" outline="0" fieldPosition="0">
        <references count="2">
          <reference field="4294967294" count="1" selected="0">
            <x v="0"/>
          </reference>
          <reference field="3" count="1" selected="0">
            <x v="305"/>
          </reference>
        </references>
      </pivotArea>
    </chartFormat>
    <chartFormat chart="1" format="154">
      <pivotArea type="data" outline="0" fieldPosition="0">
        <references count="2">
          <reference field="4294967294" count="1" selected="0">
            <x v="0"/>
          </reference>
          <reference field="3" count="1" selected="0">
            <x v="220"/>
          </reference>
        </references>
      </pivotArea>
    </chartFormat>
    <chartFormat chart="1" format="155">
      <pivotArea type="data" outline="0" fieldPosition="0">
        <references count="2">
          <reference field="4294967294" count="1" selected="0">
            <x v="0"/>
          </reference>
          <reference field="3" count="1" selected="0">
            <x v="286"/>
          </reference>
        </references>
      </pivotArea>
    </chartFormat>
    <chartFormat chart="1" format="156">
      <pivotArea type="data" outline="0" fieldPosition="0">
        <references count="2">
          <reference field="4294967294" count="1" selected="0">
            <x v="0"/>
          </reference>
          <reference field="3" count="1" selected="0">
            <x v="16"/>
          </reference>
        </references>
      </pivotArea>
    </chartFormat>
    <chartFormat chart="1" format="157">
      <pivotArea type="data" outline="0" fieldPosition="0">
        <references count="2">
          <reference field="4294967294" count="1" selected="0">
            <x v="0"/>
          </reference>
          <reference field="3" count="1" selected="0">
            <x v="57"/>
          </reference>
        </references>
      </pivotArea>
    </chartFormat>
    <chartFormat chart="1" format="158">
      <pivotArea type="data" outline="0" fieldPosition="0">
        <references count="2">
          <reference field="4294967294" count="1" selected="0">
            <x v="0"/>
          </reference>
          <reference field="3" count="1" selected="0">
            <x v="181"/>
          </reference>
        </references>
      </pivotArea>
    </chartFormat>
    <chartFormat chart="1" format="159">
      <pivotArea type="data" outline="0" fieldPosition="0">
        <references count="2">
          <reference field="4294967294" count="1" selected="0">
            <x v="0"/>
          </reference>
          <reference field="3" count="1" selected="0">
            <x v="467"/>
          </reference>
        </references>
      </pivotArea>
    </chartFormat>
    <chartFormat chart="1" format="160">
      <pivotArea type="data" outline="0" fieldPosition="0">
        <references count="2">
          <reference field="4294967294" count="1" selected="0">
            <x v="0"/>
          </reference>
          <reference field="3" count="1" selected="0">
            <x v="134"/>
          </reference>
        </references>
      </pivotArea>
    </chartFormat>
    <chartFormat chart="1" format="161">
      <pivotArea type="data" outline="0" fieldPosition="0">
        <references count="2">
          <reference field="4294967294" count="1" selected="0">
            <x v="0"/>
          </reference>
          <reference field="3" count="1" selected="0">
            <x v="81"/>
          </reference>
        </references>
      </pivotArea>
    </chartFormat>
    <chartFormat chart="1" format="162">
      <pivotArea type="data" outline="0" fieldPosition="0">
        <references count="2">
          <reference field="4294967294" count="1" selected="0">
            <x v="0"/>
          </reference>
          <reference field="3" count="1" selected="0">
            <x v="347"/>
          </reference>
        </references>
      </pivotArea>
    </chartFormat>
    <chartFormat chart="1" format="163">
      <pivotArea type="data" outline="0" fieldPosition="0">
        <references count="2">
          <reference field="4294967294" count="1" selected="0">
            <x v="0"/>
          </reference>
          <reference field="3" count="1" selected="0">
            <x v="420"/>
          </reference>
        </references>
      </pivotArea>
    </chartFormat>
    <chartFormat chart="1" format="164">
      <pivotArea type="data" outline="0" fieldPosition="0">
        <references count="2">
          <reference field="4294967294" count="1" selected="0">
            <x v="0"/>
          </reference>
          <reference field="3" count="1" selected="0">
            <x v="167"/>
          </reference>
        </references>
      </pivotArea>
    </chartFormat>
    <chartFormat chart="1" format="165">
      <pivotArea type="data" outline="0" fieldPosition="0">
        <references count="2">
          <reference field="4294967294" count="1" selected="0">
            <x v="0"/>
          </reference>
          <reference field="3" count="1" selected="0">
            <x v="112"/>
          </reference>
        </references>
      </pivotArea>
    </chartFormat>
    <chartFormat chart="1" format="166">
      <pivotArea type="data" outline="0" fieldPosition="0">
        <references count="2">
          <reference field="4294967294" count="1" selected="0">
            <x v="0"/>
          </reference>
          <reference field="3" count="1" selected="0">
            <x v="442"/>
          </reference>
        </references>
      </pivotArea>
    </chartFormat>
    <chartFormat chart="1" format="167">
      <pivotArea type="data" outline="0" fieldPosition="0">
        <references count="2">
          <reference field="4294967294" count="1" selected="0">
            <x v="0"/>
          </reference>
          <reference field="3" count="1" selected="0">
            <x v="277"/>
          </reference>
        </references>
      </pivotArea>
    </chartFormat>
    <chartFormat chart="1" format="168">
      <pivotArea type="data" outline="0" fieldPosition="0">
        <references count="2">
          <reference field="4294967294" count="1" selected="0">
            <x v="0"/>
          </reference>
          <reference field="3" count="1" selected="0">
            <x v="204"/>
          </reference>
        </references>
      </pivotArea>
    </chartFormat>
    <chartFormat chart="1" format="169">
      <pivotArea type="data" outline="0" fieldPosition="0">
        <references count="2">
          <reference field="4294967294" count="1" selected="0">
            <x v="0"/>
          </reference>
          <reference field="3" count="1" selected="0">
            <x v="378"/>
          </reference>
        </references>
      </pivotArea>
    </chartFormat>
    <chartFormat chart="1" format="170">
      <pivotArea type="data" outline="0" fieldPosition="0">
        <references count="2">
          <reference field="4294967294" count="1" selected="0">
            <x v="0"/>
          </reference>
          <reference field="3" count="1" selected="0">
            <x v="48"/>
          </reference>
        </references>
      </pivotArea>
    </chartFormat>
    <chartFormat chart="1" format="171">
      <pivotArea type="data" outline="0" fieldPosition="0">
        <references count="2">
          <reference field="4294967294" count="1" selected="0">
            <x v="0"/>
          </reference>
          <reference field="3" count="1" selected="0">
            <x v="477"/>
          </reference>
        </references>
      </pivotArea>
    </chartFormat>
    <chartFormat chart="1" format="172">
      <pivotArea type="data" outline="0" fieldPosition="0">
        <references count="2">
          <reference field="4294967294" count="1" selected="0">
            <x v="0"/>
          </reference>
          <reference field="3" count="1" selected="0">
            <x v="148"/>
          </reference>
        </references>
      </pivotArea>
    </chartFormat>
    <chartFormat chart="1" format="173">
      <pivotArea type="data" outline="0" fieldPosition="0">
        <references count="2">
          <reference field="4294967294" count="1" selected="0">
            <x v="0"/>
          </reference>
          <reference field="3" count="1" selected="0">
            <x v="186"/>
          </reference>
        </references>
      </pivotArea>
    </chartFormat>
    <chartFormat chart="1" format="174">
      <pivotArea type="data" outline="0" fieldPosition="0">
        <references count="2">
          <reference field="4294967294" count="1" selected="0">
            <x v="0"/>
          </reference>
          <reference field="3" count="1" selected="0">
            <x v="352"/>
          </reference>
        </references>
      </pivotArea>
    </chartFormat>
    <chartFormat chart="1" format="175">
      <pivotArea type="data" outline="0" fieldPosition="0">
        <references count="2">
          <reference field="4294967294" count="1" selected="0">
            <x v="0"/>
          </reference>
          <reference field="3" count="1" selected="0">
            <x v="258"/>
          </reference>
        </references>
      </pivotArea>
    </chartFormat>
    <chartFormat chart="1" format="176">
      <pivotArea type="data" outline="0" fieldPosition="0">
        <references count="2">
          <reference field="4294967294" count="1" selected="0">
            <x v="0"/>
          </reference>
          <reference field="3" count="1" selected="0">
            <x v="414"/>
          </reference>
        </references>
      </pivotArea>
    </chartFormat>
    <chartFormat chart="1" format="177">
      <pivotArea type="data" outline="0" fieldPosition="0">
        <references count="2">
          <reference field="4294967294" count="1" selected="0">
            <x v="0"/>
          </reference>
          <reference field="3" count="1" selected="0">
            <x v="13"/>
          </reference>
        </references>
      </pivotArea>
    </chartFormat>
    <chartFormat chart="1" format="178">
      <pivotArea type="data" outline="0" fieldPosition="0">
        <references count="2">
          <reference field="4294967294" count="1" selected="0">
            <x v="0"/>
          </reference>
          <reference field="3" count="1" selected="0">
            <x v="314"/>
          </reference>
        </references>
      </pivotArea>
    </chartFormat>
    <chartFormat chart="1" format="179">
      <pivotArea type="data" outline="0" fieldPosition="0">
        <references count="2">
          <reference field="4294967294" count="1" selected="0">
            <x v="0"/>
          </reference>
          <reference field="3" count="1" selected="0">
            <x v="93"/>
          </reference>
        </references>
      </pivotArea>
    </chartFormat>
    <chartFormat chart="1" format="180">
      <pivotArea type="data" outline="0" fieldPosition="0">
        <references count="2">
          <reference field="4294967294" count="1" selected="0">
            <x v="0"/>
          </reference>
          <reference field="3" count="1" selected="0">
            <x v="432"/>
          </reference>
        </references>
      </pivotArea>
    </chartFormat>
    <chartFormat chart="1" format="181">
      <pivotArea type="data" outline="0" fieldPosition="0">
        <references count="2">
          <reference field="4294967294" count="1" selected="0">
            <x v="0"/>
          </reference>
          <reference field="3" count="1" selected="0">
            <x v="296"/>
          </reference>
        </references>
      </pivotArea>
    </chartFormat>
    <chartFormat chart="1" format="182">
      <pivotArea type="data" outline="0" fieldPosition="0">
        <references count="2">
          <reference field="4294967294" count="1" selected="0">
            <x v="0"/>
          </reference>
          <reference field="3" count="1" selected="0">
            <x v="386"/>
          </reference>
        </references>
      </pivotArea>
    </chartFormat>
    <chartFormat chart="1" format="183">
      <pivotArea type="data" outline="0" fieldPosition="0">
        <references count="2">
          <reference field="4294967294" count="1" selected="0">
            <x v="0"/>
          </reference>
          <reference field="3" count="1" selected="0">
            <x v="358"/>
          </reference>
        </references>
      </pivotArea>
    </chartFormat>
    <chartFormat chart="1" format="184">
      <pivotArea type="data" outline="0" fieldPosition="0">
        <references count="2">
          <reference field="4294967294" count="1" selected="0">
            <x v="0"/>
          </reference>
          <reference field="3" count="1" selected="0">
            <x v="231"/>
          </reference>
        </references>
      </pivotArea>
    </chartFormat>
    <chartFormat chart="1" format="185">
      <pivotArea type="data" outline="0" fieldPosition="0">
        <references count="2">
          <reference field="4294967294" count="1" selected="0">
            <x v="0"/>
          </reference>
          <reference field="3" count="1" selected="0">
            <x v="169"/>
          </reference>
        </references>
      </pivotArea>
    </chartFormat>
    <chartFormat chart="1" format="186">
      <pivotArea type="data" outline="0" fieldPosition="0">
        <references count="2">
          <reference field="4294967294" count="1" selected="0">
            <x v="0"/>
          </reference>
          <reference field="3" count="1" selected="0">
            <x v="446"/>
          </reference>
        </references>
      </pivotArea>
    </chartFormat>
    <chartFormat chart="1" format="187">
      <pivotArea type="data" outline="0" fieldPosition="0">
        <references count="2">
          <reference field="4294967294" count="1" selected="0">
            <x v="0"/>
          </reference>
          <reference field="3" count="1" selected="0">
            <x v="158"/>
          </reference>
        </references>
      </pivotArea>
    </chartFormat>
    <chartFormat chart="1" format="188">
      <pivotArea type="data" outline="0" fieldPosition="0">
        <references count="2">
          <reference field="4294967294" count="1" selected="0">
            <x v="0"/>
          </reference>
          <reference field="3" count="1" selected="0">
            <x v="415"/>
          </reference>
        </references>
      </pivotArea>
    </chartFormat>
    <chartFormat chart="1" format="189">
      <pivotArea type="data" outline="0" fieldPosition="0">
        <references count="2">
          <reference field="4294967294" count="1" selected="0">
            <x v="0"/>
          </reference>
          <reference field="3" count="1" selected="0">
            <x v="333"/>
          </reference>
        </references>
      </pivotArea>
    </chartFormat>
    <chartFormat chart="1" format="190">
      <pivotArea type="data" outline="0" fieldPosition="0">
        <references count="2">
          <reference field="4294967294" count="1" selected="0">
            <x v="0"/>
          </reference>
          <reference field="3" count="1" selected="0">
            <x v="488"/>
          </reference>
        </references>
      </pivotArea>
    </chartFormat>
    <chartFormat chart="1" format="191">
      <pivotArea type="data" outline="0" fieldPosition="0">
        <references count="2">
          <reference field="4294967294" count="1" selected="0">
            <x v="0"/>
          </reference>
          <reference field="3" count="1" selected="0">
            <x v="7"/>
          </reference>
        </references>
      </pivotArea>
    </chartFormat>
    <chartFormat chart="1" format="192">
      <pivotArea type="data" outline="0" fieldPosition="0">
        <references count="2">
          <reference field="4294967294" count="1" selected="0">
            <x v="0"/>
          </reference>
          <reference field="3" count="1" selected="0">
            <x v="455"/>
          </reference>
        </references>
      </pivotArea>
    </chartFormat>
    <chartFormat chart="1" format="193">
      <pivotArea type="data" outline="0" fieldPosition="0">
        <references count="2">
          <reference field="4294967294" count="1" selected="0">
            <x v="0"/>
          </reference>
          <reference field="3" count="1" selected="0">
            <x v="132"/>
          </reference>
        </references>
      </pivotArea>
    </chartFormat>
    <chartFormat chart="1" format="194">
      <pivotArea type="data" outline="0" fieldPosition="0">
        <references count="2">
          <reference field="4294967294" count="1" selected="0">
            <x v="0"/>
          </reference>
          <reference field="3" count="1" selected="0">
            <x v="217"/>
          </reference>
        </references>
      </pivotArea>
    </chartFormat>
    <chartFormat chart="1" format="195">
      <pivotArea type="data" outline="0" fieldPosition="0">
        <references count="2">
          <reference field="4294967294" count="1" selected="0">
            <x v="0"/>
          </reference>
          <reference field="3" count="1" selected="0">
            <x v="20"/>
          </reference>
        </references>
      </pivotArea>
    </chartFormat>
    <chartFormat chart="1" format="196">
      <pivotArea type="data" outline="0" fieldPosition="0">
        <references count="2">
          <reference field="4294967294" count="1" selected="0">
            <x v="0"/>
          </reference>
          <reference field="3" count="1" selected="0">
            <x v="11"/>
          </reference>
        </references>
      </pivotArea>
    </chartFormat>
    <chartFormat chart="1" format="197">
      <pivotArea type="data" outline="0" fieldPosition="0">
        <references count="2">
          <reference field="4294967294" count="1" selected="0">
            <x v="0"/>
          </reference>
          <reference field="3" count="1" selected="0">
            <x v="362"/>
          </reference>
        </references>
      </pivotArea>
    </chartFormat>
    <chartFormat chart="1" format="198">
      <pivotArea type="data" outline="0" fieldPosition="0">
        <references count="2">
          <reference field="4294967294" count="1" selected="0">
            <x v="0"/>
          </reference>
          <reference field="3" count="1" selected="0">
            <x v="400"/>
          </reference>
        </references>
      </pivotArea>
    </chartFormat>
    <chartFormat chart="1" format="199">
      <pivotArea type="data" outline="0" fieldPosition="0">
        <references count="2">
          <reference field="4294967294" count="1" selected="0">
            <x v="0"/>
          </reference>
          <reference field="3" count="1" selected="0">
            <x v="178"/>
          </reference>
        </references>
      </pivotArea>
    </chartFormat>
    <chartFormat chart="1" format="200">
      <pivotArea type="data" outline="0" fieldPosition="0">
        <references count="2">
          <reference field="4294967294" count="1" selected="0">
            <x v="0"/>
          </reference>
          <reference field="3" count="1" selected="0">
            <x v="14"/>
          </reference>
        </references>
      </pivotArea>
    </chartFormat>
    <chartFormat chart="1" format="201">
      <pivotArea type="data" outline="0" fieldPosition="0">
        <references count="2">
          <reference field="4294967294" count="1" selected="0">
            <x v="0"/>
          </reference>
          <reference field="3" count="1" selected="0">
            <x v="398"/>
          </reference>
        </references>
      </pivotArea>
    </chartFormat>
    <chartFormat chart="1" format="202">
      <pivotArea type="data" outline="0" fieldPosition="0">
        <references count="2">
          <reference field="4294967294" count="1" selected="0">
            <x v="0"/>
          </reference>
          <reference field="3" count="1" selected="0">
            <x v="41"/>
          </reference>
        </references>
      </pivotArea>
    </chartFormat>
    <chartFormat chart="1" format="203">
      <pivotArea type="data" outline="0" fieldPosition="0">
        <references count="2">
          <reference field="4294967294" count="1" selected="0">
            <x v="0"/>
          </reference>
          <reference field="3" count="1" selected="0">
            <x v="24"/>
          </reference>
        </references>
      </pivotArea>
    </chartFormat>
    <chartFormat chart="1" format="204">
      <pivotArea type="data" outline="0" fieldPosition="0">
        <references count="2">
          <reference field="4294967294" count="1" selected="0">
            <x v="0"/>
          </reference>
          <reference field="3" count="1" selected="0">
            <x v="115"/>
          </reference>
        </references>
      </pivotArea>
    </chartFormat>
    <chartFormat chart="1" format="205">
      <pivotArea type="data" outline="0" fieldPosition="0">
        <references count="2">
          <reference field="4294967294" count="1" selected="0">
            <x v="0"/>
          </reference>
          <reference field="3" count="1" selected="0">
            <x v="285"/>
          </reference>
        </references>
      </pivotArea>
    </chartFormat>
    <chartFormat chart="1" format="206">
      <pivotArea type="data" outline="0" fieldPosition="0">
        <references count="2">
          <reference field="4294967294" count="1" selected="0">
            <x v="0"/>
          </reference>
          <reference field="3" count="1" selected="0">
            <x v="404"/>
          </reference>
        </references>
      </pivotArea>
    </chartFormat>
    <chartFormat chart="1" format="207">
      <pivotArea type="data" outline="0" fieldPosition="0">
        <references count="2">
          <reference field="4294967294" count="1" selected="0">
            <x v="0"/>
          </reference>
          <reference field="3" count="1" selected="0">
            <x v="172"/>
          </reference>
        </references>
      </pivotArea>
    </chartFormat>
    <chartFormat chart="1" format="208">
      <pivotArea type="data" outline="0" fieldPosition="0">
        <references count="2">
          <reference field="4294967294" count="1" selected="0">
            <x v="0"/>
          </reference>
          <reference field="3" count="1" selected="0">
            <x v="302"/>
          </reference>
        </references>
      </pivotArea>
    </chartFormat>
    <chartFormat chart="1" format="209">
      <pivotArea type="data" outline="0" fieldPosition="0">
        <references count="2">
          <reference field="4294967294" count="1" selected="0">
            <x v="0"/>
          </reference>
          <reference field="3" count="1" selected="0">
            <x v="392"/>
          </reference>
        </references>
      </pivotArea>
    </chartFormat>
    <chartFormat chart="1" format="210">
      <pivotArea type="data" outline="0" fieldPosition="0">
        <references count="2">
          <reference field="4294967294" count="1" selected="0">
            <x v="0"/>
          </reference>
          <reference field="3" count="1" selected="0">
            <x v="297"/>
          </reference>
        </references>
      </pivotArea>
    </chartFormat>
    <chartFormat chart="1" format="211">
      <pivotArea type="data" outline="0" fieldPosition="0">
        <references count="2">
          <reference field="4294967294" count="1" selected="0">
            <x v="0"/>
          </reference>
          <reference field="3" count="1" selected="0">
            <x v="149"/>
          </reference>
        </references>
      </pivotArea>
    </chartFormat>
    <chartFormat chart="1" format="212">
      <pivotArea type="data" outline="0" fieldPosition="0">
        <references count="2">
          <reference field="4294967294" count="1" selected="0">
            <x v="0"/>
          </reference>
          <reference field="3" count="1" selected="0">
            <x v="299"/>
          </reference>
        </references>
      </pivotArea>
    </chartFormat>
    <chartFormat chart="1" format="213">
      <pivotArea type="data" outline="0" fieldPosition="0">
        <references count="2">
          <reference field="4294967294" count="1" selected="0">
            <x v="0"/>
          </reference>
          <reference field="3" count="1" selected="0">
            <x v="377"/>
          </reference>
        </references>
      </pivotArea>
    </chartFormat>
    <chartFormat chart="1" format="214">
      <pivotArea type="data" outline="0" fieldPosition="0">
        <references count="2">
          <reference field="4294967294" count="1" selected="0">
            <x v="0"/>
          </reference>
          <reference field="3" count="1" selected="0">
            <x v="369"/>
          </reference>
        </references>
      </pivotArea>
    </chartFormat>
    <chartFormat chart="1" format="215">
      <pivotArea type="data" outline="0" fieldPosition="0">
        <references count="2">
          <reference field="4294967294" count="1" selected="0">
            <x v="0"/>
          </reference>
          <reference field="3" count="1" selected="0">
            <x v="382"/>
          </reference>
        </references>
      </pivotArea>
    </chartFormat>
    <chartFormat chart="1" format="216">
      <pivotArea type="data" outline="0" fieldPosition="0">
        <references count="2">
          <reference field="4294967294" count="1" selected="0">
            <x v="0"/>
          </reference>
          <reference field="3" count="1" selected="0">
            <x v="45"/>
          </reference>
        </references>
      </pivotArea>
    </chartFormat>
    <chartFormat chart="1" format="217">
      <pivotArea type="data" outline="0" fieldPosition="0">
        <references count="2">
          <reference field="4294967294" count="1" selected="0">
            <x v="0"/>
          </reference>
          <reference field="3" count="1" selected="0">
            <x v="439"/>
          </reference>
        </references>
      </pivotArea>
    </chartFormat>
    <chartFormat chart="1" format="218">
      <pivotArea type="data" outline="0" fieldPosition="0">
        <references count="2">
          <reference field="4294967294" count="1" selected="0">
            <x v="0"/>
          </reference>
          <reference field="3" count="1" selected="0">
            <x v="66"/>
          </reference>
        </references>
      </pivotArea>
    </chartFormat>
    <chartFormat chart="1" format="219">
      <pivotArea type="data" outline="0" fieldPosition="0">
        <references count="2">
          <reference field="4294967294" count="1" selected="0">
            <x v="0"/>
          </reference>
          <reference field="3" count="1" selected="0">
            <x v="421"/>
          </reference>
        </references>
      </pivotArea>
    </chartFormat>
    <chartFormat chart="1" format="220">
      <pivotArea type="data" outline="0" fieldPosition="0">
        <references count="2">
          <reference field="4294967294" count="1" selected="0">
            <x v="0"/>
          </reference>
          <reference field="3" count="1" selected="0">
            <x v="295"/>
          </reference>
        </references>
      </pivotArea>
    </chartFormat>
    <chartFormat chart="1" format="221">
      <pivotArea type="data" outline="0" fieldPosition="0">
        <references count="2">
          <reference field="4294967294" count="1" selected="0">
            <x v="0"/>
          </reference>
          <reference field="3" count="1" selected="0">
            <x v="92"/>
          </reference>
        </references>
      </pivotArea>
    </chartFormat>
    <chartFormat chart="1" format="222">
      <pivotArea type="data" outline="0" fieldPosition="0">
        <references count="2">
          <reference field="4294967294" count="1" selected="0">
            <x v="0"/>
          </reference>
          <reference field="3" count="1" selected="0">
            <x v="202"/>
          </reference>
        </references>
      </pivotArea>
    </chartFormat>
    <chartFormat chart="1" format="223">
      <pivotArea type="data" outline="0" fieldPosition="0">
        <references count="2">
          <reference field="4294967294" count="1" selected="0">
            <x v="0"/>
          </reference>
          <reference field="3" count="1" selected="0">
            <x v="1"/>
          </reference>
        </references>
      </pivotArea>
    </chartFormat>
    <chartFormat chart="1" format="224">
      <pivotArea type="data" outline="0" fieldPosition="0">
        <references count="2">
          <reference field="4294967294" count="1" selected="0">
            <x v="0"/>
          </reference>
          <reference field="3" count="1" selected="0">
            <x v="97"/>
          </reference>
        </references>
      </pivotArea>
    </chartFormat>
    <chartFormat chart="1" format="225">
      <pivotArea type="data" outline="0" fieldPosition="0">
        <references count="2">
          <reference field="4294967294" count="1" selected="0">
            <x v="0"/>
          </reference>
          <reference field="3" count="1" selected="0">
            <x v="12"/>
          </reference>
        </references>
      </pivotArea>
    </chartFormat>
    <chartFormat chart="1" format="226">
      <pivotArea type="data" outline="0" fieldPosition="0">
        <references count="2">
          <reference field="4294967294" count="1" selected="0">
            <x v="0"/>
          </reference>
          <reference field="3" count="1" selected="0">
            <x v="460"/>
          </reference>
        </references>
      </pivotArea>
    </chartFormat>
    <chartFormat chart="1" format="227">
      <pivotArea type="data" outline="0" fieldPosition="0">
        <references count="2">
          <reference field="4294967294" count="1" selected="0">
            <x v="0"/>
          </reference>
          <reference field="3" count="1" selected="0">
            <x v="159"/>
          </reference>
        </references>
      </pivotArea>
    </chartFormat>
    <chartFormat chart="1" format="228">
      <pivotArea type="data" outline="0" fieldPosition="0">
        <references count="2">
          <reference field="4294967294" count="1" selected="0">
            <x v="0"/>
          </reference>
          <reference field="3" count="1" selected="0">
            <x v="176"/>
          </reference>
        </references>
      </pivotArea>
    </chartFormat>
    <chartFormat chart="1" format="229">
      <pivotArea type="data" outline="0" fieldPosition="0">
        <references count="2">
          <reference field="4294967294" count="1" selected="0">
            <x v="0"/>
          </reference>
          <reference field="3" count="1" selected="0">
            <x v="208"/>
          </reference>
        </references>
      </pivotArea>
    </chartFormat>
    <chartFormat chart="1" format="230">
      <pivotArea type="data" outline="0" fieldPosition="0">
        <references count="2">
          <reference field="4294967294" count="1" selected="0">
            <x v="0"/>
          </reference>
          <reference field="3" count="1" selected="0">
            <x v="88"/>
          </reference>
        </references>
      </pivotArea>
    </chartFormat>
    <chartFormat chart="1" format="231">
      <pivotArea type="data" outline="0" fieldPosition="0">
        <references count="2">
          <reference field="4294967294" count="1" selected="0">
            <x v="0"/>
          </reference>
          <reference field="3" count="1" selected="0">
            <x v="344"/>
          </reference>
        </references>
      </pivotArea>
    </chartFormat>
    <chartFormat chart="1" format="232">
      <pivotArea type="data" outline="0" fieldPosition="0">
        <references count="2">
          <reference field="4294967294" count="1" selected="0">
            <x v="0"/>
          </reference>
          <reference field="3" count="1" selected="0">
            <x v="356"/>
          </reference>
        </references>
      </pivotArea>
    </chartFormat>
    <chartFormat chart="1" format="233">
      <pivotArea type="data" outline="0" fieldPosition="0">
        <references count="2">
          <reference field="4294967294" count="1" selected="0">
            <x v="0"/>
          </reference>
          <reference field="3" count="1" selected="0">
            <x v="332"/>
          </reference>
        </references>
      </pivotArea>
    </chartFormat>
    <chartFormat chart="1" format="234">
      <pivotArea type="data" outline="0" fieldPosition="0">
        <references count="2">
          <reference field="4294967294" count="1" selected="0">
            <x v="0"/>
          </reference>
          <reference field="3" count="1" selected="0">
            <x v="290"/>
          </reference>
        </references>
      </pivotArea>
    </chartFormat>
    <chartFormat chart="1" format="235">
      <pivotArea type="data" outline="0" fieldPosition="0">
        <references count="2">
          <reference field="4294967294" count="1" selected="0">
            <x v="0"/>
          </reference>
          <reference field="3" count="1" selected="0">
            <x v="126"/>
          </reference>
        </references>
      </pivotArea>
    </chartFormat>
    <chartFormat chart="1" format="236">
      <pivotArea type="data" outline="0" fieldPosition="0">
        <references count="2">
          <reference field="4294967294" count="1" selected="0">
            <x v="0"/>
          </reference>
          <reference field="3" count="1" selected="0">
            <x v="348"/>
          </reference>
        </references>
      </pivotArea>
    </chartFormat>
    <chartFormat chart="1" format="237">
      <pivotArea type="data" outline="0" fieldPosition="0">
        <references count="2">
          <reference field="4294967294" count="1" selected="0">
            <x v="0"/>
          </reference>
          <reference field="3" count="1" selected="0">
            <x v="198"/>
          </reference>
        </references>
      </pivotArea>
    </chartFormat>
    <chartFormat chart="1" format="238">
      <pivotArea type="data" outline="0" fieldPosition="0">
        <references count="2">
          <reference field="4294967294" count="1" selected="0">
            <x v="0"/>
          </reference>
          <reference field="3" count="1" selected="0">
            <x v="279"/>
          </reference>
        </references>
      </pivotArea>
    </chartFormat>
    <chartFormat chart="1" format="239">
      <pivotArea type="data" outline="0" fieldPosition="0">
        <references count="2">
          <reference field="4294967294" count="1" selected="0">
            <x v="0"/>
          </reference>
          <reference field="3" count="1" selected="0">
            <x v="6"/>
          </reference>
        </references>
      </pivotArea>
    </chartFormat>
    <chartFormat chart="1" format="240">
      <pivotArea type="data" outline="0" fieldPosition="0">
        <references count="2">
          <reference field="4294967294" count="1" selected="0">
            <x v="0"/>
          </reference>
          <reference field="3" count="1" selected="0">
            <x v="82"/>
          </reference>
        </references>
      </pivotArea>
    </chartFormat>
    <chartFormat chart="1" format="241">
      <pivotArea type="data" outline="0" fieldPosition="0">
        <references count="2">
          <reference field="4294967294" count="1" selected="0">
            <x v="0"/>
          </reference>
          <reference field="3" count="1" selected="0">
            <x v="346"/>
          </reference>
        </references>
      </pivotArea>
    </chartFormat>
    <chartFormat chart="1" format="242">
      <pivotArea type="data" outline="0" fieldPosition="0">
        <references count="2">
          <reference field="4294967294" count="1" selected="0">
            <x v="0"/>
          </reference>
          <reference field="3" count="1" selected="0">
            <x v="150"/>
          </reference>
        </references>
      </pivotArea>
    </chartFormat>
    <chartFormat chart="1" format="243">
      <pivotArea type="data" outline="0" fieldPosition="0">
        <references count="2">
          <reference field="4294967294" count="1" selected="0">
            <x v="0"/>
          </reference>
          <reference field="3" count="1" selected="0">
            <x v="143"/>
          </reference>
        </references>
      </pivotArea>
    </chartFormat>
    <chartFormat chart="1" format="244">
      <pivotArea type="data" outline="0" fieldPosition="0">
        <references count="2">
          <reference field="4294967294" count="1" selected="0">
            <x v="0"/>
          </reference>
          <reference field="3" count="1" selected="0">
            <x v="338"/>
          </reference>
        </references>
      </pivotArea>
    </chartFormat>
    <chartFormat chart="1" format="245">
      <pivotArea type="data" outline="0" fieldPosition="0">
        <references count="2">
          <reference field="4294967294" count="1" selected="0">
            <x v="0"/>
          </reference>
          <reference field="3" count="1" selected="0">
            <x v="71"/>
          </reference>
        </references>
      </pivotArea>
    </chartFormat>
    <chartFormat chart="1" format="246">
      <pivotArea type="data" outline="0" fieldPosition="0">
        <references count="2">
          <reference field="4294967294" count="1" selected="0">
            <x v="0"/>
          </reference>
          <reference field="3" count="1" selected="0">
            <x v="364"/>
          </reference>
        </references>
      </pivotArea>
    </chartFormat>
    <chartFormat chart="1" format="247">
      <pivotArea type="data" outline="0" fieldPosition="0">
        <references count="2">
          <reference field="4294967294" count="1" selected="0">
            <x v="0"/>
          </reference>
          <reference field="3" count="1" selected="0">
            <x v="461"/>
          </reference>
        </references>
      </pivotArea>
    </chartFormat>
    <chartFormat chart="1" format="248">
      <pivotArea type="data" outline="0" fieldPosition="0">
        <references count="2">
          <reference field="4294967294" count="1" selected="0">
            <x v="0"/>
          </reference>
          <reference field="3" count="1" selected="0">
            <x v="215"/>
          </reference>
        </references>
      </pivotArea>
    </chartFormat>
    <chartFormat chart="1" format="249">
      <pivotArea type="data" outline="0" fieldPosition="0">
        <references count="2">
          <reference field="4294967294" count="1" selected="0">
            <x v="0"/>
          </reference>
          <reference field="3" count="1" selected="0">
            <x v="474"/>
          </reference>
        </references>
      </pivotArea>
    </chartFormat>
    <chartFormat chart="1" format="250">
      <pivotArea type="data" outline="0" fieldPosition="0">
        <references count="2">
          <reference field="4294967294" count="1" selected="0">
            <x v="0"/>
          </reference>
          <reference field="3" count="1" selected="0">
            <x v="77"/>
          </reference>
        </references>
      </pivotArea>
    </chartFormat>
    <chartFormat chart="1" format="251">
      <pivotArea type="data" outline="0" fieldPosition="0">
        <references count="2">
          <reference field="4294967294" count="1" selected="0">
            <x v="0"/>
          </reference>
          <reference field="3" count="1" selected="0">
            <x v="444"/>
          </reference>
        </references>
      </pivotArea>
    </chartFormat>
    <chartFormat chart="1" format="252">
      <pivotArea type="data" outline="0" fieldPosition="0">
        <references count="2">
          <reference field="4294967294" count="1" selected="0">
            <x v="0"/>
          </reference>
          <reference field="3" count="1" selected="0">
            <x v="229"/>
          </reference>
        </references>
      </pivotArea>
    </chartFormat>
    <chartFormat chart="1" format="253">
      <pivotArea type="data" outline="0" fieldPosition="0">
        <references count="2">
          <reference field="4294967294" count="1" selected="0">
            <x v="0"/>
          </reference>
          <reference field="3" count="1" selected="0">
            <x v="318"/>
          </reference>
        </references>
      </pivotArea>
    </chartFormat>
    <chartFormat chart="1" format="254">
      <pivotArea type="data" outline="0" fieldPosition="0">
        <references count="2">
          <reference field="4294967294" count="1" selected="0">
            <x v="0"/>
          </reference>
          <reference field="3" count="1" selected="0">
            <x v="117"/>
          </reference>
        </references>
      </pivotArea>
    </chartFormat>
    <chartFormat chart="1" format="255">
      <pivotArea type="data" outline="0" fieldPosition="0">
        <references count="2">
          <reference field="4294967294" count="1" selected="0">
            <x v="0"/>
          </reference>
          <reference field="3" count="1" selected="0">
            <x v="342"/>
          </reference>
        </references>
      </pivotArea>
    </chartFormat>
    <chartFormat chart="1" format="256">
      <pivotArea type="data" outline="0" fieldPosition="0">
        <references count="2">
          <reference field="4294967294" count="1" selected="0">
            <x v="0"/>
          </reference>
          <reference field="3" count="1" selected="0">
            <x v="411"/>
          </reference>
        </references>
      </pivotArea>
    </chartFormat>
    <chartFormat chart="1" format="257">
      <pivotArea type="data" outline="0" fieldPosition="0">
        <references count="2">
          <reference field="4294967294" count="1" selected="0">
            <x v="0"/>
          </reference>
          <reference field="3" count="1" selected="0">
            <x v="402"/>
          </reference>
        </references>
      </pivotArea>
    </chartFormat>
    <chartFormat chart="1" format="258">
      <pivotArea type="data" outline="0" fieldPosition="0">
        <references count="2">
          <reference field="4294967294" count="1" selected="0">
            <x v="0"/>
          </reference>
          <reference field="3" count="1" selected="0">
            <x v="30"/>
          </reference>
        </references>
      </pivotArea>
    </chartFormat>
    <chartFormat chart="1" format="259">
      <pivotArea type="data" outline="0" fieldPosition="0">
        <references count="2">
          <reference field="4294967294" count="1" selected="0">
            <x v="0"/>
          </reference>
          <reference field="3" count="1" selected="0">
            <x v="355"/>
          </reference>
        </references>
      </pivotArea>
    </chartFormat>
    <chartFormat chart="1" format="260">
      <pivotArea type="data" outline="0" fieldPosition="0">
        <references count="2">
          <reference field="4294967294" count="1" selected="0">
            <x v="0"/>
          </reference>
          <reference field="3" count="1" selected="0">
            <x v="384"/>
          </reference>
        </references>
      </pivotArea>
    </chartFormat>
    <chartFormat chart="1" format="261">
      <pivotArea type="data" outline="0" fieldPosition="0">
        <references count="2">
          <reference field="4294967294" count="1" selected="0">
            <x v="0"/>
          </reference>
          <reference field="3" count="1" selected="0">
            <x v="72"/>
          </reference>
        </references>
      </pivotArea>
    </chartFormat>
    <chartFormat chart="1" format="262">
      <pivotArea type="data" outline="0" fieldPosition="0">
        <references count="2">
          <reference field="4294967294" count="1" selected="0">
            <x v="0"/>
          </reference>
          <reference field="3" count="1" selected="0">
            <x v="56"/>
          </reference>
        </references>
      </pivotArea>
    </chartFormat>
    <chartFormat chart="1" format="263">
      <pivotArea type="data" outline="0" fieldPosition="0">
        <references count="2">
          <reference field="4294967294" count="1" selected="0">
            <x v="0"/>
          </reference>
          <reference field="3" count="1" selected="0">
            <x v="60"/>
          </reference>
        </references>
      </pivotArea>
    </chartFormat>
    <chartFormat chart="1" format="264">
      <pivotArea type="data" outline="0" fieldPosition="0">
        <references count="2">
          <reference field="4294967294" count="1" selected="0">
            <x v="0"/>
          </reference>
          <reference field="3" count="1" selected="0">
            <x v="329"/>
          </reference>
        </references>
      </pivotArea>
    </chartFormat>
    <chartFormat chart="1" format="265">
      <pivotArea type="data" outline="0" fieldPosition="0">
        <references count="2">
          <reference field="4294967294" count="1" selected="0">
            <x v="0"/>
          </reference>
          <reference field="3" count="1" selected="0">
            <x v="170"/>
          </reference>
        </references>
      </pivotArea>
    </chartFormat>
    <chartFormat chart="1" format="266">
      <pivotArea type="data" outline="0" fieldPosition="0">
        <references count="2">
          <reference field="4294967294" count="1" selected="0">
            <x v="0"/>
          </reference>
          <reference field="3" count="1" selected="0">
            <x v="322"/>
          </reference>
        </references>
      </pivotArea>
    </chartFormat>
    <chartFormat chart="1" format="267">
      <pivotArea type="data" outline="0" fieldPosition="0">
        <references count="2">
          <reference field="4294967294" count="1" selected="0">
            <x v="0"/>
          </reference>
          <reference field="3" count="1" selected="0">
            <x v="341"/>
          </reference>
        </references>
      </pivotArea>
    </chartFormat>
    <chartFormat chart="1" format="268">
      <pivotArea type="data" outline="0" fieldPosition="0">
        <references count="2">
          <reference field="4294967294" count="1" selected="0">
            <x v="0"/>
          </reference>
          <reference field="3" count="1" selected="0">
            <x v="224"/>
          </reference>
        </references>
      </pivotArea>
    </chartFormat>
    <chartFormat chart="1" format="269">
      <pivotArea type="data" outline="0" fieldPosition="0">
        <references count="2">
          <reference field="4294967294" count="1" selected="0">
            <x v="0"/>
          </reference>
          <reference field="3" count="1" selected="0">
            <x v="47"/>
          </reference>
        </references>
      </pivotArea>
    </chartFormat>
    <chartFormat chart="1" format="270">
      <pivotArea type="data" outline="0" fieldPosition="0">
        <references count="2">
          <reference field="4294967294" count="1" selected="0">
            <x v="0"/>
          </reference>
          <reference field="3" count="1" selected="0">
            <x v="433"/>
          </reference>
        </references>
      </pivotArea>
    </chartFormat>
    <chartFormat chart="1" format="271">
      <pivotArea type="data" outline="0" fieldPosition="0">
        <references count="2">
          <reference field="4294967294" count="1" selected="0">
            <x v="0"/>
          </reference>
          <reference field="3" count="1" selected="0">
            <x v="221"/>
          </reference>
        </references>
      </pivotArea>
    </chartFormat>
    <chartFormat chart="1" format="272">
      <pivotArea type="data" outline="0" fieldPosition="0">
        <references count="2">
          <reference field="4294967294" count="1" selected="0">
            <x v="0"/>
          </reference>
          <reference field="3" count="1" selected="0">
            <x v="335"/>
          </reference>
        </references>
      </pivotArea>
    </chartFormat>
    <chartFormat chart="1" format="273">
      <pivotArea type="data" outline="0" fieldPosition="0">
        <references count="2">
          <reference field="4294967294" count="1" selected="0">
            <x v="0"/>
          </reference>
          <reference field="3" count="1" selected="0">
            <x v="59"/>
          </reference>
        </references>
      </pivotArea>
    </chartFormat>
    <chartFormat chart="1" format="274">
      <pivotArea type="data" outline="0" fieldPosition="0">
        <references count="2">
          <reference field="4294967294" count="1" selected="0">
            <x v="0"/>
          </reference>
          <reference field="3" count="1" selected="0">
            <x v="320"/>
          </reference>
        </references>
      </pivotArea>
    </chartFormat>
    <chartFormat chart="0" format="1">
      <pivotArea type="data" outline="0" fieldPosition="0">
        <references count="2">
          <reference field="4294967294" count="1" selected="0">
            <x v="0"/>
          </reference>
          <reference field="3" count="1" selected="0">
            <x v="476"/>
          </reference>
        </references>
      </pivotArea>
    </chartFormat>
    <chartFormat chart="0" format="2">
      <pivotArea type="data" outline="0" fieldPosition="0">
        <references count="2">
          <reference field="4294967294" count="1" selected="0">
            <x v="0"/>
          </reference>
          <reference field="3" count="1" selected="0">
            <x v="8"/>
          </reference>
        </references>
      </pivotArea>
    </chartFormat>
    <chartFormat chart="0" format="3">
      <pivotArea type="data" outline="0" fieldPosition="0">
        <references count="2">
          <reference field="4294967294" count="1" selected="0">
            <x v="0"/>
          </reference>
          <reference field="3" count="1" selected="0">
            <x v="343"/>
          </reference>
        </references>
      </pivotArea>
    </chartFormat>
    <chartFormat chart="0" format="4">
      <pivotArea type="data" outline="0" fieldPosition="0">
        <references count="2">
          <reference field="4294967294" count="1" selected="0">
            <x v="0"/>
          </reference>
          <reference field="3" count="1" selected="0">
            <x v="21"/>
          </reference>
        </references>
      </pivotArea>
    </chartFormat>
    <chartFormat chart="0" format="5">
      <pivotArea type="data" outline="0" fieldPosition="0">
        <references count="2">
          <reference field="4294967294" count="1" selected="0">
            <x v="0"/>
          </reference>
          <reference field="3" count="1" selected="0">
            <x v="280"/>
          </reference>
        </references>
      </pivotArea>
    </chartFormat>
    <chartFormat chart="0" format="6">
      <pivotArea type="data" outline="0" fieldPosition="0">
        <references count="2">
          <reference field="4294967294" count="1" selected="0">
            <x v="0"/>
          </reference>
          <reference field="3" count="1" selected="0">
            <x v="399"/>
          </reference>
        </references>
      </pivotArea>
    </chartFormat>
    <chartFormat chart="0" format="7">
      <pivotArea type="data" outline="0" fieldPosition="0">
        <references count="2">
          <reference field="4294967294" count="1" selected="0">
            <x v="0"/>
          </reference>
          <reference field="3" count="1" selected="0">
            <x v="394"/>
          </reference>
        </references>
      </pivotArea>
    </chartFormat>
    <chartFormat chart="0" format="8">
      <pivotArea type="data" outline="0" fieldPosition="0">
        <references count="2">
          <reference field="4294967294" count="1" selected="0">
            <x v="0"/>
          </reference>
          <reference field="3" count="1" selected="0">
            <x v="180"/>
          </reference>
        </references>
      </pivotArea>
    </chartFormat>
    <chartFormat chart="0" format="9">
      <pivotArea type="data" outline="0" fieldPosition="0">
        <references count="2">
          <reference field="4294967294" count="1" selected="0">
            <x v="0"/>
          </reference>
          <reference field="3" count="1" selected="0">
            <x v="235"/>
          </reference>
        </references>
      </pivotArea>
    </chartFormat>
    <chartFormat chart="0" format="10">
      <pivotArea type="data" outline="0" fieldPosition="0">
        <references count="2">
          <reference field="4294967294" count="1" selected="0">
            <x v="0"/>
          </reference>
          <reference field="3" count="1" selected="0">
            <x v="321"/>
          </reference>
        </references>
      </pivotArea>
    </chartFormat>
    <chartFormat chart="0" format="11">
      <pivotArea type="data" outline="0" fieldPosition="0">
        <references count="2">
          <reference field="4294967294" count="1" selected="0">
            <x v="0"/>
          </reference>
          <reference field="3" count="1" selected="0">
            <x v="139"/>
          </reference>
        </references>
      </pivotArea>
    </chartFormat>
    <chartFormat chart="0" format="12">
      <pivotArea type="data" outline="0" fieldPosition="0">
        <references count="2">
          <reference field="4294967294" count="1" selected="0">
            <x v="0"/>
          </reference>
          <reference field="3" count="1" selected="0">
            <x v="205"/>
          </reference>
        </references>
      </pivotArea>
    </chartFormat>
    <chartFormat chart="0" format="13">
      <pivotArea type="data" outline="0" fieldPosition="0">
        <references count="2">
          <reference field="4294967294" count="1" selected="0">
            <x v="0"/>
          </reference>
          <reference field="3" count="1" selected="0">
            <x v="495"/>
          </reference>
        </references>
      </pivotArea>
    </chartFormat>
    <chartFormat chart="0" format="14">
      <pivotArea type="data" outline="0" fieldPosition="0">
        <references count="2">
          <reference field="4294967294" count="1" selected="0">
            <x v="0"/>
          </reference>
          <reference field="3" count="1" selected="0">
            <x v="359"/>
          </reference>
        </references>
      </pivotArea>
    </chartFormat>
    <chartFormat chart="0" format="15">
      <pivotArea type="data" outline="0" fieldPosition="0">
        <references count="2">
          <reference field="4294967294" count="1" selected="0">
            <x v="0"/>
          </reference>
          <reference field="3" count="1" selected="0">
            <x v="203"/>
          </reference>
        </references>
      </pivotArea>
    </chartFormat>
    <chartFormat chart="0" format="16">
      <pivotArea type="data" outline="0" fieldPosition="0">
        <references count="2">
          <reference field="4294967294" count="1" selected="0">
            <x v="0"/>
          </reference>
          <reference field="3" count="1" selected="0">
            <x v="454"/>
          </reference>
        </references>
      </pivotArea>
    </chartFormat>
    <chartFormat chart="0" format="17">
      <pivotArea type="data" outline="0" fieldPosition="0">
        <references count="2">
          <reference field="4294967294" count="1" selected="0">
            <x v="0"/>
          </reference>
          <reference field="3" count="1" selected="0">
            <x v="487"/>
          </reference>
        </references>
      </pivotArea>
    </chartFormat>
    <chartFormat chart="0" format="18">
      <pivotArea type="data" outline="0" fieldPosition="0">
        <references count="2">
          <reference field="4294967294" count="1" selected="0">
            <x v="0"/>
          </reference>
          <reference field="3" count="1" selected="0">
            <x v="397"/>
          </reference>
        </references>
      </pivotArea>
    </chartFormat>
    <chartFormat chart="0" format="19">
      <pivotArea type="data" outline="0" fieldPosition="0">
        <references count="2">
          <reference field="4294967294" count="1" selected="0">
            <x v="0"/>
          </reference>
          <reference field="3" count="1" selected="0">
            <x v="486"/>
          </reference>
        </references>
      </pivotArea>
    </chartFormat>
    <chartFormat chart="0" format="20">
      <pivotArea type="data" outline="0" fieldPosition="0">
        <references count="2">
          <reference field="4294967294" count="1" selected="0">
            <x v="0"/>
          </reference>
          <reference field="3" count="1" selected="0">
            <x v="403"/>
          </reference>
        </references>
      </pivotArea>
    </chartFormat>
    <chartFormat chart="0" format="21">
      <pivotArea type="data" outline="0" fieldPosition="0">
        <references count="2">
          <reference field="4294967294" count="1" selected="0">
            <x v="0"/>
          </reference>
          <reference field="3" count="1" selected="0">
            <x v="156"/>
          </reference>
        </references>
      </pivotArea>
    </chartFormat>
    <chartFormat chart="0" format="22">
      <pivotArea type="data" outline="0" fieldPosition="0">
        <references count="2">
          <reference field="4294967294" count="1" selected="0">
            <x v="0"/>
          </reference>
          <reference field="3" count="1" selected="0">
            <x v="54"/>
          </reference>
        </references>
      </pivotArea>
    </chartFormat>
    <chartFormat chart="0" format="23">
      <pivotArea type="data" outline="0" fieldPosition="0">
        <references count="2">
          <reference field="4294967294" count="1" selected="0">
            <x v="0"/>
          </reference>
          <reference field="3" count="1" selected="0">
            <x v="182"/>
          </reference>
        </references>
      </pivotArea>
    </chartFormat>
    <chartFormat chart="0" format="24">
      <pivotArea type="data" outline="0" fieldPosition="0">
        <references count="2">
          <reference field="4294967294" count="1" selected="0">
            <x v="0"/>
          </reference>
          <reference field="3" count="1" selected="0">
            <x v="478"/>
          </reference>
        </references>
      </pivotArea>
    </chartFormat>
    <chartFormat chart="0" format="25">
      <pivotArea type="data" outline="0" fieldPosition="0">
        <references count="2">
          <reference field="4294967294" count="1" selected="0">
            <x v="0"/>
          </reference>
          <reference field="3" count="1" selected="0">
            <x v="449"/>
          </reference>
        </references>
      </pivotArea>
    </chartFormat>
    <chartFormat chart="0" format="26">
      <pivotArea type="data" outline="0" fieldPosition="0">
        <references count="2">
          <reference field="4294967294" count="1" selected="0">
            <x v="0"/>
          </reference>
          <reference field="3" count="1" selected="0">
            <x v="15"/>
          </reference>
        </references>
      </pivotArea>
    </chartFormat>
    <chartFormat chart="0" format="27">
      <pivotArea type="data" outline="0" fieldPosition="0">
        <references count="2">
          <reference field="4294967294" count="1" selected="0">
            <x v="0"/>
          </reference>
          <reference field="3" count="1" selected="0">
            <x v="193"/>
          </reference>
        </references>
      </pivotArea>
    </chartFormat>
    <chartFormat chart="0" format="28">
      <pivotArea type="data" outline="0" fieldPosition="0">
        <references count="2">
          <reference field="4294967294" count="1" selected="0">
            <x v="0"/>
          </reference>
          <reference field="3" count="1" selected="0">
            <x v="372"/>
          </reference>
        </references>
      </pivotArea>
    </chartFormat>
    <chartFormat chart="0" format="29">
      <pivotArea type="data" outline="0" fieldPosition="0">
        <references count="2">
          <reference field="4294967294" count="1" selected="0">
            <x v="0"/>
          </reference>
          <reference field="3" count="1" selected="0">
            <x v="471"/>
          </reference>
        </references>
      </pivotArea>
    </chartFormat>
    <chartFormat chart="0" format="30">
      <pivotArea type="data" outline="0" fieldPosition="0">
        <references count="2">
          <reference field="4294967294" count="1" selected="0">
            <x v="0"/>
          </reference>
          <reference field="3" count="1" selected="0">
            <x v="265"/>
          </reference>
        </references>
      </pivotArea>
    </chartFormat>
    <chartFormat chart="0" format="31">
      <pivotArea type="data" outline="0" fieldPosition="0">
        <references count="2">
          <reference field="4294967294" count="1" selected="0">
            <x v="0"/>
          </reference>
          <reference field="3" count="1" selected="0">
            <x v="366"/>
          </reference>
        </references>
      </pivotArea>
    </chartFormat>
    <chartFormat chart="0" format="32">
      <pivotArea type="data" outline="0" fieldPosition="0">
        <references count="2">
          <reference field="4294967294" count="1" selected="0">
            <x v="0"/>
          </reference>
          <reference field="3" count="1" selected="0">
            <x v="63"/>
          </reference>
        </references>
      </pivotArea>
    </chartFormat>
    <chartFormat chart="0" format="33">
      <pivotArea type="data" outline="0" fieldPosition="0">
        <references count="2">
          <reference field="4294967294" count="1" selected="0">
            <x v="0"/>
          </reference>
          <reference field="3" count="1" selected="0">
            <x v="309"/>
          </reference>
        </references>
      </pivotArea>
    </chartFormat>
    <chartFormat chart="0" format="34">
      <pivotArea type="data" outline="0" fieldPosition="0">
        <references count="2">
          <reference field="4294967294" count="1" selected="0">
            <x v="0"/>
          </reference>
          <reference field="3" count="1" selected="0">
            <x v="292"/>
          </reference>
        </references>
      </pivotArea>
    </chartFormat>
    <chartFormat chart="0" format="35">
      <pivotArea type="data" outline="0" fieldPosition="0">
        <references count="2">
          <reference field="4294967294" count="1" selected="0">
            <x v="0"/>
          </reference>
          <reference field="3" count="1" selected="0">
            <x v="326"/>
          </reference>
        </references>
      </pivotArea>
    </chartFormat>
    <chartFormat chart="0" format="36">
      <pivotArea type="data" outline="0" fieldPosition="0">
        <references count="2">
          <reference field="4294967294" count="1" selected="0">
            <x v="0"/>
          </reference>
          <reference field="3" count="1" selected="0">
            <x v="423"/>
          </reference>
        </references>
      </pivotArea>
    </chartFormat>
    <chartFormat chart="0" format="37">
      <pivotArea type="data" outline="0" fieldPosition="0">
        <references count="2">
          <reference field="4294967294" count="1" selected="0">
            <x v="0"/>
          </reference>
          <reference field="3" count="1" selected="0">
            <x v="276"/>
          </reference>
        </references>
      </pivotArea>
    </chartFormat>
    <chartFormat chart="0" format="38">
      <pivotArea type="data" outline="0" fieldPosition="0">
        <references count="2">
          <reference field="4294967294" count="1" selected="0">
            <x v="0"/>
          </reference>
          <reference field="3" count="1" selected="0">
            <x v="79"/>
          </reference>
        </references>
      </pivotArea>
    </chartFormat>
    <chartFormat chart="0" format="39">
      <pivotArea type="data" outline="0" fieldPosition="0">
        <references count="2">
          <reference field="4294967294" count="1" selected="0">
            <x v="0"/>
          </reference>
          <reference field="3" count="1" selected="0">
            <x v="210"/>
          </reference>
        </references>
      </pivotArea>
    </chartFormat>
    <chartFormat chart="0" format="40">
      <pivotArea type="data" outline="0" fieldPosition="0">
        <references count="2">
          <reference field="4294967294" count="1" selected="0">
            <x v="0"/>
          </reference>
          <reference field="3" count="1" selected="0">
            <x v="225"/>
          </reference>
        </references>
      </pivotArea>
    </chartFormat>
    <chartFormat chart="0" format="41">
      <pivotArea type="data" outline="0" fieldPosition="0">
        <references count="2">
          <reference field="4294967294" count="1" selected="0">
            <x v="0"/>
          </reference>
          <reference field="3" count="1" selected="0">
            <x v="410"/>
          </reference>
        </references>
      </pivotArea>
    </chartFormat>
    <chartFormat chart="0" format="42">
      <pivotArea type="data" outline="0" fieldPosition="0">
        <references count="2">
          <reference field="4294967294" count="1" selected="0">
            <x v="0"/>
          </reference>
          <reference field="3" count="1" selected="0">
            <x v="201"/>
          </reference>
        </references>
      </pivotArea>
    </chartFormat>
    <chartFormat chart="0" format="43">
      <pivotArea type="data" outline="0" fieldPosition="0">
        <references count="2">
          <reference field="4294967294" count="1" selected="0">
            <x v="0"/>
          </reference>
          <reference field="3" count="1" selected="0">
            <x v="281"/>
          </reference>
        </references>
      </pivotArea>
    </chartFormat>
    <chartFormat chart="0" format="44">
      <pivotArea type="data" outline="0" fieldPosition="0">
        <references count="2">
          <reference field="4294967294" count="1" selected="0">
            <x v="0"/>
          </reference>
          <reference field="3" count="1" selected="0">
            <x v="151"/>
          </reference>
        </references>
      </pivotArea>
    </chartFormat>
    <chartFormat chart="0" format="45">
      <pivotArea type="data" outline="0" fieldPosition="0">
        <references count="2">
          <reference field="4294967294" count="1" selected="0">
            <x v="0"/>
          </reference>
          <reference field="3" count="1" selected="0">
            <x v="490"/>
          </reference>
        </references>
      </pivotArea>
    </chartFormat>
    <chartFormat chart="0" format="46">
      <pivotArea type="data" outline="0" fieldPosition="0">
        <references count="2">
          <reference field="4294967294" count="1" selected="0">
            <x v="0"/>
          </reference>
          <reference field="3" count="1" selected="0">
            <x v="125"/>
          </reference>
        </references>
      </pivotArea>
    </chartFormat>
    <chartFormat chart="0" format="47">
      <pivotArea type="data" outline="0" fieldPosition="0">
        <references count="2">
          <reference field="4294967294" count="1" selected="0">
            <x v="0"/>
          </reference>
          <reference field="3" count="1" selected="0">
            <x v="450"/>
          </reference>
        </references>
      </pivotArea>
    </chartFormat>
    <chartFormat chart="0" format="48">
      <pivotArea type="data" outline="0" fieldPosition="0">
        <references count="2">
          <reference field="4294967294" count="1" selected="0">
            <x v="0"/>
          </reference>
          <reference field="3" count="1" selected="0">
            <x v="116"/>
          </reference>
        </references>
      </pivotArea>
    </chartFormat>
    <chartFormat chart="0" format="49">
      <pivotArea type="data" outline="0" fieldPosition="0">
        <references count="2">
          <reference field="4294967294" count="1" selected="0">
            <x v="0"/>
          </reference>
          <reference field="3" count="1" selected="0">
            <x v="244"/>
          </reference>
        </references>
      </pivotArea>
    </chartFormat>
    <chartFormat chart="0" format="50">
      <pivotArea type="data" outline="0" fieldPosition="0">
        <references count="2">
          <reference field="4294967294" count="1" selected="0">
            <x v="0"/>
          </reference>
          <reference field="3" count="1" selected="0">
            <x v="94"/>
          </reference>
        </references>
      </pivotArea>
    </chartFormat>
    <chartFormat chart="0" format="51">
      <pivotArea type="data" outline="0" fieldPosition="0">
        <references count="2">
          <reference field="4294967294" count="1" selected="0">
            <x v="0"/>
          </reference>
          <reference field="3" count="1" selected="0">
            <x v="255"/>
          </reference>
        </references>
      </pivotArea>
    </chartFormat>
    <chartFormat chart="0" format="52">
      <pivotArea type="data" outline="0" fieldPosition="0">
        <references count="2">
          <reference field="4294967294" count="1" selected="0">
            <x v="0"/>
          </reference>
          <reference field="3" count="1" selected="0">
            <x v="480"/>
          </reference>
        </references>
      </pivotArea>
    </chartFormat>
    <chartFormat chart="0" format="53">
      <pivotArea type="data" outline="0" fieldPosition="0">
        <references count="2">
          <reference field="4294967294" count="1" selected="0">
            <x v="0"/>
          </reference>
          <reference field="3" count="1" selected="0">
            <x v="388"/>
          </reference>
        </references>
      </pivotArea>
    </chartFormat>
    <chartFormat chart="0" format="54">
      <pivotArea type="data" outline="0" fieldPosition="0">
        <references count="2">
          <reference field="4294967294" count="1" selected="0">
            <x v="0"/>
          </reference>
          <reference field="3" count="1" selected="0">
            <x v="452"/>
          </reference>
        </references>
      </pivotArea>
    </chartFormat>
    <chartFormat chart="0" format="55">
      <pivotArea type="data" outline="0" fieldPosition="0">
        <references count="2">
          <reference field="4294967294" count="1" selected="0">
            <x v="0"/>
          </reference>
          <reference field="3" count="1" selected="0">
            <x v="89"/>
          </reference>
        </references>
      </pivotArea>
    </chartFormat>
    <chartFormat chart="0" format="56">
      <pivotArea type="data" outline="0" fieldPosition="0">
        <references count="2">
          <reference field="4294967294" count="1" selected="0">
            <x v="0"/>
          </reference>
          <reference field="3" count="1" selected="0">
            <x v="379"/>
          </reference>
        </references>
      </pivotArea>
    </chartFormat>
    <chartFormat chart="0" format="57">
      <pivotArea type="data" outline="0" fieldPosition="0">
        <references count="2">
          <reference field="4294967294" count="1" selected="0">
            <x v="0"/>
          </reference>
          <reference field="3" count="1" selected="0">
            <x v="496"/>
          </reference>
        </references>
      </pivotArea>
    </chartFormat>
    <chartFormat chart="0" format="58">
      <pivotArea type="data" outline="0" fieldPosition="0">
        <references count="2">
          <reference field="4294967294" count="1" selected="0">
            <x v="0"/>
          </reference>
          <reference field="3" count="1" selected="0">
            <x v="351"/>
          </reference>
        </references>
      </pivotArea>
    </chartFormat>
    <chartFormat chart="0" format="59">
      <pivotArea type="data" outline="0" fieldPosition="0">
        <references count="2">
          <reference field="4294967294" count="1" selected="0">
            <x v="0"/>
          </reference>
          <reference field="3" count="1" selected="0">
            <x v="427"/>
          </reference>
        </references>
      </pivotArea>
    </chartFormat>
    <chartFormat chart="0" format="60">
      <pivotArea type="data" outline="0" fieldPosition="0">
        <references count="2">
          <reference field="4294967294" count="1" selected="0">
            <x v="0"/>
          </reference>
          <reference field="3" count="1" selected="0">
            <x v="406"/>
          </reference>
        </references>
      </pivotArea>
    </chartFormat>
    <chartFormat chart="0" format="61">
      <pivotArea type="data" outline="0" fieldPosition="0">
        <references count="2">
          <reference field="4294967294" count="1" selected="0">
            <x v="0"/>
          </reference>
          <reference field="3" count="1" selected="0">
            <x v="479"/>
          </reference>
        </references>
      </pivotArea>
    </chartFormat>
    <chartFormat chart="0" format="62">
      <pivotArea type="data" outline="0" fieldPosition="0">
        <references count="2">
          <reference field="4294967294" count="1" selected="0">
            <x v="0"/>
          </reference>
          <reference field="3" count="1" selected="0">
            <x v="17"/>
          </reference>
        </references>
      </pivotArea>
    </chartFormat>
    <chartFormat chart="0" format="63">
      <pivotArea type="data" outline="0" fieldPosition="0">
        <references count="2">
          <reference field="4294967294" count="1" selected="0">
            <x v="0"/>
          </reference>
          <reference field="3" count="1" selected="0">
            <x v="61"/>
          </reference>
        </references>
      </pivotArea>
    </chartFormat>
    <chartFormat chart="0" format="64">
      <pivotArea type="data" outline="0" fieldPosition="0">
        <references count="2">
          <reference field="4294967294" count="1" selected="0">
            <x v="0"/>
          </reference>
          <reference field="3" count="1" selected="0">
            <x v="177"/>
          </reference>
        </references>
      </pivotArea>
    </chartFormat>
    <chartFormat chart="0" format="65">
      <pivotArea type="data" outline="0" fieldPosition="0">
        <references count="2">
          <reference field="4294967294" count="1" selected="0">
            <x v="0"/>
          </reference>
          <reference field="3" count="1" selected="0">
            <x v="494"/>
          </reference>
        </references>
      </pivotArea>
    </chartFormat>
    <chartFormat chart="0" format="66">
      <pivotArea type="data" outline="0" fieldPosition="0">
        <references count="2">
          <reference field="4294967294" count="1" selected="0">
            <x v="0"/>
          </reference>
          <reference field="3" count="1" selected="0">
            <x v="174"/>
          </reference>
        </references>
      </pivotArea>
    </chartFormat>
    <chartFormat chart="0" format="67">
      <pivotArea type="data" outline="0" fieldPosition="0">
        <references count="2">
          <reference field="4294967294" count="1" selected="0">
            <x v="0"/>
          </reference>
          <reference field="3" count="1" selected="0">
            <x v="453"/>
          </reference>
        </references>
      </pivotArea>
    </chartFormat>
    <chartFormat chart="0" format="68">
      <pivotArea type="data" outline="0" fieldPosition="0">
        <references count="2">
          <reference field="4294967294" count="1" selected="0">
            <x v="0"/>
          </reference>
          <reference field="3" count="1" selected="0">
            <x v="489"/>
          </reference>
        </references>
      </pivotArea>
    </chartFormat>
    <chartFormat chart="0" format="69">
      <pivotArea type="data" outline="0" fieldPosition="0">
        <references count="2">
          <reference field="4294967294" count="1" selected="0">
            <x v="0"/>
          </reference>
          <reference field="3" count="1" selected="0">
            <x v="22"/>
          </reference>
        </references>
      </pivotArea>
    </chartFormat>
    <chartFormat chart="0" format="70">
      <pivotArea type="data" outline="0" fieldPosition="0">
        <references count="2">
          <reference field="4294967294" count="1" selected="0">
            <x v="0"/>
          </reference>
          <reference field="3" count="1" selected="0">
            <x v="383"/>
          </reference>
        </references>
      </pivotArea>
    </chartFormat>
    <chartFormat chart="0" format="71">
      <pivotArea type="data" outline="0" fieldPosition="0">
        <references count="2">
          <reference field="4294967294" count="1" selected="0">
            <x v="0"/>
          </reference>
          <reference field="3" count="1" selected="0">
            <x v="194"/>
          </reference>
        </references>
      </pivotArea>
    </chartFormat>
    <chartFormat chart="0" format="72">
      <pivotArea type="data" outline="0" fieldPosition="0">
        <references count="2">
          <reference field="4294967294" count="1" selected="0">
            <x v="0"/>
          </reference>
          <reference field="3" count="1" selected="0">
            <x v="430"/>
          </reference>
        </references>
      </pivotArea>
    </chartFormat>
    <chartFormat chart="0" format="73">
      <pivotArea type="data" outline="0" fieldPosition="0">
        <references count="2">
          <reference field="4294967294" count="1" selected="0">
            <x v="0"/>
          </reference>
          <reference field="3" count="1" selected="0">
            <x v="157"/>
          </reference>
        </references>
      </pivotArea>
    </chartFormat>
    <chartFormat chart="0" format="74">
      <pivotArea type="data" outline="0" fieldPosition="0">
        <references count="2">
          <reference field="4294967294" count="1" selected="0">
            <x v="0"/>
          </reference>
          <reference field="3" count="1" selected="0">
            <x v="108"/>
          </reference>
        </references>
      </pivotArea>
    </chartFormat>
    <chartFormat chart="0" format="75">
      <pivotArea type="data" outline="0" fieldPosition="0">
        <references count="2">
          <reference field="4294967294" count="1" selected="0">
            <x v="0"/>
          </reference>
          <reference field="3" count="1" selected="0">
            <x v="422"/>
          </reference>
        </references>
      </pivotArea>
    </chartFormat>
    <chartFormat chart="0" format="76">
      <pivotArea type="data" outline="0" fieldPosition="0">
        <references count="2">
          <reference field="4294967294" count="1" selected="0">
            <x v="0"/>
          </reference>
          <reference field="3" count="1" selected="0">
            <x v="304"/>
          </reference>
        </references>
      </pivotArea>
    </chartFormat>
    <chartFormat chart="0" format="77">
      <pivotArea type="data" outline="0" fieldPosition="0">
        <references count="2">
          <reference field="4294967294" count="1" selected="0">
            <x v="0"/>
          </reference>
          <reference field="3" count="1" selected="0">
            <x v="196"/>
          </reference>
        </references>
      </pivotArea>
    </chartFormat>
    <chartFormat chart="0" format="78">
      <pivotArea type="data" outline="0" fieldPosition="0">
        <references count="2">
          <reference field="4294967294" count="1" selected="0">
            <x v="0"/>
          </reference>
          <reference field="3" count="1" selected="0">
            <x v="145"/>
          </reference>
        </references>
      </pivotArea>
    </chartFormat>
    <chartFormat chart="0" format="79">
      <pivotArea type="data" outline="0" fieldPosition="0">
        <references count="2">
          <reference field="4294967294" count="1" selected="0">
            <x v="0"/>
          </reference>
          <reference field="3" count="1" selected="0">
            <x v="85"/>
          </reference>
        </references>
      </pivotArea>
    </chartFormat>
    <chartFormat chart="0" format="80">
      <pivotArea type="data" outline="0" fieldPosition="0">
        <references count="2">
          <reference field="4294967294" count="1" selected="0">
            <x v="0"/>
          </reference>
          <reference field="3" count="1" selected="0">
            <x v="363"/>
          </reference>
        </references>
      </pivotArea>
    </chartFormat>
    <chartFormat chart="0" format="81">
      <pivotArea type="data" outline="0" fieldPosition="0">
        <references count="2">
          <reference field="4294967294" count="1" selected="0">
            <x v="0"/>
          </reference>
          <reference field="3" count="1" selected="0">
            <x v="91"/>
          </reference>
        </references>
      </pivotArea>
    </chartFormat>
    <chartFormat chart="0" format="82">
      <pivotArea type="data" outline="0" fieldPosition="0">
        <references count="2">
          <reference field="4294967294" count="1" selected="0">
            <x v="0"/>
          </reference>
          <reference field="3" count="1" selected="0">
            <x v="263"/>
          </reference>
        </references>
      </pivotArea>
    </chartFormat>
    <chartFormat chart="0" format="83">
      <pivotArea type="data" outline="0" fieldPosition="0">
        <references count="2">
          <reference field="4294967294" count="1" selected="0">
            <x v="0"/>
          </reference>
          <reference field="3" count="1" selected="0">
            <x v="233"/>
          </reference>
        </references>
      </pivotArea>
    </chartFormat>
    <chartFormat chart="0" format="84">
      <pivotArea type="data" outline="0" fieldPosition="0">
        <references count="2">
          <reference field="4294967294" count="1" selected="0">
            <x v="0"/>
          </reference>
          <reference field="3" count="1" selected="0">
            <x v="456"/>
          </reference>
        </references>
      </pivotArea>
    </chartFormat>
    <chartFormat chart="0" format="85">
      <pivotArea type="data" outline="0" fieldPosition="0">
        <references count="2">
          <reference field="4294967294" count="1" selected="0">
            <x v="0"/>
          </reference>
          <reference field="3" count="1" selected="0">
            <x v="311"/>
          </reference>
        </references>
      </pivotArea>
    </chartFormat>
    <chartFormat chart="0" format="86">
      <pivotArea type="data" outline="0" fieldPosition="0">
        <references count="2">
          <reference field="4294967294" count="1" selected="0">
            <x v="0"/>
          </reference>
          <reference field="3" count="1" selected="0">
            <x v="273"/>
          </reference>
        </references>
      </pivotArea>
    </chartFormat>
    <chartFormat chart="0" format="87">
      <pivotArea type="data" outline="0" fieldPosition="0">
        <references count="2">
          <reference field="4294967294" count="1" selected="0">
            <x v="0"/>
          </reference>
          <reference field="3" count="1" selected="0">
            <x v="373"/>
          </reference>
        </references>
      </pivotArea>
    </chartFormat>
    <chartFormat chart="0" format="88">
      <pivotArea type="data" outline="0" fieldPosition="0">
        <references count="2">
          <reference field="4294967294" count="1" selected="0">
            <x v="0"/>
          </reference>
          <reference field="3" count="1" selected="0">
            <x v="154"/>
          </reference>
        </references>
      </pivotArea>
    </chartFormat>
    <chartFormat chart="0" format="89">
      <pivotArea type="data" outline="0" fieldPosition="0">
        <references count="2">
          <reference field="4294967294" count="1" selected="0">
            <x v="0"/>
          </reference>
          <reference field="3" count="1" selected="0">
            <x v="312"/>
          </reference>
        </references>
      </pivotArea>
    </chartFormat>
    <chartFormat chart="0" format="90">
      <pivotArea type="data" outline="0" fieldPosition="0">
        <references count="2">
          <reference field="4294967294" count="1" selected="0">
            <x v="0"/>
          </reference>
          <reference field="3" count="1" selected="0">
            <x v="395"/>
          </reference>
        </references>
      </pivotArea>
    </chartFormat>
    <chartFormat chart="0" format="91">
      <pivotArea type="data" outline="0" fieldPosition="0">
        <references count="2">
          <reference field="4294967294" count="1" selected="0">
            <x v="0"/>
          </reference>
          <reference field="3" count="1" selected="0">
            <x v="241"/>
          </reference>
        </references>
      </pivotArea>
    </chartFormat>
    <chartFormat chart="0" format="92">
      <pivotArea type="data" outline="0" fieldPosition="0">
        <references count="2">
          <reference field="4294967294" count="1" selected="0">
            <x v="0"/>
          </reference>
          <reference field="3" count="1" selected="0">
            <x v="485"/>
          </reference>
        </references>
      </pivotArea>
    </chartFormat>
    <chartFormat chart="0" format="93">
      <pivotArea type="data" outline="0" fieldPosition="0">
        <references count="2">
          <reference field="4294967294" count="1" selected="0">
            <x v="0"/>
          </reference>
          <reference field="3" count="1" selected="0">
            <x v="470"/>
          </reference>
        </references>
      </pivotArea>
    </chartFormat>
    <chartFormat chart="0" format="94">
      <pivotArea type="data" outline="0" fieldPosition="0">
        <references count="2">
          <reference field="4294967294" count="1" selected="0">
            <x v="0"/>
          </reference>
          <reference field="3" count="1" selected="0">
            <x v="35"/>
          </reference>
        </references>
      </pivotArea>
    </chartFormat>
    <chartFormat chart="0" format="95">
      <pivotArea type="data" outline="0" fieldPosition="0">
        <references count="2">
          <reference field="4294967294" count="1" selected="0">
            <x v="0"/>
          </reference>
          <reference field="3" count="1" selected="0">
            <x v="51"/>
          </reference>
        </references>
      </pivotArea>
    </chartFormat>
    <chartFormat chart="0" format="96">
      <pivotArea type="data" outline="0" fieldPosition="0">
        <references count="2">
          <reference field="4294967294" count="1" selected="0">
            <x v="0"/>
          </reference>
          <reference field="3" count="1" selected="0">
            <x v="370"/>
          </reference>
        </references>
      </pivotArea>
    </chartFormat>
    <chartFormat chart="0" format="97">
      <pivotArea type="data" outline="0" fieldPosition="0">
        <references count="2">
          <reference field="4294967294" count="1" selected="0">
            <x v="0"/>
          </reference>
          <reference field="3" count="1" selected="0">
            <x v="187"/>
          </reference>
        </references>
      </pivotArea>
    </chartFormat>
    <chartFormat chart="0" format="98">
      <pivotArea type="data" outline="0" fieldPosition="0">
        <references count="2">
          <reference field="4294967294" count="1" selected="0">
            <x v="0"/>
          </reference>
          <reference field="3" count="1" selected="0">
            <x v="55"/>
          </reference>
        </references>
      </pivotArea>
    </chartFormat>
    <chartFormat chart="0" format="99">
      <pivotArea type="data" outline="0" fieldPosition="0">
        <references count="2">
          <reference field="4294967294" count="1" selected="0">
            <x v="0"/>
          </reference>
          <reference field="3" count="1" selected="0">
            <x v="374"/>
          </reference>
        </references>
      </pivotArea>
    </chartFormat>
    <chartFormat chart="0" format="100">
      <pivotArea type="data" outline="0" fieldPosition="0">
        <references count="2">
          <reference field="4294967294" count="1" selected="0">
            <x v="0"/>
          </reference>
          <reference field="3" count="1" selected="0">
            <x v="249"/>
          </reference>
        </references>
      </pivotArea>
    </chartFormat>
    <chartFormat chart="0" format="101">
      <pivotArea type="data" outline="0" fieldPosition="0">
        <references count="2">
          <reference field="4294967294" count="1" selected="0">
            <x v="0"/>
          </reference>
          <reference field="3" count="1" selected="0">
            <x v="104"/>
          </reference>
        </references>
      </pivotArea>
    </chartFormat>
    <chartFormat chart="0" format="102">
      <pivotArea type="data" outline="0" fieldPosition="0">
        <references count="2">
          <reference field="4294967294" count="1" selected="0">
            <x v="0"/>
          </reference>
          <reference field="3" count="1" selected="0">
            <x v="179"/>
          </reference>
        </references>
      </pivotArea>
    </chartFormat>
    <chartFormat chart="0" format="103">
      <pivotArea type="data" outline="0" fieldPosition="0">
        <references count="2">
          <reference field="4294967294" count="1" selected="0">
            <x v="0"/>
          </reference>
          <reference field="3" count="1" selected="0">
            <x v="160"/>
          </reference>
        </references>
      </pivotArea>
    </chartFormat>
    <chartFormat chart="0" format="104">
      <pivotArea type="data" outline="0" fieldPosition="0">
        <references count="2">
          <reference field="4294967294" count="1" selected="0">
            <x v="0"/>
          </reference>
          <reference field="3" count="1" selected="0">
            <x v="31"/>
          </reference>
        </references>
      </pivotArea>
    </chartFormat>
    <chartFormat chart="0" format="105">
      <pivotArea type="data" outline="0" fieldPosition="0">
        <references count="2">
          <reference field="4294967294" count="1" selected="0">
            <x v="0"/>
          </reference>
          <reference field="3" count="1" selected="0">
            <x v="78"/>
          </reference>
        </references>
      </pivotArea>
    </chartFormat>
    <chartFormat chart="0" format="106">
      <pivotArea type="data" outline="0" fieldPosition="0">
        <references count="2">
          <reference field="4294967294" count="1" selected="0">
            <x v="0"/>
          </reference>
          <reference field="3" count="1" selected="0">
            <x v="98"/>
          </reference>
        </references>
      </pivotArea>
    </chartFormat>
    <chartFormat chart="0" format="107">
      <pivotArea type="data" outline="0" fieldPosition="0">
        <references count="2">
          <reference field="4294967294" count="1" selected="0">
            <x v="0"/>
          </reference>
          <reference field="3" count="1" selected="0">
            <x v="34"/>
          </reference>
        </references>
      </pivotArea>
    </chartFormat>
    <chartFormat chart="0" format="108">
      <pivotArea type="data" outline="0" fieldPosition="0">
        <references count="2">
          <reference field="4294967294" count="1" selected="0">
            <x v="0"/>
          </reference>
          <reference field="3" count="1" selected="0">
            <x v="306"/>
          </reference>
        </references>
      </pivotArea>
    </chartFormat>
    <chartFormat chart="0" format="109">
      <pivotArea type="data" outline="0" fieldPosition="0">
        <references count="2">
          <reference field="4294967294" count="1" selected="0">
            <x v="0"/>
          </reference>
          <reference field="3" count="1" selected="0">
            <x v="246"/>
          </reference>
        </references>
      </pivotArea>
    </chartFormat>
    <chartFormat chart="0" format="110">
      <pivotArea type="data" outline="0" fieldPosition="0">
        <references count="2">
          <reference field="4294967294" count="1" selected="0">
            <x v="0"/>
          </reference>
          <reference field="3" count="1" selected="0">
            <x v="137"/>
          </reference>
        </references>
      </pivotArea>
    </chartFormat>
    <chartFormat chart="0" format="111">
      <pivotArea type="data" outline="0" fieldPosition="0">
        <references count="2">
          <reference field="4294967294" count="1" selected="0">
            <x v="0"/>
          </reference>
          <reference field="3" count="1" selected="0">
            <x v="416"/>
          </reference>
        </references>
      </pivotArea>
    </chartFormat>
    <chartFormat chart="0" format="112">
      <pivotArea type="data" outline="0" fieldPosition="0">
        <references count="2">
          <reference field="4294967294" count="1" selected="0">
            <x v="0"/>
          </reference>
          <reference field="3" count="1" selected="0">
            <x v="275"/>
          </reference>
        </references>
      </pivotArea>
    </chartFormat>
    <chartFormat chart="0" format="113">
      <pivotArea type="data" outline="0" fieldPosition="0">
        <references count="2">
          <reference field="4294967294" count="1" selected="0">
            <x v="0"/>
          </reference>
          <reference field="3" count="1" selected="0">
            <x v="80"/>
          </reference>
        </references>
      </pivotArea>
    </chartFormat>
    <chartFormat chart="0" format="114">
      <pivotArea type="data" outline="0" fieldPosition="0">
        <references count="2">
          <reference field="4294967294" count="1" selected="0">
            <x v="0"/>
          </reference>
          <reference field="3" count="1" selected="0">
            <x v="171"/>
          </reference>
        </references>
      </pivotArea>
    </chartFormat>
    <chartFormat chart="0" format="115">
      <pivotArea type="data" outline="0" fieldPosition="0">
        <references count="2">
          <reference field="4294967294" count="1" selected="0">
            <x v="0"/>
          </reference>
          <reference field="3" count="1" selected="0">
            <x v="440"/>
          </reference>
        </references>
      </pivotArea>
    </chartFormat>
    <chartFormat chart="0" format="116">
      <pivotArea type="data" outline="0" fieldPosition="0">
        <references count="2">
          <reference field="4294967294" count="1" selected="0">
            <x v="0"/>
          </reference>
          <reference field="3" count="1" selected="0">
            <x v="142"/>
          </reference>
        </references>
      </pivotArea>
    </chartFormat>
    <chartFormat chart="0" format="117">
      <pivotArea type="data" outline="0" fieldPosition="0">
        <references count="2">
          <reference field="4294967294" count="1" selected="0">
            <x v="0"/>
          </reference>
          <reference field="3" count="1" selected="0">
            <x v="418"/>
          </reference>
        </references>
      </pivotArea>
    </chartFormat>
    <chartFormat chart="0" format="118">
      <pivotArea type="data" outline="0" fieldPosition="0">
        <references count="2">
          <reference field="4294967294" count="1" selected="0">
            <x v="0"/>
          </reference>
          <reference field="3" count="1" selected="0">
            <x v="118"/>
          </reference>
        </references>
      </pivotArea>
    </chartFormat>
    <chartFormat chart="0" format="119">
      <pivotArea type="data" outline="0" fieldPosition="0">
        <references count="2">
          <reference field="4294967294" count="1" selected="0">
            <x v="0"/>
          </reference>
          <reference field="3" count="1" selected="0">
            <x v="317"/>
          </reference>
        </references>
      </pivotArea>
    </chartFormat>
    <chartFormat chart="0" format="120">
      <pivotArea type="data" outline="0" fieldPosition="0">
        <references count="2">
          <reference field="4294967294" count="1" selected="0">
            <x v="0"/>
          </reference>
          <reference field="3" count="1" selected="0">
            <x v="482"/>
          </reference>
        </references>
      </pivotArea>
    </chartFormat>
    <chartFormat chart="0" format="121">
      <pivotArea type="data" outline="0" fieldPosition="0">
        <references count="2">
          <reference field="4294967294" count="1" selected="0">
            <x v="0"/>
          </reference>
          <reference field="3" count="1" selected="0">
            <x v="429"/>
          </reference>
        </references>
      </pivotArea>
    </chartFormat>
    <chartFormat chart="0" format="122">
      <pivotArea type="data" outline="0" fieldPosition="0">
        <references count="2">
          <reference field="4294967294" count="1" selected="0">
            <x v="0"/>
          </reference>
          <reference field="3" count="1" selected="0">
            <x v="58"/>
          </reference>
        </references>
      </pivotArea>
    </chartFormat>
    <chartFormat chart="0" format="123">
      <pivotArea type="data" outline="0" fieldPosition="0">
        <references count="2">
          <reference field="4294967294" count="1" selected="0">
            <x v="0"/>
          </reference>
          <reference field="3" count="1" selected="0">
            <x v="437"/>
          </reference>
        </references>
      </pivotArea>
    </chartFormat>
    <chartFormat chart="0" format="124">
      <pivotArea type="data" outline="0" fieldPosition="0">
        <references count="2">
          <reference field="4294967294" count="1" selected="0">
            <x v="0"/>
          </reference>
          <reference field="3" count="1" selected="0">
            <x v="357"/>
          </reference>
        </references>
      </pivotArea>
    </chartFormat>
    <chartFormat chart="0" format="125">
      <pivotArea type="data" outline="0" fieldPosition="0">
        <references count="2">
          <reference field="4294967294" count="1" selected="0">
            <x v="0"/>
          </reference>
          <reference field="3" count="1" selected="0">
            <x v="136"/>
          </reference>
        </references>
      </pivotArea>
    </chartFormat>
    <chartFormat chart="0" format="126">
      <pivotArea type="data" outline="0" fieldPosition="0">
        <references count="2">
          <reference field="4294967294" count="1" selected="0">
            <x v="0"/>
          </reference>
          <reference field="3" count="1" selected="0">
            <x v="254"/>
          </reference>
        </references>
      </pivotArea>
    </chartFormat>
    <chartFormat chart="0" format="127">
      <pivotArea type="data" outline="0" fieldPosition="0">
        <references count="2">
          <reference field="4294967294" count="1" selected="0">
            <x v="0"/>
          </reference>
          <reference field="3" count="1" selected="0">
            <x v="120"/>
          </reference>
        </references>
      </pivotArea>
    </chartFormat>
    <chartFormat chart="0" format="128">
      <pivotArea type="data" outline="0" fieldPosition="0">
        <references count="2">
          <reference field="4294967294" count="1" selected="0">
            <x v="0"/>
          </reference>
          <reference field="3" count="1" selected="0">
            <x v="200"/>
          </reference>
        </references>
      </pivotArea>
    </chartFormat>
    <chartFormat chart="0" format="129">
      <pivotArea type="data" outline="0" fieldPosition="0">
        <references count="2">
          <reference field="4294967294" count="1" selected="0">
            <x v="0"/>
          </reference>
          <reference field="3" count="1" selected="0">
            <x v="37"/>
          </reference>
        </references>
      </pivotArea>
    </chartFormat>
    <chartFormat chart="0" format="130">
      <pivotArea type="data" outline="0" fieldPosition="0">
        <references count="2">
          <reference field="4294967294" count="1" selected="0">
            <x v="0"/>
          </reference>
          <reference field="3" count="1" selected="0">
            <x v="106"/>
          </reference>
        </references>
      </pivotArea>
    </chartFormat>
    <chartFormat chart="0" format="131">
      <pivotArea type="data" outline="0" fieldPosition="0">
        <references count="2">
          <reference field="4294967294" count="1" selected="0">
            <x v="0"/>
          </reference>
          <reference field="3" count="1" selected="0">
            <x v="262"/>
          </reference>
        </references>
      </pivotArea>
    </chartFormat>
    <chartFormat chart="0" format="132">
      <pivotArea type="data" outline="0" fieldPosition="0">
        <references count="2">
          <reference field="4294967294" count="1" selected="0">
            <x v="0"/>
          </reference>
          <reference field="3" count="1" selected="0">
            <x v="165"/>
          </reference>
        </references>
      </pivotArea>
    </chartFormat>
    <chartFormat chart="0" format="133">
      <pivotArea type="data" outline="0" fieldPosition="0">
        <references count="2">
          <reference field="4294967294" count="1" selected="0">
            <x v="0"/>
          </reference>
          <reference field="3" count="1" selected="0">
            <x v="32"/>
          </reference>
        </references>
      </pivotArea>
    </chartFormat>
    <chartFormat chart="0" format="134">
      <pivotArea type="data" outline="0" fieldPosition="0">
        <references count="2">
          <reference field="4294967294" count="1" selected="0">
            <x v="0"/>
          </reference>
          <reference field="3" count="1" selected="0">
            <x v="245"/>
          </reference>
        </references>
      </pivotArea>
    </chartFormat>
    <chartFormat chart="0" format="135">
      <pivotArea type="data" outline="0" fieldPosition="0">
        <references count="2">
          <reference field="4294967294" count="1" selected="0">
            <x v="0"/>
          </reference>
          <reference field="3" count="1" selected="0">
            <x v="307"/>
          </reference>
        </references>
      </pivotArea>
    </chartFormat>
    <chartFormat chart="0" format="136">
      <pivotArea type="data" outline="0" fieldPosition="0">
        <references count="2">
          <reference field="4294967294" count="1" selected="0">
            <x v="0"/>
          </reference>
          <reference field="3" count="1" selected="0">
            <x v="124"/>
          </reference>
        </references>
      </pivotArea>
    </chartFormat>
    <chartFormat chart="0" format="137">
      <pivotArea type="data" outline="0" fieldPosition="0">
        <references count="2">
          <reference field="4294967294" count="1" selected="0">
            <x v="0"/>
          </reference>
          <reference field="3" count="1" selected="0">
            <x v="232"/>
          </reference>
        </references>
      </pivotArea>
    </chartFormat>
    <chartFormat chart="0" format="138">
      <pivotArea type="data" outline="0" fieldPosition="0">
        <references count="2">
          <reference field="4294967294" count="1" selected="0">
            <x v="0"/>
          </reference>
          <reference field="3" count="1" selected="0">
            <x v="483"/>
          </reference>
        </references>
      </pivotArea>
    </chartFormat>
    <chartFormat chart="0" format="139">
      <pivotArea type="data" outline="0" fieldPosition="0">
        <references count="2">
          <reference field="4294967294" count="1" selected="0">
            <x v="0"/>
          </reference>
          <reference field="3" count="1" selected="0">
            <x v="367"/>
          </reference>
        </references>
      </pivotArea>
    </chartFormat>
    <chartFormat chart="0" format="140">
      <pivotArea type="data" outline="0" fieldPosition="0">
        <references count="2">
          <reference field="4294967294" count="1" selected="0">
            <x v="0"/>
          </reference>
          <reference field="3" count="1" selected="0">
            <x v="462"/>
          </reference>
        </references>
      </pivotArea>
    </chartFormat>
    <chartFormat chart="0" format="141">
      <pivotArea type="data" outline="0" fieldPosition="0">
        <references count="2">
          <reference field="4294967294" count="1" selected="0">
            <x v="0"/>
          </reference>
          <reference field="3" count="1" selected="0">
            <x v="381"/>
          </reference>
        </references>
      </pivotArea>
    </chartFormat>
    <chartFormat chart="0" format="142">
      <pivotArea type="data" outline="0" fieldPosition="0">
        <references count="2">
          <reference field="4294967294" count="1" selected="0">
            <x v="0"/>
          </reference>
          <reference field="3" count="1" selected="0">
            <x v="261"/>
          </reference>
        </references>
      </pivotArea>
    </chartFormat>
    <chartFormat chart="0" format="143">
      <pivotArea type="data" outline="0" fieldPosition="0">
        <references count="2">
          <reference field="4294967294" count="1" selected="0">
            <x v="0"/>
          </reference>
          <reference field="3" count="1" selected="0">
            <x v="409"/>
          </reference>
        </references>
      </pivotArea>
    </chartFormat>
    <chartFormat chart="0" format="144">
      <pivotArea type="data" outline="0" fieldPosition="0">
        <references count="2">
          <reference field="4294967294" count="1" selected="0">
            <x v="0"/>
          </reference>
          <reference field="3" count="1" selected="0">
            <x v="368"/>
          </reference>
        </references>
      </pivotArea>
    </chartFormat>
    <chartFormat chart="0" format="145">
      <pivotArea type="data" outline="0" fieldPosition="0">
        <references count="2">
          <reference field="4294967294" count="1" selected="0">
            <x v="0"/>
          </reference>
          <reference field="3" count="1" selected="0">
            <x v="101"/>
          </reference>
        </references>
      </pivotArea>
    </chartFormat>
    <chartFormat chart="0" format="146">
      <pivotArea type="data" outline="0" fieldPosition="0">
        <references count="2">
          <reference field="4294967294" count="1" selected="0">
            <x v="0"/>
          </reference>
          <reference field="3" count="1" selected="0">
            <x v="278"/>
          </reference>
        </references>
      </pivotArea>
    </chartFormat>
    <chartFormat chart="0" format="147">
      <pivotArea type="data" outline="0" fieldPosition="0">
        <references count="2">
          <reference field="4294967294" count="1" selected="0">
            <x v="0"/>
          </reference>
          <reference field="3" count="1" selected="0">
            <x v="259"/>
          </reference>
        </references>
      </pivotArea>
    </chartFormat>
    <chartFormat chart="0" format="148">
      <pivotArea type="data" outline="0" fieldPosition="0">
        <references count="2">
          <reference field="4294967294" count="1" selected="0">
            <x v="0"/>
          </reference>
          <reference field="3" count="1" selected="0">
            <x v="121"/>
          </reference>
        </references>
      </pivotArea>
    </chartFormat>
    <chartFormat chart="0" format="149">
      <pivotArea type="data" outline="0" fieldPosition="0">
        <references count="2">
          <reference field="4294967294" count="1" selected="0">
            <x v="0"/>
          </reference>
          <reference field="3" count="1" selected="0">
            <x v="361"/>
          </reference>
        </references>
      </pivotArea>
    </chartFormat>
    <chartFormat chart="0" format="150">
      <pivotArea type="data" outline="0" fieldPosition="0">
        <references count="2">
          <reference field="4294967294" count="1" selected="0">
            <x v="0"/>
          </reference>
          <reference field="3" count="1" selected="0">
            <x v="438"/>
          </reference>
        </references>
      </pivotArea>
    </chartFormat>
    <chartFormat chart="0" format="151">
      <pivotArea type="data" outline="0" fieldPosition="0">
        <references count="2">
          <reference field="4294967294" count="1" selected="0">
            <x v="0"/>
          </reference>
          <reference field="3" count="1" selected="0">
            <x v="270"/>
          </reference>
        </references>
      </pivotArea>
    </chartFormat>
    <chartFormat chart="0" format="152">
      <pivotArea type="data" outline="0" fieldPosition="0">
        <references count="2">
          <reference field="4294967294" count="1" selected="0">
            <x v="0"/>
          </reference>
          <reference field="3" count="1" selected="0">
            <x v="305"/>
          </reference>
        </references>
      </pivotArea>
    </chartFormat>
    <chartFormat chart="0" format="153">
      <pivotArea type="data" outline="0" fieldPosition="0">
        <references count="2">
          <reference field="4294967294" count="1" selected="0">
            <x v="0"/>
          </reference>
          <reference field="3" count="1" selected="0">
            <x v="220"/>
          </reference>
        </references>
      </pivotArea>
    </chartFormat>
    <chartFormat chart="0" format="154">
      <pivotArea type="data" outline="0" fieldPosition="0">
        <references count="2">
          <reference field="4294967294" count="1" selected="0">
            <x v="0"/>
          </reference>
          <reference field="3" count="1" selected="0">
            <x v="286"/>
          </reference>
        </references>
      </pivotArea>
    </chartFormat>
    <chartFormat chart="0" format="155">
      <pivotArea type="data" outline="0" fieldPosition="0">
        <references count="2">
          <reference field="4294967294" count="1" selected="0">
            <x v="0"/>
          </reference>
          <reference field="3" count="1" selected="0">
            <x v="16"/>
          </reference>
        </references>
      </pivotArea>
    </chartFormat>
    <chartFormat chart="0" format="156">
      <pivotArea type="data" outline="0" fieldPosition="0">
        <references count="2">
          <reference field="4294967294" count="1" selected="0">
            <x v="0"/>
          </reference>
          <reference field="3" count="1" selected="0">
            <x v="57"/>
          </reference>
        </references>
      </pivotArea>
    </chartFormat>
    <chartFormat chart="0" format="157">
      <pivotArea type="data" outline="0" fieldPosition="0">
        <references count="2">
          <reference field="4294967294" count="1" selected="0">
            <x v="0"/>
          </reference>
          <reference field="3" count="1" selected="0">
            <x v="181"/>
          </reference>
        </references>
      </pivotArea>
    </chartFormat>
    <chartFormat chart="0" format="158">
      <pivotArea type="data" outline="0" fieldPosition="0">
        <references count="2">
          <reference field="4294967294" count="1" selected="0">
            <x v="0"/>
          </reference>
          <reference field="3" count="1" selected="0">
            <x v="467"/>
          </reference>
        </references>
      </pivotArea>
    </chartFormat>
    <chartFormat chart="0" format="159">
      <pivotArea type="data" outline="0" fieldPosition="0">
        <references count="2">
          <reference field="4294967294" count="1" selected="0">
            <x v="0"/>
          </reference>
          <reference field="3" count="1" selected="0">
            <x v="134"/>
          </reference>
        </references>
      </pivotArea>
    </chartFormat>
    <chartFormat chart="0" format="160">
      <pivotArea type="data" outline="0" fieldPosition="0">
        <references count="2">
          <reference field="4294967294" count="1" selected="0">
            <x v="0"/>
          </reference>
          <reference field="3" count="1" selected="0">
            <x v="81"/>
          </reference>
        </references>
      </pivotArea>
    </chartFormat>
    <chartFormat chart="0" format="161">
      <pivotArea type="data" outline="0" fieldPosition="0">
        <references count="2">
          <reference field="4294967294" count="1" selected="0">
            <x v="0"/>
          </reference>
          <reference field="3" count="1" selected="0">
            <x v="347"/>
          </reference>
        </references>
      </pivotArea>
    </chartFormat>
    <chartFormat chart="0" format="162">
      <pivotArea type="data" outline="0" fieldPosition="0">
        <references count="2">
          <reference field="4294967294" count="1" selected="0">
            <x v="0"/>
          </reference>
          <reference field="3" count="1" selected="0">
            <x v="420"/>
          </reference>
        </references>
      </pivotArea>
    </chartFormat>
    <chartFormat chart="0" format="163">
      <pivotArea type="data" outline="0" fieldPosition="0">
        <references count="2">
          <reference field="4294967294" count="1" selected="0">
            <x v="0"/>
          </reference>
          <reference field="3" count="1" selected="0">
            <x v="167"/>
          </reference>
        </references>
      </pivotArea>
    </chartFormat>
    <chartFormat chart="0" format="164">
      <pivotArea type="data" outline="0" fieldPosition="0">
        <references count="2">
          <reference field="4294967294" count="1" selected="0">
            <x v="0"/>
          </reference>
          <reference field="3" count="1" selected="0">
            <x v="112"/>
          </reference>
        </references>
      </pivotArea>
    </chartFormat>
    <chartFormat chart="0" format="165">
      <pivotArea type="data" outline="0" fieldPosition="0">
        <references count="2">
          <reference field="4294967294" count="1" selected="0">
            <x v="0"/>
          </reference>
          <reference field="3" count="1" selected="0">
            <x v="442"/>
          </reference>
        </references>
      </pivotArea>
    </chartFormat>
    <chartFormat chart="0" format="166">
      <pivotArea type="data" outline="0" fieldPosition="0">
        <references count="2">
          <reference field="4294967294" count="1" selected="0">
            <x v="0"/>
          </reference>
          <reference field="3" count="1" selected="0">
            <x v="277"/>
          </reference>
        </references>
      </pivotArea>
    </chartFormat>
    <chartFormat chart="0" format="167">
      <pivotArea type="data" outline="0" fieldPosition="0">
        <references count="2">
          <reference field="4294967294" count="1" selected="0">
            <x v="0"/>
          </reference>
          <reference field="3" count="1" selected="0">
            <x v="204"/>
          </reference>
        </references>
      </pivotArea>
    </chartFormat>
    <chartFormat chart="0" format="168">
      <pivotArea type="data" outline="0" fieldPosition="0">
        <references count="2">
          <reference field="4294967294" count="1" selected="0">
            <x v="0"/>
          </reference>
          <reference field="3" count="1" selected="0">
            <x v="378"/>
          </reference>
        </references>
      </pivotArea>
    </chartFormat>
    <chartFormat chart="0" format="169">
      <pivotArea type="data" outline="0" fieldPosition="0">
        <references count="2">
          <reference field="4294967294" count="1" selected="0">
            <x v="0"/>
          </reference>
          <reference field="3" count="1" selected="0">
            <x v="48"/>
          </reference>
        </references>
      </pivotArea>
    </chartFormat>
    <chartFormat chart="0" format="170">
      <pivotArea type="data" outline="0" fieldPosition="0">
        <references count="2">
          <reference field="4294967294" count="1" selected="0">
            <x v="0"/>
          </reference>
          <reference field="3" count="1" selected="0">
            <x v="477"/>
          </reference>
        </references>
      </pivotArea>
    </chartFormat>
    <chartFormat chart="0" format="171">
      <pivotArea type="data" outline="0" fieldPosition="0">
        <references count="2">
          <reference field="4294967294" count="1" selected="0">
            <x v="0"/>
          </reference>
          <reference field="3" count="1" selected="0">
            <x v="148"/>
          </reference>
        </references>
      </pivotArea>
    </chartFormat>
    <chartFormat chart="0" format="172">
      <pivotArea type="data" outline="0" fieldPosition="0">
        <references count="2">
          <reference field="4294967294" count="1" selected="0">
            <x v="0"/>
          </reference>
          <reference field="3" count="1" selected="0">
            <x v="186"/>
          </reference>
        </references>
      </pivotArea>
    </chartFormat>
    <chartFormat chart="0" format="173">
      <pivotArea type="data" outline="0" fieldPosition="0">
        <references count="2">
          <reference field="4294967294" count="1" selected="0">
            <x v="0"/>
          </reference>
          <reference field="3" count="1" selected="0">
            <x v="352"/>
          </reference>
        </references>
      </pivotArea>
    </chartFormat>
    <chartFormat chart="0" format="174">
      <pivotArea type="data" outline="0" fieldPosition="0">
        <references count="2">
          <reference field="4294967294" count="1" selected="0">
            <x v="0"/>
          </reference>
          <reference field="3" count="1" selected="0">
            <x v="258"/>
          </reference>
        </references>
      </pivotArea>
    </chartFormat>
    <chartFormat chart="0" format="175">
      <pivotArea type="data" outline="0" fieldPosition="0">
        <references count="2">
          <reference field="4294967294" count="1" selected="0">
            <x v="0"/>
          </reference>
          <reference field="3" count="1" selected="0">
            <x v="414"/>
          </reference>
        </references>
      </pivotArea>
    </chartFormat>
    <chartFormat chart="0" format="176">
      <pivotArea type="data" outline="0" fieldPosition="0">
        <references count="2">
          <reference field="4294967294" count="1" selected="0">
            <x v="0"/>
          </reference>
          <reference field="3" count="1" selected="0">
            <x v="13"/>
          </reference>
        </references>
      </pivotArea>
    </chartFormat>
    <chartFormat chart="0" format="177">
      <pivotArea type="data" outline="0" fieldPosition="0">
        <references count="2">
          <reference field="4294967294" count="1" selected="0">
            <x v="0"/>
          </reference>
          <reference field="3" count="1" selected="0">
            <x v="314"/>
          </reference>
        </references>
      </pivotArea>
    </chartFormat>
    <chartFormat chart="0" format="178">
      <pivotArea type="data" outline="0" fieldPosition="0">
        <references count="2">
          <reference field="4294967294" count="1" selected="0">
            <x v="0"/>
          </reference>
          <reference field="3" count="1" selected="0">
            <x v="93"/>
          </reference>
        </references>
      </pivotArea>
    </chartFormat>
    <chartFormat chart="0" format="179">
      <pivotArea type="data" outline="0" fieldPosition="0">
        <references count="2">
          <reference field="4294967294" count="1" selected="0">
            <x v="0"/>
          </reference>
          <reference field="3" count="1" selected="0">
            <x v="432"/>
          </reference>
        </references>
      </pivotArea>
    </chartFormat>
    <chartFormat chart="0" format="180">
      <pivotArea type="data" outline="0" fieldPosition="0">
        <references count="2">
          <reference field="4294967294" count="1" selected="0">
            <x v="0"/>
          </reference>
          <reference field="3" count="1" selected="0">
            <x v="296"/>
          </reference>
        </references>
      </pivotArea>
    </chartFormat>
    <chartFormat chart="0" format="181">
      <pivotArea type="data" outline="0" fieldPosition="0">
        <references count="2">
          <reference field="4294967294" count="1" selected="0">
            <x v="0"/>
          </reference>
          <reference field="3" count="1" selected="0">
            <x v="386"/>
          </reference>
        </references>
      </pivotArea>
    </chartFormat>
    <chartFormat chart="0" format="182">
      <pivotArea type="data" outline="0" fieldPosition="0">
        <references count="2">
          <reference field="4294967294" count="1" selected="0">
            <x v="0"/>
          </reference>
          <reference field="3" count="1" selected="0">
            <x v="358"/>
          </reference>
        </references>
      </pivotArea>
    </chartFormat>
    <chartFormat chart="0" format="183">
      <pivotArea type="data" outline="0" fieldPosition="0">
        <references count="2">
          <reference field="4294967294" count="1" selected="0">
            <x v="0"/>
          </reference>
          <reference field="3" count="1" selected="0">
            <x v="231"/>
          </reference>
        </references>
      </pivotArea>
    </chartFormat>
    <chartFormat chart="0" format="184">
      <pivotArea type="data" outline="0" fieldPosition="0">
        <references count="2">
          <reference field="4294967294" count="1" selected="0">
            <x v="0"/>
          </reference>
          <reference field="3" count="1" selected="0">
            <x v="169"/>
          </reference>
        </references>
      </pivotArea>
    </chartFormat>
    <chartFormat chart="0" format="185">
      <pivotArea type="data" outline="0" fieldPosition="0">
        <references count="2">
          <reference field="4294967294" count="1" selected="0">
            <x v="0"/>
          </reference>
          <reference field="3" count="1" selected="0">
            <x v="446"/>
          </reference>
        </references>
      </pivotArea>
    </chartFormat>
    <chartFormat chart="0" format="186">
      <pivotArea type="data" outline="0" fieldPosition="0">
        <references count="2">
          <reference field="4294967294" count="1" selected="0">
            <x v="0"/>
          </reference>
          <reference field="3" count="1" selected="0">
            <x v="158"/>
          </reference>
        </references>
      </pivotArea>
    </chartFormat>
    <chartFormat chart="0" format="187">
      <pivotArea type="data" outline="0" fieldPosition="0">
        <references count="2">
          <reference field="4294967294" count="1" selected="0">
            <x v="0"/>
          </reference>
          <reference field="3" count="1" selected="0">
            <x v="415"/>
          </reference>
        </references>
      </pivotArea>
    </chartFormat>
    <chartFormat chart="0" format="188">
      <pivotArea type="data" outline="0" fieldPosition="0">
        <references count="2">
          <reference field="4294967294" count="1" selected="0">
            <x v="0"/>
          </reference>
          <reference field="3" count="1" selected="0">
            <x v="333"/>
          </reference>
        </references>
      </pivotArea>
    </chartFormat>
    <chartFormat chart="0" format="189">
      <pivotArea type="data" outline="0" fieldPosition="0">
        <references count="2">
          <reference field="4294967294" count="1" selected="0">
            <x v="0"/>
          </reference>
          <reference field="3" count="1" selected="0">
            <x v="488"/>
          </reference>
        </references>
      </pivotArea>
    </chartFormat>
    <chartFormat chart="0" format="190">
      <pivotArea type="data" outline="0" fieldPosition="0">
        <references count="2">
          <reference field="4294967294" count="1" selected="0">
            <x v="0"/>
          </reference>
          <reference field="3" count="1" selected="0">
            <x v="7"/>
          </reference>
        </references>
      </pivotArea>
    </chartFormat>
    <chartFormat chart="0" format="191">
      <pivotArea type="data" outline="0" fieldPosition="0">
        <references count="2">
          <reference field="4294967294" count="1" selected="0">
            <x v="0"/>
          </reference>
          <reference field="3" count="1" selected="0">
            <x v="455"/>
          </reference>
        </references>
      </pivotArea>
    </chartFormat>
    <chartFormat chart="0" format="192">
      <pivotArea type="data" outline="0" fieldPosition="0">
        <references count="2">
          <reference field="4294967294" count="1" selected="0">
            <x v="0"/>
          </reference>
          <reference field="3" count="1" selected="0">
            <x v="132"/>
          </reference>
        </references>
      </pivotArea>
    </chartFormat>
    <chartFormat chart="0" format="193">
      <pivotArea type="data" outline="0" fieldPosition="0">
        <references count="2">
          <reference field="4294967294" count="1" selected="0">
            <x v="0"/>
          </reference>
          <reference field="3" count="1" selected="0">
            <x v="217"/>
          </reference>
        </references>
      </pivotArea>
    </chartFormat>
    <chartFormat chart="0" format="194">
      <pivotArea type="data" outline="0" fieldPosition="0">
        <references count="2">
          <reference field="4294967294" count="1" selected="0">
            <x v="0"/>
          </reference>
          <reference field="3" count="1" selected="0">
            <x v="20"/>
          </reference>
        </references>
      </pivotArea>
    </chartFormat>
    <chartFormat chart="0" format="195">
      <pivotArea type="data" outline="0" fieldPosition="0">
        <references count="2">
          <reference field="4294967294" count="1" selected="0">
            <x v="0"/>
          </reference>
          <reference field="3" count="1" selected="0">
            <x v="11"/>
          </reference>
        </references>
      </pivotArea>
    </chartFormat>
    <chartFormat chart="0" format="196">
      <pivotArea type="data" outline="0" fieldPosition="0">
        <references count="2">
          <reference field="4294967294" count="1" selected="0">
            <x v="0"/>
          </reference>
          <reference field="3" count="1" selected="0">
            <x v="362"/>
          </reference>
        </references>
      </pivotArea>
    </chartFormat>
    <chartFormat chart="0" format="197">
      <pivotArea type="data" outline="0" fieldPosition="0">
        <references count="2">
          <reference field="4294967294" count="1" selected="0">
            <x v="0"/>
          </reference>
          <reference field="3" count="1" selected="0">
            <x v="400"/>
          </reference>
        </references>
      </pivotArea>
    </chartFormat>
    <chartFormat chart="0" format="198">
      <pivotArea type="data" outline="0" fieldPosition="0">
        <references count="2">
          <reference field="4294967294" count="1" selected="0">
            <x v="0"/>
          </reference>
          <reference field="3" count="1" selected="0">
            <x v="178"/>
          </reference>
        </references>
      </pivotArea>
    </chartFormat>
    <chartFormat chart="0" format="199">
      <pivotArea type="data" outline="0" fieldPosition="0">
        <references count="2">
          <reference field="4294967294" count="1" selected="0">
            <x v="0"/>
          </reference>
          <reference field="3" count="1" selected="0">
            <x v="14"/>
          </reference>
        </references>
      </pivotArea>
    </chartFormat>
    <chartFormat chart="0" format="200">
      <pivotArea type="data" outline="0" fieldPosition="0">
        <references count="2">
          <reference field="4294967294" count="1" selected="0">
            <x v="0"/>
          </reference>
          <reference field="3" count="1" selected="0">
            <x v="398"/>
          </reference>
        </references>
      </pivotArea>
    </chartFormat>
    <chartFormat chart="0" format="201">
      <pivotArea type="data" outline="0" fieldPosition="0">
        <references count="2">
          <reference field="4294967294" count="1" selected="0">
            <x v="0"/>
          </reference>
          <reference field="3" count="1" selected="0">
            <x v="41"/>
          </reference>
        </references>
      </pivotArea>
    </chartFormat>
    <chartFormat chart="0" format="202">
      <pivotArea type="data" outline="0" fieldPosition="0">
        <references count="2">
          <reference field="4294967294" count="1" selected="0">
            <x v="0"/>
          </reference>
          <reference field="3" count="1" selected="0">
            <x v="24"/>
          </reference>
        </references>
      </pivotArea>
    </chartFormat>
    <chartFormat chart="0" format="203">
      <pivotArea type="data" outline="0" fieldPosition="0">
        <references count="2">
          <reference field="4294967294" count="1" selected="0">
            <x v="0"/>
          </reference>
          <reference field="3" count="1" selected="0">
            <x v="115"/>
          </reference>
        </references>
      </pivotArea>
    </chartFormat>
    <chartFormat chart="0" format="204">
      <pivotArea type="data" outline="0" fieldPosition="0">
        <references count="2">
          <reference field="4294967294" count="1" selected="0">
            <x v="0"/>
          </reference>
          <reference field="3" count="1" selected="0">
            <x v="285"/>
          </reference>
        </references>
      </pivotArea>
    </chartFormat>
    <chartFormat chart="0" format="205">
      <pivotArea type="data" outline="0" fieldPosition="0">
        <references count="2">
          <reference field="4294967294" count="1" selected="0">
            <x v="0"/>
          </reference>
          <reference field="3" count="1" selected="0">
            <x v="404"/>
          </reference>
        </references>
      </pivotArea>
    </chartFormat>
    <chartFormat chart="0" format="206">
      <pivotArea type="data" outline="0" fieldPosition="0">
        <references count="2">
          <reference field="4294967294" count="1" selected="0">
            <x v="0"/>
          </reference>
          <reference field="3" count="1" selected="0">
            <x v="172"/>
          </reference>
        </references>
      </pivotArea>
    </chartFormat>
    <chartFormat chart="0" format="207">
      <pivotArea type="data" outline="0" fieldPosition="0">
        <references count="2">
          <reference field="4294967294" count="1" selected="0">
            <x v="0"/>
          </reference>
          <reference field="3" count="1" selected="0">
            <x v="302"/>
          </reference>
        </references>
      </pivotArea>
    </chartFormat>
    <chartFormat chart="0" format="208">
      <pivotArea type="data" outline="0" fieldPosition="0">
        <references count="2">
          <reference field="4294967294" count="1" selected="0">
            <x v="0"/>
          </reference>
          <reference field="3" count="1" selected="0">
            <x v="392"/>
          </reference>
        </references>
      </pivotArea>
    </chartFormat>
    <chartFormat chart="0" format="209">
      <pivotArea type="data" outline="0" fieldPosition="0">
        <references count="2">
          <reference field="4294967294" count="1" selected="0">
            <x v="0"/>
          </reference>
          <reference field="3" count="1" selected="0">
            <x v="297"/>
          </reference>
        </references>
      </pivotArea>
    </chartFormat>
    <chartFormat chart="0" format="210">
      <pivotArea type="data" outline="0" fieldPosition="0">
        <references count="2">
          <reference field="4294967294" count="1" selected="0">
            <x v="0"/>
          </reference>
          <reference field="3" count="1" selected="0">
            <x v="149"/>
          </reference>
        </references>
      </pivotArea>
    </chartFormat>
    <chartFormat chart="0" format="211">
      <pivotArea type="data" outline="0" fieldPosition="0">
        <references count="2">
          <reference field="4294967294" count="1" selected="0">
            <x v="0"/>
          </reference>
          <reference field="3" count="1" selected="0">
            <x v="299"/>
          </reference>
        </references>
      </pivotArea>
    </chartFormat>
    <chartFormat chart="0" format="212">
      <pivotArea type="data" outline="0" fieldPosition="0">
        <references count="2">
          <reference field="4294967294" count="1" selected="0">
            <x v="0"/>
          </reference>
          <reference field="3" count="1" selected="0">
            <x v="377"/>
          </reference>
        </references>
      </pivotArea>
    </chartFormat>
    <chartFormat chart="0" format="213">
      <pivotArea type="data" outline="0" fieldPosition="0">
        <references count="2">
          <reference field="4294967294" count="1" selected="0">
            <x v="0"/>
          </reference>
          <reference field="3" count="1" selected="0">
            <x v="369"/>
          </reference>
        </references>
      </pivotArea>
    </chartFormat>
    <chartFormat chart="0" format="214">
      <pivotArea type="data" outline="0" fieldPosition="0">
        <references count="2">
          <reference field="4294967294" count="1" selected="0">
            <x v="0"/>
          </reference>
          <reference field="3" count="1" selected="0">
            <x v="382"/>
          </reference>
        </references>
      </pivotArea>
    </chartFormat>
    <chartFormat chart="0" format="215">
      <pivotArea type="data" outline="0" fieldPosition="0">
        <references count="2">
          <reference field="4294967294" count="1" selected="0">
            <x v="0"/>
          </reference>
          <reference field="3" count="1" selected="0">
            <x v="45"/>
          </reference>
        </references>
      </pivotArea>
    </chartFormat>
    <chartFormat chart="0" format="216">
      <pivotArea type="data" outline="0" fieldPosition="0">
        <references count="2">
          <reference field="4294967294" count="1" selected="0">
            <x v="0"/>
          </reference>
          <reference field="3" count="1" selected="0">
            <x v="439"/>
          </reference>
        </references>
      </pivotArea>
    </chartFormat>
    <chartFormat chart="0" format="217">
      <pivotArea type="data" outline="0" fieldPosition="0">
        <references count="2">
          <reference field="4294967294" count="1" selected="0">
            <x v="0"/>
          </reference>
          <reference field="3" count="1" selected="0">
            <x v="66"/>
          </reference>
        </references>
      </pivotArea>
    </chartFormat>
    <chartFormat chart="0" format="218">
      <pivotArea type="data" outline="0" fieldPosition="0">
        <references count="2">
          <reference field="4294967294" count="1" selected="0">
            <x v="0"/>
          </reference>
          <reference field="3" count="1" selected="0">
            <x v="421"/>
          </reference>
        </references>
      </pivotArea>
    </chartFormat>
    <chartFormat chart="0" format="219">
      <pivotArea type="data" outline="0" fieldPosition="0">
        <references count="2">
          <reference field="4294967294" count="1" selected="0">
            <x v="0"/>
          </reference>
          <reference field="3" count="1" selected="0">
            <x v="295"/>
          </reference>
        </references>
      </pivotArea>
    </chartFormat>
    <chartFormat chart="0" format="220">
      <pivotArea type="data" outline="0" fieldPosition="0">
        <references count="2">
          <reference field="4294967294" count="1" selected="0">
            <x v="0"/>
          </reference>
          <reference field="3" count="1" selected="0">
            <x v="92"/>
          </reference>
        </references>
      </pivotArea>
    </chartFormat>
    <chartFormat chart="0" format="221">
      <pivotArea type="data" outline="0" fieldPosition="0">
        <references count="2">
          <reference field="4294967294" count="1" selected="0">
            <x v="0"/>
          </reference>
          <reference field="3" count="1" selected="0">
            <x v="202"/>
          </reference>
        </references>
      </pivotArea>
    </chartFormat>
    <chartFormat chart="0" format="222">
      <pivotArea type="data" outline="0" fieldPosition="0">
        <references count="2">
          <reference field="4294967294" count="1" selected="0">
            <x v="0"/>
          </reference>
          <reference field="3" count="1" selected="0">
            <x v="1"/>
          </reference>
        </references>
      </pivotArea>
    </chartFormat>
    <chartFormat chart="0" format="223">
      <pivotArea type="data" outline="0" fieldPosition="0">
        <references count="2">
          <reference field="4294967294" count="1" selected="0">
            <x v="0"/>
          </reference>
          <reference field="3" count="1" selected="0">
            <x v="97"/>
          </reference>
        </references>
      </pivotArea>
    </chartFormat>
    <chartFormat chart="0" format="224">
      <pivotArea type="data" outline="0" fieldPosition="0">
        <references count="2">
          <reference field="4294967294" count="1" selected="0">
            <x v="0"/>
          </reference>
          <reference field="3" count="1" selected="0">
            <x v="12"/>
          </reference>
        </references>
      </pivotArea>
    </chartFormat>
    <chartFormat chart="0" format="225">
      <pivotArea type="data" outline="0" fieldPosition="0">
        <references count="2">
          <reference field="4294967294" count="1" selected="0">
            <x v="0"/>
          </reference>
          <reference field="3" count="1" selected="0">
            <x v="460"/>
          </reference>
        </references>
      </pivotArea>
    </chartFormat>
    <chartFormat chart="0" format="226">
      <pivotArea type="data" outline="0" fieldPosition="0">
        <references count="2">
          <reference field="4294967294" count="1" selected="0">
            <x v="0"/>
          </reference>
          <reference field="3" count="1" selected="0">
            <x v="159"/>
          </reference>
        </references>
      </pivotArea>
    </chartFormat>
    <chartFormat chart="0" format="227">
      <pivotArea type="data" outline="0" fieldPosition="0">
        <references count="2">
          <reference field="4294967294" count="1" selected="0">
            <x v="0"/>
          </reference>
          <reference field="3" count="1" selected="0">
            <x v="176"/>
          </reference>
        </references>
      </pivotArea>
    </chartFormat>
    <chartFormat chart="0" format="228">
      <pivotArea type="data" outline="0" fieldPosition="0">
        <references count="2">
          <reference field="4294967294" count="1" selected="0">
            <x v="0"/>
          </reference>
          <reference field="3" count="1" selected="0">
            <x v="208"/>
          </reference>
        </references>
      </pivotArea>
    </chartFormat>
    <chartFormat chart="0" format="229">
      <pivotArea type="data" outline="0" fieldPosition="0">
        <references count="2">
          <reference field="4294967294" count="1" selected="0">
            <x v="0"/>
          </reference>
          <reference field="3" count="1" selected="0">
            <x v="88"/>
          </reference>
        </references>
      </pivotArea>
    </chartFormat>
    <chartFormat chart="0" format="230">
      <pivotArea type="data" outline="0" fieldPosition="0">
        <references count="2">
          <reference field="4294967294" count="1" selected="0">
            <x v="0"/>
          </reference>
          <reference field="3" count="1" selected="0">
            <x v="344"/>
          </reference>
        </references>
      </pivotArea>
    </chartFormat>
    <chartFormat chart="0" format="231">
      <pivotArea type="data" outline="0" fieldPosition="0">
        <references count="2">
          <reference field="4294967294" count="1" selected="0">
            <x v="0"/>
          </reference>
          <reference field="3" count="1" selected="0">
            <x v="356"/>
          </reference>
        </references>
      </pivotArea>
    </chartFormat>
    <chartFormat chart="0" format="232">
      <pivotArea type="data" outline="0" fieldPosition="0">
        <references count="2">
          <reference field="4294967294" count="1" selected="0">
            <x v="0"/>
          </reference>
          <reference field="3" count="1" selected="0">
            <x v="332"/>
          </reference>
        </references>
      </pivotArea>
    </chartFormat>
    <chartFormat chart="0" format="233">
      <pivotArea type="data" outline="0" fieldPosition="0">
        <references count="2">
          <reference field="4294967294" count="1" selected="0">
            <x v="0"/>
          </reference>
          <reference field="3" count="1" selected="0">
            <x v="290"/>
          </reference>
        </references>
      </pivotArea>
    </chartFormat>
    <chartFormat chart="0" format="234">
      <pivotArea type="data" outline="0" fieldPosition="0">
        <references count="2">
          <reference field="4294967294" count="1" selected="0">
            <x v="0"/>
          </reference>
          <reference field="3" count="1" selected="0">
            <x v="126"/>
          </reference>
        </references>
      </pivotArea>
    </chartFormat>
    <chartFormat chart="0" format="235">
      <pivotArea type="data" outline="0" fieldPosition="0">
        <references count="2">
          <reference field="4294967294" count="1" selected="0">
            <x v="0"/>
          </reference>
          <reference field="3" count="1" selected="0">
            <x v="348"/>
          </reference>
        </references>
      </pivotArea>
    </chartFormat>
    <chartFormat chart="0" format="236">
      <pivotArea type="data" outline="0" fieldPosition="0">
        <references count="2">
          <reference field="4294967294" count="1" selected="0">
            <x v="0"/>
          </reference>
          <reference field="3" count="1" selected="0">
            <x v="198"/>
          </reference>
        </references>
      </pivotArea>
    </chartFormat>
    <chartFormat chart="0" format="237">
      <pivotArea type="data" outline="0" fieldPosition="0">
        <references count="2">
          <reference field="4294967294" count="1" selected="0">
            <x v="0"/>
          </reference>
          <reference field="3" count="1" selected="0">
            <x v="279"/>
          </reference>
        </references>
      </pivotArea>
    </chartFormat>
    <chartFormat chart="0" format="238">
      <pivotArea type="data" outline="0" fieldPosition="0">
        <references count="2">
          <reference field="4294967294" count="1" selected="0">
            <x v="0"/>
          </reference>
          <reference field="3" count="1" selected="0">
            <x v="6"/>
          </reference>
        </references>
      </pivotArea>
    </chartFormat>
    <chartFormat chart="0" format="239">
      <pivotArea type="data" outline="0" fieldPosition="0">
        <references count="2">
          <reference field="4294967294" count="1" selected="0">
            <x v="0"/>
          </reference>
          <reference field="3" count="1" selected="0">
            <x v="82"/>
          </reference>
        </references>
      </pivotArea>
    </chartFormat>
    <chartFormat chart="0" format="240">
      <pivotArea type="data" outline="0" fieldPosition="0">
        <references count="2">
          <reference field="4294967294" count="1" selected="0">
            <x v="0"/>
          </reference>
          <reference field="3" count="1" selected="0">
            <x v="346"/>
          </reference>
        </references>
      </pivotArea>
    </chartFormat>
    <chartFormat chart="0" format="241">
      <pivotArea type="data" outline="0" fieldPosition="0">
        <references count="2">
          <reference field="4294967294" count="1" selected="0">
            <x v="0"/>
          </reference>
          <reference field="3" count="1" selected="0">
            <x v="150"/>
          </reference>
        </references>
      </pivotArea>
    </chartFormat>
    <chartFormat chart="0" format="242">
      <pivotArea type="data" outline="0" fieldPosition="0">
        <references count="2">
          <reference field="4294967294" count="1" selected="0">
            <x v="0"/>
          </reference>
          <reference field="3" count="1" selected="0">
            <x v="143"/>
          </reference>
        </references>
      </pivotArea>
    </chartFormat>
    <chartFormat chart="0" format="243">
      <pivotArea type="data" outline="0" fieldPosition="0">
        <references count="2">
          <reference field="4294967294" count="1" selected="0">
            <x v="0"/>
          </reference>
          <reference field="3" count="1" selected="0">
            <x v="338"/>
          </reference>
        </references>
      </pivotArea>
    </chartFormat>
    <chartFormat chart="0" format="244">
      <pivotArea type="data" outline="0" fieldPosition="0">
        <references count="2">
          <reference field="4294967294" count="1" selected="0">
            <x v="0"/>
          </reference>
          <reference field="3" count="1" selected="0">
            <x v="71"/>
          </reference>
        </references>
      </pivotArea>
    </chartFormat>
    <chartFormat chart="0" format="245">
      <pivotArea type="data" outline="0" fieldPosition="0">
        <references count="2">
          <reference field="4294967294" count="1" selected="0">
            <x v="0"/>
          </reference>
          <reference field="3" count="1" selected="0">
            <x v="364"/>
          </reference>
        </references>
      </pivotArea>
    </chartFormat>
    <chartFormat chart="0" format="246">
      <pivotArea type="data" outline="0" fieldPosition="0">
        <references count="2">
          <reference field="4294967294" count="1" selected="0">
            <x v="0"/>
          </reference>
          <reference field="3" count="1" selected="0">
            <x v="461"/>
          </reference>
        </references>
      </pivotArea>
    </chartFormat>
    <chartFormat chart="0" format="247">
      <pivotArea type="data" outline="0" fieldPosition="0">
        <references count="2">
          <reference field="4294967294" count="1" selected="0">
            <x v="0"/>
          </reference>
          <reference field="3" count="1" selected="0">
            <x v="215"/>
          </reference>
        </references>
      </pivotArea>
    </chartFormat>
    <chartFormat chart="0" format="248">
      <pivotArea type="data" outline="0" fieldPosition="0">
        <references count="2">
          <reference field="4294967294" count="1" selected="0">
            <x v="0"/>
          </reference>
          <reference field="3" count="1" selected="0">
            <x v="474"/>
          </reference>
        </references>
      </pivotArea>
    </chartFormat>
    <chartFormat chart="0" format="249">
      <pivotArea type="data" outline="0" fieldPosition="0">
        <references count="2">
          <reference field="4294967294" count="1" selected="0">
            <x v="0"/>
          </reference>
          <reference field="3" count="1" selected="0">
            <x v="77"/>
          </reference>
        </references>
      </pivotArea>
    </chartFormat>
    <chartFormat chart="0" format="250">
      <pivotArea type="data" outline="0" fieldPosition="0">
        <references count="2">
          <reference field="4294967294" count="1" selected="0">
            <x v="0"/>
          </reference>
          <reference field="3" count="1" selected="0">
            <x v="444"/>
          </reference>
        </references>
      </pivotArea>
    </chartFormat>
    <chartFormat chart="0" format="251">
      <pivotArea type="data" outline="0" fieldPosition="0">
        <references count="2">
          <reference field="4294967294" count="1" selected="0">
            <x v="0"/>
          </reference>
          <reference field="3" count="1" selected="0">
            <x v="229"/>
          </reference>
        </references>
      </pivotArea>
    </chartFormat>
    <chartFormat chart="0" format="252">
      <pivotArea type="data" outline="0" fieldPosition="0">
        <references count="2">
          <reference field="4294967294" count="1" selected="0">
            <x v="0"/>
          </reference>
          <reference field="3" count="1" selected="0">
            <x v="318"/>
          </reference>
        </references>
      </pivotArea>
    </chartFormat>
    <chartFormat chart="0" format="253">
      <pivotArea type="data" outline="0" fieldPosition="0">
        <references count="2">
          <reference field="4294967294" count="1" selected="0">
            <x v="0"/>
          </reference>
          <reference field="3" count="1" selected="0">
            <x v="117"/>
          </reference>
        </references>
      </pivotArea>
    </chartFormat>
    <chartFormat chart="0" format="254">
      <pivotArea type="data" outline="0" fieldPosition="0">
        <references count="2">
          <reference field="4294967294" count="1" selected="0">
            <x v="0"/>
          </reference>
          <reference field="3" count="1" selected="0">
            <x v="342"/>
          </reference>
        </references>
      </pivotArea>
    </chartFormat>
    <chartFormat chart="0" format="255">
      <pivotArea type="data" outline="0" fieldPosition="0">
        <references count="2">
          <reference field="4294967294" count="1" selected="0">
            <x v="0"/>
          </reference>
          <reference field="3" count="1" selected="0">
            <x v="411"/>
          </reference>
        </references>
      </pivotArea>
    </chartFormat>
    <chartFormat chart="0" format="256">
      <pivotArea type="data" outline="0" fieldPosition="0">
        <references count="2">
          <reference field="4294967294" count="1" selected="0">
            <x v="0"/>
          </reference>
          <reference field="3" count="1" selected="0">
            <x v="402"/>
          </reference>
        </references>
      </pivotArea>
    </chartFormat>
    <chartFormat chart="0" format="257">
      <pivotArea type="data" outline="0" fieldPosition="0">
        <references count="2">
          <reference field="4294967294" count="1" selected="0">
            <x v="0"/>
          </reference>
          <reference field="3" count="1" selected="0">
            <x v="30"/>
          </reference>
        </references>
      </pivotArea>
    </chartFormat>
    <chartFormat chart="0" format="258">
      <pivotArea type="data" outline="0" fieldPosition="0">
        <references count="2">
          <reference field="4294967294" count="1" selected="0">
            <x v="0"/>
          </reference>
          <reference field="3" count="1" selected="0">
            <x v="355"/>
          </reference>
        </references>
      </pivotArea>
    </chartFormat>
    <chartFormat chart="0" format="259">
      <pivotArea type="data" outline="0" fieldPosition="0">
        <references count="2">
          <reference field="4294967294" count="1" selected="0">
            <x v="0"/>
          </reference>
          <reference field="3" count="1" selected="0">
            <x v="384"/>
          </reference>
        </references>
      </pivotArea>
    </chartFormat>
    <chartFormat chart="0" format="260">
      <pivotArea type="data" outline="0" fieldPosition="0">
        <references count="2">
          <reference field="4294967294" count="1" selected="0">
            <x v="0"/>
          </reference>
          <reference field="3" count="1" selected="0">
            <x v="72"/>
          </reference>
        </references>
      </pivotArea>
    </chartFormat>
    <chartFormat chart="0" format="261">
      <pivotArea type="data" outline="0" fieldPosition="0">
        <references count="2">
          <reference field="4294967294" count="1" selected="0">
            <x v="0"/>
          </reference>
          <reference field="3" count="1" selected="0">
            <x v="56"/>
          </reference>
        </references>
      </pivotArea>
    </chartFormat>
    <chartFormat chart="0" format="262">
      <pivotArea type="data" outline="0" fieldPosition="0">
        <references count="2">
          <reference field="4294967294" count="1" selected="0">
            <x v="0"/>
          </reference>
          <reference field="3" count="1" selected="0">
            <x v="60"/>
          </reference>
        </references>
      </pivotArea>
    </chartFormat>
    <chartFormat chart="0" format="263">
      <pivotArea type="data" outline="0" fieldPosition="0">
        <references count="2">
          <reference field="4294967294" count="1" selected="0">
            <x v="0"/>
          </reference>
          <reference field="3" count="1" selected="0">
            <x v="329"/>
          </reference>
        </references>
      </pivotArea>
    </chartFormat>
    <chartFormat chart="0" format="264">
      <pivotArea type="data" outline="0" fieldPosition="0">
        <references count="2">
          <reference field="4294967294" count="1" selected="0">
            <x v="0"/>
          </reference>
          <reference field="3" count="1" selected="0">
            <x v="170"/>
          </reference>
        </references>
      </pivotArea>
    </chartFormat>
    <chartFormat chart="0" format="265">
      <pivotArea type="data" outline="0" fieldPosition="0">
        <references count="2">
          <reference field="4294967294" count="1" selected="0">
            <x v="0"/>
          </reference>
          <reference field="3" count="1" selected="0">
            <x v="322"/>
          </reference>
        </references>
      </pivotArea>
    </chartFormat>
    <chartFormat chart="0" format="266">
      <pivotArea type="data" outline="0" fieldPosition="0">
        <references count="2">
          <reference field="4294967294" count="1" selected="0">
            <x v="0"/>
          </reference>
          <reference field="3" count="1" selected="0">
            <x v="341"/>
          </reference>
        </references>
      </pivotArea>
    </chartFormat>
    <chartFormat chart="0" format="267">
      <pivotArea type="data" outline="0" fieldPosition="0">
        <references count="2">
          <reference field="4294967294" count="1" selected="0">
            <x v="0"/>
          </reference>
          <reference field="3" count="1" selected="0">
            <x v="224"/>
          </reference>
        </references>
      </pivotArea>
    </chartFormat>
    <chartFormat chart="0" format="268">
      <pivotArea type="data" outline="0" fieldPosition="0">
        <references count="2">
          <reference field="4294967294" count="1" selected="0">
            <x v="0"/>
          </reference>
          <reference field="3" count="1" selected="0">
            <x v="47"/>
          </reference>
        </references>
      </pivotArea>
    </chartFormat>
    <chartFormat chart="0" format="269">
      <pivotArea type="data" outline="0" fieldPosition="0">
        <references count="2">
          <reference field="4294967294" count="1" selected="0">
            <x v="0"/>
          </reference>
          <reference field="3" count="1" selected="0">
            <x v="433"/>
          </reference>
        </references>
      </pivotArea>
    </chartFormat>
    <chartFormat chart="0" format="270">
      <pivotArea type="data" outline="0" fieldPosition="0">
        <references count="2">
          <reference field="4294967294" count="1" selected="0">
            <x v="0"/>
          </reference>
          <reference field="3" count="1" selected="0">
            <x v="221"/>
          </reference>
        </references>
      </pivotArea>
    </chartFormat>
    <chartFormat chart="0" format="271">
      <pivotArea type="data" outline="0" fieldPosition="0">
        <references count="2">
          <reference field="4294967294" count="1" selected="0">
            <x v="0"/>
          </reference>
          <reference field="3" count="1" selected="0">
            <x v="335"/>
          </reference>
        </references>
      </pivotArea>
    </chartFormat>
    <chartFormat chart="0" format="272">
      <pivotArea type="data" outline="0" fieldPosition="0">
        <references count="2">
          <reference field="4294967294" count="1" selected="0">
            <x v="0"/>
          </reference>
          <reference field="3" count="1" selected="0">
            <x v="59"/>
          </reference>
        </references>
      </pivotArea>
    </chartFormat>
    <chartFormat chart="0" format="273">
      <pivotArea type="data" outline="0" fieldPosition="0">
        <references count="2">
          <reference field="4294967294" count="1" selected="0">
            <x v="0"/>
          </reference>
          <reference field="3" count="1" selected="0">
            <x v="320"/>
          </reference>
        </references>
      </pivotArea>
    </chartFormat>
    <chartFormat chart="6" format="823" series="1">
      <pivotArea type="data" outline="0" fieldPosition="0">
        <references count="1">
          <reference field="4294967294" count="1" selected="0">
            <x v="0"/>
          </reference>
        </references>
      </pivotArea>
    </chartFormat>
    <chartFormat chart="6" format="824">
      <pivotArea type="data" outline="0" fieldPosition="0">
        <references count="2">
          <reference field="4294967294" count="1" selected="0">
            <x v="0"/>
          </reference>
          <reference field="3" count="1" selected="0">
            <x v="476"/>
          </reference>
        </references>
      </pivotArea>
    </chartFormat>
    <chartFormat chart="6" format="825">
      <pivotArea type="data" outline="0" fieldPosition="0">
        <references count="2">
          <reference field="4294967294" count="1" selected="0">
            <x v="0"/>
          </reference>
          <reference field="3" count="1" selected="0">
            <x v="8"/>
          </reference>
        </references>
      </pivotArea>
    </chartFormat>
    <chartFormat chart="6" format="826">
      <pivotArea type="data" outline="0" fieldPosition="0">
        <references count="2">
          <reference field="4294967294" count="1" selected="0">
            <x v="0"/>
          </reference>
          <reference field="3" count="1" selected="0">
            <x v="343"/>
          </reference>
        </references>
      </pivotArea>
    </chartFormat>
    <chartFormat chart="6" format="827">
      <pivotArea type="data" outline="0" fieldPosition="0">
        <references count="2">
          <reference field="4294967294" count="1" selected="0">
            <x v="0"/>
          </reference>
          <reference field="3" count="1" selected="0">
            <x v="21"/>
          </reference>
        </references>
      </pivotArea>
    </chartFormat>
    <chartFormat chart="6" format="828">
      <pivotArea type="data" outline="0" fieldPosition="0">
        <references count="2">
          <reference field="4294967294" count="1" selected="0">
            <x v="0"/>
          </reference>
          <reference field="3" count="1" selected="0">
            <x v="280"/>
          </reference>
        </references>
      </pivotArea>
    </chartFormat>
    <chartFormat chart="6" format="829">
      <pivotArea type="data" outline="0" fieldPosition="0">
        <references count="2">
          <reference field="4294967294" count="1" selected="0">
            <x v="0"/>
          </reference>
          <reference field="3" count="1" selected="0">
            <x v="399"/>
          </reference>
        </references>
      </pivotArea>
    </chartFormat>
    <chartFormat chart="6" format="830">
      <pivotArea type="data" outline="0" fieldPosition="0">
        <references count="2">
          <reference field="4294967294" count="1" selected="0">
            <x v="0"/>
          </reference>
          <reference field="3" count="1" selected="0">
            <x v="394"/>
          </reference>
        </references>
      </pivotArea>
    </chartFormat>
    <chartFormat chart="6" format="831">
      <pivotArea type="data" outline="0" fieldPosition="0">
        <references count="2">
          <reference field="4294967294" count="1" selected="0">
            <x v="0"/>
          </reference>
          <reference field="3" count="1" selected="0">
            <x v="180"/>
          </reference>
        </references>
      </pivotArea>
    </chartFormat>
    <chartFormat chart="6" format="832">
      <pivotArea type="data" outline="0" fieldPosition="0">
        <references count="2">
          <reference field="4294967294" count="1" selected="0">
            <x v="0"/>
          </reference>
          <reference field="3" count="1" selected="0">
            <x v="235"/>
          </reference>
        </references>
      </pivotArea>
    </chartFormat>
    <chartFormat chart="6" format="833">
      <pivotArea type="data" outline="0" fieldPosition="0">
        <references count="2">
          <reference field="4294967294" count="1" selected="0">
            <x v="0"/>
          </reference>
          <reference field="3" count="1" selected="0">
            <x v="321"/>
          </reference>
        </references>
      </pivotArea>
    </chartFormat>
    <chartFormat chart="6" format="834">
      <pivotArea type="data" outline="0" fieldPosition="0">
        <references count="2">
          <reference field="4294967294" count="1" selected="0">
            <x v="0"/>
          </reference>
          <reference field="3" count="1" selected="0">
            <x v="139"/>
          </reference>
        </references>
      </pivotArea>
    </chartFormat>
    <chartFormat chart="6" format="835">
      <pivotArea type="data" outline="0" fieldPosition="0">
        <references count="2">
          <reference field="4294967294" count="1" selected="0">
            <x v="0"/>
          </reference>
          <reference field="3" count="1" selected="0">
            <x v="205"/>
          </reference>
        </references>
      </pivotArea>
    </chartFormat>
    <chartFormat chart="6" format="836">
      <pivotArea type="data" outline="0" fieldPosition="0">
        <references count="2">
          <reference field="4294967294" count="1" selected="0">
            <x v="0"/>
          </reference>
          <reference field="3" count="1" selected="0">
            <x v="495"/>
          </reference>
        </references>
      </pivotArea>
    </chartFormat>
    <chartFormat chart="6" format="837">
      <pivotArea type="data" outline="0" fieldPosition="0">
        <references count="2">
          <reference field="4294967294" count="1" selected="0">
            <x v="0"/>
          </reference>
          <reference field="3" count="1" selected="0">
            <x v="359"/>
          </reference>
        </references>
      </pivotArea>
    </chartFormat>
    <chartFormat chart="6" format="838">
      <pivotArea type="data" outline="0" fieldPosition="0">
        <references count="2">
          <reference field="4294967294" count="1" selected="0">
            <x v="0"/>
          </reference>
          <reference field="3" count="1" selected="0">
            <x v="203"/>
          </reference>
        </references>
      </pivotArea>
    </chartFormat>
    <chartFormat chart="6" format="839">
      <pivotArea type="data" outline="0" fieldPosition="0">
        <references count="2">
          <reference field="4294967294" count="1" selected="0">
            <x v="0"/>
          </reference>
          <reference field="3" count="1" selected="0">
            <x v="454"/>
          </reference>
        </references>
      </pivotArea>
    </chartFormat>
    <chartFormat chart="6" format="840">
      <pivotArea type="data" outline="0" fieldPosition="0">
        <references count="2">
          <reference field="4294967294" count="1" selected="0">
            <x v="0"/>
          </reference>
          <reference field="3" count="1" selected="0">
            <x v="487"/>
          </reference>
        </references>
      </pivotArea>
    </chartFormat>
    <chartFormat chart="6" format="841">
      <pivotArea type="data" outline="0" fieldPosition="0">
        <references count="2">
          <reference field="4294967294" count="1" selected="0">
            <x v="0"/>
          </reference>
          <reference field="3" count="1" selected="0">
            <x v="397"/>
          </reference>
        </references>
      </pivotArea>
    </chartFormat>
    <chartFormat chart="6" format="842">
      <pivotArea type="data" outline="0" fieldPosition="0">
        <references count="2">
          <reference field="4294967294" count="1" selected="0">
            <x v="0"/>
          </reference>
          <reference field="3" count="1" selected="0">
            <x v="486"/>
          </reference>
        </references>
      </pivotArea>
    </chartFormat>
    <chartFormat chart="6" format="843">
      <pivotArea type="data" outline="0" fieldPosition="0">
        <references count="2">
          <reference field="4294967294" count="1" selected="0">
            <x v="0"/>
          </reference>
          <reference field="3" count="1" selected="0">
            <x v="403"/>
          </reference>
        </references>
      </pivotArea>
    </chartFormat>
    <chartFormat chart="6" format="844">
      <pivotArea type="data" outline="0" fieldPosition="0">
        <references count="2">
          <reference field="4294967294" count="1" selected="0">
            <x v="0"/>
          </reference>
          <reference field="3" count="1" selected="0">
            <x v="156"/>
          </reference>
        </references>
      </pivotArea>
    </chartFormat>
    <chartFormat chart="6" format="845">
      <pivotArea type="data" outline="0" fieldPosition="0">
        <references count="2">
          <reference field="4294967294" count="1" selected="0">
            <x v="0"/>
          </reference>
          <reference field="3" count="1" selected="0">
            <x v="54"/>
          </reference>
        </references>
      </pivotArea>
    </chartFormat>
    <chartFormat chart="6" format="846">
      <pivotArea type="data" outline="0" fieldPosition="0">
        <references count="2">
          <reference field="4294967294" count="1" selected="0">
            <x v="0"/>
          </reference>
          <reference field="3" count="1" selected="0">
            <x v="182"/>
          </reference>
        </references>
      </pivotArea>
    </chartFormat>
    <chartFormat chart="6" format="847">
      <pivotArea type="data" outline="0" fieldPosition="0">
        <references count="2">
          <reference field="4294967294" count="1" selected="0">
            <x v="0"/>
          </reference>
          <reference field="3" count="1" selected="0">
            <x v="478"/>
          </reference>
        </references>
      </pivotArea>
    </chartFormat>
    <chartFormat chart="6" format="848">
      <pivotArea type="data" outline="0" fieldPosition="0">
        <references count="2">
          <reference field="4294967294" count="1" selected="0">
            <x v="0"/>
          </reference>
          <reference field="3" count="1" selected="0">
            <x v="449"/>
          </reference>
        </references>
      </pivotArea>
    </chartFormat>
    <chartFormat chart="6" format="849">
      <pivotArea type="data" outline="0" fieldPosition="0">
        <references count="2">
          <reference field="4294967294" count="1" selected="0">
            <x v="0"/>
          </reference>
          <reference field="3" count="1" selected="0">
            <x v="15"/>
          </reference>
        </references>
      </pivotArea>
    </chartFormat>
    <chartFormat chart="6" format="850">
      <pivotArea type="data" outline="0" fieldPosition="0">
        <references count="2">
          <reference field="4294967294" count="1" selected="0">
            <x v="0"/>
          </reference>
          <reference field="3" count="1" selected="0">
            <x v="193"/>
          </reference>
        </references>
      </pivotArea>
    </chartFormat>
    <chartFormat chart="6" format="851">
      <pivotArea type="data" outline="0" fieldPosition="0">
        <references count="2">
          <reference field="4294967294" count="1" selected="0">
            <x v="0"/>
          </reference>
          <reference field="3" count="1" selected="0">
            <x v="372"/>
          </reference>
        </references>
      </pivotArea>
    </chartFormat>
    <chartFormat chart="6" format="852">
      <pivotArea type="data" outline="0" fieldPosition="0">
        <references count="2">
          <reference field="4294967294" count="1" selected="0">
            <x v="0"/>
          </reference>
          <reference field="3" count="1" selected="0">
            <x v="471"/>
          </reference>
        </references>
      </pivotArea>
    </chartFormat>
    <chartFormat chart="6" format="853">
      <pivotArea type="data" outline="0" fieldPosition="0">
        <references count="2">
          <reference field="4294967294" count="1" selected="0">
            <x v="0"/>
          </reference>
          <reference field="3" count="1" selected="0">
            <x v="265"/>
          </reference>
        </references>
      </pivotArea>
    </chartFormat>
    <chartFormat chart="6" format="854">
      <pivotArea type="data" outline="0" fieldPosition="0">
        <references count="2">
          <reference field="4294967294" count="1" selected="0">
            <x v="0"/>
          </reference>
          <reference field="3" count="1" selected="0">
            <x v="366"/>
          </reference>
        </references>
      </pivotArea>
    </chartFormat>
    <chartFormat chart="6" format="855">
      <pivotArea type="data" outline="0" fieldPosition="0">
        <references count="2">
          <reference field="4294967294" count="1" selected="0">
            <x v="0"/>
          </reference>
          <reference field="3" count="1" selected="0">
            <x v="63"/>
          </reference>
        </references>
      </pivotArea>
    </chartFormat>
    <chartFormat chart="6" format="856">
      <pivotArea type="data" outline="0" fieldPosition="0">
        <references count="2">
          <reference field="4294967294" count="1" selected="0">
            <x v="0"/>
          </reference>
          <reference field="3" count="1" selected="0">
            <x v="309"/>
          </reference>
        </references>
      </pivotArea>
    </chartFormat>
    <chartFormat chart="6" format="857">
      <pivotArea type="data" outline="0" fieldPosition="0">
        <references count="2">
          <reference field="4294967294" count="1" selected="0">
            <x v="0"/>
          </reference>
          <reference field="3" count="1" selected="0">
            <x v="292"/>
          </reference>
        </references>
      </pivotArea>
    </chartFormat>
    <chartFormat chart="6" format="858">
      <pivotArea type="data" outline="0" fieldPosition="0">
        <references count="2">
          <reference field="4294967294" count="1" selected="0">
            <x v="0"/>
          </reference>
          <reference field="3" count="1" selected="0">
            <x v="326"/>
          </reference>
        </references>
      </pivotArea>
    </chartFormat>
    <chartFormat chart="6" format="859">
      <pivotArea type="data" outline="0" fieldPosition="0">
        <references count="2">
          <reference field="4294967294" count="1" selected="0">
            <x v="0"/>
          </reference>
          <reference field="3" count="1" selected="0">
            <x v="423"/>
          </reference>
        </references>
      </pivotArea>
    </chartFormat>
    <chartFormat chart="6" format="860">
      <pivotArea type="data" outline="0" fieldPosition="0">
        <references count="2">
          <reference field="4294967294" count="1" selected="0">
            <x v="0"/>
          </reference>
          <reference field="3" count="1" selected="0">
            <x v="276"/>
          </reference>
        </references>
      </pivotArea>
    </chartFormat>
    <chartFormat chart="6" format="861">
      <pivotArea type="data" outline="0" fieldPosition="0">
        <references count="2">
          <reference field="4294967294" count="1" selected="0">
            <x v="0"/>
          </reference>
          <reference field="3" count="1" selected="0">
            <x v="79"/>
          </reference>
        </references>
      </pivotArea>
    </chartFormat>
    <chartFormat chart="6" format="862">
      <pivotArea type="data" outline="0" fieldPosition="0">
        <references count="2">
          <reference field="4294967294" count="1" selected="0">
            <x v="0"/>
          </reference>
          <reference field="3" count="1" selected="0">
            <x v="210"/>
          </reference>
        </references>
      </pivotArea>
    </chartFormat>
    <chartFormat chart="6" format="863">
      <pivotArea type="data" outline="0" fieldPosition="0">
        <references count="2">
          <reference field="4294967294" count="1" selected="0">
            <x v="0"/>
          </reference>
          <reference field="3" count="1" selected="0">
            <x v="225"/>
          </reference>
        </references>
      </pivotArea>
    </chartFormat>
    <chartFormat chart="6" format="864">
      <pivotArea type="data" outline="0" fieldPosition="0">
        <references count="2">
          <reference field="4294967294" count="1" selected="0">
            <x v="0"/>
          </reference>
          <reference field="3" count="1" selected="0">
            <x v="410"/>
          </reference>
        </references>
      </pivotArea>
    </chartFormat>
    <chartFormat chart="6" format="865">
      <pivotArea type="data" outline="0" fieldPosition="0">
        <references count="2">
          <reference field="4294967294" count="1" selected="0">
            <x v="0"/>
          </reference>
          <reference field="3" count="1" selected="0">
            <x v="201"/>
          </reference>
        </references>
      </pivotArea>
    </chartFormat>
    <chartFormat chart="6" format="866">
      <pivotArea type="data" outline="0" fieldPosition="0">
        <references count="2">
          <reference field="4294967294" count="1" selected="0">
            <x v="0"/>
          </reference>
          <reference field="3" count="1" selected="0">
            <x v="281"/>
          </reference>
        </references>
      </pivotArea>
    </chartFormat>
    <chartFormat chart="6" format="867">
      <pivotArea type="data" outline="0" fieldPosition="0">
        <references count="2">
          <reference field="4294967294" count="1" selected="0">
            <x v="0"/>
          </reference>
          <reference field="3" count="1" selected="0">
            <x v="151"/>
          </reference>
        </references>
      </pivotArea>
    </chartFormat>
    <chartFormat chart="6" format="868">
      <pivotArea type="data" outline="0" fieldPosition="0">
        <references count="2">
          <reference field="4294967294" count="1" selected="0">
            <x v="0"/>
          </reference>
          <reference field="3" count="1" selected="0">
            <x v="490"/>
          </reference>
        </references>
      </pivotArea>
    </chartFormat>
    <chartFormat chart="6" format="869">
      <pivotArea type="data" outline="0" fieldPosition="0">
        <references count="2">
          <reference field="4294967294" count="1" selected="0">
            <x v="0"/>
          </reference>
          <reference field="3" count="1" selected="0">
            <x v="125"/>
          </reference>
        </references>
      </pivotArea>
    </chartFormat>
    <chartFormat chart="6" format="870">
      <pivotArea type="data" outline="0" fieldPosition="0">
        <references count="2">
          <reference field="4294967294" count="1" selected="0">
            <x v="0"/>
          </reference>
          <reference field="3" count="1" selected="0">
            <x v="450"/>
          </reference>
        </references>
      </pivotArea>
    </chartFormat>
    <chartFormat chart="6" format="871">
      <pivotArea type="data" outline="0" fieldPosition="0">
        <references count="2">
          <reference field="4294967294" count="1" selected="0">
            <x v="0"/>
          </reference>
          <reference field="3" count="1" selected="0">
            <x v="116"/>
          </reference>
        </references>
      </pivotArea>
    </chartFormat>
    <chartFormat chart="6" format="872">
      <pivotArea type="data" outline="0" fieldPosition="0">
        <references count="2">
          <reference field="4294967294" count="1" selected="0">
            <x v="0"/>
          </reference>
          <reference field="3" count="1" selected="0">
            <x v="244"/>
          </reference>
        </references>
      </pivotArea>
    </chartFormat>
    <chartFormat chart="6" format="873">
      <pivotArea type="data" outline="0" fieldPosition="0">
        <references count="2">
          <reference field="4294967294" count="1" selected="0">
            <x v="0"/>
          </reference>
          <reference field="3" count="1" selected="0">
            <x v="94"/>
          </reference>
        </references>
      </pivotArea>
    </chartFormat>
    <chartFormat chart="6" format="874">
      <pivotArea type="data" outline="0" fieldPosition="0">
        <references count="2">
          <reference field="4294967294" count="1" selected="0">
            <x v="0"/>
          </reference>
          <reference field="3" count="1" selected="0">
            <x v="255"/>
          </reference>
        </references>
      </pivotArea>
    </chartFormat>
    <chartFormat chart="6" format="875">
      <pivotArea type="data" outline="0" fieldPosition="0">
        <references count="2">
          <reference field="4294967294" count="1" selected="0">
            <x v="0"/>
          </reference>
          <reference field="3" count="1" selected="0">
            <x v="480"/>
          </reference>
        </references>
      </pivotArea>
    </chartFormat>
    <chartFormat chart="6" format="876">
      <pivotArea type="data" outline="0" fieldPosition="0">
        <references count="2">
          <reference field="4294967294" count="1" selected="0">
            <x v="0"/>
          </reference>
          <reference field="3" count="1" selected="0">
            <x v="388"/>
          </reference>
        </references>
      </pivotArea>
    </chartFormat>
    <chartFormat chart="6" format="877">
      <pivotArea type="data" outline="0" fieldPosition="0">
        <references count="2">
          <reference field="4294967294" count="1" selected="0">
            <x v="0"/>
          </reference>
          <reference field="3" count="1" selected="0">
            <x v="452"/>
          </reference>
        </references>
      </pivotArea>
    </chartFormat>
    <chartFormat chart="6" format="878">
      <pivotArea type="data" outline="0" fieldPosition="0">
        <references count="2">
          <reference field="4294967294" count="1" selected="0">
            <x v="0"/>
          </reference>
          <reference field="3" count="1" selected="0">
            <x v="89"/>
          </reference>
        </references>
      </pivotArea>
    </chartFormat>
    <chartFormat chart="6" format="879">
      <pivotArea type="data" outline="0" fieldPosition="0">
        <references count="2">
          <reference field="4294967294" count="1" selected="0">
            <x v="0"/>
          </reference>
          <reference field="3" count="1" selected="0">
            <x v="379"/>
          </reference>
        </references>
      </pivotArea>
    </chartFormat>
    <chartFormat chart="6" format="880">
      <pivotArea type="data" outline="0" fieldPosition="0">
        <references count="2">
          <reference field="4294967294" count="1" selected="0">
            <x v="0"/>
          </reference>
          <reference field="3" count="1" selected="0">
            <x v="496"/>
          </reference>
        </references>
      </pivotArea>
    </chartFormat>
    <chartFormat chart="6" format="881">
      <pivotArea type="data" outline="0" fieldPosition="0">
        <references count="2">
          <reference field="4294967294" count="1" selected="0">
            <x v="0"/>
          </reference>
          <reference field="3" count="1" selected="0">
            <x v="351"/>
          </reference>
        </references>
      </pivotArea>
    </chartFormat>
    <chartFormat chart="6" format="882">
      <pivotArea type="data" outline="0" fieldPosition="0">
        <references count="2">
          <reference field="4294967294" count="1" selected="0">
            <x v="0"/>
          </reference>
          <reference field="3" count="1" selected="0">
            <x v="427"/>
          </reference>
        </references>
      </pivotArea>
    </chartFormat>
    <chartFormat chart="6" format="883">
      <pivotArea type="data" outline="0" fieldPosition="0">
        <references count="2">
          <reference field="4294967294" count="1" selected="0">
            <x v="0"/>
          </reference>
          <reference field="3" count="1" selected="0">
            <x v="406"/>
          </reference>
        </references>
      </pivotArea>
    </chartFormat>
    <chartFormat chart="6" format="884">
      <pivotArea type="data" outline="0" fieldPosition="0">
        <references count="2">
          <reference field="4294967294" count="1" selected="0">
            <x v="0"/>
          </reference>
          <reference field="3" count="1" selected="0">
            <x v="479"/>
          </reference>
        </references>
      </pivotArea>
    </chartFormat>
    <chartFormat chart="6" format="885">
      <pivotArea type="data" outline="0" fieldPosition="0">
        <references count="2">
          <reference field="4294967294" count="1" selected="0">
            <x v="0"/>
          </reference>
          <reference field="3" count="1" selected="0">
            <x v="17"/>
          </reference>
        </references>
      </pivotArea>
    </chartFormat>
    <chartFormat chart="6" format="886">
      <pivotArea type="data" outline="0" fieldPosition="0">
        <references count="2">
          <reference field="4294967294" count="1" selected="0">
            <x v="0"/>
          </reference>
          <reference field="3" count="1" selected="0">
            <x v="61"/>
          </reference>
        </references>
      </pivotArea>
    </chartFormat>
    <chartFormat chart="6" format="887">
      <pivotArea type="data" outline="0" fieldPosition="0">
        <references count="2">
          <reference field="4294967294" count="1" selected="0">
            <x v="0"/>
          </reference>
          <reference field="3" count="1" selected="0">
            <x v="177"/>
          </reference>
        </references>
      </pivotArea>
    </chartFormat>
    <chartFormat chart="6" format="888">
      <pivotArea type="data" outline="0" fieldPosition="0">
        <references count="2">
          <reference field="4294967294" count="1" selected="0">
            <x v="0"/>
          </reference>
          <reference field="3" count="1" selected="0">
            <x v="494"/>
          </reference>
        </references>
      </pivotArea>
    </chartFormat>
    <chartFormat chart="6" format="889">
      <pivotArea type="data" outline="0" fieldPosition="0">
        <references count="2">
          <reference field="4294967294" count="1" selected="0">
            <x v="0"/>
          </reference>
          <reference field="3" count="1" selected="0">
            <x v="174"/>
          </reference>
        </references>
      </pivotArea>
    </chartFormat>
    <chartFormat chart="6" format="890">
      <pivotArea type="data" outline="0" fieldPosition="0">
        <references count="2">
          <reference field="4294967294" count="1" selected="0">
            <x v="0"/>
          </reference>
          <reference field="3" count="1" selected="0">
            <x v="453"/>
          </reference>
        </references>
      </pivotArea>
    </chartFormat>
    <chartFormat chart="6" format="891">
      <pivotArea type="data" outline="0" fieldPosition="0">
        <references count="2">
          <reference field="4294967294" count="1" selected="0">
            <x v="0"/>
          </reference>
          <reference field="3" count="1" selected="0">
            <x v="489"/>
          </reference>
        </references>
      </pivotArea>
    </chartFormat>
    <chartFormat chart="6" format="892">
      <pivotArea type="data" outline="0" fieldPosition="0">
        <references count="2">
          <reference field="4294967294" count="1" selected="0">
            <x v="0"/>
          </reference>
          <reference field="3" count="1" selected="0">
            <x v="22"/>
          </reference>
        </references>
      </pivotArea>
    </chartFormat>
    <chartFormat chart="6" format="893">
      <pivotArea type="data" outline="0" fieldPosition="0">
        <references count="2">
          <reference field="4294967294" count="1" selected="0">
            <x v="0"/>
          </reference>
          <reference field="3" count="1" selected="0">
            <x v="383"/>
          </reference>
        </references>
      </pivotArea>
    </chartFormat>
    <chartFormat chart="6" format="894">
      <pivotArea type="data" outline="0" fieldPosition="0">
        <references count="2">
          <reference field="4294967294" count="1" selected="0">
            <x v="0"/>
          </reference>
          <reference field="3" count="1" selected="0">
            <x v="194"/>
          </reference>
        </references>
      </pivotArea>
    </chartFormat>
    <chartFormat chart="6" format="895">
      <pivotArea type="data" outline="0" fieldPosition="0">
        <references count="2">
          <reference field="4294967294" count="1" selected="0">
            <x v="0"/>
          </reference>
          <reference field="3" count="1" selected="0">
            <x v="430"/>
          </reference>
        </references>
      </pivotArea>
    </chartFormat>
    <chartFormat chart="6" format="896">
      <pivotArea type="data" outline="0" fieldPosition="0">
        <references count="2">
          <reference field="4294967294" count="1" selected="0">
            <x v="0"/>
          </reference>
          <reference field="3" count="1" selected="0">
            <x v="157"/>
          </reference>
        </references>
      </pivotArea>
    </chartFormat>
    <chartFormat chart="6" format="897">
      <pivotArea type="data" outline="0" fieldPosition="0">
        <references count="2">
          <reference field="4294967294" count="1" selected="0">
            <x v="0"/>
          </reference>
          <reference field="3" count="1" selected="0">
            <x v="108"/>
          </reference>
        </references>
      </pivotArea>
    </chartFormat>
    <chartFormat chart="6" format="898">
      <pivotArea type="data" outline="0" fieldPosition="0">
        <references count="2">
          <reference field="4294967294" count="1" selected="0">
            <x v="0"/>
          </reference>
          <reference field="3" count="1" selected="0">
            <x v="422"/>
          </reference>
        </references>
      </pivotArea>
    </chartFormat>
    <chartFormat chart="6" format="899">
      <pivotArea type="data" outline="0" fieldPosition="0">
        <references count="2">
          <reference field="4294967294" count="1" selected="0">
            <x v="0"/>
          </reference>
          <reference field="3" count="1" selected="0">
            <x v="304"/>
          </reference>
        </references>
      </pivotArea>
    </chartFormat>
    <chartFormat chart="6" format="900">
      <pivotArea type="data" outline="0" fieldPosition="0">
        <references count="2">
          <reference field="4294967294" count="1" selected="0">
            <x v="0"/>
          </reference>
          <reference field="3" count="1" selected="0">
            <x v="196"/>
          </reference>
        </references>
      </pivotArea>
    </chartFormat>
    <chartFormat chart="6" format="901">
      <pivotArea type="data" outline="0" fieldPosition="0">
        <references count="2">
          <reference field="4294967294" count="1" selected="0">
            <x v="0"/>
          </reference>
          <reference field="3" count="1" selected="0">
            <x v="145"/>
          </reference>
        </references>
      </pivotArea>
    </chartFormat>
    <chartFormat chart="6" format="902">
      <pivotArea type="data" outline="0" fieldPosition="0">
        <references count="2">
          <reference field="4294967294" count="1" selected="0">
            <x v="0"/>
          </reference>
          <reference field="3" count="1" selected="0">
            <x v="85"/>
          </reference>
        </references>
      </pivotArea>
    </chartFormat>
    <chartFormat chart="6" format="903">
      <pivotArea type="data" outline="0" fieldPosition="0">
        <references count="2">
          <reference field="4294967294" count="1" selected="0">
            <x v="0"/>
          </reference>
          <reference field="3" count="1" selected="0">
            <x v="363"/>
          </reference>
        </references>
      </pivotArea>
    </chartFormat>
    <chartFormat chart="6" format="904">
      <pivotArea type="data" outline="0" fieldPosition="0">
        <references count="2">
          <reference field="4294967294" count="1" selected="0">
            <x v="0"/>
          </reference>
          <reference field="3" count="1" selected="0">
            <x v="91"/>
          </reference>
        </references>
      </pivotArea>
    </chartFormat>
    <chartFormat chart="6" format="905">
      <pivotArea type="data" outline="0" fieldPosition="0">
        <references count="2">
          <reference field="4294967294" count="1" selected="0">
            <x v="0"/>
          </reference>
          <reference field="3" count="1" selected="0">
            <x v="263"/>
          </reference>
        </references>
      </pivotArea>
    </chartFormat>
    <chartFormat chart="6" format="906">
      <pivotArea type="data" outline="0" fieldPosition="0">
        <references count="2">
          <reference field="4294967294" count="1" selected="0">
            <x v="0"/>
          </reference>
          <reference field="3" count="1" selected="0">
            <x v="233"/>
          </reference>
        </references>
      </pivotArea>
    </chartFormat>
    <chartFormat chart="6" format="907">
      <pivotArea type="data" outline="0" fieldPosition="0">
        <references count="2">
          <reference field="4294967294" count="1" selected="0">
            <x v="0"/>
          </reference>
          <reference field="3" count="1" selected="0">
            <x v="456"/>
          </reference>
        </references>
      </pivotArea>
    </chartFormat>
    <chartFormat chart="6" format="908">
      <pivotArea type="data" outline="0" fieldPosition="0">
        <references count="2">
          <reference field="4294967294" count="1" selected="0">
            <x v="0"/>
          </reference>
          <reference field="3" count="1" selected="0">
            <x v="311"/>
          </reference>
        </references>
      </pivotArea>
    </chartFormat>
    <chartFormat chart="6" format="909">
      <pivotArea type="data" outline="0" fieldPosition="0">
        <references count="2">
          <reference field="4294967294" count="1" selected="0">
            <x v="0"/>
          </reference>
          <reference field="3" count="1" selected="0">
            <x v="273"/>
          </reference>
        </references>
      </pivotArea>
    </chartFormat>
    <chartFormat chart="6" format="910">
      <pivotArea type="data" outline="0" fieldPosition="0">
        <references count="2">
          <reference field="4294967294" count="1" selected="0">
            <x v="0"/>
          </reference>
          <reference field="3" count="1" selected="0">
            <x v="373"/>
          </reference>
        </references>
      </pivotArea>
    </chartFormat>
    <chartFormat chart="6" format="911">
      <pivotArea type="data" outline="0" fieldPosition="0">
        <references count="2">
          <reference field="4294967294" count="1" selected="0">
            <x v="0"/>
          </reference>
          <reference field="3" count="1" selected="0">
            <x v="154"/>
          </reference>
        </references>
      </pivotArea>
    </chartFormat>
    <chartFormat chart="6" format="912">
      <pivotArea type="data" outline="0" fieldPosition="0">
        <references count="2">
          <reference field="4294967294" count="1" selected="0">
            <x v="0"/>
          </reference>
          <reference field="3" count="1" selected="0">
            <x v="312"/>
          </reference>
        </references>
      </pivotArea>
    </chartFormat>
    <chartFormat chart="6" format="913">
      <pivotArea type="data" outline="0" fieldPosition="0">
        <references count="2">
          <reference field="4294967294" count="1" selected="0">
            <x v="0"/>
          </reference>
          <reference field="3" count="1" selected="0">
            <x v="395"/>
          </reference>
        </references>
      </pivotArea>
    </chartFormat>
    <chartFormat chart="6" format="914">
      <pivotArea type="data" outline="0" fieldPosition="0">
        <references count="2">
          <reference field="4294967294" count="1" selected="0">
            <x v="0"/>
          </reference>
          <reference field="3" count="1" selected="0">
            <x v="241"/>
          </reference>
        </references>
      </pivotArea>
    </chartFormat>
    <chartFormat chart="6" format="915">
      <pivotArea type="data" outline="0" fieldPosition="0">
        <references count="2">
          <reference field="4294967294" count="1" selected="0">
            <x v="0"/>
          </reference>
          <reference field="3" count="1" selected="0">
            <x v="485"/>
          </reference>
        </references>
      </pivotArea>
    </chartFormat>
    <chartFormat chart="6" format="916">
      <pivotArea type="data" outline="0" fieldPosition="0">
        <references count="2">
          <reference field="4294967294" count="1" selected="0">
            <x v="0"/>
          </reference>
          <reference field="3" count="1" selected="0">
            <x v="470"/>
          </reference>
        </references>
      </pivotArea>
    </chartFormat>
    <chartFormat chart="6" format="917">
      <pivotArea type="data" outline="0" fieldPosition="0">
        <references count="2">
          <reference field="4294967294" count="1" selected="0">
            <x v="0"/>
          </reference>
          <reference field="3" count="1" selected="0">
            <x v="35"/>
          </reference>
        </references>
      </pivotArea>
    </chartFormat>
    <chartFormat chart="6" format="918">
      <pivotArea type="data" outline="0" fieldPosition="0">
        <references count="2">
          <reference field="4294967294" count="1" selected="0">
            <x v="0"/>
          </reference>
          <reference field="3" count="1" selected="0">
            <x v="51"/>
          </reference>
        </references>
      </pivotArea>
    </chartFormat>
    <chartFormat chart="6" format="919">
      <pivotArea type="data" outline="0" fieldPosition="0">
        <references count="2">
          <reference field="4294967294" count="1" selected="0">
            <x v="0"/>
          </reference>
          <reference field="3" count="1" selected="0">
            <x v="370"/>
          </reference>
        </references>
      </pivotArea>
    </chartFormat>
    <chartFormat chart="6" format="920">
      <pivotArea type="data" outline="0" fieldPosition="0">
        <references count="2">
          <reference field="4294967294" count="1" selected="0">
            <x v="0"/>
          </reference>
          <reference field="3" count="1" selected="0">
            <x v="187"/>
          </reference>
        </references>
      </pivotArea>
    </chartFormat>
    <chartFormat chart="6" format="921">
      <pivotArea type="data" outline="0" fieldPosition="0">
        <references count="2">
          <reference field="4294967294" count="1" selected="0">
            <x v="0"/>
          </reference>
          <reference field="3" count="1" selected="0">
            <x v="55"/>
          </reference>
        </references>
      </pivotArea>
    </chartFormat>
    <chartFormat chart="6" format="922">
      <pivotArea type="data" outline="0" fieldPosition="0">
        <references count="2">
          <reference field="4294967294" count="1" selected="0">
            <x v="0"/>
          </reference>
          <reference field="3" count="1" selected="0">
            <x v="374"/>
          </reference>
        </references>
      </pivotArea>
    </chartFormat>
    <chartFormat chart="6" format="923">
      <pivotArea type="data" outline="0" fieldPosition="0">
        <references count="2">
          <reference field="4294967294" count="1" selected="0">
            <x v="0"/>
          </reference>
          <reference field="3" count="1" selected="0">
            <x v="249"/>
          </reference>
        </references>
      </pivotArea>
    </chartFormat>
    <chartFormat chart="6" format="924">
      <pivotArea type="data" outline="0" fieldPosition="0">
        <references count="2">
          <reference field="4294967294" count="1" selected="0">
            <x v="0"/>
          </reference>
          <reference field="3" count="1" selected="0">
            <x v="104"/>
          </reference>
        </references>
      </pivotArea>
    </chartFormat>
    <chartFormat chart="6" format="925">
      <pivotArea type="data" outline="0" fieldPosition="0">
        <references count="2">
          <reference field="4294967294" count="1" selected="0">
            <x v="0"/>
          </reference>
          <reference field="3" count="1" selected="0">
            <x v="179"/>
          </reference>
        </references>
      </pivotArea>
    </chartFormat>
    <chartFormat chart="6" format="926">
      <pivotArea type="data" outline="0" fieldPosition="0">
        <references count="2">
          <reference field="4294967294" count="1" selected="0">
            <x v="0"/>
          </reference>
          <reference field="3" count="1" selected="0">
            <x v="160"/>
          </reference>
        </references>
      </pivotArea>
    </chartFormat>
    <chartFormat chart="6" format="927">
      <pivotArea type="data" outline="0" fieldPosition="0">
        <references count="2">
          <reference field="4294967294" count="1" selected="0">
            <x v="0"/>
          </reference>
          <reference field="3" count="1" selected="0">
            <x v="31"/>
          </reference>
        </references>
      </pivotArea>
    </chartFormat>
    <chartFormat chart="6" format="928">
      <pivotArea type="data" outline="0" fieldPosition="0">
        <references count="2">
          <reference field="4294967294" count="1" selected="0">
            <x v="0"/>
          </reference>
          <reference field="3" count="1" selected="0">
            <x v="78"/>
          </reference>
        </references>
      </pivotArea>
    </chartFormat>
    <chartFormat chart="6" format="929">
      <pivotArea type="data" outline="0" fieldPosition="0">
        <references count="2">
          <reference field="4294967294" count="1" selected="0">
            <x v="0"/>
          </reference>
          <reference field="3" count="1" selected="0">
            <x v="98"/>
          </reference>
        </references>
      </pivotArea>
    </chartFormat>
    <chartFormat chart="6" format="930">
      <pivotArea type="data" outline="0" fieldPosition="0">
        <references count="2">
          <reference field="4294967294" count="1" selected="0">
            <x v="0"/>
          </reference>
          <reference field="3" count="1" selected="0">
            <x v="34"/>
          </reference>
        </references>
      </pivotArea>
    </chartFormat>
    <chartFormat chart="6" format="931">
      <pivotArea type="data" outline="0" fieldPosition="0">
        <references count="2">
          <reference field="4294967294" count="1" selected="0">
            <x v="0"/>
          </reference>
          <reference field="3" count="1" selected="0">
            <x v="306"/>
          </reference>
        </references>
      </pivotArea>
    </chartFormat>
    <chartFormat chart="6" format="932">
      <pivotArea type="data" outline="0" fieldPosition="0">
        <references count="2">
          <reference field="4294967294" count="1" selected="0">
            <x v="0"/>
          </reference>
          <reference field="3" count="1" selected="0">
            <x v="246"/>
          </reference>
        </references>
      </pivotArea>
    </chartFormat>
    <chartFormat chart="6" format="933">
      <pivotArea type="data" outline="0" fieldPosition="0">
        <references count="2">
          <reference field="4294967294" count="1" selected="0">
            <x v="0"/>
          </reference>
          <reference field="3" count="1" selected="0">
            <x v="137"/>
          </reference>
        </references>
      </pivotArea>
    </chartFormat>
    <chartFormat chart="6" format="934">
      <pivotArea type="data" outline="0" fieldPosition="0">
        <references count="2">
          <reference field="4294967294" count="1" selected="0">
            <x v="0"/>
          </reference>
          <reference field="3" count="1" selected="0">
            <x v="416"/>
          </reference>
        </references>
      </pivotArea>
    </chartFormat>
    <chartFormat chart="6" format="935">
      <pivotArea type="data" outline="0" fieldPosition="0">
        <references count="2">
          <reference field="4294967294" count="1" selected="0">
            <x v="0"/>
          </reference>
          <reference field="3" count="1" selected="0">
            <x v="275"/>
          </reference>
        </references>
      </pivotArea>
    </chartFormat>
    <chartFormat chart="6" format="936">
      <pivotArea type="data" outline="0" fieldPosition="0">
        <references count="2">
          <reference field="4294967294" count="1" selected="0">
            <x v="0"/>
          </reference>
          <reference field="3" count="1" selected="0">
            <x v="80"/>
          </reference>
        </references>
      </pivotArea>
    </chartFormat>
    <chartFormat chart="6" format="937">
      <pivotArea type="data" outline="0" fieldPosition="0">
        <references count="2">
          <reference field="4294967294" count="1" selected="0">
            <x v="0"/>
          </reference>
          <reference field="3" count="1" selected="0">
            <x v="171"/>
          </reference>
        </references>
      </pivotArea>
    </chartFormat>
    <chartFormat chart="6" format="938">
      <pivotArea type="data" outline="0" fieldPosition="0">
        <references count="2">
          <reference field="4294967294" count="1" selected="0">
            <x v="0"/>
          </reference>
          <reference field="3" count="1" selected="0">
            <x v="440"/>
          </reference>
        </references>
      </pivotArea>
    </chartFormat>
    <chartFormat chart="6" format="939">
      <pivotArea type="data" outline="0" fieldPosition="0">
        <references count="2">
          <reference field="4294967294" count="1" selected="0">
            <x v="0"/>
          </reference>
          <reference field="3" count="1" selected="0">
            <x v="142"/>
          </reference>
        </references>
      </pivotArea>
    </chartFormat>
    <chartFormat chart="6" format="940">
      <pivotArea type="data" outline="0" fieldPosition="0">
        <references count="2">
          <reference field="4294967294" count="1" selected="0">
            <x v="0"/>
          </reference>
          <reference field="3" count="1" selected="0">
            <x v="418"/>
          </reference>
        </references>
      </pivotArea>
    </chartFormat>
    <chartFormat chart="6" format="941">
      <pivotArea type="data" outline="0" fieldPosition="0">
        <references count="2">
          <reference field="4294967294" count="1" selected="0">
            <x v="0"/>
          </reference>
          <reference field="3" count="1" selected="0">
            <x v="118"/>
          </reference>
        </references>
      </pivotArea>
    </chartFormat>
    <chartFormat chart="6" format="942">
      <pivotArea type="data" outline="0" fieldPosition="0">
        <references count="2">
          <reference field="4294967294" count="1" selected="0">
            <x v="0"/>
          </reference>
          <reference field="3" count="1" selected="0">
            <x v="317"/>
          </reference>
        </references>
      </pivotArea>
    </chartFormat>
    <chartFormat chart="6" format="943">
      <pivotArea type="data" outline="0" fieldPosition="0">
        <references count="2">
          <reference field="4294967294" count="1" selected="0">
            <x v="0"/>
          </reference>
          <reference field="3" count="1" selected="0">
            <x v="482"/>
          </reference>
        </references>
      </pivotArea>
    </chartFormat>
    <chartFormat chart="6" format="944">
      <pivotArea type="data" outline="0" fieldPosition="0">
        <references count="2">
          <reference field="4294967294" count="1" selected="0">
            <x v="0"/>
          </reference>
          <reference field="3" count="1" selected="0">
            <x v="429"/>
          </reference>
        </references>
      </pivotArea>
    </chartFormat>
    <chartFormat chart="6" format="945">
      <pivotArea type="data" outline="0" fieldPosition="0">
        <references count="2">
          <reference field="4294967294" count="1" selected="0">
            <x v="0"/>
          </reference>
          <reference field="3" count="1" selected="0">
            <x v="58"/>
          </reference>
        </references>
      </pivotArea>
    </chartFormat>
    <chartFormat chart="6" format="946">
      <pivotArea type="data" outline="0" fieldPosition="0">
        <references count="2">
          <reference field="4294967294" count="1" selected="0">
            <x v="0"/>
          </reference>
          <reference field="3" count="1" selected="0">
            <x v="437"/>
          </reference>
        </references>
      </pivotArea>
    </chartFormat>
    <chartFormat chart="6" format="947">
      <pivotArea type="data" outline="0" fieldPosition="0">
        <references count="2">
          <reference field="4294967294" count="1" selected="0">
            <x v="0"/>
          </reference>
          <reference field="3" count="1" selected="0">
            <x v="357"/>
          </reference>
        </references>
      </pivotArea>
    </chartFormat>
    <chartFormat chart="6" format="948">
      <pivotArea type="data" outline="0" fieldPosition="0">
        <references count="2">
          <reference field="4294967294" count="1" selected="0">
            <x v="0"/>
          </reference>
          <reference field="3" count="1" selected="0">
            <x v="136"/>
          </reference>
        </references>
      </pivotArea>
    </chartFormat>
    <chartFormat chart="6" format="949">
      <pivotArea type="data" outline="0" fieldPosition="0">
        <references count="2">
          <reference field="4294967294" count="1" selected="0">
            <x v="0"/>
          </reference>
          <reference field="3" count="1" selected="0">
            <x v="254"/>
          </reference>
        </references>
      </pivotArea>
    </chartFormat>
    <chartFormat chart="6" format="950">
      <pivotArea type="data" outline="0" fieldPosition="0">
        <references count="2">
          <reference field="4294967294" count="1" selected="0">
            <x v="0"/>
          </reference>
          <reference field="3" count="1" selected="0">
            <x v="120"/>
          </reference>
        </references>
      </pivotArea>
    </chartFormat>
    <chartFormat chart="6" format="951">
      <pivotArea type="data" outline="0" fieldPosition="0">
        <references count="2">
          <reference field="4294967294" count="1" selected="0">
            <x v="0"/>
          </reference>
          <reference field="3" count="1" selected="0">
            <x v="200"/>
          </reference>
        </references>
      </pivotArea>
    </chartFormat>
    <chartFormat chart="6" format="952">
      <pivotArea type="data" outline="0" fieldPosition="0">
        <references count="2">
          <reference field="4294967294" count="1" selected="0">
            <x v="0"/>
          </reference>
          <reference field="3" count="1" selected="0">
            <x v="37"/>
          </reference>
        </references>
      </pivotArea>
    </chartFormat>
    <chartFormat chart="6" format="953">
      <pivotArea type="data" outline="0" fieldPosition="0">
        <references count="2">
          <reference field="4294967294" count="1" selected="0">
            <x v="0"/>
          </reference>
          <reference field="3" count="1" selected="0">
            <x v="106"/>
          </reference>
        </references>
      </pivotArea>
    </chartFormat>
    <chartFormat chart="6" format="954">
      <pivotArea type="data" outline="0" fieldPosition="0">
        <references count="2">
          <reference field="4294967294" count="1" selected="0">
            <x v="0"/>
          </reference>
          <reference field="3" count="1" selected="0">
            <x v="262"/>
          </reference>
        </references>
      </pivotArea>
    </chartFormat>
    <chartFormat chart="6" format="955">
      <pivotArea type="data" outline="0" fieldPosition="0">
        <references count="2">
          <reference field="4294967294" count="1" selected="0">
            <x v="0"/>
          </reference>
          <reference field="3" count="1" selected="0">
            <x v="165"/>
          </reference>
        </references>
      </pivotArea>
    </chartFormat>
    <chartFormat chart="6" format="956">
      <pivotArea type="data" outline="0" fieldPosition="0">
        <references count="2">
          <reference field="4294967294" count="1" selected="0">
            <x v="0"/>
          </reference>
          <reference field="3" count="1" selected="0">
            <x v="32"/>
          </reference>
        </references>
      </pivotArea>
    </chartFormat>
    <chartFormat chart="6" format="957">
      <pivotArea type="data" outline="0" fieldPosition="0">
        <references count="2">
          <reference field="4294967294" count="1" selected="0">
            <x v="0"/>
          </reference>
          <reference field="3" count="1" selected="0">
            <x v="245"/>
          </reference>
        </references>
      </pivotArea>
    </chartFormat>
    <chartFormat chart="6" format="958">
      <pivotArea type="data" outline="0" fieldPosition="0">
        <references count="2">
          <reference field="4294967294" count="1" selected="0">
            <x v="0"/>
          </reference>
          <reference field="3" count="1" selected="0">
            <x v="307"/>
          </reference>
        </references>
      </pivotArea>
    </chartFormat>
    <chartFormat chart="6" format="959">
      <pivotArea type="data" outline="0" fieldPosition="0">
        <references count="2">
          <reference field="4294967294" count="1" selected="0">
            <x v="0"/>
          </reference>
          <reference field="3" count="1" selected="0">
            <x v="124"/>
          </reference>
        </references>
      </pivotArea>
    </chartFormat>
    <chartFormat chart="6" format="960">
      <pivotArea type="data" outline="0" fieldPosition="0">
        <references count="2">
          <reference field="4294967294" count="1" selected="0">
            <x v="0"/>
          </reference>
          <reference field="3" count="1" selected="0">
            <x v="232"/>
          </reference>
        </references>
      </pivotArea>
    </chartFormat>
    <chartFormat chart="6" format="961">
      <pivotArea type="data" outline="0" fieldPosition="0">
        <references count="2">
          <reference field="4294967294" count="1" selected="0">
            <x v="0"/>
          </reference>
          <reference field="3" count="1" selected="0">
            <x v="483"/>
          </reference>
        </references>
      </pivotArea>
    </chartFormat>
    <chartFormat chart="6" format="962">
      <pivotArea type="data" outline="0" fieldPosition="0">
        <references count="2">
          <reference field="4294967294" count="1" selected="0">
            <x v="0"/>
          </reference>
          <reference field="3" count="1" selected="0">
            <x v="367"/>
          </reference>
        </references>
      </pivotArea>
    </chartFormat>
    <chartFormat chart="6" format="963">
      <pivotArea type="data" outline="0" fieldPosition="0">
        <references count="2">
          <reference field="4294967294" count="1" selected="0">
            <x v="0"/>
          </reference>
          <reference field="3" count="1" selected="0">
            <x v="462"/>
          </reference>
        </references>
      </pivotArea>
    </chartFormat>
    <chartFormat chart="6" format="964">
      <pivotArea type="data" outline="0" fieldPosition="0">
        <references count="2">
          <reference field="4294967294" count="1" selected="0">
            <x v="0"/>
          </reference>
          <reference field="3" count="1" selected="0">
            <x v="381"/>
          </reference>
        </references>
      </pivotArea>
    </chartFormat>
    <chartFormat chart="6" format="965">
      <pivotArea type="data" outline="0" fieldPosition="0">
        <references count="2">
          <reference field="4294967294" count="1" selected="0">
            <x v="0"/>
          </reference>
          <reference field="3" count="1" selected="0">
            <x v="261"/>
          </reference>
        </references>
      </pivotArea>
    </chartFormat>
    <chartFormat chart="6" format="966">
      <pivotArea type="data" outline="0" fieldPosition="0">
        <references count="2">
          <reference field="4294967294" count="1" selected="0">
            <x v="0"/>
          </reference>
          <reference field="3" count="1" selected="0">
            <x v="409"/>
          </reference>
        </references>
      </pivotArea>
    </chartFormat>
    <chartFormat chart="6" format="967">
      <pivotArea type="data" outline="0" fieldPosition="0">
        <references count="2">
          <reference field="4294967294" count="1" selected="0">
            <x v="0"/>
          </reference>
          <reference field="3" count="1" selected="0">
            <x v="368"/>
          </reference>
        </references>
      </pivotArea>
    </chartFormat>
    <chartFormat chart="6" format="968">
      <pivotArea type="data" outline="0" fieldPosition="0">
        <references count="2">
          <reference field="4294967294" count="1" selected="0">
            <x v="0"/>
          </reference>
          <reference field="3" count="1" selected="0">
            <x v="101"/>
          </reference>
        </references>
      </pivotArea>
    </chartFormat>
    <chartFormat chart="6" format="969">
      <pivotArea type="data" outline="0" fieldPosition="0">
        <references count="2">
          <reference field="4294967294" count="1" selected="0">
            <x v="0"/>
          </reference>
          <reference field="3" count="1" selected="0">
            <x v="278"/>
          </reference>
        </references>
      </pivotArea>
    </chartFormat>
    <chartFormat chart="6" format="970">
      <pivotArea type="data" outline="0" fieldPosition="0">
        <references count="2">
          <reference field="4294967294" count="1" selected="0">
            <x v="0"/>
          </reference>
          <reference field="3" count="1" selected="0">
            <x v="259"/>
          </reference>
        </references>
      </pivotArea>
    </chartFormat>
    <chartFormat chart="6" format="971">
      <pivotArea type="data" outline="0" fieldPosition="0">
        <references count="2">
          <reference field="4294967294" count="1" selected="0">
            <x v="0"/>
          </reference>
          <reference field="3" count="1" selected="0">
            <x v="121"/>
          </reference>
        </references>
      </pivotArea>
    </chartFormat>
    <chartFormat chart="6" format="972">
      <pivotArea type="data" outline="0" fieldPosition="0">
        <references count="2">
          <reference field="4294967294" count="1" selected="0">
            <x v="0"/>
          </reference>
          <reference field="3" count="1" selected="0">
            <x v="361"/>
          </reference>
        </references>
      </pivotArea>
    </chartFormat>
    <chartFormat chart="6" format="973">
      <pivotArea type="data" outline="0" fieldPosition="0">
        <references count="2">
          <reference field="4294967294" count="1" selected="0">
            <x v="0"/>
          </reference>
          <reference field="3" count="1" selected="0">
            <x v="438"/>
          </reference>
        </references>
      </pivotArea>
    </chartFormat>
    <chartFormat chart="6" format="974">
      <pivotArea type="data" outline="0" fieldPosition="0">
        <references count="2">
          <reference field="4294967294" count="1" selected="0">
            <x v="0"/>
          </reference>
          <reference field="3" count="1" selected="0">
            <x v="270"/>
          </reference>
        </references>
      </pivotArea>
    </chartFormat>
    <chartFormat chart="6" format="975">
      <pivotArea type="data" outline="0" fieldPosition="0">
        <references count="2">
          <reference field="4294967294" count="1" selected="0">
            <x v="0"/>
          </reference>
          <reference field="3" count="1" selected="0">
            <x v="305"/>
          </reference>
        </references>
      </pivotArea>
    </chartFormat>
    <chartFormat chart="6" format="976">
      <pivotArea type="data" outline="0" fieldPosition="0">
        <references count="2">
          <reference field="4294967294" count="1" selected="0">
            <x v="0"/>
          </reference>
          <reference field="3" count="1" selected="0">
            <x v="220"/>
          </reference>
        </references>
      </pivotArea>
    </chartFormat>
    <chartFormat chart="6" format="977">
      <pivotArea type="data" outline="0" fieldPosition="0">
        <references count="2">
          <reference field="4294967294" count="1" selected="0">
            <x v="0"/>
          </reference>
          <reference field="3" count="1" selected="0">
            <x v="286"/>
          </reference>
        </references>
      </pivotArea>
    </chartFormat>
    <chartFormat chart="6" format="978">
      <pivotArea type="data" outline="0" fieldPosition="0">
        <references count="2">
          <reference field="4294967294" count="1" selected="0">
            <x v="0"/>
          </reference>
          <reference field="3" count="1" selected="0">
            <x v="16"/>
          </reference>
        </references>
      </pivotArea>
    </chartFormat>
    <chartFormat chart="6" format="979">
      <pivotArea type="data" outline="0" fieldPosition="0">
        <references count="2">
          <reference field="4294967294" count="1" selected="0">
            <x v="0"/>
          </reference>
          <reference field="3" count="1" selected="0">
            <x v="57"/>
          </reference>
        </references>
      </pivotArea>
    </chartFormat>
    <chartFormat chart="6" format="980">
      <pivotArea type="data" outline="0" fieldPosition="0">
        <references count="2">
          <reference field="4294967294" count="1" selected="0">
            <x v="0"/>
          </reference>
          <reference field="3" count="1" selected="0">
            <x v="181"/>
          </reference>
        </references>
      </pivotArea>
    </chartFormat>
    <chartFormat chart="6" format="981">
      <pivotArea type="data" outline="0" fieldPosition="0">
        <references count="2">
          <reference field="4294967294" count="1" selected="0">
            <x v="0"/>
          </reference>
          <reference field="3" count="1" selected="0">
            <x v="467"/>
          </reference>
        </references>
      </pivotArea>
    </chartFormat>
    <chartFormat chart="6" format="982">
      <pivotArea type="data" outline="0" fieldPosition="0">
        <references count="2">
          <reference field="4294967294" count="1" selected="0">
            <x v="0"/>
          </reference>
          <reference field="3" count="1" selected="0">
            <x v="134"/>
          </reference>
        </references>
      </pivotArea>
    </chartFormat>
    <chartFormat chart="6" format="983">
      <pivotArea type="data" outline="0" fieldPosition="0">
        <references count="2">
          <reference field="4294967294" count="1" selected="0">
            <x v="0"/>
          </reference>
          <reference field="3" count="1" selected="0">
            <x v="81"/>
          </reference>
        </references>
      </pivotArea>
    </chartFormat>
    <chartFormat chart="6" format="984">
      <pivotArea type="data" outline="0" fieldPosition="0">
        <references count="2">
          <reference field="4294967294" count="1" selected="0">
            <x v="0"/>
          </reference>
          <reference field="3" count="1" selected="0">
            <x v="347"/>
          </reference>
        </references>
      </pivotArea>
    </chartFormat>
    <chartFormat chart="6" format="985">
      <pivotArea type="data" outline="0" fieldPosition="0">
        <references count="2">
          <reference field="4294967294" count="1" selected="0">
            <x v="0"/>
          </reference>
          <reference field="3" count="1" selected="0">
            <x v="420"/>
          </reference>
        </references>
      </pivotArea>
    </chartFormat>
    <chartFormat chart="6" format="986">
      <pivotArea type="data" outline="0" fieldPosition="0">
        <references count="2">
          <reference field="4294967294" count="1" selected="0">
            <x v="0"/>
          </reference>
          <reference field="3" count="1" selected="0">
            <x v="167"/>
          </reference>
        </references>
      </pivotArea>
    </chartFormat>
    <chartFormat chart="6" format="987">
      <pivotArea type="data" outline="0" fieldPosition="0">
        <references count="2">
          <reference field="4294967294" count="1" selected="0">
            <x v="0"/>
          </reference>
          <reference field="3" count="1" selected="0">
            <x v="112"/>
          </reference>
        </references>
      </pivotArea>
    </chartFormat>
    <chartFormat chart="6" format="988">
      <pivotArea type="data" outline="0" fieldPosition="0">
        <references count="2">
          <reference field="4294967294" count="1" selected="0">
            <x v="0"/>
          </reference>
          <reference field="3" count="1" selected="0">
            <x v="442"/>
          </reference>
        </references>
      </pivotArea>
    </chartFormat>
    <chartFormat chart="6" format="989">
      <pivotArea type="data" outline="0" fieldPosition="0">
        <references count="2">
          <reference field="4294967294" count="1" selected="0">
            <x v="0"/>
          </reference>
          <reference field="3" count="1" selected="0">
            <x v="277"/>
          </reference>
        </references>
      </pivotArea>
    </chartFormat>
    <chartFormat chart="6" format="990">
      <pivotArea type="data" outline="0" fieldPosition="0">
        <references count="2">
          <reference field="4294967294" count="1" selected="0">
            <x v="0"/>
          </reference>
          <reference field="3" count="1" selected="0">
            <x v="204"/>
          </reference>
        </references>
      </pivotArea>
    </chartFormat>
    <chartFormat chart="6" format="991">
      <pivotArea type="data" outline="0" fieldPosition="0">
        <references count="2">
          <reference field="4294967294" count="1" selected="0">
            <x v="0"/>
          </reference>
          <reference field="3" count="1" selected="0">
            <x v="378"/>
          </reference>
        </references>
      </pivotArea>
    </chartFormat>
    <chartFormat chart="6" format="992">
      <pivotArea type="data" outline="0" fieldPosition="0">
        <references count="2">
          <reference field="4294967294" count="1" selected="0">
            <x v="0"/>
          </reference>
          <reference field="3" count="1" selected="0">
            <x v="48"/>
          </reference>
        </references>
      </pivotArea>
    </chartFormat>
    <chartFormat chart="6" format="993">
      <pivotArea type="data" outline="0" fieldPosition="0">
        <references count="2">
          <reference field="4294967294" count="1" selected="0">
            <x v="0"/>
          </reference>
          <reference field="3" count="1" selected="0">
            <x v="477"/>
          </reference>
        </references>
      </pivotArea>
    </chartFormat>
    <chartFormat chart="6" format="994">
      <pivotArea type="data" outline="0" fieldPosition="0">
        <references count="2">
          <reference field="4294967294" count="1" selected="0">
            <x v="0"/>
          </reference>
          <reference field="3" count="1" selected="0">
            <x v="148"/>
          </reference>
        </references>
      </pivotArea>
    </chartFormat>
    <chartFormat chart="6" format="995">
      <pivotArea type="data" outline="0" fieldPosition="0">
        <references count="2">
          <reference field="4294967294" count="1" selected="0">
            <x v="0"/>
          </reference>
          <reference field="3" count="1" selected="0">
            <x v="186"/>
          </reference>
        </references>
      </pivotArea>
    </chartFormat>
    <chartFormat chart="6" format="996">
      <pivotArea type="data" outline="0" fieldPosition="0">
        <references count="2">
          <reference field="4294967294" count="1" selected="0">
            <x v="0"/>
          </reference>
          <reference field="3" count="1" selected="0">
            <x v="352"/>
          </reference>
        </references>
      </pivotArea>
    </chartFormat>
    <chartFormat chart="6" format="997">
      <pivotArea type="data" outline="0" fieldPosition="0">
        <references count="2">
          <reference field="4294967294" count="1" selected="0">
            <x v="0"/>
          </reference>
          <reference field="3" count="1" selected="0">
            <x v="258"/>
          </reference>
        </references>
      </pivotArea>
    </chartFormat>
    <chartFormat chart="6" format="998">
      <pivotArea type="data" outline="0" fieldPosition="0">
        <references count="2">
          <reference field="4294967294" count="1" selected="0">
            <x v="0"/>
          </reference>
          <reference field="3" count="1" selected="0">
            <x v="414"/>
          </reference>
        </references>
      </pivotArea>
    </chartFormat>
    <chartFormat chart="6" format="999">
      <pivotArea type="data" outline="0" fieldPosition="0">
        <references count="2">
          <reference field="4294967294" count="1" selected="0">
            <x v="0"/>
          </reference>
          <reference field="3" count="1" selected="0">
            <x v="13"/>
          </reference>
        </references>
      </pivotArea>
    </chartFormat>
    <chartFormat chart="6" format="1000">
      <pivotArea type="data" outline="0" fieldPosition="0">
        <references count="2">
          <reference field="4294967294" count="1" selected="0">
            <x v="0"/>
          </reference>
          <reference field="3" count="1" selected="0">
            <x v="314"/>
          </reference>
        </references>
      </pivotArea>
    </chartFormat>
    <chartFormat chart="6" format="1001">
      <pivotArea type="data" outline="0" fieldPosition="0">
        <references count="2">
          <reference field="4294967294" count="1" selected="0">
            <x v="0"/>
          </reference>
          <reference field="3" count="1" selected="0">
            <x v="93"/>
          </reference>
        </references>
      </pivotArea>
    </chartFormat>
    <chartFormat chart="6" format="1002">
      <pivotArea type="data" outline="0" fieldPosition="0">
        <references count="2">
          <reference field="4294967294" count="1" selected="0">
            <x v="0"/>
          </reference>
          <reference field="3" count="1" selected="0">
            <x v="432"/>
          </reference>
        </references>
      </pivotArea>
    </chartFormat>
    <chartFormat chart="6" format="1003">
      <pivotArea type="data" outline="0" fieldPosition="0">
        <references count="2">
          <reference field="4294967294" count="1" selected="0">
            <x v="0"/>
          </reference>
          <reference field="3" count="1" selected="0">
            <x v="296"/>
          </reference>
        </references>
      </pivotArea>
    </chartFormat>
    <chartFormat chart="6" format="1004">
      <pivotArea type="data" outline="0" fieldPosition="0">
        <references count="2">
          <reference field="4294967294" count="1" selected="0">
            <x v="0"/>
          </reference>
          <reference field="3" count="1" selected="0">
            <x v="386"/>
          </reference>
        </references>
      </pivotArea>
    </chartFormat>
    <chartFormat chart="6" format="1005">
      <pivotArea type="data" outline="0" fieldPosition="0">
        <references count="2">
          <reference field="4294967294" count="1" selected="0">
            <x v="0"/>
          </reference>
          <reference field="3" count="1" selected="0">
            <x v="358"/>
          </reference>
        </references>
      </pivotArea>
    </chartFormat>
    <chartFormat chart="6" format="1006">
      <pivotArea type="data" outline="0" fieldPosition="0">
        <references count="2">
          <reference field="4294967294" count="1" selected="0">
            <x v="0"/>
          </reference>
          <reference field="3" count="1" selected="0">
            <x v="231"/>
          </reference>
        </references>
      </pivotArea>
    </chartFormat>
    <chartFormat chart="6" format="1007">
      <pivotArea type="data" outline="0" fieldPosition="0">
        <references count="2">
          <reference field="4294967294" count="1" selected="0">
            <x v="0"/>
          </reference>
          <reference field="3" count="1" selected="0">
            <x v="169"/>
          </reference>
        </references>
      </pivotArea>
    </chartFormat>
    <chartFormat chart="6" format="1008">
      <pivotArea type="data" outline="0" fieldPosition="0">
        <references count="2">
          <reference field="4294967294" count="1" selected="0">
            <x v="0"/>
          </reference>
          <reference field="3" count="1" selected="0">
            <x v="446"/>
          </reference>
        </references>
      </pivotArea>
    </chartFormat>
    <chartFormat chart="6" format="1009">
      <pivotArea type="data" outline="0" fieldPosition="0">
        <references count="2">
          <reference field="4294967294" count="1" selected="0">
            <x v="0"/>
          </reference>
          <reference field="3" count="1" selected="0">
            <x v="158"/>
          </reference>
        </references>
      </pivotArea>
    </chartFormat>
    <chartFormat chart="6" format="1010">
      <pivotArea type="data" outline="0" fieldPosition="0">
        <references count="2">
          <reference field="4294967294" count="1" selected="0">
            <x v="0"/>
          </reference>
          <reference field="3" count="1" selected="0">
            <x v="415"/>
          </reference>
        </references>
      </pivotArea>
    </chartFormat>
    <chartFormat chart="6" format="1011">
      <pivotArea type="data" outline="0" fieldPosition="0">
        <references count="2">
          <reference field="4294967294" count="1" selected="0">
            <x v="0"/>
          </reference>
          <reference field="3" count="1" selected="0">
            <x v="333"/>
          </reference>
        </references>
      </pivotArea>
    </chartFormat>
    <chartFormat chart="6" format="1012">
      <pivotArea type="data" outline="0" fieldPosition="0">
        <references count="2">
          <reference field="4294967294" count="1" selected="0">
            <x v="0"/>
          </reference>
          <reference field="3" count="1" selected="0">
            <x v="488"/>
          </reference>
        </references>
      </pivotArea>
    </chartFormat>
    <chartFormat chart="6" format="1013">
      <pivotArea type="data" outline="0" fieldPosition="0">
        <references count="2">
          <reference field="4294967294" count="1" selected="0">
            <x v="0"/>
          </reference>
          <reference field="3" count="1" selected="0">
            <x v="7"/>
          </reference>
        </references>
      </pivotArea>
    </chartFormat>
    <chartFormat chart="6" format="1014">
      <pivotArea type="data" outline="0" fieldPosition="0">
        <references count="2">
          <reference field="4294967294" count="1" selected="0">
            <x v="0"/>
          </reference>
          <reference field="3" count="1" selected="0">
            <x v="455"/>
          </reference>
        </references>
      </pivotArea>
    </chartFormat>
    <chartFormat chart="6" format="1015">
      <pivotArea type="data" outline="0" fieldPosition="0">
        <references count="2">
          <reference field="4294967294" count="1" selected="0">
            <x v="0"/>
          </reference>
          <reference field="3" count="1" selected="0">
            <x v="132"/>
          </reference>
        </references>
      </pivotArea>
    </chartFormat>
    <chartFormat chart="6" format="1016">
      <pivotArea type="data" outline="0" fieldPosition="0">
        <references count="2">
          <reference field="4294967294" count="1" selected="0">
            <x v="0"/>
          </reference>
          <reference field="3" count="1" selected="0">
            <x v="217"/>
          </reference>
        </references>
      </pivotArea>
    </chartFormat>
    <chartFormat chart="6" format="1017">
      <pivotArea type="data" outline="0" fieldPosition="0">
        <references count="2">
          <reference field="4294967294" count="1" selected="0">
            <x v="0"/>
          </reference>
          <reference field="3" count="1" selected="0">
            <x v="20"/>
          </reference>
        </references>
      </pivotArea>
    </chartFormat>
    <chartFormat chart="6" format="1018">
      <pivotArea type="data" outline="0" fieldPosition="0">
        <references count="2">
          <reference field="4294967294" count="1" selected="0">
            <x v="0"/>
          </reference>
          <reference field="3" count="1" selected="0">
            <x v="11"/>
          </reference>
        </references>
      </pivotArea>
    </chartFormat>
    <chartFormat chart="6" format="1019">
      <pivotArea type="data" outline="0" fieldPosition="0">
        <references count="2">
          <reference field="4294967294" count="1" selected="0">
            <x v="0"/>
          </reference>
          <reference field="3" count="1" selected="0">
            <x v="362"/>
          </reference>
        </references>
      </pivotArea>
    </chartFormat>
    <chartFormat chart="6" format="1020">
      <pivotArea type="data" outline="0" fieldPosition="0">
        <references count="2">
          <reference field="4294967294" count="1" selected="0">
            <x v="0"/>
          </reference>
          <reference field="3" count="1" selected="0">
            <x v="400"/>
          </reference>
        </references>
      </pivotArea>
    </chartFormat>
    <chartFormat chart="6" format="1021">
      <pivotArea type="data" outline="0" fieldPosition="0">
        <references count="2">
          <reference field="4294967294" count="1" selected="0">
            <x v="0"/>
          </reference>
          <reference field="3" count="1" selected="0">
            <x v="178"/>
          </reference>
        </references>
      </pivotArea>
    </chartFormat>
    <chartFormat chart="6" format="1022">
      <pivotArea type="data" outline="0" fieldPosition="0">
        <references count="2">
          <reference field="4294967294" count="1" selected="0">
            <x v="0"/>
          </reference>
          <reference field="3" count="1" selected="0">
            <x v="14"/>
          </reference>
        </references>
      </pivotArea>
    </chartFormat>
    <chartFormat chart="6" format="1023">
      <pivotArea type="data" outline="0" fieldPosition="0">
        <references count="2">
          <reference field="4294967294" count="1" selected="0">
            <x v="0"/>
          </reference>
          <reference field="3" count="1" selected="0">
            <x v="398"/>
          </reference>
        </references>
      </pivotArea>
    </chartFormat>
    <chartFormat chart="6" format="1024">
      <pivotArea type="data" outline="0" fieldPosition="0">
        <references count="2">
          <reference field="4294967294" count="1" selected="0">
            <x v="0"/>
          </reference>
          <reference field="3" count="1" selected="0">
            <x v="41"/>
          </reference>
        </references>
      </pivotArea>
    </chartFormat>
    <chartFormat chart="6" format="1025">
      <pivotArea type="data" outline="0" fieldPosition="0">
        <references count="2">
          <reference field="4294967294" count="1" selected="0">
            <x v="0"/>
          </reference>
          <reference field="3" count="1" selected="0">
            <x v="24"/>
          </reference>
        </references>
      </pivotArea>
    </chartFormat>
    <chartFormat chart="6" format="1026">
      <pivotArea type="data" outline="0" fieldPosition="0">
        <references count="2">
          <reference field="4294967294" count="1" selected="0">
            <x v="0"/>
          </reference>
          <reference field="3" count="1" selected="0">
            <x v="115"/>
          </reference>
        </references>
      </pivotArea>
    </chartFormat>
    <chartFormat chart="6" format="1027">
      <pivotArea type="data" outline="0" fieldPosition="0">
        <references count="2">
          <reference field="4294967294" count="1" selected="0">
            <x v="0"/>
          </reference>
          <reference field="3" count="1" selected="0">
            <x v="285"/>
          </reference>
        </references>
      </pivotArea>
    </chartFormat>
    <chartFormat chart="6" format="1028">
      <pivotArea type="data" outline="0" fieldPosition="0">
        <references count="2">
          <reference field="4294967294" count="1" selected="0">
            <x v="0"/>
          </reference>
          <reference field="3" count="1" selected="0">
            <x v="404"/>
          </reference>
        </references>
      </pivotArea>
    </chartFormat>
    <chartFormat chart="6" format="1029">
      <pivotArea type="data" outline="0" fieldPosition="0">
        <references count="2">
          <reference field="4294967294" count="1" selected="0">
            <x v="0"/>
          </reference>
          <reference field="3" count="1" selected="0">
            <x v="172"/>
          </reference>
        </references>
      </pivotArea>
    </chartFormat>
    <chartFormat chart="6" format="1030">
      <pivotArea type="data" outline="0" fieldPosition="0">
        <references count="2">
          <reference field="4294967294" count="1" selected="0">
            <x v="0"/>
          </reference>
          <reference field="3" count="1" selected="0">
            <x v="302"/>
          </reference>
        </references>
      </pivotArea>
    </chartFormat>
    <chartFormat chart="6" format="1031">
      <pivotArea type="data" outline="0" fieldPosition="0">
        <references count="2">
          <reference field="4294967294" count="1" selected="0">
            <x v="0"/>
          </reference>
          <reference field="3" count="1" selected="0">
            <x v="392"/>
          </reference>
        </references>
      </pivotArea>
    </chartFormat>
    <chartFormat chart="6" format="1032">
      <pivotArea type="data" outline="0" fieldPosition="0">
        <references count="2">
          <reference field="4294967294" count="1" selected="0">
            <x v="0"/>
          </reference>
          <reference field="3" count="1" selected="0">
            <x v="297"/>
          </reference>
        </references>
      </pivotArea>
    </chartFormat>
    <chartFormat chart="6" format="1033">
      <pivotArea type="data" outline="0" fieldPosition="0">
        <references count="2">
          <reference field="4294967294" count="1" selected="0">
            <x v="0"/>
          </reference>
          <reference field="3" count="1" selected="0">
            <x v="149"/>
          </reference>
        </references>
      </pivotArea>
    </chartFormat>
    <chartFormat chart="6" format="1034">
      <pivotArea type="data" outline="0" fieldPosition="0">
        <references count="2">
          <reference field="4294967294" count="1" selected="0">
            <x v="0"/>
          </reference>
          <reference field="3" count="1" selected="0">
            <x v="299"/>
          </reference>
        </references>
      </pivotArea>
    </chartFormat>
    <chartFormat chart="6" format="1035">
      <pivotArea type="data" outline="0" fieldPosition="0">
        <references count="2">
          <reference field="4294967294" count="1" selected="0">
            <x v="0"/>
          </reference>
          <reference field="3" count="1" selected="0">
            <x v="377"/>
          </reference>
        </references>
      </pivotArea>
    </chartFormat>
    <chartFormat chart="6" format="1036">
      <pivotArea type="data" outline="0" fieldPosition="0">
        <references count="2">
          <reference field="4294967294" count="1" selected="0">
            <x v="0"/>
          </reference>
          <reference field="3" count="1" selected="0">
            <x v="369"/>
          </reference>
        </references>
      </pivotArea>
    </chartFormat>
    <chartFormat chart="6" format="1037">
      <pivotArea type="data" outline="0" fieldPosition="0">
        <references count="2">
          <reference field="4294967294" count="1" selected="0">
            <x v="0"/>
          </reference>
          <reference field="3" count="1" selected="0">
            <x v="382"/>
          </reference>
        </references>
      </pivotArea>
    </chartFormat>
    <chartFormat chart="6" format="1038">
      <pivotArea type="data" outline="0" fieldPosition="0">
        <references count="2">
          <reference field="4294967294" count="1" selected="0">
            <x v="0"/>
          </reference>
          <reference field="3" count="1" selected="0">
            <x v="45"/>
          </reference>
        </references>
      </pivotArea>
    </chartFormat>
    <chartFormat chart="6" format="1039">
      <pivotArea type="data" outline="0" fieldPosition="0">
        <references count="2">
          <reference field="4294967294" count="1" selected="0">
            <x v="0"/>
          </reference>
          <reference field="3" count="1" selected="0">
            <x v="439"/>
          </reference>
        </references>
      </pivotArea>
    </chartFormat>
    <chartFormat chart="6" format="1040">
      <pivotArea type="data" outline="0" fieldPosition="0">
        <references count="2">
          <reference field="4294967294" count="1" selected="0">
            <x v="0"/>
          </reference>
          <reference field="3" count="1" selected="0">
            <x v="66"/>
          </reference>
        </references>
      </pivotArea>
    </chartFormat>
    <chartFormat chart="6" format="1041">
      <pivotArea type="data" outline="0" fieldPosition="0">
        <references count="2">
          <reference field="4294967294" count="1" selected="0">
            <x v="0"/>
          </reference>
          <reference field="3" count="1" selected="0">
            <x v="421"/>
          </reference>
        </references>
      </pivotArea>
    </chartFormat>
    <chartFormat chart="6" format="1042">
      <pivotArea type="data" outline="0" fieldPosition="0">
        <references count="2">
          <reference field="4294967294" count="1" selected="0">
            <x v="0"/>
          </reference>
          <reference field="3" count="1" selected="0">
            <x v="295"/>
          </reference>
        </references>
      </pivotArea>
    </chartFormat>
    <chartFormat chart="6" format="1043">
      <pivotArea type="data" outline="0" fieldPosition="0">
        <references count="2">
          <reference field="4294967294" count="1" selected="0">
            <x v="0"/>
          </reference>
          <reference field="3" count="1" selected="0">
            <x v="92"/>
          </reference>
        </references>
      </pivotArea>
    </chartFormat>
    <chartFormat chart="6" format="1044">
      <pivotArea type="data" outline="0" fieldPosition="0">
        <references count="2">
          <reference field="4294967294" count="1" selected="0">
            <x v="0"/>
          </reference>
          <reference field="3" count="1" selected="0">
            <x v="202"/>
          </reference>
        </references>
      </pivotArea>
    </chartFormat>
    <chartFormat chart="6" format="1045">
      <pivotArea type="data" outline="0" fieldPosition="0">
        <references count="2">
          <reference field="4294967294" count="1" selected="0">
            <x v="0"/>
          </reference>
          <reference field="3" count="1" selected="0">
            <x v="1"/>
          </reference>
        </references>
      </pivotArea>
    </chartFormat>
    <chartFormat chart="6" format="1046">
      <pivotArea type="data" outline="0" fieldPosition="0">
        <references count="2">
          <reference field="4294967294" count="1" selected="0">
            <x v="0"/>
          </reference>
          <reference field="3" count="1" selected="0">
            <x v="97"/>
          </reference>
        </references>
      </pivotArea>
    </chartFormat>
    <chartFormat chart="6" format="1047">
      <pivotArea type="data" outline="0" fieldPosition="0">
        <references count="2">
          <reference field="4294967294" count="1" selected="0">
            <x v="0"/>
          </reference>
          <reference field="3" count="1" selected="0">
            <x v="12"/>
          </reference>
        </references>
      </pivotArea>
    </chartFormat>
    <chartFormat chart="6" format="1048">
      <pivotArea type="data" outline="0" fieldPosition="0">
        <references count="2">
          <reference field="4294967294" count="1" selected="0">
            <x v="0"/>
          </reference>
          <reference field="3" count="1" selected="0">
            <x v="460"/>
          </reference>
        </references>
      </pivotArea>
    </chartFormat>
    <chartFormat chart="6" format="1049">
      <pivotArea type="data" outline="0" fieldPosition="0">
        <references count="2">
          <reference field="4294967294" count="1" selected="0">
            <x v="0"/>
          </reference>
          <reference field="3" count="1" selected="0">
            <x v="159"/>
          </reference>
        </references>
      </pivotArea>
    </chartFormat>
    <chartFormat chart="6" format="1050">
      <pivotArea type="data" outline="0" fieldPosition="0">
        <references count="2">
          <reference field="4294967294" count="1" selected="0">
            <x v="0"/>
          </reference>
          <reference field="3" count="1" selected="0">
            <x v="176"/>
          </reference>
        </references>
      </pivotArea>
    </chartFormat>
    <chartFormat chart="6" format="1051">
      <pivotArea type="data" outline="0" fieldPosition="0">
        <references count="2">
          <reference field="4294967294" count="1" selected="0">
            <x v="0"/>
          </reference>
          <reference field="3" count="1" selected="0">
            <x v="208"/>
          </reference>
        </references>
      </pivotArea>
    </chartFormat>
    <chartFormat chart="6" format="1052">
      <pivotArea type="data" outline="0" fieldPosition="0">
        <references count="2">
          <reference field="4294967294" count="1" selected="0">
            <x v="0"/>
          </reference>
          <reference field="3" count="1" selected="0">
            <x v="88"/>
          </reference>
        </references>
      </pivotArea>
    </chartFormat>
    <chartFormat chart="6" format="1053">
      <pivotArea type="data" outline="0" fieldPosition="0">
        <references count="2">
          <reference field="4294967294" count="1" selected="0">
            <x v="0"/>
          </reference>
          <reference field="3" count="1" selected="0">
            <x v="344"/>
          </reference>
        </references>
      </pivotArea>
    </chartFormat>
    <chartFormat chart="6" format="1054">
      <pivotArea type="data" outline="0" fieldPosition="0">
        <references count="2">
          <reference field="4294967294" count="1" selected="0">
            <x v="0"/>
          </reference>
          <reference field="3" count="1" selected="0">
            <x v="356"/>
          </reference>
        </references>
      </pivotArea>
    </chartFormat>
    <chartFormat chart="6" format="1055">
      <pivotArea type="data" outline="0" fieldPosition="0">
        <references count="2">
          <reference field="4294967294" count="1" selected="0">
            <x v="0"/>
          </reference>
          <reference field="3" count="1" selected="0">
            <x v="332"/>
          </reference>
        </references>
      </pivotArea>
    </chartFormat>
    <chartFormat chart="6" format="1056">
      <pivotArea type="data" outline="0" fieldPosition="0">
        <references count="2">
          <reference field="4294967294" count="1" selected="0">
            <x v="0"/>
          </reference>
          <reference field="3" count="1" selected="0">
            <x v="290"/>
          </reference>
        </references>
      </pivotArea>
    </chartFormat>
    <chartFormat chart="6" format="1057">
      <pivotArea type="data" outline="0" fieldPosition="0">
        <references count="2">
          <reference field="4294967294" count="1" selected="0">
            <x v="0"/>
          </reference>
          <reference field="3" count="1" selected="0">
            <x v="126"/>
          </reference>
        </references>
      </pivotArea>
    </chartFormat>
    <chartFormat chart="6" format="1058">
      <pivotArea type="data" outline="0" fieldPosition="0">
        <references count="2">
          <reference field="4294967294" count="1" selected="0">
            <x v="0"/>
          </reference>
          <reference field="3" count="1" selected="0">
            <x v="348"/>
          </reference>
        </references>
      </pivotArea>
    </chartFormat>
    <chartFormat chart="6" format="1059">
      <pivotArea type="data" outline="0" fieldPosition="0">
        <references count="2">
          <reference field="4294967294" count="1" selected="0">
            <x v="0"/>
          </reference>
          <reference field="3" count="1" selected="0">
            <x v="198"/>
          </reference>
        </references>
      </pivotArea>
    </chartFormat>
    <chartFormat chart="6" format="1060">
      <pivotArea type="data" outline="0" fieldPosition="0">
        <references count="2">
          <reference field="4294967294" count="1" selected="0">
            <x v="0"/>
          </reference>
          <reference field="3" count="1" selected="0">
            <x v="279"/>
          </reference>
        </references>
      </pivotArea>
    </chartFormat>
    <chartFormat chart="6" format="1061">
      <pivotArea type="data" outline="0" fieldPosition="0">
        <references count="2">
          <reference field="4294967294" count="1" selected="0">
            <x v="0"/>
          </reference>
          <reference field="3" count="1" selected="0">
            <x v="6"/>
          </reference>
        </references>
      </pivotArea>
    </chartFormat>
    <chartFormat chart="6" format="1062">
      <pivotArea type="data" outline="0" fieldPosition="0">
        <references count="2">
          <reference field="4294967294" count="1" selected="0">
            <x v="0"/>
          </reference>
          <reference field="3" count="1" selected="0">
            <x v="82"/>
          </reference>
        </references>
      </pivotArea>
    </chartFormat>
    <chartFormat chart="6" format="1063">
      <pivotArea type="data" outline="0" fieldPosition="0">
        <references count="2">
          <reference field="4294967294" count="1" selected="0">
            <x v="0"/>
          </reference>
          <reference field="3" count="1" selected="0">
            <x v="346"/>
          </reference>
        </references>
      </pivotArea>
    </chartFormat>
    <chartFormat chart="6" format="1064">
      <pivotArea type="data" outline="0" fieldPosition="0">
        <references count="2">
          <reference field="4294967294" count="1" selected="0">
            <x v="0"/>
          </reference>
          <reference field="3" count="1" selected="0">
            <x v="150"/>
          </reference>
        </references>
      </pivotArea>
    </chartFormat>
    <chartFormat chart="6" format="1065">
      <pivotArea type="data" outline="0" fieldPosition="0">
        <references count="2">
          <reference field="4294967294" count="1" selected="0">
            <x v="0"/>
          </reference>
          <reference field="3" count="1" selected="0">
            <x v="143"/>
          </reference>
        </references>
      </pivotArea>
    </chartFormat>
    <chartFormat chart="6" format="1066">
      <pivotArea type="data" outline="0" fieldPosition="0">
        <references count="2">
          <reference field="4294967294" count="1" selected="0">
            <x v="0"/>
          </reference>
          <reference field="3" count="1" selected="0">
            <x v="338"/>
          </reference>
        </references>
      </pivotArea>
    </chartFormat>
    <chartFormat chart="6" format="1067">
      <pivotArea type="data" outline="0" fieldPosition="0">
        <references count="2">
          <reference field="4294967294" count="1" selected="0">
            <x v="0"/>
          </reference>
          <reference field="3" count="1" selected="0">
            <x v="71"/>
          </reference>
        </references>
      </pivotArea>
    </chartFormat>
    <chartFormat chart="6" format="1068">
      <pivotArea type="data" outline="0" fieldPosition="0">
        <references count="2">
          <reference field="4294967294" count="1" selected="0">
            <x v="0"/>
          </reference>
          <reference field="3" count="1" selected="0">
            <x v="364"/>
          </reference>
        </references>
      </pivotArea>
    </chartFormat>
    <chartFormat chart="6" format="1069">
      <pivotArea type="data" outline="0" fieldPosition="0">
        <references count="2">
          <reference field="4294967294" count="1" selected="0">
            <x v="0"/>
          </reference>
          <reference field="3" count="1" selected="0">
            <x v="461"/>
          </reference>
        </references>
      </pivotArea>
    </chartFormat>
    <chartFormat chart="6" format="1070">
      <pivotArea type="data" outline="0" fieldPosition="0">
        <references count="2">
          <reference field="4294967294" count="1" selected="0">
            <x v="0"/>
          </reference>
          <reference field="3" count="1" selected="0">
            <x v="215"/>
          </reference>
        </references>
      </pivotArea>
    </chartFormat>
    <chartFormat chart="6" format="1071">
      <pivotArea type="data" outline="0" fieldPosition="0">
        <references count="2">
          <reference field="4294967294" count="1" selected="0">
            <x v="0"/>
          </reference>
          <reference field="3" count="1" selected="0">
            <x v="474"/>
          </reference>
        </references>
      </pivotArea>
    </chartFormat>
    <chartFormat chart="6" format="1072">
      <pivotArea type="data" outline="0" fieldPosition="0">
        <references count="2">
          <reference field="4294967294" count="1" selected="0">
            <x v="0"/>
          </reference>
          <reference field="3" count="1" selected="0">
            <x v="77"/>
          </reference>
        </references>
      </pivotArea>
    </chartFormat>
    <chartFormat chart="6" format="1073">
      <pivotArea type="data" outline="0" fieldPosition="0">
        <references count="2">
          <reference field="4294967294" count="1" selected="0">
            <x v="0"/>
          </reference>
          <reference field="3" count="1" selected="0">
            <x v="444"/>
          </reference>
        </references>
      </pivotArea>
    </chartFormat>
    <chartFormat chart="6" format="1074">
      <pivotArea type="data" outline="0" fieldPosition="0">
        <references count="2">
          <reference field="4294967294" count="1" selected="0">
            <x v="0"/>
          </reference>
          <reference field="3" count="1" selected="0">
            <x v="229"/>
          </reference>
        </references>
      </pivotArea>
    </chartFormat>
    <chartFormat chart="6" format="1075">
      <pivotArea type="data" outline="0" fieldPosition="0">
        <references count="2">
          <reference field="4294967294" count="1" selected="0">
            <x v="0"/>
          </reference>
          <reference field="3" count="1" selected="0">
            <x v="318"/>
          </reference>
        </references>
      </pivotArea>
    </chartFormat>
    <chartFormat chart="6" format="1076">
      <pivotArea type="data" outline="0" fieldPosition="0">
        <references count="2">
          <reference field="4294967294" count="1" selected="0">
            <x v="0"/>
          </reference>
          <reference field="3" count="1" selected="0">
            <x v="117"/>
          </reference>
        </references>
      </pivotArea>
    </chartFormat>
    <chartFormat chart="6" format="1077">
      <pivotArea type="data" outline="0" fieldPosition="0">
        <references count="2">
          <reference field="4294967294" count="1" selected="0">
            <x v="0"/>
          </reference>
          <reference field="3" count="1" selected="0">
            <x v="342"/>
          </reference>
        </references>
      </pivotArea>
    </chartFormat>
    <chartFormat chart="6" format="1078">
      <pivotArea type="data" outline="0" fieldPosition="0">
        <references count="2">
          <reference field="4294967294" count="1" selected="0">
            <x v="0"/>
          </reference>
          <reference field="3" count="1" selected="0">
            <x v="411"/>
          </reference>
        </references>
      </pivotArea>
    </chartFormat>
    <chartFormat chart="6" format="1079">
      <pivotArea type="data" outline="0" fieldPosition="0">
        <references count="2">
          <reference field="4294967294" count="1" selected="0">
            <x v="0"/>
          </reference>
          <reference field="3" count="1" selected="0">
            <x v="402"/>
          </reference>
        </references>
      </pivotArea>
    </chartFormat>
    <chartFormat chart="6" format="1080">
      <pivotArea type="data" outline="0" fieldPosition="0">
        <references count="2">
          <reference field="4294967294" count="1" selected="0">
            <x v="0"/>
          </reference>
          <reference field="3" count="1" selected="0">
            <x v="30"/>
          </reference>
        </references>
      </pivotArea>
    </chartFormat>
    <chartFormat chart="6" format="1081">
      <pivotArea type="data" outline="0" fieldPosition="0">
        <references count="2">
          <reference field="4294967294" count="1" selected="0">
            <x v="0"/>
          </reference>
          <reference field="3" count="1" selected="0">
            <x v="355"/>
          </reference>
        </references>
      </pivotArea>
    </chartFormat>
    <chartFormat chart="6" format="1082">
      <pivotArea type="data" outline="0" fieldPosition="0">
        <references count="2">
          <reference field="4294967294" count="1" selected="0">
            <x v="0"/>
          </reference>
          <reference field="3" count="1" selected="0">
            <x v="384"/>
          </reference>
        </references>
      </pivotArea>
    </chartFormat>
    <chartFormat chart="6" format="1083">
      <pivotArea type="data" outline="0" fieldPosition="0">
        <references count="2">
          <reference field="4294967294" count="1" selected="0">
            <x v="0"/>
          </reference>
          <reference field="3" count="1" selected="0">
            <x v="72"/>
          </reference>
        </references>
      </pivotArea>
    </chartFormat>
    <chartFormat chart="6" format="1084">
      <pivotArea type="data" outline="0" fieldPosition="0">
        <references count="2">
          <reference field="4294967294" count="1" selected="0">
            <x v="0"/>
          </reference>
          <reference field="3" count="1" selected="0">
            <x v="56"/>
          </reference>
        </references>
      </pivotArea>
    </chartFormat>
    <chartFormat chart="6" format="1085">
      <pivotArea type="data" outline="0" fieldPosition="0">
        <references count="2">
          <reference field="4294967294" count="1" selected="0">
            <x v="0"/>
          </reference>
          <reference field="3" count="1" selected="0">
            <x v="60"/>
          </reference>
        </references>
      </pivotArea>
    </chartFormat>
    <chartFormat chart="6" format="1086">
      <pivotArea type="data" outline="0" fieldPosition="0">
        <references count="2">
          <reference field="4294967294" count="1" selected="0">
            <x v="0"/>
          </reference>
          <reference field="3" count="1" selected="0">
            <x v="329"/>
          </reference>
        </references>
      </pivotArea>
    </chartFormat>
    <chartFormat chart="6" format="1087">
      <pivotArea type="data" outline="0" fieldPosition="0">
        <references count="2">
          <reference field="4294967294" count="1" selected="0">
            <x v="0"/>
          </reference>
          <reference field="3" count="1" selected="0">
            <x v="170"/>
          </reference>
        </references>
      </pivotArea>
    </chartFormat>
    <chartFormat chart="6" format="1088">
      <pivotArea type="data" outline="0" fieldPosition="0">
        <references count="2">
          <reference field="4294967294" count="1" selected="0">
            <x v="0"/>
          </reference>
          <reference field="3" count="1" selected="0">
            <x v="322"/>
          </reference>
        </references>
      </pivotArea>
    </chartFormat>
    <chartFormat chart="6" format="1089">
      <pivotArea type="data" outline="0" fieldPosition="0">
        <references count="2">
          <reference field="4294967294" count="1" selected="0">
            <x v="0"/>
          </reference>
          <reference field="3" count="1" selected="0">
            <x v="341"/>
          </reference>
        </references>
      </pivotArea>
    </chartFormat>
    <chartFormat chart="6" format="1090">
      <pivotArea type="data" outline="0" fieldPosition="0">
        <references count="2">
          <reference field="4294967294" count="1" selected="0">
            <x v="0"/>
          </reference>
          <reference field="3" count="1" selected="0">
            <x v="224"/>
          </reference>
        </references>
      </pivotArea>
    </chartFormat>
    <chartFormat chart="6" format="1091">
      <pivotArea type="data" outline="0" fieldPosition="0">
        <references count="2">
          <reference field="4294967294" count="1" selected="0">
            <x v="0"/>
          </reference>
          <reference field="3" count="1" selected="0">
            <x v="47"/>
          </reference>
        </references>
      </pivotArea>
    </chartFormat>
    <chartFormat chart="6" format="1092">
      <pivotArea type="data" outline="0" fieldPosition="0">
        <references count="2">
          <reference field="4294967294" count="1" selected="0">
            <x v="0"/>
          </reference>
          <reference field="3" count="1" selected="0">
            <x v="433"/>
          </reference>
        </references>
      </pivotArea>
    </chartFormat>
    <chartFormat chart="6" format="1093">
      <pivotArea type="data" outline="0" fieldPosition="0">
        <references count="2">
          <reference field="4294967294" count="1" selected="0">
            <x v="0"/>
          </reference>
          <reference field="3" count="1" selected="0">
            <x v="221"/>
          </reference>
        </references>
      </pivotArea>
    </chartFormat>
    <chartFormat chart="6" format="1094">
      <pivotArea type="data" outline="0" fieldPosition="0">
        <references count="2">
          <reference field="4294967294" count="1" selected="0">
            <x v="0"/>
          </reference>
          <reference field="3" count="1" selected="0">
            <x v="335"/>
          </reference>
        </references>
      </pivotArea>
    </chartFormat>
    <chartFormat chart="6" format="1095">
      <pivotArea type="data" outline="0" fieldPosition="0">
        <references count="2">
          <reference field="4294967294" count="1" selected="0">
            <x v="0"/>
          </reference>
          <reference field="3" count="1" selected="0">
            <x v="59"/>
          </reference>
        </references>
      </pivotArea>
    </chartFormat>
    <chartFormat chart="6" format="1096">
      <pivotArea type="data" outline="0" fieldPosition="0">
        <references count="2">
          <reference field="4294967294" count="1" selected="0">
            <x v="0"/>
          </reference>
          <reference field="3" count="1" selected="0">
            <x v="320"/>
          </reference>
        </references>
      </pivotArea>
    </chartFormat>
    <chartFormat chart="6" format="1097">
      <pivotArea type="data" outline="0" fieldPosition="0">
        <references count="2">
          <reference field="4294967294" count="1" selected="0">
            <x v="0"/>
          </reference>
          <reference field="3" count="1" selected="0">
            <x v="189"/>
          </reference>
        </references>
      </pivotArea>
    </chartFormat>
    <chartFormat chart="6" format="1098">
      <pivotArea type="data" outline="0" fieldPosition="0">
        <references count="2">
          <reference field="4294967294" count="1" selected="0">
            <x v="0"/>
          </reference>
          <reference field="3" count="1" selected="0">
            <x v="300"/>
          </reference>
        </references>
      </pivotArea>
    </chartFormat>
    <chartFormat chart="6" format="1099">
      <pivotArea type="data" outline="0" fieldPosition="0">
        <references count="2">
          <reference field="4294967294" count="1" selected="0">
            <x v="0"/>
          </reference>
          <reference field="3" count="1" selected="0">
            <x v="424"/>
          </reference>
        </references>
      </pivotArea>
    </chartFormat>
    <chartFormat chart="6" format="1100">
      <pivotArea type="data" outline="0" fieldPosition="0">
        <references count="2">
          <reference field="4294967294" count="1" selected="0">
            <x v="0"/>
          </reference>
          <reference field="3" count="1" selected="0">
            <x v="175"/>
          </reference>
        </references>
      </pivotArea>
    </chartFormat>
    <chartFormat chart="6" format="1101">
      <pivotArea type="data" outline="0" fieldPosition="0">
        <references count="2">
          <reference field="4294967294" count="1" selected="0">
            <x v="0"/>
          </reference>
          <reference field="3" count="1" selected="0">
            <x v="337"/>
          </reference>
        </references>
      </pivotArea>
    </chartFormat>
    <chartFormat chart="6" format="1102">
      <pivotArea type="data" outline="0" fieldPosition="0">
        <references count="2">
          <reference field="4294967294" count="1" selected="0">
            <x v="0"/>
          </reference>
          <reference field="3" count="1" selected="0">
            <x v="214"/>
          </reference>
        </references>
      </pivotArea>
    </chartFormat>
    <chartFormat chart="0" format="274">
      <pivotArea type="data" outline="0" fieldPosition="0">
        <references count="2">
          <reference field="4294967294" count="1" selected="0">
            <x v="0"/>
          </reference>
          <reference field="3" count="1" selected="0">
            <x v="189"/>
          </reference>
        </references>
      </pivotArea>
    </chartFormat>
    <chartFormat chart="0" format="275">
      <pivotArea type="data" outline="0" fieldPosition="0">
        <references count="2">
          <reference field="4294967294" count="1" selected="0">
            <x v="0"/>
          </reference>
          <reference field="3" count="1" selected="0">
            <x v="300"/>
          </reference>
        </references>
      </pivotArea>
    </chartFormat>
    <chartFormat chart="0" format="276">
      <pivotArea type="data" outline="0" fieldPosition="0">
        <references count="2">
          <reference field="4294967294" count="1" selected="0">
            <x v="0"/>
          </reference>
          <reference field="3" count="1" selected="0">
            <x v="424"/>
          </reference>
        </references>
      </pivotArea>
    </chartFormat>
    <chartFormat chart="0" format="277">
      <pivotArea type="data" outline="0" fieldPosition="0">
        <references count="2">
          <reference field="4294967294" count="1" selected="0">
            <x v="0"/>
          </reference>
          <reference field="3" count="1" selected="0">
            <x v="175"/>
          </reference>
        </references>
      </pivotArea>
    </chartFormat>
    <chartFormat chart="0" format="278">
      <pivotArea type="data" outline="0" fieldPosition="0">
        <references count="2">
          <reference field="4294967294" count="1" selected="0">
            <x v="0"/>
          </reference>
          <reference field="3" count="1" selected="0">
            <x v="337"/>
          </reference>
        </references>
      </pivotArea>
    </chartFormat>
    <chartFormat chart="0" format="279">
      <pivotArea type="data" outline="0" fieldPosition="0">
        <references count="2">
          <reference field="4294967294" count="1" selected="0">
            <x v="0"/>
          </reference>
          <reference field="3" count="1" selected="0">
            <x v="214"/>
          </reference>
        </references>
      </pivotArea>
    </chartFormat>
    <chartFormat chart="6" format="1103">
      <pivotArea type="data" outline="0" fieldPosition="0">
        <references count="2">
          <reference field="4294967294" count="1" selected="0">
            <x v="0"/>
          </reference>
          <reference field="3" count="1" selected="0">
            <x v="19"/>
          </reference>
        </references>
      </pivotArea>
    </chartFormat>
    <chartFormat chart="6" format="1104">
      <pivotArea type="data" outline="0" fieldPosition="0">
        <references count="2">
          <reference field="4294967294" count="1" selected="0">
            <x v="0"/>
          </reference>
          <reference field="3" count="1" selected="0">
            <x v="75"/>
          </reference>
        </references>
      </pivotArea>
    </chartFormat>
    <chartFormat chart="6" format="1105">
      <pivotArea type="data" outline="0" fieldPosition="0">
        <references count="2">
          <reference field="4294967294" count="1" selected="0">
            <x v="0"/>
          </reference>
          <reference field="3" count="1" selected="0">
            <x v="253"/>
          </reference>
        </references>
      </pivotArea>
    </chartFormat>
    <chartFormat chart="6" format="1106">
      <pivotArea type="data" outline="0" fieldPosition="0">
        <references count="2">
          <reference field="4294967294" count="1" selected="0">
            <x v="0"/>
          </reference>
          <reference field="3" count="1" selected="0">
            <x v="239"/>
          </reference>
        </references>
      </pivotArea>
    </chartFormat>
    <chartFormat chart="0" format="280">
      <pivotArea type="data" outline="0" fieldPosition="0">
        <references count="2">
          <reference field="4294967294" count="1" selected="0">
            <x v="0"/>
          </reference>
          <reference field="3" count="1" selected="0">
            <x v="19"/>
          </reference>
        </references>
      </pivotArea>
    </chartFormat>
    <chartFormat chart="0" format="281">
      <pivotArea type="data" outline="0" fieldPosition="0">
        <references count="2">
          <reference field="4294967294" count="1" selected="0">
            <x v="0"/>
          </reference>
          <reference field="3" count="1" selected="0">
            <x v="75"/>
          </reference>
        </references>
      </pivotArea>
    </chartFormat>
    <chartFormat chart="0" format="282">
      <pivotArea type="data" outline="0" fieldPosition="0">
        <references count="2">
          <reference field="4294967294" count="1" selected="0">
            <x v="0"/>
          </reference>
          <reference field="3" count="1" selected="0">
            <x v="253"/>
          </reference>
        </references>
      </pivotArea>
    </chartFormat>
    <chartFormat chart="0" format="283">
      <pivotArea type="data" outline="0" fieldPosition="0">
        <references count="2">
          <reference field="4294967294" count="1" selected="0">
            <x v="0"/>
          </reference>
          <reference field="3" count="1" selected="0">
            <x v="239"/>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B39" firstHeaderRow="1" firstDataRow="1" firstDataCol="1"/>
  <pivotFields count="11">
    <pivotField numFmtId="164" showAll="0"/>
    <pivotField showAll="0"/>
    <pivotField showAll="0">
      <items count="5">
        <item x="0"/>
        <item h="1" x="1"/>
        <item h="1" x="2"/>
        <item h="1" x="3"/>
        <item t="default"/>
      </items>
    </pivotField>
    <pivotField showAll="0"/>
    <pivotField axis="axisRow" showAll="0">
      <items count="46">
        <item x="24"/>
        <item x="9"/>
        <item x="10"/>
        <item x="3"/>
        <item x="31"/>
        <item x="33"/>
        <item x="5"/>
        <item x="11"/>
        <item x="7"/>
        <item x="43"/>
        <item x="1"/>
        <item x="18"/>
        <item x="23"/>
        <item x="38"/>
        <item x="27"/>
        <item x="6"/>
        <item x="25"/>
        <item x="28"/>
        <item x="14"/>
        <item x="22"/>
        <item x="26"/>
        <item x="34"/>
        <item x="35"/>
        <item x="40"/>
        <item x="12"/>
        <item x="30"/>
        <item x="17"/>
        <item x="36"/>
        <item x="13"/>
        <item x="21"/>
        <item x="42"/>
        <item x="19"/>
        <item x="39"/>
        <item x="8"/>
        <item x="2"/>
        <item x="44"/>
        <item x="20"/>
        <item x="32"/>
        <item x="37"/>
        <item x="0"/>
        <item x="29"/>
        <item x="41"/>
        <item x="4"/>
        <item x="16"/>
        <item x="15"/>
        <item t="default"/>
      </items>
    </pivotField>
    <pivotField showAll="0"/>
    <pivotField showAll="0"/>
    <pivotField showAll="0"/>
    <pivotField dataField="1" showAll="0"/>
    <pivotField showAll="0"/>
    <pivotField showAll="0"/>
  </pivotFields>
  <rowFields count="1">
    <field x="4"/>
  </rowFields>
  <rowItems count="36">
    <i>
      <x/>
    </i>
    <i>
      <x v="1"/>
    </i>
    <i>
      <x v="2"/>
    </i>
    <i>
      <x v="3"/>
    </i>
    <i>
      <x v="4"/>
    </i>
    <i>
      <x v="6"/>
    </i>
    <i>
      <x v="7"/>
    </i>
    <i>
      <x v="8"/>
    </i>
    <i>
      <x v="10"/>
    </i>
    <i>
      <x v="11"/>
    </i>
    <i>
      <x v="12"/>
    </i>
    <i>
      <x v="14"/>
    </i>
    <i>
      <x v="15"/>
    </i>
    <i>
      <x v="16"/>
    </i>
    <i>
      <x v="17"/>
    </i>
    <i>
      <x v="18"/>
    </i>
    <i>
      <x v="19"/>
    </i>
    <i>
      <x v="20"/>
    </i>
    <i>
      <x v="24"/>
    </i>
    <i>
      <x v="25"/>
    </i>
    <i>
      <x v="26"/>
    </i>
    <i>
      <x v="28"/>
    </i>
    <i>
      <x v="29"/>
    </i>
    <i>
      <x v="31"/>
    </i>
    <i>
      <x v="32"/>
    </i>
    <i>
      <x v="33"/>
    </i>
    <i>
      <x v="34"/>
    </i>
    <i>
      <x v="35"/>
    </i>
    <i>
      <x v="36"/>
    </i>
    <i>
      <x v="38"/>
    </i>
    <i>
      <x v="39"/>
    </i>
    <i>
      <x v="40"/>
    </i>
    <i>
      <x v="42"/>
    </i>
    <i>
      <x v="43"/>
    </i>
    <i>
      <x v="44"/>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numFmtId="164"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numFmtId="164"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Sales"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
    <pivotField showAll="0"/>
    <pivotField dataField="1" showAll="0"/>
  </pivotFields>
  <rowItems count="1">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PivotTable11"/>
    <pivotTable tabId="4" name="PivotTable6"/>
    <pivotTable tabId="6" name="PivotTable10"/>
    <pivotTable tabId="8" name="PivotTable12"/>
    <pivotTable tabId="9" name="PivotTable13"/>
  </pivotTables>
  <data>
    <tabular pivotCacheId="2065158794">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style="SlicerStyleDark3" rowHeight="225425"/>
</slicers>
</file>

<file path=xl/tables/table1.xml><?xml version="1.0" encoding="utf-8"?>
<table xmlns="http://schemas.openxmlformats.org/spreadsheetml/2006/main" id="1" name="Table1" displayName="Table1" ref="A1:K759" totalsRowShown="0" headerRowDxfId="13" dataDxfId="12">
  <autoFilter ref="A1:K759"/>
  <tableColumns count="11">
    <tableColumn id="1" name="Order Date" dataDxfId="11"/>
    <tableColumn id="10" name="Month" dataDxfId="10">
      <calculatedColumnFormula>TEXT(Table1[[#This Row],[Order Date]],"MMM")</calculatedColumnFormula>
    </tableColumn>
    <tableColumn id="11" name="Year" dataDxfId="9">
      <calculatedColumnFormula>TEXT(A2,"YYY")</calculatedColumnFormula>
    </tableColumn>
    <tableColumn id="2" name="Customer Name" dataDxfId="8"/>
    <tableColumn id="3" name="State" dataDxfId="7"/>
    <tableColumn id="4" name="Category" dataDxfId="6"/>
    <tableColumn id="5" name="Sub-Category" dataDxfId="5"/>
    <tableColumn id="6" name="Product Name" dataDxfId="4"/>
    <tableColumn id="7" name="Sales" dataDxfId="3"/>
    <tableColumn id="8" name="Quantity" dataDxfId="2"/>
    <tableColumn id="9" name="Profit" dataDxfId="1"/>
  </tableColumns>
  <tableStyleInfo name="TableStyleMedium3" showFirstColumn="0" showLastColumn="0" showRowStripes="1" showColumnStripes="0"/>
</table>
</file>

<file path=xl/tables/table2.xml><?xml version="1.0" encoding="utf-8"?>
<table xmlns="http://schemas.openxmlformats.org/spreadsheetml/2006/main" id="3" name="Table3" displayName="Table3" ref="A1:B669" totalsRowShown="0">
  <autoFilter ref="A1:B669"/>
  <tableColumns count="2">
    <tableColumn id="1" name="Year"/>
    <tableColumn id="2" name="Customer nam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994"/>
  <sheetViews>
    <sheetView topLeftCell="E1" workbookViewId="0">
      <selection activeCell="M14" sqref="M14"/>
    </sheetView>
  </sheetViews>
  <sheetFormatPr defaultColWidth="12.5703125" defaultRowHeight="15.75" customHeight="1" x14ac:dyDescent="0.2"/>
  <cols>
    <col min="1" max="1" width="12.5703125" style="3"/>
    <col min="2" max="2" width="16.5703125" customWidth="1"/>
    <col min="5" max="5" width="14.42578125" customWidth="1"/>
    <col min="6" max="6" width="15" customWidth="1"/>
  </cols>
  <sheetData>
    <row r="1" spans="1:11" ht="15.75" customHeight="1" x14ac:dyDescent="0.2">
      <c r="A1" s="4" t="s">
        <v>0</v>
      </c>
      <c r="B1" s="5" t="s">
        <v>1330</v>
      </c>
      <c r="C1" s="4" t="s">
        <v>1348</v>
      </c>
      <c r="D1" s="1" t="s">
        <v>1</v>
      </c>
      <c r="E1" s="1" t="s">
        <v>2</v>
      </c>
      <c r="F1" s="1" t="s">
        <v>3</v>
      </c>
      <c r="G1" s="1" t="s">
        <v>4</v>
      </c>
      <c r="H1" s="1" t="s">
        <v>5</v>
      </c>
      <c r="I1" s="6" t="s">
        <v>6</v>
      </c>
      <c r="J1" s="6" t="s">
        <v>7</v>
      </c>
      <c r="K1" s="7" t="s">
        <v>8</v>
      </c>
    </row>
    <row r="2" spans="1:11" ht="15.75" customHeight="1" x14ac:dyDescent="0.2">
      <c r="A2" s="2">
        <v>41641</v>
      </c>
      <c r="B2" s="2" t="str">
        <f>TEXT(Table1[[#This Row],[Order Date]],"MMM")</f>
        <v>Jan</v>
      </c>
      <c r="C2" s="2" t="str">
        <f>TEXT(A2,"YYY")</f>
        <v>2014</v>
      </c>
      <c r="D2" s="1" t="s">
        <v>9</v>
      </c>
      <c r="E2" s="1" t="s">
        <v>10</v>
      </c>
      <c r="F2" s="1" t="s">
        <v>11</v>
      </c>
      <c r="G2" s="1" t="s">
        <v>12</v>
      </c>
      <c r="H2" s="1" t="s">
        <v>13</v>
      </c>
      <c r="I2" s="1">
        <v>16.45</v>
      </c>
      <c r="J2" s="1">
        <v>2</v>
      </c>
      <c r="K2" s="1">
        <v>5.55</v>
      </c>
    </row>
    <row r="3" spans="1:11" ht="15.75" customHeight="1" x14ac:dyDescent="0.2">
      <c r="A3" s="2">
        <v>41642</v>
      </c>
      <c r="B3" s="2" t="str">
        <f>TEXT(Table1[[#This Row],[Order Date]],"MMM")</f>
        <v>Jan</v>
      </c>
      <c r="C3" s="2" t="str">
        <f t="shared" ref="C3:C64" si="0">TEXT(A3,"YYY")</f>
        <v>2014</v>
      </c>
      <c r="D3" s="1" t="s">
        <v>14</v>
      </c>
      <c r="E3" s="1" t="s">
        <v>15</v>
      </c>
      <c r="F3" s="1" t="s">
        <v>11</v>
      </c>
      <c r="G3" s="1" t="s">
        <v>16</v>
      </c>
      <c r="H3" s="1" t="s">
        <v>17</v>
      </c>
      <c r="I3" s="1">
        <v>11.78</v>
      </c>
      <c r="J3" s="1">
        <v>3</v>
      </c>
      <c r="K3" s="1">
        <v>4.2699999999999996</v>
      </c>
    </row>
    <row r="4" spans="1:11" ht="15.75" customHeight="1" x14ac:dyDescent="0.2">
      <c r="A4" s="2">
        <v>41643</v>
      </c>
      <c r="B4" s="2" t="str">
        <f>TEXT(Table1[[#This Row],[Order Date]],"MMM")</f>
        <v>Jan</v>
      </c>
      <c r="C4" s="2" t="str">
        <f t="shared" si="0"/>
        <v>2014</v>
      </c>
      <c r="D4" s="1" t="s">
        <v>22</v>
      </c>
      <c r="E4" s="1" t="s">
        <v>23</v>
      </c>
      <c r="F4" s="1" t="s">
        <v>11</v>
      </c>
      <c r="G4" s="1" t="s">
        <v>24</v>
      </c>
      <c r="H4" s="1" t="s">
        <v>25</v>
      </c>
      <c r="I4" s="1">
        <v>19.54</v>
      </c>
      <c r="J4" s="1">
        <v>3</v>
      </c>
      <c r="K4" s="1">
        <v>4.88</v>
      </c>
    </row>
    <row r="5" spans="1:11" ht="15.75" customHeight="1" x14ac:dyDescent="0.2">
      <c r="A5" s="2">
        <v>41646</v>
      </c>
      <c r="B5" s="2" t="str">
        <f>TEXT(Table1[[#This Row],[Order Date]],"MMM")</f>
        <v>Jan</v>
      </c>
      <c r="C5" s="2" t="str">
        <f t="shared" si="0"/>
        <v>2014</v>
      </c>
      <c r="D5" s="1" t="s">
        <v>26</v>
      </c>
      <c r="E5" s="1" t="s">
        <v>27</v>
      </c>
      <c r="F5" s="1" t="s">
        <v>11</v>
      </c>
      <c r="G5" s="1" t="s">
        <v>12</v>
      </c>
      <c r="H5" s="1" t="s">
        <v>28</v>
      </c>
      <c r="I5" s="1">
        <v>19.440000000000001</v>
      </c>
      <c r="J5" s="1">
        <v>3</v>
      </c>
      <c r="K5" s="1">
        <v>9.33</v>
      </c>
    </row>
    <row r="6" spans="1:11" ht="15.75" customHeight="1" x14ac:dyDescent="0.2">
      <c r="A6" s="2">
        <v>41647</v>
      </c>
      <c r="B6" s="2" t="str">
        <f>TEXT(Table1[[#This Row],[Order Date]],"MMM")</f>
        <v>Jan</v>
      </c>
      <c r="C6" s="2" t="str">
        <f t="shared" si="0"/>
        <v>2014</v>
      </c>
      <c r="D6" s="1" t="s">
        <v>43</v>
      </c>
      <c r="E6" s="1" t="s">
        <v>10</v>
      </c>
      <c r="F6" s="1" t="s">
        <v>33</v>
      </c>
      <c r="G6" s="1" t="s">
        <v>44</v>
      </c>
      <c r="H6" s="1" t="s">
        <v>45</v>
      </c>
      <c r="I6" s="1">
        <v>76.73</v>
      </c>
      <c r="J6" s="1">
        <v>3</v>
      </c>
      <c r="K6" s="1">
        <v>-53.71</v>
      </c>
    </row>
    <row r="7" spans="1:11" ht="15.75" customHeight="1" x14ac:dyDescent="0.2">
      <c r="A7" s="2">
        <v>41648</v>
      </c>
      <c r="B7" s="2" t="str">
        <f>TEXT(Table1[[#This Row],[Order Date]],"MMM")</f>
        <v>Jan</v>
      </c>
      <c r="C7" s="2" t="str">
        <f t="shared" si="0"/>
        <v>2014</v>
      </c>
      <c r="D7" s="1" t="s">
        <v>46</v>
      </c>
      <c r="E7" s="1" t="s">
        <v>10</v>
      </c>
      <c r="F7" s="1" t="s">
        <v>11</v>
      </c>
      <c r="G7" s="1" t="s">
        <v>24</v>
      </c>
      <c r="H7" s="1" t="s">
        <v>47</v>
      </c>
      <c r="I7" s="1">
        <v>9.34</v>
      </c>
      <c r="J7" s="1">
        <v>2</v>
      </c>
      <c r="K7" s="1">
        <v>1.17</v>
      </c>
    </row>
    <row r="8" spans="1:11" ht="15.75" customHeight="1" x14ac:dyDescent="0.2">
      <c r="A8" s="2">
        <v>41650</v>
      </c>
      <c r="B8" s="2" t="str">
        <f>TEXT(Table1[[#This Row],[Order Date]],"MMM")</f>
        <v>Jan</v>
      </c>
      <c r="C8" s="2" t="str">
        <f t="shared" si="0"/>
        <v>2014</v>
      </c>
      <c r="D8" s="1" t="s">
        <v>50</v>
      </c>
      <c r="E8" s="1" t="s">
        <v>51</v>
      </c>
      <c r="F8" s="1" t="s">
        <v>11</v>
      </c>
      <c r="G8" s="1" t="s">
        <v>16</v>
      </c>
      <c r="H8" s="1" t="s">
        <v>52</v>
      </c>
      <c r="I8" s="1">
        <v>2.89</v>
      </c>
      <c r="J8" s="1">
        <v>1</v>
      </c>
      <c r="K8" s="1">
        <v>1.36</v>
      </c>
    </row>
    <row r="9" spans="1:11" ht="15.75" customHeight="1" x14ac:dyDescent="0.2">
      <c r="A9" s="2">
        <v>41651</v>
      </c>
      <c r="B9" s="2" t="str">
        <f>TEXT(Table1[[#This Row],[Order Date]],"MMM")</f>
        <v>Jan</v>
      </c>
      <c r="C9" s="2" t="str">
        <f t="shared" si="0"/>
        <v>2014</v>
      </c>
      <c r="D9" s="1" t="s">
        <v>53</v>
      </c>
      <c r="E9" s="1" t="s">
        <v>54</v>
      </c>
      <c r="F9" s="1" t="s">
        <v>33</v>
      </c>
      <c r="G9" s="1" t="s">
        <v>44</v>
      </c>
      <c r="H9" s="1" t="s">
        <v>55</v>
      </c>
      <c r="I9" s="1">
        <v>9.94</v>
      </c>
      <c r="J9" s="1">
        <v>2</v>
      </c>
      <c r="K9" s="1">
        <v>3.08</v>
      </c>
    </row>
    <row r="10" spans="1:11" ht="15.75" customHeight="1" x14ac:dyDescent="0.2">
      <c r="A10" s="2">
        <v>41672</v>
      </c>
      <c r="B10" s="2" t="str">
        <f>TEXT(Table1[[#This Row],[Order Date]],"MMM")</f>
        <v>Feb</v>
      </c>
      <c r="C10" s="2" t="str">
        <f t="shared" si="0"/>
        <v>2014</v>
      </c>
      <c r="D10" s="1" t="s">
        <v>56</v>
      </c>
      <c r="E10" s="1" t="s">
        <v>57</v>
      </c>
      <c r="F10" s="1" t="s">
        <v>11</v>
      </c>
      <c r="G10" s="1" t="s">
        <v>58</v>
      </c>
      <c r="H10" s="1" t="s">
        <v>59</v>
      </c>
      <c r="I10" s="1">
        <v>11.36</v>
      </c>
      <c r="J10" s="1">
        <v>2</v>
      </c>
      <c r="K10" s="1">
        <v>5.34</v>
      </c>
    </row>
    <row r="11" spans="1:11" ht="15.75" customHeight="1" x14ac:dyDescent="0.2">
      <c r="A11" s="2">
        <v>41674</v>
      </c>
      <c r="B11" s="2" t="str">
        <f>TEXT(Table1[[#This Row],[Order Date]],"MMM")</f>
        <v>Feb</v>
      </c>
      <c r="C11" s="2" t="str">
        <f t="shared" si="0"/>
        <v>2014</v>
      </c>
      <c r="D11" s="1" t="s">
        <v>70</v>
      </c>
      <c r="E11" s="1" t="s">
        <v>23</v>
      </c>
      <c r="F11" s="1" t="s">
        <v>33</v>
      </c>
      <c r="G11" s="1" t="s">
        <v>65</v>
      </c>
      <c r="H11" s="1" t="s">
        <v>71</v>
      </c>
      <c r="I11" s="1">
        <v>61.96</v>
      </c>
      <c r="J11" s="1">
        <v>4</v>
      </c>
      <c r="K11" s="1">
        <v>-53.29</v>
      </c>
    </row>
    <row r="12" spans="1:11" ht="15.75" customHeight="1" x14ac:dyDescent="0.2">
      <c r="A12" s="2">
        <v>41675</v>
      </c>
      <c r="B12" s="2" t="str">
        <f>TEXT(Table1[[#This Row],[Order Date]],"MMM")</f>
        <v>Feb</v>
      </c>
      <c r="C12" s="2" t="str">
        <f t="shared" si="0"/>
        <v>2014</v>
      </c>
      <c r="D12" s="1" t="s">
        <v>72</v>
      </c>
      <c r="E12" s="1" t="s">
        <v>30</v>
      </c>
      <c r="F12" s="1" t="s">
        <v>38</v>
      </c>
      <c r="G12" s="1" t="s">
        <v>48</v>
      </c>
      <c r="H12" s="1" t="s">
        <v>73</v>
      </c>
      <c r="I12" s="1">
        <v>149.94999999999999</v>
      </c>
      <c r="J12" s="1">
        <v>5</v>
      </c>
      <c r="K12" s="1">
        <v>65.98</v>
      </c>
    </row>
    <row r="13" spans="1:11" ht="15.75" customHeight="1" x14ac:dyDescent="0.2">
      <c r="A13" s="2">
        <v>41676</v>
      </c>
      <c r="B13" s="2" t="str">
        <f>TEXT(Table1[[#This Row],[Order Date]],"MMM")</f>
        <v>Feb</v>
      </c>
      <c r="C13" s="2" t="str">
        <f t="shared" si="0"/>
        <v>2014</v>
      </c>
      <c r="D13" s="1" t="s">
        <v>74</v>
      </c>
      <c r="E13" s="1" t="s">
        <v>23</v>
      </c>
      <c r="F13" s="1" t="s">
        <v>33</v>
      </c>
      <c r="G13" s="1" t="s">
        <v>44</v>
      </c>
      <c r="H13" s="1" t="s">
        <v>75</v>
      </c>
      <c r="I13" s="1">
        <v>127.1</v>
      </c>
      <c r="J13" s="1">
        <v>6</v>
      </c>
      <c r="K13" s="1">
        <v>28.6</v>
      </c>
    </row>
    <row r="14" spans="1:11" ht="15.75" customHeight="1" x14ac:dyDescent="0.2">
      <c r="A14" s="2">
        <v>41678</v>
      </c>
      <c r="B14" s="2" t="str">
        <f>TEXT(Table1[[#This Row],[Order Date]],"MMM")</f>
        <v>Feb</v>
      </c>
      <c r="C14" s="2" t="str">
        <f t="shared" si="0"/>
        <v>2014</v>
      </c>
      <c r="D14" s="1" t="s">
        <v>81</v>
      </c>
      <c r="E14" s="1" t="s">
        <v>82</v>
      </c>
      <c r="F14" s="1" t="s">
        <v>11</v>
      </c>
      <c r="G14" s="1" t="s">
        <v>20</v>
      </c>
      <c r="H14" s="1" t="s">
        <v>83</v>
      </c>
      <c r="I14" s="1">
        <v>32.340000000000003</v>
      </c>
      <c r="J14" s="1">
        <v>10</v>
      </c>
      <c r="K14" s="1">
        <v>-23.72</v>
      </c>
    </row>
    <row r="15" spans="1:11" ht="15.75" customHeight="1" x14ac:dyDescent="0.2">
      <c r="A15" s="2">
        <v>41679</v>
      </c>
      <c r="B15" s="2" t="str">
        <f>TEXT(Table1[[#This Row],[Order Date]],"MMM")</f>
        <v>Feb</v>
      </c>
      <c r="C15" s="2" t="str">
        <f t="shared" si="0"/>
        <v>2014</v>
      </c>
      <c r="D15" s="1" t="s">
        <v>85</v>
      </c>
      <c r="E15" s="1" t="s">
        <v>86</v>
      </c>
      <c r="F15" s="1" t="s">
        <v>38</v>
      </c>
      <c r="G15" s="1" t="s">
        <v>39</v>
      </c>
      <c r="H15" s="1" t="s">
        <v>87</v>
      </c>
      <c r="I15" s="1">
        <v>699.93</v>
      </c>
      <c r="J15" s="1">
        <v>7</v>
      </c>
      <c r="K15" s="1">
        <v>181.98</v>
      </c>
    </row>
    <row r="16" spans="1:11" ht="15.75" customHeight="1" x14ac:dyDescent="0.2">
      <c r="A16" s="2">
        <v>41680</v>
      </c>
      <c r="B16" s="2" t="str">
        <f>TEXT(Table1[[#This Row],[Order Date]],"MMM")</f>
        <v>Feb</v>
      </c>
      <c r="C16" s="2" t="str">
        <f t="shared" si="0"/>
        <v>2014</v>
      </c>
      <c r="D16" s="1" t="s">
        <v>99</v>
      </c>
      <c r="E16" s="1" t="s">
        <v>100</v>
      </c>
      <c r="F16" s="1" t="s">
        <v>33</v>
      </c>
      <c r="G16" s="1" t="s">
        <v>44</v>
      </c>
      <c r="H16" s="1" t="s">
        <v>101</v>
      </c>
      <c r="I16" s="1">
        <v>25.25</v>
      </c>
      <c r="J16" s="1">
        <v>3</v>
      </c>
      <c r="K16" s="1">
        <v>4.0999999999999996</v>
      </c>
    </row>
    <row r="17" spans="1:11" ht="15.75" customHeight="1" x14ac:dyDescent="0.2">
      <c r="A17" s="2">
        <v>41681</v>
      </c>
      <c r="B17" s="2" t="str">
        <f>TEXT(Table1[[#This Row],[Order Date]],"MMM")</f>
        <v>Feb</v>
      </c>
      <c r="C17" s="2" t="str">
        <f t="shared" si="0"/>
        <v>2014</v>
      </c>
      <c r="D17" s="1" t="s">
        <v>102</v>
      </c>
      <c r="E17" s="1" t="s">
        <v>103</v>
      </c>
      <c r="F17" s="1" t="s">
        <v>11</v>
      </c>
      <c r="G17" s="1" t="s">
        <v>12</v>
      </c>
      <c r="H17" s="1" t="s">
        <v>104</v>
      </c>
      <c r="I17" s="1">
        <v>40.08</v>
      </c>
      <c r="J17" s="1">
        <v>6</v>
      </c>
      <c r="K17" s="1">
        <v>19.239999999999998</v>
      </c>
    </row>
    <row r="18" spans="1:11" ht="15.75" customHeight="1" x14ac:dyDescent="0.2">
      <c r="A18" s="2">
        <v>41699</v>
      </c>
      <c r="B18" s="2" t="str">
        <f>TEXT(Table1[[#This Row],[Order Date]],"MMM")</f>
        <v>Mar</v>
      </c>
      <c r="C18" s="2" t="str">
        <f t="shared" si="0"/>
        <v>2014</v>
      </c>
      <c r="D18" s="1" t="s">
        <v>107</v>
      </c>
      <c r="E18" s="1" t="s">
        <v>51</v>
      </c>
      <c r="F18" s="1" t="s">
        <v>33</v>
      </c>
      <c r="G18" s="1" t="s">
        <v>44</v>
      </c>
      <c r="H18" s="1" t="s">
        <v>108</v>
      </c>
      <c r="I18" s="1">
        <v>62.82</v>
      </c>
      <c r="J18" s="1">
        <v>3</v>
      </c>
      <c r="K18" s="1">
        <v>30.78</v>
      </c>
    </row>
    <row r="19" spans="1:11" ht="12.75" x14ac:dyDescent="0.2">
      <c r="A19" s="2">
        <v>41700</v>
      </c>
      <c r="B19" s="2" t="str">
        <f>TEXT(Table1[[#This Row],[Order Date]],"MMM")</f>
        <v>Mar</v>
      </c>
      <c r="C19" s="2" t="str">
        <f t="shared" si="0"/>
        <v>2014</v>
      </c>
      <c r="D19" s="1" t="s">
        <v>115</v>
      </c>
      <c r="E19" s="1" t="s">
        <v>27</v>
      </c>
      <c r="F19" s="1" t="s">
        <v>11</v>
      </c>
      <c r="G19" s="1" t="s">
        <v>18</v>
      </c>
      <c r="H19" s="1" t="s">
        <v>116</v>
      </c>
      <c r="I19" s="1">
        <v>57.23</v>
      </c>
      <c r="J19" s="1">
        <v>1</v>
      </c>
      <c r="K19" s="1">
        <v>14.31</v>
      </c>
    </row>
    <row r="20" spans="1:11" ht="12.75" x14ac:dyDescent="0.2">
      <c r="A20" s="2">
        <v>41703</v>
      </c>
      <c r="B20" s="2" t="str">
        <f>TEXT(Table1[[#This Row],[Order Date]],"MMM")</f>
        <v>Mar</v>
      </c>
      <c r="C20" s="2" t="str">
        <f t="shared" si="0"/>
        <v>2014</v>
      </c>
      <c r="D20" s="1" t="s">
        <v>118</v>
      </c>
      <c r="E20" s="1" t="s">
        <v>119</v>
      </c>
      <c r="F20" s="1" t="s">
        <v>11</v>
      </c>
      <c r="G20" s="1" t="s">
        <v>20</v>
      </c>
      <c r="H20" s="1" t="s">
        <v>120</v>
      </c>
      <c r="I20" s="1">
        <v>3.93</v>
      </c>
      <c r="J20" s="1">
        <v>1</v>
      </c>
      <c r="K20" s="1">
        <v>1.33</v>
      </c>
    </row>
    <row r="21" spans="1:11" ht="12.75" x14ac:dyDescent="0.2">
      <c r="A21" s="2">
        <v>41704</v>
      </c>
      <c r="B21" s="2" t="str">
        <f>TEXT(Table1[[#This Row],[Order Date]],"MMM")</f>
        <v>Mar</v>
      </c>
      <c r="C21" s="2" t="str">
        <f t="shared" si="0"/>
        <v>2014</v>
      </c>
      <c r="D21" s="1" t="s">
        <v>121</v>
      </c>
      <c r="E21" s="1" t="s">
        <v>93</v>
      </c>
      <c r="F21" s="1" t="s">
        <v>11</v>
      </c>
      <c r="G21" s="1" t="s">
        <v>12</v>
      </c>
      <c r="H21" s="1" t="s">
        <v>122</v>
      </c>
      <c r="I21" s="1">
        <v>10.56</v>
      </c>
      <c r="J21" s="1">
        <v>2</v>
      </c>
      <c r="K21" s="1">
        <v>4.75</v>
      </c>
    </row>
    <row r="22" spans="1:11" ht="12.75" x14ac:dyDescent="0.2">
      <c r="A22" s="2">
        <v>41706</v>
      </c>
      <c r="B22" s="2" t="str">
        <f>TEXT(Table1[[#This Row],[Order Date]],"MMM")</f>
        <v>Mar</v>
      </c>
      <c r="C22" s="2" t="str">
        <f t="shared" si="0"/>
        <v>2014</v>
      </c>
      <c r="D22" s="1" t="s">
        <v>123</v>
      </c>
      <c r="E22" s="1" t="s">
        <v>27</v>
      </c>
      <c r="F22" s="1" t="s">
        <v>33</v>
      </c>
      <c r="G22" s="1" t="s">
        <v>65</v>
      </c>
      <c r="H22" s="1" t="s">
        <v>124</v>
      </c>
      <c r="I22" s="1">
        <v>290.67</v>
      </c>
      <c r="J22" s="1">
        <v>2</v>
      </c>
      <c r="K22" s="1">
        <v>3.42</v>
      </c>
    </row>
    <row r="23" spans="1:11" ht="12.75" x14ac:dyDescent="0.2">
      <c r="A23" s="2">
        <v>41707</v>
      </c>
      <c r="B23" s="2" t="str">
        <f>TEXT(Table1[[#This Row],[Order Date]],"MMM")</f>
        <v>Mar</v>
      </c>
      <c r="C23" s="2" t="str">
        <f t="shared" si="0"/>
        <v>2014</v>
      </c>
      <c r="D23" s="1" t="s">
        <v>125</v>
      </c>
      <c r="E23" s="1" t="s">
        <v>126</v>
      </c>
      <c r="F23" s="1" t="s">
        <v>38</v>
      </c>
      <c r="G23" s="1" t="s">
        <v>48</v>
      </c>
      <c r="H23" s="1" t="s">
        <v>127</v>
      </c>
      <c r="I23" s="1">
        <v>468.9</v>
      </c>
      <c r="J23" s="1">
        <v>6</v>
      </c>
      <c r="K23" s="1">
        <v>206.32</v>
      </c>
    </row>
    <row r="24" spans="1:11" ht="12.75" x14ac:dyDescent="0.2">
      <c r="A24" s="2">
        <v>41709</v>
      </c>
      <c r="B24" s="2" t="str">
        <f>TEXT(Table1[[#This Row],[Order Date]],"MMM")</f>
        <v>Mar</v>
      </c>
      <c r="C24" s="2" t="str">
        <f t="shared" si="0"/>
        <v>2014</v>
      </c>
      <c r="D24" s="1" t="s">
        <v>128</v>
      </c>
      <c r="E24" s="1" t="s">
        <v>27</v>
      </c>
      <c r="F24" s="1" t="s">
        <v>11</v>
      </c>
      <c r="G24" s="1" t="s">
        <v>42</v>
      </c>
      <c r="H24" s="1" t="s">
        <v>129</v>
      </c>
      <c r="I24" s="1">
        <v>12.35</v>
      </c>
      <c r="J24" s="1">
        <v>5</v>
      </c>
      <c r="K24" s="1">
        <v>5.8</v>
      </c>
    </row>
    <row r="25" spans="1:11" ht="12.75" x14ac:dyDescent="0.2">
      <c r="A25" s="2">
        <v>41710</v>
      </c>
      <c r="B25" s="2" t="str">
        <f>TEXT(Table1[[#This Row],[Order Date]],"MMM")</f>
        <v>Mar</v>
      </c>
      <c r="C25" s="2" t="str">
        <f t="shared" si="0"/>
        <v>2014</v>
      </c>
      <c r="D25" s="1" t="s">
        <v>99</v>
      </c>
      <c r="E25" s="1" t="s">
        <v>133</v>
      </c>
      <c r="F25" s="1" t="s">
        <v>11</v>
      </c>
      <c r="G25" s="1" t="s">
        <v>20</v>
      </c>
      <c r="H25" s="1" t="s">
        <v>134</v>
      </c>
      <c r="I25" s="1">
        <v>83.84</v>
      </c>
      <c r="J25" s="1">
        <v>2</v>
      </c>
      <c r="K25" s="1">
        <v>27.25</v>
      </c>
    </row>
    <row r="26" spans="1:11" ht="12.75" x14ac:dyDescent="0.2">
      <c r="A26" s="2">
        <v>41730</v>
      </c>
      <c r="B26" s="2" t="str">
        <f>TEXT(Table1[[#This Row],[Order Date]],"MMM")</f>
        <v>Apr</v>
      </c>
      <c r="C26" s="2" t="str">
        <f t="shared" si="0"/>
        <v>2014</v>
      </c>
      <c r="D26" s="1" t="s">
        <v>135</v>
      </c>
      <c r="E26" s="1" t="s">
        <v>27</v>
      </c>
      <c r="F26" s="1" t="s">
        <v>11</v>
      </c>
      <c r="G26" s="1" t="s">
        <v>20</v>
      </c>
      <c r="H26" s="1" t="s">
        <v>136</v>
      </c>
      <c r="I26" s="1">
        <v>82.9</v>
      </c>
      <c r="J26" s="1">
        <v>3</v>
      </c>
      <c r="K26" s="1">
        <v>29.01</v>
      </c>
    </row>
    <row r="27" spans="1:11" ht="12.75" x14ac:dyDescent="0.2">
      <c r="A27" s="2">
        <v>41731</v>
      </c>
      <c r="B27" s="2" t="str">
        <f>TEXT(Table1[[#This Row],[Order Date]],"MMM")</f>
        <v>Apr</v>
      </c>
      <c r="C27" s="2" t="str">
        <f t="shared" si="0"/>
        <v>2014</v>
      </c>
      <c r="D27" s="1" t="s">
        <v>137</v>
      </c>
      <c r="E27" s="1" t="s">
        <v>51</v>
      </c>
      <c r="F27" s="1" t="s">
        <v>11</v>
      </c>
      <c r="G27" s="1" t="s">
        <v>16</v>
      </c>
      <c r="H27" s="1" t="s">
        <v>138</v>
      </c>
      <c r="I27" s="1">
        <v>15</v>
      </c>
      <c r="J27" s="1">
        <v>4</v>
      </c>
      <c r="K27" s="1">
        <v>7.2</v>
      </c>
    </row>
    <row r="28" spans="1:11" ht="12.75" x14ac:dyDescent="0.2">
      <c r="A28" s="2">
        <v>41732</v>
      </c>
      <c r="B28" s="2" t="str">
        <f>TEXT(Table1[[#This Row],[Order Date]],"MMM")</f>
        <v>Apr</v>
      </c>
      <c r="C28" s="2" t="str">
        <f t="shared" si="0"/>
        <v>2014</v>
      </c>
      <c r="D28" s="1" t="s">
        <v>140</v>
      </c>
      <c r="E28" s="1" t="s">
        <v>141</v>
      </c>
      <c r="F28" s="1" t="s">
        <v>38</v>
      </c>
      <c r="G28" s="1" t="s">
        <v>48</v>
      </c>
      <c r="H28" s="1" t="s">
        <v>142</v>
      </c>
      <c r="I28" s="1">
        <v>115.36</v>
      </c>
      <c r="J28" s="1">
        <v>7</v>
      </c>
      <c r="K28" s="1">
        <v>49.6</v>
      </c>
    </row>
    <row r="29" spans="1:11" ht="12.75" x14ac:dyDescent="0.2">
      <c r="A29" s="2">
        <v>41733</v>
      </c>
      <c r="B29" s="2" t="str">
        <f>TEXT(Table1[[#This Row],[Order Date]],"MMM")</f>
        <v>Apr</v>
      </c>
      <c r="C29" s="2" t="str">
        <f t="shared" si="0"/>
        <v>2014</v>
      </c>
      <c r="D29" s="1" t="s">
        <v>143</v>
      </c>
      <c r="E29" s="1" t="s">
        <v>103</v>
      </c>
      <c r="F29" s="1" t="s">
        <v>33</v>
      </c>
      <c r="G29" s="1" t="s">
        <v>44</v>
      </c>
      <c r="H29" s="1" t="s">
        <v>144</v>
      </c>
      <c r="I29" s="1">
        <v>14.56</v>
      </c>
      <c r="J29" s="1">
        <v>2</v>
      </c>
      <c r="K29" s="1">
        <v>5.53</v>
      </c>
    </row>
    <row r="30" spans="1:11" ht="12.75" x14ac:dyDescent="0.2">
      <c r="A30" s="2">
        <v>41734</v>
      </c>
      <c r="B30" s="2" t="str">
        <f>TEXT(Table1[[#This Row],[Order Date]],"MMM")</f>
        <v>Apr</v>
      </c>
      <c r="C30" s="2" t="str">
        <f t="shared" si="0"/>
        <v>2014</v>
      </c>
      <c r="D30" s="1" t="s">
        <v>152</v>
      </c>
      <c r="E30" s="1" t="s">
        <v>27</v>
      </c>
      <c r="F30" s="1" t="s">
        <v>33</v>
      </c>
      <c r="G30" s="1" t="s">
        <v>34</v>
      </c>
      <c r="H30" s="1" t="s">
        <v>153</v>
      </c>
      <c r="I30" s="1">
        <v>129.57</v>
      </c>
      <c r="J30" s="1">
        <v>2</v>
      </c>
      <c r="K30" s="1">
        <v>-24.29</v>
      </c>
    </row>
    <row r="31" spans="1:11" ht="12.75" x14ac:dyDescent="0.2">
      <c r="A31" s="2">
        <v>41735</v>
      </c>
      <c r="B31" s="2" t="str">
        <f>TEXT(Table1[[#This Row],[Order Date]],"MMM")</f>
        <v>Apr</v>
      </c>
      <c r="C31" s="2" t="str">
        <f t="shared" si="0"/>
        <v>2014</v>
      </c>
      <c r="D31" s="1" t="s">
        <v>154</v>
      </c>
      <c r="E31" s="1" t="s">
        <v>10</v>
      </c>
      <c r="F31" s="1" t="s">
        <v>11</v>
      </c>
      <c r="G31" s="1" t="s">
        <v>12</v>
      </c>
      <c r="H31" s="1" t="s">
        <v>155</v>
      </c>
      <c r="I31" s="1">
        <v>16.18</v>
      </c>
      <c r="J31" s="1">
        <v>3</v>
      </c>
      <c r="K31" s="1">
        <v>6.07</v>
      </c>
    </row>
    <row r="32" spans="1:11" ht="12.75" x14ac:dyDescent="0.2">
      <c r="A32" s="2">
        <v>41736</v>
      </c>
      <c r="B32" s="2" t="str">
        <f>TEXT(Table1[[#This Row],[Order Date]],"MMM")</f>
        <v>Apr</v>
      </c>
      <c r="C32" s="2" t="str">
        <f t="shared" si="0"/>
        <v>2014</v>
      </c>
      <c r="D32" s="1" t="s">
        <v>159</v>
      </c>
      <c r="E32" s="1" t="s">
        <v>133</v>
      </c>
      <c r="F32" s="1" t="s">
        <v>11</v>
      </c>
      <c r="G32" s="1" t="s">
        <v>20</v>
      </c>
      <c r="H32" s="1" t="s">
        <v>160</v>
      </c>
      <c r="I32" s="1">
        <v>21.36</v>
      </c>
      <c r="J32" s="1">
        <v>5</v>
      </c>
      <c r="K32" s="1">
        <v>7.21</v>
      </c>
    </row>
    <row r="33" spans="1:11" ht="12.75" x14ac:dyDescent="0.2">
      <c r="A33" s="2">
        <v>41737</v>
      </c>
      <c r="B33" s="2" t="str">
        <f>TEXT(Table1[[#This Row],[Order Date]],"MMM")</f>
        <v>Apr</v>
      </c>
      <c r="C33" s="2" t="str">
        <f t="shared" si="0"/>
        <v>2014</v>
      </c>
      <c r="D33" s="1" t="s">
        <v>161</v>
      </c>
      <c r="E33" s="1" t="s">
        <v>10</v>
      </c>
      <c r="F33" s="1" t="s">
        <v>11</v>
      </c>
      <c r="G33" s="1" t="s">
        <v>20</v>
      </c>
      <c r="H33" s="1" t="s">
        <v>162</v>
      </c>
      <c r="I33" s="1">
        <v>1.08</v>
      </c>
      <c r="J33" s="1">
        <v>3</v>
      </c>
      <c r="K33" s="1">
        <v>-1.73</v>
      </c>
    </row>
    <row r="34" spans="1:11" ht="12.75" x14ac:dyDescent="0.2">
      <c r="A34" s="2">
        <v>41739</v>
      </c>
      <c r="B34" s="2" t="str">
        <f>TEXT(Table1[[#This Row],[Order Date]],"MMM")</f>
        <v>Apr</v>
      </c>
      <c r="C34" s="2" t="str">
        <f t="shared" si="0"/>
        <v>2014</v>
      </c>
      <c r="D34" s="1" t="s">
        <v>74</v>
      </c>
      <c r="E34" s="1" t="s">
        <v>15</v>
      </c>
      <c r="F34" s="1" t="s">
        <v>11</v>
      </c>
      <c r="G34" s="1" t="s">
        <v>24</v>
      </c>
      <c r="H34" s="1" t="s">
        <v>164</v>
      </c>
      <c r="I34" s="1">
        <v>54.21</v>
      </c>
      <c r="J34" s="1">
        <v>14</v>
      </c>
      <c r="K34" s="1">
        <v>8.81</v>
      </c>
    </row>
    <row r="35" spans="1:11" ht="12.75" x14ac:dyDescent="0.2">
      <c r="A35" s="2">
        <v>41740</v>
      </c>
      <c r="B35" s="2" t="str">
        <f>TEXT(Table1[[#This Row],[Order Date]],"MMM")</f>
        <v>Apr</v>
      </c>
      <c r="C35" s="2" t="str">
        <f t="shared" si="0"/>
        <v>2014</v>
      </c>
      <c r="D35" s="1" t="s">
        <v>165</v>
      </c>
      <c r="E35" s="1" t="s">
        <v>10</v>
      </c>
      <c r="F35" s="1" t="s">
        <v>33</v>
      </c>
      <c r="G35" s="1" t="s">
        <v>44</v>
      </c>
      <c r="H35" s="1" t="s">
        <v>166</v>
      </c>
      <c r="I35" s="1">
        <v>25.16</v>
      </c>
      <c r="J35" s="1">
        <v>5</v>
      </c>
      <c r="K35" s="1">
        <v>-11.32</v>
      </c>
    </row>
    <row r="36" spans="1:11" ht="12.75" x14ac:dyDescent="0.2">
      <c r="A36" s="2">
        <v>41741</v>
      </c>
      <c r="B36" s="2" t="str">
        <f>TEXT(Table1[[#This Row],[Order Date]],"MMM")</f>
        <v>Apr</v>
      </c>
      <c r="C36" s="2" t="str">
        <f t="shared" si="0"/>
        <v>2014</v>
      </c>
      <c r="D36" s="1" t="s">
        <v>168</v>
      </c>
      <c r="E36" s="1" t="s">
        <v>106</v>
      </c>
      <c r="F36" s="1" t="s">
        <v>38</v>
      </c>
      <c r="G36" s="1" t="s">
        <v>48</v>
      </c>
      <c r="H36" s="1" t="s">
        <v>169</v>
      </c>
      <c r="I36" s="1">
        <v>62.31</v>
      </c>
      <c r="J36" s="1">
        <v>3</v>
      </c>
      <c r="K36" s="1">
        <v>22.43</v>
      </c>
    </row>
    <row r="37" spans="1:11" ht="12.75" x14ac:dyDescent="0.2">
      <c r="A37" s="2">
        <v>41760</v>
      </c>
      <c r="B37" s="2" t="str">
        <f>TEXT(Table1[[#This Row],[Order Date]],"MMM")</f>
        <v>May</v>
      </c>
      <c r="C37" s="2" t="str">
        <f t="shared" si="0"/>
        <v>2014</v>
      </c>
      <c r="D37" s="1" t="s">
        <v>172</v>
      </c>
      <c r="E37" s="1" t="s">
        <v>15</v>
      </c>
      <c r="F37" s="1" t="s">
        <v>11</v>
      </c>
      <c r="G37" s="1" t="s">
        <v>20</v>
      </c>
      <c r="H37" s="1" t="s">
        <v>21</v>
      </c>
      <c r="I37" s="1">
        <v>8.85</v>
      </c>
      <c r="J37" s="1">
        <v>5</v>
      </c>
      <c r="K37" s="1">
        <v>-13.72</v>
      </c>
    </row>
    <row r="38" spans="1:11" ht="12.75" x14ac:dyDescent="0.2">
      <c r="A38" s="2">
        <v>41762</v>
      </c>
      <c r="B38" s="2" t="str">
        <f>TEXT(Table1[[#This Row],[Order Date]],"MMM")</f>
        <v>May</v>
      </c>
      <c r="C38" s="2" t="str">
        <f t="shared" si="0"/>
        <v>2014</v>
      </c>
      <c r="D38" s="1" t="s">
        <v>174</v>
      </c>
      <c r="E38" s="1" t="s">
        <v>10</v>
      </c>
      <c r="F38" s="1" t="s">
        <v>11</v>
      </c>
      <c r="G38" s="1" t="s">
        <v>16</v>
      </c>
      <c r="H38" s="1" t="s">
        <v>175</v>
      </c>
      <c r="I38" s="1">
        <v>6.94</v>
      </c>
      <c r="J38" s="1">
        <v>3</v>
      </c>
      <c r="K38" s="1">
        <v>2.34</v>
      </c>
    </row>
    <row r="39" spans="1:11" ht="12.75" x14ac:dyDescent="0.2">
      <c r="A39" s="2">
        <v>41763</v>
      </c>
      <c r="B39" s="2" t="str">
        <f>TEXT(Table1[[#This Row],[Order Date]],"MMM")</f>
        <v>May</v>
      </c>
      <c r="C39" s="2" t="str">
        <f t="shared" si="0"/>
        <v>2014</v>
      </c>
      <c r="D39" s="1" t="s">
        <v>177</v>
      </c>
      <c r="E39" s="1" t="s">
        <v>68</v>
      </c>
      <c r="F39" s="1" t="s">
        <v>11</v>
      </c>
      <c r="G39" s="1" t="s">
        <v>24</v>
      </c>
      <c r="H39" s="1" t="s">
        <v>178</v>
      </c>
      <c r="I39" s="1">
        <v>19.46</v>
      </c>
      <c r="J39" s="1">
        <v>4</v>
      </c>
      <c r="K39" s="1">
        <v>3.4</v>
      </c>
    </row>
    <row r="40" spans="1:11" ht="12.75" x14ac:dyDescent="0.2">
      <c r="A40" s="2">
        <v>41764</v>
      </c>
      <c r="B40" s="2" t="str">
        <f>TEXT(Table1[[#This Row],[Order Date]],"MMM")</f>
        <v>May</v>
      </c>
      <c r="C40" s="2" t="str">
        <f t="shared" si="0"/>
        <v>2014</v>
      </c>
      <c r="D40" s="1" t="s">
        <v>179</v>
      </c>
      <c r="E40" s="1" t="s">
        <v>133</v>
      </c>
      <c r="F40" s="1" t="s">
        <v>33</v>
      </c>
      <c r="G40" s="1" t="s">
        <v>34</v>
      </c>
      <c r="H40" s="1" t="s">
        <v>35</v>
      </c>
      <c r="I40" s="1">
        <v>457.57</v>
      </c>
      <c r="J40" s="1">
        <v>2</v>
      </c>
      <c r="K40" s="1">
        <v>51.48</v>
      </c>
    </row>
    <row r="41" spans="1:11" ht="12.75" x14ac:dyDescent="0.2">
      <c r="A41" s="2">
        <v>41766</v>
      </c>
      <c r="B41" s="2" t="str">
        <f>TEXT(Table1[[#This Row],[Order Date]],"MMM")</f>
        <v>May</v>
      </c>
      <c r="C41" s="2" t="str">
        <f t="shared" si="0"/>
        <v>2014</v>
      </c>
      <c r="D41" s="1" t="s">
        <v>189</v>
      </c>
      <c r="E41" s="1" t="s">
        <v>63</v>
      </c>
      <c r="F41" s="1" t="s">
        <v>11</v>
      </c>
      <c r="G41" s="1" t="s">
        <v>18</v>
      </c>
      <c r="H41" s="1" t="s">
        <v>190</v>
      </c>
      <c r="I41" s="1">
        <v>354.9</v>
      </c>
      <c r="J41" s="1">
        <v>5</v>
      </c>
      <c r="K41" s="1">
        <v>17.75</v>
      </c>
    </row>
    <row r="42" spans="1:11" ht="12.75" x14ac:dyDescent="0.2">
      <c r="A42" s="2">
        <v>41767</v>
      </c>
      <c r="B42" s="2" t="str">
        <f>TEXT(Table1[[#This Row],[Order Date]],"MMM")</f>
        <v>May</v>
      </c>
      <c r="C42" s="2" t="str">
        <f t="shared" si="0"/>
        <v>2014</v>
      </c>
      <c r="D42" s="1" t="s">
        <v>191</v>
      </c>
      <c r="E42" s="1" t="s">
        <v>119</v>
      </c>
      <c r="F42" s="1" t="s">
        <v>11</v>
      </c>
      <c r="G42" s="1" t="s">
        <v>24</v>
      </c>
      <c r="H42" s="1" t="s">
        <v>192</v>
      </c>
      <c r="I42" s="1">
        <v>59.52</v>
      </c>
      <c r="J42" s="1">
        <v>3</v>
      </c>
      <c r="K42" s="1">
        <v>15.48</v>
      </c>
    </row>
    <row r="43" spans="1:11" ht="12.75" x14ac:dyDescent="0.2">
      <c r="A43" s="2">
        <v>41769</v>
      </c>
      <c r="B43" s="2" t="str">
        <f>TEXT(Table1[[#This Row],[Order Date]],"MMM")</f>
        <v>May</v>
      </c>
      <c r="C43" s="2" t="str">
        <f t="shared" si="0"/>
        <v>2014</v>
      </c>
      <c r="D43" s="1" t="s">
        <v>167</v>
      </c>
      <c r="E43" s="1" t="s">
        <v>133</v>
      </c>
      <c r="F43" s="1" t="s">
        <v>33</v>
      </c>
      <c r="G43" s="1" t="s">
        <v>34</v>
      </c>
      <c r="H43" s="1" t="s">
        <v>193</v>
      </c>
      <c r="I43" s="1">
        <v>48.71</v>
      </c>
      <c r="J43" s="1">
        <v>1</v>
      </c>
      <c r="K43" s="1">
        <v>5.48</v>
      </c>
    </row>
    <row r="44" spans="1:11" ht="12.75" x14ac:dyDescent="0.2">
      <c r="A44" s="2">
        <v>41770</v>
      </c>
      <c r="B44" s="2" t="str">
        <f>TEXT(Table1[[#This Row],[Order Date]],"MMM")</f>
        <v>May</v>
      </c>
      <c r="C44" s="2" t="str">
        <f t="shared" si="0"/>
        <v>2014</v>
      </c>
      <c r="D44" s="1" t="s">
        <v>196</v>
      </c>
      <c r="E44" s="1" t="s">
        <v>93</v>
      </c>
      <c r="F44" s="1" t="s">
        <v>11</v>
      </c>
      <c r="G44" s="1" t="s">
        <v>12</v>
      </c>
      <c r="H44" s="1" t="s">
        <v>197</v>
      </c>
      <c r="I44" s="1">
        <v>22.38</v>
      </c>
      <c r="J44" s="1">
        <v>2</v>
      </c>
      <c r="K44" s="1">
        <v>10.74</v>
      </c>
    </row>
    <row r="45" spans="1:11" ht="12.75" x14ac:dyDescent="0.2">
      <c r="A45" s="2">
        <v>41771</v>
      </c>
      <c r="B45" s="2" t="str">
        <f>TEXT(Table1[[#This Row],[Order Date]],"MMM")</f>
        <v>May</v>
      </c>
      <c r="C45" s="2" t="str">
        <f t="shared" si="0"/>
        <v>2014</v>
      </c>
      <c r="D45" s="1" t="s">
        <v>201</v>
      </c>
      <c r="E45" s="1" t="s">
        <v>68</v>
      </c>
      <c r="F45" s="1" t="s">
        <v>33</v>
      </c>
      <c r="G45" s="1" t="s">
        <v>44</v>
      </c>
      <c r="H45" s="1" t="s">
        <v>202</v>
      </c>
      <c r="I45" s="1">
        <v>8.32</v>
      </c>
      <c r="J45" s="1">
        <v>5</v>
      </c>
      <c r="K45" s="1">
        <v>2.29</v>
      </c>
    </row>
    <row r="46" spans="1:11" ht="12.75" x14ac:dyDescent="0.2">
      <c r="A46" s="2">
        <v>41791</v>
      </c>
      <c r="B46" s="2" t="str">
        <f>TEXT(Table1[[#This Row],[Order Date]],"MMM")</f>
        <v>Jun</v>
      </c>
      <c r="C46" s="2" t="str">
        <f t="shared" si="0"/>
        <v>2014</v>
      </c>
      <c r="D46" s="1" t="s">
        <v>215</v>
      </c>
      <c r="E46" s="1" t="s">
        <v>100</v>
      </c>
      <c r="F46" s="1" t="s">
        <v>11</v>
      </c>
      <c r="G46" s="1" t="s">
        <v>18</v>
      </c>
      <c r="H46" s="1" t="s">
        <v>216</v>
      </c>
      <c r="I46" s="1">
        <v>142.78</v>
      </c>
      <c r="J46" s="1">
        <v>1</v>
      </c>
      <c r="K46" s="1">
        <v>17.850000000000001</v>
      </c>
    </row>
    <row r="47" spans="1:11" ht="12.75" x14ac:dyDescent="0.2">
      <c r="A47" s="2">
        <v>41792</v>
      </c>
      <c r="B47" s="2" t="str">
        <f>TEXT(Table1[[#This Row],[Order Date]],"MMM")</f>
        <v>Jun</v>
      </c>
      <c r="C47" s="2" t="str">
        <f t="shared" si="0"/>
        <v>2014</v>
      </c>
      <c r="D47" s="1" t="s">
        <v>183</v>
      </c>
      <c r="E47" s="1" t="s">
        <v>186</v>
      </c>
      <c r="F47" s="1" t="s">
        <v>38</v>
      </c>
      <c r="G47" s="1" t="s">
        <v>39</v>
      </c>
      <c r="H47" s="1" t="s">
        <v>218</v>
      </c>
      <c r="I47" s="1">
        <v>471.92</v>
      </c>
      <c r="J47" s="1">
        <v>2</v>
      </c>
      <c r="K47" s="1">
        <v>29.5</v>
      </c>
    </row>
    <row r="48" spans="1:11" ht="12.75" x14ac:dyDescent="0.2">
      <c r="A48" s="2">
        <v>41794</v>
      </c>
      <c r="B48" s="2" t="str">
        <f>TEXT(Table1[[#This Row],[Order Date]],"MMM")</f>
        <v>Jun</v>
      </c>
      <c r="C48" s="2" t="str">
        <f t="shared" si="0"/>
        <v>2014</v>
      </c>
      <c r="D48" s="1" t="s">
        <v>219</v>
      </c>
      <c r="E48" s="1" t="s">
        <v>220</v>
      </c>
      <c r="F48" s="1" t="s">
        <v>11</v>
      </c>
      <c r="G48" s="1" t="s">
        <v>80</v>
      </c>
      <c r="H48" s="1" t="s">
        <v>221</v>
      </c>
      <c r="I48" s="1">
        <v>93.78</v>
      </c>
      <c r="J48" s="1">
        <v>2</v>
      </c>
      <c r="K48" s="1">
        <v>36.57</v>
      </c>
    </row>
    <row r="49" spans="1:11" ht="12.75" x14ac:dyDescent="0.2">
      <c r="A49" s="2">
        <v>41795</v>
      </c>
      <c r="B49" s="2" t="str">
        <f>TEXT(Table1[[#This Row],[Order Date]],"MMM")</f>
        <v>Jun</v>
      </c>
      <c r="C49" s="2" t="str">
        <f t="shared" si="0"/>
        <v>2014</v>
      </c>
      <c r="D49" s="1" t="s">
        <v>230</v>
      </c>
      <c r="E49" s="1" t="s">
        <v>100</v>
      </c>
      <c r="F49" s="1" t="s">
        <v>38</v>
      </c>
      <c r="G49" s="1" t="s">
        <v>213</v>
      </c>
      <c r="H49" s="1" t="s">
        <v>214</v>
      </c>
      <c r="I49" s="1">
        <v>821.3</v>
      </c>
      <c r="J49" s="1">
        <v>4</v>
      </c>
      <c r="K49" s="1">
        <v>-16.43</v>
      </c>
    </row>
    <row r="50" spans="1:11" ht="12.75" x14ac:dyDescent="0.2">
      <c r="A50" s="2">
        <v>41796</v>
      </c>
      <c r="B50" s="2" t="str">
        <f>TEXT(Table1[[#This Row],[Order Date]],"MMM")</f>
        <v>Jun</v>
      </c>
      <c r="C50" s="2" t="str">
        <f t="shared" si="0"/>
        <v>2014</v>
      </c>
      <c r="D50" s="1" t="s">
        <v>234</v>
      </c>
      <c r="E50" s="1" t="s">
        <v>100</v>
      </c>
      <c r="F50" s="1" t="s">
        <v>38</v>
      </c>
      <c r="G50" s="1" t="s">
        <v>39</v>
      </c>
      <c r="H50" s="1" t="s">
        <v>235</v>
      </c>
      <c r="I50" s="1">
        <v>323.98</v>
      </c>
      <c r="J50" s="1">
        <v>3</v>
      </c>
      <c r="K50" s="1">
        <v>28.35</v>
      </c>
    </row>
    <row r="51" spans="1:11" ht="12.75" x14ac:dyDescent="0.2">
      <c r="A51" s="2">
        <v>41797</v>
      </c>
      <c r="B51" s="2" t="str">
        <f>TEXT(Table1[[#This Row],[Order Date]],"MMM")</f>
        <v>Jun</v>
      </c>
      <c r="C51" s="2" t="str">
        <f t="shared" si="0"/>
        <v>2014</v>
      </c>
      <c r="D51" s="1" t="s">
        <v>237</v>
      </c>
      <c r="E51" s="1" t="s">
        <v>68</v>
      </c>
      <c r="F51" s="1" t="s">
        <v>11</v>
      </c>
      <c r="G51" s="1" t="s">
        <v>24</v>
      </c>
      <c r="H51" s="1" t="s">
        <v>238</v>
      </c>
      <c r="I51" s="1">
        <v>7.41</v>
      </c>
      <c r="J51" s="1">
        <v>2</v>
      </c>
      <c r="K51" s="1">
        <v>1.2</v>
      </c>
    </row>
    <row r="52" spans="1:11" ht="12.75" x14ac:dyDescent="0.2">
      <c r="A52" s="2">
        <v>41798</v>
      </c>
      <c r="B52" s="2" t="str">
        <f>TEXT(Table1[[#This Row],[Order Date]],"MMM")</f>
        <v>Jun</v>
      </c>
      <c r="C52" s="2" t="str">
        <f t="shared" si="0"/>
        <v>2014</v>
      </c>
      <c r="D52" s="1" t="s">
        <v>244</v>
      </c>
      <c r="E52" s="1" t="s">
        <v>186</v>
      </c>
      <c r="F52" s="1" t="s">
        <v>11</v>
      </c>
      <c r="G52" s="1" t="s">
        <v>20</v>
      </c>
      <c r="H52" s="1" t="s">
        <v>245</v>
      </c>
      <c r="I52" s="1">
        <v>7.64</v>
      </c>
      <c r="J52" s="1">
        <v>4</v>
      </c>
      <c r="K52" s="1">
        <v>-5.86</v>
      </c>
    </row>
    <row r="53" spans="1:11" ht="12.75" x14ac:dyDescent="0.2">
      <c r="A53" s="2">
        <v>41800</v>
      </c>
      <c r="B53" s="2" t="str">
        <f>TEXT(Table1[[#This Row],[Order Date]],"MMM")</f>
        <v>Jun</v>
      </c>
      <c r="C53" s="2" t="str">
        <f t="shared" si="0"/>
        <v>2014</v>
      </c>
      <c r="D53" s="1" t="s">
        <v>247</v>
      </c>
      <c r="E53" s="1" t="s">
        <v>27</v>
      </c>
      <c r="F53" s="1" t="s">
        <v>11</v>
      </c>
      <c r="G53" s="1" t="s">
        <v>18</v>
      </c>
      <c r="H53" s="1" t="s">
        <v>248</v>
      </c>
      <c r="I53" s="1">
        <v>330.4</v>
      </c>
      <c r="J53" s="1">
        <v>2</v>
      </c>
      <c r="K53" s="1">
        <v>85.9</v>
      </c>
    </row>
    <row r="54" spans="1:11" ht="12.75" x14ac:dyDescent="0.2">
      <c r="A54" s="2">
        <v>41801</v>
      </c>
      <c r="B54" s="2" t="str">
        <f>TEXT(Table1[[#This Row],[Order Date]],"MMM")</f>
        <v>Jun</v>
      </c>
      <c r="C54" s="2" t="str">
        <f t="shared" si="0"/>
        <v>2014</v>
      </c>
      <c r="D54" s="1" t="s">
        <v>251</v>
      </c>
      <c r="E54" s="1" t="s">
        <v>119</v>
      </c>
      <c r="F54" s="1" t="s">
        <v>11</v>
      </c>
      <c r="G54" s="1" t="s">
        <v>12</v>
      </c>
      <c r="H54" s="1" t="s">
        <v>252</v>
      </c>
      <c r="I54" s="1">
        <v>24.9</v>
      </c>
      <c r="J54" s="1">
        <v>5</v>
      </c>
      <c r="K54" s="1">
        <v>11.7</v>
      </c>
    </row>
    <row r="55" spans="1:11" ht="12.75" x14ac:dyDescent="0.2">
      <c r="A55" s="2">
        <v>41802</v>
      </c>
      <c r="B55" s="2" t="str">
        <f>TEXT(Table1[[#This Row],[Order Date]],"MMM")</f>
        <v>Jun</v>
      </c>
      <c r="C55" s="2" t="str">
        <f t="shared" si="0"/>
        <v>2014</v>
      </c>
      <c r="D55" s="1" t="s">
        <v>225</v>
      </c>
      <c r="E55" s="1" t="s">
        <v>119</v>
      </c>
      <c r="F55" s="1" t="s">
        <v>33</v>
      </c>
      <c r="G55" s="1" t="s">
        <v>34</v>
      </c>
      <c r="H55" s="1" t="s">
        <v>254</v>
      </c>
      <c r="I55" s="1">
        <v>366.79</v>
      </c>
      <c r="J55" s="1">
        <v>7</v>
      </c>
      <c r="K55" s="1">
        <v>65.209999999999994</v>
      </c>
    </row>
    <row r="56" spans="1:11" ht="12.75" x14ac:dyDescent="0.2">
      <c r="A56" s="2">
        <v>41821</v>
      </c>
      <c r="B56" s="2" t="str">
        <f>TEXT(Table1[[#This Row],[Order Date]],"MMM")</f>
        <v>Jul</v>
      </c>
      <c r="C56" s="2" t="str">
        <f t="shared" si="0"/>
        <v>2014</v>
      </c>
      <c r="D56" s="1" t="s">
        <v>256</v>
      </c>
      <c r="E56" s="1" t="s">
        <v>27</v>
      </c>
      <c r="F56" s="1" t="s">
        <v>38</v>
      </c>
      <c r="G56" s="1" t="s">
        <v>48</v>
      </c>
      <c r="H56" s="1" t="s">
        <v>257</v>
      </c>
      <c r="I56" s="1">
        <v>66.3</v>
      </c>
      <c r="J56" s="1">
        <v>3</v>
      </c>
      <c r="K56" s="1">
        <v>8.6199999999999992</v>
      </c>
    </row>
    <row r="57" spans="1:11" ht="12.75" x14ac:dyDescent="0.2">
      <c r="A57" s="2">
        <v>41822</v>
      </c>
      <c r="B57" s="2" t="str">
        <f>TEXT(Table1[[#This Row],[Order Date]],"MMM")</f>
        <v>Jul</v>
      </c>
      <c r="C57" s="2" t="str">
        <f t="shared" si="0"/>
        <v>2014</v>
      </c>
      <c r="D57" s="1" t="s">
        <v>260</v>
      </c>
      <c r="E57" s="1" t="s">
        <v>261</v>
      </c>
      <c r="F57" s="1" t="s">
        <v>11</v>
      </c>
      <c r="G57" s="1" t="s">
        <v>58</v>
      </c>
      <c r="H57" s="1" t="s">
        <v>262</v>
      </c>
      <c r="I57" s="1">
        <v>6.12</v>
      </c>
      <c r="J57" s="1">
        <v>3</v>
      </c>
      <c r="K57" s="1">
        <v>2.88</v>
      </c>
    </row>
    <row r="58" spans="1:11" ht="12.75" x14ac:dyDescent="0.2">
      <c r="A58" s="2">
        <v>41823</v>
      </c>
      <c r="B58" s="2" t="str">
        <f>TEXT(Table1[[#This Row],[Order Date]],"MMM")</f>
        <v>Jul</v>
      </c>
      <c r="C58" s="2" t="str">
        <f t="shared" si="0"/>
        <v>2014</v>
      </c>
      <c r="D58" s="1" t="s">
        <v>267</v>
      </c>
      <c r="E58" s="1" t="s">
        <v>10</v>
      </c>
      <c r="F58" s="1" t="s">
        <v>33</v>
      </c>
      <c r="G58" s="1" t="s">
        <v>117</v>
      </c>
      <c r="H58" s="1" t="s">
        <v>268</v>
      </c>
      <c r="I58" s="1">
        <v>890.84</v>
      </c>
      <c r="J58" s="1">
        <v>3</v>
      </c>
      <c r="K58" s="1">
        <v>-152.72</v>
      </c>
    </row>
    <row r="59" spans="1:11" ht="12.75" x14ac:dyDescent="0.2">
      <c r="A59" s="2">
        <v>41824</v>
      </c>
      <c r="B59" s="2" t="str">
        <f>TEXT(Table1[[#This Row],[Order Date]],"MMM")</f>
        <v>Jul</v>
      </c>
      <c r="C59" s="2" t="str">
        <f t="shared" si="0"/>
        <v>2014</v>
      </c>
      <c r="D59" s="1" t="s">
        <v>269</v>
      </c>
      <c r="E59" s="1" t="s">
        <v>119</v>
      </c>
      <c r="F59" s="1" t="s">
        <v>11</v>
      </c>
      <c r="G59" s="1" t="s">
        <v>24</v>
      </c>
      <c r="H59" s="1" t="s">
        <v>270</v>
      </c>
      <c r="I59" s="1">
        <v>49.65</v>
      </c>
      <c r="J59" s="1">
        <v>5</v>
      </c>
      <c r="K59" s="1">
        <v>20.85</v>
      </c>
    </row>
    <row r="60" spans="1:11" ht="12.75" x14ac:dyDescent="0.2">
      <c r="A60" s="2">
        <v>41825</v>
      </c>
      <c r="B60" s="2" t="str">
        <f>TEXT(Table1[[#This Row],[Order Date]],"MMM")</f>
        <v>Jul</v>
      </c>
      <c r="C60" s="2" t="str">
        <f t="shared" si="0"/>
        <v>2014</v>
      </c>
      <c r="D60" s="1" t="s">
        <v>277</v>
      </c>
      <c r="E60" s="1" t="s">
        <v>27</v>
      </c>
      <c r="F60" s="1" t="s">
        <v>11</v>
      </c>
      <c r="G60" s="1" t="s">
        <v>20</v>
      </c>
      <c r="H60" s="1" t="s">
        <v>278</v>
      </c>
      <c r="I60" s="1">
        <v>673.57</v>
      </c>
      <c r="J60" s="1">
        <v>2</v>
      </c>
      <c r="K60" s="1">
        <v>252.59</v>
      </c>
    </row>
    <row r="61" spans="1:11" ht="12.75" x14ac:dyDescent="0.2">
      <c r="A61" s="2">
        <v>41826</v>
      </c>
      <c r="B61" s="2" t="str">
        <f>TEXT(Table1[[#This Row],[Order Date]],"MMM")</f>
        <v>Jul</v>
      </c>
      <c r="C61" s="2" t="str">
        <f t="shared" si="0"/>
        <v>2014</v>
      </c>
      <c r="D61" s="1" t="s">
        <v>269</v>
      </c>
      <c r="E61" s="1" t="s">
        <v>27</v>
      </c>
      <c r="F61" s="1" t="s">
        <v>11</v>
      </c>
      <c r="G61" s="1" t="s">
        <v>16</v>
      </c>
      <c r="H61" s="1" t="s">
        <v>272</v>
      </c>
      <c r="I61" s="1">
        <v>29.6</v>
      </c>
      <c r="J61" s="1">
        <v>2</v>
      </c>
      <c r="K61" s="1">
        <v>14.8</v>
      </c>
    </row>
    <row r="62" spans="1:11" ht="12.75" x14ac:dyDescent="0.2">
      <c r="A62" s="2">
        <v>41827</v>
      </c>
      <c r="B62" s="2" t="str">
        <f>TEXT(Table1[[#This Row],[Order Date]],"MMM")</f>
        <v>Jul</v>
      </c>
      <c r="C62" s="2" t="str">
        <f t="shared" si="0"/>
        <v>2014</v>
      </c>
      <c r="D62" s="1" t="s">
        <v>289</v>
      </c>
      <c r="E62" s="1" t="s">
        <v>30</v>
      </c>
      <c r="F62" s="1" t="s">
        <v>11</v>
      </c>
      <c r="G62" s="1" t="s">
        <v>12</v>
      </c>
      <c r="H62" s="1" t="s">
        <v>290</v>
      </c>
      <c r="I62" s="1">
        <v>15.84</v>
      </c>
      <c r="J62" s="1">
        <v>3</v>
      </c>
      <c r="K62" s="1">
        <v>7.13</v>
      </c>
    </row>
    <row r="63" spans="1:11" ht="12.75" x14ac:dyDescent="0.2">
      <c r="A63" s="2">
        <v>41829</v>
      </c>
      <c r="B63" s="2" t="str">
        <f>TEXT(Table1[[#This Row],[Order Date]],"MMM")</f>
        <v>Jul</v>
      </c>
      <c r="C63" s="2" t="str">
        <f t="shared" si="0"/>
        <v>2014</v>
      </c>
      <c r="D63" s="1" t="s">
        <v>294</v>
      </c>
      <c r="E63" s="1" t="s">
        <v>27</v>
      </c>
      <c r="F63" s="1" t="s">
        <v>11</v>
      </c>
      <c r="G63" s="1" t="s">
        <v>16</v>
      </c>
      <c r="H63" s="1" t="s">
        <v>295</v>
      </c>
      <c r="I63" s="1">
        <v>18.899999999999999</v>
      </c>
      <c r="J63" s="1">
        <v>6</v>
      </c>
      <c r="K63" s="1">
        <v>9.07</v>
      </c>
    </row>
    <row r="64" spans="1:11" ht="12.75" x14ac:dyDescent="0.2">
      <c r="A64" s="2">
        <v>41831</v>
      </c>
      <c r="B64" s="2" t="str">
        <f>TEXT(Table1[[#This Row],[Order Date]],"MMM")</f>
        <v>Jul</v>
      </c>
      <c r="C64" s="2" t="str">
        <f t="shared" si="0"/>
        <v>2014</v>
      </c>
      <c r="D64" s="1" t="s">
        <v>300</v>
      </c>
      <c r="E64" s="1" t="s">
        <v>119</v>
      </c>
      <c r="F64" s="1" t="s">
        <v>11</v>
      </c>
      <c r="G64" s="1" t="s">
        <v>12</v>
      </c>
      <c r="H64" s="1" t="s">
        <v>301</v>
      </c>
      <c r="I64" s="1">
        <v>55.48</v>
      </c>
      <c r="J64" s="1">
        <v>1</v>
      </c>
      <c r="K64" s="1">
        <v>26.63</v>
      </c>
    </row>
    <row r="65" spans="1:11" ht="12.75" x14ac:dyDescent="0.2">
      <c r="A65" s="2">
        <v>41832</v>
      </c>
      <c r="B65" s="2" t="str">
        <f>TEXT(Table1[[#This Row],[Order Date]],"MMM")</f>
        <v>Jul</v>
      </c>
      <c r="C65" s="2" t="str">
        <f t="shared" ref="C65:C128" si="1">TEXT(A65,"YYY")</f>
        <v>2014</v>
      </c>
      <c r="D65" s="1" t="s">
        <v>309</v>
      </c>
      <c r="E65" s="1" t="s">
        <v>23</v>
      </c>
      <c r="F65" s="1" t="s">
        <v>11</v>
      </c>
      <c r="G65" s="1" t="s">
        <v>20</v>
      </c>
      <c r="H65" s="1" t="s">
        <v>310</v>
      </c>
      <c r="I65" s="1">
        <v>44.91</v>
      </c>
      <c r="J65" s="1">
        <v>6</v>
      </c>
      <c r="K65" s="1">
        <v>-35.93</v>
      </c>
    </row>
    <row r="66" spans="1:11" ht="12.75" x14ac:dyDescent="0.2">
      <c r="A66" s="2">
        <v>41853</v>
      </c>
      <c r="B66" s="2" t="str">
        <f>TEXT(Table1[[#This Row],[Order Date]],"MMM")</f>
        <v>Aug</v>
      </c>
      <c r="C66" s="2" t="str">
        <f t="shared" si="1"/>
        <v>2014</v>
      </c>
      <c r="D66" s="1" t="s">
        <v>318</v>
      </c>
      <c r="E66" s="1" t="s">
        <v>319</v>
      </c>
      <c r="F66" s="1" t="s">
        <v>33</v>
      </c>
      <c r="G66" s="1" t="s">
        <v>44</v>
      </c>
      <c r="H66" s="1" t="s">
        <v>320</v>
      </c>
      <c r="I66" s="1">
        <v>8.9600000000000009</v>
      </c>
      <c r="J66" s="1">
        <v>2</v>
      </c>
      <c r="K66" s="1">
        <v>2.78</v>
      </c>
    </row>
    <row r="67" spans="1:11" ht="12.75" x14ac:dyDescent="0.2">
      <c r="A67" s="2">
        <v>41855</v>
      </c>
      <c r="B67" s="2" t="str">
        <f>TEXT(Table1[[#This Row],[Order Date]],"MMM")</f>
        <v>Aug</v>
      </c>
      <c r="C67" s="2" t="str">
        <f t="shared" si="1"/>
        <v>2014</v>
      </c>
      <c r="D67" s="1" t="s">
        <v>323</v>
      </c>
      <c r="E67" s="1" t="s">
        <v>82</v>
      </c>
      <c r="F67" s="1" t="s">
        <v>11</v>
      </c>
      <c r="G67" s="1" t="s">
        <v>42</v>
      </c>
      <c r="H67" s="1" t="s">
        <v>324</v>
      </c>
      <c r="I67" s="1">
        <v>2.37</v>
      </c>
      <c r="J67" s="1">
        <v>2</v>
      </c>
      <c r="K67" s="1">
        <v>0.83</v>
      </c>
    </row>
    <row r="68" spans="1:11" ht="12.75" x14ac:dyDescent="0.2">
      <c r="A68" s="2">
        <v>41856</v>
      </c>
      <c r="B68" s="2" t="str">
        <f>TEXT(Table1[[#This Row],[Order Date]],"MMM")</f>
        <v>Aug</v>
      </c>
      <c r="C68" s="2" t="str">
        <f t="shared" si="1"/>
        <v>2014</v>
      </c>
      <c r="D68" s="1" t="s">
        <v>330</v>
      </c>
      <c r="E68" s="1" t="s">
        <v>100</v>
      </c>
      <c r="F68" s="1" t="s">
        <v>11</v>
      </c>
      <c r="G68" s="1" t="s">
        <v>42</v>
      </c>
      <c r="H68" s="1" t="s">
        <v>331</v>
      </c>
      <c r="I68" s="1">
        <v>6.91</v>
      </c>
      <c r="J68" s="1">
        <v>3</v>
      </c>
      <c r="K68" s="1">
        <v>2.33</v>
      </c>
    </row>
    <row r="69" spans="1:11" ht="12.75" x14ac:dyDescent="0.2">
      <c r="A69" s="2">
        <v>41857</v>
      </c>
      <c r="B69" s="2" t="str">
        <f>TEXT(Table1[[#This Row],[Order Date]],"MMM")</f>
        <v>Aug</v>
      </c>
      <c r="C69" s="2" t="str">
        <f t="shared" si="1"/>
        <v>2014</v>
      </c>
      <c r="D69" s="1" t="s">
        <v>337</v>
      </c>
      <c r="E69" s="1" t="s">
        <v>27</v>
      </c>
      <c r="F69" s="1" t="s">
        <v>38</v>
      </c>
      <c r="G69" s="1" t="s">
        <v>39</v>
      </c>
      <c r="H69" s="1" t="s">
        <v>338</v>
      </c>
      <c r="I69" s="1">
        <v>1075.0899999999999</v>
      </c>
      <c r="J69" s="1">
        <v>14</v>
      </c>
      <c r="K69" s="1">
        <v>94.07</v>
      </c>
    </row>
    <row r="70" spans="1:11" ht="12.75" x14ac:dyDescent="0.2">
      <c r="A70" s="2">
        <v>41858</v>
      </c>
      <c r="B70" s="2" t="str">
        <f>TEXT(Table1[[#This Row],[Order Date]],"MMM")</f>
        <v>Aug</v>
      </c>
      <c r="C70" s="2" t="str">
        <f t="shared" si="1"/>
        <v>2014</v>
      </c>
      <c r="D70" s="1" t="s">
        <v>256</v>
      </c>
      <c r="E70" s="1" t="s">
        <v>23</v>
      </c>
      <c r="F70" s="1" t="s">
        <v>11</v>
      </c>
      <c r="G70" s="1" t="s">
        <v>24</v>
      </c>
      <c r="H70" s="1" t="s">
        <v>340</v>
      </c>
      <c r="I70" s="1">
        <v>17.86</v>
      </c>
      <c r="J70" s="1">
        <v>4</v>
      </c>
      <c r="K70" s="1">
        <v>1.1200000000000001</v>
      </c>
    </row>
    <row r="71" spans="1:11" ht="12.75" x14ac:dyDescent="0.2">
      <c r="A71" s="2">
        <v>41859</v>
      </c>
      <c r="B71" s="2" t="str">
        <f>TEXT(Table1[[#This Row],[Order Date]],"MMM")</f>
        <v>Aug</v>
      </c>
      <c r="C71" s="2" t="str">
        <f t="shared" si="1"/>
        <v>2014</v>
      </c>
      <c r="D71" s="1" t="s">
        <v>344</v>
      </c>
      <c r="E71" s="1" t="s">
        <v>27</v>
      </c>
      <c r="F71" s="1" t="s">
        <v>11</v>
      </c>
      <c r="G71" s="1" t="s">
        <v>80</v>
      </c>
      <c r="H71" s="1" t="s">
        <v>345</v>
      </c>
      <c r="I71" s="1">
        <v>106.96</v>
      </c>
      <c r="J71" s="1">
        <v>2</v>
      </c>
      <c r="K71" s="1">
        <v>31.02</v>
      </c>
    </row>
    <row r="72" spans="1:11" ht="12.75" x14ac:dyDescent="0.2">
      <c r="A72" s="2">
        <v>41861</v>
      </c>
      <c r="B72" s="2" t="str">
        <f>TEXT(Table1[[#This Row],[Order Date]],"MMM")</f>
        <v>Aug</v>
      </c>
      <c r="C72" s="2" t="str">
        <f t="shared" si="1"/>
        <v>2014</v>
      </c>
      <c r="D72" s="1" t="s">
        <v>348</v>
      </c>
      <c r="E72" s="1" t="s">
        <v>27</v>
      </c>
      <c r="F72" s="1" t="s">
        <v>38</v>
      </c>
      <c r="G72" s="1" t="s">
        <v>213</v>
      </c>
      <c r="H72" s="1" t="s">
        <v>349</v>
      </c>
      <c r="I72" s="1">
        <v>287.97000000000003</v>
      </c>
      <c r="J72" s="1">
        <v>4</v>
      </c>
      <c r="K72" s="1">
        <v>97.19</v>
      </c>
    </row>
    <row r="73" spans="1:11" ht="12.75" x14ac:dyDescent="0.2">
      <c r="A73" s="2">
        <v>41862</v>
      </c>
      <c r="B73" s="2" t="str">
        <f>TEXT(Table1[[#This Row],[Order Date]],"MMM")</f>
        <v>Aug</v>
      </c>
      <c r="C73" s="2" t="str">
        <f t="shared" si="1"/>
        <v>2014</v>
      </c>
      <c r="D73" s="1" t="s">
        <v>353</v>
      </c>
      <c r="E73" s="1" t="s">
        <v>27</v>
      </c>
      <c r="F73" s="1" t="s">
        <v>33</v>
      </c>
      <c r="G73" s="1" t="s">
        <v>44</v>
      </c>
      <c r="H73" s="1" t="s">
        <v>354</v>
      </c>
      <c r="I73" s="1">
        <v>76.14</v>
      </c>
      <c r="J73" s="1">
        <v>3</v>
      </c>
      <c r="K73" s="1">
        <v>26.65</v>
      </c>
    </row>
    <row r="74" spans="1:11" ht="12.75" x14ac:dyDescent="0.2">
      <c r="A74" s="2">
        <v>41863</v>
      </c>
      <c r="B74" s="2" t="str">
        <f>TEXT(Table1[[#This Row],[Order Date]],"MMM")</f>
        <v>Aug</v>
      </c>
      <c r="C74" s="2" t="str">
        <f t="shared" si="1"/>
        <v>2014</v>
      </c>
      <c r="D74" s="1" t="s">
        <v>53</v>
      </c>
      <c r="E74" s="1" t="s">
        <v>10</v>
      </c>
      <c r="F74" s="1" t="s">
        <v>33</v>
      </c>
      <c r="G74" s="1" t="s">
        <v>117</v>
      </c>
      <c r="H74" s="1" t="s">
        <v>357</v>
      </c>
      <c r="I74" s="1">
        <v>744.1</v>
      </c>
      <c r="J74" s="1">
        <v>5</v>
      </c>
      <c r="K74" s="1">
        <v>-95.67</v>
      </c>
    </row>
    <row r="75" spans="1:11" ht="12.75" x14ac:dyDescent="0.2">
      <c r="A75" s="2">
        <v>41883</v>
      </c>
      <c r="B75" s="2" t="str">
        <f>TEXT(Table1[[#This Row],[Order Date]],"MMM")</f>
        <v>Sep</v>
      </c>
      <c r="C75" s="2" t="str">
        <f t="shared" si="1"/>
        <v>2014</v>
      </c>
      <c r="D75" s="1" t="s">
        <v>362</v>
      </c>
      <c r="E75" s="1" t="s">
        <v>23</v>
      </c>
      <c r="F75" s="1" t="s">
        <v>11</v>
      </c>
      <c r="G75" s="1" t="s">
        <v>20</v>
      </c>
      <c r="H75" s="1" t="s">
        <v>363</v>
      </c>
      <c r="I75" s="1">
        <v>2.5</v>
      </c>
      <c r="J75" s="1">
        <v>3</v>
      </c>
      <c r="K75" s="1">
        <v>-1.75</v>
      </c>
    </row>
    <row r="76" spans="1:11" ht="12.75" x14ac:dyDescent="0.2">
      <c r="A76" s="2">
        <v>41887</v>
      </c>
      <c r="B76" s="2" t="str">
        <f>TEXT(Table1[[#This Row],[Order Date]],"MMM")</f>
        <v>Sep</v>
      </c>
      <c r="C76" s="2" t="str">
        <f t="shared" si="1"/>
        <v>2014</v>
      </c>
      <c r="D76" s="1" t="s">
        <v>365</v>
      </c>
      <c r="E76" s="1" t="s">
        <v>10</v>
      </c>
      <c r="F76" s="1" t="s">
        <v>11</v>
      </c>
      <c r="G76" s="1" t="s">
        <v>12</v>
      </c>
      <c r="H76" s="1" t="s">
        <v>366</v>
      </c>
      <c r="I76" s="1">
        <v>10.37</v>
      </c>
      <c r="J76" s="1">
        <v>2</v>
      </c>
      <c r="K76" s="1">
        <v>3.63</v>
      </c>
    </row>
    <row r="77" spans="1:11" ht="12.75" x14ac:dyDescent="0.2">
      <c r="A77" s="2">
        <v>41888</v>
      </c>
      <c r="B77" s="2" t="str">
        <f>TEXT(Table1[[#This Row],[Order Date]],"MMM")</f>
        <v>Sep</v>
      </c>
      <c r="C77" s="2" t="str">
        <f t="shared" si="1"/>
        <v>2014</v>
      </c>
      <c r="D77" s="1" t="s">
        <v>367</v>
      </c>
      <c r="E77" s="1" t="s">
        <v>27</v>
      </c>
      <c r="F77" s="1" t="s">
        <v>33</v>
      </c>
      <c r="G77" s="1" t="s">
        <v>34</v>
      </c>
      <c r="H77" s="1" t="s">
        <v>368</v>
      </c>
      <c r="I77" s="1">
        <v>230.28</v>
      </c>
      <c r="J77" s="1">
        <v>3</v>
      </c>
      <c r="K77" s="1">
        <v>23.03</v>
      </c>
    </row>
    <row r="78" spans="1:11" ht="12.75" x14ac:dyDescent="0.2">
      <c r="A78" s="2">
        <v>41890</v>
      </c>
      <c r="B78" s="2" t="str">
        <f>TEXT(Table1[[#This Row],[Order Date]],"MMM")</f>
        <v>Sep</v>
      </c>
      <c r="C78" s="2" t="str">
        <f t="shared" si="1"/>
        <v>2014</v>
      </c>
      <c r="D78" s="1" t="s">
        <v>369</v>
      </c>
      <c r="E78" s="1" t="s">
        <v>343</v>
      </c>
      <c r="F78" s="1" t="s">
        <v>11</v>
      </c>
      <c r="G78" s="1" t="s">
        <v>20</v>
      </c>
      <c r="H78" s="1" t="s">
        <v>370</v>
      </c>
      <c r="I78" s="1">
        <v>20.86</v>
      </c>
      <c r="J78" s="1">
        <v>2</v>
      </c>
      <c r="K78" s="1">
        <v>9.39</v>
      </c>
    </row>
    <row r="79" spans="1:11" ht="12.75" x14ac:dyDescent="0.2">
      <c r="A79" s="2">
        <v>41891</v>
      </c>
      <c r="B79" s="2" t="str">
        <f>TEXT(Table1[[#This Row],[Order Date]],"MMM")</f>
        <v>Sep</v>
      </c>
      <c r="C79" s="2" t="str">
        <f t="shared" si="1"/>
        <v>2014</v>
      </c>
      <c r="D79" s="1" t="s">
        <v>378</v>
      </c>
      <c r="E79" s="1" t="s">
        <v>119</v>
      </c>
      <c r="F79" s="1" t="s">
        <v>33</v>
      </c>
      <c r="G79" s="1" t="s">
        <v>44</v>
      </c>
      <c r="H79" s="1" t="s">
        <v>379</v>
      </c>
      <c r="I79" s="1">
        <v>17.46</v>
      </c>
      <c r="J79" s="1">
        <v>2</v>
      </c>
      <c r="K79" s="1">
        <v>5.94</v>
      </c>
    </row>
    <row r="80" spans="1:11" ht="12.75" x14ac:dyDescent="0.2">
      <c r="A80" s="2">
        <v>41894</v>
      </c>
      <c r="B80" s="2" t="str">
        <f>TEXT(Table1[[#This Row],[Order Date]],"MMM")</f>
        <v>Sep</v>
      </c>
      <c r="C80" s="2" t="str">
        <f t="shared" si="1"/>
        <v>2014</v>
      </c>
      <c r="D80" s="1" t="s">
        <v>172</v>
      </c>
      <c r="E80" s="1" t="s">
        <v>226</v>
      </c>
      <c r="F80" s="1" t="s">
        <v>38</v>
      </c>
      <c r="G80" s="1" t="s">
        <v>48</v>
      </c>
      <c r="H80" s="1" t="s">
        <v>383</v>
      </c>
      <c r="I80" s="1">
        <v>47.79</v>
      </c>
      <c r="J80" s="1">
        <v>3</v>
      </c>
      <c r="K80" s="1">
        <v>16.25</v>
      </c>
    </row>
    <row r="81" spans="1:11" ht="12.75" x14ac:dyDescent="0.2">
      <c r="A81" s="2">
        <v>41913</v>
      </c>
      <c r="B81" s="2" t="str">
        <f>TEXT(Table1[[#This Row],[Order Date]],"MMM")</f>
        <v>Oct</v>
      </c>
      <c r="C81" s="2" t="str">
        <f t="shared" si="1"/>
        <v>2014</v>
      </c>
      <c r="D81" s="1" t="s">
        <v>385</v>
      </c>
      <c r="E81" s="1" t="s">
        <v>68</v>
      </c>
      <c r="F81" s="1" t="s">
        <v>11</v>
      </c>
      <c r="G81" s="1" t="s">
        <v>80</v>
      </c>
      <c r="H81" s="1" t="s">
        <v>228</v>
      </c>
      <c r="I81" s="1">
        <v>26.14</v>
      </c>
      <c r="J81" s="1">
        <v>3</v>
      </c>
      <c r="K81" s="1">
        <v>1.96</v>
      </c>
    </row>
    <row r="82" spans="1:11" ht="12.75" x14ac:dyDescent="0.2">
      <c r="A82" s="2">
        <v>41915</v>
      </c>
      <c r="B82" s="2" t="str">
        <f>TEXT(Table1[[#This Row],[Order Date]],"MMM")</f>
        <v>Oct</v>
      </c>
      <c r="C82" s="2" t="str">
        <f t="shared" si="1"/>
        <v>2014</v>
      </c>
      <c r="D82" s="1" t="s">
        <v>388</v>
      </c>
      <c r="E82" s="1" t="s">
        <v>126</v>
      </c>
      <c r="F82" s="1" t="s">
        <v>11</v>
      </c>
      <c r="G82" s="1" t="s">
        <v>16</v>
      </c>
      <c r="H82" s="1" t="s">
        <v>389</v>
      </c>
      <c r="I82" s="1">
        <v>21.56</v>
      </c>
      <c r="J82" s="1">
        <v>7</v>
      </c>
      <c r="K82" s="1">
        <v>10.35</v>
      </c>
    </row>
    <row r="83" spans="1:11" ht="12.75" x14ac:dyDescent="0.2">
      <c r="A83" s="2">
        <v>41917</v>
      </c>
      <c r="B83" s="2" t="str">
        <f>TEXT(Table1[[#This Row],[Order Date]],"MMM")</f>
        <v>Oct</v>
      </c>
      <c r="C83" s="2" t="str">
        <f t="shared" si="1"/>
        <v>2014</v>
      </c>
      <c r="D83" s="1" t="s">
        <v>391</v>
      </c>
      <c r="E83" s="1" t="s">
        <v>93</v>
      </c>
      <c r="F83" s="1" t="s">
        <v>11</v>
      </c>
      <c r="G83" s="1" t="s">
        <v>20</v>
      </c>
      <c r="H83" s="1" t="s">
        <v>392</v>
      </c>
      <c r="I83" s="1">
        <v>46.8</v>
      </c>
      <c r="J83" s="1">
        <v>4</v>
      </c>
      <c r="K83" s="1">
        <v>21.06</v>
      </c>
    </row>
    <row r="84" spans="1:11" ht="12.75" x14ac:dyDescent="0.2">
      <c r="A84" s="2">
        <v>41918</v>
      </c>
      <c r="B84" s="2" t="str">
        <f>TEXT(Table1[[#This Row],[Order Date]],"MMM")</f>
        <v>Oct</v>
      </c>
      <c r="C84" s="2" t="str">
        <f t="shared" si="1"/>
        <v>2014</v>
      </c>
      <c r="D84" s="1" t="s">
        <v>396</v>
      </c>
      <c r="E84" s="1" t="s">
        <v>32</v>
      </c>
      <c r="F84" s="1" t="s">
        <v>11</v>
      </c>
      <c r="G84" s="1" t="s">
        <v>12</v>
      </c>
      <c r="H84" s="1" t="s">
        <v>397</v>
      </c>
      <c r="I84" s="1">
        <v>9.42</v>
      </c>
      <c r="J84" s="1">
        <v>3</v>
      </c>
      <c r="K84" s="1">
        <v>4.24</v>
      </c>
    </row>
    <row r="85" spans="1:11" ht="12.75" x14ac:dyDescent="0.2">
      <c r="A85" s="2">
        <v>41922</v>
      </c>
      <c r="B85" s="2" t="str">
        <f>TEXT(Table1[[#This Row],[Order Date]],"MMM")</f>
        <v>Oct</v>
      </c>
      <c r="C85" s="2" t="str">
        <f t="shared" si="1"/>
        <v>2014</v>
      </c>
      <c r="D85" s="1" t="s">
        <v>402</v>
      </c>
      <c r="E85" s="1" t="s">
        <v>27</v>
      </c>
      <c r="F85" s="1" t="s">
        <v>11</v>
      </c>
      <c r="G85" s="1" t="s">
        <v>20</v>
      </c>
      <c r="H85" s="1" t="s">
        <v>403</v>
      </c>
      <c r="I85" s="1">
        <v>140.74</v>
      </c>
      <c r="J85" s="1">
        <v>8</v>
      </c>
      <c r="K85" s="1">
        <v>52.78</v>
      </c>
    </row>
    <row r="86" spans="1:11" ht="12.75" x14ac:dyDescent="0.2">
      <c r="A86" s="2">
        <v>41923</v>
      </c>
      <c r="B86" s="2" t="str">
        <f>TEXT(Table1[[#This Row],[Order Date]],"MMM")</f>
        <v>Oct</v>
      </c>
      <c r="C86" s="2" t="str">
        <f t="shared" si="1"/>
        <v>2014</v>
      </c>
      <c r="D86" s="1" t="s">
        <v>406</v>
      </c>
      <c r="E86" s="1" t="s">
        <v>286</v>
      </c>
      <c r="F86" s="1" t="s">
        <v>11</v>
      </c>
      <c r="G86" s="1" t="s">
        <v>20</v>
      </c>
      <c r="H86" s="1" t="s">
        <v>407</v>
      </c>
      <c r="I86" s="1">
        <v>16.14</v>
      </c>
      <c r="J86" s="1">
        <v>3</v>
      </c>
      <c r="K86" s="1">
        <v>7.91</v>
      </c>
    </row>
    <row r="87" spans="1:11" ht="12.75" x14ac:dyDescent="0.2">
      <c r="A87" s="2">
        <v>41944</v>
      </c>
      <c r="B87" s="2" t="str">
        <f>TEXT(Table1[[#This Row],[Order Date]],"MMM")</f>
        <v>Nov</v>
      </c>
      <c r="C87" s="2" t="str">
        <f t="shared" si="1"/>
        <v>2014</v>
      </c>
      <c r="D87" s="1" t="s">
        <v>198</v>
      </c>
      <c r="E87" s="1" t="s">
        <v>23</v>
      </c>
      <c r="F87" s="1" t="s">
        <v>38</v>
      </c>
      <c r="G87" s="1" t="s">
        <v>387</v>
      </c>
      <c r="H87" s="1" t="s">
        <v>409</v>
      </c>
      <c r="I87" s="1">
        <v>1799.97</v>
      </c>
      <c r="J87" s="1">
        <v>5</v>
      </c>
      <c r="K87" s="1">
        <v>240</v>
      </c>
    </row>
    <row r="88" spans="1:11" ht="12.75" x14ac:dyDescent="0.2">
      <c r="A88" s="2">
        <v>41946</v>
      </c>
      <c r="B88" s="2" t="str">
        <f>TEXT(Table1[[#This Row],[Order Date]],"MMM")</f>
        <v>Nov</v>
      </c>
      <c r="C88" s="2" t="str">
        <f t="shared" si="1"/>
        <v>2014</v>
      </c>
      <c r="D88" s="1" t="s">
        <v>410</v>
      </c>
      <c r="E88" s="1" t="s">
        <v>27</v>
      </c>
      <c r="F88" s="1" t="s">
        <v>38</v>
      </c>
      <c r="G88" s="1" t="s">
        <v>48</v>
      </c>
      <c r="H88" s="1" t="s">
        <v>314</v>
      </c>
      <c r="I88" s="1">
        <v>67.8</v>
      </c>
      <c r="J88" s="1">
        <v>4</v>
      </c>
      <c r="K88" s="1">
        <v>4.07</v>
      </c>
    </row>
    <row r="89" spans="1:11" ht="12.75" x14ac:dyDescent="0.2">
      <c r="A89" s="2">
        <v>41947</v>
      </c>
      <c r="B89" s="2" t="str">
        <f>TEXT(Table1[[#This Row],[Order Date]],"MMM")</f>
        <v>Nov</v>
      </c>
      <c r="C89" s="2" t="str">
        <f t="shared" si="1"/>
        <v>2014</v>
      </c>
      <c r="D89" s="1" t="s">
        <v>375</v>
      </c>
      <c r="E89" s="1" t="s">
        <v>133</v>
      </c>
      <c r="F89" s="1" t="s">
        <v>11</v>
      </c>
      <c r="G89" s="1" t="s">
        <v>58</v>
      </c>
      <c r="H89" s="1" t="s">
        <v>414</v>
      </c>
      <c r="I89" s="1">
        <v>158.13</v>
      </c>
      <c r="J89" s="1">
        <v>3</v>
      </c>
      <c r="K89" s="1">
        <v>77.48</v>
      </c>
    </row>
    <row r="90" spans="1:11" ht="12.75" x14ac:dyDescent="0.2">
      <c r="A90" s="2">
        <v>41948</v>
      </c>
      <c r="B90" s="2" t="str">
        <f>TEXT(Table1[[#This Row],[Order Date]],"MMM")</f>
        <v>Nov</v>
      </c>
      <c r="C90" s="2" t="str">
        <f t="shared" si="1"/>
        <v>2014</v>
      </c>
      <c r="D90" s="1" t="s">
        <v>416</v>
      </c>
      <c r="E90" s="1" t="s">
        <v>10</v>
      </c>
      <c r="F90" s="1" t="s">
        <v>38</v>
      </c>
      <c r="G90" s="1" t="s">
        <v>48</v>
      </c>
      <c r="H90" s="1" t="s">
        <v>417</v>
      </c>
      <c r="I90" s="1">
        <v>58.11</v>
      </c>
      <c r="J90" s="1">
        <v>2</v>
      </c>
      <c r="K90" s="1">
        <v>7.26</v>
      </c>
    </row>
    <row r="91" spans="1:11" ht="12.75" x14ac:dyDescent="0.2">
      <c r="A91" s="2">
        <v>41952</v>
      </c>
      <c r="B91" s="2" t="str">
        <f>TEXT(Table1[[#This Row],[Order Date]],"MMM")</f>
        <v>Nov</v>
      </c>
      <c r="C91" s="2" t="str">
        <f t="shared" si="1"/>
        <v>2014</v>
      </c>
      <c r="D91" s="1" t="s">
        <v>423</v>
      </c>
      <c r="E91" s="1" t="s">
        <v>210</v>
      </c>
      <c r="F91" s="1" t="s">
        <v>11</v>
      </c>
      <c r="G91" s="1" t="s">
        <v>18</v>
      </c>
      <c r="H91" s="1" t="s">
        <v>412</v>
      </c>
      <c r="I91" s="1">
        <v>55.5</v>
      </c>
      <c r="J91" s="1">
        <v>2</v>
      </c>
      <c r="K91" s="1">
        <v>9.99</v>
      </c>
    </row>
    <row r="92" spans="1:11" ht="12.75" x14ac:dyDescent="0.2">
      <c r="A92" s="2">
        <v>41953</v>
      </c>
      <c r="B92" s="2" t="str">
        <f>TEXT(Table1[[#This Row],[Order Date]],"MMM")</f>
        <v>Nov</v>
      </c>
      <c r="C92" s="2" t="str">
        <f t="shared" si="1"/>
        <v>2014</v>
      </c>
      <c r="D92" s="1" t="s">
        <v>427</v>
      </c>
      <c r="E92" s="1" t="s">
        <v>100</v>
      </c>
      <c r="F92" s="1" t="s">
        <v>33</v>
      </c>
      <c r="G92" s="1" t="s">
        <v>44</v>
      </c>
      <c r="H92" s="1" t="s">
        <v>428</v>
      </c>
      <c r="I92" s="1">
        <v>310.88</v>
      </c>
      <c r="J92" s="1">
        <v>2</v>
      </c>
      <c r="K92" s="1">
        <v>23.32</v>
      </c>
    </row>
    <row r="93" spans="1:11" ht="12.75" x14ac:dyDescent="0.2">
      <c r="A93" s="2">
        <v>41954</v>
      </c>
      <c r="B93" s="2" t="str">
        <f>TEXT(Table1[[#This Row],[Order Date]],"MMM")</f>
        <v>Nov</v>
      </c>
      <c r="C93" s="2" t="str">
        <f t="shared" si="1"/>
        <v>2014</v>
      </c>
      <c r="D93" s="1" t="s">
        <v>430</v>
      </c>
      <c r="E93" s="1" t="s">
        <v>126</v>
      </c>
      <c r="F93" s="1" t="s">
        <v>11</v>
      </c>
      <c r="G93" s="1" t="s">
        <v>20</v>
      </c>
      <c r="H93" s="1" t="s">
        <v>131</v>
      </c>
      <c r="I93" s="1">
        <v>91.68</v>
      </c>
      <c r="J93" s="1">
        <v>3</v>
      </c>
      <c r="K93" s="1">
        <v>45.84</v>
      </c>
    </row>
    <row r="94" spans="1:11" ht="12.75" x14ac:dyDescent="0.2">
      <c r="A94" s="2">
        <v>41975</v>
      </c>
      <c r="B94" s="2" t="str">
        <f>TEXT(Table1[[#This Row],[Order Date]],"MMM")</f>
        <v>Dec</v>
      </c>
      <c r="C94" s="2" t="str">
        <f t="shared" si="1"/>
        <v>2014</v>
      </c>
      <c r="D94" s="1" t="s">
        <v>431</v>
      </c>
      <c r="E94" s="1" t="s">
        <v>68</v>
      </c>
      <c r="F94" s="1" t="s">
        <v>38</v>
      </c>
      <c r="G94" s="1" t="s">
        <v>39</v>
      </c>
      <c r="H94" s="1" t="s">
        <v>432</v>
      </c>
      <c r="I94" s="1">
        <v>779.8</v>
      </c>
      <c r="J94" s="1">
        <v>2</v>
      </c>
      <c r="K94" s="1">
        <v>-168.96</v>
      </c>
    </row>
    <row r="95" spans="1:11" ht="12.75" x14ac:dyDescent="0.2">
      <c r="A95" s="2">
        <v>41977</v>
      </c>
      <c r="B95" s="2" t="str">
        <f>TEXT(Table1[[#This Row],[Order Date]],"MMM")</f>
        <v>Dec</v>
      </c>
      <c r="C95" s="2" t="str">
        <f t="shared" si="1"/>
        <v>2014</v>
      </c>
      <c r="D95" s="1" t="s">
        <v>437</v>
      </c>
      <c r="E95" s="1" t="s">
        <v>93</v>
      </c>
      <c r="F95" s="1" t="s">
        <v>11</v>
      </c>
      <c r="G95" s="1" t="s">
        <v>20</v>
      </c>
      <c r="H95" s="1" t="s">
        <v>438</v>
      </c>
      <c r="I95" s="1">
        <v>57.42</v>
      </c>
      <c r="J95" s="1">
        <v>9</v>
      </c>
      <c r="K95" s="1">
        <v>26.41</v>
      </c>
    </row>
    <row r="96" spans="1:11" ht="12.75" x14ac:dyDescent="0.2">
      <c r="A96" s="2">
        <v>41980</v>
      </c>
      <c r="B96" s="2" t="str">
        <f>TEXT(Table1[[#This Row],[Order Date]],"MMM")</f>
        <v>Dec</v>
      </c>
      <c r="C96" s="2" t="str">
        <f t="shared" si="1"/>
        <v>2014</v>
      </c>
      <c r="D96" s="1" t="s">
        <v>440</v>
      </c>
      <c r="E96" s="1" t="s">
        <v>441</v>
      </c>
      <c r="F96" s="1" t="s">
        <v>11</v>
      </c>
      <c r="G96" s="1" t="s">
        <v>80</v>
      </c>
      <c r="H96" s="1" t="s">
        <v>442</v>
      </c>
      <c r="I96" s="1">
        <v>33.28</v>
      </c>
      <c r="J96" s="1">
        <v>4</v>
      </c>
      <c r="K96" s="1">
        <v>9.32</v>
      </c>
    </row>
    <row r="97" spans="1:11" ht="12.75" x14ac:dyDescent="0.2">
      <c r="A97" s="2">
        <v>41981</v>
      </c>
      <c r="B97" s="2" t="str">
        <f>TEXT(Table1[[#This Row],[Order Date]],"MMM")</f>
        <v>Dec</v>
      </c>
      <c r="C97" s="2" t="str">
        <f t="shared" si="1"/>
        <v>2014</v>
      </c>
      <c r="D97" s="1" t="s">
        <v>445</v>
      </c>
      <c r="E97" s="1" t="s">
        <v>51</v>
      </c>
      <c r="F97" s="1" t="s">
        <v>11</v>
      </c>
      <c r="G97" s="1" t="s">
        <v>20</v>
      </c>
      <c r="H97" s="1" t="s">
        <v>446</v>
      </c>
      <c r="I97" s="1">
        <v>2715.93</v>
      </c>
      <c r="J97" s="1">
        <v>7</v>
      </c>
      <c r="K97" s="1">
        <v>1276.49</v>
      </c>
    </row>
    <row r="98" spans="1:11" ht="12.75" x14ac:dyDescent="0.2">
      <c r="A98" s="2">
        <v>41982</v>
      </c>
      <c r="B98" s="2" t="str">
        <f>TEXT(Table1[[#This Row],[Order Date]],"MMM")</f>
        <v>Dec</v>
      </c>
      <c r="C98" s="2" t="str">
        <f t="shared" si="1"/>
        <v>2014</v>
      </c>
      <c r="D98" s="1" t="s">
        <v>451</v>
      </c>
      <c r="E98" s="1" t="s">
        <v>319</v>
      </c>
      <c r="F98" s="1" t="s">
        <v>38</v>
      </c>
      <c r="G98" s="1" t="s">
        <v>39</v>
      </c>
      <c r="H98" s="1" t="s">
        <v>452</v>
      </c>
      <c r="I98" s="1">
        <v>135.97999999999999</v>
      </c>
      <c r="J98" s="1">
        <v>2</v>
      </c>
      <c r="K98" s="1">
        <v>34</v>
      </c>
    </row>
    <row r="99" spans="1:11" ht="12.75" x14ac:dyDescent="0.2">
      <c r="A99" s="2">
        <v>41984</v>
      </c>
      <c r="B99" s="2" t="str">
        <f>TEXT(Table1[[#This Row],[Order Date]],"MMM")</f>
        <v>Dec</v>
      </c>
      <c r="C99" s="2" t="str">
        <f t="shared" si="1"/>
        <v>2014</v>
      </c>
      <c r="D99" s="1" t="s">
        <v>385</v>
      </c>
      <c r="E99" s="1" t="s">
        <v>23</v>
      </c>
      <c r="F99" s="1" t="s">
        <v>11</v>
      </c>
      <c r="G99" s="1" t="s">
        <v>20</v>
      </c>
      <c r="H99" s="1" t="s">
        <v>453</v>
      </c>
      <c r="I99" s="1">
        <v>3.28</v>
      </c>
      <c r="J99" s="1">
        <v>2</v>
      </c>
      <c r="K99" s="1">
        <v>-2.63</v>
      </c>
    </row>
    <row r="100" spans="1:11" ht="12.75" x14ac:dyDescent="0.2">
      <c r="A100" s="2">
        <v>41985</v>
      </c>
      <c r="B100" s="2" t="str">
        <f>TEXT(Table1[[#This Row],[Order Date]],"MMM")</f>
        <v>Dec</v>
      </c>
      <c r="C100" s="2" t="str">
        <f t="shared" si="1"/>
        <v>2014</v>
      </c>
      <c r="D100" s="1" t="s">
        <v>456</v>
      </c>
      <c r="E100" s="1" t="s">
        <v>343</v>
      </c>
      <c r="F100" s="1" t="s">
        <v>11</v>
      </c>
      <c r="G100" s="1" t="s">
        <v>12</v>
      </c>
      <c r="H100" s="1" t="s">
        <v>457</v>
      </c>
      <c r="I100" s="1">
        <v>116.28</v>
      </c>
      <c r="J100" s="1">
        <v>3</v>
      </c>
      <c r="K100" s="1">
        <v>56.98</v>
      </c>
    </row>
    <row r="101" spans="1:11" ht="12.75" x14ac:dyDescent="0.2">
      <c r="A101" s="2">
        <v>42007</v>
      </c>
      <c r="B101" s="2" t="str">
        <f>TEXT(Table1[[#This Row],[Order Date]],"MMM")</f>
        <v>Jan</v>
      </c>
      <c r="C101" s="2" t="str">
        <f t="shared" si="1"/>
        <v>2015</v>
      </c>
      <c r="D101" s="1" t="s">
        <v>458</v>
      </c>
      <c r="E101" s="1" t="s">
        <v>15</v>
      </c>
      <c r="F101" s="1" t="s">
        <v>11</v>
      </c>
      <c r="G101" s="1" t="s">
        <v>80</v>
      </c>
      <c r="H101" s="1" t="s">
        <v>459</v>
      </c>
      <c r="I101" s="1">
        <v>75.599999999999994</v>
      </c>
      <c r="J101" s="1">
        <v>2</v>
      </c>
      <c r="K101" s="1">
        <v>-166.32</v>
      </c>
    </row>
    <row r="102" spans="1:11" ht="12.75" x14ac:dyDescent="0.2">
      <c r="A102" s="2">
        <v>42009</v>
      </c>
      <c r="B102" s="2" t="str">
        <f>TEXT(Table1[[#This Row],[Order Date]],"MMM")</f>
        <v>Jan</v>
      </c>
      <c r="C102" s="2" t="str">
        <f t="shared" si="1"/>
        <v>2015</v>
      </c>
      <c r="D102" s="1" t="s">
        <v>464</v>
      </c>
      <c r="E102" s="1" t="s">
        <v>27</v>
      </c>
      <c r="F102" s="1" t="s">
        <v>33</v>
      </c>
      <c r="G102" s="1" t="s">
        <v>117</v>
      </c>
      <c r="H102" s="1" t="s">
        <v>465</v>
      </c>
      <c r="I102" s="1">
        <v>567.12</v>
      </c>
      <c r="J102" s="1">
        <v>10</v>
      </c>
      <c r="K102" s="1">
        <v>-28.36</v>
      </c>
    </row>
    <row r="103" spans="1:11" ht="12.75" x14ac:dyDescent="0.2">
      <c r="A103" s="2">
        <v>42010</v>
      </c>
      <c r="B103" s="2" t="str">
        <f>TEXT(Table1[[#This Row],[Order Date]],"MMM")</f>
        <v>Jan</v>
      </c>
      <c r="C103" s="2" t="str">
        <f t="shared" si="1"/>
        <v>2015</v>
      </c>
      <c r="D103" s="1" t="s">
        <v>468</v>
      </c>
      <c r="E103" s="1" t="s">
        <v>133</v>
      </c>
      <c r="F103" s="1" t="s">
        <v>38</v>
      </c>
      <c r="G103" s="1" t="s">
        <v>39</v>
      </c>
      <c r="H103" s="1" t="s">
        <v>469</v>
      </c>
      <c r="I103" s="1">
        <v>57.41</v>
      </c>
      <c r="J103" s="1">
        <v>6</v>
      </c>
      <c r="K103" s="1">
        <v>5.74</v>
      </c>
    </row>
    <row r="104" spans="1:11" ht="12.75" x14ac:dyDescent="0.2">
      <c r="A104" s="2">
        <v>42012</v>
      </c>
      <c r="B104" s="2" t="str">
        <f>TEXT(Table1[[#This Row],[Order Date]],"MMM")</f>
        <v>Jan</v>
      </c>
      <c r="C104" s="2" t="str">
        <f t="shared" si="1"/>
        <v>2015</v>
      </c>
      <c r="D104" s="1" t="s">
        <v>470</v>
      </c>
      <c r="E104" s="1" t="s">
        <v>51</v>
      </c>
      <c r="F104" s="1" t="s">
        <v>11</v>
      </c>
      <c r="G104" s="1" t="s">
        <v>12</v>
      </c>
      <c r="H104" s="1" t="s">
        <v>471</v>
      </c>
      <c r="I104" s="1">
        <v>13.62</v>
      </c>
      <c r="J104" s="1">
        <v>3</v>
      </c>
      <c r="K104" s="1">
        <v>6.13</v>
      </c>
    </row>
    <row r="105" spans="1:11" ht="12.75" x14ac:dyDescent="0.2">
      <c r="A105" s="2">
        <v>42013</v>
      </c>
      <c r="B105" s="2" t="str">
        <f>TEXT(Table1[[#This Row],[Order Date]],"MMM")</f>
        <v>Jan</v>
      </c>
      <c r="C105" s="2" t="str">
        <f t="shared" si="1"/>
        <v>2015</v>
      </c>
      <c r="D105" s="1" t="s">
        <v>474</v>
      </c>
      <c r="E105" s="1" t="s">
        <v>226</v>
      </c>
      <c r="F105" s="1" t="s">
        <v>38</v>
      </c>
      <c r="G105" s="1" t="s">
        <v>39</v>
      </c>
      <c r="H105" s="1" t="s">
        <v>475</v>
      </c>
      <c r="I105" s="1">
        <v>659.97</v>
      </c>
      <c r="J105" s="1">
        <v>3</v>
      </c>
      <c r="K105" s="1">
        <v>197.99</v>
      </c>
    </row>
    <row r="106" spans="1:11" ht="12.75" x14ac:dyDescent="0.2">
      <c r="A106" s="2">
        <v>42014</v>
      </c>
      <c r="B106" s="2" t="str">
        <f>TEXT(Table1[[#This Row],[Order Date]],"MMM")</f>
        <v>Jan</v>
      </c>
      <c r="C106" s="2" t="str">
        <f t="shared" si="1"/>
        <v>2015</v>
      </c>
      <c r="D106" s="1" t="s">
        <v>208</v>
      </c>
      <c r="E106" s="1" t="s">
        <v>210</v>
      </c>
      <c r="F106" s="1" t="s">
        <v>11</v>
      </c>
      <c r="G106" s="1" t="s">
        <v>20</v>
      </c>
      <c r="H106" s="1" t="s">
        <v>482</v>
      </c>
      <c r="I106" s="1">
        <v>59.81</v>
      </c>
      <c r="J106" s="1">
        <v>3</v>
      </c>
      <c r="K106" s="1">
        <v>19.440000000000001</v>
      </c>
    </row>
    <row r="107" spans="1:11" ht="12.75" x14ac:dyDescent="0.2">
      <c r="A107" s="2">
        <v>42016</v>
      </c>
      <c r="B107" s="2" t="str">
        <f>TEXT(Table1[[#This Row],[Order Date]],"MMM")</f>
        <v>Jan</v>
      </c>
      <c r="C107" s="2" t="str">
        <f t="shared" si="1"/>
        <v>2015</v>
      </c>
      <c r="D107" s="1" t="s">
        <v>483</v>
      </c>
      <c r="E107" s="1" t="s">
        <v>133</v>
      </c>
      <c r="F107" s="1" t="s">
        <v>33</v>
      </c>
      <c r="G107" s="1" t="s">
        <v>117</v>
      </c>
      <c r="H107" s="1" t="s">
        <v>312</v>
      </c>
      <c r="I107" s="1">
        <v>515.88</v>
      </c>
      <c r="J107" s="1">
        <v>6</v>
      </c>
      <c r="K107" s="1">
        <v>113.49</v>
      </c>
    </row>
    <row r="108" spans="1:11" ht="12.75" x14ac:dyDescent="0.2">
      <c r="A108" s="2">
        <v>42036</v>
      </c>
      <c r="B108" s="2" t="str">
        <f>TEXT(Table1[[#This Row],[Order Date]],"MMM")</f>
        <v>Feb</v>
      </c>
      <c r="C108" s="2" t="str">
        <f t="shared" si="1"/>
        <v>2015</v>
      </c>
      <c r="D108" s="1" t="s">
        <v>273</v>
      </c>
      <c r="E108" s="1" t="s">
        <v>68</v>
      </c>
      <c r="F108" s="1" t="s">
        <v>11</v>
      </c>
      <c r="G108" s="1" t="s">
        <v>12</v>
      </c>
      <c r="H108" s="1" t="s">
        <v>401</v>
      </c>
      <c r="I108" s="1">
        <v>16.22</v>
      </c>
      <c r="J108" s="1">
        <v>2</v>
      </c>
      <c r="K108" s="1">
        <v>5.88</v>
      </c>
    </row>
    <row r="109" spans="1:11" ht="12.75" x14ac:dyDescent="0.2">
      <c r="A109" s="2">
        <v>42038</v>
      </c>
      <c r="B109" s="2" t="str">
        <f>TEXT(Table1[[#This Row],[Order Date]],"MMM")</f>
        <v>Feb</v>
      </c>
      <c r="C109" s="2" t="str">
        <f t="shared" si="1"/>
        <v>2015</v>
      </c>
      <c r="D109" s="1" t="s">
        <v>487</v>
      </c>
      <c r="E109" s="1" t="s">
        <v>119</v>
      </c>
      <c r="F109" s="1" t="s">
        <v>11</v>
      </c>
      <c r="G109" s="1" t="s">
        <v>24</v>
      </c>
      <c r="H109" s="1" t="s">
        <v>488</v>
      </c>
      <c r="I109" s="1">
        <v>13.36</v>
      </c>
      <c r="J109" s="1">
        <v>2</v>
      </c>
      <c r="K109" s="1">
        <v>4.9400000000000004</v>
      </c>
    </row>
    <row r="110" spans="1:11" ht="12.75" x14ac:dyDescent="0.2">
      <c r="A110" s="2">
        <v>42039</v>
      </c>
      <c r="B110" s="2" t="str">
        <f>TEXT(Table1[[#This Row],[Order Date]],"MMM")</f>
        <v>Feb</v>
      </c>
      <c r="C110" s="2" t="str">
        <f t="shared" si="1"/>
        <v>2015</v>
      </c>
      <c r="D110" s="1" t="s">
        <v>491</v>
      </c>
      <c r="E110" s="1" t="s">
        <v>15</v>
      </c>
      <c r="F110" s="1" t="s">
        <v>11</v>
      </c>
      <c r="G110" s="1" t="s">
        <v>20</v>
      </c>
      <c r="H110" s="1" t="s">
        <v>490</v>
      </c>
      <c r="I110" s="1">
        <v>12.46</v>
      </c>
      <c r="J110" s="1">
        <v>3</v>
      </c>
      <c r="K110" s="1">
        <v>-20.56</v>
      </c>
    </row>
    <row r="111" spans="1:11" ht="12.75" x14ac:dyDescent="0.2">
      <c r="A111" s="2">
        <v>42040</v>
      </c>
      <c r="B111" s="2" t="str">
        <f>TEXT(Table1[[#This Row],[Order Date]],"MMM")</f>
        <v>Feb</v>
      </c>
      <c r="C111" s="2" t="str">
        <f t="shared" si="1"/>
        <v>2015</v>
      </c>
      <c r="D111" s="1" t="s">
        <v>492</v>
      </c>
      <c r="E111" s="1" t="s">
        <v>133</v>
      </c>
      <c r="F111" s="1" t="s">
        <v>33</v>
      </c>
      <c r="G111" s="1" t="s">
        <v>34</v>
      </c>
      <c r="H111" s="1" t="s">
        <v>493</v>
      </c>
      <c r="I111" s="1">
        <v>585.54999999999995</v>
      </c>
      <c r="J111" s="1">
        <v>3</v>
      </c>
      <c r="K111" s="1">
        <v>73.19</v>
      </c>
    </row>
    <row r="112" spans="1:11" ht="12.75" x14ac:dyDescent="0.2">
      <c r="A112" s="2">
        <v>42042</v>
      </c>
      <c r="B112" s="2" t="str">
        <f>TEXT(Table1[[#This Row],[Order Date]],"MMM")</f>
        <v>Feb</v>
      </c>
      <c r="C112" s="2" t="str">
        <f t="shared" si="1"/>
        <v>2015</v>
      </c>
      <c r="D112" s="1" t="s">
        <v>497</v>
      </c>
      <c r="E112" s="1" t="s">
        <v>27</v>
      </c>
      <c r="F112" s="1" t="s">
        <v>33</v>
      </c>
      <c r="G112" s="1" t="s">
        <v>44</v>
      </c>
      <c r="H112" s="1" t="s">
        <v>498</v>
      </c>
      <c r="I112" s="1">
        <v>48.86</v>
      </c>
      <c r="J112" s="1">
        <v>7</v>
      </c>
      <c r="K112" s="1">
        <v>14.17</v>
      </c>
    </row>
    <row r="113" spans="1:11" ht="12.75" x14ac:dyDescent="0.2">
      <c r="A113" s="2">
        <v>42043</v>
      </c>
      <c r="B113" s="2" t="str">
        <f>TEXT(Table1[[#This Row],[Order Date]],"MMM")</f>
        <v>Feb</v>
      </c>
      <c r="C113" s="2" t="str">
        <f t="shared" si="1"/>
        <v>2015</v>
      </c>
      <c r="D113" s="1" t="s">
        <v>505</v>
      </c>
      <c r="E113" s="1" t="s">
        <v>93</v>
      </c>
      <c r="F113" s="1" t="s">
        <v>11</v>
      </c>
      <c r="G113" s="1" t="s">
        <v>16</v>
      </c>
      <c r="H113" s="1" t="s">
        <v>506</v>
      </c>
      <c r="I113" s="1">
        <v>491.55</v>
      </c>
      <c r="J113" s="1">
        <v>5</v>
      </c>
      <c r="K113" s="1">
        <v>240.86</v>
      </c>
    </row>
    <row r="114" spans="1:11" ht="12.75" x14ac:dyDescent="0.2">
      <c r="A114" s="2">
        <v>42045</v>
      </c>
      <c r="B114" s="2" t="str">
        <f>TEXT(Table1[[#This Row],[Order Date]],"MMM")</f>
        <v>Feb</v>
      </c>
      <c r="C114" s="2" t="str">
        <f t="shared" si="1"/>
        <v>2015</v>
      </c>
      <c r="D114" s="1" t="s">
        <v>507</v>
      </c>
      <c r="E114" s="1" t="s">
        <v>93</v>
      </c>
      <c r="F114" s="1" t="s">
        <v>33</v>
      </c>
      <c r="G114" s="1" t="s">
        <v>65</v>
      </c>
      <c r="H114" s="1" t="s">
        <v>508</v>
      </c>
      <c r="I114" s="1">
        <v>212.94</v>
      </c>
      <c r="J114" s="1">
        <v>3</v>
      </c>
      <c r="K114" s="1">
        <v>57.49</v>
      </c>
    </row>
    <row r="115" spans="1:11" ht="12.75" x14ac:dyDescent="0.2">
      <c r="A115" s="2">
        <v>42046</v>
      </c>
      <c r="B115" s="2" t="str">
        <f>TEXT(Table1[[#This Row],[Order Date]],"MMM")</f>
        <v>Feb</v>
      </c>
      <c r="C115" s="2" t="str">
        <f t="shared" si="1"/>
        <v>2015</v>
      </c>
      <c r="D115" s="1" t="s">
        <v>509</v>
      </c>
      <c r="E115" s="1" t="s">
        <v>10</v>
      </c>
      <c r="F115" s="1" t="s">
        <v>33</v>
      </c>
      <c r="G115" s="1" t="s">
        <v>117</v>
      </c>
      <c r="H115" s="1" t="s">
        <v>510</v>
      </c>
      <c r="I115" s="1">
        <v>99.92</v>
      </c>
      <c r="J115" s="1">
        <v>2</v>
      </c>
      <c r="K115" s="1">
        <v>-18.559999999999999</v>
      </c>
    </row>
    <row r="116" spans="1:11" ht="12.75" x14ac:dyDescent="0.2">
      <c r="A116" s="2">
        <v>42065</v>
      </c>
      <c r="B116" s="2" t="str">
        <f>TEXT(Table1[[#This Row],[Order Date]],"MMM")</f>
        <v>Mar</v>
      </c>
      <c r="C116" s="2" t="str">
        <f t="shared" si="1"/>
        <v>2015</v>
      </c>
      <c r="D116" s="1" t="s">
        <v>511</v>
      </c>
      <c r="E116" s="1" t="s">
        <v>54</v>
      </c>
      <c r="F116" s="1" t="s">
        <v>38</v>
      </c>
      <c r="G116" s="1" t="s">
        <v>213</v>
      </c>
      <c r="H116" s="1" t="s">
        <v>512</v>
      </c>
      <c r="I116" s="1">
        <v>65.97</v>
      </c>
      <c r="J116" s="1">
        <v>3</v>
      </c>
      <c r="K116" s="1">
        <v>31.01</v>
      </c>
    </row>
    <row r="117" spans="1:11" ht="12.75" x14ac:dyDescent="0.2">
      <c r="A117" s="2">
        <v>42070</v>
      </c>
      <c r="B117" s="2" t="str">
        <f>TEXT(Table1[[#This Row],[Order Date]],"MMM")</f>
        <v>Mar</v>
      </c>
      <c r="C117" s="2" t="str">
        <f t="shared" si="1"/>
        <v>2015</v>
      </c>
      <c r="D117" s="1" t="s">
        <v>513</v>
      </c>
      <c r="E117" s="1" t="s">
        <v>27</v>
      </c>
      <c r="F117" s="1" t="s">
        <v>38</v>
      </c>
      <c r="G117" s="1" t="s">
        <v>39</v>
      </c>
      <c r="H117" s="1" t="s">
        <v>514</v>
      </c>
      <c r="I117" s="1">
        <v>139.80000000000001</v>
      </c>
      <c r="J117" s="1">
        <v>5</v>
      </c>
      <c r="K117" s="1">
        <v>12.23</v>
      </c>
    </row>
    <row r="118" spans="1:11" ht="12.75" x14ac:dyDescent="0.2">
      <c r="A118" s="2">
        <v>42072</v>
      </c>
      <c r="B118" s="2" t="str">
        <f>TEXT(Table1[[#This Row],[Order Date]],"MMM")</f>
        <v>Mar</v>
      </c>
      <c r="C118" s="2" t="str">
        <f t="shared" si="1"/>
        <v>2015</v>
      </c>
      <c r="D118" s="1" t="s">
        <v>188</v>
      </c>
      <c r="E118" s="1" t="s">
        <v>10</v>
      </c>
      <c r="F118" s="1" t="s">
        <v>38</v>
      </c>
      <c r="G118" s="1" t="s">
        <v>39</v>
      </c>
      <c r="H118" s="1" t="s">
        <v>515</v>
      </c>
      <c r="I118" s="1">
        <v>201.58</v>
      </c>
      <c r="J118" s="1">
        <v>2</v>
      </c>
      <c r="K118" s="1">
        <v>20.16</v>
      </c>
    </row>
    <row r="119" spans="1:11" ht="12.75" x14ac:dyDescent="0.2">
      <c r="A119" s="2">
        <v>42074</v>
      </c>
      <c r="B119" s="2" t="str">
        <f>TEXT(Table1[[#This Row],[Order Date]],"MMM")</f>
        <v>Mar</v>
      </c>
      <c r="C119" s="2" t="str">
        <f t="shared" si="1"/>
        <v>2015</v>
      </c>
      <c r="D119" s="1" t="s">
        <v>425</v>
      </c>
      <c r="E119" s="1" t="s">
        <v>51</v>
      </c>
      <c r="F119" s="1" t="s">
        <v>33</v>
      </c>
      <c r="G119" s="1" t="s">
        <v>44</v>
      </c>
      <c r="H119" s="1" t="s">
        <v>518</v>
      </c>
      <c r="I119" s="1">
        <v>104.01</v>
      </c>
      <c r="J119" s="1">
        <v>1</v>
      </c>
      <c r="K119" s="1">
        <v>14.56</v>
      </c>
    </row>
    <row r="120" spans="1:11" ht="12.75" x14ac:dyDescent="0.2">
      <c r="A120" s="2">
        <v>42075</v>
      </c>
      <c r="B120" s="2" t="str">
        <f>TEXT(Table1[[#This Row],[Order Date]],"MMM")</f>
        <v>Mar</v>
      </c>
      <c r="C120" s="2" t="str">
        <f t="shared" si="1"/>
        <v>2015</v>
      </c>
      <c r="D120" s="1" t="s">
        <v>523</v>
      </c>
      <c r="E120" s="1" t="s">
        <v>199</v>
      </c>
      <c r="F120" s="1" t="s">
        <v>38</v>
      </c>
      <c r="G120" s="1" t="s">
        <v>48</v>
      </c>
      <c r="H120" s="1" t="s">
        <v>524</v>
      </c>
      <c r="I120" s="1">
        <v>196.75</v>
      </c>
      <c r="J120" s="1">
        <v>6</v>
      </c>
      <c r="K120" s="1">
        <v>56.57</v>
      </c>
    </row>
    <row r="121" spans="1:11" ht="12.75" x14ac:dyDescent="0.2">
      <c r="A121" s="2">
        <v>42099</v>
      </c>
      <c r="B121" s="2" t="str">
        <f>TEXT(Table1[[#This Row],[Order Date]],"MMM")</f>
        <v>Apr</v>
      </c>
      <c r="C121" s="2" t="str">
        <f t="shared" si="1"/>
        <v>2015</v>
      </c>
      <c r="D121" s="1" t="s">
        <v>531</v>
      </c>
      <c r="E121" s="1" t="s">
        <v>23</v>
      </c>
      <c r="F121" s="1" t="s">
        <v>38</v>
      </c>
      <c r="G121" s="1" t="s">
        <v>48</v>
      </c>
      <c r="H121" s="1" t="s">
        <v>532</v>
      </c>
      <c r="I121" s="1">
        <v>86.38</v>
      </c>
      <c r="J121" s="1">
        <v>3</v>
      </c>
      <c r="K121" s="1">
        <v>1.08</v>
      </c>
    </row>
    <row r="122" spans="1:11" ht="12.75" x14ac:dyDescent="0.2">
      <c r="A122" s="2">
        <v>42101</v>
      </c>
      <c r="B122" s="2" t="str">
        <f>TEXT(Table1[[#This Row],[Order Date]],"MMM")</f>
        <v>Apr</v>
      </c>
      <c r="C122" s="2" t="str">
        <f t="shared" si="1"/>
        <v>2015</v>
      </c>
      <c r="D122" s="1" t="s">
        <v>534</v>
      </c>
      <c r="E122" s="1" t="s">
        <v>82</v>
      </c>
      <c r="F122" s="1" t="s">
        <v>33</v>
      </c>
      <c r="G122" s="1" t="s">
        <v>44</v>
      </c>
      <c r="H122" s="1" t="s">
        <v>535</v>
      </c>
      <c r="I122" s="1">
        <v>4.2699999999999996</v>
      </c>
      <c r="J122" s="1">
        <v>2</v>
      </c>
      <c r="K122" s="1">
        <v>0.96</v>
      </c>
    </row>
    <row r="123" spans="1:11" ht="12.75" x14ac:dyDescent="0.2">
      <c r="A123" s="2">
        <v>42103</v>
      </c>
      <c r="B123" s="2" t="str">
        <f>TEXT(Table1[[#This Row],[Order Date]],"MMM")</f>
        <v>Apr</v>
      </c>
      <c r="C123" s="2" t="str">
        <f t="shared" si="1"/>
        <v>2015</v>
      </c>
      <c r="D123" s="1" t="s">
        <v>536</v>
      </c>
      <c r="E123" s="1" t="s">
        <v>27</v>
      </c>
      <c r="F123" s="1" t="s">
        <v>33</v>
      </c>
      <c r="G123" s="1" t="s">
        <v>117</v>
      </c>
      <c r="H123" s="1" t="s">
        <v>537</v>
      </c>
      <c r="I123" s="1">
        <v>447.84</v>
      </c>
      <c r="J123" s="1">
        <v>5</v>
      </c>
      <c r="K123" s="1">
        <v>11.2</v>
      </c>
    </row>
    <row r="124" spans="1:11" ht="12.75" x14ac:dyDescent="0.2">
      <c r="A124" s="2">
        <v>42104</v>
      </c>
      <c r="B124" s="2" t="str">
        <f>TEXT(Table1[[#This Row],[Order Date]],"MMM")</f>
        <v>Apr</v>
      </c>
      <c r="C124" s="2" t="str">
        <f t="shared" si="1"/>
        <v>2015</v>
      </c>
      <c r="D124" s="1" t="s">
        <v>539</v>
      </c>
      <c r="E124" s="1" t="s">
        <v>226</v>
      </c>
      <c r="F124" s="1" t="s">
        <v>11</v>
      </c>
      <c r="G124" s="1" t="s">
        <v>18</v>
      </c>
      <c r="H124" s="1" t="s">
        <v>109</v>
      </c>
      <c r="I124" s="1">
        <v>306.2</v>
      </c>
      <c r="J124" s="1">
        <v>5</v>
      </c>
      <c r="K124" s="1">
        <v>0</v>
      </c>
    </row>
    <row r="125" spans="1:11" ht="12.75" x14ac:dyDescent="0.2">
      <c r="A125" s="2">
        <v>42106</v>
      </c>
      <c r="B125" s="2" t="str">
        <f>TEXT(Table1[[#This Row],[Order Date]],"MMM")</f>
        <v>Apr</v>
      </c>
      <c r="C125" s="2" t="str">
        <f t="shared" si="1"/>
        <v>2015</v>
      </c>
      <c r="D125" s="1" t="s">
        <v>540</v>
      </c>
      <c r="E125" s="1" t="s">
        <v>23</v>
      </c>
      <c r="F125" s="1" t="s">
        <v>11</v>
      </c>
      <c r="G125" s="1" t="s">
        <v>12</v>
      </c>
      <c r="H125" s="1" t="s">
        <v>541</v>
      </c>
      <c r="I125" s="1">
        <v>41.47</v>
      </c>
      <c r="J125" s="1">
        <v>8</v>
      </c>
      <c r="K125" s="1">
        <v>14.52</v>
      </c>
    </row>
    <row r="126" spans="1:11" ht="12.75" x14ac:dyDescent="0.2">
      <c r="A126" s="2">
        <v>42125</v>
      </c>
      <c r="B126" s="2" t="str">
        <f>TEXT(Table1[[#This Row],[Order Date]],"MMM")</f>
        <v>May</v>
      </c>
      <c r="C126" s="2" t="str">
        <f t="shared" si="1"/>
        <v>2015</v>
      </c>
      <c r="D126" s="1" t="s">
        <v>542</v>
      </c>
      <c r="E126" s="1" t="s">
        <v>68</v>
      </c>
      <c r="F126" s="1" t="s">
        <v>11</v>
      </c>
      <c r="G126" s="1" t="s">
        <v>24</v>
      </c>
      <c r="H126" s="1" t="s">
        <v>543</v>
      </c>
      <c r="I126" s="1">
        <v>32.76</v>
      </c>
      <c r="J126" s="1">
        <v>7</v>
      </c>
      <c r="K126" s="1">
        <v>3.69</v>
      </c>
    </row>
    <row r="127" spans="1:11" ht="12.75" x14ac:dyDescent="0.2">
      <c r="A127" s="2">
        <v>42128</v>
      </c>
      <c r="B127" s="2" t="str">
        <f>TEXT(Table1[[#This Row],[Order Date]],"MMM")</f>
        <v>May</v>
      </c>
      <c r="C127" s="2" t="str">
        <f t="shared" si="1"/>
        <v>2015</v>
      </c>
      <c r="D127" s="1" t="s">
        <v>544</v>
      </c>
      <c r="E127" s="1" t="s">
        <v>119</v>
      </c>
      <c r="F127" s="1" t="s">
        <v>11</v>
      </c>
      <c r="G127" s="1" t="s">
        <v>20</v>
      </c>
      <c r="H127" s="1" t="s">
        <v>545</v>
      </c>
      <c r="I127" s="1">
        <v>334.77</v>
      </c>
      <c r="J127" s="1">
        <v>7</v>
      </c>
      <c r="K127" s="1">
        <v>108.8</v>
      </c>
    </row>
    <row r="128" spans="1:11" ht="12.75" x14ac:dyDescent="0.2">
      <c r="A128" s="2">
        <v>42130</v>
      </c>
      <c r="B128" s="2" t="str">
        <f>TEXT(Table1[[#This Row],[Order Date]],"MMM")</f>
        <v>May</v>
      </c>
      <c r="C128" s="2" t="str">
        <f t="shared" si="1"/>
        <v>2015</v>
      </c>
      <c r="D128" s="1" t="s">
        <v>271</v>
      </c>
      <c r="E128" s="1" t="s">
        <v>133</v>
      </c>
      <c r="F128" s="1" t="s">
        <v>11</v>
      </c>
      <c r="G128" s="1" t="s">
        <v>20</v>
      </c>
      <c r="H128" s="1" t="s">
        <v>549</v>
      </c>
      <c r="I128" s="1">
        <v>19.920000000000002</v>
      </c>
      <c r="J128" s="1">
        <v>5</v>
      </c>
      <c r="K128" s="1">
        <v>6.97</v>
      </c>
    </row>
    <row r="129" spans="1:11" ht="12.75" x14ac:dyDescent="0.2">
      <c r="A129" s="2">
        <v>42132</v>
      </c>
      <c r="B129" s="2" t="str">
        <f>TEXT(Table1[[#This Row],[Order Date]],"MMM")</f>
        <v>May</v>
      </c>
      <c r="C129" s="2" t="str">
        <f t="shared" ref="C129:C192" si="2">TEXT(A129,"YYY")</f>
        <v>2015</v>
      </c>
      <c r="D129" s="1" t="s">
        <v>552</v>
      </c>
      <c r="E129" s="1" t="s">
        <v>141</v>
      </c>
      <c r="F129" s="1" t="s">
        <v>38</v>
      </c>
      <c r="G129" s="1" t="s">
        <v>39</v>
      </c>
      <c r="H129" s="1" t="s">
        <v>553</v>
      </c>
      <c r="I129" s="1">
        <v>73.98</v>
      </c>
      <c r="J129" s="1">
        <v>2</v>
      </c>
      <c r="K129" s="1">
        <v>19.97</v>
      </c>
    </row>
    <row r="130" spans="1:11" ht="12.75" x14ac:dyDescent="0.2">
      <c r="A130" s="2">
        <v>42133</v>
      </c>
      <c r="B130" s="2" t="str">
        <f>TEXT(Table1[[#This Row],[Order Date]],"MMM")</f>
        <v>May</v>
      </c>
      <c r="C130" s="2" t="str">
        <f t="shared" si="2"/>
        <v>2015</v>
      </c>
      <c r="D130" s="1" t="s">
        <v>293</v>
      </c>
      <c r="E130" s="1" t="s">
        <v>199</v>
      </c>
      <c r="F130" s="1" t="s">
        <v>11</v>
      </c>
      <c r="G130" s="1" t="s">
        <v>12</v>
      </c>
      <c r="H130" s="1" t="s">
        <v>317</v>
      </c>
      <c r="I130" s="1">
        <v>177.54</v>
      </c>
      <c r="J130" s="1">
        <v>4</v>
      </c>
      <c r="K130" s="1">
        <v>62.14</v>
      </c>
    </row>
    <row r="131" spans="1:11" ht="12.75" x14ac:dyDescent="0.2">
      <c r="A131" s="2">
        <v>42134</v>
      </c>
      <c r="B131" s="2" t="str">
        <f>TEXT(Table1[[#This Row],[Order Date]],"MMM")</f>
        <v>May</v>
      </c>
      <c r="C131" s="2" t="str">
        <f t="shared" si="2"/>
        <v>2015</v>
      </c>
      <c r="D131" s="1" t="s">
        <v>555</v>
      </c>
      <c r="E131" s="1" t="s">
        <v>226</v>
      </c>
      <c r="F131" s="1" t="s">
        <v>38</v>
      </c>
      <c r="G131" s="1" t="s">
        <v>48</v>
      </c>
      <c r="H131" s="1" t="s">
        <v>556</v>
      </c>
      <c r="I131" s="1">
        <v>479.97</v>
      </c>
      <c r="J131" s="1">
        <v>3</v>
      </c>
      <c r="K131" s="1">
        <v>163.19</v>
      </c>
    </row>
    <row r="132" spans="1:11" ht="12.75" x14ac:dyDescent="0.2">
      <c r="A132" s="2">
        <v>42135</v>
      </c>
      <c r="B132" s="2" t="str">
        <f>TEXT(Table1[[#This Row],[Order Date]],"MMM")</f>
        <v>May</v>
      </c>
      <c r="C132" s="2" t="str">
        <f t="shared" si="2"/>
        <v>2015</v>
      </c>
      <c r="D132" s="1" t="s">
        <v>562</v>
      </c>
      <c r="E132" s="1" t="s">
        <v>119</v>
      </c>
      <c r="F132" s="1" t="s">
        <v>38</v>
      </c>
      <c r="G132" s="1" t="s">
        <v>387</v>
      </c>
      <c r="H132" s="1" t="s">
        <v>563</v>
      </c>
      <c r="I132" s="1">
        <v>559.99</v>
      </c>
      <c r="J132" s="1">
        <v>1</v>
      </c>
      <c r="K132" s="1">
        <v>175</v>
      </c>
    </row>
    <row r="133" spans="1:11" ht="12.75" x14ac:dyDescent="0.2">
      <c r="A133" s="2">
        <v>42158</v>
      </c>
      <c r="B133" s="2" t="str">
        <f>TEXT(Table1[[#This Row],[Order Date]],"MMM")</f>
        <v>Jun</v>
      </c>
      <c r="C133" s="2" t="str">
        <f t="shared" si="2"/>
        <v>2015</v>
      </c>
      <c r="D133" s="1" t="s">
        <v>348</v>
      </c>
      <c r="E133" s="1" t="s">
        <v>23</v>
      </c>
      <c r="F133" s="1" t="s">
        <v>33</v>
      </c>
      <c r="G133" s="1" t="s">
        <v>34</v>
      </c>
      <c r="H133" s="1" t="s">
        <v>564</v>
      </c>
      <c r="I133" s="1">
        <v>172.19</v>
      </c>
      <c r="J133" s="1">
        <v>2</v>
      </c>
      <c r="K133" s="1">
        <v>-46.74</v>
      </c>
    </row>
    <row r="134" spans="1:11" ht="12.75" x14ac:dyDescent="0.2">
      <c r="A134" s="2">
        <v>42162</v>
      </c>
      <c r="B134" s="2" t="str">
        <f>TEXT(Table1[[#This Row],[Order Date]],"MMM")</f>
        <v>Jun</v>
      </c>
      <c r="C134" s="2" t="str">
        <f t="shared" si="2"/>
        <v>2015</v>
      </c>
      <c r="D134" s="1" t="s">
        <v>565</v>
      </c>
      <c r="E134" s="1" t="s">
        <v>119</v>
      </c>
      <c r="F134" s="1" t="s">
        <v>33</v>
      </c>
      <c r="G134" s="1" t="s">
        <v>34</v>
      </c>
      <c r="H134" s="1" t="s">
        <v>494</v>
      </c>
      <c r="I134" s="1">
        <v>63.88</v>
      </c>
      <c r="J134" s="1">
        <v>1</v>
      </c>
      <c r="K134" s="1">
        <v>10.65</v>
      </c>
    </row>
    <row r="135" spans="1:11" ht="12.75" x14ac:dyDescent="0.2">
      <c r="A135" s="2">
        <v>42163</v>
      </c>
      <c r="B135" s="2" t="str">
        <f>TEXT(Table1[[#This Row],[Order Date]],"MMM")</f>
        <v>Jun</v>
      </c>
      <c r="C135" s="2" t="str">
        <f t="shared" si="2"/>
        <v>2015</v>
      </c>
      <c r="D135" s="1" t="s">
        <v>578</v>
      </c>
      <c r="E135" s="1" t="s">
        <v>27</v>
      </c>
      <c r="F135" s="1" t="s">
        <v>11</v>
      </c>
      <c r="G135" s="1" t="s">
        <v>20</v>
      </c>
      <c r="H135" s="1" t="s">
        <v>579</v>
      </c>
      <c r="I135" s="1">
        <v>7.71</v>
      </c>
      <c r="J135" s="1">
        <v>2</v>
      </c>
      <c r="K135" s="1">
        <v>2.8</v>
      </c>
    </row>
    <row r="136" spans="1:11" ht="12.75" x14ac:dyDescent="0.2">
      <c r="A136" s="2">
        <v>42187</v>
      </c>
      <c r="B136" s="2" t="str">
        <f>TEXT(Table1[[#This Row],[Order Date]],"MMM")</f>
        <v>Jul</v>
      </c>
      <c r="C136" s="2" t="str">
        <f t="shared" si="2"/>
        <v>2015</v>
      </c>
      <c r="D136" s="1" t="s">
        <v>538</v>
      </c>
      <c r="E136" s="1" t="s">
        <v>27</v>
      </c>
      <c r="F136" s="1" t="s">
        <v>33</v>
      </c>
      <c r="G136" s="1" t="s">
        <v>117</v>
      </c>
      <c r="H136" s="1" t="s">
        <v>584</v>
      </c>
      <c r="I136" s="1">
        <v>351.22</v>
      </c>
      <c r="J136" s="1">
        <v>3</v>
      </c>
      <c r="K136" s="1">
        <v>4.3899999999999997</v>
      </c>
    </row>
    <row r="137" spans="1:11" ht="12.75" x14ac:dyDescent="0.2">
      <c r="A137" s="2">
        <v>42188</v>
      </c>
      <c r="B137" s="2" t="str">
        <f>TEXT(Table1[[#This Row],[Order Date]],"MMM")</f>
        <v>Jul</v>
      </c>
      <c r="C137" s="2" t="str">
        <f t="shared" si="2"/>
        <v>2015</v>
      </c>
      <c r="D137" s="1" t="s">
        <v>585</v>
      </c>
      <c r="E137" s="1" t="s">
        <v>15</v>
      </c>
      <c r="F137" s="1" t="s">
        <v>11</v>
      </c>
      <c r="G137" s="1" t="s">
        <v>20</v>
      </c>
      <c r="H137" s="1" t="s">
        <v>586</v>
      </c>
      <c r="I137" s="1">
        <v>29.93</v>
      </c>
      <c r="J137" s="1">
        <v>7</v>
      </c>
      <c r="K137" s="1">
        <v>-46.39</v>
      </c>
    </row>
    <row r="138" spans="1:11" ht="12.75" x14ac:dyDescent="0.2">
      <c r="A138" s="2">
        <v>42189</v>
      </c>
      <c r="B138" s="2" t="str">
        <f>TEXT(Table1[[#This Row],[Order Date]],"MMM")</f>
        <v>Jul</v>
      </c>
      <c r="C138" s="2" t="str">
        <f t="shared" si="2"/>
        <v>2015</v>
      </c>
      <c r="D138" s="1" t="s">
        <v>421</v>
      </c>
      <c r="E138" s="1" t="s">
        <v>112</v>
      </c>
      <c r="F138" s="1" t="s">
        <v>38</v>
      </c>
      <c r="G138" s="1" t="s">
        <v>48</v>
      </c>
      <c r="H138" s="1" t="s">
        <v>590</v>
      </c>
      <c r="I138" s="1">
        <v>2.97</v>
      </c>
      <c r="J138" s="1">
        <v>3</v>
      </c>
      <c r="K138" s="1">
        <v>1.31</v>
      </c>
    </row>
    <row r="139" spans="1:11" ht="12.75" x14ac:dyDescent="0.2">
      <c r="A139" s="2">
        <v>42190</v>
      </c>
      <c r="B139" s="2" t="str">
        <f>TEXT(Table1[[#This Row],[Order Date]],"MMM")</f>
        <v>Jul</v>
      </c>
      <c r="C139" s="2" t="str">
        <f t="shared" si="2"/>
        <v>2015</v>
      </c>
      <c r="D139" s="1" t="s">
        <v>592</v>
      </c>
      <c r="E139" s="1" t="s">
        <v>82</v>
      </c>
      <c r="F139" s="1" t="s">
        <v>33</v>
      </c>
      <c r="G139" s="1" t="s">
        <v>34</v>
      </c>
      <c r="H139" s="1" t="s">
        <v>593</v>
      </c>
      <c r="I139" s="1">
        <v>259.14</v>
      </c>
      <c r="J139" s="1">
        <v>4</v>
      </c>
      <c r="K139" s="1">
        <v>-25.91</v>
      </c>
    </row>
    <row r="140" spans="1:11" ht="12.75" x14ac:dyDescent="0.2">
      <c r="A140" s="2">
        <v>42191</v>
      </c>
      <c r="B140" s="2" t="str">
        <f>TEXT(Table1[[#This Row],[Order Date]],"MMM")</f>
        <v>Jul</v>
      </c>
      <c r="C140" s="2" t="str">
        <f t="shared" si="2"/>
        <v>2015</v>
      </c>
      <c r="D140" s="1" t="s">
        <v>594</v>
      </c>
      <c r="E140" s="1" t="s">
        <v>393</v>
      </c>
      <c r="F140" s="1" t="s">
        <v>38</v>
      </c>
      <c r="G140" s="1" t="s">
        <v>39</v>
      </c>
      <c r="H140" s="1" t="s">
        <v>576</v>
      </c>
      <c r="I140" s="1">
        <v>359.98</v>
      </c>
      <c r="J140" s="1">
        <v>2</v>
      </c>
      <c r="K140" s="1">
        <v>93.59</v>
      </c>
    </row>
    <row r="141" spans="1:11" ht="12.75" x14ac:dyDescent="0.2">
      <c r="A141" s="2">
        <v>42196</v>
      </c>
      <c r="B141" s="2" t="str">
        <f>TEXT(Table1[[#This Row],[Order Date]],"MMM")</f>
        <v>Jul</v>
      </c>
      <c r="C141" s="2" t="str">
        <f t="shared" si="2"/>
        <v>2015</v>
      </c>
      <c r="D141" s="1" t="s">
        <v>598</v>
      </c>
      <c r="E141" s="1" t="s">
        <v>10</v>
      </c>
      <c r="F141" s="1" t="s">
        <v>11</v>
      </c>
      <c r="G141" s="1" t="s">
        <v>18</v>
      </c>
      <c r="H141" s="1" t="s">
        <v>599</v>
      </c>
      <c r="I141" s="1">
        <v>342.86</v>
      </c>
      <c r="J141" s="1">
        <v>3</v>
      </c>
      <c r="K141" s="1">
        <v>38.57</v>
      </c>
    </row>
    <row r="142" spans="1:11" ht="12.75" x14ac:dyDescent="0.2">
      <c r="A142" s="2">
        <v>42197</v>
      </c>
      <c r="B142" s="2" t="str">
        <f>TEXT(Table1[[#This Row],[Order Date]],"MMM")</f>
        <v>Jul</v>
      </c>
      <c r="C142" s="2" t="str">
        <f t="shared" si="2"/>
        <v>2015</v>
      </c>
      <c r="D142" s="1" t="s">
        <v>610</v>
      </c>
      <c r="E142" s="1" t="s">
        <v>27</v>
      </c>
      <c r="F142" s="1" t="s">
        <v>11</v>
      </c>
      <c r="G142" s="1" t="s">
        <v>24</v>
      </c>
      <c r="H142" s="1" t="s">
        <v>611</v>
      </c>
      <c r="I142" s="1">
        <v>99.2</v>
      </c>
      <c r="J142" s="1">
        <v>5</v>
      </c>
      <c r="K142" s="1">
        <v>25.79</v>
      </c>
    </row>
    <row r="143" spans="1:11" ht="12.75" x14ac:dyDescent="0.2">
      <c r="A143" s="2">
        <v>42218</v>
      </c>
      <c r="B143" s="2" t="str">
        <f>TEXT(Table1[[#This Row],[Order Date]],"MMM")</f>
        <v>Aug</v>
      </c>
      <c r="C143" s="2" t="str">
        <f t="shared" si="2"/>
        <v>2015</v>
      </c>
      <c r="D143" s="1" t="s">
        <v>616</v>
      </c>
      <c r="E143" s="1" t="s">
        <v>119</v>
      </c>
      <c r="F143" s="1" t="s">
        <v>11</v>
      </c>
      <c r="G143" s="1" t="s">
        <v>24</v>
      </c>
      <c r="H143" s="1" t="s">
        <v>617</v>
      </c>
      <c r="I143" s="1">
        <v>5.96</v>
      </c>
      <c r="J143" s="1">
        <v>2</v>
      </c>
      <c r="K143" s="1">
        <v>1.67</v>
      </c>
    </row>
    <row r="144" spans="1:11" ht="12.75" x14ac:dyDescent="0.2">
      <c r="A144" s="2">
        <v>42221</v>
      </c>
      <c r="B144" s="2" t="str">
        <f>TEXT(Table1[[#This Row],[Order Date]],"MMM")</f>
        <v>Aug</v>
      </c>
      <c r="C144" s="2" t="str">
        <f t="shared" si="2"/>
        <v>2015</v>
      </c>
      <c r="D144" s="1" t="s">
        <v>620</v>
      </c>
      <c r="E144" s="1" t="s">
        <v>82</v>
      </c>
      <c r="F144" s="1" t="s">
        <v>11</v>
      </c>
      <c r="G144" s="1" t="s">
        <v>20</v>
      </c>
      <c r="H144" s="1" t="s">
        <v>603</v>
      </c>
      <c r="I144" s="1">
        <v>8.16</v>
      </c>
      <c r="J144" s="1">
        <v>5</v>
      </c>
      <c r="K144" s="1">
        <v>-5.71</v>
      </c>
    </row>
    <row r="145" spans="1:11" ht="12.75" x14ac:dyDescent="0.2">
      <c r="A145" s="2">
        <v>42224</v>
      </c>
      <c r="B145" s="2" t="str">
        <f>TEXT(Table1[[#This Row],[Order Date]],"MMM")</f>
        <v>Aug</v>
      </c>
      <c r="C145" s="2" t="str">
        <f t="shared" si="2"/>
        <v>2015</v>
      </c>
      <c r="D145" s="1" t="s">
        <v>626</v>
      </c>
      <c r="E145" s="1" t="s">
        <v>27</v>
      </c>
      <c r="F145" s="1" t="s">
        <v>11</v>
      </c>
      <c r="G145" s="1" t="s">
        <v>18</v>
      </c>
      <c r="H145" s="1" t="s">
        <v>627</v>
      </c>
      <c r="I145" s="1">
        <v>53.72</v>
      </c>
      <c r="J145" s="1">
        <v>4</v>
      </c>
      <c r="K145" s="1">
        <v>15.04</v>
      </c>
    </row>
    <row r="146" spans="1:11" ht="12.75" x14ac:dyDescent="0.2">
      <c r="A146" s="2">
        <v>42225</v>
      </c>
      <c r="B146" s="2" t="str">
        <f>TEXT(Table1[[#This Row],[Order Date]],"MMM")</f>
        <v>Aug</v>
      </c>
      <c r="C146" s="2" t="str">
        <f t="shared" si="2"/>
        <v>2015</v>
      </c>
      <c r="D146" s="1" t="s">
        <v>629</v>
      </c>
      <c r="E146" s="1" t="s">
        <v>15</v>
      </c>
      <c r="F146" s="1" t="s">
        <v>11</v>
      </c>
      <c r="G146" s="1" t="s">
        <v>18</v>
      </c>
      <c r="H146" s="1" t="s">
        <v>630</v>
      </c>
      <c r="I146" s="1">
        <v>123.55</v>
      </c>
      <c r="J146" s="1">
        <v>3</v>
      </c>
      <c r="K146" s="1">
        <v>-29.34</v>
      </c>
    </row>
    <row r="147" spans="1:11" ht="12.75" x14ac:dyDescent="0.2">
      <c r="A147" s="2">
        <v>42227</v>
      </c>
      <c r="B147" s="2" t="str">
        <f>TEXT(Table1[[#This Row],[Order Date]],"MMM")</f>
        <v>Aug</v>
      </c>
      <c r="C147" s="2" t="str">
        <f t="shared" si="2"/>
        <v>2015</v>
      </c>
      <c r="D147" s="1" t="s">
        <v>182</v>
      </c>
      <c r="E147" s="1" t="s">
        <v>27</v>
      </c>
      <c r="F147" s="1" t="s">
        <v>38</v>
      </c>
      <c r="G147" s="1" t="s">
        <v>48</v>
      </c>
      <c r="H147" s="1" t="s">
        <v>638</v>
      </c>
      <c r="I147" s="1">
        <v>238</v>
      </c>
      <c r="J147" s="1">
        <v>2</v>
      </c>
      <c r="K147" s="1">
        <v>38.08</v>
      </c>
    </row>
    <row r="148" spans="1:11" ht="12.75" x14ac:dyDescent="0.2">
      <c r="A148" s="2">
        <v>42228</v>
      </c>
      <c r="B148" s="2" t="str">
        <f>TEXT(Table1[[#This Row],[Order Date]],"MMM")</f>
        <v>Aug</v>
      </c>
      <c r="C148" s="2" t="str">
        <f t="shared" si="2"/>
        <v>2015</v>
      </c>
      <c r="D148" s="1" t="s">
        <v>201</v>
      </c>
      <c r="E148" s="1" t="s">
        <v>100</v>
      </c>
      <c r="F148" s="1" t="s">
        <v>11</v>
      </c>
      <c r="G148" s="1" t="s">
        <v>42</v>
      </c>
      <c r="H148" s="1" t="s">
        <v>641</v>
      </c>
      <c r="I148" s="1">
        <v>14.32</v>
      </c>
      <c r="J148" s="1">
        <v>5</v>
      </c>
      <c r="K148" s="1">
        <v>5.19</v>
      </c>
    </row>
    <row r="149" spans="1:11" ht="12.75" x14ac:dyDescent="0.2">
      <c r="A149" s="2">
        <v>42249</v>
      </c>
      <c r="B149" s="2" t="str">
        <f>TEXT(Table1[[#This Row],[Order Date]],"MMM")</f>
        <v>Sep</v>
      </c>
      <c r="C149" s="2" t="str">
        <f t="shared" si="2"/>
        <v>2015</v>
      </c>
      <c r="D149" s="1" t="s">
        <v>642</v>
      </c>
      <c r="E149" s="1" t="s">
        <v>133</v>
      </c>
      <c r="F149" s="1" t="s">
        <v>33</v>
      </c>
      <c r="G149" s="1" t="s">
        <v>65</v>
      </c>
      <c r="H149" s="1" t="s">
        <v>643</v>
      </c>
      <c r="I149" s="1">
        <v>1367.84</v>
      </c>
      <c r="J149" s="1">
        <v>8</v>
      </c>
      <c r="K149" s="1">
        <v>259.89</v>
      </c>
    </row>
    <row r="150" spans="1:11" ht="12.75" x14ac:dyDescent="0.2">
      <c r="A150" s="2">
        <v>42250</v>
      </c>
      <c r="B150" s="2" t="str">
        <f>TEXT(Table1[[#This Row],[Order Date]],"MMM")</f>
        <v>Sep</v>
      </c>
      <c r="C150" s="2" t="str">
        <f t="shared" si="2"/>
        <v>2015</v>
      </c>
      <c r="D150" s="1" t="s">
        <v>589</v>
      </c>
      <c r="E150" s="1" t="s">
        <v>186</v>
      </c>
      <c r="F150" s="1" t="s">
        <v>11</v>
      </c>
      <c r="G150" s="1" t="s">
        <v>16</v>
      </c>
      <c r="H150" s="1" t="s">
        <v>644</v>
      </c>
      <c r="I150" s="1">
        <v>17.54</v>
      </c>
      <c r="J150" s="1">
        <v>3</v>
      </c>
      <c r="K150" s="1">
        <v>5.92</v>
      </c>
    </row>
    <row r="151" spans="1:11" ht="12.75" x14ac:dyDescent="0.2">
      <c r="A151" s="2">
        <v>42251</v>
      </c>
      <c r="B151" s="2" t="str">
        <f>TEXT(Table1[[#This Row],[Order Date]],"MMM")</f>
        <v>Sep</v>
      </c>
      <c r="C151" s="2" t="str">
        <f t="shared" si="2"/>
        <v>2015</v>
      </c>
      <c r="D151" s="1" t="s">
        <v>645</v>
      </c>
      <c r="E151" s="1" t="s">
        <v>147</v>
      </c>
      <c r="F151" s="1" t="s">
        <v>11</v>
      </c>
      <c r="G151" s="1" t="s">
        <v>20</v>
      </c>
      <c r="H151" s="1" t="s">
        <v>113</v>
      </c>
      <c r="I151" s="1">
        <v>26.7</v>
      </c>
      <c r="J151" s="1">
        <v>5</v>
      </c>
      <c r="K151" s="1">
        <v>12.55</v>
      </c>
    </row>
    <row r="152" spans="1:11" ht="12.75" x14ac:dyDescent="0.2">
      <c r="A152" s="2">
        <v>42252</v>
      </c>
      <c r="B152" s="2" t="str">
        <f>TEXT(Table1[[#This Row],[Order Date]],"MMM")</f>
        <v>Sep</v>
      </c>
      <c r="C152" s="2" t="str">
        <f t="shared" si="2"/>
        <v>2015</v>
      </c>
      <c r="D152" s="1" t="s">
        <v>431</v>
      </c>
      <c r="E152" s="1" t="s">
        <v>199</v>
      </c>
      <c r="F152" s="1" t="s">
        <v>33</v>
      </c>
      <c r="G152" s="1" t="s">
        <v>117</v>
      </c>
      <c r="H152" s="1" t="s">
        <v>646</v>
      </c>
      <c r="I152" s="1">
        <v>218.75</v>
      </c>
      <c r="J152" s="1">
        <v>2</v>
      </c>
      <c r="K152" s="1">
        <v>-161.88</v>
      </c>
    </row>
    <row r="153" spans="1:11" ht="12.75" x14ac:dyDescent="0.2">
      <c r="A153" s="2">
        <v>42253</v>
      </c>
      <c r="B153" s="2" t="str">
        <f>TEXT(Table1[[#This Row],[Order Date]],"MMM")</f>
        <v>Sep</v>
      </c>
      <c r="C153" s="2" t="str">
        <f t="shared" si="2"/>
        <v>2015</v>
      </c>
      <c r="D153" s="1" t="s">
        <v>648</v>
      </c>
      <c r="E153" s="1" t="s">
        <v>210</v>
      </c>
      <c r="F153" s="1" t="s">
        <v>11</v>
      </c>
      <c r="G153" s="1" t="s">
        <v>80</v>
      </c>
      <c r="H153" s="1" t="s">
        <v>649</v>
      </c>
      <c r="I153" s="1">
        <v>1089.75</v>
      </c>
      <c r="J153" s="1">
        <v>3</v>
      </c>
      <c r="K153" s="1">
        <v>305.13</v>
      </c>
    </row>
    <row r="154" spans="1:11" ht="12.75" x14ac:dyDescent="0.2">
      <c r="A154" s="2">
        <v>42254</v>
      </c>
      <c r="B154" s="2" t="str">
        <f>TEXT(Table1[[#This Row],[Order Date]],"MMM")</f>
        <v>Sep</v>
      </c>
      <c r="C154" s="2" t="str">
        <f t="shared" si="2"/>
        <v>2015</v>
      </c>
      <c r="D154" s="1" t="s">
        <v>652</v>
      </c>
      <c r="E154" s="1" t="s">
        <v>27</v>
      </c>
      <c r="F154" s="1" t="s">
        <v>11</v>
      </c>
      <c r="G154" s="1" t="s">
        <v>12</v>
      </c>
      <c r="H154" s="1" t="s">
        <v>653</v>
      </c>
      <c r="I154" s="1">
        <v>20.94</v>
      </c>
      <c r="J154" s="1">
        <v>3</v>
      </c>
      <c r="K154" s="1">
        <v>9.84</v>
      </c>
    </row>
    <row r="155" spans="1:11" ht="12.75" x14ac:dyDescent="0.2">
      <c r="A155" s="2">
        <v>42255</v>
      </c>
      <c r="B155" s="2" t="str">
        <f>TEXT(Table1[[#This Row],[Order Date]],"MMM")</f>
        <v>Sep</v>
      </c>
      <c r="C155" s="2" t="str">
        <f t="shared" si="2"/>
        <v>2015</v>
      </c>
      <c r="D155" s="1" t="s">
        <v>659</v>
      </c>
      <c r="E155" s="1" t="s">
        <v>63</v>
      </c>
      <c r="F155" s="1" t="s">
        <v>38</v>
      </c>
      <c r="G155" s="1" t="s">
        <v>48</v>
      </c>
      <c r="H155" s="1" t="s">
        <v>608</v>
      </c>
      <c r="I155" s="1">
        <v>62.91</v>
      </c>
      <c r="J155" s="1">
        <v>3</v>
      </c>
      <c r="K155" s="1">
        <v>22.65</v>
      </c>
    </row>
    <row r="156" spans="1:11" ht="12.75" x14ac:dyDescent="0.2">
      <c r="A156" s="2">
        <v>42258</v>
      </c>
      <c r="B156" s="2" t="str">
        <f>TEXT(Table1[[#This Row],[Order Date]],"MMM")</f>
        <v>Sep</v>
      </c>
      <c r="C156" s="2" t="str">
        <f t="shared" si="2"/>
        <v>2015</v>
      </c>
      <c r="D156" s="1" t="s">
        <v>661</v>
      </c>
      <c r="E156" s="1" t="s">
        <v>27</v>
      </c>
      <c r="F156" s="1" t="s">
        <v>11</v>
      </c>
      <c r="G156" s="1" t="s">
        <v>80</v>
      </c>
      <c r="H156" s="1" t="s">
        <v>662</v>
      </c>
      <c r="I156" s="1">
        <v>76.12</v>
      </c>
      <c r="J156" s="1">
        <v>2</v>
      </c>
      <c r="K156" s="1">
        <v>22.07</v>
      </c>
    </row>
    <row r="157" spans="1:11" ht="12.75" x14ac:dyDescent="0.2">
      <c r="A157" s="2">
        <v>42279</v>
      </c>
      <c r="B157" s="2" t="str">
        <f>TEXT(Table1[[#This Row],[Order Date]],"MMM")</f>
        <v>Oct</v>
      </c>
      <c r="C157" s="2" t="str">
        <f t="shared" si="2"/>
        <v>2015</v>
      </c>
      <c r="D157" s="1" t="s">
        <v>668</v>
      </c>
      <c r="E157" s="1" t="s">
        <v>100</v>
      </c>
      <c r="F157" s="1" t="s">
        <v>38</v>
      </c>
      <c r="G157" s="1" t="s">
        <v>39</v>
      </c>
      <c r="H157" s="1" t="s">
        <v>663</v>
      </c>
      <c r="I157" s="1">
        <v>178.38</v>
      </c>
      <c r="J157" s="1">
        <v>2</v>
      </c>
      <c r="K157" s="1">
        <v>22.3</v>
      </c>
    </row>
    <row r="158" spans="1:11" ht="12.75" x14ac:dyDescent="0.2">
      <c r="A158" s="2">
        <v>42280</v>
      </c>
      <c r="B158" s="2" t="str">
        <f>TEXT(Table1[[#This Row],[Order Date]],"MMM")</f>
        <v>Oct</v>
      </c>
      <c r="C158" s="2" t="str">
        <f t="shared" si="2"/>
        <v>2015</v>
      </c>
      <c r="D158" s="1" t="s">
        <v>673</v>
      </c>
      <c r="E158" s="1" t="s">
        <v>141</v>
      </c>
      <c r="F158" s="1" t="s">
        <v>11</v>
      </c>
      <c r="G158" s="1" t="s">
        <v>20</v>
      </c>
      <c r="H158" s="1" t="s">
        <v>674</v>
      </c>
      <c r="I158" s="1">
        <v>196.21</v>
      </c>
      <c r="J158" s="1">
        <v>7</v>
      </c>
      <c r="K158" s="1">
        <v>98.11</v>
      </c>
    </row>
    <row r="159" spans="1:11" ht="12.75" x14ac:dyDescent="0.2">
      <c r="A159" s="2">
        <v>42282</v>
      </c>
      <c r="B159" s="2" t="str">
        <f>TEXT(Table1[[#This Row],[Order Date]],"MMM")</f>
        <v>Oct</v>
      </c>
      <c r="C159" s="2" t="str">
        <f t="shared" si="2"/>
        <v>2015</v>
      </c>
      <c r="D159" s="1" t="s">
        <v>679</v>
      </c>
      <c r="E159" s="1" t="s">
        <v>10</v>
      </c>
      <c r="F159" s="1" t="s">
        <v>11</v>
      </c>
      <c r="G159" s="1" t="s">
        <v>20</v>
      </c>
      <c r="H159" s="1" t="s">
        <v>356</v>
      </c>
      <c r="I159" s="1">
        <v>30.96</v>
      </c>
      <c r="J159" s="1">
        <v>8</v>
      </c>
      <c r="K159" s="1">
        <v>-52.63</v>
      </c>
    </row>
    <row r="160" spans="1:11" ht="12.75" x14ac:dyDescent="0.2">
      <c r="A160" s="2">
        <v>42284</v>
      </c>
      <c r="B160" s="2" t="str">
        <f>TEXT(Table1[[#This Row],[Order Date]],"MMM")</f>
        <v>Oct</v>
      </c>
      <c r="C160" s="2" t="str">
        <f t="shared" si="2"/>
        <v>2015</v>
      </c>
      <c r="D160" s="1" t="s">
        <v>683</v>
      </c>
      <c r="E160" s="1" t="s">
        <v>23</v>
      </c>
      <c r="F160" s="1" t="s">
        <v>33</v>
      </c>
      <c r="G160" s="1" t="s">
        <v>117</v>
      </c>
      <c r="H160" s="1" t="s">
        <v>472</v>
      </c>
      <c r="I160" s="1">
        <v>853.09</v>
      </c>
      <c r="J160" s="1">
        <v>6</v>
      </c>
      <c r="K160" s="1">
        <v>-227.49</v>
      </c>
    </row>
    <row r="161" spans="1:11" ht="12.75" x14ac:dyDescent="0.2">
      <c r="A161" s="2">
        <v>42286</v>
      </c>
      <c r="B161" s="2" t="str">
        <f>TEXT(Table1[[#This Row],[Order Date]],"MMM")</f>
        <v>Oct</v>
      </c>
      <c r="C161" s="2" t="str">
        <f t="shared" si="2"/>
        <v>2015</v>
      </c>
      <c r="D161" s="1" t="s">
        <v>299</v>
      </c>
      <c r="E161" s="1" t="s">
        <v>10</v>
      </c>
      <c r="F161" s="1" t="s">
        <v>11</v>
      </c>
      <c r="G161" s="1" t="s">
        <v>12</v>
      </c>
      <c r="H161" s="1" t="s">
        <v>684</v>
      </c>
      <c r="I161" s="1">
        <v>15.55</v>
      </c>
      <c r="J161" s="1">
        <v>3</v>
      </c>
      <c r="K161" s="1">
        <v>5.44</v>
      </c>
    </row>
    <row r="162" spans="1:11" ht="12.75" x14ac:dyDescent="0.2">
      <c r="A162" s="2">
        <v>42289</v>
      </c>
      <c r="B162" s="2" t="str">
        <f>TEXT(Table1[[#This Row],[Order Date]],"MMM")</f>
        <v>Oct</v>
      </c>
      <c r="C162" s="2" t="str">
        <f t="shared" si="2"/>
        <v>2015</v>
      </c>
      <c r="D162" s="1" t="s">
        <v>474</v>
      </c>
      <c r="E162" s="1" t="s">
        <v>68</v>
      </c>
      <c r="F162" s="1" t="s">
        <v>11</v>
      </c>
      <c r="G162" s="1" t="s">
        <v>24</v>
      </c>
      <c r="H162" s="1" t="s">
        <v>687</v>
      </c>
      <c r="I162" s="1">
        <v>10.72</v>
      </c>
      <c r="J162" s="1">
        <v>2</v>
      </c>
      <c r="K162" s="1">
        <v>1.74</v>
      </c>
    </row>
    <row r="163" spans="1:11" ht="12.75" x14ac:dyDescent="0.2">
      <c r="A163" s="2">
        <v>42313</v>
      </c>
      <c r="B163" s="2" t="str">
        <f>TEXT(Table1[[#This Row],[Order Date]],"MMM")</f>
        <v>Nov</v>
      </c>
      <c r="C163" s="2" t="str">
        <f t="shared" si="2"/>
        <v>2015</v>
      </c>
      <c r="D163" s="1" t="s">
        <v>691</v>
      </c>
      <c r="E163" s="1" t="s">
        <v>15</v>
      </c>
      <c r="F163" s="1" t="s">
        <v>33</v>
      </c>
      <c r="G163" s="1" t="s">
        <v>34</v>
      </c>
      <c r="H163" s="1" t="s">
        <v>195</v>
      </c>
      <c r="I163" s="1">
        <v>421.37</v>
      </c>
      <c r="J163" s="1">
        <v>2</v>
      </c>
      <c r="K163" s="1">
        <v>-6.02</v>
      </c>
    </row>
    <row r="164" spans="1:11" ht="12.75" x14ac:dyDescent="0.2">
      <c r="A164" s="2">
        <v>42314</v>
      </c>
      <c r="B164" s="2" t="str">
        <f>TEXT(Table1[[#This Row],[Order Date]],"MMM")</f>
        <v>Nov</v>
      </c>
      <c r="C164" s="2" t="str">
        <f t="shared" si="2"/>
        <v>2015</v>
      </c>
      <c r="D164" s="1" t="s">
        <v>693</v>
      </c>
      <c r="E164" s="1" t="s">
        <v>68</v>
      </c>
      <c r="F164" s="1" t="s">
        <v>11</v>
      </c>
      <c r="G164" s="1" t="s">
        <v>24</v>
      </c>
      <c r="H164" s="1" t="s">
        <v>694</v>
      </c>
      <c r="I164" s="1">
        <v>3.91</v>
      </c>
      <c r="J164" s="1">
        <v>1</v>
      </c>
      <c r="K164" s="1">
        <v>1.03</v>
      </c>
    </row>
    <row r="165" spans="1:11" ht="12.75" x14ac:dyDescent="0.2">
      <c r="A165" s="2">
        <v>42315</v>
      </c>
      <c r="B165" s="2" t="str">
        <f>TEXT(Table1[[#This Row],[Order Date]],"MMM")</f>
        <v>Nov</v>
      </c>
      <c r="C165" s="2" t="str">
        <f t="shared" si="2"/>
        <v>2015</v>
      </c>
      <c r="D165" s="1" t="s">
        <v>697</v>
      </c>
      <c r="E165" s="1" t="s">
        <v>119</v>
      </c>
      <c r="F165" s="1" t="s">
        <v>11</v>
      </c>
      <c r="G165" s="1" t="s">
        <v>12</v>
      </c>
      <c r="H165" s="1" t="s">
        <v>698</v>
      </c>
      <c r="I165" s="1">
        <v>25.92</v>
      </c>
      <c r="J165" s="1">
        <v>4</v>
      </c>
      <c r="K165" s="1">
        <v>12.44</v>
      </c>
    </row>
    <row r="166" spans="1:11" ht="12.75" x14ac:dyDescent="0.2">
      <c r="A166" s="2">
        <v>42317</v>
      </c>
      <c r="B166" s="2" t="str">
        <f>TEXT(Table1[[#This Row],[Order Date]],"MMM")</f>
        <v>Nov</v>
      </c>
      <c r="C166" s="2" t="str">
        <f t="shared" si="2"/>
        <v>2015</v>
      </c>
      <c r="D166" s="1" t="s">
        <v>700</v>
      </c>
      <c r="E166" s="1" t="s">
        <v>336</v>
      </c>
      <c r="F166" s="1" t="s">
        <v>11</v>
      </c>
      <c r="G166" s="1" t="s">
        <v>20</v>
      </c>
      <c r="H166" s="1" t="s">
        <v>704</v>
      </c>
      <c r="I166" s="1">
        <v>8.2899999999999991</v>
      </c>
      <c r="J166" s="1">
        <v>2</v>
      </c>
      <c r="K166" s="1">
        <v>2.69</v>
      </c>
    </row>
    <row r="167" spans="1:11" ht="12.75" x14ac:dyDescent="0.2">
      <c r="A167" s="2">
        <v>42319</v>
      </c>
      <c r="B167" s="2" t="str">
        <f>TEXT(Table1[[#This Row],[Order Date]],"MMM")</f>
        <v>Nov</v>
      </c>
      <c r="C167" s="2" t="str">
        <f t="shared" si="2"/>
        <v>2015</v>
      </c>
      <c r="D167" s="1" t="s">
        <v>710</v>
      </c>
      <c r="E167" s="1" t="s">
        <v>27</v>
      </c>
      <c r="F167" s="1" t="s">
        <v>11</v>
      </c>
      <c r="G167" s="1" t="s">
        <v>24</v>
      </c>
      <c r="H167" s="1" t="s">
        <v>520</v>
      </c>
      <c r="I167" s="1">
        <v>8.56</v>
      </c>
      <c r="J167" s="1">
        <v>2</v>
      </c>
      <c r="K167" s="1">
        <v>2.48</v>
      </c>
    </row>
    <row r="168" spans="1:11" ht="12.75" x14ac:dyDescent="0.2">
      <c r="A168" s="2">
        <v>42339</v>
      </c>
      <c r="B168" s="2" t="str">
        <f>TEXT(Table1[[#This Row],[Order Date]],"MMM")</f>
        <v>Dec</v>
      </c>
      <c r="C168" s="2" t="str">
        <f t="shared" si="2"/>
        <v>2015</v>
      </c>
      <c r="D168" s="1" t="s">
        <v>712</v>
      </c>
      <c r="E168" s="1" t="s">
        <v>27</v>
      </c>
      <c r="F168" s="1" t="s">
        <v>11</v>
      </c>
      <c r="G168" s="1" t="s">
        <v>12</v>
      </c>
      <c r="H168" s="1" t="s">
        <v>713</v>
      </c>
      <c r="I168" s="1">
        <v>109.92</v>
      </c>
      <c r="J168" s="1">
        <v>2</v>
      </c>
      <c r="K168" s="1">
        <v>53.86</v>
      </c>
    </row>
    <row r="169" spans="1:11" ht="12.75" x14ac:dyDescent="0.2">
      <c r="A169" s="2">
        <v>42341</v>
      </c>
      <c r="B169" s="2" t="str">
        <f>TEXT(Table1[[#This Row],[Order Date]],"MMM")</f>
        <v>Dec</v>
      </c>
      <c r="C169" s="2" t="str">
        <f t="shared" si="2"/>
        <v>2015</v>
      </c>
      <c r="D169" s="1" t="s">
        <v>715</v>
      </c>
      <c r="E169" s="1" t="s">
        <v>393</v>
      </c>
      <c r="F169" s="1" t="s">
        <v>11</v>
      </c>
      <c r="G169" s="1" t="s">
        <v>20</v>
      </c>
      <c r="H169" s="1" t="s">
        <v>716</v>
      </c>
      <c r="I169" s="1">
        <v>25.3</v>
      </c>
      <c r="J169" s="1">
        <v>5</v>
      </c>
      <c r="K169" s="1">
        <v>11.89</v>
      </c>
    </row>
    <row r="170" spans="1:11" ht="12.75" x14ac:dyDescent="0.2">
      <c r="A170" s="2">
        <v>42342</v>
      </c>
      <c r="B170" s="2" t="str">
        <f>TEXT(Table1[[#This Row],[Order Date]],"MMM")</f>
        <v>Dec</v>
      </c>
      <c r="C170" s="2" t="str">
        <f t="shared" si="2"/>
        <v>2015</v>
      </c>
      <c r="D170" s="1" t="s">
        <v>717</v>
      </c>
      <c r="E170" s="1" t="s">
        <v>263</v>
      </c>
      <c r="F170" s="1" t="s">
        <v>38</v>
      </c>
      <c r="G170" s="1" t="s">
        <v>48</v>
      </c>
      <c r="H170" s="1" t="s">
        <v>718</v>
      </c>
      <c r="I170" s="1">
        <v>92.52</v>
      </c>
      <c r="J170" s="1">
        <v>9</v>
      </c>
      <c r="K170" s="1">
        <v>18.5</v>
      </c>
    </row>
    <row r="171" spans="1:11" ht="12.75" x14ac:dyDescent="0.2">
      <c r="A171" s="2">
        <v>42343</v>
      </c>
      <c r="B171" s="2" t="str">
        <f>TEXT(Table1[[#This Row],[Order Date]],"MMM")</f>
        <v>Dec</v>
      </c>
      <c r="C171" s="2" t="str">
        <f t="shared" si="2"/>
        <v>2015</v>
      </c>
      <c r="D171" s="1" t="s">
        <v>719</v>
      </c>
      <c r="E171" s="1" t="s">
        <v>27</v>
      </c>
      <c r="F171" s="1" t="s">
        <v>11</v>
      </c>
      <c r="G171" s="1" t="s">
        <v>24</v>
      </c>
      <c r="H171" s="1" t="s">
        <v>720</v>
      </c>
      <c r="I171" s="1">
        <v>53.94</v>
      </c>
      <c r="J171" s="1">
        <v>3</v>
      </c>
      <c r="K171" s="1">
        <v>15.64</v>
      </c>
    </row>
    <row r="172" spans="1:11" ht="12.75" x14ac:dyDescent="0.2">
      <c r="A172" s="2">
        <v>42347</v>
      </c>
      <c r="B172" s="2" t="str">
        <f>TEXT(Table1[[#This Row],[Order Date]],"MMM")</f>
        <v>Dec</v>
      </c>
      <c r="C172" s="2" t="str">
        <f t="shared" si="2"/>
        <v>2015</v>
      </c>
      <c r="D172" s="1" t="s">
        <v>384</v>
      </c>
      <c r="E172" s="1" t="s">
        <v>119</v>
      </c>
      <c r="F172" s="1" t="s">
        <v>11</v>
      </c>
      <c r="G172" s="1" t="s">
        <v>80</v>
      </c>
      <c r="H172" s="1" t="s">
        <v>163</v>
      </c>
      <c r="I172" s="1">
        <v>19.899999999999999</v>
      </c>
      <c r="J172" s="1">
        <v>1</v>
      </c>
      <c r="K172" s="1">
        <v>8.9600000000000009</v>
      </c>
    </row>
    <row r="173" spans="1:11" ht="12.75" x14ac:dyDescent="0.2">
      <c r="A173" s="2">
        <v>42350</v>
      </c>
      <c r="B173" s="2" t="str">
        <f>TEXT(Table1[[#This Row],[Order Date]],"MMM")</f>
        <v>Dec</v>
      </c>
      <c r="C173" s="2" t="str">
        <f t="shared" si="2"/>
        <v>2015</v>
      </c>
      <c r="D173" s="1" t="s">
        <v>355</v>
      </c>
      <c r="E173" s="1" t="s">
        <v>119</v>
      </c>
      <c r="F173" s="1" t="s">
        <v>11</v>
      </c>
      <c r="G173" s="1" t="s">
        <v>16</v>
      </c>
      <c r="H173" s="1" t="s">
        <v>575</v>
      </c>
      <c r="I173" s="1">
        <v>14.4</v>
      </c>
      <c r="J173" s="1">
        <v>5</v>
      </c>
      <c r="K173" s="1">
        <v>7.06</v>
      </c>
    </row>
    <row r="174" spans="1:11" ht="12.75" x14ac:dyDescent="0.2">
      <c r="A174" s="2">
        <v>42371</v>
      </c>
      <c r="B174" s="2" t="str">
        <f>TEXT(Table1[[#This Row],[Order Date]],"MMM")</f>
        <v>Jan</v>
      </c>
      <c r="C174" s="2" t="str">
        <f t="shared" si="2"/>
        <v>2016</v>
      </c>
      <c r="D174" s="1" t="s">
        <v>411</v>
      </c>
      <c r="E174" s="1" t="s">
        <v>23</v>
      </c>
      <c r="F174" s="1" t="s">
        <v>11</v>
      </c>
      <c r="G174" s="1" t="s">
        <v>18</v>
      </c>
      <c r="H174" s="1" t="s">
        <v>194</v>
      </c>
      <c r="I174" s="1">
        <v>64.78</v>
      </c>
      <c r="J174" s="1">
        <v>1</v>
      </c>
      <c r="K174" s="1">
        <v>-14.58</v>
      </c>
    </row>
    <row r="175" spans="1:11" ht="12.75" x14ac:dyDescent="0.2">
      <c r="A175" s="2">
        <v>42376</v>
      </c>
      <c r="B175" s="2" t="str">
        <f>TEXT(Table1[[#This Row],[Order Date]],"MMM")</f>
        <v>Jan</v>
      </c>
      <c r="C175" s="2" t="str">
        <f t="shared" si="2"/>
        <v>2016</v>
      </c>
      <c r="D175" s="1" t="s">
        <v>741</v>
      </c>
      <c r="E175" s="1" t="s">
        <v>93</v>
      </c>
      <c r="F175" s="1" t="s">
        <v>11</v>
      </c>
      <c r="G175" s="1" t="s">
        <v>16</v>
      </c>
      <c r="H175" s="1" t="s">
        <v>742</v>
      </c>
      <c r="I175" s="1">
        <v>103.6</v>
      </c>
      <c r="J175" s="1">
        <v>7</v>
      </c>
      <c r="K175" s="1">
        <v>51.8</v>
      </c>
    </row>
    <row r="176" spans="1:11" ht="12.75" x14ac:dyDescent="0.2">
      <c r="A176" s="2">
        <v>42378</v>
      </c>
      <c r="B176" s="2" t="str">
        <f>TEXT(Table1[[#This Row],[Order Date]],"MMM")</f>
        <v>Jan</v>
      </c>
      <c r="C176" s="2" t="str">
        <f t="shared" si="2"/>
        <v>2016</v>
      </c>
      <c r="D176" s="1" t="s">
        <v>747</v>
      </c>
      <c r="E176" s="1" t="s">
        <v>27</v>
      </c>
      <c r="F176" s="1" t="s">
        <v>33</v>
      </c>
      <c r="G176" s="1" t="s">
        <v>44</v>
      </c>
      <c r="H176" s="1" t="s">
        <v>748</v>
      </c>
      <c r="I176" s="1">
        <v>127.95</v>
      </c>
      <c r="J176" s="1">
        <v>3</v>
      </c>
      <c r="K176" s="1">
        <v>21.75</v>
      </c>
    </row>
    <row r="177" spans="1:11" ht="12.75" x14ac:dyDescent="0.2">
      <c r="A177" s="2">
        <v>42380</v>
      </c>
      <c r="B177" s="2" t="str">
        <f>TEXT(Table1[[#This Row],[Order Date]],"MMM")</f>
        <v>Jan</v>
      </c>
      <c r="C177" s="2" t="str">
        <f t="shared" si="2"/>
        <v>2016</v>
      </c>
      <c r="D177" s="1" t="s">
        <v>107</v>
      </c>
      <c r="E177" s="1" t="s">
        <v>119</v>
      </c>
      <c r="F177" s="1" t="s">
        <v>38</v>
      </c>
      <c r="G177" s="1" t="s">
        <v>213</v>
      </c>
      <c r="H177" s="1" t="s">
        <v>734</v>
      </c>
      <c r="I177" s="1">
        <v>69.989999999999995</v>
      </c>
      <c r="J177" s="1">
        <v>1</v>
      </c>
      <c r="K177" s="1">
        <v>30.1</v>
      </c>
    </row>
    <row r="178" spans="1:11" ht="12.75" x14ac:dyDescent="0.2">
      <c r="A178" s="2">
        <v>42381</v>
      </c>
      <c r="B178" s="2" t="str">
        <f>TEXT(Table1[[#This Row],[Order Date]],"MMM")</f>
        <v>Jan</v>
      </c>
      <c r="C178" s="2" t="str">
        <f t="shared" si="2"/>
        <v>2016</v>
      </c>
      <c r="D178" s="1" t="s">
        <v>753</v>
      </c>
      <c r="E178" s="1" t="s">
        <v>186</v>
      </c>
      <c r="F178" s="1" t="s">
        <v>11</v>
      </c>
      <c r="G178" s="1" t="s">
        <v>20</v>
      </c>
      <c r="H178" s="1" t="s">
        <v>637</v>
      </c>
      <c r="I178" s="1">
        <v>18.649999999999999</v>
      </c>
      <c r="J178" s="1">
        <v>7</v>
      </c>
      <c r="K178" s="1">
        <v>-12.43</v>
      </c>
    </row>
    <row r="179" spans="1:11" ht="12.75" x14ac:dyDescent="0.2">
      <c r="A179" s="2">
        <v>42401</v>
      </c>
      <c r="B179" s="2" t="str">
        <f>TEXT(Table1[[#This Row],[Order Date]],"MMM")</f>
        <v>Feb</v>
      </c>
      <c r="C179" s="2" t="str">
        <f t="shared" si="2"/>
        <v>2016</v>
      </c>
      <c r="D179" s="1" t="s">
        <v>758</v>
      </c>
      <c r="E179" s="1" t="s">
        <v>15</v>
      </c>
      <c r="F179" s="1" t="s">
        <v>11</v>
      </c>
      <c r="G179" s="1" t="s">
        <v>80</v>
      </c>
      <c r="H179" s="1" t="s">
        <v>759</v>
      </c>
      <c r="I179" s="1">
        <v>52.45</v>
      </c>
      <c r="J179" s="1">
        <v>2</v>
      </c>
      <c r="K179" s="1">
        <v>-131.12</v>
      </c>
    </row>
    <row r="180" spans="1:11" ht="12.75" x14ac:dyDescent="0.2">
      <c r="A180" s="2">
        <v>42402</v>
      </c>
      <c r="B180" s="2" t="str">
        <f>TEXT(Table1[[#This Row],[Order Date]],"MMM")</f>
        <v>Feb</v>
      </c>
      <c r="C180" s="2" t="str">
        <f t="shared" si="2"/>
        <v>2016</v>
      </c>
      <c r="D180" s="1" t="s">
        <v>762</v>
      </c>
      <c r="E180" s="1" t="s">
        <v>23</v>
      </c>
      <c r="F180" s="1" t="s">
        <v>33</v>
      </c>
      <c r="G180" s="1" t="s">
        <v>44</v>
      </c>
      <c r="H180" s="1" t="s">
        <v>763</v>
      </c>
      <c r="I180" s="1">
        <v>103.94</v>
      </c>
      <c r="J180" s="1">
        <v>4</v>
      </c>
      <c r="K180" s="1">
        <v>16.89</v>
      </c>
    </row>
    <row r="181" spans="1:11" ht="12.75" x14ac:dyDescent="0.2">
      <c r="A181" s="2">
        <v>42404</v>
      </c>
      <c r="B181" s="2" t="str">
        <f>TEXT(Table1[[#This Row],[Order Date]],"MMM")</f>
        <v>Feb</v>
      </c>
      <c r="C181" s="2" t="str">
        <f t="shared" si="2"/>
        <v>2016</v>
      </c>
      <c r="D181" s="1" t="s">
        <v>440</v>
      </c>
      <c r="E181" s="1" t="s">
        <v>119</v>
      </c>
      <c r="F181" s="1" t="s">
        <v>11</v>
      </c>
      <c r="G181" s="1" t="s">
        <v>20</v>
      </c>
      <c r="H181" s="1" t="s">
        <v>521</v>
      </c>
      <c r="I181" s="1">
        <v>33.549999999999997</v>
      </c>
      <c r="J181" s="1">
        <v>1</v>
      </c>
      <c r="K181" s="1">
        <v>12.58</v>
      </c>
    </row>
    <row r="182" spans="1:11" ht="12.75" x14ac:dyDescent="0.2">
      <c r="A182" s="2">
        <v>42405</v>
      </c>
      <c r="B182" s="2" t="str">
        <f>TEXT(Table1[[#This Row],[Order Date]],"MMM")</f>
        <v>Feb</v>
      </c>
      <c r="C182" s="2" t="str">
        <f t="shared" si="2"/>
        <v>2016</v>
      </c>
      <c r="D182" s="1" t="s">
        <v>764</v>
      </c>
      <c r="E182" s="1" t="s">
        <v>23</v>
      </c>
      <c r="F182" s="1" t="s">
        <v>11</v>
      </c>
      <c r="G182" s="1" t="s">
        <v>20</v>
      </c>
      <c r="H182" s="1" t="s">
        <v>765</v>
      </c>
      <c r="I182" s="1">
        <v>5.89</v>
      </c>
      <c r="J182" s="1">
        <v>4</v>
      </c>
      <c r="K182" s="1">
        <v>-4.12</v>
      </c>
    </row>
    <row r="183" spans="1:11" ht="12.75" x14ac:dyDescent="0.2">
      <c r="A183" s="2">
        <v>42407</v>
      </c>
      <c r="B183" s="2" t="str">
        <f>TEXT(Table1[[#This Row],[Order Date]],"MMM")</f>
        <v>Feb</v>
      </c>
      <c r="C183" s="2" t="str">
        <f t="shared" si="2"/>
        <v>2016</v>
      </c>
      <c r="D183" s="1" t="s">
        <v>411</v>
      </c>
      <c r="E183" s="1" t="s">
        <v>10</v>
      </c>
      <c r="F183" s="1" t="s">
        <v>38</v>
      </c>
      <c r="G183" s="1" t="s">
        <v>213</v>
      </c>
      <c r="H183" s="1" t="s">
        <v>729</v>
      </c>
      <c r="I183" s="1">
        <v>3059.98</v>
      </c>
      <c r="J183" s="1">
        <v>3</v>
      </c>
      <c r="K183" s="1">
        <v>-510</v>
      </c>
    </row>
    <row r="184" spans="1:11" ht="12.75" x14ac:dyDescent="0.2">
      <c r="A184" s="2">
        <v>42408</v>
      </c>
      <c r="B184" s="2" t="str">
        <f>TEXT(Table1[[#This Row],[Order Date]],"MMM")</f>
        <v>Feb</v>
      </c>
      <c r="C184" s="2" t="str">
        <f t="shared" si="2"/>
        <v>2016</v>
      </c>
      <c r="D184" s="1" t="s">
        <v>771</v>
      </c>
      <c r="E184" s="1" t="s">
        <v>15</v>
      </c>
      <c r="F184" s="1" t="s">
        <v>33</v>
      </c>
      <c r="G184" s="1" t="s">
        <v>117</v>
      </c>
      <c r="H184" s="1" t="s">
        <v>504</v>
      </c>
      <c r="I184" s="1">
        <v>617.70000000000005</v>
      </c>
      <c r="J184" s="1">
        <v>6</v>
      </c>
      <c r="K184" s="1">
        <v>-407.68</v>
      </c>
    </row>
    <row r="185" spans="1:11" ht="12.75" x14ac:dyDescent="0.2">
      <c r="A185" s="2">
        <v>42409</v>
      </c>
      <c r="B185" s="2" t="str">
        <f>TEXT(Table1[[#This Row],[Order Date]],"MMM")</f>
        <v>Feb</v>
      </c>
      <c r="C185" s="2" t="str">
        <f t="shared" si="2"/>
        <v>2016</v>
      </c>
      <c r="D185" s="1" t="s">
        <v>776</v>
      </c>
      <c r="E185" s="1" t="s">
        <v>133</v>
      </c>
      <c r="F185" s="1" t="s">
        <v>38</v>
      </c>
      <c r="G185" s="1" t="s">
        <v>39</v>
      </c>
      <c r="H185" s="1" t="s">
        <v>777</v>
      </c>
      <c r="I185" s="1">
        <v>246.38</v>
      </c>
      <c r="J185" s="1">
        <v>2</v>
      </c>
      <c r="K185" s="1">
        <v>27.72</v>
      </c>
    </row>
    <row r="186" spans="1:11" ht="12.75" x14ac:dyDescent="0.2">
      <c r="A186" s="2">
        <v>42410</v>
      </c>
      <c r="B186" s="2" t="str">
        <f>TEXT(Table1[[#This Row],[Order Date]],"MMM")</f>
        <v>Feb</v>
      </c>
      <c r="C186" s="2" t="str">
        <f t="shared" si="2"/>
        <v>2016</v>
      </c>
      <c r="D186" s="1" t="s">
        <v>789</v>
      </c>
      <c r="E186" s="1" t="s">
        <v>27</v>
      </c>
      <c r="F186" s="1" t="s">
        <v>11</v>
      </c>
      <c r="G186" s="1" t="s">
        <v>18</v>
      </c>
      <c r="H186" s="1" t="s">
        <v>790</v>
      </c>
      <c r="I186" s="1">
        <v>211.96</v>
      </c>
      <c r="J186" s="1">
        <v>4</v>
      </c>
      <c r="K186" s="1">
        <v>8.48</v>
      </c>
    </row>
    <row r="187" spans="1:11" ht="12.75" x14ac:dyDescent="0.2">
      <c r="A187" s="2">
        <v>42431</v>
      </c>
      <c r="B187" s="2" t="str">
        <f>TEXT(Table1[[#This Row],[Order Date]],"MMM")</f>
        <v>Mar</v>
      </c>
      <c r="C187" s="2" t="str">
        <f t="shared" si="2"/>
        <v>2016</v>
      </c>
      <c r="D187" s="1" t="s">
        <v>791</v>
      </c>
      <c r="E187" s="1" t="s">
        <v>10</v>
      </c>
      <c r="F187" s="1" t="s">
        <v>11</v>
      </c>
      <c r="G187" s="1" t="s">
        <v>12</v>
      </c>
      <c r="H187" s="1" t="s">
        <v>792</v>
      </c>
      <c r="I187" s="1">
        <v>33.79</v>
      </c>
      <c r="J187" s="1">
        <v>8</v>
      </c>
      <c r="K187" s="1">
        <v>10.56</v>
      </c>
    </row>
    <row r="188" spans="1:11" ht="12.75" x14ac:dyDescent="0.2">
      <c r="A188" s="2">
        <v>42432</v>
      </c>
      <c r="B188" s="2" t="str">
        <f>TEXT(Table1[[#This Row],[Order Date]],"MMM")</f>
        <v>Mar</v>
      </c>
      <c r="C188" s="2" t="str">
        <f t="shared" si="2"/>
        <v>2016</v>
      </c>
      <c r="D188" s="1" t="s">
        <v>239</v>
      </c>
      <c r="E188" s="1" t="s">
        <v>141</v>
      </c>
      <c r="F188" s="1" t="s">
        <v>33</v>
      </c>
      <c r="G188" s="1" t="s">
        <v>44</v>
      </c>
      <c r="H188" s="1" t="s">
        <v>797</v>
      </c>
      <c r="I188" s="1">
        <v>87.54</v>
      </c>
      <c r="J188" s="1">
        <v>3</v>
      </c>
      <c r="K188" s="1">
        <v>37.64</v>
      </c>
    </row>
    <row r="189" spans="1:11" ht="12.75" x14ac:dyDescent="0.2">
      <c r="A189" s="2">
        <v>42433</v>
      </c>
      <c r="B189" s="2" t="str">
        <f>TEXT(Table1[[#This Row],[Order Date]],"MMM")</f>
        <v>Mar</v>
      </c>
      <c r="C189" s="2" t="str">
        <f t="shared" si="2"/>
        <v>2016</v>
      </c>
      <c r="D189" s="1" t="s">
        <v>798</v>
      </c>
      <c r="E189" s="1" t="s">
        <v>286</v>
      </c>
      <c r="F189" s="1" t="s">
        <v>11</v>
      </c>
      <c r="G189" s="1" t="s">
        <v>18</v>
      </c>
      <c r="H189" s="1" t="s">
        <v>768</v>
      </c>
      <c r="I189" s="1">
        <v>46.26</v>
      </c>
      <c r="J189" s="1">
        <v>3</v>
      </c>
      <c r="K189" s="1">
        <v>12.49</v>
      </c>
    </row>
    <row r="190" spans="1:11" ht="12.75" x14ac:dyDescent="0.2">
      <c r="A190" s="2">
        <v>42434</v>
      </c>
      <c r="B190" s="2" t="str">
        <f>TEXT(Table1[[#This Row],[Order Date]],"MMM")</f>
        <v>Mar</v>
      </c>
      <c r="C190" s="2" t="str">
        <f t="shared" si="2"/>
        <v>2016</v>
      </c>
      <c r="D190" s="1" t="s">
        <v>701</v>
      </c>
      <c r="E190" s="1" t="s">
        <v>27</v>
      </c>
      <c r="F190" s="1" t="s">
        <v>33</v>
      </c>
      <c r="G190" s="1" t="s">
        <v>44</v>
      </c>
      <c r="H190" s="1" t="s">
        <v>801</v>
      </c>
      <c r="I190" s="1">
        <v>204.6</v>
      </c>
      <c r="J190" s="1">
        <v>2</v>
      </c>
      <c r="K190" s="1">
        <v>53.2</v>
      </c>
    </row>
    <row r="191" spans="1:11" ht="12.75" x14ac:dyDescent="0.2">
      <c r="A191" s="2">
        <v>42435</v>
      </c>
      <c r="B191" s="2" t="str">
        <f>TEXT(Table1[[#This Row],[Order Date]],"MMM")</f>
        <v>Mar</v>
      </c>
      <c r="C191" s="2" t="str">
        <f t="shared" si="2"/>
        <v>2016</v>
      </c>
      <c r="D191" s="1" t="s">
        <v>546</v>
      </c>
      <c r="E191" s="1" t="s">
        <v>119</v>
      </c>
      <c r="F191" s="1" t="s">
        <v>11</v>
      </c>
      <c r="G191" s="1" t="s">
        <v>12</v>
      </c>
      <c r="H191" s="1" t="s">
        <v>808</v>
      </c>
      <c r="I191" s="1">
        <v>48.94</v>
      </c>
      <c r="J191" s="1">
        <v>1</v>
      </c>
      <c r="K191" s="1">
        <v>24.47</v>
      </c>
    </row>
    <row r="192" spans="1:11" ht="12.75" x14ac:dyDescent="0.2">
      <c r="A192" s="2">
        <v>42437</v>
      </c>
      <c r="B192" s="2" t="str">
        <f>TEXT(Table1[[#This Row],[Order Date]],"MMM")</f>
        <v>Mar</v>
      </c>
      <c r="C192" s="2" t="str">
        <f t="shared" si="2"/>
        <v>2016</v>
      </c>
      <c r="D192" s="1" t="s">
        <v>811</v>
      </c>
      <c r="E192" s="1" t="s">
        <v>82</v>
      </c>
      <c r="F192" s="1" t="s">
        <v>11</v>
      </c>
      <c r="G192" s="1" t="s">
        <v>12</v>
      </c>
      <c r="H192" s="1" t="s">
        <v>812</v>
      </c>
      <c r="I192" s="1">
        <v>9.41</v>
      </c>
      <c r="J192" s="1">
        <v>2</v>
      </c>
      <c r="K192" s="1">
        <v>3.41</v>
      </c>
    </row>
    <row r="193" spans="1:11" ht="12.75" x14ac:dyDescent="0.2">
      <c r="A193" s="2">
        <v>42438</v>
      </c>
      <c r="B193" s="2" t="str">
        <f>TEXT(Table1[[#This Row],[Order Date]],"MMM")</f>
        <v>Mar</v>
      </c>
      <c r="C193" s="2" t="str">
        <f t="shared" ref="C193:C256" si="3">TEXT(A193,"YYY")</f>
        <v>2016</v>
      </c>
      <c r="D193" s="1" t="s">
        <v>820</v>
      </c>
      <c r="E193" s="1" t="s">
        <v>27</v>
      </c>
      <c r="F193" s="1" t="s">
        <v>11</v>
      </c>
      <c r="G193" s="1" t="s">
        <v>16</v>
      </c>
      <c r="H193" s="1" t="s">
        <v>821</v>
      </c>
      <c r="I193" s="1">
        <v>14.45</v>
      </c>
      <c r="J193" s="1">
        <v>5</v>
      </c>
      <c r="K193" s="1">
        <v>6.79</v>
      </c>
    </row>
    <row r="194" spans="1:11" ht="12.75" x14ac:dyDescent="0.2">
      <c r="A194" s="2">
        <v>42440</v>
      </c>
      <c r="B194" s="2" t="str">
        <f>TEXT(Table1[[#This Row],[Order Date]],"MMM")</f>
        <v>Mar</v>
      </c>
      <c r="C194" s="2" t="str">
        <f t="shared" si="3"/>
        <v>2016</v>
      </c>
      <c r="D194" s="1" t="s">
        <v>823</v>
      </c>
      <c r="E194" s="1" t="s">
        <v>68</v>
      </c>
      <c r="F194" s="1" t="s">
        <v>11</v>
      </c>
      <c r="G194" s="1" t="s">
        <v>80</v>
      </c>
      <c r="H194" s="1" t="s">
        <v>500</v>
      </c>
      <c r="I194" s="1">
        <v>91.92</v>
      </c>
      <c r="J194" s="1">
        <v>5</v>
      </c>
      <c r="K194" s="1">
        <v>11.49</v>
      </c>
    </row>
    <row r="195" spans="1:11" ht="12.75" x14ac:dyDescent="0.2">
      <c r="A195" s="2">
        <v>42462</v>
      </c>
      <c r="B195" s="2" t="str">
        <f>TEXT(Table1[[#This Row],[Order Date]],"MMM")</f>
        <v>Apr</v>
      </c>
      <c r="C195" s="2" t="str">
        <f t="shared" si="3"/>
        <v>2016</v>
      </c>
      <c r="D195" s="1" t="s">
        <v>92</v>
      </c>
      <c r="E195" s="1" t="s">
        <v>27</v>
      </c>
      <c r="F195" s="1" t="s">
        <v>38</v>
      </c>
      <c r="G195" s="1" t="s">
        <v>48</v>
      </c>
      <c r="H195" s="1" t="s">
        <v>824</v>
      </c>
      <c r="I195" s="1">
        <v>9.09</v>
      </c>
      <c r="J195" s="1">
        <v>3</v>
      </c>
      <c r="K195" s="1">
        <v>1.91</v>
      </c>
    </row>
    <row r="196" spans="1:11" ht="12.75" x14ac:dyDescent="0.2">
      <c r="A196" s="2">
        <v>42463</v>
      </c>
      <c r="B196" s="2" t="str">
        <f>TEXT(Table1[[#This Row],[Order Date]],"MMM")</f>
        <v>Apr</v>
      </c>
      <c r="C196" s="2" t="str">
        <f t="shared" si="3"/>
        <v>2016</v>
      </c>
      <c r="D196" s="1" t="s">
        <v>776</v>
      </c>
      <c r="E196" s="1" t="s">
        <v>186</v>
      </c>
      <c r="F196" s="1" t="s">
        <v>38</v>
      </c>
      <c r="G196" s="1" t="s">
        <v>48</v>
      </c>
      <c r="H196" s="1" t="s">
        <v>826</v>
      </c>
      <c r="I196" s="1">
        <v>23.47</v>
      </c>
      <c r="J196" s="1">
        <v>3</v>
      </c>
      <c r="K196" s="1">
        <v>4.99</v>
      </c>
    </row>
    <row r="197" spans="1:11" ht="12.75" x14ac:dyDescent="0.2">
      <c r="A197" s="2">
        <v>42464</v>
      </c>
      <c r="B197" s="2" t="str">
        <f>TEXT(Table1[[#This Row],[Order Date]],"MMM")</f>
        <v>Apr</v>
      </c>
      <c r="C197" s="2" t="str">
        <f t="shared" si="3"/>
        <v>2016</v>
      </c>
      <c r="D197" s="1" t="s">
        <v>827</v>
      </c>
      <c r="E197" s="1" t="s">
        <v>27</v>
      </c>
      <c r="F197" s="1" t="s">
        <v>33</v>
      </c>
      <c r="G197" s="1" t="s">
        <v>34</v>
      </c>
      <c r="H197" s="1" t="s">
        <v>816</v>
      </c>
      <c r="I197" s="1">
        <v>122.35</v>
      </c>
      <c r="J197" s="1">
        <v>3</v>
      </c>
      <c r="K197" s="1">
        <v>13.76</v>
      </c>
    </row>
    <row r="198" spans="1:11" ht="12.75" x14ac:dyDescent="0.2">
      <c r="A198" s="2">
        <v>42466</v>
      </c>
      <c r="B198" s="2" t="str">
        <f>TEXT(Table1[[#This Row],[Order Date]],"MMM")</f>
        <v>Apr</v>
      </c>
      <c r="C198" s="2" t="str">
        <f t="shared" si="3"/>
        <v>2016</v>
      </c>
      <c r="D198" s="1" t="s">
        <v>828</v>
      </c>
      <c r="E198" s="1" t="s">
        <v>23</v>
      </c>
      <c r="F198" s="1" t="s">
        <v>11</v>
      </c>
      <c r="G198" s="1" t="s">
        <v>18</v>
      </c>
      <c r="H198" s="1" t="s">
        <v>829</v>
      </c>
      <c r="I198" s="1">
        <v>281.89999999999998</v>
      </c>
      <c r="J198" s="1">
        <v>2</v>
      </c>
      <c r="K198" s="1">
        <v>10.57</v>
      </c>
    </row>
    <row r="199" spans="1:11" ht="12.75" x14ac:dyDescent="0.2">
      <c r="A199" s="2">
        <v>42467</v>
      </c>
      <c r="B199" s="2" t="str">
        <f>TEXT(Table1[[#This Row],[Order Date]],"MMM")</f>
        <v>Apr</v>
      </c>
      <c r="C199" s="2" t="str">
        <f t="shared" si="3"/>
        <v>2016</v>
      </c>
      <c r="D199" s="1" t="s">
        <v>831</v>
      </c>
      <c r="E199" s="1" t="s">
        <v>133</v>
      </c>
      <c r="F199" s="1" t="s">
        <v>11</v>
      </c>
      <c r="G199" s="1" t="s">
        <v>24</v>
      </c>
      <c r="H199" s="1" t="s">
        <v>618</v>
      </c>
      <c r="I199" s="1">
        <v>11.52</v>
      </c>
      <c r="J199" s="1">
        <v>4</v>
      </c>
      <c r="K199" s="1">
        <v>3.23</v>
      </c>
    </row>
    <row r="200" spans="1:11" ht="12.75" x14ac:dyDescent="0.2">
      <c r="A200" s="2">
        <v>42468</v>
      </c>
      <c r="B200" s="2" t="str">
        <f>TEXT(Table1[[#This Row],[Order Date]],"MMM")</f>
        <v>Apr</v>
      </c>
      <c r="C200" s="2" t="str">
        <f t="shared" si="3"/>
        <v>2016</v>
      </c>
      <c r="D200" s="1" t="s">
        <v>835</v>
      </c>
      <c r="E200" s="1" t="s">
        <v>441</v>
      </c>
      <c r="F200" s="1" t="s">
        <v>11</v>
      </c>
      <c r="G200" s="1" t="s">
        <v>20</v>
      </c>
      <c r="H200" s="1" t="s">
        <v>69</v>
      </c>
      <c r="I200" s="1">
        <v>22.92</v>
      </c>
      <c r="J200" s="1">
        <v>4</v>
      </c>
      <c r="K200" s="1">
        <v>11</v>
      </c>
    </row>
    <row r="201" spans="1:11" ht="12.75" x14ac:dyDescent="0.2">
      <c r="A201" s="2">
        <v>42472</v>
      </c>
      <c r="B201" s="2" t="str">
        <f>TEXT(Table1[[#This Row],[Order Date]],"MMM")</f>
        <v>Apr</v>
      </c>
      <c r="C201" s="2" t="str">
        <f t="shared" si="3"/>
        <v>2016</v>
      </c>
      <c r="D201" s="1" t="s">
        <v>542</v>
      </c>
      <c r="E201" s="1" t="s">
        <v>100</v>
      </c>
      <c r="F201" s="1" t="s">
        <v>33</v>
      </c>
      <c r="G201" s="1" t="s">
        <v>44</v>
      </c>
      <c r="H201" s="1" t="s">
        <v>231</v>
      </c>
      <c r="I201" s="1">
        <v>15.38</v>
      </c>
      <c r="J201" s="1">
        <v>1</v>
      </c>
      <c r="K201" s="1">
        <v>4.04</v>
      </c>
    </row>
    <row r="202" spans="1:11" ht="12.75" x14ac:dyDescent="0.2">
      <c r="A202" s="2">
        <v>42491</v>
      </c>
      <c r="B202" s="2" t="str">
        <f>TEXT(Table1[[#This Row],[Order Date]],"MMM")</f>
        <v>May</v>
      </c>
      <c r="C202" s="2" t="str">
        <f t="shared" si="3"/>
        <v>2016</v>
      </c>
      <c r="D202" s="1" t="s">
        <v>837</v>
      </c>
      <c r="E202" s="1" t="s">
        <v>27</v>
      </c>
      <c r="F202" s="1" t="s">
        <v>11</v>
      </c>
      <c r="G202" s="1" t="s">
        <v>20</v>
      </c>
      <c r="H202" s="1" t="s">
        <v>222</v>
      </c>
      <c r="I202" s="1">
        <v>14.35</v>
      </c>
      <c r="J202" s="1">
        <v>3</v>
      </c>
      <c r="K202" s="1">
        <v>5.0199999999999996</v>
      </c>
    </row>
    <row r="203" spans="1:11" ht="12.75" x14ac:dyDescent="0.2">
      <c r="A203" s="2">
        <v>42494</v>
      </c>
      <c r="B203" s="2" t="str">
        <f>TEXT(Table1[[#This Row],[Order Date]],"MMM")</f>
        <v>May</v>
      </c>
      <c r="C203" s="2" t="str">
        <f t="shared" si="3"/>
        <v>2016</v>
      </c>
      <c r="D203" s="1" t="s">
        <v>840</v>
      </c>
      <c r="E203" s="1" t="s">
        <v>319</v>
      </c>
      <c r="F203" s="1" t="s">
        <v>11</v>
      </c>
      <c r="G203" s="1" t="s">
        <v>18</v>
      </c>
      <c r="H203" s="1" t="s">
        <v>558</v>
      </c>
      <c r="I203" s="1">
        <v>275.97000000000003</v>
      </c>
      <c r="J203" s="1">
        <v>3</v>
      </c>
      <c r="K203" s="1">
        <v>11.04</v>
      </c>
    </row>
    <row r="204" spans="1:11" ht="12.75" x14ac:dyDescent="0.2">
      <c r="A204" s="2">
        <v>42498</v>
      </c>
      <c r="B204" s="2" t="str">
        <f>TEXT(Table1[[#This Row],[Order Date]],"MMM")</f>
        <v>May</v>
      </c>
      <c r="C204" s="2" t="str">
        <f t="shared" si="3"/>
        <v>2016</v>
      </c>
      <c r="D204" s="1" t="s">
        <v>844</v>
      </c>
      <c r="E204" s="1" t="s">
        <v>27</v>
      </c>
      <c r="F204" s="1" t="s">
        <v>11</v>
      </c>
      <c r="G204" s="1" t="s">
        <v>12</v>
      </c>
      <c r="H204" s="1" t="s">
        <v>845</v>
      </c>
      <c r="I204" s="1">
        <v>13.44</v>
      </c>
      <c r="J204" s="1">
        <v>3</v>
      </c>
      <c r="K204" s="1">
        <v>6.59</v>
      </c>
    </row>
    <row r="205" spans="1:11" ht="12.75" x14ac:dyDescent="0.2">
      <c r="A205" s="2">
        <v>42501</v>
      </c>
      <c r="B205" s="2" t="str">
        <f>TEXT(Table1[[#This Row],[Order Date]],"MMM")</f>
        <v>May</v>
      </c>
      <c r="C205" s="2" t="str">
        <f t="shared" si="3"/>
        <v>2016</v>
      </c>
      <c r="D205" s="1" t="s">
        <v>853</v>
      </c>
      <c r="E205" s="1" t="s">
        <v>68</v>
      </c>
      <c r="F205" s="1" t="s">
        <v>33</v>
      </c>
      <c r="G205" s="1" t="s">
        <v>44</v>
      </c>
      <c r="H205" s="1" t="s">
        <v>804</v>
      </c>
      <c r="I205" s="1">
        <v>93.89</v>
      </c>
      <c r="J205" s="1">
        <v>4</v>
      </c>
      <c r="K205" s="1">
        <v>12.91</v>
      </c>
    </row>
    <row r="206" spans="1:11" ht="12.75" x14ac:dyDescent="0.2">
      <c r="A206" s="2">
        <v>42523</v>
      </c>
      <c r="B206" s="2" t="str">
        <f>TEXT(Table1[[#This Row],[Order Date]],"MMM")</f>
        <v>Jun</v>
      </c>
      <c r="C206" s="2" t="str">
        <f t="shared" si="3"/>
        <v>2016</v>
      </c>
      <c r="D206" s="1" t="s">
        <v>360</v>
      </c>
      <c r="E206" s="1" t="s">
        <v>27</v>
      </c>
      <c r="F206" s="1" t="s">
        <v>11</v>
      </c>
      <c r="G206" s="1" t="s">
        <v>20</v>
      </c>
      <c r="H206" s="1" t="s">
        <v>855</v>
      </c>
      <c r="I206" s="1">
        <v>49.41</v>
      </c>
      <c r="J206" s="1">
        <v>4</v>
      </c>
      <c r="K206" s="1">
        <v>18.53</v>
      </c>
    </row>
    <row r="207" spans="1:11" ht="12.75" x14ac:dyDescent="0.2">
      <c r="A207" s="2">
        <v>42524</v>
      </c>
      <c r="B207" s="2" t="str">
        <f>TEXT(Table1[[#This Row],[Order Date]],"MMM")</f>
        <v>Jun</v>
      </c>
      <c r="C207" s="2" t="str">
        <f t="shared" si="3"/>
        <v>2016</v>
      </c>
      <c r="D207" s="1" t="s">
        <v>856</v>
      </c>
      <c r="E207" s="1" t="s">
        <v>133</v>
      </c>
      <c r="F207" s="1" t="s">
        <v>33</v>
      </c>
      <c r="G207" s="1" t="s">
        <v>44</v>
      </c>
      <c r="H207" s="1" t="s">
        <v>857</v>
      </c>
      <c r="I207" s="1">
        <v>63.92</v>
      </c>
      <c r="J207" s="1">
        <v>4</v>
      </c>
      <c r="K207" s="1">
        <v>3.2</v>
      </c>
    </row>
    <row r="208" spans="1:11" ht="12.75" x14ac:dyDescent="0.2">
      <c r="A208" s="2">
        <v>42525</v>
      </c>
      <c r="B208" s="2" t="str">
        <f>TEXT(Table1[[#This Row],[Order Date]],"MMM")</f>
        <v>Jun</v>
      </c>
      <c r="C208" s="2" t="str">
        <f t="shared" si="3"/>
        <v>2016</v>
      </c>
      <c r="D208" s="1" t="s">
        <v>858</v>
      </c>
      <c r="E208" s="1" t="s">
        <v>27</v>
      </c>
      <c r="F208" s="1" t="s">
        <v>11</v>
      </c>
      <c r="G208" s="1" t="s">
        <v>20</v>
      </c>
      <c r="H208" s="1" t="s">
        <v>298</v>
      </c>
      <c r="I208" s="1">
        <v>7.18</v>
      </c>
      <c r="J208" s="1">
        <v>2</v>
      </c>
      <c r="K208" s="1">
        <v>2.25</v>
      </c>
    </row>
    <row r="209" spans="1:11" ht="12.75" x14ac:dyDescent="0.2">
      <c r="A209" s="2">
        <v>42526</v>
      </c>
      <c r="B209" s="2" t="str">
        <f>TEXT(Table1[[#This Row],[Order Date]],"MMM")</f>
        <v>Jun</v>
      </c>
      <c r="C209" s="2" t="str">
        <f t="shared" si="3"/>
        <v>2016</v>
      </c>
      <c r="D209" s="1" t="s">
        <v>173</v>
      </c>
      <c r="E209" s="1" t="s">
        <v>15</v>
      </c>
      <c r="F209" s="1" t="s">
        <v>38</v>
      </c>
      <c r="G209" s="1" t="s">
        <v>39</v>
      </c>
      <c r="H209" s="1" t="s">
        <v>631</v>
      </c>
      <c r="I209" s="1">
        <v>2735.95</v>
      </c>
      <c r="J209" s="1">
        <v>6</v>
      </c>
      <c r="K209" s="1">
        <v>341.99</v>
      </c>
    </row>
    <row r="210" spans="1:11" ht="12.75" x14ac:dyDescent="0.2">
      <c r="A210" s="2">
        <v>42527</v>
      </c>
      <c r="B210" s="2" t="str">
        <f>TEXT(Table1[[#This Row],[Order Date]],"MMM")</f>
        <v>Jun</v>
      </c>
      <c r="C210" s="2" t="str">
        <f t="shared" si="3"/>
        <v>2016</v>
      </c>
      <c r="D210" s="1" t="s">
        <v>546</v>
      </c>
      <c r="E210" s="1" t="s">
        <v>199</v>
      </c>
      <c r="F210" s="1" t="s">
        <v>11</v>
      </c>
      <c r="G210" s="1" t="s">
        <v>24</v>
      </c>
      <c r="H210" s="1" t="s">
        <v>405</v>
      </c>
      <c r="I210" s="1">
        <v>43.18</v>
      </c>
      <c r="J210" s="1">
        <v>3</v>
      </c>
      <c r="K210" s="1">
        <v>4.32</v>
      </c>
    </row>
    <row r="211" spans="1:11" ht="12.75" x14ac:dyDescent="0.2">
      <c r="A211" s="2">
        <v>42552</v>
      </c>
      <c r="B211" s="2" t="str">
        <f>TEXT(Table1[[#This Row],[Order Date]],"MMM")</f>
        <v>Jul</v>
      </c>
      <c r="C211" s="2" t="str">
        <f t="shared" si="3"/>
        <v>2016</v>
      </c>
      <c r="D211" s="1" t="s">
        <v>605</v>
      </c>
      <c r="E211" s="1" t="s">
        <v>119</v>
      </c>
      <c r="F211" s="1" t="s">
        <v>11</v>
      </c>
      <c r="G211" s="1" t="s">
        <v>16</v>
      </c>
      <c r="H211" s="1" t="s">
        <v>772</v>
      </c>
      <c r="I211" s="1">
        <v>34.86</v>
      </c>
      <c r="J211" s="1">
        <v>7</v>
      </c>
      <c r="K211" s="1">
        <v>16.04</v>
      </c>
    </row>
    <row r="212" spans="1:11" ht="12.75" x14ac:dyDescent="0.2">
      <c r="A212" s="2">
        <v>42553</v>
      </c>
      <c r="B212" s="2" t="str">
        <f>TEXT(Table1[[#This Row],[Order Date]],"MMM")</f>
        <v>Jul</v>
      </c>
      <c r="C212" s="2" t="str">
        <f t="shared" si="3"/>
        <v>2016</v>
      </c>
      <c r="D212" s="1" t="s">
        <v>554</v>
      </c>
      <c r="E212" s="1" t="s">
        <v>23</v>
      </c>
      <c r="F212" s="1" t="s">
        <v>11</v>
      </c>
      <c r="G212" s="1" t="s">
        <v>157</v>
      </c>
      <c r="H212" s="1" t="s">
        <v>158</v>
      </c>
      <c r="I212" s="1">
        <v>286.33999999999997</v>
      </c>
      <c r="J212" s="1">
        <v>3</v>
      </c>
      <c r="K212" s="1">
        <v>-64.430000000000007</v>
      </c>
    </row>
    <row r="213" spans="1:11" ht="12.75" x14ac:dyDescent="0.2">
      <c r="A213" s="2">
        <v>42554</v>
      </c>
      <c r="B213" s="2" t="str">
        <f>TEXT(Table1[[#This Row],[Order Date]],"MMM")</f>
        <v>Jul</v>
      </c>
      <c r="C213" s="2" t="str">
        <f t="shared" si="3"/>
        <v>2016</v>
      </c>
      <c r="D213" s="1" t="s">
        <v>143</v>
      </c>
      <c r="E213" s="1" t="s">
        <v>119</v>
      </c>
      <c r="F213" s="1" t="s">
        <v>33</v>
      </c>
      <c r="G213" s="1" t="s">
        <v>34</v>
      </c>
      <c r="H213" s="1" t="s">
        <v>351</v>
      </c>
      <c r="I213" s="1">
        <v>135.88</v>
      </c>
      <c r="J213" s="1">
        <v>1</v>
      </c>
      <c r="K213" s="1">
        <v>24.16</v>
      </c>
    </row>
    <row r="214" spans="1:11" ht="12.75" x14ac:dyDescent="0.2">
      <c r="A214" s="2">
        <v>42555</v>
      </c>
      <c r="B214" s="2" t="str">
        <f>TEXT(Table1[[#This Row],[Order Date]],"MMM")</f>
        <v>Jul</v>
      </c>
      <c r="C214" s="2" t="str">
        <f t="shared" si="3"/>
        <v>2016</v>
      </c>
      <c r="D214" s="1" t="s">
        <v>693</v>
      </c>
      <c r="E214" s="1" t="s">
        <v>27</v>
      </c>
      <c r="F214" s="1" t="s">
        <v>33</v>
      </c>
      <c r="G214" s="1" t="s">
        <v>44</v>
      </c>
      <c r="H214" s="1" t="s">
        <v>882</v>
      </c>
      <c r="I214" s="1">
        <v>20.04</v>
      </c>
      <c r="J214" s="1">
        <v>6</v>
      </c>
      <c r="K214" s="1">
        <v>8.82</v>
      </c>
    </row>
    <row r="215" spans="1:11" ht="12.75" x14ac:dyDescent="0.2">
      <c r="A215" s="2">
        <v>42556</v>
      </c>
      <c r="B215" s="2" t="str">
        <f>TEXT(Table1[[#This Row],[Order Date]],"MMM")</f>
        <v>Jul</v>
      </c>
      <c r="C215" s="2" t="str">
        <f t="shared" si="3"/>
        <v>2016</v>
      </c>
      <c r="D215" s="1" t="s">
        <v>436</v>
      </c>
      <c r="E215" s="1" t="s">
        <v>30</v>
      </c>
      <c r="F215" s="1" t="s">
        <v>11</v>
      </c>
      <c r="G215" s="1" t="s">
        <v>12</v>
      </c>
      <c r="H215" s="1" t="s">
        <v>184</v>
      </c>
      <c r="I215" s="1">
        <v>43.68</v>
      </c>
      <c r="J215" s="1">
        <v>6</v>
      </c>
      <c r="K215" s="1">
        <v>20.97</v>
      </c>
    </row>
    <row r="216" spans="1:11" ht="12.75" x14ac:dyDescent="0.2">
      <c r="A216" s="2">
        <v>42558</v>
      </c>
      <c r="B216" s="2" t="str">
        <f>TEXT(Table1[[#This Row],[Order Date]],"MMM")</f>
        <v>Jul</v>
      </c>
      <c r="C216" s="2" t="str">
        <f t="shared" si="3"/>
        <v>2016</v>
      </c>
      <c r="D216" s="1" t="s">
        <v>885</v>
      </c>
      <c r="E216" s="1" t="s">
        <v>10</v>
      </c>
      <c r="F216" s="1" t="s">
        <v>11</v>
      </c>
      <c r="G216" s="1" t="s">
        <v>20</v>
      </c>
      <c r="H216" s="1" t="s">
        <v>690</v>
      </c>
      <c r="I216" s="1">
        <v>26.05</v>
      </c>
      <c r="J216" s="1">
        <v>3</v>
      </c>
      <c r="K216" s="1">
        <v>-44.28</v>
      </c>
    </row>
    <row r="217" spans="1:11" ht="12.75" x14ac:dyDescent="0.2">
      <c r="A217" s="2">
        <v>42559</v>
      </c>
      <c r="B217" s="2" t="str">
        <f>TEXT(Table1[[#This Row],[Order Date]],"MMM")</f>
        <v>Jul</v>
      </c>
      <c r="C217" s="2" t="str">
        <f t="shared" si="3"/>
        <v>2016</v>
      </c>
      <c r="D217" s="1" t="s">
        <v>399</v>
      </c>
      <c r="E217" s="1" t="s">
        <v>27</v>
      </c>
      <c r="F217" s="1" t="s">
        <v>38</v>
      </c>
      <c r="G217" s="1" t="s">
        <v>39</v>
      </c>
      <c r="H217" s="1" t="s">
        <v>887</v>
      </c>
      <c r="I217" s="1">
        <v>333.58</v>
      </c>
      <c r="J217" s="1">
        <v>3</v>
      </c>
      <c r="K217" s="1">
        <v>25.02</v>
      </c>
    </row>
    <row r="218" spans="1:11" ht="12.75" x14ac:dyDescent="0.2">
      <c r="A218" s="2">
        <v>42561</v>
      </c>
      <c r="B218" s="2" t="str">
        <f>TEXT(Table1[[#This Row],[Order Date]],"MMM")</f>
        <v>Jul</v>
      </c>
      <c r="C218" s="2" t="str">
        <f t="shared" si="3"/>
        <v>2016</v>
      </c>
      <c r="D218" s="1" t="s">
        <v>306</v>
      </c>
      <c r="E218" s="1" t="s">
        <v>27</v>
      </c>
      <c r="F218" s="1" t="s">
        <v>38</v>
      </c>
      <c r="G218" s="1" t="s">
        <v>39</v>
      </c>
      <c r="H218" s="1" t="s">
        <v>111</v>
      </c>
      <c r="I218" s="1">
        <v>601.54</v>
      </c>
      <c r="J218" s="1">
        <v>8</v>
      </c>
      <c r="K218" s="1">
        <v>60.15</v>
      </c>
    </row>
    <row r="219" spans="1:11" ht="12.75" x14ac:dyDescent="0.2">
      <c r="A219" s="2">
        <v>42562</v>
      </c>
      <c r="B219" s="2" t="str">
        <f>TEXT(Table1[[#This Row],[Order Date]],"MMM")</f>
        <v>Jul</v>
      </c>
      <c r="C219" s="2" t="str">
        <f t="shared" si="3"/>
        <v>2016</v>
      </c>
      <c r="D219" s="1" t="s">
        <v>894</v>
      </c>
      <c r="E219" s="1" t="s">
        <v>126</v>
      </c>
      <c r="F219" s="1" t="s">
        <v>11</v>
      </c>
      <c r="G219" s="1" t="s">
        <v>18</v>
      </c>
      <c r="H219" s="1" t="s">
        <v>895</v>
      </c>
      <c r="I219" s="1">
        <v>665.88</v>
      </c>
      <c r="J219" s="1">
        <v>6</v>
      </c>
      <c r="K219" s="1">
        <v>13.32</v>
      </c>
    </row>
    <row r="220" spans="1:11" ht="12.75" x14ac:dyDescent="0.2">
      <c r="A220" s="2">
        <v>42583</v>
      </c>
      <c r="B220" s="2" t="str">
        <f>TEXT(Table1[[#This Row],[Order Date]],"MMM")</f>
        <v>Aug</v>
      </c>
      <c r="C220" s="2" t="str">
        <f t="shared" si="3"/>
        <v>2016</v>
      </c>
      <c r="D220" s="1" t="s">
        <v>901</v>
      </c>
      <c r="E220" s="1" t="s">
        <v>10</v>
      </c>
      <c r="F220" s="1" t="s">
        <v>11</v>
      </c>
      <c r="G220" s="1" t="s">
        <v>18</v>
      </c>
      <c r="H220" s="1" t="s">
        <v>902</v>
      </c>
      <c r="I220" s="1">
        <v>49.63</v>
      </c>
      <c r="J220" s="1">
        <v>4</v>
      </c>
      <c r="K220" s="1">
        <v>4.96</v>
      </c>
    </row>
    <row r="221" spans="1:11" ht="12.75" x14ac:dyDescent="0.2">
      <c r="A221" s="2">
        <v>42584</v>
      </c>
      <c r="B221" s="2" t="str">
        <f>TEXT(Table1[[#This Row],[Order Date]],"MMM")</f>
        <v>Aug</v>
      </c>
      <c r="C221" s="2" t="str">
        <f t="shared" si="3"/>
        <v>2016</v>
      </c>
      <c r="D221" s="1" t="s">
        <v>906</v>
      </c>
      <c r="E221" s="1" t="s">
        <v>393</v>
      </c>
      <c r="F221" s="1" t="s">
        <v>38</v>
      </c>
      <c r="G221" s="1" t="s">
        <v>39</v>
      </c>
      <c r="H221" s="1" t="s">
        <v>879</v>
      </c>
      <c r="I221" s="1">
        <v>832.93</v>
      </c>
      <c r="J221" s="1">
        <v>7</v>
      </c>
      <c r="K221" s="1">
        <v>233.22</v>
      </c>
    </row>
    <row r="222" spans="1:11" ht="12.75" x14ac:dyDescent="0.2">
      <c r="A222" s="2">
        <v>42585</v>
      </c>
      <c r="B222" s="2" t="str">
        <f>TEXT(Table1[[#This Row],[Order Date]],"MMM")</f>
        <v>Aug</v>
      </c>
      <c r="C222" s="2" t="str">
        <f t="shared" si="3"/>
        <v>2016</v>
      </c>
      <c r="D222" s="1" t="s">
        <v>909</v>
      </c>
      <c r="E222" s="1" t="s">
        <v>97</v>
      </c>
      <c r="F222" s="1" t="s">
        <v>11</v>
      </c>
      <c r="G222" s="1" t="s">
        <v>24</v>
      </c>
      <c r="H222" s="1" t="s">
        <v>910</v>
      </c>
      <c r="I222" s="1">
        <v>4.22</v>
      </c>
      <c r="J222" s="1">
        <v>3</v>
      </c>
      <c r="K222" s="1">
        <v>0.48</v>
      </c>
    </row>
    <row r="223" spans="1:11" ht="12.75" x14ac:dyDescent="0.2">
      <c r="A223" s="2">
        <v>42586</v>
      </c>
      <c r="B223" s="2" t="str">
        <f>TEXT(Table1[[#This Row],[Order Date]],"MMM")</f>
        <v>Aug</v>
      </c>
      <c r="C223" s="2" t="str">
        <f t="shared" si="3"/>
        <v>2016</v>
      </c>
      <c r="D223" s="1" t="s">
        <v>913</v>
      </c>
      <c r="E223" s="1" t="s">
        <v>751</v>
      </c>
      <c r="F223" s="1" t="s">
        <v>38</v>
      </c>
      <c r="G223" s="1" t="s">
        <v>39</v>
      </c>
      <c r="H223" s="1" t="s">
        <v>670</v>
      </c>
      <c r="I223" s="1">
        <v>273.95999999999998</v>
      </c>
      <c r="J223" s="1">
        <v>2</v>
      </c>
      <c r="K223" s="1">
        <v>10.96</v>
      </c>
    </row>
    <row r="224" spans="1:11" ht="12.75" x14ac:dyDescent="0.2">
      <c r="A224" s="2">
        <v>42589</v>
      </c>
      <c r="B224" s="2" t="str">
        <f>TEXT(Table1[[#This Row],[Order Date]],"MMM")</f>
        <v>Aug</v>
      </c>
      <c r="C224" s="2" t="str">
        <f t="shared" si="3"/>
        <v>2016</v>
      </c>
      <c r="D224" s="1" t="s">
        <v>273</v>
      </c>
      <c r="E224" s="1" t="s">
        <v>220</v>
      </c>
      <c r="F224" s="1" t="s">
        <v>33</v>
      </c>
      <c r="G224" s="1" t="s">
        <v>34</v>
      </c>
      <c r="H224" s="1" t="s">
        <v>740</v>
      </c>
      <c r="I224" s="1">
        <v>479.9</v>
      </c>
      <c r="J224" s="1">
        <v>5</v>
      </c>
      <c r="K224" s="1">
        <v>81.58</v>
      </c>
    </row>
    <row r="225" spans="1:11" ht="12.75" x14ac:dyDescent="0.2">
      <c r="A225" s="2">
        <v>42591</v>
      </c>
      <c r="B225" s="2" t="str">
        <f>TEXT(Table1[[#This Row],[Order Date]],"MMM")</f>
        <v>Aug</v>
      </c>
      <c r="C225" s="2" t="str">
        <f t="shared" si="3"/>
        <v>2016</v>
      </c>
      <c r="D225" s="1" t="s">
        <v>922</v>
      </c>
      <c r="E225" s="1" t="s">
        <v>199</v>
      </c>
      <c r="F225" s="1" t="s">
        <v>33</v>
      </c>
      <c r="G225" s="1" t="s">
        <v>117</v>
      </c>
      <c r="H225" s="1" t="s">
        <v>923</v>
      </c>
      <c r="I225" s="1">
        <v>145.97999999999999</v>
      </c>
      <c r="J225" s="1">
        <v>2</v>
      </c>
      <c r="K225" s="1">
        <v>-99.27</v>
      </c>
    </row>
    <row r="226" spans="1:11" ht="12.75" x14ac:dyDescent="0.2">
      <c r="A226" s="2">
        <v>42592</v>
      </c>
      <c r="B226" s="2" t="str">
        <f>TEXT(Table1[[#This Row],[Order Date]],"MMM")</f>
        <v>Aug</v>
      </c>
      <c r="C226" s="2" t="str">
        <f t="shared" si="3"/>
        <v>2016</v>
      </c>
      <c r="D226" s="1" t="s">
        <v>908</v>
      </c>
      <c r="E226" s="1" t="s">
        <v>57</v>
      </c>
      <c r="F226" s="1" t="s">
        <v>38</v>
      </c>
      <c r="G226" s="1" t="s">
        <v>39</v>
      </c>
      <c r="H226" s="1" t="s">
        <v>264</v>
      </c>
      <c r="I226" s="1">
        <v>503.96</v>
      </c>
      <c r="J226" s="1">
        <v>4</v>
      </c>
      <c r="K226" s="1">
        <v>131.03</v>
      </c>
    </row>
    <row r="227" spans="1:11" ht="12.75" x14ac:dyDescent="0.2">
      <c r="A227" s="2">
        <v>42593</v>
      </c>
      <c r="B227" s="2" t="str">
        <f>TEXT(Table1[[#This Row],[Order Date]],"MMM")</f>
        <v>Aug</v>
      </c>
      <c r="C227" s="2" t="str">
        <f t="shared" si="3"/>
        <v>2016</v>
      </c>
      <c r="D227" s="1" t="s">
        <v>285</v>
      </c>
      <c r="E227" s="1" t="s">
        <v>119</v>
      </c>
      <c r="F227" s="1" t="s">
        <v>11</v>
      </c>
      <c r="G227" s="1" t="s">
        <v>58</v>
      </c>
      <c r="H227" s="1" t="s">
        <v>934</v>
      </c>
      <c r="I227" s="1">
        <v>34.74</v>
      </c>
      <c r="J227" s="1">
        <v>3</v>
      </c>
      <c r="K227" s="1">
        <v>17.37</v>
      </c>
    </row>
    <row r="228" spans="1:11" ht="12.75" x14ac:dyDescent="0.2">
      <c r="A228" s="2">
        <v>42594</v>
      </c>
      <c r="B228" s="2" t="str">
        <f>TEXT(Table1[[#This Row],[Order Date]],"MMM")</f>
        <v>Aug</v>
      </c>
      <c r="C228" s="2" t="str">
        <f t="shared" si="3"/>
        <v>2016</v>
      </c>
      <c r="D228" s="1" t="s">
        <v>325</v>
      </c>
      <c r="E228" s="1" t="s">
        <v>30</v>
      </c>
      <c r="F228" s="1" t="s">
        <v>11</v>
      </c>
      <c r="G228" s="1" t="s">
        <v>58</v>
      </c>
      <c r="H228" s="1" t="s">
        <v>937</v>
      </c>
      <c r="I228" s="1">
        <v>16.23</v>
      </c>
      <c r="J228" s="1">
        <v>3</v>
      </c>
      <c r="K228" s="1">
        <v>7.95</v>
      </c>
    </row>
    <row r="229" spans="1:11" ht="12.75" x14ac:dyDescent="0.2">
      <c r="A229" s="2">
        <v>42614</v>
      </c>
      <c r="B229" s="2" t="str">
        <f>TEXT(Table1[[#This Row],[Order Date]],"MMM")</f>
        <v>Sep</v>
      </c>
      <c r="C229" s="2" t="str">
        <f t="shared" si="3"/>
        <v>2016</v>
      </c>
      <c r="D229" s="1" t="s">
        <v>152</v>
      </c>
      <c r="E229" s="1" t="s">
        <v>27</v>
      </c>
      <c r="F229" s="1" t="s">
        <v>33</v>
      </c>
      <c r="G229" s="1" t="s">
        <v>34</v>
      </c>
      <c r="H229" s="1" t="s">
        <v>180</v>
      </c>
      <c r="I229" s="1">
        <v>603.91999999999996</v>
      </c>
      <c r="J229" s="1">
        <v>5</v>
      </c>
      <c r="K229" s="1">
        <v>-67.94</v>
      </c>
    </row>
    <row r="230" spans="1:11" ht="12.75" x14ac:dyDescent="0.2">
      <c r="A230" s="2">
        <v>42618</v>
      </c>
      <c r="B230" s="2" t="str">
        <f>TEXT(Table1[[#This Row],[Order Date]],"MMM")</f>
        <v>Sep</v>
      </c>
      <c r="C230" s="2" t="str">
        <f t="shared" si="3"/>
        <v>2016</v>
      </c>
      <c r="D230" s="1" t="s">
        <v>942</v>
      </c>
      <c r="E230" s="1" t="s">
        <v>68</v>
      </c>
      <c r="F230" s="1" t="s">
        <v>11</v>
      </c>
      <c r="G230" s="1" t="s">
        <v>24</v>
      </c>
      <c r="H230" s="1" t="s">
        <v>303</v>
      </c>
      <c r="I230" s="1">
        <v>2.62</v>
      </c>
      <c r="J230" s="1">
        <v>1</v>
      </c>
      <c r="K230" s="1">
        <v>0.43</v>
      </c>
    </row>
    <row r="231" spans="1:11" ht="12.75" x14ac:dyDescent="0.2">
      <c r="A231" s="2">
        <v>42621</v>
      </c>
      <c r="B231" s="2" t="str">
        <f>TEXT(Table1[[#This Row],[Order Date]],"MMM")</f>
        <v>Sep</v>
      </c>
      <c r="C231" s="2" t="str">
        <f t="shared" si="3"/>
        <v>2016</v>
      </c>
      <c r="D231" s="1" t="s">
        <v>523</v>
      </c>
      <c r="E231" s="1" t="s">
        <v>10</v>
      </c>
      <c r="F231" s="1" t="s">
        <v>33</v>
      </c>
      <c r="G231" s="1" t="s">
        <v>44</v>
      </c>
      <c r="H231" s="1" t="s">
        <v>88</v>
      </c>
      <c r="I231" s="1">
        <v>19.3</v>
      </c>
      <c r="J231" s="1">
        <v>5</v>
      </c>
      <c r="K231" s="1">
        <v>-14.48</v>
      </c>
    </row>
    <row r="232" spans="1:11" ht="12.75" x14ac:dyDescent="0.2">
      <c r="A232" s="2">
        <v>42644</v>
      </c>
      <c r="B232" s="2" t="str">
        <f>TEXT(Table1[[#This Row],[Order Date]],"MMM")</f>
        <v>Oct</v>
      </c>
      <c r="C232" s="2" t="str">
        <f t="shared" si="3"/>
        <v>2016</v>
      </c>
      <c r="D232" s="1" t="s">
        <v>954</v>
      </c>
      <c r="E232" s="1" t="s">
        <v>319</v>
      </c>
      <c r="F232" s="1" t="s">
        <v>11</v>
      </c>
      <c r="G232" s="1" t="s">
        <v>24</v>
      </c>
      <c r="H232" s="1" t="s">
        <v>955</v>
      </c>
      <c r="I232" s="1">
        <v>14.67</v>
      </c>
      <c r="J232" s="1">
        <v>3</v>
      </c>
      <c r="K232" s="1">
        <v>3.96</v>
      </c>
    </row>
    <row r="233" spans="1:11" ht="12.75" x14ac:dyDescent="0.2">
      <c r="A233" s="2">
        <v>42646</v>
      </c>
      <c r="B233" s="2" t="str">
        <f>TEXT(Table1[[#This Row],[Order Date]],"MMM")</f>
        <v>Oct</v>
      </c>
      <c r="C233" s="2" t="str">
        <f t="shared" si="3"/>
        <v>2016</v>
      </c>
      <c r="D233" s="1" t="s">
        <v>516</v>
      </c>
      <c r="E233" s="1" t="s">
        <v>23</v>
      </c>
      <c r="F233" s="1" t="s">
        <v>11</v>
      </c>
      <c r="G233" s="1" t="s">
        <v>16</v>
      </c>
      <c r="H233" s="1" t="s">
        <v>372</v>
      </c>
      <c r="I233" s="1">
        <v>5.04</v>
      </c>
      <c r="J233" s="1">
        <v>2</v>
      </c>
      <c r="K233" s="1">
        <v>1.76</v>
      </c>
    </row>
    <row r="234" spans="1:11" ht="12.75" x14ac:dyDescent="0.2">
      <c r="A234" s="2">
        <v>42647</v>
      </c>
      <c r="B234" s="2" t="str">
        <f>TEXT(Table1[[#This Row],[Order Date]],"MMM")</f>
        <v>Oct</v>
      </c>
      <c r="C234" s="2" t="str">
        <f t="shared" si="3"/>
        <v>2016</v>
      </c>
      <c r="D234" s="1" t="s">
        <v>907</v>
      </c>
      <c r="E234" s="1" t="s">
        <v>119</v>
      </c>
      <c r="F234" s="1" t="s">
        <v>11</v>
      </c>
      <c r="G234" s="1" t="s">
        <v>58</v>
      </c>
      <c r="H234" s="1" t="s">
        <v>961</v>
      </c>
      <c r="I234" s="1">
        <v>62.28</v>
      </c>
      <c r="J234" s="1">
        <v>4</v>
      </c>
      <c r="K234" s="1">
        <v>29.27</v>
      </c>
    </row>
    <row r="235" spans="1:11" ht="12.75" x14ac:dyDescent="0.2">
      <c r="A235" s="2">
        <v>42648</v>
      </c>
      <c r="B235" s="2" t="str">
        <f>TEXT(Table1[[#This Row],[Order Date]],"MMM")</f>
        <v>Oct</v>
      </c>
      <c r="C235" s="2" t="str">
        <f t="shared" si="3"/>
        <v>2016</v>
      </c>
      <c r="D235" s="1" t="s">
        <v>456</v>
      </c>
      <c r="E235" s="1" t="s">
        <v>126</v>
      </c>
      <c r="F235" s="1" t="s">
        <v>33</v>
      </c>
      <c r="G235" s="1" t="s">
        <v>34</v>
      </c>
      <c r="H235" s="1" t="s">
        <v>962</v>
      </c>
      <c r="I235" s="1">
        <v>2807.84</v>
      </c>
      <c r="J235" s="1">
        <v>8</v>
      </c>
      <c r="K235" s="1">
        <v>673.88</v>
      </c>
    </row>
    <row r="236" spans="1:11" ht="12.75" x14ac:dyDescent="0.2">
      <c r="A236" s="2">
        <v>42649</v>
      </c>
      <c r="B236" s="2" t="str">
        <f>TEXT(Table1[[#This Row],[Order Date]],"MMM")</f>
        <v>Oct</v>
      </c>
      <c r="C236" s="2" t="str">
        <f t="shared" si="3"/>
        <v>2016</v>
      </c>
      <c r="D236" s="1" t="s">
        <v>942</v>
      </c>
      <c r="E236" s="1" t="s">
        <v>517</v>
      </c>
      <c r="F236" s="1" t="s">
        <v>38</v>
      </c>
      <c r="G236" s="1" t="s">
        <v>39</v>
      </c>
      <c r="H236" s="1" t="s">
        <v>968</v>
      </c>
      <c r="I236" s="1">
        <v>479.96</v>
      </c>
      <c r="J236" s="1">
        <v>4</v>
      </c>
      <c r="K236" s="1">
        <v>134.38999999999999</v>
      </c>
    </row>
    <row r="237" spans="1:11" ht="12.75" x14ac:dyDescent="0.2">
      <c r="A237" s="2">
        <v>42650</v>
      </c>
      <c r="B237" s="2" t="str">
        <f>TEXT(Table1[[#This Row],[Order Date]],"MMM")</f>
        <v>Oct</v>
      </c>
      <c r="C237" s="2" t="str">
        <f t="shared" si="3"/>
        <v>2016</v>
      </c>
      <c r="D237" s="1" t="s">
        <v>969</v>
      </c>
      <c r="E237" s="1" t="s">
        <v>119</v>
      </c>
      <c r="F237" s="1" t="s">
        <v>38</v>
      </c>
      <c r="G237" s="1" t="s">
        <v>39</v>
      </c>
      <c r="H237" s="1" t="s">
        <v>865</v>
      </c>
      <c r="I237" s="1">
        <v>129.97999999999999</v>
      </c>
      <c r="J237" s="1">
        <v>2</v>
      </c>
      <c r="K237" s="1">
        <v>62.39</v>
      </c>
    </row>
    <row r="238" spans="1:11" ht="12.75" x14ac:dyDescent="0.2">
      <c r="A238" s="2">
        <v>42652</v>
      </c>
      <c r="B238" s="2" t="str">
        <f>TEXT(Table1[[#This Row],[Order Date]],"MMM")</f>
        <v>Oct</v>
      </c>
      <c r="C238" s="2" t="str">
        <f t="shared" si="3"/>
        <v>2016</v>
      </c>
      <c r="D238" s="1" t="s">
        <v>70</v>
      </c>
      <c r="E238" s="1" t="s">
        <v>82</v>
      </c>
      <c r="F238" s="1" t="s">
        <v>11</v>
      </c>
      <c r="G238" s="1" t="s">
        <v>24</v>
      </c>
      <c r="H238" s="1" t="s">
        <v>970</v>
      </c>
      <c r="I238" s="1">
        <v>1113.02</v>
      </c>
      <c r="J238" s="1">
        <v>8</v>
      </c>
      <c r="K238" s="1">
        <v>111.3</v>
      </c>
    </row>
    <row r="239" spans="1:11" ht="12.75" x14ac:dyDescent="0.2">
      <c r="A239" s="2">
        <v>42654</v>
      </c>
      <c r="B239" s="2" t="str">
        <f>TEXT(Table1[[#This Row],[Order Date]],"MMM")</f>
        <v>Oct</v>
      </c>
      <c r="C239" s="2" t="str">
        <f t="shared" si="3"/>
        <v>2016</v>
      </c>
      <c r="D239" s="1" t="s">
        <v>635</v>
      </c>
      <c r="E239" s="1" t="s">
        <v>10</v>
      </c>
      <c r="F239" s="1" t="s">
        <v>33</v>
      </c>
      <c r="G239" s="1" t="s">
        <v>44</v>
      </c>
      <c r="H239" s="1" t="s">
        <v>965</v>
      </c>
      <c r="I239" s="1">
        <v>23.98</v>
      </c>
      <c r="J239" s="1">
        <v>3</v>
      </c>
      <c r="K239" s="1">
        <v>-14.39</v>
      </c>
    </row>
    <row r="240" spans="1:11" ht="12.75" x14ac:dyDescent="0.2">
      <c r="A240" s="2">
        <v>42680</v>
      </c>
      <c r="B240" s="2" t="str">
        <f>TEXT(Table1[[#This Row],[Order Date]],"MMM")</f>
        <v>Nov</v>
      </c>
      <c r="C240" s="2" t="str">
        <f t="shared" si="3"/>
        <v>2016</v>
      </c>
      <c r="D240" s="1" t="s">
        <v>870</v>
      </c>
      <c r="E240" s="1" t="s">
        <v>51</v>
      </c>
      <c r="F240" s="1" t="s">
        <v>11</v>
      </c>
      <c r="G240" s="1" t="s">
        <v>12</v>
      </c>
      <c r="H240" s="1" t="s">
        <v>229</v>
      </c>
      <c r="I240" s="1">
        <v>105.52</v>
      </c>
      <c r="J240" s="1">
        <v>4</v>
      </c>
      <c r="K240" s="1">
        <v>48.54</v>
      </c>
    </row>
    <row r="241" spans="1:11" ht="12.75" x14ac:dyDescent="0.2">
      <c r="A241" s="2">
        <v>42683</v>
      </c>
      <c r="B241" s="2" t="str">
        <f>TEXT(Table1[[#This Row],[Order Date]],"MMM")</f>
        <v>Nov</v>
      </c>
      <c r="C241" s="2" t="str">
        <f t="shared" si="3"/>
        <v>2016</v>
      </c>
      <c r="D241" s="1" t="s">
        <v>979</v>
      </c>
      <c r="E241" s="1" t="s">
        <v>10</v>
      </c>
      <c r="F241" s="1" t="s">
        <v>11</v>
      </c>
      <c r="G241" s="1" t="s">
        <v>18</v>
      </c>
      <c r="H241" s="1" t="s">
        <v>980</v>
      </c>
      <c r="I241" s="1">
        <v>60.42</v>
      </c>
      <c r="J241" s="1">
        <v>2</v>
      </c>
      <c r="K241" s="1">
        <v>6.04</v>
      </c>
    </row>
    <row r="242" spans="1:11" ht="12.75" x14ac:dyDescent="0.2">
      <c r="A242" s="2">
        <v>42685</v>
      </c>
      <c r="B242" s="2" t="str">
        <f>TEXT(Table1[[#This Row],[Order Date]],"MMM")</f>
        <v>Nov</v>
      </c>
      <c r="C242" s="2" t="str">
        <f t="shared" si="3"/>
        <v>2016</v>
      </c>
      <c r="D242" s="1" t="s">
        <v>140</v>
      </c>
      <c r="E242" s="1" t="s">
        <v>27</v>
      </c>
      <c r="F242" s="1" t="s">
        <v>11</v>
      </c>
      <c r="G242" s="1" t="s">
        <v>12</v>
      </c>
      <c r="H242" s="1" t="s">
        <v>983</v>
      </c>
      <c r="I242" s="1">
        <v>34.68</v>
      </c>
      <c r="J242" s="1">
        <v>6</v>
      </c>
      <c r="K242" s="1">
        <v>16.989999999999998</v>
      </c>
    </row>
    <row r="243" spans="1:11" ht="12.75" x14ac:dyDescent="0.2">
      <c r="A243" s="2">
        <v>42686</v>
      </c>
      <c r="B243" s="2" t="str">
        <f>TEXT(Table1[[#This Row],[Order Date]],"MMM")</f>
        <v>Nov</v>
      </c>
      <c r="C243" s="2" t="str">
        <f t="shared" si="3"/>
        <v>2016</v>
      </c>
      <c r="D243" s="1" t="s">
        <v>723</v>
      </c>
      <c r="E243" s="1" t="s">
        <v>27</v>
      </c>
      <c r="F243" s="1" t="s">
        <v>33</v>
      </c>
      <c r="G243" s="1" t="s">
        <v>117</v>
      </c>
      <c r="H243" s="1" t="s">
        <v>984</v>
      </c>
      <c r="I243" s="1">
        <v>764.69</v>
      </c>
      <c r="J243" s="1">
        <v>6</v>
      </c>
      <c r="K243" s="1">
        <v>95.59</v>
      </c>
    </row>
    <row r="244" spans="1:11" ht="12.75" x14ac:dyDescent="0.2">
      <c r="A244" s="2">
        <v>42706</v>
      </c>
      <c r="B244" s="2" t="str">
        <f>TEXT(Table1[[#This Row],[Order Date]],"MMM")</f>
        <v>Dec</v>
      </c>
      <c r="C244" s="2" t="str">
        <f t="shared" si="3"/>
        <v>2016</v>
      </c>
      <c r="D244" s="1" t="s">
        <v>722</v>
      </c>
      <c r="E244" s="1" t="s">
        <v>27</v>
      </c>
      <c r="F244" s="1" t="s">
        <v>11</v>
      </c>
      <c r="G244" s="1" t="s">
        <v>12</v>
      </c>
      <c r="H244" s="1" t="s">
        <v>800</v>
      </c>
      <c r="I244" s="1">
        <v>90.24</v>
      </c>
      <c r="J244" s="1">
        <v>6</v>
      </c>
      <c r="K244" s="1">
        <v>41.51</v>
      </c>
    </row>
    <row r="245" spans="1:11" ht="12.75" x14ac:dyDescent="0.2">
      <c r="A245" s="2">
        <v>42711</v>
      </c>
      <c r="B245" s="2" t="str">
        <f>TEXT(Table1[[#This Row],[Order Date]],"MMM")</f>
        <v>Dec</v>
      </c>
      <c r="C245" s="2" t="str">
        <f t="shared" si="3"/>
        <v>2016</v>
      </c>
      <c r="D245" s="1" t="s">
        <v>513</v>
      </c>
      <c r="E245" s="1" t="s">
        <v>10</v>
      </c>
      <c r="F245" s="1" t="s">
        <v>38</v>
      </c>
      <c r="G245" s="1" t="s">
        <v>39</v>
      </c>
      <c r="H245" s="1" t="s">
        <v>991</v>
      </c>
      <c r="I245" s="1">
        <v>40.68</v>
      </c>
      <c r="J245" s="1">
        <v>3</v>
      </c>
      <c r="K245" s="1">
        <v>-9.15</v>
      </c>
    </row>
    <row r="246" spans="1:11" ht="12.75" x14ac:dyDescent="0.2">
      <c r="A246" s="2">
        <v>42712</v>
      </c>
      <c r="B246" s="2" t="str">
        <f>TEXT(Table1[[#This Row],[Order Date]],"MMM")</f>
        <v>Dec</v>
      </c>
      <c r="C246" s="2" t="str">
        <f t="shared" si="3"/>
        <v>2016</v>
      </c>
      <c r="D246" s="1" t="s">
        <v>337</v>
      </c>
      <c r="E246" s="1" t="s">
        <v>100</v>
      </c>
      <c r="F246" s="1" t="s">
        <v>11</v>
      </c>
      <c r="G246" s="1" t="s">
        <v>20</v>
      </c>
      <c r="H246" s="1" t="s">
        <v>993</v>
      </c>
      <c r="I246" s="1">
        <v>1.17</v>
      </c>
      <c r="J246" s="1">
        <v>1</v>
      </c>
      <c r="K246" s="1">
        <v>-0.86</v>
      </c>
    </row>
    <row r="247" spans="1:11" ht="12.75" x14ac:dyDescent="0.2">
      <c r="A247" s="2">
        <v>42713</v>
      </c>
      <c r="B247" s="2" t="str">
        <f>TEXT(Table1[[#This Row],[Order Date]],"MMM")</f>
        <v>Dec</v>
      </c>
      <c r="C247" s="2" t="str">
        <f t="shared" si="3"/>
        <v>2016</v>
      </c>
      <c r="D247" s="1" t="s">
        <v>901</v>
      </c>
      <c r="E247" s="1" t="s">
        <v>30</v>
      </c>
      <c r="F247" s="1" t="s">
        <v>11</v>
      </c>
      <c r="G247" s="1" t="s">
        <v>24</v>
      </c>
      <c r="H247" s="1" t="s">
        <v>307</v>
      </c>
      <c r="I247" s="1">
        <v>40.049999999999997</v>
      </c>
      <c r="J247" s="1">
        <v>3</v>
      </c>
      <c r="K247" s="1">
        <v>11.21</v>
      </c>
    </row>
    <row r="248" spans="1:11" ht="12.75" x14ac:dyDescent="0.2">
      <c r="A248" s="2">
        <v>42715</v>
      </c>
      <c r="B248" s="2" t="str">
        <f>TEXT(Table1[[#This Row],[Order Date]],"MMM")</f>
        <v>Dec</v>
      </c>
      <c r="C248" s="2" t="str">
        <f t="shared" si="3"/>
        <v>2016</v>
      </c>
      <c r="D248" s="1" t="s">
        <v>996</v>
      </c>
      <c r="E248" s="1" t="s">
        <v>100</v>
      </c>
      <c r="F248" s="1" t="s">
        <v>11</v>
      </c>
      <c r="G248" s="1" t="s">
        <v>20</v>
      </c>
      <c r="H248" s="1" t="s">
        <v>217</v>
      </c>
      <c r="I248" s="1">
        <v>4.8099999999999996</v>
      </c>
      <c r="J248" s="1">
        <v>2</v>
      </c>
      <c r="K248" s="1">
        <v>-3.69</v>
      </c>
    </row>
    <row r="249" spans="1:11" ht="12.75" x14ac:dyDescent="0.2">
      <c r="A249" s="2">
        <v>42736</v>
      </c>
      <c r="B249" s="2" t="str">
        <f>TEXT(Table1[[#This Row],[Order Date]],"MMM")</f>
        <v>Jan</v>
      </c>
      <c r="C249" s="2" t="str">
        <f t="shared" si="3"/>
        <v>2017</v>
      </c>
      <c r="D249" s="1" t="s">
        <v>242</v>
      </c>
      <c r="E249" s="1" t="s">
        <v>27</v>
      </c>
      <c r="F249" s="1" t="s">
        <v>33</v>
      </c>
      <c r="G249" s="1" t="s">
        <v>34</v>
      </c>
      <c r="H249" s="1" t="s">
        <v>730</v>
      </c>
      <c r="I249" s="1">
        <v>1325.76</v>
      </c>
      <c r="J249" s="1">
        <v>6</v>
      </c>
      <c r="K249" s="1">
        <v>149.15</v>
      </c>
    </row>
    <row r="250" spans="1:11" ht="12.75" x14ac:dyDescent="0.2">
      <c r="A250" s="2">
        <v>42744</v>
      </c>
      <c r="B250" s="2" t="str">
        <f>TEXT(Table1[[#This Row],[Order Date]],"MMM")</f>
        <v>Jan</v>
      </c>
      <c r="C250" s="2" t="str">
        <f t="shared" si="3"/>
        <v>2017</v>
      </c>
      <c r="D250" s="1" t="s">
        <v>1007</v>
      </c>
      <c r="E250" s="1" t="s">
        <v>27</v>
      </c>
      <c r="F250" s="1" t="s">
        <v>11</v>
      </c>
      <c r="G250" s="1" t="s">
        <v>24</v>
      </c>
      <c r="H250" s="1" t="s">
        <v>1008</v>
      </c>
      <c r="I250" s="1">
        <v>11.76</v>
      </c>
      <c r="J250" s="1">
        <v>4</v>
      </c>
      <c r="K250" s="1">
        <v>3.18</v>
      </c>
    </row>
    <row r="251" spans="1:11" ht="12.75" x14ac:dyDescent="0.2">
      <c r="A251" s="2">
        <v>42745</v>
      </c>
      <c r="B251" s="2" t="str">
        <f>TEXT(Table1[[#This Row],[Order Date]],"MMM")</f>
        <v>Jan</v>
      </c>
      <c r="C251" s="2" t="str">
        <f t="shared" si="3"/>
        <v>2017</v>
      </c>
      <c r="D251" s="1" t="s">
        <v>1012</v>
      </c>
      <c r="E251" s="1" t="s">
        <v>106</v>
      </c>
      <c r="F251" s="1" t="s">
        <v>11</v>
      </c>
      <c r="G251" s="1" t="s">
        <v>80</v>
      </c>
      <c r="H251" s="1" t="s">
        <v>1013</v>
      </c>
      <c r="I251" s="1">
        <v>207.24</v>
      </c>
      <c r="J251" s="1">
        <v>11</v>
      </c>
      <c r="K251" s="1">
        <v>58.03</v>
      </c>
    </row>
    <row r="252" spans="1:11" ht="12.75" x14ac:dyDescent="0.2">
      <c r="A252" s="2">
        <v>42747</v>
      </c>
      <c r="B252" s="2" t="str">
        <f>TEXT(Table1[[#This Row],[Order Date]],"MMM")</f>
        <v>Jan</v>
      </c>
      <c r="C252" s="2" t="str">
        <f t="shared" si="3"/>
        <v>2017</v>
      </c>
      <c r="D252" s="1" t="s">
        <v>635</v>
      </c>
      <c r="E252" s="1" t="s">
        <v>100</v>
      </c>
      <c r="F252" s="1" t="s">
        <v>11</v>
      </c>
      <c r="G252" s="1" t="s">
        <v>12</v>
      </c>
      <c r="H252" s="1" t="s">
        <v>903</v>
      </c>
      <c r="I252" s="1">
        <v>9.57</v>
      </c>
      <c r="J252" s="1">
        <v>2</v>
      </c>
      <c r="K252" s="1">
        <v>3.47</v>
      </c>
    </row>
    <row r="253" spans="1:11" ht="12.75" x14ac:dyDescent="0.2">
      <c r="A253" s="2">
        <v>42767</v>
      </c>
      <c r="B253" s="2" t="str">
        <f>TEXT(Table1[[#This Row],[Order Date]],"MMM")</f>
        <v>Feb</v>
      </c>
      <c r="C253" s="2" t="str">
        <f t="shared" si="3"/>
        <v>2017</v>
      </c>
      <c r="D253" s="1" t="s">
        <v>992</v>
      </c>
      <c r="E253" s="1" t="s">
        <v>23</v>
      </c>
      <c r="F253" s="1" t="s">
        <v>11</v>
      </c>
      <c r="G253" s="1" t="s">
        <v>24</v>
      </c>
      <c r="H253" s="1" t="s">
        <v>1022</v>
      </c>
      <c r="I253" s="1">
        <v>99.14</v>
      </c>
      <c r="J253" s="1">
        <v>4</v>
      </c>
      <c r="K253" s="1">
        <v>8.67</v>
      </c>
    </row>
    <row r="254" spans="1:11" ht="12.75" x14ac:dyDescent="0.2">
      <c r="A254" s="2">
        <v>42769</v>
      </c>
      <c r="B254" s="2" t="str">
        <f>TEXT(Table1[[#This Row],[Order Date]],"MMM")</f>
        <v>Feb</v>
      </c>
      <c r="C254" s="2" t="str">
        <f t="shared" si="3"/>
        <v>2017</v>
      </c>
      <c r="D254" s="1" t="s">
        <v>1024</v>
      </c>
      <c r="E254" s="1" t="s">
        <v>220</v>
      </c>
      <c r="F254" s="1" t="s">
        <v>11</v>
      </c>
      <c r="G254" s="1" t="s">
        <v>18</v>
      </c>
      <c r="H254" s="1" t="s">
        <v>519</v>
      </c>
      <c r="I254" s="1">
        <v>24.56</v>
      </c>
      <c r="J254" s="1">
        <v>2</v>
      </c>
      <c r="K254" s="1">
        <v>6.88</v>
      </c>
    </row>
    <row r="255" spans="1:11" ht="12.75" x14ac:dyDescent="0.2">
      <c r="A255" s="2">
        <v>42771</v>
      </c>
      <c r="B255" s="2" t="str">
        <f>TEXT(Table1[[#This Row],[Order Date]],"MMM")</f>
        <v>Feb</v>
      </c>
      <c r="C255" s="2" t="str">
        <f t="shared" si="3"/>
        <v>2017</v>
      </c>
      <c r="D255" s="1" t="s">
        <v>1027</v>
      </c>
      <c r="E255" s="1" t="s">
        <v>93</v>
      </c>
      <c r="F255" s="1" t="s">
        <v>11</v>
      </c>
      <c r="G255" s="1" t="s">
        <v>24</v>
      </c>
      <c r="H255" s="1" t="s">
        <v>398</v>
      </c>
      <c r="I255" s="1">
        <v>9.84</v>
      </c>
      <c r="J255" s="1">
        <v>3</v>
      </c>
      <c r="K255" s="1">
        <v>2.85</v>
      </c>
    </row>
    <row r="256" spans="1:11" ht="12.75" x14ac:dyDescent="0.2">
      <c r="A256" s="2">
        <v>42778</v>
      </c>
      <c r="B256" s="2" t="str">
        <f>TEXT(Table1[[#This Row],[Order Date]],"MMM")</f>
        <v>Feb</v>
      </c>
      <c r="C256" s="2" t="str">
        <f t="shared" si="3"/>
        <v>2017</v>
      </c>
      <c r="D256" s="1" t="s">
        <v>1029</v>
      </c>
      <c r="E256" s="1" t="s">
        <v>119</v>
      </c>
      <c r="F256" s="1" t="s">
        <v>33</v>
      </c>
      <c r="G256" s="1" t="s">
        <v>65</v>
      </c>
      <c r="H256" s="1" t="s">
        <v>1030</v>
      </c>
      <c r="I256" s="1">
        <v>1573.49</v>
      </c>
      <c r="J256" s="1">
        <v>7</v>
      </c>
      <c r="K256" s="1">
        <v>196.69</v>
      </c>
    </row>
    <row r="257" spans="1:11" ht="12.75" x14ac:dyDescent="0.2">
      <c r="A257" s="2">
        <v>42795</v>
      </c>
      <c r="B257" s="2" t="str">
        <f>TEXT(Table1[[#This Row],[Order Date]],"MMM")</f>
        <v>Mar</v>
      </c>
      <c r="C257" s="2" t="str">
        <f t="shared" ref="C257:C320" si="4">TEXT(A257,"YYY")</f>
        <v>2017</v>
      </c>
      <c r="D257" s="1" t="s">
        <v>421</v>
      </c>
      <c r="E257" s="1" t="s">
        <v>68</v>
      </c>
      <c r="F257" s="1" t="s">
        <v>11</v>
      </c>
      <c r="G257" s="1" t="s">
        <v>16</v>
      </c>
      <c r="H257" s="1" t="s">
        <v>243</v>
      </c>
      <c r="I257" s="1">
        <v>23.68</v>
      </c>
      <c r="J257" s="1">
        <v>2</v>
      </c>
      <c r="K257" s="1">
        <v>8.8800000000000008</v>
      </c>
    </row>
    <row r="258" spans="1:11" ht="12.75" x14ac:dyDescent="0.2">
      <c r="A258" s="2">
        <v>42797</v>
      </c>
      <c r="B258" s="2" t="str">
        <f>TEXT(Table1[[#This Row],[Order Date]],"MMM")</f>
        <v>Mar</v>
      </c>
      <c r="C258" s="2" t="str">
        <f t="shared" si="4"/>
        <v>2017</v>
      </c>
      <c r="D258" s="1" t="s">
        <v>171</v>
      </c>
      <c r="E258" s="1" t="s">
        <v>133</v>
      </c>
      <c r="F258" s="1" t="s">
        <v>33</v>
      </c>
      <c r="G258" s="1" t="s">
        <v>34</v>
      </c>
      <c r="H258" s="1" t="s">
        <v>449</v>
      </c>
      <c r="I258" s="1">
        <v>61.58</v>
      </c>
      <c r="J258" s="1">
        <v>1</v>
      </c>
      <c r="K258" s="1">
        <v>-6.93</v>
      </c>
    </row>
    <row r="259" spans="1:11" ht="12.75" x14ac:dyDescent="0.2">
      <c r="A259" s="2">
        <v>42798</v>
      </c>
      <c r="B259" s="2" t="str">
        <f>TEXT(Table1[[#This Row],[Order Date]],"MMM")</f>
        <v>Mar</v>
      </c>
      <c r="C259" s="2" t="str">
        <f t="shared" si="4"/>
        <v>2017</v>
      </c>
      <c r="D259" s="1" t="s">
        <v>1036</v>
      </c>
      <c r="E259" s="1" t="s">
        <v>54</v>
      </c>
      <c r="F259" s="1" t="s">
        <v>11</v>
      </c>
      <c r="G259" s="1" t="s">
        <v>18</v>
      </c>
      <c r="H259" s="1" t="s">
        <v>794</v>
      </c>
      <c r="I259" s="1">
        <v>465.18</v>
      </c>
      <c r="J259" s="1">
        <v>3</v>
      </c>
      <c r="K259" s="1">
        <v>120.95</v>
      </c>
    </row>
    <row r="260" spans="1:11" ht="12.75" x14ac:dyDescent="0.2">
      <c r="A260" s="2">
        <v>42800</v>
      </c>
      <c r="B260" s="2" t="str">
        <f>TEXT(Table1[[#This Row],[Order Date]],"MMM")</f>
        <v>Mar</v>
      </c>
      <c r="C260" s="2" t="str">
        <f t="shared" si="4"/>
        <v>2017</v>
      </c>
      <c r="D260" s="1" t="s">
        <v>587</v>
      </c>
      <c r="E260" s="1" t="s">
        <v>27</v>
      </c>
      <c r="F260" s="1" t="s">
        <v>11</v>
      </c>
      <c r="G260" s="1" t="s">
        <v>20</v>
      </c>
      <c r="H260" s="1" t="s">
        <v>1038</v>
      </c>
      <c r="I260" s="1">
        <v>70.010000000000005</v>
      </c>
      <c r="J260" s="1">
        <v>3</v>
      </c>
      <c r="K260" s="1">
        <v>24.5</v>
      </c>
    </row>
    <row r="261" spans="1:11" ht="12.75" x14ac:dyDescent="0.2">
      <c r="A261" s="2">
        <v>42801</v>
      </c>
      <c r="B261" s="2" t="str">
        <f>TEXT(Table1[[#This Row],[Order Date]],"MMM")</f>
        <v>Mar</v>
      </c>
      <c r="C261" s="2" t="str">
        <f t="shared" si="4"/>
        <v>2017</v>
      </c>
      <c r="D261" s="1" t="s">
        <v>388</v>
      </c>
      <c r="E261" s="1" t="s">
        <v>15</v>
      </c>
      <c r="F261" s="1" t="s">
        <v>33</v>
      </c>
      <c r="G261" s="1" t="s">
        <v>44</v>
      </c>
      <c r="H261" s="1" t="s">
        <v>94</v>
      </c>
      <c r="I261" s="1">
        <v>254.74</v>
      </c>
      <c r="J261" s="1">
        <v>7</v>
      </c>
      <c r="K261" s="1">
        <v>-312.06</v>
      </c>
    </row>
    <row r="262" spans="1:11" ht="12.75" x14ac:dyDescent="0.2">
      <c r="A262" s="2">
        <v>42802</v>
      </c>
      <c r="B262" s="2" t="str">
        <f>TEXT(Table1[[#This Row],[Order Date]],"MMM")</f>
        <v>Mar</v>
      </c>
      <c r="C262" s="2" t="str">
        <f t="shared" si="4"/>
        <v>2017</v>
      </c>
      <c r="D262" s="1" t="s">
        <v>501</v>
      </c>
      <c r="E262" s="1" t="s">
        <v>336</v>
      </c>
      <c r="F262" s="1" t="s">
        <v>11</v>
      </c>
      <c r="G262" s="1" t="s">
        <v>12</v>
      </c>
      <c r="H262" s="1" t="s">
        <v>91</v>
      </c>
      <c r="I262" s="1">
        <v>29.04</v>
      </c>
      <c r="J262" s="1">
        <v>3</v>
      </c>
      <c r="K262" s="1">
        <v>13.94</v>
      </c>
    </row>
    <row r="263" spans="1:11" ht="12.75" x14ac:dyDescent="0.2">
      <c r="A263" s="2">
        <v>42803</v>
      </c>
      <c r="B263" s="2" t="str">
        <f>TEXT(Table1[[#This Row],[Order Date]],"MMM")</f>
        <v>Mar</v>
      </c>
      <c r="C263" s="2" t="str">
        <f t="shared" si="4"/>
        <v>2017</v>
      </c>
      <c r="D263" s="1" t="s">
        <v>967</v>
      </c>
      <c r="E263" s="1" t="s">
        <v>27</v>
      </c>
      <c r="F263" s="1" t="s">
        <v>11</v>
      </c>
      <c r="G263" s="1" t="s">
        <v>12</v>
      </c>
      <c r="H263" s="1" t="s">
        <v>1040</v>
      </c>
      <c r="I263" s="1">
        <v>182.72</v>
      </c>
      <c r="J263" s="1">
        <v>8</v>
      </c>
      <c r="K263" s="1">
        <v>84.05</v>
      </c>
    </row>
    <row r="264" spans="1:11" ht="12.75" x14ac:dyDescent="0.2">
      <c r="A264" s="2">
        <v>42804</v>
      </c>
      <c r="B264" s="2" t="str">
        <f>TEXT(Table1[[#This Row],[Order Date]],"MMM")</f>
        <v>Mar</v>
      </c>
      <c r="C264" s="2" t="str">
        <f t="shared" si="4"/>
        <v>2017</v>
      </c>
      <c r="D264" s="1" t="s">
        <v>53</v>
      </c>
      <c r="E264" s="1" t="s">
        <v>68</v>
      </c>
      <c r="F264" s="1" t="s">
        <v>33</v>
      </c>
      <c r="G264" s="1" t="s">
        <v>34</v>
      </c>
      <c r="H264" s="1" t="s">
        <v>999</v>
      </c>
      <c r="I264" s="1">
        <v>181.99</v>
      </c>
      <c r="J264" s="1">
        <v>2</v>
      </c>
      <c r="K264" s="1">
        <v>-54.6</v>
      </c>
    </row>
    <row r="265" spans="1:11" ht="12.75" x14ac:dyDescent="0.2">
      <c r="A265" s="2">
        <v>42831</v>
      </c>
      <c r="B265" s="2" t="str">
        <f>TEXT(Table1[[#This Row],[Order Date]],"MMM")</f>
        <v>Apr</v>
      </c>
      <c r="C265" s="2" t="str">
        <f t="shared" si="4"/>
        <v>2017</v>
      </c>
      <c r="D265" s="1" t="s">
        <v>671</v>
      </c>
      <c r="E265" s="1" t="s">
        <v>186</v>
      </c>
      <c r="F265" s="1" t="s">
        <v>33</v>
      </c>
      <c r="G265" s="1" t="s">
        <v>117</v>
      </c>
      <c r="H265" s="1" t="s">
        <v>266</v>
      </c>
      <c r="I265" s="1">
        <v>4297.6400000000003</v>
      </c>
      <c r="J265" s="1">
        <v>13</v>
      </c>
      <c r="K265" s="1">
        <v>-1862.31</v>
      </c>
    </row>
    <row r="266" spans="1:11" ht="12.75" x14ac:dyDescent="0.2">
      <c r="A266" s="2">
        <v>42836</v>
      </c>
      <c r="B266" s="2" t="str">
        <f>TEXT(Table1[[#This Row],[Order Date]],"MMM")</f>
        <v>Apr</v>
      </c>
      <c r="C266" s="2" t="str">
        <f t="shared" si="4"/>
        <v>2017</v>
      </c>
      <c r="D266" s="1" t="s">
        <v>695</v>
      </c>
      <c r="E266" s="1" t="s">
        <v>10</v>
      </c>
      <c r="F266" s="1" t="s">
        <v>11</v>
      </c>
      <c r="G266" s="1" t="s">
        <v>12</v>
      </c>
      <c r="H266" s="1" t="s">
        <v>1042</v>
      </c>
      <c r="I266" s="1">
        <v>14.3</v>
      </c>
      <c r="J266" s="1">
        <v>6</v>
      </c>
      <c r="K266" s="1">
        <v>5.01</v>
      </c>
    </row>
    <row r="267" spans="1:11" ht="12.75" x14ac:dyDescent="0.2">
      <c r="A267" s="2">
        <v>42858</v>
      </c>
      <c r="B267" s="2" t="str">
        <f>TEXT(Table1[[#This Row],[Order Date]],"MMM")</f>
        <v>May</v>
      </c>
      <c r="C267" s="2" t="str">
        <f t="shared" si="4"/>
        <v>2017</v>
      </c>
      <c r="D267" s="1" t="s">
        <v>708</v>
      </c>
      <c r="E267" s="1" t="s">
        <v>220</v>
      </c>
      <c r="F267" s="1" t="s">
        <v>11</v>
      </c>
      <c r="G267" s="1" t="s">
        <v>12</v>
      </c>
      <c r="H267" s="1" t="s">
        <v>455</v>
      </c>
      <c r="I267" s="1">
        <v>12.96</v>
      </c>
      <c r="J267" s="1">
        <v>2</v>
      </c>
      <c r="K267" s="1">
        <v>6.22</v>
      </c>
    </row>
    <row r="268" spans="1:11" ht="12.75" x14ac:dyDescent="0.2">
      <c r="A268" s="2">
        <v>42862</v>
      </c>
      <c r="B268" s="2" t="str">
        <f>TEXT(Table1[[#This Row],[Order Date]],"MMM")</f>
        <v>May</v>
      </c>
      <c r="C268" s="2" t="str">
        <f t="shared" si="4"/>
        <v>2017</v>
      </c>
      <c r="D268" s="1" t="s">
        <v>358</v>
      </c>
      <c r="E268" s="1" t="s">
        <v>615</v>
      </c>
      <c r="F268" s="1" t="s">
        <v>33</v>
      </c>
      <c r="G268" s="1" t="s">
        <v>44</v>
      </c>
      <c r="H268" s="1" t="s">
        <v>1043</v>
      </c>
      <c r="I268" s="1">
        <v>28.4</v>
      </c>
      <c r="J268" s="1">
        <v>2</v>
      </c>
      <c r="K268" s="1">
        <v>11.08</v>
      </c>
    </row>
    <row r="269" spans="1:11" ht="12.75" x14ac:dyDescent="0.2">
      <c r="A269" s="2">
        <v>42866</v>
      </c>
      <c r="B269" s="2" t="str">
        <f>TEXT(Table1[[#This Row],[Order Date]],"MMM")</f>
        <v>May</v>
      </c>
      <c r="C269" s="2" t="str">
        <f t="shared" si="4"/>
        <v>2017</v>
      </c>
      <c r="D269" s="1" t="s">
        <v>258</v>
      </c>
      <c r="E269" s="1" t="s">
        <v>51</v>
      </c>
      <c r="F269" s="1" t="s">
        <v>11</v>
      </c>
      <c r="G269" s="1" t="s">
        <v>58</v>
      </c>
      <c r="H269" s="1" t="s">
        <v>352</v>
      </c>
      <c r="I269" s="1">
        <v>311.14999999999998</v>
      </c>
      <c r="J269" s="1">
        <v>5</v>
      </c>
      <c r="K269" s="1">
        <v>146.24</v>
      </c>
    </row>
    <row r="270" spans="1:11" ht="12.75" x14ac:dyDescent="0.2">
      <c r="A270" s="2">
        <v>42887</v>
      </c>
      <c r="B270" s="2" t="str">
        <f>TEXT(Table1[[#This Row],[Order Date]],"MMM")</f>
        <v>Jun</v>
      </c>
      <c r="C270" s="2" t="str">
        <f t="shared" si="4"/>
        <v>2017</v>
      </c>
      <c r="D270" s="1" t="s">
        <v>733</v>
      </c>
      <c r="E270" s="1" t="s">
        <v>68</v>
      </c>
      <c r="F270" s="1" t="s">
        <v>38</v>
      </c>
      <c r="G270" s="1" t="s">
        <v>39</v>
      </c>
      <c r="H270" s="1" t="s">
        <v>732</v>
      </c>
      <c r="I270" s="1">
        <v>107.98</v>
      </c>
      <c r="J270" s="1">
        <v>3</v>
      </c>
      <c r="K270" s="1">
        <v>-27</v>
      </c>
    </row>
    <row r="271" spans="1:11" ht="12.75" x14ac:dyDescent="0.2">
      <c r="A271" s="2">
        <v>42888</v>
      </c>
      <c r="B271" s="2" t="str">
        <f>TEXT(Table1[[#This Row],[Order Date]],"MMM")</f>
        <v>Jun</v>
      </c>
      <c r="C271" s="2" t="str">
        <f t="shared" si="4"/>
        <v>2017</v>
      </c>
      <c r="D271" s="1" t="s">
        <v>547</v>
      </c>
      <c r="E271" s="1" t="s">
        <v>10</v>
      </c>
      <c r="F271" s="1" t="s">
        <v>38</v>
      </c>
      <c r="G271" s="1" t="s">
        <v>48</v>
      </c>
      <c r="H271" s="1" t="s">
        <v>49</v>
      </c>
      <c r="I271" s="1">
        <v>20.8</v>
      </c>
      <c r="J271" s="1">
        <v>2</v>
      </c>
      <c r="K271" s="1">
        <v>6.5</v>
      </c>
    </row>
    <row r="272" spans="1:11" ht="12.75" x14ac:dyDescent="0.2">
      <c r="A272" s="2">
        <v>42889</v>
      </c>
      <c r="B272" s="2" t="str">
        <f>TEXT(Table1[[#This Row],[Order Date]],"MMM")</f>
        <v>Jun</v>
      </c>
      <c r="C272" s="2" t="str">
        <f t="shared" si="4"/>
        <v>2017</v>
      </c>
      <c r="D272" s="1" t="s">
        <v>972</v>
      </c>
      <c r="E272" s="1" t="s">
        <v>23</v>
      </c>
      <c r="F272" s="1" t="s">
        <v>11</v>
      </c>
      <c r="G272" s="1" t="s">
        <v>18</v>
      </c>
      <c r="H272" s="1" t="s">
        <v>766</v>
      </c>
      <c r="I272" s="1">
        <v>77.239999999999995</v>
      </c>
      <c r="J272" s="1">
        <v>5</v>
      </c>
      <c r="K272" s="1">
        <v>7.72</v>
      </c>
    </row>
    <row r="273" spans="1:11" ht="12.75" x14ac:dyDescent="0.2">
      <c r="A273" s="2">
        <v>42891</v>
      </c>
      <c r="B273" s="2" t="str">
        <f>TEXT(Table1[[#This Row],[Order Date]],"MMM")</f>
        <v>Jun</v>
      </c>
      <c r="C273" s="2" t="str">
        <f t="shared" si="4"/>
        <v>2017</v>
      </c>
      <c r="D273" s="1" t="s">
        <v>308</v>
      </c>
      <c r="E273" s="1" t="s">
        <v>126</v>
      </c>
      <c r="F273" s="1" t="s">
        <v>38</v>
      </c>
      <c r="G273" s="1" t="s">
        <v>39</v>
      </c>
      <c r="H273" s="1" t="s">
        <v>274</v>
      </c>
      <c r="I273" s="1">
        <v>134.97</v>
      </c>
      <c r="J273" s="1">
        <v>3</v>
      </c>
      <c r="K273" s="1">
        <v>64.790000000000006</v>
      </c>
    </row>
    <row r="274" spans="1:11" ht="12.75" x14ac:dyDescent="0.2">
      <c r="A274" s="2">
        <v>42892</v>
      </c>
      <c r="B274" s="2" t="str">
        <f>TEXT(Table1[[#This Row],[Order Date]],"MMM")</f>
        <v>Jun</v>
      </c>
      <c r="C274" s="2" t="str">
        <f t="shared" si="4"/>
        <v>2017</v>
      </c>
      <c r="D274" s="1" t="s">
        <v>992</v>
      </c>
      <c r="E274" s="1" t="s">
        <v>441</v>
      </c>
      <c r="F274" s="1" t="s">
        <v>11</v>
      </c>
      <c r="G274" s="1" t="s">
        <v>12</v>
      </c>
      <c r="H274" s="1" t="s">
        <v>1045</v>
      </c>
      <c r="I274" s="1">
        <v>35.880000000000003</v>
      </c>
      <c r="J274" s="1">
        <v>6</v>
      </c>
      <c r="K274" s="1">
        <v>16.149999999999999</v>
      </c>
    </row>
    <row r="275" spans="1:11" ht="12.75" x14ac:dyDescent="0.2">
      <c r="A275" s="2">
        <v>42896</v>
      </c>
      <c r="B275" s="2" t="str">
        <f>TEXT(Table1[[#This Row],[Order Date]],"MMM")</f>
        <v>Jun</v>
      </c>
      <c r="C275" s="2" t="str">
        <f t="shared" si="4"/>
        <v>2017</v>
      </c>
      <c r="D275" s="1" t="s">
        <v>925</v>
      </c>
      <c r="E275" s="1" t="s">
        <v>27</v>
      </c>
      <c r="F275" s="1" t="s">
        <v>11</v>
      </c>
      <c r="G275" s="1" t="s">
        <v>16</v>
      </c>
      <c r="H275" s="1" t="s">
        <v>819</v>
      </c>
      <c r="I275" s="1">
        <v>9.24</v>
      </c>
      <c r="J275" s="1">
        <v>3</v>
      </c>
      <c r="K275" s="1">
        <v>4.4400000000000004</v>
      </c>
    </row>
    <row r="276" spans="1:11" ht="12.75" x14ac:dyDescent="0.2">
      <c r="A276" s="2">
        <v>42897</v>
      </c>
      <c r="B276" s="2" t="str">
        <f>TEXT(Table1[[#This Row],[Order Date]],"MMM")</f>
        <v>Jun</v>
      </c>
      <c r="C276" s="2" t="str">
        <f t="shared" si="4"/>
        <v>2017</v>
      </c>
      <c r="D276" s="1" t="s">
        <v>539</v>
      </c>
      <c r="E276" s="1" t="s">
        <v>86</v>
      </c>
      <c r="F276" s="1" t="s">
        <v>38</v>
      </c>
      <c r="G276" s="1" t="s">
        <v>48</v>
      </c>
      <c r="H276" s="1" t="s">
        <v>1047</v>
      </c>
      <c r="I276" s="1">
        <v>29.99</v>
      </c>
      <c r="J276" s="1">
        <v>1</v>
      </c>
      <c r="K276" s="1">
        <v>3</v>
      </c>
    </row>
    <row r="277" spans="1:11" ht="12.75" x14ac:dyDescent="0.2">
      <c r="A277" s="2">
        <v>42923</v>
      </c>
      <c r="B277" s="2" t="str">
        <f>TEXT(Table1[[#This Row],[Order Date]],"MMM")</f>
        <v>Jul</v>
      </c>
      <c r="C277" s="2" t="str">
        <f t="shared" si="4"/>
        <v>2017</v>
      </c>
      <c r="D277" s="1" t="s">
        <v>1002</v>
      </c>
      <c r="E277" s="1" t="s">
        <v>93</v>
      </c>
      <c r="F277" s="1" t="s">
        <v>11</v>
      </c>
      <c r="G277" s="1" t="s">
        <v>24</v>
      </c>
      <c r="H277" s="1" t="s">
        <v>780</v>
      </c>
      <c r="I277" s="1">
        <v>79.36</v>
      </c>
      <c r="J277" s="1">
        <v>4</v>
      </c>
      <c r="K277" s="1">
        <v>20.63</v>
      </c>
    </row>
    <row r="278" spans="1:11" ht="12.75" x14ac:dyDescent="0.2">
      <c r="A278" s="2">
        <v>42924</v>
      </c>
      <c r="B278" s="2" t="str">
        <f>TEXT(Table1[[#This Row],[Order Date]],"MMM")</f>
        <v>Jul</v>
      </c>
      <c r="C278" s="2" t="str">
        <f t="shared" si="4"/>
        <v>2017</v>
      </c>
      <c r="D278" s="1" t="s">
        <v>1048</v>
      </c>
      <c r="E278" s="1" t="s">
        <v>119</v>
      </c>
      <c r="F278" s="1" t="s">
        <v>11</v>
      </c>
      <c r="G278" s="1" t="s">
        <v>80</v>
      </c>
      <c r="H278" s="1" t="s">
        <v>1049</v>
      </c>
      <c r="I278" s="1">
        <v>26.88</v>
      </c>
      <c r="J278" s="1">
        <v>6</v>
      </c>
      <c r="K278" s="1">
        <v>6.72</v>
      </c>
    </row>
    <row r="279" spans="1:11" ht="12.75" x14ac:dyDescent="0.2">
      <c r="A279" s="2">
        <v>42928</v>
      </c>
      <c r="B279" s="2" t="str">
        <f>TEXT(Table1[[#This Row],[Order Date]],"MMM")</f>
        <v>Jul</v>
      </c>
      <c r="C279" s="2" t="str">
        <f t="shared" si="4"/>
        <v>2017</v>
      </c>
      <c r="D279" s="1" t="s">
        <v>648</v>
      </c>
      <c r="E279" s="1" t="s">
        <v>97</v>
      </c>
      <c r="F279" s="1" t="s">
        <v>33</v>
      </c>
      <c r="G279" s="1" t="s">
        <v>34</v>
      </c>
      <c r="H279" s="1" t="s">
        <v>1005</v>
      </c>
      <c r="I279" s="1">
        <v>161.57</v>
      </c>
      <c r="J279" s="1">
        <v>2</v>
      </c>
      <c r="K279" s="1">
        <v>-28.27</v>
      </c>
    </row>
    <row r="280" spans="1:11" ht="12.75" x14ac:dyDescent="0.2">
      <c r="A280" s="2">
        <v>42948</v>
      </c>
      <c r="B280" s="2" t="str">
        <f>TEXT(Table1[[#This Row],[Order Date]],"MMM")</f>
        <v>Aug</v>
      </c>
      <c r="C280" s="2" t="str">
        <f t="shared" si="4"/>
        <v>2017</v>
      </c>
      <c r="D280" s="1" t="s">
        <v>154</v>
      </c>
      <c r="E280" s="1" t="s">
        <v>30</v>
      </c>
      <c r="F280" s="1" t="s">
        <v>11</v>
      </c>
      <c r="G280" s="1" t="s">
        <v>20</v>
      </c>
      <c r="H280" s="1" t="s">
        <v>1051</v>
      </c>
      <c r="I280" s="1">
        <v>58.72</v>
      </c>
      <c r="J280" s="1">
        <v>4</v>
      </c>
      <c r="K280" s="1">
        <v>27.01</v>
      </c>
    </row>
    <row r="281" spans="1:11" ht="12.75" x14ac:dyDescent="0.2">
      <c r="A281" s="2">
        <v>42953</v>
      </c>
      <c r="B281" s="2" t="str">
        <f>TEXT(Table1[[#This Row],[Order Date]],"MMM")</f>
        <v>Aug</v>
      </c>
      <c r="C281" s="2" t="str">
        <f t="shared" si="4"/>
        <v>2017</v>
      </c>
      <c r="D281" s="1" t="s">
        <v>1053</v>
      </c>
      <c r="E281" s="1" t="s">
        <v>133</v>
      </c>
      <c r="F281" s="1" t="s">
        <v>33</v>
      </c>
      <c r="G281" s="1" t="s">
        <v>117</v>
      </c>
      <c r="H281" s="1" t="s">
        <v>874</v>
      </c>
      <c r="I281" s="1">
        <v>787.53</v>
      </c>
      <c r="J281" s="1">
        <v>3</v>
      </c>
      <c r="K281" s="1">
        <v>165.38</v>
      </c>
    </row>
    <row r="282" spans="1:11" ht="12.75" x14ac:dyDescent="0.2">
      <c r="A282" s="2">
        <v>42957</v>
      </c>
      <c r="B282" s="2" t="str">
        <f>TEXT(Table1[[#This Row],[Order Date]],"MMM")</f>
        <v>Aug</v>
      </c>
      <c r="C282" s="2" t="str">
        <f t="shared" si="4"/>
        <v>2017</v>
      </c>
      <c r="D282" s="1" t="s">
        <v>619</v>
      </c>
      <c r="E282" s="1" t="s">
        <v>27</v>
      </c>
      <c r="F282" s="1" t="s">
        <v>33</v>
      </c>
      <c r="G282" s="1" t="s">
        <v>44</v>
      </c>
      <c r="H282" s="1" t="s">
        <v>434</v>
      </c>
      <c r="I282" s="1">
        <v>435.26</v>
      </c>
      <c r="J282" s="1">
        <v>7</v>
      </c>
      <c r="K282" s="1">
        <v>95.76</v>
      </c>
    </row>
    <row r="283" spans="1:11" ht="12.75" x14ac:dyDescent="0.2">
      <c r="A283" s="2">
        <v>42982</v>
      </c>
      <c r="B283" s="2" t="str">
        <f>TEXT(Table1[[#This Row],[Order Date]],"MMM")</f>
        <v>Sep</v>
      </c>
      <c r="C283" s="2" t="str">
        <f t="shared" si="4"/>
        <v>2017</v>
      </c>
      <c r="D283" s="1" t="s">
        <v>596</v>
      </c>
      <c r="E283" s="1" t="s">
        <v>54</v>
      </c>
      <c r="F283" s="1" t="s">
        <v>38</v>
      </c>
      <c r="G283" s="1" t="s">
        <v>48</v>
      </c>
      <c r="H283" s="1" t="s">
        <v>1057</v>
      </c>
      <c r="I283" s="1">
        <v>119.85</v>
      </c>
      <c r="J283" s="1">
        <v>3</v>
      </c>
      <c r="K283" s="1">
        <v>52.73</v>
      </c>
    </row>
    <row r="284" spans="1:11" ht="12.75" x14ac:dyDescent="0.2">
      <c r="A284" s="2">
        <v>42988</v>
      </c>
      <c r="B284" s="2" t="str">
        <f>TEXT(Table1[[#This Row],[Order Date]],"MMM")</f>
        <v>Sep</v>
      </c>
      <c r="C284" s="2" t="str">
        <f t="shared" si="4"/>
        <v>2017</v>
      </c>
      <c r="D284" s="1" t="s">
        <v>536</v>
      </c>
      <c r="E284" s="1" t="s">
        <v>10</v>
      </c>
      <c r="F284" s="1" t="s">
        <v>38</v>
      </c>
      <c r="G284" s="1" t="s">
        <v>48</v>
      </c>
      <c r="H284" s="1" t="s">
        <v>651</v>
      </c>
      <c r="I284" s="1">
        <v>113.52</v>
      </c>
      <c r="J284" s="1">
        <v>5</v>
      </c>
      <c r="K284" s="1">
        <v>29.8</v>
      </c>
    </row>
    <row r="285" spans="1:11" ht="12.75" x14ac:dyDescent="0.2">
      <c r="A285" s="2">
        <v>42989</v>
      </c>
      <c r="B285" s="2" t="str">
        <f>TEXT(Table1[[#This Row],[Order Date]],"MMM")</f>
        <v>Sep</v>
      </c>
      <c r="C285" s="2" t="str">
        <f t="shared" si="4"/>
        <v>2017</v>
      </c>
      <c r="D285" s="1" t="s">
        <v>81</v>
      </c>
      <c r="E285" s="1" t="s">
        <v>10</v>
      </c>
      <c r="F285" s="1" t="s">
        <v>11</v>
      </c>
      <c r="G285" s="1" t="s">
        <v>20</v>
      </c>
      <c r="H285" s="1" t="s">
        <v>756</v>
      </c>
      <c r="I285" s="1">
        <v>1.1100000000000001</v>
      </c>
      <c r="J285" s="1">
        <v>2</v>
      </c>
      <c r="K285" s="1">
        <v>-1.89</v>
      </c>
    </row>
    <row r="286" spans="1:11" ht="12.75" x14ac:dyDescent="0.2">
      <c r="A286" s="2">
        <v>42990</v>
      </c>
      <c r="B286" s="2" t="str">
        <f>TEXT(Table1[[#This Row],[Order Date]],"MMM")</f>
        <v>Sep</v>
      </c>
      <c r="C286" s="2" t="str">
        <f t="shared" si="4"/>
        <v>2017</v>
      </c>
      <c r="D286" s="1" t="s">
        <v>1060</v>
      </c>
      <c r="E286" s="1" t="s">
        <v>100</v>
      </c>
      <c r="F286" s="1" t="s">
        <v>11</v>
      </c>
      <c r="G286" s="1" t="s">
        <v>58</v>
      </c>
      <c r="H286" s="1" t="s">
        <v>818</v>
      </c>
      <c r="I286" s="1">
        <v>8.69</v>
      </c>
      <c r="J286" s="1">
        <v>3</v>
      </c>
      <c r="K286" s="1">
        <v>2.93</v>
      </c>
    </row>
    <row r="287" spans="1:11" ht="12.75" x14ac:dyDescent="0.2">
      <c r="A287" s="2">
        <v>43011</v>
      </c>
      <c r="B287" s="2" t="str">
        <f>TEXT(Table1[[#This Row],[Order Date]],"MMM")</f>
        <v>Oct</v>
      </c>
      <c r="C287" s="2" t="str">
        <f t="shared" si="4"/>
        <v>2017</v>
      </c>
      <c r="D287" s="1" t="s">
        <v>735</v>
      </c>
      <c r="E287" s="1" t="s">
        <v>133</v>
      </c>
      <c r="F287" s="1" t="s">
        <v>33</v>
      </c>
      <c r="G287" s="1" t="s">
        <v>65</v>
      </c>
      <c r="H287" s="1" t="s">
        <v>114</v>
      </c>
      <c r="I287" s="1">
        <v>141.96</v>
      </c>
      <c r="J287" s="1">
        <v>2</v>
      </c>
      <c r="K287" s="1">
        <v>39.75</v>
      </c>
    </row>
    <row r="288" spans="1:11" ht="12.75" x14ac:dyDescent="0.2">
      <c r="A288" s="2">
        <v>43017</v>
      </c>
      <c r="B288" s="2" t="str">
        <f>TEXT(Table1[[#This Row],[Order Date]],"MMM")</f>
        <v>Oct</v>
      </c>
      <c r="C288" s="2" t="str">
        <f t="shared" si="4"/>
        <v>2017</v>
      </c>
      <c r="D288" s="1" t="s">
        <v>1039</v>
      </c>
      <c r="E288" s="1" t="s">
        <v>210</v>
      </c>
      <c r="F288" s="1" t="s">
        <v>38</v>
      </c>
      <c r="G288" s="1" t="s">
        <v>39</v>
      </c>
      <c r="H288" s="1" t="s">
        <v>1061</v>
      </c>
      <c r="I288" s="1">
        <v>16.78</v>
      </c>
      <c r="J288" s="1">
        <v>3</v>
      </c>
      <c r="K288" s="1">
        <v>1.68</v>
      </c>
    </row>
    <row r="289" spans="1:11" ht="12.75" x14ac:dyDescent="0.2">
      <c r="A289" s="2">
        <v>43018</v>
      </c>
      <c r="B289" s="2" t="str">
        <f>TEXT(Table1[[#This Row],[Order Date]],"MMM")</f>
        <v>Oct</v>
      </c>
      <c r="C289" s="2" t="str">
        <f t="shared" si="4"/>
        <v>2017</v>
      </c>
      <c r="D289" s="1" t="s">
        <v>1062</v>
      </c>
      <c r="E289" s="1" t="s">
        <v>30</v>
      </c>
      <c r="F289" s="1" t="s">
        <v>11</v>
      </c>
      <c r="G289" s="1" t="s">
        <v>24</v>
      </c>
      <c r="H289" s="1" t="s">
        <v>37</v>
      </c>
      <c r="I289" s="1">
        <v>2.74</v>
      </c>
      <c r="J289" s="1">
        <v>1</v>
      </c>
      <c r="K289" s="1">
        <v>0.74</v>
      </c>
    </row>
    <row r="290" spans="1:11" ht="12.75" x14ac:dyDescent="0.2">
      <c r="A290" s="2">
        <v>43020</v>
      </c>
      <c r="B290" s="2" t="str">
        <f>TEXT(Table1[[#This Row],[Order Date]],"MMM")</f>
        <v>Oct</v>
      </c>
      <c r="C290" s="2" t="str">
        <f t="shared" si="4"/>
        <v>2017</v>
      </c>
      <c r="D290" s="1" t="s">
        <v>943</v>
      </c>
      <c r="E290" s="1" t="s">
        <v>119</v>
      </c>
      <c r="F290" s="1" t="s">
        <v>38</v>
      </c>
      <c r="G290" s="1" t="s">
        <v>48</v>
      </c>
      <c r="H290" s="1" t="s">
        <v>1063</v>
      </c>
      <c r="I290" s="1">
        <v>15.02</v>
      </c>
      <c r="J290" s="1">
        <v>1</v>
      </c>
      <c r="K290" s="1">
        <v>2.7</v>
      </c>
    </row>
    <row r="291" spans="1:11" ht="12.75" x14ac:dyDescent="0.2">
      <c r="A291" s="2">
        <v>43041</v>
      </c>
      <c r="B291" s="2" t="str">
        <f>TEXT(Table1[[#This Row],[Order Date]],"MMM")</f>
        <v>Nov</v>
      </c>
      <c r="C291" s="2" t="str">
        <f t="shared" si="4"/>
        <v>2017</v>
      </c>
      <c r="D291" s="1" t="s">
        <v>1064</v>
      </c>
      <c r="E291" s="1" t="s">
        <v>133</v>
      </c>
      <c r="F291" s="1" t="s">
        <v>38</v>
      </c>
      <c r="G291" s="1" t="s">
        <v>39</v>
      </c>
      <c r="H291" s="1" t="s">
        <v>41</v>
      </c>
      <c r="I291" s="1">
        <v>453.58</v>
      </c>
      <c r="J291" s="1">
        <v>3</v>
      </c>
      <c r="K291" s="1">
        <v>39.69</v>
      </c>
    </row>
    <row r="292" spans="1:11" ht="12.75" x14ac:dyDescent="0.2">
      <c r="A292" s="2">
        <v>43042</v>
      </c>
      <c r="B292" s="2" t="str">
        <f>TEXT(Table1[[#This Row],[Order Date]],"MMM")</f>
        <v>Nov</v>
      </c>
      <c r="C292" s="2" t="str">
        <f t="shared" si="4"/>
        <v>2017</v>
      </c>
      <c r="D292" s="1" t="s">
        <v>1066</v>
      </c>
      <c r="E292" s="1" t="s">
        <v>126</v>
      </c>
      <c r="F292" s="1" t="s">
        <v>11</v>
      </c>
      <c r="G292" s="1" t="s">
        <v>12</v>
      </c>
      <c r="H292" s="1" t="s">
        <v>478</v>
      </c>
      <c r="I292" s="1">
        <v>51.84</v>
      </c>
      <c r="J292" s="1">
        <v>8</v>
      </c>
      <c r="K292" s="1">
        <v>24.88</v>
      </c>
    </row>
    <row r="293" spans="1:11" ht="12.75" x14ac:dyDescent="0.2">
      <c r="A293" s="2">
        <v>43043</v>
      </c>
      <c r="B293" s="2" t="str">
        <f>TEXT(Table1[[#This Row],[Order Date]],"MMM")</f>
        <v>Nov</v>
      </c>
      <c r="C293" s="2" t="str">
        <f t="shared" si="4"/>
        <v>2017</v>
      </c>
      <c r="D293" s="1" t="s">
        <v>1068</v>
      </c>
      <c r="E293" s="1" t="s">
        <v>186</v>
      </c>
      <c r="F293" s="1" t="s">
        <v>11</v>
      </c>
      <c r="G293" s="1" t="s">
        <v>80</v>
      </c>
      <c r="H293" s="1" t="s">
        <v>477</v>
      </c>
      <c r="I293" s="1">
        <v>962.08</v>
      </c>
      <c r="J293" s="1">
        <v>4</v>
      </c>
      <c r="K293" s="1">
        <v>156.34</v>
      </c>
    </row>
    <row r="294" spans="1:11" ht="12.75" x14ac:dyDescent="0.2">
      <c r="A294" s="2">
        <v>43045</v>
      </c>
      <c r="B294" s="2" t="str">
        <f>TEXT(Table1[[#This Row],[Order Date]],"MMM")</f>
        <v>Nov</v>
      </c>
      <c r="C294" s="2" t="str">
        <f t="shared" si="4"/>
        <v>2017</v>
      </c>
      <c r="D294" s="1" t="s">
        <v>1070</v>
      </c>
      <c r="E294" s="1" t="s">
        <v>10</v>
      </c>
      <c r="F294" s="1" t="s">
        <v>38</v>
      </c>
      <c r="G294" s="1" t="s">
        <v>48</v>
      </c>
      <c r="H294" s="1" t="s">
        <v>1071</v>
      </c>
      <c r="I294" s="1">
        <v>18.39</v>
      </c>
      <c r="J294" s="1">
        <v>1</v>
      </c>
      <c r="K294" s="1">
        <v>5.29</v>
      </c>
    </row>
    <row r="295" spans="1:11" ht="12.75" x14ac:dyDescent="0.2">
      <c r="A295" s="2">
        <v>43050</v>
      </c>
      <c r="B295" s="2" t="str">
        <f>TEXT(Table1[[#This Row],[Order Date]],"MMM")</f>
        <v>Nov</v>
      </c>
      <c r="C295" s="2" t="str">
        <f t="shared" si="4"/>
        <v>2017</v>
      </c>
      <c r="D295" s="1" t="s">
        <v>560</v>
      </c>
      <c r="E295" s="1" t="s">
        <v>15</v>
      </c>
      <c r="F295" s="1" t="s">
        <v>33</v>
      </c>
      <c r="G295" s="1" t="s">
        <v>65</v>
      </c>
      <c r="H295" s="1" t="s">
        <v>461</v>
      </c>
      <c r="I295" s="1">
        <v>359.06</v>
      </c>
      <c r="J295" s="1">
        <v>3</v>
      </c>
      <c r="K295" s="1">
        <v>-35.909999999999997</v>
      </c>
    </row>
    <row r="296" spans="1:11" ht="12.75" x14ac:dyDescent="0.2">
      <c r="A296" s="2">
        <v>43051</v>
      </c>
      <c r="B296" s="2" t="str">
        <f>TEXT(Table1[[#This Row],[Order Date]],"MMM")</f>
        <v>Nov</v>
      </c>
      <c r="C296" s="2" t="str">
        <f t="shared" si="4"/>
        <v>2017</v>
      </c>
      <c r="D296" s="1" t="s">
        <v>1075</v>
      </c>
      <c r="E296" s="1" t="s">
        <v>100</v>
      </c>
      <c r="F296" s="1" t="s">
        <v>11</v>
      </c>
      <c r="G296" s="1" t="s">
        <v>12</v>
      </c>
      <c r="H296" s="1" t="s">
        <v>703</v>
      </c>
      <c r="I296" s="1">
        <v>74.349999999999994</v>
      </c>
      <c r="J296" s="1">
        <v>3</v>
      </c>
      <c r="K296" s="1">
        <v>23.24</v>
      </c>
    </row>
    <row r="297" spans="1:11" ht="12.75" x14ac:dyDescent="0.2">
      <c r="A297" s="2">
        <v>43075</v>
      </c>
      <c r="B297" s="2" t="str">
        <f>TEXT(Table1[[#This Row],[Order Date]],"MMM")</f>
        <v>Dec</v>
      </c>
      <c r="C297" s="2" t="str">
        <f t="shared" si="4"/>
        <v>2017</v>
      </c>
      <c r="D297" s="1" t="s">
        <v>90</v>
      </c>
      <c r="E297" s="1" t="s">
        <v>133</v>
      </c>
      <c r="F297" s="1" t="s">
        <v>11</v>
      </c>
      <c r="G297" s="1" t="s">
        <v>18</v>
      </c>
      <c r="H297" s="1" t="s">
        <v>287</v>
      </c>
      <c r="I297" s="1">
        <v>83.7</v>
      </c>
      <c r="J297" s="1">
        <v>5</v>
      </c>
      <c r="K297" s="1">
        <v>3.35</v>
      </c>
    </row>
    <row r="298" spans="1:11" ht="12.75" x14ac:dyDescent="0.2">
      <c r="A298" s="2">
        <v>43076</v>
      </c>
      <c r="B298" s="2" t="str">
        <f>TEXT(Table1[[#This Row],[Order Date]],"MMM")</f>
        <v>Dec</v>
      </c>
      <c r="C298" s="2" t="str">
        <f t="shared" si="4"/>
        <v>2017</v>
      </c>
      <c r="D298" s="1" t="s">
        <v>916</v>
      </c>
      <c r="E298" s="1" t="s">
        <v>27</v>
      </c>
      <c r="F298" s="1" t="s">
        <v>38</v>
      </c>
      <c r="G298" s="1" t="s">
        <v>48</v>
      </c>
      <c r="H298" s="1" t="s">
        <v>1077</v>
      </c>
      <c r="I298" s="1">
        <v>166.24</v>
      </c>
      <c r="J298" s="1">
        <v>1</v>
      </c>
      <c r="K298" s="1">
        <v>24.94</v>
      </c>
    </row>
    <row r="299" spans="1:11" ht="12.75" x14ac:dyDescent="0.2">
      <c r="A299" s="2">
        <v>43078</v>
      </c>
      <c r="B299" s="2" t="str">
        <f>TEXT(Table1[[#This Row],[Order Date]],"MMM")</f>
        <v>Dec</v>
      </c>
      <c r="C299" s="2" t="str">
        <f t="shared" si="4"/>
        <v>2017</v>
      </c>
      <c r="D299" s="1" t="s">
        <v>783</v>
      </c>
      <c r="E299" s="1" t="s">
        <v>100</v>
      </c>
      <c r="F299" s="1" t="s">
        <v>33</v>
      </c>
      <c r="G299" s="1" t="s">
        <v>34</v>
      </c>
      <c r="H299" s="1" t="s">
        <v>1078</v>
      </c>
      <c r="I299" s="1">
        <v>1166.92</v>
      </c>
      <c r="J299" s="1">
        <v>5</v>
      </c>
      <c r="K299" s="1">
        <v>131.28</v>
      </c>
    </row>
    <row r="300" spans="1:11" ht="12.75" x14ac:dyDescent="0.2">
      <c r="A300" s="2">
        <v>43079</v>
      </c>
      <c r="B300" s="2" t="str">
        <f>TEXT(Table1[[#This Row],[Order Date]],"MMM")</f>
        <v>Dec</v>
      </c>
      <c r="C300" s="2" t="str">
        <f t="shared" si="4"/>
        <v>2017</v>
      </c>
      <c r="D300" s="1" t="s">
        <v>313</v>
      </c>
      <c r="E300" s="1" t="s">
        <v>100</v>
      </c>
      <c r="F300" s="1" t="s">
        <v>38</v>
      </c>
      <c r="G300" s="1" t="s">
        <v>39</v>
      </c>
      <c r="H300" s="1" t="s">
        <v>1080</v>
      </c>
      <c r="I300" s="1">
        <v>79.959999999999994</v>
      </c>
      <c r="J300" s="1">
        <v>5</v>
      </c>
      <c r="K300" s="1">
        <v>27.99</v>
      </c>
    </row>
    <row r="301" spans="1:11" ht="12.75" x14ac:dyDescent="0.2">
      <c r="A301" s="2">
        <v>41652</v>
      </c>
      <c r="B301" s="2" t="str">
        <f>TEXT(Table1[[#This Row],[Order Date]],"MMM")</f>
        <v>Jan</v>
      </c>
      <c r="C301" s="2" t="str">
        <f t="shared" si="4"/>
        <v>2014</v>
      </c>
      <c r="D301" s="1" t="s">
        <v>1082</v>
      </c>
      <c r="E301" s="1" t="s">
        <v>10</v>
      </c>
      <c r="F301" s="1" t="s">
        <v>11</v>
      </c>
      <c r="G301" s="1" t="s">
        <v>80</v>
      </c>
      <c r="H301" s="1" t="s">
        <v>920</v>
      </c>
      <c r="I301" s="1">
        <v>32.19</v>
      </c>
      <c r="J301" s="1">
        <v>2</v>
      </c>
      <c r="K301" s="1">
        <v>-80.48</v>
      </c>
    </row>
    <row r="302" spans="1:11" ht="12.75" x14ac:dyDescent="0.2">
      <c r="A302" s="2">
        <v>42017</v>
      </c>
      <c r="B302" s="2" t="str">
        <f>TEXT(Table1[[#This Row],[Order Date]],"MMM")</f>
        <v>Jan</v>
      </c>
      <c r="C302" s="2" t="str">
        <f t="shared" si="4"/>
        <v>2015</v>
      </c>
      <c r="D302" s="1" t="s">
        <v>861</v>
      </c>
      <c r="E302" s="1" t="s">
        <v>97</v>
      </c>
      <c r="F302" s="1" t="s">
        <v>11</v>
      </c>
      <c r="G302" s="1" t="s">
        <v>20</v>
      </c>
      <c r="H302" s="1" t="s">
        <v>986</v>
      </c>
      <c r="I302" s="1">
        <v>157.79</v>
      </c>
      <c r="J302" s="1">
        <v>1</v>
      </c>
      <c r="K302" s="1">
        <v>-115.72</v>
      </c>
    </row>
    <row r="303" spans="1:11" ht="12.75" x14ac:dyDescent="0.2">
      <c r="A303" s="2">
        <v>42076</v>
      </c>
      <c r="B303" s="2" t="str">
        <f>TEXT(Table1[[#This Row],[Order Date]],"MMM")</f>
        <v>Mar</v>
      </c>
      <c r="C303" s="2" t="str">
        <f t="shared" si="4"/>
        <v>2015</v>
      </c>
      <c r="D303" s="1" t="s">
        <v>396</v>
      </c>
      <c r="E303" s="1" t="s">
        <v>10</v>
      </c>
      <c r="F303" s="1" t="s">
        <v>11</v>
      </c>
      <c r="G303" s="1" t="s">
        <v>80</v>
      </c>
      <c r="H303" s="1" t="s">
        <v>1023</v>
      </c>
      <c r="I303" s="1">
        <v>463.25</v>
      </c>
      <c r="J303" s="1">
        <v>8</v>
      </c>
      <c r="K303" s="1">
        <v>-1181.28</v>
      </c>
    </row>
    <row r="304" spans="1:11" ht="12.75" x14ac:dyDescent="0.2">
      <c r="A304" s="2">
        <v>42442</v>
      </c>
      <c r="B304" s="2" t="str">
        <f>TEXT(Table1[[#This Row],[Order Date]],"MMM")</f>
        <v>Mar</v>
      </c>
      <c r="C304" s="2" t="str">
        <f t="shared" si="4"/>
        <v>2016</v>
      </c>
      <c r="D304" s="1" t="s">
        <v>330</v>
      </c>
      <c r="E304" s="1" t="s">
        <v>27</v>
      </c>
      <c r="F304" s="1" t="s">
        <v>33</v>
      </c>
      <c r="G304" s="1" t="s">
        <v>117</v>
      </c>
      <c r="H304" s="1" t="s">
        <v>1085</v>
      </c>
      <c r="I304" s="1">
        <v>369.91</v>
      </c>
      <c r="J304" s="1">
        <v>3</v>
      </c>
      <c r="K304" s="1">
        <v>-13.87</v>
      </c>
    </row>
    <row r="305" spans="1:11" ht="12.75" x14ac:dyDescent="0.2">
      <c r="A305" s="2">
        <v>42807</v>
      </c>
      <c r="B305" s="2" t="str">
        <f>TEXT(Table1[[#This Row],[Order Date]],"MMM")</f>
        <v>Mar</v>
      </c>
      <c r="C305" s="2" t="str">
        <f t="shared" si="4"/>
        <v>2017</v>
      </c>
      <c r="D305" s="1" t="s">
        <v>1088</v>
      </c>
      <c r="E305" s="1" t="s">
        <v>133</v>
      </c>
      <c r="F305" s="1" t="s">
        <v>11</v>
      </c>
      <c r="G305" s="1" t="s">
        <v>18</v>
      </c>
      <c r="H305" s="1" t="s">
        <v>1001</v>
      </c>
      <c r="I305" s="1">
        <v>40.74</v>
      </c>
      <c r="J305" s="1">
        <v>3</v>
      </c>
      <c r="K305" s="1">
        <v>0.41</v>
      </c>
    </row>
    <row r="306" spans="1:11" ht="12.75" x14ac:dyDescent="0.2">
      <c r="A306" s="2">
        <v>41742</v>
      </c>
      <c r="B306" s="2" t="str">
        <f>TEXT(Table1[[#This Row],[Order Date]],"MMM")</f>
        <v>Apr</v>
      </c>
      <c r="C306" s="2" t="str">
        <f t="shared" si="4"/>
        <v>2014</v>
      </c>
      <c r="D306" s="1" t="s">
        <v>831</v>
      </c>
      <c r="E306" s="1" t="s">
        <v>27</v>
      </c>
      <c r="F306" s="1" t="s">
        <v>38</v>
      </c>
      <c r="G306" s="1" t="s">
        <v>48</v>
      </c>
      <c r="H306" s="1" t="s">
        <v>426</v>
      </c>
      <c r="I306" s="1">
        <v>199.96</v>
      </c>
      <c r="J306" s="1">
        <v>4</v>
      </c>
      <c r="K306" s="1">
        <v>69.989999999999995</v>
      </c>
    </row>
    <row r="307" spans="1:11" ht="12.75" x14ac:dyDescent="0.2">
      <c r="A307" s="2">
        <v>42107</v>
      </c>
      <c r="B307" s="2" t="str">
        <f>TEXT(Table1[[#This Row],[Order Date]],"MMM")</f>
        <v>Apr</v>
      </c>
      <c r="C307" s="2" t="str">
        <f t="shared" si="4"/>
        <v>2015</v>
      </c>
      <c r="D307" s="1" t="s">
        <v>1090</v>
      </c>
      <c r="E307" s="1" t="s">
        <v>79</v>
      </c>
      <c r="F307" s="1" t="s">
        <v>11</v>
      </c>
      <c r="G307" s="1" t="s">
        <v>80</v>
      </c>
      <c r="H307" s="1" t="s">
        <v>677</v>
      </c>
      <c r="I307" s="1">
        <v>35.21</v>
      </c>
      <c r="J307" s="1">
        <v>1</v>
      </c>
      <c r="K307" s="1">
        <v>2.64</v>
      </c>
    </row>
    <row r="308" spans="1:11" ht="12.75" x14ac:dyDescent="0.2">
      <c r="A308" s="2">
        <v>41772</v>
      </c>
      <c r="B308" s="2" t="str">
        <f>TEXT(Table1[[#This Row],[Order Date]],"MMM")</f>
        <v>May</v>
      </c>
      <c r="C308" s="2" t="str">
        <f t="shared" si="4"/>
        <v>2014</v>
      </c>
      <c r="D308" s="1" t="s">
        <v>436</v>
      </c>
      <c r="E308" s="1" t="s">
        <v>27</v>
      </c>
      <c r="F308" s="1" t="s">
        <v>11</v>
      </c>
      <c r="G308" s="1" t="s">
        <v>24</v>
      </c>
      <c r="H308" s="1" t="s">
        <v>533</v>
      </c>
      <c r="I308" s="1">
        <v>5.56</v>
      </c>
      <c r="J308" s="1">
        <v>2</v>
      </c>
      <c r="K308" s="1">
        <v>2.2200000000000002</v>
      </c>
    </row>
    <row r="309" spans="1:11" ht="12.75" x14ac:dyDescent="0.2">
      <c r="A309" s="2">
        <v>42168</v>
      </c>
      <c r="B309" s="2" t="str">
        <f>TEXT(Table1[[#This Row],[Order Date]],"MMM")</f>
        <v>Jun</v>
      </c>
      <c r="C309" s="2" t="str">
        <f t="shared" si="4"/>
        <v>2015</v>
      </c>
      <c r="D309" s="1" t="s">
        <v>410</v>
      </c>
      <c r="E309" s="1" t="s">
        <v>10</v>
      </c>
      <c r="F309" s="1" t="s">
        <v>11</v>
      </c>
      <c r="G309" s="1" t="s">
        <v>80</v>
      </c>
      <c r="H309" s="1" t="s">
        <v>204</v>
      </c>
      <c r="I309" s="1">
        <v>19.57</v>
      </c>
      <c r="J309" s="1">
        <v>2</v>
      </c>
      <c r="K309" s="1">
        <v>-52.83</v>
      </c>
    </row>
    <row r="310" spans="1:11" ht="12.75" x14ac:dyDescent="0.2">
      <c r="A310" s="2">
        <v>42534</v>
      </c>
      <c r="B310" s="2" t="str">
        <f>TEXT(Table1[[#This Row],[Order Date]],"MMM")</f>
        <v>Jun</v>
      </c>
      <c r="C310" s="2" t="str">
        <f t="shared" si="4"/>
        <v>2016</v>
      </c>
      <c r="D310" s="1" t="s">
        <v>1095</v>
      </c>
      <c r="E310" s="1" t="s">
        <v>32</v>
      </c>
      <c r="F310" s="1" t="s">
        <v>33</v>
      </c>
      <c r="G310" s="1" t="s">
        <v>34</v>
      </c>
      <c r="H310" s="1" t="s">
        <v>1020</v>
      </c>
      <c r="I310" s="1">
        <v>191.96</v>
      </c>
      <c r="J310" s="1">
        <v>2</v>
      </c>
      <c r="K310" s="1">
        <v>51.83</v>
      </c>
    </row>
    <row r="311" spans="1:11" ht="12.75" x14ac:dyDescent="0.2">
      <c r="A311" s="2">
        <v>41833</v>
      </c>
      <c r="B311" s="2" t="str">
        <f>TEXT(Table1[[#This Row],[Order Date]],"MMM")</f>
        <v>Jul</v>
      </c>
      <c r="C311" s="2" t="str">
        <f t="shared" si="4"/>
        <v>2014</v>
      </c>
      <c r="D311" s="1" t="s">
        <v>135</v>
      </c>
      <c r="E311" s="1" t="s">
        <v>119</v>
      </c>
      <c r="F311" s="1" t="s">
        <v>11</v>
      </c>
      <c r="G311" s="1" t="s">
        <v>24</v>
      </c>
      <c r="H311" s="1" t="s">
        <v>200</v>
      </c>
      <c r="I311" s="1">
        <v>25.99</v>
      </c>
      <c r="J311" s="1">
        <v>1</v>
      </c>
      <c r="K311" s="1">
        <v>7.54</v>
      </c>
    </row>
    <row r="312" spans="1:11" ht="12.75" x14ac:dyDescent="0.2">
      <c r="A312" s="2">
        <v>42198</v>
      </c>
      <c r="B312" s="2" t="str">
        <f>TEXT(Table1[[#This Row],[Order Date]],"MMM")</f>
        <v>Jul</v>
      </c>
      <c r="C312" s="2" t="str">
        <f t="shared" si="4"/>
        <v>2015</v>
      </c>
      <c r="D312" s="1" t="s">
        <v>187</v>
      </c>
      <c r="E312" s="1" t="s">
        <v>27</v>
      </c>
      <c r="F312" s="1" t="s">
        <v>11</v>
      </c>
      <c r="G312" s="1" t="s">
        <v>20</v>
      </c>
      <c r="H312" s="1" t="s">
        <v>280</v>
      </c>
      <c r="I312" s="1">
        <v>13.94</v>
      </c>
      <c r="J312" s="1">
        <v>3</v>
      </c>
      <c r="K312" s="1">
        <v>4.53</v>
      </c>
    </row>
    <row r="313" spans="1:11" ht="12.75" x14ac:dyDescent="0.2">
      <c r="A313" s="2">
        <v>42929</v>
      </c>
      <c r="B313" s="2" t="str">
        <f>TEXT(Table1[[#This Row],[Order Date]],"MMM")</f>
        <v>Jul</v>
      </c>
      <c r="C313" s="2" t="str">
        <f t="shared" si="4"/>
        <v>2017</v>
      </c>
      <c r="D313" s="1" t="s">
        <v>546</v>
      </c>
      <c r="E313" s="1" t="s">
        <v>10</v>
      </c>
      <c r="F313" s="1" t="s">
        <v>11</v>
      </c>
      <c r="G313" s="1" t="s">
        <v>80</v>
      </c>
      <c r="H313" s="1" t="s">
        <v>395</v>
      </c>
      <c r="I313" s="1">
        <v>8.65</v>
      </c>
      <c r="J313" s="1">
        <v>3</v>
      </c>
      <c r="K313" s="1">
        <v>-20.329999999999998</v>
      </c>
    </row>
    <row r="314" spans="1:11" ht="12.75" x14ac:dyDescent="0.2">
      <c r="A314" s="2">
        <v>42229</v>
      </c>
      <c r="B314" s="2" t="str">
        <f>TEXT(Table1[[#This Row],[Order Date]],"MMM")</f>
        <v>Aug</v>
      </c>
      <c r="C314" s="2" t="str">
        <f t="shared" si="4"/>
        <v>2015</v>
      </c>
      <c r="D314" s="1" t="s">
        <v>769</v>
      </c>
      <c r="E314" s="1" t="s">
        <v>23</v>
      </c>
      <c r="F314" s="1" t="s">
        <v>11</v>
      </c>
      <c r="G314" s="1" t="s">
        <v>12</v>
      </c>
      <c r="H314" s="1" t="s">
        <v>435</v>
      </c>
      <c r="I314" s="1">
        <v>7.97</v>
      </c>
      <c r="J314" s="1">
        <v>2</v>
      </c>
      <c r="K314" s="1">
        <v>2.89</v>
      </c>
    </row>
    <row r="315" spans="1:11" ht="12.75" x14ac:dyDescent="0.2">
      <c r="A315" s="2">
        <v>42595</v>
      </c>
      <c r="B315" s="2" t="str">
        <f>TEXT(Table1[[#This Row],[Order Date]],"MMM")</f>
        <v>Aug</v>
      </c>
      <c r="C315" s="2" t="str">
        <f t="shared" si="4"/>
        <v>2016</v>
      </c>
      <c r="D315" s="1" t="s">
        <v>344</v>
      </c>
      <c r="E315" s="1" t="s">
        <v>15</v>
      </c>
      <c r="F315" s="1" t="s">
        <v>33</v>
      </c>
      <c r="G315" s="1" t="s">
        <v>34</v>
      </c>
      <c r="H315" s="1" t="s">
        <v>148</v>
      </c>
      <c r="I315" s="1">
        <v>213.12</v>
      </c>
      <c r="J315" s="1">
        <v>5</v>
      </c>
      <c r="K315" s="1">
        <v>-15.22</v>
      </c>
    </row>
    <row r="316" spans="1:11" ht="12.75" x14ac:dyDescent="0.2">
      <c r="A316" s="2">
        <v>41895</v>
      </c>
      <c r="B316" s="2" t="str">
        <f>TEXT(Table1[[#This Row],[Order Date]],"MMM")</f>
        <v>Sep</v>
      </c>
      <c r="C316" s="2" t="str">
        <f t="shared" si="4"/>
        <v>2014</v>
      </c>
      <c r="D316" s="1" t="s">
        <v>758</v>
      </c>
      <c r="E316" s="1" t="s">
        <v>27</v>
      </c>
      <c r="F316" s="1" t="s">
        <v>38</v>
      </c>
      <c r="G316" s="1" t="s">
        <v>39</v>
      </c>
      <c r="H316" s="1" t="s">
        <v>1097</v>
      </c>
      <c r="I316" s="1">
        <v>88.75</v>
      </c>
      <c r="J316" s="1">
        <v>3</v>
      </c>
      <c r="K316" s="1">
        <v>11.09</v>
      </c>
    </row>
    <row r="317" spans="1:11" ht="12.75" x14ac:dyDescent="0.2">
      <c r="A317" s="2">
        <v>42991</v>
      </c>
      <c r="B317" s="2" t="str">
        <f>TEXT(Table1[[#This Row],[Order Date]],"MMM")</f>
        <v>Sep</v>
      </c>
      <c r="C317" s="2" t="str">
        <f t="shared" si="4"/>
        <v>2017</v>
      </c>
      <c r="D317" s="1" t="s">
        <v>860</v>
      </c>
      <c r="E317" s="1" t="s">
        <v>10</v>
      </c>
      <c r="F317" s="1" t="s">
        <v>11</v>
      </c>
      <c r="G317" s="1" t="s">
        <v>16</v>
      </c>
      <c r="H317" s="1" t="s">
        <v>236</v>
      </c>
      <c r="I317" s="1">
        <v>8.86</v>
      </c>
      <c r="J317" s="1">
        <v>3</v>
      </c>
      <c r="K317" s="1">
        <v>2.99</v>
      </c>
    </row>
    <row r="318" spans="1:11" ht="12.75" x14ac:dyDescent="0.2">
      <c r="A318" s="2">
        <v>41925</v>
      </c>
      <c r="B318" s="2" t="str">
        <f>TEXT(Table1[[#This Row],[Order Date]],"MMM")</f>
        <v>Oct</v>
      </c>
      <c r="C318" s="2" t="str">
        <f t="shared" si="4"/>
        <v>2014</v>
      </c>
      <c r="D318" s="1" t="s">
        <v>840</v>
      </c>
      <c r="E318" s="1" t="s">
        <v>119</v>
      </c>
      <c r="F318" s="1" t="s">
        <v>33</v>
      </c>
      <c r="G318" s="1" t="s">
        <v>44</v>
      </c>
      <c r="H318" s="1" t="s">
        <v>1102</v>
      </c>
      <c r="I318" s="1">
        <v>26.8</v>
      </c>
      <c r="J318" s="1">
        <v>2</v>
      </c>
      <c r="K318" s="1">
        <v>12.86</v>
      </c>
    </row>
    <row r="319" spans="1:11" ht="12.75" x14ac:dyDescent="0.2">
      <c r="A319" s="2">
        <v>42321</v>
      </c>
      <c r="B319" s="2" t="str">
        <f>TEXT(Table1[[#This Row],[Order Date]],"MMM")</f>
        <v>Nov</v>
      </c>
      <c r="C319" s="2" t="str">
        <f t="shared" si="4"/>
        <v>2015</v>
      </c>
      <c r="D319" s="1" t="s">
        <v>1105</v>
      </c>
      <c r="E319" s="1" t="s">
        <v>10</v>
      </c>
      <c r="F319" s="1" t="s">
        <v>33</v>
      </c>
      <c r="G319" s="1" t="s">
        <v>117</v>
      </c>
      <c r="H319" s="1" t="s">
        <v>1106</v>
      </c>
      <c r="I319" s="1">
        <v>244.01</v>
      </c>
      <c r="J319" s="1">
        <v>2</v>
      </c>
      <c r="K319" s="1">
        <v>-31.37</v>
      </c>
    </row>
    <row r="320" spans="1:11" ht="12.75" x14ac:dyDescent="0.2">
      <c r="A320" s="2">
        <v>42687</v>
      </c>
      <c r="B320" s="2" t="str">
        <f>TEXT(Table1[[#This Row],[Order Date]],"MMM")</f>
        <v>Nov</v>
      </c>
      <c r="C320" s="2" t="str">
        <f t="shared" si="4"/>
        <v>2016</v>
      </c>
      <c r="D320" s="1" t="s">
        <v>1032</v>
      </c>
      <c r="E320" s="1" t="s">
        <v>68</v>
      </c>
      <c r="F320" s="1" t="s">
        <v>33</v>
      </c>
      <c r="G320" s="1" t="s">
        <v>44</v>
      </c>
      <c r="H320" s="1" t="s">
        <v>394</v>
      </c>
      <c r="I320" s="1">
        <v>8.35</v>
      </c>
      <c r="J320" s="1">
        <v>6</v>
      </c>
      <c r="K320" s="1">
        <v>1.25</v>
      </c>
    </row>
    <row r="321" spans="1:11" ht="12.75" x14ac:dyDescent="0.2">
      <c r="A321" s="2">
        <v>41986</v>
      </c>
      <c r="B321" s="2" t="str">
        <f>TEXT(Table1[[#This Row],[Order Date]],"MMM")</f>
        <v>Dec</v>
      </c>
      <c r="C321" s="2" t="str">
        <f t="shared" ref="C321:C384" si="5">TEXT(A321,"YYY")</f>
        <v>2014</v>
      </c>
      <c r="D321" s="1" t="s">
        <v>580</v>
      </c>
      <c r="E321" s="1" t="s">
        <v>32</v>
      </c>
      <c r="F321" s="1" t="s">
        <v>11</v>
      </c>
      <c r="G321" s="1" t="s">
        <v>20</v>
      </c>
      <c r="H321" s="1" t="s">
        <v>881</v>
      </c>
      <c r="I321" s="1">
        <v>48.81</v>
      </c>
      <c r="J321" s="1">
        <v>3</v>
      </c>
      <c r="K321" s="1">
        <v>23.92</v>
      </c>
    </row>
    <row r="322" spans="1:11" ht="12.75" x14ac:dyDescent="0.2">
      <c r="A322" s="2">
        <v>41653</v>
      </c>
      <c r="B322" s="2" t="str">
        <f>TEXT(Table1[[#This Row],[Order Date]],"MMM")</f>
        <v>Jan</v>
      </c>
      <c r="C322" s="2" t="str">
        <f t="shared" si="5"/>
        <v>2014</v>
      </c>
      <c r="D322" s="1" t="s">
        <v>560</v>
      </c>
      <c r="E322" s="1" t="s">
        <v>15</v>
      </c>
      <c r="F322" s="1" t="s">
        <v>11</v>
      </c>
      <c r="G322" s="1" t="s">
        <v>80</v>
      </c>
      <c r="H322" s="1" t="s">
        <v>1107</v>
      </c>
      <c r="I322" s="1">
        <v>70.97</v>
      </c>
      <c r="J322" s="1">
        <v>5</v>
      </c>
      <c r="K322" s="1">
        <v>-191.62</v>
      </c>
    </row>
    <row r="323" spans="1:11" ht="12.75" x14ac:dyDescent="0.2">
      <c r="A323" s="2">
        <v>42383</v>
      </c>
      <c r="B323" s="2" t="str">
        <f>TEXT(Table1[[#This Row],[Order Date]],"MMM")</f>
        <v>Jan</v>
      </c>
      <c r="C323" s="2" t="str">
        <f t="shared" si="5"/>
        <v>2016</v>
      </c>
      <c r="D323" s="1" t="s">
        <v>344</v>
      </c>
      <c r="E323" s="1" t="s">
        <v>82</v>
      </c>
      <c r="F323" s="1" t="s">
        <v>33</v>
      </c>
      <c r="G323" s="1" t="s">
        <v>34</v>
      </c>
      <c r="H323" s="1" t="s">
        <v>1108</v>
      </c>
      <c r="I323" s="1">
        <v>191.97</v>
      </c>
      <c r="J323" s="1">
        <v>7</v>
      </c>
      <c r="K323" s="1">
        <v>16.8</v>
      </c>
    </row>
    <row r="324" spans="1:11" ht="12.75" x14ac:dyDescent="0.2">
      <c r="A324" s="2">
        <v>41684</v>
      </c>
      <c r="B324" s="2" t="str">
        <f>TEXT(Table1[[#This Row],[Order Date]],"MMM")</f>
        <v>Feb</v>
      </c>
      <c r="C324" s="2" t="str">
        <f t="shared" si="5"/>
        <v>2014</v>
      </c>
      <c r="D324" s="1" t="s">
        <v>259</v>
      </c>
      <c r="E324" s="1" t="s">
        <v>27</v>
      </c>
      <c r="F324" s="1" t="s">
        <v>11</v>
      </c>
      <c r="G324" s="1" t="s">
        <v>12</v>
      </c>
      <c r="H324" s="1" t="s">
        <v>1109</v>
      </c>
      <c r="I324" s="1">
        <v>12.84</v>
      </c>
      <c r="J324" s="1">
        <v>3</v>
      </c>
      <c r="K324" s="1">
        <v>5.78</v>
      </c>
    </row>
    <row r="325" spans="1:11" ht="12.75" x14ac:dyDescent="0.2">
      <c r="A325" s="2">
        <v>42443</v>
      </c>
      <c r="B325" s="2" t="str">
        <f>TEXT(Table1[[#This Row],[Order Date]],"MMM")</f>
        <v>Mar</v>
      </c>
      <c r="C325" s="2" t="str">
        <f t="shared" si="5"/>
        <v>2016</v>
      </c>
      <c r="D325" s="1" t="s">
        <v>292</v>
      </c>
      <c r="E325" s="1" t="s">
        <v>30</v>
      </c>
      <c r="F325" s="1" t="s">
        <v>11</v>
      </c>
      <c r="G325" s="1" t="s">
        <v>58</v>
      </c>
      <c r="H325" s="1" t="s">
        <v>1113</v>
      </c>
      <c r="I325" s="1">
        <v>17.940000000000001</v>
      </c>
      <c r="J325" s="1">
        <v>3</v>
      </c>
      <c r="K325" s="1">
        <v>8.7899999999999991</v>
      </c>
    </row>
    <row r="326" spans="1:11" ht="12.75" x14ac:dyDescent="0.2">
      <c r="A326" s="2">
        <v>42108</v>
      </c>
      <c r="B326" s="2" t="str">
        <f>TEXT(Table1[[#This Row],[Order Date]],"MMM")</f>
        <v>Apr</v>
      </c>
      <c r="C326" s="2" t="str">
        <f t="shared" si="5"/>
        <v>2015</v>
      </c>
      <c r="D326" s="1" t="s">
        <v>300</v>
      </c>
      <c r="E326" s="1" t="s">
        <v>100</v>
      </c>
      <c r="F326" s="1" t="s">
        <v>38</v>
      </c>
      <c r="G326" s="1" t="s">
        <v>48</v>
      </c>
      <c r="H326" s="1" t="s">
        <v>1084</v>
      </c>
      <c r="I326" s="1">
        <v>255.97</v>
      </c>
      <c r="J326" s="1">
        <v>4</v>
      </c>
      <c r="K326" s="1">
        <v>32</v>
      </c>
    </row>
    <row r="327" spans="1:11" ht="12.75" x14ac:dyDescent="0.2">
      <c r="A327" s="2">
        <v>41773</v>
      </c>
      <c r="B327" s="2" t="str">
        <f>TEXT(Table1[[#This Row],[Order Date]],"MMM")</f>
        <v>May</v>
      </c>
      <c r="C327" s="2" t="str">
        <f t="shared" si="5"/>
        <v>2014</v>
      </c>
      <c r="D327" s="1" t="s">
        <v>50</v>
      </c>
      <c r="E327" s="1" t="s">
        <v>27</v>
      </c>
      <c r="F327" s="1" t="s">
        <v>11</v>
      </c>
      <c r="G327" s="1" t="s">
        <v>12</v>
      </c>
      <c r="H327" s="1" t="s">
        <v>773</v>
      </c>
      <c r="I327" s="1">
        <v>10.86</v>
      </c>
      <c r="J327" s="1">
        <v>2</v>
      </c>
      <c r="K327" s="1">
        <v>5.32</v>
      </c>
    </row>
    <row r="328" spans="1:11" ht="12.75" x14ac:dyDescent="0.2">
      <c r="A328" s="2">
        <v>42504</v>
      </c>
      <c r="B328" s="2" t="str">
        <f>TEXT(Table1[[#This Row],[Order Date]],"MMM")</f>
        <v>May</v>
      </c>
      <c r="C328" s="2" t="str">
        <f t="shared" si="5"/>
        <v>2016</v>
      </c>
      <c r="D328" s="1" t="s">
        <v>633</v>
      </c>
      <c r="E328" s="1" t="s">
        <v>186</v>
      </c>
      <c r="F328" s="1" t="s">
        <v>33</v>
      </c>
      <c r="G328" s="1" t="s">
        <v>44</v>
      </c>
      <c r="H328" s="1" t="s">
        <v>232</v>
      </c>
      <c r="I328" s="1">
        <v>163.13999999999999</v>
      </c>
      <c r="J328" s="1">
        <v>4</v>
      </c>
      <c r="K328" s="1">
        <v>20.39</v>
      </c>
    </row>
    <row r="329" spans="1:11" ht="12.75" x14ac:dyDescent="0.2">
      <c r="A329" s="2">
        <v>41804</v>
      </c>
      <c r="B329" s="2" t="str">
        <f>TEXT(Table1[[#This Row],[Order Date]],"MMM")</f>
        <v>Jun</v>
      </c>
      <c r="C329" s="2" t="str">
        <f t="shared" si="5"/>
        <v>2014</v>
      </c>
      <c r="D329" s="1" t="s">
        <v>523</v>
      </c>
      <c r="E329" s="1" t="s">
        <v>15</v>
      </c>
      <c r="F329" s="1" t="s">
        <v>11</v>
      </c>
      <c r="G329" s="1" t="s">
        <v>80</v>
      </c>
      <c r="H329" s="1" t="s">
        <v>778</v>
      </c>
      <c r="I329" s="1">
        <v>20.77</v>
      </c>
      <c r="J329" s="1">
        <v>8</v>
      </c>
      <c r="K329" s="1">
        <v>-52.96</v>
      </c>
    </row>
    <row r="330" spans="1:11" ht="12.75" x14ac:dyDescent="0.2">
      <c r="A330" s="2">
        <v>42169</v>
      </c>
      <c r="B330" s="2" t="str">
        <f>TEXT(Table1[[#This Row],[Order Date]],"MMM")</f>
        <v>Jun</v>
      </c>
      <c r="C330" s="2" t="str">
        <f t="shared" si="5"/>
        <v>2015</v>
      </c>
      <c r="D330" s="1" t="s">
        <v>774</v>
      </c>
      <c r="E330" s="1" t="s">
        <v>27</v>
      </c>
      <c r="F330" s="1" t="s">
        <v>11</v>
      </c>
      <c r="G330" s="1" t="s">
        <v>16</v>
      </c>
      <c r="H330" s="1" t="s">
        <v>250</v>
      </c>
      <c r="I330" s="1">
        <v>8.26</v>
      </c>
      <c r="J330" s="1">
        <v>2</v>
      </c>
      <c r="K330" s="1">
        <v>3.8</v>
      </c>
    </row>
    <row r="331" spans="1:11" ht="12.75" x14ac:dyDescent="0.2">
      <c r="A331" s="2">
        <v>42535</v>
      </c>
      <c r="B331" s="2" t="str">
        <f>TEXT(Table1[[#This Row],[Order Date]],"MMM")</f>
        <v>Jun</v>
      </c>
      <c r="C331" s="2" t="str">
        <f t="shared" si="5"/>
        <v>2016</v>
      </c>
      <c r="D331" s="1" t="s">
        <v>1116</v>
      </c>
      <c r="E331" s="1" t="s">
        <v>199</v>
      </c>
      <c r="F331" s="1" t="s">
        <v>11</v>
      </c>
      <c r="G331" s="1" t="s">
        <v>80</v>
      </c>
      <c r="H331" s="1" t="s">
        <v>1086</v>
      </c>
      <c r="I331" s="1">
        <v>845.73</v>
      </c>
      <c r="J331" s="1">
        <v>13</v>
      </c>
      <c r="K331" s="1">
        <v>84.57</v>
      </c>
    </row>
    <row r="332" spans="1:11" ht="12.75" x14ac:dyDescent="0.2">
      <c r="A332" s="2">
        <v>41834</v>
      </c>
      <c r="B332" s="2" t="str">
        <f>TEXT(Table1[[#This Row],[Order Date]],"MMM")</f>
        <v>Jul</v>
      </c>
      <c r="C332" s="2" t="str">
        <f t="shared" si="5"/>
        <v>2014</v>
      </c>
      <c r="D332" s="1" t="s">
        <v>1119</v>
      </c>
      <c r="E332" s="1" t="s">
        <v>133</v>
      </c>
      <c r="F332" s="1" t="s">
        <v>11</v>
      </c>
      <c r="G332" s="1" t="s">
        <v>24</v>
      </c>
      <c r="H332" s="1" t="s">
        <v>1120</v>
      </c>
      <c r="I332" s="1">
        <v>6.63</v>
      </c>
      <c r="J332" s="1">
        <v>3</v>
      </c>
      <c r="K332" s="1">
        <v>1.79</v>
      </c>
    </row>
    <row r="333" spans="1:11" ht="12.75" x14ac:dyDescent="0.2">
      <c r="A333" s="2">
        <v>42199</v>
      </c>
      <c r="B333" s="2" t="str">
        <f>TEXT(Table1[[#This Row],[Order Date]],"MMM")</f>
        <v>Jul</v>
      </c>
      <c r="C333" s="2" t="str">
        <f t="shared" si="5"/>
        <v>2015</v>
      </c>
      <c r="D333" s="1" t="s">
        <v>619</v>
      </c>
      <c r="E333" s="1" t="s">
        <v>133</v>
      </c>
      <c r="F333" s="1" t="s">
        <v>11</v>
      </c>
      <c r="G333" s="1" t="s">
        <v>12</v>
      </c>
      <c r="H333" s="1" t="s">
        <v>1121</v>
      </c>
      <c r="I333" s="1">
        <v>32.4</v>
      </c>
      <c r="J333" s="1">
        <v>5</v>
      </c>
      <c r="K333" s="1">
        <v>15.55</v>
      </c>
    </row>
    <row r="334" spans="1:11" ht="12.75" x14ac:dyDescent="0.2">
      <c r="A334" s="2">
        <v>42565</v>
      </c>
      <c r="B334" s="2" t="str">
        <f>TEXT(Table1[[#This Row],[Order Date]],"MMM")</f>
        <v>Jul</v>
      </c>
      <c r="C334" s="2" t="str">
        <f t="shared" si="5"/>
        <v>2016</v>
      </c>
      <c r="D334" s="1" t="s">
        <v>1122</v>
      </c>
      <c r="E334" s="1" t="s">
        <v>119</v>
      </c>
      <c r="F334" s="1" t="s">
        <v>38</v>
      </c>
      <c r="G334" s="1" t="s">
        <v>39</v>
      </c>
      <c r="H334" s="1" t="s">
        <v>1123</v>
      </c>
      <c r="I334" s="1">
        <v>239.97</v>
      </c>
      <c r="J334" s="1">
        <v>3</v>
      </c>
      <c r="K334" s="1">
        <v>2.4</v>
      </c>
    </row>
    <row r="335" spans="1:11" ht="12.75" x14ac:dyDescent="0.2">
      <c r="A335" s="2">
        <v>42596</v>
      </c>
      <c r="B335" s="2" t="str">
        <f>TEXT(Table1[[#This Row],[Order Date]],"MMM")</f>
        <v>Aug</v>
      </c>
      <c r="C335" s="2" t="str">
        <f t="shared" si="5"/>
        <v>2016</v>
      </c>
      <c r="D335" s="1" t="s">
        <v>347</v>
      </c>
      <c r="E335" s="1" t="s">
        <v>27</v>
      </c>
      <c r="F335" s="1" t="s">
        <v>11</v>
      </c>
      <c r="G335" s="1" t="s">
        <v>12</v>
      </c>
      <c r="H335" s="1" t="s">
        <v>1076</v>
      </c>
      <c r="I335" s="1">
        <v>58.38</v>
      </c>
      <c r="J335" s="1">
        <v>7</v>
      </c>
      <c r="K335" s="1">
        <v>26.27</v>
      </c>
    </row>
    <row r="336" spans="1:11" ht="12.75" x14ac:dyDescent="0.2">
      <c r="A336" s="2">
        <v>41896</v>
      </c>
      <c r="B336" s="2" t="str">
        <f>TEXT(Table1[[#This Row],[Order Date]],"MMM")</f>
        <v>Sep</v>
      </c>
      <c r="C336" s="2" t="str">
        <f t="shared" si="5"/>
        <v>2014</v>
      </c>
      <c r="D336" s="1" t="s">
        <v>293</v>
      </c>
      <c r="E336" s="1" t="s">
        <v>10</v>
      </c>
      <c r="F336" s="1" t="s">
        <v>11</v>
      </c>
      <c r="G336" s="1" t="s">
        <v>20</v>
      </c>
      <c r="H336" s="1" t="s">
        <v>760</v>
      </c>
      <c r="I336" s="1">
        <v>5.73</v>
      </c>
      <c r="J336" s="1">
        <v>8</v>
      </c>
      <c r="K336" s="1">
        <v>-9.16</v>
      </c>
    </row>
    <row r="337" spans="1:11" ht="12.75" x14ac:dyDescent="0.2">
      <c r="A337" s="2">
        <v>42261</v>
      </c>
      <c r="B337" s="2" t="str">
        <f>TEXT(Table1[[#This Row],[Order Date]],"MMM")</f>
        <v>Sep</v>
      </c>
      <c r="C337" s="2" t="str">
        <f t="shared" si="5"/>
        <v>2015</v>
      </c>
      <c r="D337" s="1" t="s">
        <v>1060</v>
      </c>
      <c r="E337" s="1" t="s">
        <v>119</v>
      </c>
      <c r="F337" s="1" t="s">
        <v>33</v>
      </c>
      <c r="G337" s="1" t="s">
        <v>34</v>
      </c>
      <c r="H337" s="1" t="s">
        <v>614</v>
      </c>
      <c r="I337" s="1">
        <v>1522.64</v>
      </c>
      <c r="J337" s="1">
        <v>9</v>
      </c>
      <c r="K337" s="1">
        <v>169.18</v>
      </c>
    </row>
    <row r="338" spans="1:11" ht="12.75" x14ac:dyDescent="0.2">
      <c r="A338" s="2">
        <v>41926</v>
      </c>
      <c r="B338" s="2" t="str">
        <f>TEXT(Table1[[#This Row],[Order Date]],"MMM")</f>
        <v>Oct</v>
      </c>
      <c r="C338" s="2" t="str">
        <f t="shared" si="5"/>
        <v>2014</v>
      </c>
      <c r="D338" s="1" t="s">
        <v>1129</v>
      </c>
      <c r="E338" s="1" t="s">
        <v>27</v>
      </c>
      <c r="F338" s="1" t="s">
        <v>11</v>
      </c>
      <c r="G338" s="1" t="s">
        <v>20</v>
      </c>
      <c r="H338" s="1" t="s">
        <v>61</v>
      </c>
      <c r="I338" s="1">
        <v>7.52</v>
      </c>
      <c r="J338" s="1">
        <v>5</v>
      </c>
      <c r="K338" s="1">
        <v>2.63</v>
      </c>
    </row>
    <row r="339" spans="1:11" ht="12.75" x14ac:dyDescent="0.2">
      <c r="A339" s="2">
        <v>42657</v>
      </c>
      <c r="B339" s="2" t="str">
        <f>TEXT(Table1[[#This Row],[Order Date]],"MMM")</f>
        <v>Oct</v>
      </c>
      <c r="C339" s="2" t="str">
        <f t="shared" si="5"/>
        <v>2016</v>
      </c>
      <c r="D339" s="1" t="s">
        <v>764</v>
      </c>
      <c r="E339" s="1" t="s">
        <v>51</v>
      </c>
      <c r="F339" s="1" t="s">
        <v>11</v>
      </c>
      <c r="G339" s="1" t="s">
        <v>20</v>
      </c>
      <c r="H339" s="1" t="s">
        <v>561</v>
      </c>
      <c r="I339" s="1">
        <v>113.1</v>
      </c>
      <c r="J339" s="1">
        <v>3</v>
      </c>
      <c r="K339" s="1">
        <v>56.55</v>
      </c>
    </row>
    <row r="340" spans="1:11" ht="12.75" x14ac:dyDescent="0.2">
      <c r="A340" s="2">
        <v>41957</v>
      </c>
      <c r="B340" s="2" t="str">
        <f>TEXT(Table1[[#This Row],[Order Date]],"MMM")</f>
        <v>Nov</v>
      </c>
      <c r="C340" s="2" t="str">
        <f t="shared" si="5"/>
        <v>2014</v>
      </c>
      <c r="D340" s="1" t="s">
        <v>64</v>
      </c>
      <c r="E340" s="1" t="s">
        <v>57</v>
      </c>
      <c r="F340" s="1" t="s">
        <v>38</v>
      </c>
      <c r="G340" s="1" t="s">
        <v>48</v>
      </c>
      <c r="H340" s="1" t="s">
        <v>813</v>
      </c>
      <c r="I340" s="1">
        <v>53.7</v>
      </c>
      <c r="J340" s="1">
        <v>6</v>
      </c>
      <c r="K340" s="1">
        <v>10.199999999999999</v>
      </c>
    </row>
    <row r="341" spans="1:11" ht="12.75" x14ac:dyDescent="0.2">
      <c r="A341" s="2">
        <v>42322</v>
      </c>
      <c r="B341" s="2" t="str">
        <f>TEXT(Table1[[#This Row],[Order Date]],"MMM")</f>
        <v>Nov</v>
      </c>
      <c r="C341" s="2" t="str">
        <f t="shared" si="5"/>
        <v>2015</v>
      </c>
      <c r="D341" s="1" t="s">
        <v>1056</v>
      </c>
      <c r="E341" s="1" t="s">
        <v>27</v>
      </c>
      <c r="F341" s="1" t="s">
        <v>11</v>
      </c>
      <c r="G341" s="1" t="s">
        <v>20</v>
      </c>
      <c r="H341" s="1" t="s">
        <v>1083</v>
      </c>
      <c r="I341" s="1">
        <v>36.619999999999997</v>
      </c>
      <c r="J341" s="1">
        <v>3</v>
      </c>
      <c r="K341" s="1">
        <v>13.73</v>
      </c>
    </row>
    <row r="342" spans="1:11" ht="12.75" x14ac:dyDescent="0.2">
      <c r="A342" s="2">
        <v>42688</v>
      </c>
      <c r="B342" s="2" t="str">
        <f>TEXT(Table1[[#This Row],[Order Date]],"MMM")</f>
        <v>Nov</v>
      </c>
      <c r="C342" s="2" t="str">
        <f t="shared" si="5"/>
        <v>2016</v>
      </c>
      <c r="D342" s="1" t="s">
        <v>933</v>
      </c>
      <c r="E342" s="1" t="s">
        <v>23</v>
      </c>
      <c r="F342" s="1" t="s">
        <v>33</v>
      </c>
      <c r="G342" s="1" t="s">
        <v>44</v>
      </c>
      <c r="H342" s="1" t="s">
        <v>891</v>
      </c>
      <c r="I342" s="1">
        <v>51.07</v>
      </c>
      <c r="J342" s="1">
        <v>6</v>
      </c>
      <c r="K342" s="1">
        <v>5.1100000000000003</v>
      </c>
    </row>
    <row r="343" spans="1:11" ht="12.75" x14ac:dyDescent="0.2">
      <c r="A343" s="2">
        <v>42718</v>
      </c>
      <c r="B343" s="2" t="str">
        <f>TEXT(Table1[[#This Row],[Order Date]],"MMM")</f>
        <v>Dec</v>
      </c>
      <c r="C343" s="2" t="str">
        <f t="shared" si="5"/>
        <v>2016</v>
      </c>
      <c r="D343" s="1" t="s">
        <v>587</v>
      </c>
      <c r="E343" s="1" t="s">
        <v>23</v>
      </c>
      <c r="F343" s="1" t="s">
        <v>11</v>
      </c>
      <c r="G343" s="1" t="s">
        <v>58</v>
      </c>
      <c r="H343" s="1" t="s">
        <v>745</v>
      </c>
      <c r="I343" s="1">
        <v>6.21</v>
      </c>
      <c r="J343" s="1">
        <v>2</v>
      </c>
      <c r="K343" s="1">
        <v>2.17</v>
      </c>
    </row>
    <row r="344" spans="1:11" ht="12.75" x14ac:dyDescent="0.2">
      <c r="A344" s="2">
        <v>43083</v>
      </c>
      <c r="B344" s="2" t="str">
        <f>TEXT(Table1[[#This Row],[Order Date]],"MMM")</f>
        <v>Dec</v>
      </c>
      <c r="C344" s="2" t="str">
        <f t="shared" si="5"/>
        <v>2017</v>
      </c>
      <c r="D344" s="1" t="s">
        <v>987</v>
      </c>
      <c r="E344" s="1" t="s">
        <v>27</v>
      </c>
      <c r="F344" s="1" t="s">
        <v>33</v>
      </c>
      <c r="G344" s="1" t="s">
        <v>44</v>
      </c>
      <c r="H344" s="1" t="s">
        <v>1137</v>
      </c>
      <c r="I344" s="1">
        <v>12.56</v>
      </c>
      <c r="J344" s="1">
        <v>2</v>
      </c>
      <c r="K344" s="1">
        <v>4.0199999999999996</v>
      </c>
    </row>
    <row r="345" spans="1:11" ht="12.75" x14ac:dyDescent="0.2">
      <c r="A345" s="2">
        <v>41654</v>
      </c>
      <c r="B345" s="2" t="str">
        <f>TEXT(Table1[[#This Row],[Order Date]],"MMM")</f>
        <v>Jan</v>
      </c>
      <c r="C345" s="2" t="str">
        <f t="shared" si="5"/>
        <v>2014</v>
      </c>
      <c r="D345" s="1" t="s">
        <v>1138</v>
      </c>
      <c r="E345" s="1" t="s">
        <v>27</v>
      </c>
      <c r="F345" s="1" t="s">
        <v>33</v>
      </c>
      <c r="G345" s="1" t="s">
        <v>44</v>
      </c>
      <c r="H345" s="1" t="s">
        <v>869</v>
      </c>
      <c r="I345" s="1">
        <v>257.64</v>
      </c>
      <c r="J345" s="1">
        <v>6</v>
      </c>
      <c r="K345" s="1">
        <v>100.48</v>
      </c>
    </row>
    <row r="346" spans="1:11" ht="12.75" x14ac:dyDescent="0.2">
      <c r="A346" s="2">
        <v>42384</v>
      </c>
      <c r="B346" s="2" t="str">
        <f>TEXT(Table1[[#This Row],[Order Date]],"MMM")</f>
        <v>Jan</v>
      </c>
      <c r="C346" s="2" t="str">
        <f t="shared" si="5"/>
        <v>2016</v>
      </c>
      <c r="D346" s="1" t="s">
        <v>495</v>
      </c>
      <c r="E346" s="1" t="s">
        <v>133</v>
      </c>
      <c r="F346" s="1" t="s">
        <v>38</v>
      </c>
      <c r="G346" s="1" t="s">
        <v>39</v>
      </c>
      <c r="H346" s="1" t="s">
        <v>1140</v>
      </c>
      <c r="I346" s="1">
        <v>201.57</v>
      </c>
      <c r="J346" s="1">
        <v>4</v>
      </c>
      <c r="K346" s="1">
        <v>22.68</v>
      </c>
    </row>
    <row r="347" spans="1:11" ht="12.75" x14ac:dyDescent="0.2">
      <c r="A347" s="2">
        <v>42750</v>
      </c>
      <c r="B347" s="2" t="str">
        <f>TEXT(Table1[[#This Row],[Order Date]],"MMM")</f>
        <v>Jan</v>
      </c>
      <c r="C347" s="2" t="str">
        <f t="shared" si="5"/>
        <v>2017</v>
      </c>
      <c r="D347" s="1" t="s">
        <v>1141</v>
      </c>
      <c r="E347" s="1" t="s">
        <v>23</v>
      </c>
      <c r="F347" s="1" t="s">
        <v>11</v>
      </c>
      <c r="G347" s="1" t="s">
        <v>12</v>
      </c>
      <c r="H347" s="1" t="s">
        <v>316</v>
      </c>
      <c r="I347" s="1">
        <v>31.1</v>
      </c>
      <c r="J347" s="1">
        <v>6</v>
      </c>
      <c r="K347" s="1">
        <v>10.89</v>
      </c>
    </row>
    <row r="348" spans="1:11" ht="12.75" x14ac:dyDescent="0.2">
      <c r="A348" s="2">
        <v>41685</v>
      </c>
      <c r="B348" s="2" t="str">
        <f>TEXT(Table1[[#This Row],[Order Date]],"MMM")</f>
        <v>Feb</v>
      </c>
      <c r="C348" s="2" t="str">
        <f t="shared" si="5"/>
        <v>2014</v>
      </c>
      <c r="D348" s="1" t="s">
        <v>380</v>
      </c>
      <c r="E348" s="1" t="s">
        <v>93</v>
      </c>
      <c r="F348" s="1" t="s">
        <v>38</v>
      </c>
      <c r="G348" s="1" t="s">
        <v>48</v>
      </c>
      <c r="H348" s="1" t="s">
        <v>1018</v>
      </c>
      <c r="I348" s="1">
        <v>41.9</v>
      </c>
      <c r="J348" s="1">
        <v>2</v>
      </c>
      <c r="K348" s="1">
        <v>8.8000000000000007</v>
      </c>
    </row>
    <row r="349" spans="1:11" ht="12.75" x14ac:dyDescent="0.2">
      <c r="A349" s="2">
        <v>42050</v>
      </c>
      <c r="B349" s="2" t="str">
        <f>TEXT(Table1[[#This Row],[Order Date]],"MMM")</f>
        <v>Feb</v>
      </c>
      <c r="C349" s="2" t="str">
        <f t="shared" si="5"/>
        <v>2015</v>
      </c>
      <c r="D349" s="1" t="s">
        <v>206</v>
      </c>
      <c r="E349" s="1" t="s">
        <v>10</v>
      </c>
      <c r="F349" s="1" t="s">
        <v>11</v>
      </c>
      <c r="G349" s="1" t="s">
        <v>80</v>
      </c>
      <c r="H349" s="1" t="s">
        <v>156</v>
      </c>
      <c r="I349" s="1">
        <v>32.78</v>
      </c>
      <c r="J349" s="1">
        <v>4</v>
      </c>
      <c r="K349" s="1">
        <v>-85.24</v>
      </c>
    </row>
    <row r="350" spans="1:11" ht="12.75" x14ac:dyDescent="0.2">
      <c r="A350" s="2">
        <v>42415</v>
      </c>
      <c r="B350" s="2" t="str">
        <f>TEXT(Table1[[#This Row],[Order Date]],"MMM")</f>
        <v>Feb</v>
      </c>
      <c r="C350" s="2" t="str">
        <f t="shared" si="5"/>
        <v>2016</v>
      </c>
      <c r="D350" s="1" t="s">
        <v>1147</v>
      </c>
      <c r="E350" s="1" t="s">
        <v>32</v>
      </c>
      <c r="F350" s="1" t="s">
        <v>33</v>
      </c>
      <c r="G350" s="1" t="s">
        <v>34</v>
      </c>
      <c r="H350" s="1" t="s">
        <v>1148</v>
      </c>
      <c r="I350" s="1">
        <v>70.98</v>
      </c>
      <c r="J350" s="1">
        <v>1</v>
      </c>
      <c r="K350" s="1">
        <v>4.97</v>
      </c>
    </row>
    <row r="351" spans="1:11" ht="12.75" x14ac:dyDescent="0.2">
      <c r="A351" s="2">
        <v>41713</v>
      </c>
      <c r="B351" s="2" t="str">
        <f>TEXT(Table1[[#This Row],[Order Date]],"MMM")</f>
        <v>Mar</v>
      </c>
      <c r="C351" s="2" t="str">
        <f t="shared" si="5"/>
        <v>2014</v>
      </c>
      <c r="D351" s="1" t="s">
        <v>997</v>
      </c>
      <c r="E351" s="1" t="s">
        <v>126</v>
      </c>
      <c r="F351" s="1" t="s">
        <v>38</v>
      </c>
      <c r="G351" s="1" t="s">
        <v>39</v>
      </c>
      <c r="H351" s="1" t="s">
        <v>1149</v>
      </c>
      <c r="I351" s="1">
        <v>1099.96</v>
      </c>
      <c r="J351" s="1">
        <v>4</v>
      </c>
      <c r="K351" s="1">
        <v>285.99</v>
      </c>
    </row>
    <row r="352" spans="1:11" ht="12.75" x14ac:dyDescent="0.2">
      <c r="A352" s="2">
        <v>42078</v>
      </c>
      <c r="B352" s="2" t="str">
        <f>TEXT(Table1[[#This Row],[Order Date]],"MMM")</f>
        <v>Mar</v>
      </c>
      <c r="C352" s="2" t="str">
        <f t="shared" si="5"/>
        <v>2015</v>
      </c>
      <c r="D352" s="1" t="s">
        <v>1151</v>
      </c>
      <c r="E352" s="1" t="s">
        <v>119</v>
      </c>
      <c r="F352" s="1" t="s">
        <v>33</v>
      </c>
      <c r="G352" s="1" t="s">
        <v>44</v>
      </c>
      <c r="H352" s="1" t="s">
        <v>364</v>
      </c>
      <c r="I352" s="1">
        <v>13.96</v>
      </c>
      <c r="J352" s="1">
        <v>2</v>
      </c>
      <c r="K352" s="1">
        <v>6.7</v>
      </c>
    </row>
    <row r="353" spans="1:11" ht="12.75" x14ac:dyDescent="0.2">
      <c r="A353" s="2">
        <v>42444</v>
      </c>
      <c r="B353" s="2" t="str">
        <f>TEXT(Table1[[#This Row],[Order Date]],"MMM")</f>
        <v>Mar</v>
      </c>
      <c r="C353" s="2" t="str">
        <f t="shared" si="5"/>
        <v>2016</v>
      </c>
      <c r="D353" s="1" t="s">
        <v>1032</v>
      </c>
      <c r="E353" s="1" t="s">
        <v>286</v>
      </c>
      <c r="F353" s="1" t="s">
        <v>11</v>
      </c>
      <c r="G353" s="1" t="s">
        <v>12</v>
      </c>
      <c r="H353" s="1" t="s">
        <v>936</v>
      </c>
      <c r="I353" s="1">
        <v>6.58</v>
      </c>
      <c r="J353" s="1">
        <v>2</v>
      </c>
      <c r="K353" s="1">
        <v>3.03</v>
      </c>
    </row>
    <row r="354" spans="1:11" ht="12.75" x14ac:dyDescent="0.2">
      <c r="A354" s="2">
        <v>41744</v>
      </c>
      <c r="B354" s="2" t="str">
        <f>TEXT(Table1[[#This Row],[Order Date]],"MMM")</f>
        <v>Apr</v>
      </c>
      <c r="C354" s="2" t="str">
        <f t="shared" si="5"/>
        <v>2014</v>
      </c>
      <c r="D354" s="1" t="s">
        <v>552</v>
      </c>
      <c r="E354" s="1" t="s">
        <v>82</v>
      </c>
      <c r="F354" s="1" t="s">
        <v>11</v>
      </c>
      <c r="G354" s="1" t="s">
        <v>20</v>
      </c>
      <c r="H354" s="1" t="s">
        <v>846</v>
      </c>
      <c r="I354" s="1">
        <v>3.37</v>
      </c>
      <c r="J354" s="1">
        <v>3</v>
      </c>
      <c r="K354" s="1">
        <v>-2.2400000000000002</v>
      </c>
    </row>
    <row r="355" spans="1:11" ht="12.75" x14ac:dyDescent="0.2">
      <c r="A355" s="2">
        <v>42475</v>
      </c>
      <c r="B355" s="2" t="str">
        <f>TEXT(Table1[[#This Row],[Order Date]],"MMM")</f>
        <v>Apr</v>
      </c>
      <c r="C355" s="2" t="str">
        <f t="shared" si="5"/>
        <v>2016</v>
      </c>
      <c r="D355" s="1" t="s">
        <v>1021</v>
      </c>
      <c r="E355" s="1" t="s">
        <v>23</v>
      </c>
      <c r="F355" s="1" t="s">
        <v>33</v>
      </c>
      <c r="G355" s="1" t="s">
        <v>44</v>
      </c>
      <c r="H355" s="1" t="s">
        <v>1154</v>
      </c>
      <c r="I355" s="1">
        <v>289.8</v>
      </c>
      <c r="J355" s="1">
        <v>7</v>
      </c>
      <c r="K355" s="1">
        <v>36.229999999999997</v>
      </c>
    </row>
    <row r="356" spans="1:11" ht="12.75" x14ac:dyDescent="0.2">
      <c r="A356" s="2">
        <v>42139</v>
      </c>
      <c r="B356" s="2" t="str">
        <f>TEXT(Table1[[#This Row],[Order Date]],"MMM")</f>
        <v>May</v>
      </c>
      <c r="C356" s="2" t="str">
        <f t="shared" si="5"/>
        <v>2015</v>
      </c>
      <c r="D356" s="1" t="s">
        <v>62</v>
      </c>
      <c r="E356" s="1" t="s">
        <v>119</v>
      </c>
      <c r="F356" s="1" t="s">
        <v>11</v>
      </c>
      <c r="G356" s="1" t="s">
        <v>20</v>
      </c>
      <c r="H356" s="1" t="s">
        <v>176</v>
      </c>
      <c r="I356" s="1">
        <v>11.81</v>
      </c>
      <c r="J356" s="1">
        <v>2</v>
      </c>
      <c r="K356" s="1">
        <v>4.28</v>
      </c>
    </row>
    <row r="357" spans="1:11" ht="12.75" x14ac:dyDescent="0.2">
      <c r="A357" s="2">
        <v>42505</v>
      </c>
      <c r="B357" s="2" t="str">
        <f>TEXT(Table1[[#This Row],[Order Date]],"MMM")</f>
        <v>May</v>
      </c>
      <c r="C357" s="2" t="str">
        <f t="shared" si="5"/>
        <v>2016</v>
      </c>
      <c r="D357" s="1" t="s">
        <v>1059</v>
      </c>
      <c r="E357" s="1" t="s">
        <v>82</v>
      </c>
      <c r="F357" s="1" t="s">
        <v>11</v>
      </c>
      <c r="G357" s="1" t="s">
        <v>18</v>
      </c>
      <c r="H357" s="1" t="s">
        <v>19</v>
      </c>
      <c r="I357" s="1">
        <v>272.74</v>
      </c>
      <c r="J357" s="1">
        <v>3</v>
      </c>
      <c r="K357" s="1">
        <v>-64.77</v>
      </c>
    </row>
    <row r="358" spans="1:11" ht="12.75" x14ac:dyDescent="0.2">
      <c r="A358" s="2">
        <v>41805</v>
      </c>
      <c r="B358" s="2" t="str">
        <f>TEXT(Table1[[#This Row],[Order Date]],"MMM")</f>
        <v>Jun</v>
      </c>
      <c r="C358" s="2" t="str">
        <f t="shared" si="5"/>
        <v>2014</v>
      </c>
      <c r="D358" s="1" t="s">
        <v>1129</v>
      </c>
      <c r="E358" s="1" t="s">
        <v>27</v>
      </c>
      <c r="F358" s="1" t="s">
        <v>33</v>
      </c>
      <c r="G358" s="1" t="s">
        <v>34</v>
      </c>
      <c r="H358" s="1" t="s">
        <v>632</v>
      </c>
      <c r="I358" s="1">
        <v>1348.7</v>
      </c>
      <c r="J358" s="1">
        <v>6</v>
      </c>
      <c r="K358" s="1">
        <v>-219.16</v>
      </c>
    </row>
    <row r="359" spans="1:11" ht="12.75" x14ac:dyDescent="0.2">
      <c r="A359" s="2">
        <v>42536</v>
      </c>
      <c r="B359" s="2" t="str">
        <f>TEXT(Table1[[#This Row],[Order Date]],"MMM")</f>
        <v>Jun</v>
      </c>
      <c r="C359" s="2" t="str">
        <f t="shared" si="5"/>
        <v>2016</v>
      </c>
      <c r="D359" s="1" t="s">
        <v>754</v>
      </c>
      <c r="E359" s="1" t="s">
        <v>27</v>
      </c>
      <c r="F359" s="1" t="s">
        <v>33</v>
      </c>
      <c r="G359" s="1" t="s">
        <v>65</v>
      </c>
      <c r="H359" s="1" t="s">
        <v>952</v>
      </c>
      <c r="I359" s="1">
        <v>195.47</v>
      </c>
      <c r="J359" s="1">
        <v>2</v>
      </c>
      <c r="K359" s="1">
        <v>-13.8</v>
      </c>
    </row>
    <row r="360" spans="1:11" ht="12.75" x14ac:dyDescent="0.2">
      <c r="A360" s="2">
        <v>42901</v>
      </c>
      <c r="B360" s="2" t="str">
        <f>TEXT(Table1[[#This Row],[Order Date]],"MMM")</f>
        <v>Jun</v>
      </c>
      <c r="C360" s="2" t="str">
        <f t="shared" si="5"/>
        <v>2017</v>
      </c>
      <c r="D360" s="1" t="s">
        <v>659</v>
      </c>
      <c r="E360" s="1" t="s">
        <v>27</v>
      </c>
      <c r="F360" s="1" t="s">
        <v>38</v>
      </c>
      <c r="G360" s="1" t="s">
        <v>48</v>
      </c>
      <c r="H360" s="1" t="s">
        <v>1117</v>
      </c>
      <c r="I360" s="1">
        <v>519.96</v>
      </c>
      <c r="J360" s="1">
        <v>4</v>
      </c>
      <c r="K360" s="1">
        <v>176.79</v>
      </c>
    </row>
    <row r="361" spans="1:11" ht="12.75" x14ac:dyDescent="0.2">
      <c r="A361" s="2">
        <v>41835</v>
      </c>
      <c r="B361" s="2" t="str">
        <f>TEXT(Table1[[#This Row],[Order Date]],"MMM")</f>
        <v>Jul</v>
      </c>
      <c r="C361" s="2" t="str">
        <f t="shared" si="5"/>
        <v>2014</v>
      </c>
      <c r="D361" s="1" t="s">
        <v>1161</v>
      </c>
      <c r="E361" s="1" t="s">
        <v>82</v>
      </c>
      <c r="F361" s="1" t="s">
        <v>11</v>
      </c>
      <c r="G361" s="1" t="s">
        <v>20</v>
      </c>
      <c r="H361" s="1" t="s">
        <v>1162</v>
      </c>
      <c r="I361" s="1">
        <v>2.0299999999999998</v>
      </c>
      <c r="J361" s="1">
        <v>1</v>
      </c>
      <c r="K361" s="1">
        <v>-1.35</v>
      </c>
    </row>
    <row r="362" spans="1:11" ht="12.75" x14ac:dyDescent="0.2">
      <c r="A362" s="2">
        <v>42566</v>
      </c>
      <c r="B362" s="2" t="str">
        <f>TEXT(Table1[[#This Row],[Order Date]],"MMM")</f>
        <v>Jul</v>
      </c>
      <c r="C362" s="2" t="str">
        <f t="shared" si="5"/>
        <v>2016</v>
      </c>
      <c r="D362" s="1" t="s">
        <v>1163</v>
      </c>
      <c r="E362" s="1" t="s">
        <v>106</v>
      </c>
      <c r="F362" s="1" t="s">
        <v>11</v>
      </c>
      <c r="G362" s="1" t="s">
        <v>18</v>
      </c>
      <c r="H362" s="1" t="s">
        <v>867</v>
      </c>
      <c r="I362" s="1">
        <v>34.76</v>
      </c>
      <c r="J362" s="1">
        <v>1</v>
      </c>
      <c r="K362" s="1">
        <v>9.73</v>
      </c>
    </row>
    <row r="363" spans="1:11" ht="12.75" x14ac:dyDescent="0.2">
      <c r="A363" s="2">
        <v>41866</v>
      </c>
      <c r="B363" s="2" t="str">
        <f>TEXT(Table1[[#This Row],[Order Date]],"MMM")</f>
        <v>Aug</v>
      </c>
      <c r="C363" s="2" t="str">
        <f t="shared" si="5"/>
        <v>2014</v>
      </c>
      <c r="D363" s="1" t="s">
        <v>484</v>
      </c>
      <c r="E363" s="1" t="s">
        <v>23</v>
      </c>
      <c r="F363" s="1" t="s">
        <v>11</v>
      </c>
      <c r="G363" s="1" t="s">
        <v>20</v>
      </c>
      <c r="H363" s="1" t="s">
        <v>636</v>
      </c>
      <c r="I363" s="1">
        <v>25.18</v>
      </c>
      <c r="J363" s="1">
        <v>4</v>
      </c>
      <c r="K363" s="1">
        <v>-18.46</v>
      </c>
    </row>
    <row r="364" spans="1:11" ht="12.75" x14ac:dyDescent="0.2">
      <c r="A364" s="2">
        <v>42231</v>
      </c>
      <c r="B364" s="2" t="str">
        <f>TEXT(Table1[[#This Row],[Order Date]],"MMM")</f>
        <v>Aug</v>
      </c>
      <c r="C364" s="2" t="str">
        <f t="shared" si="5"/>
        <v>2015</v>
      </c>
      <c r="D364" s="1" t="s">
        <v>540</v>
      </c>
      <c r="E364" s="1" t="s">
        <v>82</v>
      </c>
      <c r="F364" s="1" t="s">
        <v>33</v>
      </c>
      <c r="G364" s="1" t="s">
        <v>117</v>
      </c>
      <c r="H364" s="1" t="s">
        <v>904</v>
      </c>
      <c r="I364" s="1">
        <v>393.17</v>
      </c>
      <c r="J364" s="1">
        <v>3</v>
      </c>
      <c r="K364" s="1">
        <v>-204.45</v>
      </c>
    </row>
    <row r="365" spans="1:11" ht="12.75" x14ac:dyDescent="0.2">
      <c r="A365" s="2">
        <v>42597</v>
      </c>
      <c r="B365" s="2" t="str">
        <f>TEXT(Table1[[#This Row],[Order Date]],"MMM")</f>
        <v>Aug</v>
      </c>
      <c r="C365" s="2" t="str">
        <f t="shared" si="5"/>
        <v>2016</v>
      </c>
      <c r="D365" s="1" t="s">
        <v>410</v>
      </c>
      <c r="E365" s="1" t="s">
        <v>32</v>
      </c>
      <c r="F365" s="1" t="s">
        <v>38</v>
      </c>
      <c r="G365" s="1" t="s">
        <v>39</v>
      </c>
      <c r="H365" s="1" t="s">
        <v>1025</v>
      </c>
      <c r="I365" s="1">
        <v>29.97</v>
      </c>
      <c r="J365" s="1">
        <v>3</v>
      </c>
      <c r="K365" s="1">
        <v>0.3</v>
      </c>
    </row>
    <row r="366" spans="1:11" ht="12.75" x14ac:dyDescent="0.2">
      <c r="A366" s="2">
        <v>41897</v>
      </c>
      <c r="B366" s="2" t="str">
        <f>TEXT(Table1[[#This Row],[Order Date]],"MMM")</f>
        <v>Sep</v>
      </c>
      <c r="C366" s="2" t="str">
        <f t="shared" si="5"/>
        <v>2014</v>
      </c>
      <c r="D366" s="1" t="s">
        <v>697</v>
      </c>
      <c r="E366" s="1" t="s">
        <v>119</v>
      </c>
      <c r="F366" s="1" t="s">
        <v>38</v>
      </c>
      <c r="G366" s="1" t="s">
        <v>48</v>
      </c>
      <c r="H366" s="1" t="s">
        <v>990</v>
      </c>
      <c r="I366" s="1">
        <v>2309.65</v>
      </c>
      <c r="J366" s="1">
        <v>7</v>
      </c>
      <c r="K366" s="1">
        <v>762.18</v>
      </c>
    </row>
    <row r="367" spans="1:11" ht="12.75" x14ac:dyDescent="0.2">
      <c r="A367" s="2">
        <v>42628</v>
      </c>
      <c r="B367" s="2" t="str">
        <f>TEXT(Table1[[#This Row],[Order Date]],"MMM")</f>
        <v>Sep</v>
      </c>
      <c r="C367" s="2" t="str">
        <f t="shared" si="5"/>
        <v>2016</v>
      </c>
      <c r="D367" s="1" t="s">
        <v>327</v>
      </c>
      <c r="E367" s="1" t="s">
        <v>27</v>
      </c>
      <c r="F367" s="1" t="s">
        <v>11</v>
      </c>
      <c r="G367" s="1" t="s">
        <v>24</v>
      </c>
      <c r="H367" s="1" t="s">
        <v>350</v>
      </c>
      <c r="I367" s="1">
        <v>6.72</v>
      </c>
      <c r="J367" s="1">
        <v>4</v>
      </c>
      <c r="K367" s="1">
        <v>3.36</v>
      </c>
    </row>
    <row r="368" spans="1:11" ht="12.75" x14ac:dyDescent="0.2">
      <c r="A368" s="2">
        <v>42993</v>
      </c>
      <c r="B368" s="2" t="str">
        <f>TEXT(Table1[[#This Row],[Order Date]],"MMM")</f>
        <v>Sep</v>
      </c>
      <c r="C368" s="2" t="str">
        <f t="shared" si="5"/>
        <v>2017</v>
      </c>
      <c r="D368" s="1" t="s">
        <v>516</v>
      </c>
      <c r="E368" s="1" t="s">
        <v>133</v>
      </c>
      <c r="F368" s="1" t="s">
        <v>11</v>
      </c>
      <c r="G368" s="1" t="s">
        <v>20</v>
      </c>
      <c r="H368" s="1" t="s">
        <v>1164</v>
      </c>
      <c r="I368" s="1">
        <v>6.37</v>
      </c>
      <c r="J368" s="1">
        <v>2</v>
      </c>
      <c r="K368" s="1">
        <v>2.15</v>
      </c>
    </row>
    <row r="369" spans="1:11" ht="12.75" x14ac:dyDescent="0.2">
      <c r="A369" s="2">
        <v>41927</v>
      </c>
      <c r="B369" s="2" t="str">
        <f>TEXT(Table1[[#This Row],[Order Date]],"MMM")</f>
        <v>Oct</v>
      </c>
      <c r="C369" s="2" t="str">
        <f t="shared" si="5"/>
        <v>2014</v>
      </c>
      <c r="D369" s="1" t="s">
        <v>292</v>
      </c>
      <c r="E369" s="1" t="s">
        <v>10</v>
      </c>
      <c r="F369" s="1" t="s">
        <v>11</v>
      </c>
      <c r="G369" s="1" t="s">
        <v>18</v>
      </c>
      <c r="H369" s="1" t="s">
        <v>570</v>
      </c>
      <c r="I369" s="1">
        <v>33.49</v>
      </c>
      <c r="J369" s="1">
        <v>7</v>
      </c>
      <c r="K369" s="1">
        <v>-1.26</v>
      </c>
    </row>
    <row r="370" spans="1:11" ht="12.75" x14ac:dyDescent="0.2">
      <c r="A370" s="2">
        <v>42292</v>
      </c>
      <c r="B370" s="2" t="str">
        <f>TEXT(Table1[[#This Row],[Order Date]],"MMM")</f>
        <v>Oct</v>
      </c>
      <c r="C370" s="2" t="str">
        <f t="shared" si="5"/>
        <v>2015</v>
      </c>
      <c r="D370" s="1" t="s">
        <v>547</v>
      </c>
      <c r="E370" s="1" t="s">
        <v>10</v>
      </c>
      <c r="F370" s="1" t="s">
        <v>11</v>
      </c>
      <c r="G370" s="1" t="s">
        <v>12</v>
      </c>
      <c r="H370" s="1" t="s">
        <v>1135</v>
      </c>
      <c r="I370" s="1">
        <v>27.22</v>
      </c>
      <c r="J370" s="1">
        <v>3</v>
      </c>
      <c r="K370" s="1">
        <v>9.8699999999999992</v>
      </c>
    </row>
    <row r="371" spans="1:11" ht="12.75" x14ac:dyDescent="0.2">
      <c r="A371" s="2">
        <v>42658</v>
      </c>
      <c r="B371" s="2" t="str">
        <f>TEXT(Table1[[#This Row],[Order Date]],"MMM")</f>
        <v>Oct</v>
      </c>
      <c r="C371" s="2" t="str">
        <f t="shared" si="5"/>
        <v>2016</v>
      </c>
      <c r="D371" s="1" t="s">
        <v>788</v>
      </c>
      <c r="E371" s="1" t="s">
        <v>27</v>
      </c>
      <c r="F371" s="1" t="s">
        <v>11</v>
      </c>
      <c r="G371" s="1" t="s">
        <v>20</v>
      </c>
      <c r="H371" s="1" t="s">
        <v>361</v>
      </c>
      <c r="I371" s="1">
        <v>6.61</v>
      </c>
      <c r="J371" s="1">
        <v>2</v>
      </c>
      <c r="K371" s="1">
        <v>2.23</v>
      </c>
    </row>
    <row r="372" spans="1:11" ht="12.75" x14ac:dyDescent="0.2">
      <c r="A372" s="2">
        <v>43023</v>
      </c>
      <c r="B372" s="2" t="str">
        <f>TEXT(Table1[[#This Row],[Order Date]],"MMM")</f>
        <v>Oct</v>
      </c>
      <c r="C372" s="2" t="str">
        <f t="shared" si="5"/>
        <v>2017</v>
      </c>
      <c r="D372" s="1" t="s">
        <v>377</v>
      </c>
      <c r="E372" s="1" t="s">
        <v>93</v>
      </c>
      <c r="F372" s="1" t="s">
        <v>11</v>
      </c>
      <c r="G372" s="1" t="s">
        <v>24</v>
      </c>
      <c r="H372" s="1" t="s">
        <v>548</v>
      </c>
      <c r="I372" s="1">
        <v>2.2000000000000002</v>
      </c>
      <c r="J372" s="1">
        <v>1</v>
      </c>
      <c r="K372" s="1">
        <v>0.97</v>
      </c>
    </row>
    <row r="373" spans="1:11" ht="12.75" x14ac:dyDescent="0.2">
      <c r="A373" s="2">
        <v>41958</v>
      </c>
      <c r="B373" s="2" t="str">
        <f>TEXT(Table1[[#This Row],[Order Date]],"MMM")</f>
        <v>Nov</v>
      </c>
      <c r="C373" s="2" t="str">
        <f t="shared" si="5"/>
        <v>2014</v>
      </c>
      <c r="D373" s="1" t="s">
        <v>755</v>
      </c>
      <c r="E373" s="1" t="s">
        <v>27</v>
      </c>
      <c r="F373" s="1" t="s">
        <v>11</v>
      </c>
      <c r="G373" s="1" t="s">
        <v>24</v>
      </c>
      <c r="H373" s="1" t="s">
        <v>897</v>
      </c>
      <c r="I373" s="1">
        <v>50.8</v>
      </c>
      <c r="J373" s="1">
        <v>5</v>
      </c>
      <c r="K373" s="1">
        <v>13.21</v>
      </c>
    </row>
    <row r="374" spans="1:11" ht="12.75" x14ac:dyDescent="0.2">
      <c r="A374" s="2">
        <v>42689</v>
      </c>
      <c r="B374" s="2" t="str">
        <f>TEXT(Table1[[#This Row],[Order Date]],"MMM")</f>
        <v>Nov</v>
      </c>
      <c r="C374" s="2" t="str">
        <f t="shared" si="5"/>
        <v>2016</v>
      </c>
      <c r="D374" s="1" t="s">
        <v>1169</v>
      </c>
      <c r="E374" s="1" t="s">
        <v>27</v>
      </c>
      <c r="F374" s="1" t="s">
        <v>11</v>
      </c>
      <c r="G374" s="1" t="s">
        <v>18</v>
      </c>
      <c r="H374" s="1" t="s">
        <v>807</v>
      </c>
      <c r="I374" s="1">
        <v>323.10000000000002</v>
      </c>
      <c r="J374" s="1">
        <v>2</v>
      </c>
      <c r="K374" s="1">
        <v>61.39</v>
      </c>
    </row>
    <row r="375" spans="1:11" ht="12.75" x14ac:dyDescent="0.2">
      <c r="A375" s="2">
        <v>43054</v>
      </c>
      <c r="B375" s="2" t="str">
        <f>TEXT(Table1[[#This Row],[Order Date]],"MMM")</f>
        <v>Nov</v>
      </c>
      <c r="C375" s="2" t="str">
        <f t="shared" si="5"/>
        <v>2017</v>
      </c>
      <c r="D375" s="1" t="s">
        <v>930</v>
      </c>
      <c r="E375" s="1" t="s">
        <v>82</v>
      </c>
      <c r="F375" s="1" t="s">
        <v>11</v>
      </c>
      <c r="G375" s="1" t="s">
        <v>24</v>
      </c>
      <c r="H375" s="1" t="s">
        <v>1170</v>
      </c>
      <c r="I375" s="1">
        <v>2.2999999999999998</v>
      </c>
      <c r="J375" s="1">
        <v>1</v>
      </c>
      <c r="K375" s="1">
        <v>0.26</v>
      </c>
    </row>
    <row r="376" spans="1:11" ht="12.75" x14ac:dyDescent="0.2">
      <c r="A376" s="2">
        <v>41988</v>
      </c>
      <c r="B376" s="2" t="str">
        <f>TEXT(Table1[[#This Row],[Order Date]],"MMM")</f>
        <v>Dec</v>
      </c>
      <c r="C376" s="2" t="str">
        <f t="shared" si="5"/>
        <v>2014</v>
      </c>
      <c r="D376" s="1" t="s">
        <v>1174</v>
      </c>
      <c r="E376" s="1" t="s">
        <v>286</v>
      </c>
      <c r="F376" s="1" t="s">
        <v>11</v>
      </c>
      <c r="G376" s="1" t="s">
        <v>20</v>
      </c>
      <c r="H376" s="1" t="s">
        <v>1175</v>
      </c>
      <c r="I376" s="1">
        <v>52.2</v>
      </c>
      <c r="J376" s="1">
        <v>9</v>
      </c>
      <c r="K376" s="1">
        <v>23.49</v>
      </c>
    </row>
    <row r="377" spans="1:11" ht="12.75" x14ac:dyDescent="0.2">
      <c r="A377" s="2">
        <v>43084</v>
      </c>
      <c r="B377" s="2" t="str">
        <f>TEXT(Table1[[#This Row],[Order Date]],"MMM")</f>
        <v>Dec</v>
      </c>
      <c r="C377" s="2" t="str">
        <f t="shared" si="5"/>
        <v>2017</v>
      </c>
      <c r="D377" s="1" t="s">
        <v>645</v>
      </c>
      <c r="E377" s="1" t="s">
        <v>27</v>
      </c>
      <c r="F377" s="1" t="s">
        <v>33</v>
      </c>
      <c r="G377" s="1" t="s">
        <v>34</v>
      </c>
      <c r="H377" s="1" t="s">
        <v>656</v>
      </c>
      <c r="I377" s="1">
        <v>544.01</v>
      </c>
      <c r="J377" s="1">
        <v>3</v>
      </c>
      <c r="K377" s="1">
        <v>40.799999999999997</v>
      </c>
    </row>
    <row r="378" spans="1:11" ht="12.75" x14ac:dyDescent="0.2">
      <c r="A378" s="2">
        <v>41655</v>
      </c>
      <c r="B378" s="2" t="str">
        <f>TEXT(Table1[[#This Row],[Order Date]],"MMM")</f>
        <v>Jan</v>
      </c>
      <c r="C378" s="2" t="str">
        <f t="shared" si="5"/>
        <v>2014</v>
      </c>
      <c r="D378" s="1" t="s">
        <v>1176</v>
      </c>
      <c r="E378" s="1" t="s">
        <v>119</v>
      </c>
      <c r="F378" s="1" t="s">
        <v>11</v>
      </c>
      <c r="G378" s="1" t="s">
        <v>20</v>
      </c>
      <c r="H378" s="1" t="s">
        <v>595</v>
      </c>
      <c r="I378" s="1">
        <v>50.11</v>
      </c>
      <c r="J378" s="1">
        <v>6</v>
      </c>
      <c r="K378" s="1">
        <v>16.29</v>
      </c>
    </row>
    <row r="379" spans="1:11" ht="12.75" x14ac:dyDescent="0.2">
      <c r="A379" s="2">
        <v>41686</v>
      </c>
      <c r="B379" s="2" t="str">
        <f>TEXT(Table1[[#This Row],[Order Date]],"MMM")</f>
        <v>Feb</v>
      </c>
      <c r="C379" s="2" t="str">
        <f t="shared" si="5"/>
        <v>2014</v>
      </c>
      <c r="D379" s="1" t="s">
        <v>439</v>
      </c>
      <c r="E379" s="1" t="s">
        <v>15</v>
      </c>
      <c r="F379" s="1" t="s">
        <v>11</v>
      </c>
      <c r="G379" s="1" t="s">
        <v>157</v>
      </c>
      <c r="H379" s="1" t="s">
        <v>1178</v>
      </c>
      <c r="I379" s="1">
        <v>31.68</v>
      </c>
      <c r="J379" s="1">
        <v>4</v>
      </c>
      <c r="K379" s="1">
        <v>2.77</v>
      </c>
    </row>
    <row r="380" spans="1:11" ht="12.75" x14ac:dyDescent="0.2">
      <c r="A380" s="2">
        <v>42051</v>
      </c>
      <c r="B380" s="2" t="str">
        <f>TEXT(Table1[[#This Row],[Order Date]],"MMM")</f>
        <v>Feb</v>
      </c>
      <c r="C380" s="2" t="str">
        <f t="shared" si="5"/>
        <v>2015</v>
      </c>
      <c r="D380" s="1" t="s">
        <v>994</v>
      </c>
      <c r="E380" s="1" t="s">
        <v>93</v>
      </c>
      <c r="F380" s="1" t="s">
        <v>38</v>
      </c>
      <c r="G380" s="1" t="s">
        <v>39</v>
      </c>
      <c r="H380" s="1" t="s">
        <v>873</v>
      </c>
      <c r="I380" s="1">
        <v>131.97999999999999</v>
      </c>
      <c r="J380" s="1">
        <v>2</v>
      </c>
      <c r="K380" s="1">
        <v>35.630000000000003</v>
      </c>
    </row>
    <row r="381" spans="1:11" ht="12.75" x14ac:dyDescent="0.2">
      <c r="A381" s="2">
        <v>42416</v>
      </c>
      <c r="B381" s="2" t="str">
        <f>TEXT(Table1[[#This Row],[Order Date]],"MMM")</f>
        <v>Feb</v>
      </c>
      <c r="C381" s="2" t="str">
        <f t="shared" si="5"/>
        <v>2016</v>
      </c>
      <c r="D381" s="1" t="s">
        <v>809</v>
      </c>
      <c r="E381" s="1" t="s">
        <v>27</v>
      </c>
      <c r="F381" s="1" t="s">
        <v>11</v>
      </c>
      <c r="G381" s="1" t="s">
        <v>20</v>
      </c>
      <c r="H381" s="1" t="s">
        <v>96</v>
      </c>
      <c r="I381" s="1">
        <v>4.75</v>
      </c>
      <c r="J381" s="1">
        <v>1</v>
      </c>
      <c r="K381" s="1">
        <v>1.6</v>
      </c>
    </row>
    <row r="382" spans="1:11" ht="12.75" x14ac:dyDescent="0.2">
      <c r="A382" s="2">
        <v>42782</v>
      </c>
      <c r="B382" s="2" t="str">
        <f>TEXT(Table1[[#This Row],[Order Date]],"MMM")</f>
        <v>Feb</v>
      </c>
      <c r="C382" s="2" t="str">
        <f t="shared" si="5"/>
        <v>2017</v>
      </c>
      <c r="D382" s="1" t="s">
        <v>928</v>
      </c>
      <c r="E382" s="1" t="s">
        <v>186</v>
      </c>
      <c r="F382" s="1" t="s">
        <v>11</v>
      </c>
      <c r="G382" s="1" t="s">
        <v>58</v>
      </c>
      <c r="H382" s="1" t="s">
        <v>1111</v>
      </c>
      <c r="I382" s="1">
        <v>200.98</v>
      </c>
      <c r="J382" s="1">
        <v>7</v>
      </c>
      <c r="K382" s="1">
        <v>62.81</v>
      </c>
    </row>
    <row r="383" spans="1:11" ht="12.75" x14ac:dyDescent="0.2">
      <c r="A383" s="2">
        <v>41714</v>
      </c>
      <c r="B383" s="2" t="str">
        <f>TEXT(Table1[[#This Row],[Order Date]],"MMM")</f>
        <v>Mar</v>
      </c>
      <c r="C383" s="2" t="str">
        <f t="shared" si="5"/>
        <v>2014</v>
      </c>
      <c r="D383" s="1" t="s">
        <v>680</v>
      </c>
      <c r="E383" s="1" t="s">
        <v>30</v>
      </c>
      <c r="F383" s="1" t="s">
        <v>11</v>
      </c>
      <c r="G383" s="1" t="s">
        <v>12</v>
      </c>
      <c r="H383" s="1" t="s">
        <v>1181</v>
      </c>
      <c r="I383" s="1">
        <v>279.89999999999998</v>
      </c>
      <c r="J383" s="1">
        <v>5</v>
      </c>
      <c r="K383" s="1">
        <v>137.15</v>
      </c>
    </row>
    <row r="384" spans="1:11" ht="12.75" x14ac:dyDescent="0.2">
      <c r="A384" s="2">
        <v>42079</v>
      </c>
      <c r="B384" s="2" t="str">
        <f>TEXT(Table1[[#This Row],[Order Date]],"MMM")</f>
        <v>Mar</v>
      </c>
      <c r="C384" s="2" t="str">
        <f t="shared" si="5"/>
        <v>2015</v>
      </c>
      <c r="D384" s="1" t="s">
        <v>620</v>
      </c>
      <c r="E384" s="1" t="s">
        <v>27</v>
      </c>
      <c r="F384" s="1" t="s">
        <v>33</v>
      </c>
      <c r="G384" s="1" t="s">
        <v>65</v>
      </c>
      <c r="H384" s="1" t="s">
        <v>956</v>
      </c>
      <c r="I384" s="1">
        <v>411.33</v>
      </c>
      <c r="J384" s="1">
        <v>4</v>
      </c>
      <c r="K384" s="1">
        <v>-4.84</v>
      </c>
    </row>
    <row r="385" spans="1:11" ht="12.75" x14ac:dyDescent="0.2">
      <c r="A385" s="2">
        <v>42140</v>
      </c>
      <c r="B385" s="2" t="str">
        <f>TEXT(Table1[[#This Row],[Order Date]],"MMM")</f>
        <v>May</v>
      </c>
      <c r="C385" s="2" t="str">
        <f t="shared" ref="C385:C448" si="6">TEXT(A385,"YYY")</f>
        <v>2015</v>
      </c>
      <c r="D385" s="1" t="s">
        <v>1184</v>
      </c>
      <c r="E385" s="1" t="s">
        <v>27</v>
      </c>
      <c r="F385" s="1" t="s">
        <v>11</v>
      </c>
      <c r="G385" s="1" t="s">
        <v>12</v>
      </c>
      <c r="H385" s="1" t="s">
        <v>1125</v>
      </c>
      <c r="I385" s="1">
        <v>26.4</v>
      </c>
      <c r="J385" s="1">
        <v>5</v>
      </c>
      <c r="K385" s="1">
        <v>11.88</v>
      </c>
    </row>
    <row r="386" spans="1:11" ht="12.75" x14ac:dyDescent="0.2">
      <c r="A386" s="2">
        <v>42871</v>
      </c>
      <c r="B386" s="2" t="str">
        <f>TEXT(Table1[[#This Row],[Order Date]],"MMM")</f>
        <v>May</v>
      </c>
      <c r="C386" s="2" t="str">
        <f t="shared" si="6"/>
        <v>2017</v>
      </c>
      <c r="D386" s="1" t="s">
        <v>602</v>
      </c>
      <c r="E386" s="1" t="s">
        <v>27</v>
      </c>
      <c r="F386" s="1" t="s">
        <v>11</v>
      </c>
      <c r="G386" s="1" t="s">
        <v>157</v>
      </c>
      <c r="H386" s="1" t="s">
        <v>311</v>
      </c>
      <c r="I386" s="1">
        <v>51.52</v>
      </c>
      <c r="J386" s="1">
        <v>4</v>
      </c>
      <c r="K386" s="1">
        <v>1.55</v>
      </c>
    </row>
    <row r="387" spans="1:11" ht="12.75" x14ac:dyDescent="0.2">
      <c r="A387" s="2">
        <v>42171</v>
      </c>
      <c r="B387" s="2" t="str">
        <f>TEXT(Table1[[#This Row],[Order Date]],"MMM")</f>
        <v>Jun</v>
      </c>
      <c r="C387" s="2" t="str">
        <f t="shared" si="6"/>
        <v>2015</v>
      </c>
      <c r="D387" s="1" t="s">
        <v>483</v>
      </c>
      <c r="E387" s="1" t="s">
        <v>27</v>
      </c>
      <c r="F387" s="1" t="s">
        <v>11</v>
      </c>
      <c r="G387" s="1" t="s">
        <v>24</v>
      </c>
      <c r="H387" s="1" t="s">
        <v>1186</v>
      </c>
      <c r="I387" s="1">
        <v>181.35</v>
      </c>
      <c r="J387" s="1">
        <v>9</v>
      </c>
      <c r="K387" s="1">
        <v>48.96</v>
      </c>
    </row>
    <row r="388" spans="1:11" ht="12.75" x14ac:dyDescent="0.2">
      <c r="A388" s="2">
        <v>42537</v>
      </c>
      <c r="B388" s="2" t="str">
        <f>TEXT(Table1[[#This Row],[Order Date]],"MMM")</f>
        <v>Jun</v>
      </c>
      <c r="C388" s="2" t="str">
        <f t="shared" si="6"/>
        <v>2016</v>
      </c>
      <c r="D388" s="1" t="s">
        <v>416</v>
      </c>
      <c r="E388" s="1" t="s">
        <v>119</v>
      </c>
      <c r="F388" s="1" t="s">
        <v>38</v>
      </c>
      <c r="G388" s="1" t="s">
        <v>387</v>
      </c>
      <c r="H388" s="1" t="s">
        <v>1188</v>
      </c>
      <c r="I388" s="1">
        <v>479.98</v>
      </c>
      <c r="J388" s="1">
        <v>2</v>
      </c>
      <c r="K388" s="1">
        <v>60</v>
      </c>
    </row>
    <row r="389" spans="1:11" ht="12.75" x14ac:dyDescent="0.2">
      <c r="A389" s="2">
        <v>42201</v>
      </c>
      <c r="B389" s="2" t="str">
        <f>TEXT(Table1[[#This Row],[Order Date]],"MMM")</f>
        <v>Jul</v>
      </c>
      <c r="C389" s="2" t="str">
        <f t="shared" si="6"/>
        <v>2015</v>
      </c>
      <c r="D389" s="1" t="s">
        <v>255</v>
      </c>
      <c r="E389" s="1" t="s">
        <v>210</v>
      </c>
      <c r="F389" s="1" t="s">
        <v>33</v>
      </c>
      <c r="G389" s="1" t="s">
        <v>117</v>
      </c>
      <c r="H389" s="1" t="s">
        <v>849</v>
      </c>
      <c r="I389" s="1">
        <v>912.75</v>
      </c>
      <c r="J389" s="1">
        <v>5</v>
      </c>
      <c r="K389" s="1">
        <v>118.66</v>
      </c>
    </row>
    <row r="390" spans="1:11" ht="12.75" x14ac:dyDescent="0.2">
      <c r="A390" s="2">
        <v>41867</v>
      </c>
      <c r="B390" s="2" t="str">
        <f>TEXT(Table1[[#This Row],[Order Date]],"MMM")</f>
        <v>Aug</v>
      </c>
      <c r="C390" s="2" t="str">
        <f t="shared" si="6"/>
        <v>2014</v>
      </c>
      <c r="D390" s="1" t="s">
        <v>839</v>
      </c>
      <c r="E390" s="1" t="s">
        <v>23</v>
      </c>
      <c r="F390" s="1" t="s">
        <v>33</v>
      </c>
      <c r="G390" s="1" t="s">
        <v>65</v>
      </c>
      <c r="H390" s="1" t="s">
        <v>1192</v>
      </c>
      <c r="I390" s="1">
        <v>3083.43</v>
      </c>
      <c r="J390" s="1">
        <v>7</v>
      </c>
      <c r="K390" s="1">
        <v>-1665.05</v>
      </c>
    </row>
    <row r="391" spans="1:11" ht="12.75" x14ac:dyDescent="0.2">
      <c r="A391" s="2">
        <v>42232</v>
      </c>
      <c r="B391" s="2" t="str">
        <f>TEXT(Table1[[#This Row],[Order Date]],"MMM")</f>
        <v>Aug</v>
      </c>
      <c r="C391" s="2" t="str">
        <f t="shared" si="6"/>
        <v>2015</v>
      </c>
      <c r="D391" s="1" t="s">
        <v>283</v>
      </c>
      <c r="E391" s="1" t="s">
        <v>27</v>
      </c>
      <c r="F391" s="1" t="s">
        <v>11</v>
      </c>
      <c r="G391" s="1" t="s">
        <v>12</v>
      </c>
      <c r="H391" s="1" t="s">
        <v>699</v>
      </c>
      <c r="I391" s="1">
        <v>160.72</v>
      </c>
      <c r="J391" s="1">
        <v>14</v>
      </c>
      <c r="K391" s="1">
        <v>78.75</v>
      </c>
    </row>
    <row r="392" spans="1:11" ht="12.75" x14ac:dyDescent="0.2">
      <c r="A392" s="2">
        <v>41898</v>
      </c>
      <c r="B392" s="2" t="str">
        <f>TEXT(Table1[[#This Row],[Order Date]],"MMM")</f>
        <v>Sep</v>
      </c>
      <c r="C392" s="2" t="str">
        <f t="shared" si="6"/>
        <v>2014</v>
      </c>
      <c r="D392" s="1" t="s">
        <v>423</v>
      </c>
      <c r="E392" s="1" t="s">
        <v>286</v>
      </c>
      <c r="F392" s="1" t="s">
        <v>11</v>
      </c>
      <c r="G392" s="1" t="s">
        <v>20</v>
      </c>
      <c r="H392" s="1" t="s">
        <v>806</v>
      </c>
      <c r="I392" s="1">
        <v>37.68</v>
      </c>
      <c r="J392" s="1">
        <v>6</v>
      </c>
      <c r="K392" s="1">
        <v>16.96</v>
      </c>
    </row>
    <row r="393" spans="1:11" ht="12.75" x14ac:dyDescent="0.2">
      <c r="A393" s="2">
        <v>42994</v>
      </c>
      <c r="B393" s="2" t="str">
        <f>TEXT(Table1[[#This Row],[Order Date]],"MMM")</f>
        <v>Sep</v>
      </c>
      <c r="C393" s="2" t="str">
        <f t="shared" si="6"/>
        <v>2017</v>
      </c>
      <c r="D393" s="1" t="s">
        <v>1104</v>
      </c>
      <c r="E393" s="1" t="s">
        <v>10</v>
      </c>
      <c r="F393" s="1" t="s">
        <v>38</v>
      </c>
      <c r="G393" s="1" t="s">
        <v>39</v>
      </c>
      <c r="H393" s="1" t="s">
        <v>1103</v>
      </c>
      <c r="I393" s="1">
        <v>946.34</v>
      </c>
      <c r="J393" s="1">
        <v>7</v>
      </c>
      <c r="K393" s="1">
        <v>118.29</v>
      </c>
    </row>
    <row r="394" spans="1:11" ht="12.75" x14ac:dyDescent="0.2">
      <c r="A394" s="2">
        <v>41928</v>
      </c>
      <c r="B394" s="2" t="str">
        <f>TEXT(Table1[[#This Row],[Order Date]],"MMM")</f>
        <v>Oct</v>
      </c>
      <c r="C394" s="2" t="str">
        <f t="shared" si="6"/>
        <v>2014</v>
      </c>
      <c r="D394" s="1" t="s">
        <v>755</v>
      </c>
      <c r="E394" s="1" t="s">
        <v>23</v>
      </c>
      <c r="F394" s="1" t="s">
        <v>11</v>
      </c>
      <c r="G394" s="1" t="s">
        <v>24</v>
      </c>
      <c r="H394" s="1" t="s">
        <v>744</v>
      </c>
      <c r="I394" s="1">
        <v>6.85</v>
      </c>
      <c r="J394" s="1">
        <v>2</v>
      </c>
      <c r="K394" s="1">
        <v>0.6</v>
      </c>
    </row>
    <row r="395" spans="1:11" ht="12.75" x14ac:dyDescent="0.2">
      <c r="A395" s="2">
        <v>41959</v>
      </c>
      <c r="B395" s="2" t="str">
        <f>TEXT(Table1[[#This Row],[Order Date]],"MMM")</f>
        <v>Nov</v>
      </c>
      <c r="C395" s="2" t="str">
        <f t="shared" si="6"/>
        <v>2014</v>
      </c>
      <c r="D395" s="1" t="s">
        <v>399</v>
      </c>
      <c r="E395" s="1" t="s">
        <v>210</v>
      </c>
      <c r="F395" s="1" t="s">
        <v>33</v>
      </c>
      <c r="G395" s="1" t="s">
        <v>117</v>
      </c>
      <c r="H395" s="1" t="s">
        <v>951</v>
      </c>
      <c r="I395" s="1">
        <v>1044.6300000000001</v>
      </c>
      <c r="J395" s="1">
        <v>3</v>
      </c>
      <c r="K395" s="1">
        <v>240.26</v>
      </c>
    </row>
    <row r="396" spans="1:11" ht="12.75" x14ac:dyDescent="0.2">
      <c r="A396" s="2">
        <v>42324</v>
      </c>
      <c r="B396" s="2" t="str">
        <f>TEXT(Table1[[#This Row],[Order Date]],"MMM")</f>
        <v>Nov</v>
      </c>
      <c r="C396" s="2" t="str">
        <f t="shared" si="6"/>
        <v>2015</v>
      </c>
      <c r="D396" s="1" t="s">
        <v>483</v>
      </c>
      <c r="E396" s="1" t="s">
        <v>10</v>
      </c>
      <c r="F396" s="1" t="s">
        <v>11</v>
      </c>
      <c r="G396" s="1" t="s">
        <v>20</v>
      </c>
      <c r="H396" s="1" t="s">
        <v>1201</v>
      </c>
      <c r="I396" s="1">
        <v>2.08</v>
      </c>
      <c r="J396" s="1">
        <v>5</v>
      </c>
      <c r="K396" s="1">
        <v>-3.43</v>
      </c>
    </row>
    <row r="397" spans="1:11" ht="12.75" x14ac:dyDescent="0.2">
      <c r="A397" s="2">
        <v>41989</v>
      </c>
      <c r="B397" s="2" t="str">
        <f>TEXT(Table1[[#This Row],[Order Date]],"MMM")</f>
        <v>Dec</v>
      </c>
      <c r="C397" s="2" t="str">
        <f t="shared" si="6"/>
        <v>2014</v>
      </c>
      <c r="D397" s="1" t="s">
        <v>1174</v>
      </c>
      <c r="E397" s="1" t="s">
        <v>199</v>
      </c>
      <c r="F397" s="1" t="s">
        <v>11</v>
      </c>
      <c r="G397" s="1" t="s">
        <v>18</v>
      </c>
      <c r="H397" s="1" t="s">
        <v>876</v>
      </c>
      <c r="I397" s="1">
        <v>139.41999999999999</v>
      </c>
      <c r="J397" s="1">
        <v>4</v>
      </c>
      <c r="K397" s="1">
        <v>17.43</v>
      </c>
    </row>
    <row r="398" spans="1:11" ht="12.75" x14ac:dyDescent="0.2">
      <c r="A398" s="2">
        <v>42720</v>
      </c>
      <c r="B398" s="2" t="str">
        <f>TEXT(Table1[[#This Row],[Order Date]],"MMM")</f>
        <v>Dec</v>
      </c>
      <c r="C398" s="2" t="str">
        <f t="shared" si="6"/>
        <v>2016</v>
      </c>
      <c r="D398" s="1" t="s">
        <v>566</v>
      </c>
      <c r="E398" s="1" t="s">
        <v>27</v>
      </c>
      <c r="F398" s="1" t="s">
        <v>11</v>
      </c>
      <c r="G398" s="1" t="s">
        <v>20</v>
      </c>
      <c r="H398" s="1" t="s">
        <v>334</v>
      </c>
      <c r="I398" s="1">
        <v>57.5</v>
      </c>
      <c r="J398" s="1">
        <v>6</v>
      </c>
      <c r="K398" s="1">
        <v>20.13</v>
      </c>
    </row>
    <row r="399" spans="1:11" ht="12.75" x14ac:dyDescent="0.2">
      <c r="A399" s="2">
        <v>42021</v>
      </c>
      <c r="B399" s="2" t="str">
        <f>TEXT(Table1[[#This Row],[Order Date]],"MMM")</f>
        <v>Jan</v>
      </c>
      <c r="C399" s="2" t="str">
        <f t="shared" si="6"/>
        <v>2015</v>
      </c>
      <c r="D399" s="1" t="s">
        <v>982</v>
      </c>
      <c r="E399" s="1" t="s">
        <v>30</v>
      </c>
      <c r="F399" s="1" t="s">
        <v>33</v>
      </c>
      <c r="G399" s="1" t="s">
        <v>34</v>
      </c>
      <c r="H399" s="1" t="s">
        <v>246</v>
      </c>
      <c r="I399" s="1">
        <v>392.94</v>
      </c>
      <c r="J399" s="1">
        <v>3</v>
      </c>
      <c r="K399" s="1">
        <v>43.22</v>
      </c>
    </row>
    <row r="400" spans="1:11" ht="12.75" x14ac:dyDescent="0.2">
      <c r="A400" s="2">
        <v>42386</v>
      </c>
      <c r="B400" s="2" t="str">
        <f>TEXT(Table1[[#This Row],[Order Date]],"MMM")</f>
        <v>Jan</v>
      </c>
      <c r="C400" s="2" t="str">
        <f t="shared" si="6"/>
        <v>2016</v>
      </c>
      <c r="D400" s="1" t="s">
        <v>1207</v>
      </c>
      <c r="E400" s="1" t="s">
        <v>51</v>
      </c>
      <c r="F400" s="1" t="s">
        <v>11</v>
      </c>
      <c r="G400" s="1" t="s">
        <v>24</v>
      </c>
      <c r="H400" s="1" t="s">
        <v>621</v>
      </c>
      <c r="I400" s="1">
        <v>46.2</v>
      </c>
      <c r="J400" s="1">
        <v>4</v>
      </c>
      <c r="K400" s="1">
        <v>12.94</v>
      </c>
    </row>
    <row r="401" spans="1:11" ht="12.75" x14ac:dyDescent="0.2">
      <c r="A401" s="2">
        <v>41687</v>
      </c>
      <c r="B401" s="2" t="str">
        <f>TEXT(Table1[[#This Row],[Order Date]],"MMM")</f>
        <v>Feb</v>
      </c>
      <c r="C401" s="2" t="str">
        <f t="shared" si="6"/>
        <v>2014</v>
      </c>
      <c r="D401" s="1" t="s">
        <v>430</v>
      </c>
      <c r="E401" s="1" t="s">
        <v>15</v>
      </c>
      <c r="F401" s="1" t="s">
        <v>38</v>
      </c>
      <c r="G401" s="1" t="s">
        <v>48</v>
      </c>
      <c r="H401" s="1" t="s">
        <v>686</v>
      </c>
      <c r="I401" s="1">
        <v>339.96</v>
      </c>
      <c r="J401" s="1">
        <v>5</v>
      </c>
      <c r="K401" s="1">
        <v>67.989999999999995</v>
      </c>
    </row>
    <row r="402" spans="1:11" ht="12.75" x14ac:dyDescent="0.2">
      <c r="A402" s="2">
        <v>42783</v>
      </c>
      <c r="B402" s="2" t="str">
        <f>TEXT(Table1[[#This Row],[Order Date]],"MMM")</f>
        <v>Feb</v>
      </c>
      <c r="C402" s="2" t="str">
        <f t="shared" si="6"/>
        <v>2017</v>
      </c>
      <c r="D402" s="1" t="s">
        <v>1195</v>
      </c>
      <c r="E402" s="1" t="s">
        <v>27</v>
      </c>
      <c r="F402" s="1" t="s">
        <v>11</v>
      </c>
      <c r="G402" s="1" t="s">
        <v>18</v>
      </c>
      <c r="H402" s="1" t="s">
        <v>841</v>
      </c>
      <c r="I402" s="1">
        <v>77.88</v>
      </c>
      <c r="J402" s="1">
        <v>2</v>
      </c>
      <c r="K402" s="1">
        <v>3.89</v>
      </c>
    </row>
    <row r="403" spans="1:11" ht="12.75" x14ac:dyDescent="0.2">
      <c r="A403" s="2">
        <v>41715</v>
      </c>
      <c r="B403" s="2" t="str">
        <f>TEXT(Table1[[#This Row],[Order Date]],"MMM")</f>
        <v>Mar</v>
      </c>
      <c r="C403" s="2" t="str">
        <f t="shared" si="6"/>
        <v>2014</v>
      </c>
      <c r="D403" s="1" t="s">
        <v>183</v>
      </c>
      <c r="E403" s="1" t="s">
        <v>10</v>
      </c>
      <c r="F403" s="1" t="s">
        <v>38</v>
      </c>
      <c r="G403" s="1" t="s">
        <v>48</v>
      </c>
      <c r="H403" s="1" t="s">
        <v>1210</v>
      </c>
      <c r="I403" s="1">
        <v>27.7</v>
      </c>
      <c r="J403" s="1">
        <v>3</v>
      </c>
      <c r="K403" s="1">
        <v>3.46</v>
      </c>
    </row>
    <row r="404" spans="1:11" ht="12.75" x14ac:dyDescent="0.2">
      <c r="A404" s="2">
        <v>42080</v>
      </c>
      <c r="B404" s="2" t="str">
        <f>TEXT(Table1[[#This Row],[Order Date]],"MMM")</f>
        <v>Mar</v>
      </c>
      <c r="C404" s="2" t="str">
        <f t="shared" si="6"/>
        <v>2015</v>
      </c>
      <c r="D404" s="1" t="s">
        <v>839</v>
      </c>
      <c r="E404" s="1" t="s">
        <v>441</v>
      </c>
      <c r="F404" s="1" t="s">
        <v>11</v>
      </c>
      <c r="G404" s="1" t="s">
        <v>12</v>
      </c>
      <c r="H404" s="1" t="s">
        <v>921</v>
      </c>
      <c r="I404" s="1">
        <v>34.44</v>
      </c>
      <c r="J404" s="1">
        <v>3</v>
      </c>
      <c r="K404" s="1">
        <v>17.22</v>
      </c>
    </row>
    <row r="405" spans="1:11" ht="12.75" x14ac:dyDescent="0.2">
      <c r="A405" s="2">
        <v>42111</v>
      </c>
      <c r="B405" s="2" t="str">
        <f>TEXT(Table1[[#This Row],[Order Date]],"MMM")</f>
        <v>Apr</v>
      </c>
      <c r="C405" s="2" t="str">
        <f t="shared" si="6"/>
        <v>2015</v>
      </c>
      <c r="D405" s="1" t="s">
        <v>479</v>
      </c>
      <c r="E405" s="1" t="s">
        <v>15</v>
      </c>
      <c r="F405" s="1" t="s">
        <v>11</v>
      </c>
      <c r="G405" s="1" t="s">
        <v>20</v>
      </c>
      <c r="H405" s="1" t="s">
        <v>786</v>
      </c>
      <c r="I405" s="1">
        <v>5.18</v>
      </c>
      <c r="J405" s="1">
        <v>4</v>
      </c>
      <c r="K405" s="1">
        <v>-7.76</v>
      </c>
    </row>
    <row r="406" spans="1:11" ht="12.75" x14ac:dyDescent="0.2">
      <c r="A406" s="2">
        <v>42477</v>
      </c>
      <c r="B406" s="2" t="str">
        <f>TEXT(Table1[[#This Row],[Order Date]],"MMM")</f>
        <v>Apr</v>
      </c>
      <c r="C406" s="2" t="str">
        <f t="shared" si="6"/>
        <v>2016</v>
      </c>
      <c r="D406" s="1" t="s">
        <v>1214</v>
      </c>
      <c r="E406" s="1" t="s">
        <v>27</v>
      </c>
      <c r="F406" s="1" t="s">
        <v>11</v>
      </c>
      <c r="G406" s="1" t="s">
        <v>16</v>
      </c>
      <c r="H406" s="1" t="s">
        <v>1215</v>
      </c>
      <c r="I406" s="1">
        <v>5.76</v>
      </c>
      <c r="J406" s="1">
        <v>2</v>
      </c>
      <c r="K406" s="1">
        <v>2.65</v>
      </c>
    </row>
    <row r="407" spans="1:11" ht="12.75" x14ac:dyDescent="0.2">
      <c r="A407" s="2">
        <v>41776</v>
      </c>
      <c r="B407" s="2" t="str">
        <f>TEXT(Table1[[#This Row],[Order Date]],"MMM")</f>
        <v>May</v>
      </c>
      <c r="C407" s="2" t="str">
        <f t="shared" si="6"/>
        <v>2014</v>
      </c>
      <c r="D407" s="1" t="s">
        <v>289</v>
      </c>
      <c r="E407" s="1" t="s">
        <v>32</v>
      </c>
      <c r="F407" s="1" t="s">
        <v>11</v>
      </c>
      <c r="G407" s="1" t="s">
        <v>58</v>
      </c>
      <c r="H407" s="1" t="s">
        <v>959</v>
      </c>
      <c r="I407" s="1">
        <v>10.67</v>
      </c>
      <c r="J407" s="1">
        <v>1</v>
      </c>
      <c r="K407" s="1">
        <v>4.91</v>
      </c>
    </row>
    <row r="408" spans="1:11" ht="12.75" x14ac:dyDescent="0.2">
      <c r="A408" s="2">
        <v>42507</v>
      </c>
      <c r="B408" s="2" t="str">
        <f>TEXT(Table1[[#This Row],[Order Date]],"MMM")</f>
        <v>May</v>
      </c>
      <c r="C408" s="2" t="str">
        <f t="shared" si="6"/>
        <v>2016</v>
      </c>
      <c r="D408" s="1" t="s">
        <v>972</v>
      </c>
      <c r="E408" s="1" t="s">
        <v>27</v>
      </c>
      <c r="F408" s="1" t="s">
        <v>11</v>
      </c>
      <c r="G408" s="1" t="s">
        <v>12</v>
      </c>
      <c r="H408" s="1" t="s">
        <v>291</v>
      </c>
      <c r="I408" s="1">
        <v>33.4</v>
      </c>
      <c r="J408" s="1">
        <v>5</v>
      </c>
      <c r="K408" s="1">
        <v>16.03</v>
      </c>
    </row>
    <row r="409" spans="1:11" ht="12.75" x14ac:dyDescent="0.2">
      <c r="A409" s="2">
        <v>41807</v>
      </c>
      <c r="B409" s="2" t="str">
        <f>TEXT(Table1[[#This Row],[Order Date]],"MMM")</f>
        <v>Jun</v>
      </c>
      <c r="C409" s="2" t="str">
        <f t="shared" si="6"/>
        <v>2014</v>
      </c>
      <c r="D409" s="1" t="s">
        <v>1141</v>
      </c>
      <c r="E409" s="1" t="s">
        <v>93</v>
      </c>
      <c r="F409" s="1" t="s">
        <v>38</v>
      </c>
      <c r="G409" s="1" t="s">
        <v>39</v>
      </c>
      <c r="H409" s="1" t="s">
        <v>973</v>
      </c>
      <c r="I409" s="1">
        <v>299.89999999999998</v>
      </c>
      <c r="J409" s="1">
        <v>2</v>
      </c>
      <c r="K409" s="1">
        <v>74.98</v>
      </c>
    </row>
    <row r="410" spans="1:11" ht="12.75" x14ac:dyDescent="0.2">
      <c r="A410" s="2">
        <v>42202</v>
      </c>
      <c r="B410" s="2" t="str">
        <f>TEXT(Table1[[#This Row],[Order Date]],"MMM")</f>
        <v>Jul</v>
      </c>
      <c r="C410" s="2" t="str">
        <f t="shared" si="6"/>
        <v>2015</v>
      </c>
      <c r="D410" s="1" t="s">
        <v>279</v>
      </c>
      <c r="E410" s="1" t="s">
        <v>27</v>
      </c>
      <c r="F410" s="1" t="s">
        <v>33</v>
      </c>
      <c r="G410" s="1" t="s">
        <v>117</v>
      </c>
      <c r="H410" s="1" t="s">
        <v>832</v>
      </c>
      <c r="I410" s="1">
        <v>1038.8399999999999</v>
      </c>
      <c r="J410" s="1">
        <v>5</v>
      </c>
      <c r="K410" s="1">
        <v>51.94</v>
      </c>
    </row>
    <row r="411" spans="1:11" ht="12.75" x14ac:dyDescent="0.2">
      <c r="A411" s="2">
        <v>41868</v>
      </c>
      <c r="B411" s="2" t="str">
        <f>TEXT(Table1[[#This Row],[Order Date]],"MMM")</f>
        <v>Aug</v>
      </c>
      <c r="C411" s="2" t="str">
        <f t="shared" si="6"/>
        <v>2014</v>
      </c>
      <c r="D411" s="1" t="s">
        <v>1065</v>
      </c>
      <c r="E411" s="1" t="s">
        <v>27</v>
      </c>
      <c r="F411" s="1" t="s">
        <v>38</v>
      </c>
      <c r="G411" s="1" t="s">
        <v>39</v>
      </c>
      <c r="H411" s="1" t="s">
        <v>1172</v>
      </c>
      <c r="I411" s="1">
        <v>1212.8499999999999</v>
      </c>
      <c r="J411" s="1">
        <v>7</v>
      </c>
      <c r="K411" s="1">
        <v>106.12</v>
      </c>
    </row>
    <row r="412" spans="1:11" ht="12.75" x14ac:dyDescent="0.2">
      <c r="A412" s="2">
        <v>42233</v>
      </c>
      <c r="B412" s="2" t="str">
        <f>TEXT(Table1[[#This Row],[Order Date]],"MMM")</f>
        <v>Aug</v>
      </c>
      <c r="C412" s="2" t="str">
        <f t="shared" si="6"/>
        <v>2015</v>
      </c>
      <c r="D412" s="1" t="s">
        <v>373</v>
      </c>
      <c r="E412" s="1" t="s">
        <v>186</v>
      </c>
      <c r="F412" s="1" t="s">
        <v>33</v>
      </c>
      <c r="G412" s="1" t="s">
        <v>34</v>
      </c>
      <c r="H412" s="1" t="s">
        <v>181</v>
      </c>
      <c r="I412" s="1">
        <v>207</v>
      </c>
      <c r="J412" s="1">
        <v>3</v>
      </c>
      <c r="K412" s="1">
        <v>25.88</v>
      </c>
    </row>
    <row r="413" spans="1:11" ht="12.75" x14ac:dyDescent="0.2">
      <c r="A413" s="2">
        <v>41899</v>
      </c>
      <c r="B413" s="2" t="str">
        <f>TEXT(Table1[[#This Row],[Order Date]],"MMM")</f>
        <v>Sep</v>
      </c>
      <c r="C413" s="2" t="str">
        <f t="shared" si="6"/>
        <v>2014</v>
      </c>
      <c r="D413" s="1" t="s">
        <v>281</v>
      </c>
      <c r="E413" s="1" t="s">
        <v>27</v>
      </c>
      <c r="F413" s="1" t="s">
        <v>33</v>
      </c>
      <c r="G413" s="1" t="s">
        <v>34</v>
      </c>
      <c r="H413" s="1" t="s">
        <v>938</v>
      </c>
      <c r="I413" s="1">
        <v>190.72</v>
      </c>
      <c r="J413" s="1">
        <v>1</v>
      </c>
      <c r="K413" s="1">
        <v>11.92</v>
      </c>
    </row>
    <row r="414" spans="1:11" ht="12.75" x14ac:dyDescent="0.2">
      <c r="A414" s="2">
        <v>42264</v>
      </c>
      <c r="B414" s="2" t="str">
        <f>TEXT(Table1[[#This Row],[Order Date]],"MMM")</f>
        <v>Sep</v>
      </c>
      <c r="C414" s="2" t="str">
        <f t="shared" si="6"/>
        <v>2015</v>
      </c>
      <c r="D414" s="1" t="s">
        <v>544</v>
      </c>
      <c r="E414" s="1" t="s">
        <v>286</v>
      </c>
      <c r="F414" s="1" t="s">
        <v>11</v>
      </c>
      <c r="G414" s="1" t="s">
        <v>24</v>
      </c>
      <c r="H414" s="1" t="s">
        <v>241</v>
      </c>
      <c r="I414" s="1">
        <v>11.65</v>
      </c>
      <c r="J414" s="1">
        <v>5</v>
      </c>
      <c r="K414" s="1">
        <v>3.38</v>
      </c>
    </row>
    <row r="415" spans="1:11" ht="12.75" x14ac:dyDescent="0.2">
      <c r="A415" s="2">
        <v>42294</v>
      </c>
      <c r="B415" s="2" t="str">
        <f>TEXT(Table1[[#This Row],[Order Date]],"MMM")</f>
        <v>Oct</v>
      </c>
      <c r="C415" s="2" t="str">
        <f t="shared" si="6"/>
        <v>2015</v>
      </c>
      <c r="D415" s="1" t="s">
        <v>1195</v>
      </c>
      <c r="E415" s="1" t="s">
        <v>23</v>
      </c>
      <c r="F415" s="1" t="s">
        <v>11</v>
      </c>
      <c r="G415" s="1" t="s">
        <v>12</v>
      </c>
      <c r="H415" s="1" t="s">
        <v>782</v>
      </c>
      <c r="I415" s="1">
        <v>11.35</v>
      </c>
      <c r="J415" s="1">
        <v>3</v>
      </c>
      <c r="K415" s="1">
        <v>4.12</v>
      </c>
    </row>
    <row r="416" spans="1:11" ht="12.75" x14ac:dyDescent="0.2">
      <c r="A416" s="2">
        <v>42660</v>
      </c>
      <c r="B416" s="2" t="str">
        <f>TEXT(Table1[[#This Row],[Order Date]],"MMM")</f>
        <v>Oct</v>
      </c>
      <c r="C416" s="2" t="str">
        <f t="shared" si="6"/>
        <v>2016</v>
      </c>
      <c r="D416" s="1" t="s">
        <v>1033</v>
      </c>
      <c r="E416" s="1" t="s">
        <v>93</v>
      </c>
      <c r="F416" s="1" t="s">
        <v>11</v>
      </c>
      <c r="G416" s="1" t="s">
        <v>18</v>
      </c>
      <c r="H416" s="1" t="s">
        <v>1224</v>
      </c>
      <c r="I416" s="1">
        <v>418.32</v>
      </c>
      <c r="J416" s="1">
        <v>7</v>
      </c>
      <c r="K416" s="1">
        <v>117.13</v>
      </c>
    </row>
    <row r="417" spans="1:11" ht="12.75" x14ac:dyDescent="0.2">
      <c r="A417" s="2">
        <v>43025</v>
      </c>
      <c r="B417" s="2" t="str">
        <f>TEXT(Table1[[#This Row],[Order Date]],"MMM")</f>
        <v>Oct</v>
      </c>
      <c r="C417" s="2" t="str">
        <f t="shared" si="6"/>
        <v>2017</v>
      </c>
      <c r="D417" s="1" t="s">
        <v>1101</v>
      </c>
      <c r="E417" s="1" t="s">
        <v>199</v>
      </c>
      <c r="F417" s="1" t="s">
        <v>38</v>
      </c>
      <c r="G417" s="1" t="s">
        <v>48</v>
      </c>
      <c r="H417" s="1" t="s">
        <v>1219</v>
      </c>
      <c r="I417" s="1">
        <v>238.9</v>
      </c>
      <c r="J417" s="1">
        <v>6</v>
      </c>
      <c r="K417" s="1">
        <v>-26.88</v>
      </c>
    </row>
    <row r="418" spans="1:11" ht="12.75" x14ac:dyDescent="0.2">
      <c r="A418" s="2">
        <v>41960</v>
      </c>
      <c r="B418" s="2" t="str">
        <f>TEXT(Table1[[#This Row],[Order Date]],"MMM")</f>
        <v>Nov</v>
      </c>
      <c r="C418" s="2" t="str">
        <f t="shared" si="6"/>
        <v>2014</v>
      </c>
      <c r="D418" s="1" t="s">
        <v>468</v>
      </c>
      <c r="E418" s="1" t="s">
        <v>119</v>
      </c>
      <c r="F418" s="1" t="s">
        <v>38</v>
      </c>
      <c r="G418" s="1" t="s">
        <v>48</v>
      </c>
      <c r="H418" s="1" t="s">
        <v>429</v>
      </c>
      <c r="I418" s="1">
        <v>37.6</v>
      </c>
      <c r="J418" s="1">
        <v>2</v>
      </c>
      <c r="K418" s="1">
        <v>2.2599999999999998</v>
      </c>
    </row>
    <row r="419" spans="1:11" ht="12.75" x14ac:dyDescent="0.2">
      <c r="A419" s="2">
        <v>42325</v>
      </c>
      <c r="B419" s="2" t="str">
        <f>TEXT(Table1[[#This Row],[Order Date]],"MMM")</f>
        <v>Nov</v>
      </c>
      <c r="C419" s="2" t="str">
        <f t="shared" si="6"/>
        <v>2015</v>
      </c>
      <c r="D419" s="1" t="s">
        <v>1168</v>
      </c>
      <c r="E419" s="1" t="s">
        <v>119</v>
      </c>
      <c r="F419" s="1" t="s">
        <v>11</v>
      </c>
      <c r="G419" s="1" t="s">
        <v>80</v>
      </c>
      <c r="H419" s="1" t="s">
        <v>1228</v>
      </c>
      <c r="I419" s="1">
        <v>523.25</v>
      </c>
      <c r="J419" s="1">
        <v>5</v>
      </c>
      <c r="K419" s="1">
        <v>141.28</v>
      </c>
    </row>
    <row r="420" spans="1:11" ht="12.75" x14ac:dyDescent="0.2">
      <c r="A420" s="2">
        <v>43056</v>
      </c>
      <c r="B420" s="2" t="str">
        <f>TEXT(Table1[[#This Row],[Order Date]],"MMM")</f>
        <v>Nov</v>
      </c>
      <c r="C420" s="2" t="str">
        <f t="shared" si="6"/>
        <v>2017</v>
      </c>
      <c r="D420" s="1" t="s">
        <v>1230</v>
      </c>
      <c r="E420" s="1" t="s">
        <v>15</v>
      </c>
      <c r="F420" s="1" t="s">
        <v>11</v>
      </c>
      <c r="G420" s="1" t="s">
        <v>157</v>
      </c>
      <c r="H420" s="1" t="s">
        <v>647</v>
      </c>
      <c r="I420" s="1">
        <v>40.92</v>
      </c>
      <c r="J420" s="1">
        <v>5</v>
      </c>
      <c r="K420" s="1">
        <v>3.07</v>
      </c>
    </row>
    <row r="421" spans="1:11" ht="12.75" x14ac:dyDescent="0.2">
      <c r="A421" s="2">
        <v>41990</v>
      </c>
      <c r="B421" s="2" t="str">
        <f>TEXT(Table1[[#This Row],[Order Date]],"MMM")</f>
        <v>Dec</v>
      </c>
      <c r="C421" s="2" t="str">
        <f t="shared" si="6"/>
        <v>2014</v>
      </c>
      <c r="D421" s="1" t="s">
        <v>523</v>
      </c>
      <c r="E421" s="1" t="s">
        <v>68</v>
      </c>
      <c r="F421" s="1" t="s">
        <v>33</v>
      </c>
      <c r="G421" s="1" t="s">
        <v>34</v>
      </c>
      <c r="H421" s="1" t="s">
        <v>527</v>
      </c>
      <c r="I421" s="1">
        <v>396.8</v>
      </c>
      <c r="J421" s="1">
        <v>7</v>
      </c>
      <c r="K421" s="1">
        <v>-11.34</v>
      </c>
    </row>
    <row r="422" spans="1:11" ht="12.75" x14ac:dyDescent="0.2">
      <c r="A422" s="2">
        <v>42721</v>
      </c>
      <c r="B422" s="2" t="str">
        <f>TEXT(Table1[[#This Row],[Order Date]],"MMM")</f>
        <v>Dec</v>
      </c>
      <c r="C422" s="2" t="str">
        <f t="shared" si="6"/>
        <v>2016</v>
      </c>
      <c r="D422" s="1" t="s">
        <v>402</v>
      </c>
      <c r="E422" s="1" t="s">
        <v>10</v>
      </c>
      <c r="F422" s="1" t="s">
        <v>11</v>
      </c>
      <c r="G422" s="1" t="s">
        <v>80</v>
      </c>
      <c r="H422" s="1" t="s">
        <v>95</v>
      </c>
      <c r="I422" s="1">
        <v>68.81</v>
      </c>
      <c r="J422" s="1">
        <v>5</v>
      </c>
      <c r="K422" s="1">
        <v>-123.86</v>
      </c>
    </row>
    <row r="423" spans="1:11" ht="12.75" x14ac:dyDescent="0.2">
      <c r="A423" s="2">
        <v>43086</v>
      </c>
      <c r="B423" s="2" t="str">
        <f>TEXT(Table1[[#This Row],[Order Date]],"MMM")</f>
        <v>Dec</v>
      </c>
      <c r="C423" s="2" t="str">
        <f t="shared" si="6"/>
        <v>2017</v>
      </c>
      <c r="D423" s="1" t="s">
        <v>1159</v>
      </c>
      <c r="E423" s="1" t="s">
        <v>10</v>
      </c>
      <c r="F423" s="1" t="s">
        <v>11</v>
      </c>
      <c r="G423" s="1" t="s">
        <v>12</v>
      </c>
      <c r="H423" s="1" t="s">
        <v>1190</v>
      </c>
      <c r="I423" s="1">
        <v>335.52</v>
      </c>
      <c r="J423" s="1">
        <v>4</v>
      </c>
      <c r="K423" s="1">
        <v>117.43</v>
      </c>
    </row>
    <row r="424" spans="1:11" ht="12.75" x14ac:dyDescent="0.2">
      <c r="A424" s="2">
        <v>41657</v>
      </c>
      <c r="B424" s="2" t="str">
        <f>TEXT(Table1[[#This Row],[Order Date]],"MMM")</f>
        <v>Jan</v>
      </c>
      <c r="C424" s="2" t="str">
        <f t="shared" si="6"/>
        <v>2014</v>
      </c>
      <c r="D424" s="1" t="s">
        <v>269</v>
      </c>
      <c r="E424" s="1" t="s">
        <v>27</v>
      </c>
      <c r="F424" s="1" t="s">
        <v>38</v>
      </c>
      <c r="G424" s="1" t="s">
        <v>48</v>
      </c>
      <c r="H424" s="1" t="s">
        <v>767</v>
      </c>
      <c r="I424" s="1">
        <v>13.98</v>
      </c>
      <c r="J424" s="1">
        <v>2</v>
      </c>
      <c r="K424" s="1">
        <v>6.15</v>
      </c>
    </row>
    <row r="425" spans="1:11" ht="12.75" x14ac:dyDescent="0.2">
      <c r="A425" s="2">
        <v>41688</v>
      </c>
      <c r="B425" s="2" t="str">
        <f>TEXT(Table1[[#This Row],[Order Date]],"MMM")</f>
        <v>Feb</v>
      </c>
      <c r="C425" s="2" t="str">
        <f t="shared" si="6"/>
        <v>2014</v>
      </c>
      <c r="D425" s="1" t="s">
        <v>817</v>
      </c>
      <c r="E425" s="1" t="s">
        <v>100</v>
      </c>
      <c r="F425" s="1" t="s">
        <v>33</v>
      </c>
      <c r="G425" s="1" t="s">
        <v>117</v>
      </c>
      <c r="H425" s="1" t="s">
        <v>851</v>
      </c>
      <c r="I425" s="1">
        <v>375.46</v>
      </c>
      <c r="J425" s="1">
        <v>3</v>
      </c>
      <c r="K425" s="1">
        <v>-157.01</v>
      </c>
    </row>
    <row r="426" spans="1:11" ht="12.75" x14ac:dyDescent="0.2">
      <c r="A426" s="2">
        <v>42053</v>
      </c>
      <c r="B426" s="2" t="str">
        <f>TEXT(Table1[[#This Row],[Order Date]],"MMM")</f>
        <v>Feb</v>
      </c>
      <c r="C426" s="2" t="str">
        <f t="shared" si="6"/>
        <v>2015</v>
      </c>
      <c r="D426" s="1" t="s">
        <v>1199</v>
      </c>
      <c r="E426" s="1" t="s">
        <v>15</v>
      </c>
      <c r="F426" s="1" t="s">
        <v>33</v>
      </c>
      <c r="G426" s="1" t="s">
        <v>44</v>
      </c>
      <c r="H426" s="1" t="s">
        <v>911</v>
      </c>
      <c r="I426" s="1">
        <v>12.13</v>
      </c>
      <c r="J426" s="1">
        <v>9</v>
      </c>
      <c r="K426" s="1">
        <v>-8.49</v>
      </c>
    </row>
    <row r="427" spans="1:11" ht="12.75" x14ac:dyDescent="0.2">
      <c r="A427" s="2">
        <v>42784</v>
      </c>
      <c r="B427" s="2" t="str">
        <f>TEXT(Table1[[#This Row],[Order Date]],"MMM")</f>
        <v>Feb</v>
      </c>
      <c r="C427" s="2" t="str">
        <f t="shared" si="6"/>
        <v>2017</v>
      </c>
      <c r="D427" s="1" t="s">
        <v>852</v>
      </c>
      <c r="E427" s="1" t="s">
        <v>93</v>
      </c>
      <c r="F427" s="1" t="s">
        <v>33</v>
      </c>
      <c r="G427" s="1" t="s">
        <v>34</v>
      </c>
      <c r="H427" s="1" t="s">
        <v>1157</v>
      </c>
      <c r="I427" s="1">
        <v>301.95999999999998</v>
      </c>
      <c r="J427" s="1">
        <v>2</v>
      </c>
      <c r="K427" s="1">
        <v>87.57</v>
      </c>
    </row>
    <row r="428" spans="1:11" ht="12.75" x14ac:dyDescent="0.2">
      <c r="A428" s="2">
        <v>41716</v>
      </c>
      <c r="B428" s="2" t="str">
        <f>TEXT(Table1[[#This Row],[Order Date]],"MMM")</f>
        <v>Mar</v>
      </c>
      <c r="C428" s="2" t="str">
        <f t="shared" si="6"/>
        <v>2014</v>
      </c>
      <c r="D428" s="1" t="s">
        <v>878</v>
      </c>
      <c r="E428" s="1" t="s">
        <v>23</v>
      </c>
      <c r="F428" s="1" t="s">
        <v>11</v>
      </c>
      <c r="G428" s="1" t="s">
        <v>20</v>
      </c>
      <c r="H428" s="1" t="s">
        <v>341</v>
      </c>
      <c r="I428" s="1">
        <v>152.99</v>
      </c>
      <c r="J428" s="1">
        <v>3</v>
      </c>
      <c r="K428" s="1">
        <v>-122.39</v>
      </c>
    </row>
    <row r="429" spans="1:11" ht="12.75" x14ac:dyDescent="0.2">
      <c r="A429" s="2">
        <v>42447</v>
      </c>
      <c r="B429" s="2" t="str">
        <f>TEXT(Table1[[#This Row],[Order Date]],"MMM")</f>
        <v>Mar</v>
      </c>
      <c r="C429" s="2" t="str">
        <f t="shared" si="6"/>
        <v>2016</v>
      </c>
      <c r="D429" s="1" t="s">
        <v>743</v>
      </c>
      <c r="E429" s="1" t="s">
        <v>133</v>
      </c>
      <c r="F429" s="1" t="s">
        <v>11</v>
      </c>
      <c r="G429" s="1" t="s">
        <v>20</v>
      </c>
      <c r="H429" s="1" t="s">
        <v>480</v>
      </c>
      <c r="I429" s="1">
        <v>55.42</v>
      </c>
      <c r="J429" s="1">
        <v>2</v>
      </c>
      <c r="K429" s="1">
        <v>19.399999999999999</v>
      </c>
    </row>
    <row r="430" spans="1:11" ht="12.75" x14ac:dyDescent="0.2">
      <c r="A430" s="2">
        <v>41747</v>
      </c>
      <c r="B430" s="2" t="str">
        <f>TEXT(Table1[[#This Row],[Order Date]],"MMM")</f>
        <v>Apr</v>
      </c>
      <c r="C430" s="2" t="str">
        <f t="shared" si="6"/>
        <v>2014</v>
      </c>
      <c r="D430" s="1" t="s">
        <v>207</v>
      </c>
      <c r="E430" s="1" t="s">
        <v>23</v>
      </c>
      <c r="F430" s="1" t="s">
        <v>38</v>
      </c>
      <c r="G430" s="1" t="s">
        <v>213</v>
      </c>
      <c r="H430" s="1" t="s">
        <v>1238</v>
      </c>
      <c r="I430" s="1">
        <v>482.34</v>
      </c>
      <c r="J430" s="1">
        <v>4</v>
      </c>
      <c r="K430" s="1">
        <v>-337.64</v>
      </c>
    </row>
    <row r="431" spans="1:11" ht="12.75" x14ac:dyDescent="0.2">
      <c r="A431" s="2">
        <v>42478</v>
      </c>
      <c r="B431" s="2" t="str">
        <f>TEXT(Table1[[#This Row],[Order Date]],"MMM")</f>
        <v>Apr</v>
      </c>
      <c r="C431" s="2" t="str">
        <f t="shared" si="6"/>
        <v>2016</v>
      </c>
      <c r="D431" s="1" t="s">
        <v>1239</v>
      </c>
      <c r="E431" s="1" t="s">
        <v>100</v>
      </c>
      <c r="F431" s="1" t="s">
        <v>11</v>
      </c>
      <c r="G431" s="1" t="s">
        <v>20</v>
      </c>
      <c r="H431" s="1" t="s">
        <v>530</v>
      </c>
      <c r="I431" s="1">
        <v>8.23</v>
      </c>
      <c r="J431" s="1">
        <v>3</v>
      </c>
      <c r="K431" s="1">
        <v>-6.03</v>
      </c>
    </row>
    <row r="432" spans="1:11" ht="12.75" x14ac:dyDescent="0.2">
      <c r="A432" s="2">
        <v>41777</v>
      </c>
      <c r="B432" s="2" t="str">
        <f>TEXT(Table1[[#This Row],[Order Date]],"MMM")</f>
        <v>May</v>
      </c>
      <c r="C432" s="2" t="str">
        <f t="shared" si="6"/>
        <v>2014</v>
      </c>
      <c r="D432" s="1" t="s">
        <v>946</v>
      </c>
      <c r="E432" s="1" t="s">
        <v>32</v>
      </c>
      <c r="F432" s="1" t="s">
        <v>11</v>
      </c>
      <c r="G432" s="1" t="s">
        <v>80</v>
      </c>
      <c r="H432" s="1" t="s">
        <v>650</v>
      </c>
      <c r="I432" s="1">
        <v>152.94</v>
      </c>
      <c r="J432" s="1">
        <v>3</v>
      </c>
      <c r="K432" s="1">
        <v>41.29</v>
      </c>
    </row>
    <row r="433" spans="1:11" ht="12.75" x14ac:dyDescent="0.2">
      <c r="A433" s="2">
        <v>42142</v>
      </c>
      <c r="B433" s="2" t="str">
        <f>TEXT(Table1[[#This Row],[Order Date]],"MMM")</f>
        <v>May</v>
      </c>
      <c r="C433" s="2" t="str">
        <f t="shared" si="6"/>
        <v>2015</v>
      </c>
      <c r="D433" s="1" t="s">
        <v>1242</v>
      </c>
      <c r="E433" s="1" t="s">
        <v>10</v>
      </c>
      <c r="F433" s="1" t="s">
        <v>11</v>
      </c>
      <c r="G433" s="1" t="s">
        <v>12</v>
      </c>
      <c r="H433" s="1" t="s">
        <v>321</v>
      </c>
      <c r="I433" s="1">
        <v>360.71</v>
      </c>
      <c r="J433" s="1">
        <v>11</v>
      </c>
      <c r="K433" s="1">
        <v>130.76</v>
      </c>
    </row>
    <row r="434" spans="1:11" ht="12.75" x14ac:dyDescent="0.2">
      <c r="A434" s="2">
        <v>42508</v>
      </c>
      <c r="B434" s="2" t="str">
        <f>TEXT(Table1[[#This Row],[Order Date]],"MMM")</f>
        <v>May</v>
      </c>
      <c r="C434" s="2" t="str">
        <f t="shared" si="6"/>
        <v>2016</v>
      </c>
      <c r="D434" s="1" t="s">
        <v>799</v>
      </c>
      <c r="E434" s="1" t="s">
        <v>93</v>
      </c>
      <c r="F434" s="1" t="s">
        <v>11</v>
      </c>
      <c r="G434" s="1" t="s">
        <v>24</v>
      </c>
      <c r="H434" s="1" t="s">
        <v>892</v>
      </c>
      <c r="I434" s="1">
        <v>3.9</v>
      </c>
      <c r="J434" s="1">
        <v>2</v>
      </c>
      <c r="K434" s="1">
        <v>1.52</v>
      </c>
    </row>
    <row r="435" spans="1:11" ht="12.75" x14ac:dyDescent="0.2">
      <c r="A435" s="2">
        <v>41808</v>
      </c>
      <c r="B435" s="2" t="str">
        <f>TEXT(Table1[[#This Row],[Order Date]],"MMM")</f>
        <v>Jun</v>
      </c>
      <c r="C435" s="2" t="str">
        <f t="shared" si="6"/>
        <v>2014</v>
      </c>
      <c r="D435" s="1" t="s">
        <v>479</v>
      </c>
      <c r="E435" s="1" t="s">
        <v>27</v>
      </c>
      <c r="F435" s="1" t="s">
        <v>33</v>
      </c>
      <c r="G435" s="1" t="s">
        <v>34</v>
      </c>
      <c r="H435" s="1" t="s">
        <v>408</v>
      </c>
      <c r="I435" s="1">
        <v>348.93</v>
      </c>
      <c r="J435" s="1">
        <v>2</v>
      </c>
      <c r="K435" s="1">
        <v>34.89</v>
      </c>
    </row>
    <row r="436" spans="1:11" ht="12.75" x14ac:dyDescent="0.2">
      <c r="A436" s="2">
        <v>42539</v>
      </c>
      <c r="B436" s="2" t="str">
        <f>TEXT(Table1[[#This Row],[Order Date]],"MMM")</f>
        <v>Jun</v>
      </c>
      <c r="C436" s="2" t="str">
        <f t="shared" si="6"/>
        <v>2016</v>
      </c>
      <c r="D436" s="1" t="s">
        <v>539</v>
      </c>
      <c r="E436" s="1" t="s">
        <v>68</v>
      </c>
      <c r="F436" s="1" t="s">
        <v>11</v>
      </c>
      <c r="G436" s="1" t="s">
        <v>18</v>
      </c>
      <c r="H436" s="1" t="s">
        <v>466</v>
      </c>
      <c r="I436" s="1">
        <v>646.78</v>
      </c>
      <c r="J436" s="1">
        <v>9</v>
      </c>
      <c r="K436" s="1">
        <v>-145.52000000000001</v>
      </c>
    </row>
    <row r="437" spans="1:11" ht="12.75" x14ac:dyDescent="0.2">
      <c r="A437" s="2">
        <v>41838</v>
      </c>
      <c r="B437" s="2" t="str">
        <f>TEXT(Table1[[#This Row],[Order Date]],"MMM")</f>
        <v>Jul</v>
      </c>
      <c r="C437" s="2" t="str">
        <f t="shared" si="6"/>
        <v>2014</v>
      </c>
      <c r="D437" s="1" t="s">
        <v>329</v>
      </c>
      <c r="E437" s="1" t="s">
        <v>133</v>
      </c>
      <c r="F437" s="1" t="s">
        <v>33</v>
      </c>
      <c r="G437" s="1" t="s">
        <v>117</v>
      </c>
      <c r="H437" s="1" t="s">
        <v>328</v>
      </c>
      <c r="I437" s="1">
        <v>1618.37</v>
      </c>
      <c r="J437" s="1">
        <v>13</v>
      </c>
      <c r="K437" s="1">
        <v>356.04</v>
      </c>
    </row>
    <row r="438" spans="1:11" ht="12.75" x14ac:dyDescent="0.2">
      <c r="A438" s="2">
        <v>42203</v>
      </c>
      <c r="B438" s="2" t="str">
        <f>TEXT(Table1[[#This Row],[Order Date]],"MMM")</f>
        <v>Jul</v>
      </c>
      <c r="C438" s="2" t="str">
        <f t="shared" si="6"/>
        <v>2015</v>
      </c>
      <c r="D438" s="1" t="s">
        <v>125</v>
      </c>
      <c r="E438" s="1" t="s">
        <v>51</v>
      </c>
      <c r="F438" s="1" t="s">
        <v>11</v>
      </c>
      <c r="G438" s="1" t="s">
        <v>80</v>
      </c>
      <c r="H438" s="1" t="s">
        <v>1006</v>
      </c>
      <c r="I438" s="1">
        <v>194.32</v>
      </c>
      <c r="J438" s="1">
        <v>4</v>
      </c>
      <c r="K438" s="1">
        <v>56.35</v>
      </c>
    </row>
    <row r="439" spans="1:11" ht="12.75" x14ac:dyDescent="0.2">
      <c r="A439" s="2">
        <v>42600</v>
      </c>
      <c r="B439" s="2" t="str">
        <f>TEXT(Table1[[#This Row],[Order Date]],"MMM")</f>
        <v>Aug</v>
      </c>
      <c r="C439" s="2" t="str">
        <f t="shared" si="6"/>
        <v>2016</v>
      </c>
      <c r="D439" s="1" t="s">
        <v>975</v>
      </c>
      <c r="E439" s="1" t="s">
        <v>68</v>
      </c>
      <c r="F439" s="1" t="s">
        <v>11</v>
      </c>
      <c r="G439" s="1" t="s">
        <v>42</v>
      </c>
      <c r="H439" s="1" t="s">
        <v>877</v>
      </c>
      <c r="I439" s="1">
        <v>5.58</v>
      </c>
      <c r="J439" s="1">
        <v>2</v>
      </c>
      <c r="K439" s="1">
        <v>1.81</v>
      </c>
    </row>
    <row r="440" spans="1:11" ht="12.75" x14ac:dyDescent="0.2">
      <c r="A440" s="2">
        <v>42965</v>
      </c>
      <c r="B440" s="2" t="str">
        <f>TEXT(Table1[[#This Row],[Order Date]],"MMM")</f>
        <v>Aug</v>
      </c>
      <c r="C440" s="2" t="str">
        <f t="shared" si="6"/>
        <v>2017</v>
      </c>
      <c r="D440" s="1" t="s">
        <v>917</v>
      </c>
      <c r="E440" s="1" t="s">
        <v>23</v>
      </c>
      <c r="F440" s="1" t="s">
        <v>33</v>
      </c>
      <c r="G440" s="1" t="s">
        <v>44</v>
      </c>
      <c r="H440" s="1" t="s">
        <v>875</v>
      </c>
      <c r="I440" s="1">
        <v>547.14</v>
      </c>
      <c r="J440" s="1">
        <v>4</v>
      </c>
      <c r="K440" s="1">
        <v>-68.39</v>
      </c>
    </row>
    <row r="441" spans="1:11" ht="12.75" x14ac:dyDescent="0.2">
      <c r="A441" s="2">
        <v>42265</v>
      </c>
      <c r="B441" s="2" t="str">
        <f>TEXT(Table1[[#This Row],[Order Date]],"MMM")</f>
        <v>Sep</v>
      </c>
      <c r="C441" s="2" t="str">
        <f t="shared" si="6"/>
        <v>2015</v>
      </c>
      <c r="D441" s="1" t="s">
        <v>404</v>
      </c>
      <c r="E441" s="1" t="s">
        <v>10</v>
      </c>
      <c r="F441" s="1" t="s">
        <v>11</v>
      </c>
      <c r="G441" s="1" t="s">
        <v>58</v>
      </c>
      <c r="H441" s="1" t="s">
        <v>1251</v>
      </c>
      <c r="I441" s="1">
        <v>113.33</v>
      </c>
      <c r="J441" s="1">
        <v>9</v>
      </c>
      <c r="K441" s="1">
        <v>35.42</v>
      </c>
    </row>
    <row r="442" spans="1:11" ht="12.75" x14ac:dyDescent="0.2">
      <c r="A442" s="2">
        <v>42631</v>
      </c>
      <c r="B442" s="2" t="str">
        <f>TEXT(Table1[[#This Row],[Order Date]],"MMM")</f>
        <v>Sep</v>
      </c>
      <c r="C442" s="2" t="str">
        <f t="shared" si="6"/>
        <v>2016</v>
      </c>
      <c r="D442" s="1" t="s">
        <v>901</v>
      </c>
      <c r="E442" s="1" t="s">
        <v>119</v>
      </c>
      <c r="F442" s="1" t="s">
        <v>11</v>
      </c>
      <c r="G442" s="1" t="s">
        <v>157</v>
      </c>
      <c r="H442" s="1" t="s">
        <v>696</v>
      </c>
      <c r="I442" s="1">
        <v>6.36</v>
      </c>
      <c r="J442" s="1">
        <v>2</v>
      </c>
      <c r="K442" s="1">
        <v>0.06</v>
      </c>
    </row>
    <row r="443" spans="1:11" ht="12.75" x14ac:dyDescent="0.2">
      <c r="A443" s="2">
        <v>41930</v>
      </c>
      <c r="B443" s="2" t="str">
        <f>TEXT(Table1[[#This Row],[Order Date]],"MMM")</f>
        <v>Oct</v>
      </c>
      <c r="C443" s="2" t="str">
        <f t="shared" si="6"/>
        <v>2014</v>
      </c>
      <c r="D443" s="1" t="s">
        <v>189</v>
      </c>
      <c r="E443" s="1" t="s">
        <v>27</v>
      </c>
      <c r="F443" s="1" t="s">
        <v>11</v>
      </c>
      <c r="G443" s="1" t="s">
        <v>12</v>
      </c>
      <c r="H443" s="1" t="s">
        <v>685</v>
      </c>
      <c r="I443" s="1">
        <v>68.52</v>
      </c>
      <c r="J443" s="1">
        <v>3</v>
      </c>
      <c r="K443" s="1">
        <v>31.52</v>
      </c>
    </row>
    <row r="444" spans="1:11" ht="12.75" x14ac:dyDescent="0.2">
      <c r="A444" s="2">
        <v>42295</v>
      </c>
      <c r="B444" s="2" t="str">
        <f>TEXT(Table1[[#This Row],[Order Date]],"MMM")</f>
        <v>Oct</v>
      </c>
      <c r="C444" s="2" t="str">
        <f t="shared" si="6"/>
        <v>2015</v>
      </c>
      <c r="D444" s="1" t="s">
        <v>279</v>
      </c>
      <c r="E444" s="1" t="s">
        <v>336</v>
      </c>
      <c r="F444" s="1" t="s">
        <v>11</v>
      </c>
      <c r="G444" s="1" t="s">
        <v>20</v>
      </c>
      <c r="H444" s="1" t="s">
        <v>36</v>
      </c>
      <c r="I444" s="1">
        <v>487.98</v>
      </c>
      <c r="J444" s="1">
        <v>2</v>
      </c>
      <c r="K444" s="1">
        <v>152.5</v>
      </c>
    </row>
    <row r="445" spans="1:11" ht="12.75" x14ac:dyDescent="0.2">
      <c r="A445" s="2">
        <v>41961</v>
      </c>
      <c r="B445" s="2" t="str">
        <f>TEXT(Table1[[#This Row],[Order Date]],"MMM")</f>
        <v>Nov</v>
      </c>
      <c r="C445" s="2" t="str">
        <f t="shared" si="6"/>
        <v>2014</v>
      </c>
      <c r="D445" s="1" t="s">
        <v>1191</v>
      </c>
      <c r="E445" s="1" t="s">
        <v>343</v>
      </c>
      <c r="F445" s="1" t="s">
        <v>33</v>
      </c>
      <c r="G445" s="1" t="s">
        <v>65</v>
      </c>
      <c r="H445" s="1" t="s">
        <v>1158</v>
      </c>
      <c r="I445" s="1">
        <v>173.94</v>
      </c>
      <c r="J445" s="1">
        <v>3</v>
      </c>
      <c r="K445" s="1">
        <v>38.270000000000003</v>
      </c>
    </row>
    <row r="446" spans="1:11" ht="12.75" x14ac:dyDescent="0.2">
      <c r="A446" s="2">
        <v>42692</v>
      </c>
      <c r="B446" s="2" t="str">
        <f>TEXT(Table1[[#This Row],[Order Date]],"MMM")</f>
        <v>Nov</v>
      </c>
      <c r="C446" s="2" t="str">
        <f t="shared" si="6"/>
        <v>2016</v>
      </c>
      <c r="D446" s="1" t="s">
        <v>427</v>
      </c>
      <c r="E446" s="1" t="s">
        <v>100</v>
      </c>
      <c r="F446" s="1" t="s">
        <v>38</v>
      </c>
      <c r="G446" s="1" t="s">
        <v>48</v>
      </c>
      <c r="H446" s="1" t="s">
        <v>1253</v>
      </c>
      <c r="I446" s="1">
        <v>191.47</v>
      </c>
      <c r="J446" s="1">
        <v>6</v>
      </c>
      <c r="K446" s="1">
        <v>40.69</v>
      </c>
    </row>
    <row r="447" spans="1:11" ht="12.75" x14ac:dyDescent="0.2">
      <c r="A447" s="2">
        <v>42356</v>
      </c>
      <c r="B447" s="2" t="str">
        <f>TEXT(Table1[[#This Row],[Order Date]],"MMM")</f>
        <v>Dec</v>
      </c>
      <c r="C447" s="2" t="str">
        <f t="shared" si="6"/>
        <v>2015</v>
      </c>
      <c r="D447" s="1" t="s">
        <v>476</v>
      </c>
      <c r="E447" s="1" t="s">
        <v>27</v>
      </c>
      <c r="F447" s="1" t="s">
        <v>11</v>
      </c>
      <c r="G447" s="1" t="s">
        <v>24</v>
      </c>
      <c r="H447" s="1" t="s">
        <v>1052</v>
      </c>
      <c r="I447" s="1">
        <v>34.58</v>
      </c>
      <c r="J447" s="1">
        <v>1</v>
      </c>
      <c r="K447" s="1">
        <v>10.029999999999999</v>
      </c>
    </row>
    <row r="448" spans="1:11" ht="12.75" x14ac:dyDescent="0.2">
      <c r="A448" s="2">
        <v>42722</v>
      </c>
      <c r="B448" s="2" t="str">
        <f>TEXT(Table1[[#This Row],[Order Date]],"MMM")</f>
        <v>Dec</v>
      </c>
      <c r="C448" s="2" t="str">
        <f t="shared" si="6"/>
        <v>2016</v>
      </c>
      <c r="D448" s="1" t="s">
        <v>29</v>
      </c>
      <c r="E448" s="1" t="s">
        <v>126</v>
      </c>
      <c r="F448" s="1" t="s">
        <v>33</v>
      </c>
      <c r="G448" s="1" t="s">
        <v>65</v>
      </c>
      <c r="H448" s="1" t="s">
        <v>898</v>
      </c>
      <c r="I448" s="1">
        <v>1565.88</v>
      </c>
      <c r="J448" s="1">
        <v>6</v>
      </c>
      <c r="K448" s="1">
        <v>407.13</v>
      </c>
    </row>
    <row r="449" spans="1:11" ht="12.75" x14ac:dyDescent="0.2">
      <c r="A449" s="2">
        <v>41658</v>
      </c>
      <c r="B449" s="2" t="str">
        <f>TEXT(Table1[[#This Row],[Order Date]],"MMM")</f>
        <v>Jan</v>
      </c>
      <c r="C449" s="2" t="str">
        <f t="shared" ref="C449:C512" si="7">TEXT(A449,"YYY")</f>
        <v>2014</v>
      </c>
      <c r="D449" s="1" t="s">
        <v>380</v>
      </c>
      <c r="E449" s="1" t="s">
        <v>27</v>
      </c>
      <c r="F449" s="1" t="s">
        <v>38</v>
      </c>
      <c r="G449" s="1" t="s">
        <v>48</v>
      </c>
      <c r="H449" s="1" t="s">
        <v>1255</v>
      </c>
      <c r="I449" s="1">
        <v>349.95</v>
      </c>
      <c r="J449" s="1">
        <v>5</v>
      </c>
      <c r="K449" s="1">
        <v>118.98</v>
      </c>
    </row>
    <row r="450" spans="1:11" ht="12.75" x14ac:dyDescent="0.2">
      <c r="A450" s="2">
        <v>42754</v>
      </c>
      <c r="B450" s="2" t="str">
        <f>TEXT(Table1[[#This Row],[Order Date]],"MMM")</f>
        <v>Jan</v>
      </c>
      <c r="C450" s="2" t="str">
        <f t="shared" si="7"/>
        <v>2017</v>
      </c>
      <c r="D450" s="1" t="s">
        <v>299</v>
      </c>
      <c r="E450" s="1" t="s">
        <v>133</v>
      </c>
      <c r="F450" s="1" t="s">
        <v>33</v>
      </c>
      <c r="G450" s="1" t="s">
        <v>44</v>
      </c>
      <c r="H450" s="1" t="s">
        <v>443</v>
      </c>
      <c r="I450" s="1">
        <v>79.92</v>
      </c>
      <c r="J450" s="1">
        <v>4</v>
      </c>
      <c r="K450" s="1">
        <v>34.369999999999997</v>
      </c>
    </row>
    <row r="451" spans="1:11" ht="12.75" x14ac:dyDescent="0.2">
      <c r="A451" s="2">
        <v>42785</v>
      </c>
      <c r="B451" s="2" t="str">
        <f>TEXT(Table1[[#This Row],[Order Date]],"MMM")</f>
        <v>Feb</v>
      </c>
      <c r="C451" s="2" t="str">
        <f t="shared" si="7"/>
        <v>2017</v>
      </c>
      <c r="D451" s="1" t="s">
        <v>1105</v>
      </c>
      <c r="E451" s="1" t="s">
        <v>186</v>
      </c>
      <c r="F451" s="1" t="s">
        <v>11</v>
      </c>
      <c r="G451" s="1" t="s">
        <v>12</v>
      </c>
      <c r="H451" s="1" t="s">
        <v>900</v>
      </c>
      <c r="I451" s="1">
        <v>89.57</v>
      </c>
      <c r="J451" s="1">
        <v>2</v>
      </c>
      <c r="K451" s="1">
        <v>32.47</v>
      </c>
    </row>
    <row r="452" spans="1:11" ht="12.75" x14ac:dyDescent="0.2">
      <c r="A452" s="2">
        <v>41717</v>
      </c>
      <c r="B452" s="2" t="str">
        <f>TEXT(Table1[[#This Row],[Order Date]],"MMM")</f>
        <v>Mar</v>
      </c>
      <c r="C452" s="2" t="str">
        <f t="shared" si="7"/>
        <v>2014</v>
      </c>
      <c r="D452" s="1" t="s">
        <v>463</v>
      </c>
      <c r="E452" s="1" t="s">
        <v>141</v>
      </c>
      <c r="F452" s="1" t="s">
        <v>11</v>
      </c>
      <c r="G452" s="1" t="s">
        <v>58</v>
      </c>
      <c r="H452" s="1" t="s">
        <v>941</v>
      </c>
      <c r="I452" s="1">
        <v>52.34</v>
      </c>
      <c r="J452" s="1">
        <v>2</v>
      </c>
      <c r="K452" s="1">
        <v>24.6</v>
      </c>
    </row>
    <row r="453" spans="1:11" ht="12.75" x14ac:dyDescent="0.2">
      <c r="A453" s="2">
        <v>42082</v>
      </c>
      <c r="B453" s="2" t="str">
        <f>TEXT(Table1[[#This Row],[Order Date]],"MMM")</f>
        <v>Mar</v>
      </c>
      <c r="C453" s="2" t="str">
        <f t="shared" si="7"/>
        <v>2015</v>
      </c>
      <c r="D453" s="1" t="s">
        <v>1183</v>
      </c>
      <c r="E453" s="1" t="s">
        <v>441</v>
      </c>
      <c r="F453" s="1" t="s">
        <v>33</v>
      </c>
      <c r="G453" s="1" t="s">
        <v>44</v>
      </c>
      <c r="H453" s="1" t="s">
        <v>1236</v>
      </c>
      <c r="I453" s="1">
        <v>322.58999999999997</v>
      </c>
      <c r="J453" s="1">
        <v>3</v>
      </c>
      <c r="K453" s="1">
        <v>64.52</v>
      </c>
    </row>
    <row r="454" spans="1:11" ht="12.75" x14ac:dyDescent="0.2">
      <c r="A454" s="2">
        <v>42448</v>
      </c>
      <c r="B454" s="2" t="str">
        <f>TEXT(Table1[[#This Row],[Order Date]],"MMM")</f>
        <v>Mar</v>
      </c>
      <c r="C454" s="2" t="str">
        <f t="shared" si="7"/>
        <v>2016</v>
      </c>
      <c r="D454" s="1" t="s">
        <v>1222</v>
      </c>
      <c r="E454" s="1" t="s">
        <v>27</v>
      </c>
      <c r="F454" s="1" t="s">
        <v>33</v>
      </c>
      <c r="G454" s="1" t="s">
        <v>44</v>
      </c>
      <c r="H454" s="1" t="s">
        <v>634</v>
      </c>
      <c r="I454" s="1">
        <v>59.99</v>
      </c>
      <c r="J454" s="1">
        <v>7</v>
      </c>
      <c r="K454" s="1">
        <v>21.6</v>
      </c>
    </row>
    <row r="455" spans="1:11" ht="12.75" x14ac:dyDescent="0.2">
      <c r="A455" s="2">
        <v>42813</v>
      </c>
      <c r="B455" s="2" t="str">
        <f>TEXT(Table1[[#This Row],[Order Date]],"MMM")</f>
        <v>Mar</v>
      </c>
      <c r="C455" s="2" t="str">
        <f t="shared" si="7"/>
        <v>2017</v>
      </c>
      <c r="D455" s="1" t="s">
        <v>775</v>
      </c>
      <c r="E455" s="1" t="s">
        <v>226</v>
      </c>
      <c r="F455" s="1" t="s">
        <v>11</v>
      </c>
      <c r="G455" s="1" t="s">
        <v>20</v>
      </c>
      <c r="H455" s="1" t="s">
        <v>1072</v>
      </c>
      <c r="I455" s="1">
        <v>31.36</v>
      </c>
      <c r="J455" s="1">
        <v>4</v>
      </c>
      <c r="K455" s="1">
        <v>15.68</v>
      </c>
    </row>
    <row r="456" spans="1:11" ht="12.75" x14ac:dyDescent="0.2">
      <c r="A456" s="2">
        <v>41748</v>
      </c>
      <c r="B456" s="2" t="str">
        <f>TEXT(Table1[[#This Row],[Order Date]],"MMM")</f>
        <v>Apr</v>
      </c>
      <c r="C456" s="2" t="str">
        <f t="shared" si="7"/>
        <v>2014</v>
      </c>
      <c r="D456" s="1" t="s">
        <v>1257</v>
      </c>
      <c r="E456" s="1" t="s">
        <v>141</v>
      </c>
      <c r="F456" s="1" t="s">
        <v>11</v>
      </c>
      <c r="G456" s="1" t="s">
        <v>24</v>
      </c>
      <c r="H456" s="1" t="s">
        <v>1258</v>
      </c>
      <c r="I456" s="1">
        <v>9.2100000000000009</v>
      </c>
      <c r="J456" s="1">
        <v>3</v>
      </c>
      <c r="K456" s="1">
        <v>2.2999999999999998</v>
      </c>
    </row>
    <row r="457" spans="1:11" ht="12.75" x14ac:dyDescent="0.2">
      <c r="A457" s="2">
        <v>42113</v>
      </c>
      <c r="B457" s="2" t="str">
        <f>TEXT(Table1[[#This Row],[Order Date]],"MMM")</f>
        <v>Apr</v>
      </c>
      <c r="C457" s="2" t="str">
        <f t="shared" si="7"/>
        <v>2015</v>
      </c>
      <c r="D457" s="1" t="s">
        <v>233</v>
      </c>
      <c r="E457" s="1" t="s">
        <v>27</v>
      </c>
      <c r="F457" s="1" t="s">
        <v>38</v>
      </c>
      <c r="G457" s="1" t="s">
        <v>39</v>
      </c>
      <c r="H457" s="1" t="s">
        <v>1198</v>
      </c>
      <c r="I457" s="1">
        <v>109.59</v>
      </c>
      <c r="J457" s="1">
        <v>1</v>
      </c>
      <c r="K457" s="1">
        <v>8.2200000000000006</v>
      </c>
    </row>
    <row r="458" spans="1:11" ht="12.75" x14ac:dyDescent="0.2">
      <c r="A458" s="2">
        <v>42479</v>
      </c>
      <c r="B458" s="2" t="str">
        <f>TEXT(Table1[[#This Row],[Order Date]],"MMM")</f>
        <v>Apr</v>
      </c>
      <c r="C458" s="2" t="str">
        <f t="shared" si="7"/>
        <v>2016</v>
      </c>
      <c r="D458" s="1" t="s">
        <v>140</v>
      </c>
      <c r="E458" s="1" t="s">
        <v>51</v>
      </c>
      <c r="F458" s="1" t="s">
        <v>11</v>
      </c>
      <c r="G458" s="1" t="s">
        <v>18</v>
      </c>
      <c r="H458" s="1" t="s">
        <v>374</v>
      </c>
      <c r="I458" s="1">
        <v>56.45</v>
      </c>
      <c r="J458" s="1">
        <v>5</v>
      </c>
      <c r="K458" s="1">
        <v>14.68</v>
      </c>
    </row>
    <row r="459" spans="1:11" ht="12.75" x14ac:dyDescent="0.2">
      <c r="A459" s="2">
        <v>41778</v>
      </c>
      <c r="B459" s="2" t="str">
        <f>TEXT(Table1[[#This Row],[Order Date]],"MMM")</f>
        <v>May</v>
      </c>
      <c r="C459" s="2" t="str">
        <f t="shared" si="7"/>
        <v>2014</v>
      </c>
      <c r="D459" s="1" t="s">
        <v>1004</v>
      </c>
      <c r="E459" s="1" t="s">
        <v>119</v>
      </c>
      <c r="F459" s="1" t="s">
        <v>11</v>
      </c>
      <c r="G459" s="1" t="s">
        <v>18</v>
      </c>
      <c r="H459" s="1" t="s">
        <v>1185</v>
      </c>
      <c r="I459" s="1">
        <v>117.96</v>
      </c>
      <c r="J459" s="1">
        <v>2</v>
      </c>
      <c r="K459" s="1">
        <v>5.9</v>
      </c>
    </row>
    <row r="460" spans="1:11" ht="12.75" x14ac:dyDescent="0.2">
      <c r="A460" s="2">
        <v>42509</v>
      </c>
      <c r="B460" s="2" t="str">
        <f>TEXT(Table1[[#This Row],[Order Date]],"MMM")</f>
        <v>May</v>
      </c>
      <c r="C460" s="2" t="str">
        <f t="shared" si="7"/>
        <v>2016</v>
      </c>
      <c r="D460" s="1" t="s">
        <v>123</v>
      </c>
      <c r="E460" s="1" t="s">
        <v>32</v>
      </c>
      <c r="F460" s="1" t="s">
        <v>33</v>
      </c>
      <c r="G460" s="1" t="s">
        <v>34</v>
      </c>
      <c r="H460" s="1" t="s">
        <v>422</v>
      </c>
      <c r="I460" s="1">
        <v>866.4</v>
      </c>
      <c r="J460" s="1">
        <v>4</v>
      </c>
      <c r="K460" s="1">
        <v>225.26</v>
      </c>
    </row>
    <row r="461" spans="1:11" ht="12.75" x14ac:dyDescent="0.2">
      <c r="A461" s="2">
        <v>42174</v>
      </c>
      <c r="B461" s="2" t="str">
        <f>TEXT(Table1[[#This Row],[Order Date]],"MMM")</f>
        <v>Jun</v>
      </c>
      <c r="C461" s="2" t="str">
        <f t="shared" si="7"/>
        <v>2015</v>
      </c>
      <c r="D461" s="1" t="s">
        <v>839</v>
      </c>
      <c r="E461" s="1" t="s">
        <v>82</v>
      </c>
      <c r="F461" s="1" t="s">
        <v>33</v>
      </c>
      <c r="G461" s="1" t="s">
        <v>44</v>
      </c>
      <c r="H461" s="1" t="s">
        <v>667</v>
      </c>
      <c r="I461" s="1">
        <v>14.37</v>
      </c>
      <c r="J461" s="1">
        <v>2</v>
      </c>
      <c r="K461" s="1">
        <v>3.95</v>
      </c>
    </row>
    <row r="462" spans="1:11" ht="12.75" x14ac:dyDescent="0.2">
      <c r="A462" s="2">
        <v>42905</v>
      </c>
      <c r="B462" s="2" t="str">
        <f>TEXT(Table1[[#This Row],[Order Date]],"MMM")</f>
        <v>Jun</v>
      </c>
      <c r="C462" s="2" t="str">
        <f t="shared" si="7"/>
        <v>2017</v>
      </c>
      <c r="D462" s="1" t="s">
        <v>281</v>
      </c>
      <c r="E462" s="1" t="s">
        <v>97</v>
      </c>
      <c r="F462" s="1" t="s">
        <v>33</v>
      </c>
      <c r="G462" s="1" t="s">
        <v>44</v>
      </c>
      <c r="H462" s="1" t="s">
        <v>418</v>
      </c>
      <c r="I462" s="1">
        <v>132.22</v>
      </c>
      <c r="J462" s="1">
        <v>4</v>
      </c>
      <c r="K462" s="1">
        <v>-18.18</v>
      </c>
    </row>
    <row r="463" spans="1:11" ht="12.75" x14ac:dyDescent="0.2">
      <c r="A463" s="2">
        <v>41839</v>
      </c>
      <c r="B463" s="2" t="str">
        <f>TEXT(Table1[[#This Row],[Order Date]],"MMM")</f>
        <v>Jul</v>
      </c>
      <c r="C463" s="2" t="str">
        <f t="shared" si="7"/>
        <v>2014</v>
      </c>
      <c r="D463" s="1" t="s">
        <v>255</v>
      </c>
      <c r="E463" s="1" t="s">
        <v>51</v>
      </c>
      <c r="F463" s="1" t="s">
        <v>38</v>
      </c>
      <c r="G463" s="1" t="s">
        <v>48</v>
      </c>
      <c r="H463" s="1" t="s">
        <v>1245</v>
      </c>
      <c r="I463" s="1">
        <v>100</v>
      </c>
      <c r="J463" s="1">
        <v>4</v>
      </c>
      <c r="K463" s="1">
        <v>21</v>
      </c>
    </row>
    <row r="464" spans="1:11" ht="12.75" x14ac:dyDescent="0.2">
      <c r="A464" s="2">
        <v>42204</v>
      </c>
      <c r="B464" s="2" t="str">
        <f>TEXT(Table1[[#This Row],[Order Date]],"MMM")</f>
        <v>Jul</v>
      </c>
      <c r="C464" s="2" t="str">
        <f t="shared" si="7"/>
        <v>2015</v>
      </c>
      <c r="D464" s="1" t="s">
        <v>1141</v>
      </c>
      <c r="E464" s="1" t="s">
        <v>186</v>
      </c>
      <c r="F464" s="1" t="s">
        <v>38</v>
      </c>
      <c r="G464" s="1" t="s">
        <v>39</v>
      </c>
      <c r="H464" s="1" t="s">
        <v>1171</v>
      </c>
      <c r="I464" s="1">
        <v>1127.98</v>
      </c>
      <c r="J464" s="1">
        <v>3</v>
      </c>
      <c r="K464" s="1">
        <v>126.9</v>
      </c>
    </row>
    <row r="465" spans="1:11" ht="12.75" x14ac:dyDescent="0.2">
      <c r="A465" s="2">
        <v>42570</v>
      </c>
      <c r="B465" s="2" t="str">
        <f>TEXT(Table1[[#This Row],[Order Date]],"MMM")</f>
        <v>Jul</v>
      </c>
      <c r="C465" s="2" t="str">
        <f t="shared" si="7"/>
        <v>2016</v>
      </c>
      <c r="D465" s="1" t="s">
        <v>329</v>
      </c>
      <c r="E465" s="1" t="s">
        <v>30</v>
      </c>
      <c r="F465" s="1" t="s">
        <v>11</v>
      </c>
      <c r="G465" s="1" t="s">
        <v>18</v>
      </c>
      <c r="H465" s="1" t="s">
        <v>883</v>
      </c>
      <c r="I465" s="1">
        <v>1350.12</v>
      </c>
      <c r="J465" s="1">
        <v>6</v>
      </c>
      <c r="K465" s="1">
        <v>175.52</v>
      </c>
    </row>
    <row r="466" spans="1:11" ht="12.75" x14ac:dyDescent="0.2">
      <c r="A466" s="2">
        <v>41870</v>
      </c>
      <c r="B466" s="2" t="str">
        <f>TEXT(Table1[[#This Row],[Order Date]],"MMM")</f>
        <v>Aug</v>
      </c>
      <c r="C466" s="2" t="str">
        <f t="shared" si="7"/>
        <v>2014</v>
      </c>
      <c r="D466" s="1" t="s">
        <v>410</v>
      </c>
      <c r="E466" s="1" t="s">
        <v>119</v>
      </c>
      <c r="F466" s="1" t="s">
        <v>11</v>
      </c>
      <c r="G466" s="1" t="s">
        <v>20</v>
      </c>
      <c r="H466" s="1" t="s">
        <v>424</v>
      </c>
      <c r="I466" s="1">
        <v>398.35</v>
      </c>
      <c r="J466" s="1">
        <v>3</v>
      </c>
      <c r="K466" s="1">
        <v>124.49</v>
      </c>
    </row>
    <row r="467" spans="1:11" ht="12.75" x14ac:dyDescent="0.2">
      <c r="A467" s="2">
        <v>41901</v>
      </c>
      <c r="B467" s="2" t="str">
        <f>TEXT(Table1[[#This Row],[Order Date]],"MMM")</f>
        <v>Sep</v>
      </c>
      <c r="C467" s="2" t="str">
        <f t="shared" si="7"/>
        <v>2014</v>
      </c>
      <c r="D467" s="1" t="s">
        <v>753</v>
      </c>
      <c r="E467" s="1" t="s">
        <v>15</v>
      </c>
      <c r="F467" s="1" t="s">
        <v>11</v>
      </c>
      <c r="G467" s="1" t="s">
        <v>80</v>
      </c>
      <c r="H467" s="1" t="s">
        <v>1262</v>
      </c>
      <c r="I467" s="1">
        <v>92.06</v>
      </c>
      <c r="J467" s="1">
        <v>6</v>
      </c>
      <c r="K467" s="1">
        <v>-225.56</v>
      </c>
    </row>
    <row r="468" spans="1:11" ht="12.75" x14ac:dyDescent="0.2">
      <c r="A468" s="2">
        <v>42632</v>
      </c>
      <c r="B468" s="2" t="str">
        <f>TEXT(Table1[[#This Row],[Order Date]],"MMM")</f>
        <v>Sep</v>
      </c>
      <c r="C468" s="2" t="str">
        <f t="shared" si="7"/>
        <v>2016</v>
      </c>
      <c r="D468" s="1" t="s">
        <v>960</v>
      </c>
      <c r="E468" s="1" t="s">
        <v>97</v>
      </c>
      <c r="F468" s="1" t="s">
        <v>11</v>
      </c>
      <c r="G468" s="1" t="s">
        <v>12</v>
      </c>
      <c r="H468" s="1" t="s">
        <v>1035</v>
      </c>
      <c r="I468" s="1">
        <v>16.5</v>
      </c>
      <c r="J468" s="1">
        <v>2</v>
      </c>
      <c r="K468" s="1">
        <v>5.57</v>
      </c>
    </row>
    <row r="469" spans="1:11" ht="12.75" x14ac:dyDescent="0.2">
      <c r="A469" s="2">
        <v>41931</v>
      </c>
      <c r="B469" s="2" t="str">
        <f>TEXT(Table1[[#This Row],[Order Date]],"MMM")</f>
        <v>Oct</v>
      </c>
      <c r="C469" s="2" t="str">
        <f t="shared" si="7"/>
        <v>2014</v>
      </c>
      <c r="D469" s="1" t="s">
        <v>958</v>
      </c>
      <c r="E469" s="1" t="s">
        <v>27</v>
      </c>
      <c r="F469" s="1" t="s">
        <v>38</v>
      </c>
      <c r="G469" s="1" t="s">
        <v>48</v>
      </c>
      <c r="H469" s="1" t="s">
        <v>444</v>
      </c>
      <c r="I469" s="1">
        <v>12.99</v>
      </c>
      <c r="J469" s="1">
        <v>1</v>
      </c>
      <c r="K469" s="1">
        <v>0.78</v>
      </c>
    </row>
    <row r="470" spans="1:11" ht="12.75" x14ac:dyDescent="0.2">
      <c r="A470" s="2">
        <v>42296</v>
      </c>
      <c r="B470" s="2" t="str">
        <f>TEXT(Table1[[#This Row],[Order Date]],"MMM")</f>
        <v>Oct</v>
      </c>
      <c r="C470" s="2" t="str">
        <f t="shared" si="7"/>
        <v>2015</v>
      </c>
      <c r="D470" s="1" t="s">
        <v>581</v>
      </c>
      <c r="E470" s="1" t="s">
        <v>126</v>
      </c>
      <c r="F470" s="1" t="s">
        <v>11</v>
      </c>
      <c r="G470" s="1" t="s">
        <v>80</v>
      </c>
      <c r="H470" s="1" t="s">
        <v>1034</v>
      </c>
      <c r="I470" s="1">
        <v>490.32</v>
      </c>
      <c r="J470" s="1">
        <v>9</v>
      </c>
      <c r="K470" s="1">
        <v>137.29</v>
      </c>
    </row>
    <row r="471" spans="1:11" ht="12.75" x14ac:dyDescent="0.2">
      <c r="A471" s="2">
        <v>41962</v>
      </c>
      <c r="B471" s="2" t="str">
        <f>TEXT(Table1[[#This Row],[Order Date]],"MMM")</f>
        <v>Nov</v>
      </c>
      <c r="C471" s="2" t="str">
        <f t="shared" si="7"/>
        <v>2014</v>
      </c>
      <c r="D471" s="1" t="s">
        <v>578</v>
      </c>
      <c r="E471" s="1" t="s">
        <v>23</v>
      </c>
      <c r="F471" s="1" t="s">
        <v>11</v>
      </c>
      <c r="G471" s="1" t="s">
        <v>58</v>
      </c>
      <c r="H471" s="1" t="s">
        <v>1067</v>
      </c>
      <c r="I471" s="1">
        <v>57.58</v>
      </c>
      <c r="J471" s="1">
        <v>3</v>
      </c>
      <c r="K471" s="1">
        <v>21.59</v>
      </c>
    </row>
    <row r="472" spans="1:11" ht="12.75" x14ac:dyDescent="0.2">
      <c r="A472" s="2">
        <v>43058</v>
      </c>
      <c r="B472" s="2" t="str">
        <f>TEXT(Table1[[#This Row],[Order Date]],"MMM")</f>
        <v>Nov</v>
      </c>
      <c r="C472" s="2" t="str">
        <f t="shared" si="7"/>
        <v>2017</v>
      </c>
      <c r="D472" s="1" t="s">
        <v>542</v>
      </c>
      <c r="E472" s="1" t="s">
        <v>119</v>
      </c>
      <c r="F472" s="1" t="s">
        <v>11</v>
      </c>
      <c r="G472" s="1" t="s">
        <v>80</v>
      </c>
      <c r="H472" s="1" t="s">
        <v>940</v>
      </c>
      <c r="I472" s="1">
        <v>170.88</v>
      </c>
      <c r="J472" s="1">
        <v>3</v>
      </c>
      <c r="K472" s="1">
        <v>49.56</v>
      </c>
    </row>
    <row r="473" spans="1:11" ht="12.75" x14ac:dyDescent="0.2">
      <c r="A473" s="2">
        <v>41992</v>
      </c>
      <c r="B473" s="2" t="str">
        <f>TEXT(Table1[[#This Row],[Order Date]],"MMM")</f>
        <v>Dec</v>
      </c>
      <c r="C473" s="2" t="str">
        <f t="shared" si="7"/>
        <v>2014</v>
      </c>
      <c r="D473" s="1" t="s">
        <v>497</v>
      </c>
      <c r="E473" s="1" t="s">
        <v>54</v>
      </c>
      <c r="F473" s="1" t="s">
        <v>11</v>
      </c>
      <c r="G473" s="1" t="s">
        <v>20</v>
      </c>
      <c r="H473" s="1" t="s">
        <v>448</v>
      </c>
      <c r="I473" s="1">
        <v>447.86</v>
      </c>
      <c r="J473" s="1">
        <v>7</v>
      </c>
      <c r="K473" s="1">
        <v>219.45</v>
      </c>
    </row>
    <row r="474" spans="1:11" ht="12.75" x14ac:dyDescent="0.2">
      <c r="A474" s="2">
        <v>42723</v>
      </c>
      <c r="B474" s="2" t="str">
        <f>TEXT(Table1[[#This Row],[Order Date]],"MMM")</f>
        <v>Dec</v>
      </c>
      <c r="C474" s="2" t="str">
        <f t="shared" si="7"/>
        <v>2016</v>
      </c>
      <c r="D474" s="1" t="s">
        <v>1026</v>
      </c>
      <c r="E474" s="1" t="s">
        <v>27</v>
      </c>
      <c r="F474" s="1" t="s">
        <v>11</v>
      </c>
      <c r="G474" s="1" t="s">
        <v>24</v>
      </c>
      <c r="H474" s="1" t="s">
        <v>1265</v>
      </c>
      <c r="I474" s="1">
        <v>16.989999999999998</v>
      </c>
      <c r="J474" s="1">
        <v>1</v>
      </c>
      <c r="K474" s="1">
        <v>4.93</v>
      </c>
    </row>
    <row r="475" spans="1:11" ht="12.75" x14ac:dyDescent="0.2">
      <c r="A475" s="2">
        <v>43088</v>
      </c>
      <c r="B475" s="2" t="str">
        <f>TEXT(Table1[[#This Row],[Order Date]],"MMM")</f>
        <v>Dec</v>
      </c>
      <c r="C475" s="2" t="str">
        <f t="shared" si="7"/>
        <v>2017</v>
      </c>
      <c r="D475" s="1" t="s">
        <v>1100</v>
      </c>
      <c r="E475" s="1" t="s">
        <v>23</v>
      </c>
      <c r="F475" s="1" t="s">
        <v>38</v>
      </c>
      <c r="G475" s="1" t="s">
        <v>39</v>
      </c>
      <c r="H475" s="1" t="s">
        <v>550</v>
      </c>
      <c r="I475" s="1">
        <v>431.94</v>
      </c>
      <c r="J475" s="1">
        <v>2</v>
      </c>
      <c r="K475" s="1">
        <v>-71.989999999999995</v>
      </c>
    </row>
    <row r="476" spans="1:11" ht="12.75" x14ac:dyDescent="0.2">
      <c r="A476" s="2">
        <v>41659</v>
      </c>
      <c r="B476" s="2" t="str">
        <f>TEXT(Table1[[#This Row],[Order Date]],"MMM")</f>
        <v>Jan</v>
      </c>
      <c r="C476" s="2" t="str">
        <f t="shared" si="7"/>
        <v>2014</v>
      </c>
      <c r="D476" s="1" t="s">
        <v>566</v>
      </c>
      <c r="E476" s="1" t="s">
        <v>10</v>
      </c>
      <c r="F476" s="1" t="s">
        <v>38</v>
      </c>
      <c r="G476" s="1" t="s">
        <v>39</v>
      </c>
      <c r="H476" s="1" t="s">
        <v>1266</v>
      </c>
      <c r="I476" s="1">
        <v>21.07</v>
      </c>
      <c r="J476" s="1">
        <v>3</v>
      </c>
      <c r="K476" s="1">
        <v>1.58</v>
      </c>
    </row>
    <row r="477" spans="1:11" ht="12.75" x14ac:dyDescent="0.2">
      <c r="A477" s="2">
        <v>41690</v>
      </c>
      <c r="B477" s="2" t="str">
        <f>TEXT(Table1[[#This Row],[Order Date]],"MMM")</f>
        <v>Feb</v>
      </c>
      <c r="C477" s="2" t="str">
        <f t="shared" si="7"/>
        <v>2014</v>
      </c>
      <c r="D477" s="1" t="s">
        <v>831</v>
      </c>
      <c r="E477" s="1" t="s">
        <v>100</v>
      </c>
      <c r="F477" s="1" t="s">
        <v>38</v>
      </c>
      <c r="G477" s="1" t="s">
        <v>39</v>
      </c>
      <c r="H477" s="1" t="s">
        <v>669</v>
      </c>
      <c r="I477" s="1">
        <v>1363.96</v>
      </c>
      <c r="J477" s="1">
        <v>5</v>
      </c>
      <c r="K477" s="1">
        <v>85.25</v>
      </c>
    </row>
    <row r="478" spans="1:11" ht="12.75" x14ac:dyDescent="0.2">
      <c r="A478" s="2">
        <v>42055</v>
      </c>
      <c r="B478" s="2" t="str">
        <f>TEXT(Table1[[#This Row],[Order Date]],"MMM")</f>
        <v>Feb</v>
      </c>
      <c r="C478" s="2" t="str">
        <f t="shared" si="7"/>
        <v>2015</v>
      </c>
      <c r="D478" s="1" t="s">
        <v>1267</v>
      </c>
      <c r="E478" s="1" t="s">
        <v>119</v>
      </c>
      <c r="F478" s="1" t="s">
        <v>33</v>
      </c>
      <c r="G478" s="1" t="s">
        <v>65</v>
      </c>
      <c r="H478" s="1" t="s">
        <v>486</v>
      </c>
      <c r="I478" s="1">
        <v>176.78</v>
      </c>
      <c r="J478" s="1">
        <v>1</v>
      </c>
      <c r="K478" s="1">
        <v>-22.1</v>
      </c>
    </row>
    <row r="479" spans="1:11" ht="12.75" x14ac:dyDescent="0.2">
      <c r="A479" s="2">
        <v>42420</v>
      </c>
      <c r="B479" s="2" t="str">
        <f>TEXT(Table1[[#This Row],[Order Date]],"MMM")</f>
        <v>Feb</v>
      </c>
      <c r="C479" s="2" t="str">
        <f t="shared" si="7"/>
        <v>2016</v>
      </c>
      <c r="D479" s="1" t="s">
        <v>1010</v>
      </c>
      <c r="E479" s="1" t="s">
        <v>82</v>
      </c>
      <c r="F479" s="1" t="s">
        <v>11</v>
      </c>
      <c r="G479" s="1" t="s">
        <v>80</v>
      </c>
      <c r="H479" s="1" t="s">
        <v>1269</v>
      </c>
      <c r="I479" s="1">
        <v>157.91999999999999</v>
      </c>
      <c r="J479" s="1">
        <v>5</v>
      </c>
      <c r="K479" s="1">
        <v>17.77</v>
      </c>
    </row>
    <row r="480" spans="1:11" ht="12.75" x14ac:dyDescent="0.2">
      <c r="A480" s="2">
        <v>42083</v>
      </c>
      <c r="B480" s="2" t="str">
        <f>TEXT(Table1[[#This Row],[Order Date]],"MMM")</f>
        <v>Mar</v>
      </c>
      <c r="C480" s="2" t="str">
        <f t="shared" si="7"/>
        <v>2015</v>
      </c>
      <c r="D480" s="1" t="s">
        <v>1270</v>
      </c>
      <c r="E480" s="1" t="s">
        <v>68</v>
      </c>
      <c r="F480" s="1" t="s">
        <v>33</v>
      </c>
      <c r="G480" s="1" t="s">
        <v>44</v>
      </c>
      <c r="H480" s="1" t="s">
        <v>296</v>
      </c>
      <c r="I480" s="1">
        <v>21.88</v>
      </c>
      <c r="J480" s="1">
        <v>5</v>
      </c>
      <c r="K480" s="1">
        <v>6.29</v>
      </c>
    </row>
    <row r="481" spans="1:11" ht="12.75" x14ac:dyDescent="0.2">
      <c r="A481" s="2">
        <v>42449</v>
      </c>
      <c r="B481" s="2" t="str">
        <f>TEXT(Table1[[#This Row],[Order Date]],"MMM")</f>
        <v>Mar</v>
      </c>
      <c r="C481" s="2" t="str">
        <f t="shared" si="7"/>
        <v>2016</v>
      </c>
      <c r="D481" s="1" t="s">
        <v>868</v>
      </c>
      <c r="E481" s="1" t="s">
        <v>23</v>
      </c>
      <c r="F481" s="1" t="s">
        <v>38</v>
      </c>
      <c r="G481" s="1" t="s">
        <v>48</v>
      </c>
      <c r="H481" s="1" t="s">
        <v>1271</v>
      </c>
      <c r="I481" s="1">
        <v>83.98</v>
      </c>
      <c r="J481" s="1">
        <v>3</v>
      </c>
      <c r="K481" s="1">
        <v>-13.65</v>
      </c>
    </row>
    <row r="482" spans="1:11" ht="12.75" x14ac:dyDescent="0.2">
      <c r="A482" s="2">
        <v>42814</v>
      </c>
      <c r="B482" s="2" t="str">
        <f>TEXT(Table1[[#This Row],[Order Date]],"MMM")</f>
        <v>Mar</v>
      </c>
      <c r="C482" s="2" t="str">
        <f t="shared" si="7"/>
        <v>2017</v>
      </c>
      <c r="D482" s="1" t="s">
        <v>1110</v>
      </c>
      <c r="E482" s="1" t="s">
        <v>97</v>
      </c>
      <c r="F482" s="1" t="s">
        <v>33</v>
      </c>
      <c r="G482" s="1" t="s">
        <v>117</v>
      </c>
      <c r="H482" s="1" t="s">
        <v>714</v>
      </c>
      <c r="I482" s="1">
        <v>189.88</v>
      </c>
      <c r="J482" s="1">
        <v>3</v>
      </c>
      <c r="K482" s="1">
        <v>-94.94</v>
      </c>
    </row>
    <row r="483" spans="1:11" ht="12.75" x14ac:dyDescent="0.2">
      <c r="A483" s="2">
        <v>41749</v>
      </c>
      <c r="B483" s="2" t="str">
        <f>TEXT(Table1[[#This Row],[Order Date]],"MMM")</f>
        <v>Apr</v>
      </c>
      <c r="C483" s="2" t="str">
        <f t="shared" si="7"/>
        <v>2014</v>
      </c>
      <c r="D483" s="1" t="s">
        <v>485</v>
      </c>
      <c r="E483" s="1" t="s">
        <v>199</v>
      </c>
      <c r="F483" s="1" t="s">
        <v>33</v>
      </c>
      <c r="G483" s="1" t="s">
        <v>65</v>
      </c>
      <c r="H483" s="1" t="s">
        <v>1272</v>
      </c>
      <c r="I483" s="1">
        <v>72.290000000000006</v>
      </c>
      <c r="J483" s="1">
        <v>1</v>
      </c>
      <c r="K483" s="1">
        <v>-98.8</v>
      </c>
    </row>
    <row r="484" spans="1:11" ht="12.75" x14ac:dyDescent="0.2">
      <c r="A484" s="2">
        <v>41779</v>
      </c>
      <c r="B484" s="2" t="str">
        <f>TEXT(Table1[[#This Row],[Order Date]],"MMM")</f>
        <v>May</v>
      </c>
      <c r="C484" s="2" t="str">
        <f t="shared" si="7"/>
        <v>2014</v>
      </c>
      <c r="D484" s="1" t="s">
        <v>831</v>
      </c>
      <c r="E484" s="1" t="s">
        <v>79</v>
      </c>
      <c r="F484" s="1" t="s">
        <v>38</v>
      </c>
      <c r="G484" s="1" t="s">
        <v>39</v>
      </c>
      <c r="H484" s="1" t="s">
        <v>1050</v>
      </c>
      <c r="I484" s="1">
        <v>84.78</v>
      </c>
      <c r="J484" s="1">
        <v>2</v>
      </c>
      <c r="K484" s="1">
        <v>-20.14</v>
      </c>
    </row>
    <row r="485" spans="1:11" ht="12.75" x14ac:dyDescent="0.2">
      <c r="A485" s="2">
        <v>42144</v>
      </c>
      <c r="B485" s="2" t="str">
        <f>TEXT(Table1[[#This Row],[Order Date]],"MMM")</f>
        <v>May</v>
      </c>
      <c r="C485" s="2" t="str">
        <f t="shared" si="7"/>
        <v>2015</v>
      </c>
      <c r="D485" s="1" t="s">
        <v>738</v>
      </c>
      <c r="E485" s="1" t="s">
        <v>15</v>
      </c>
      <c r="F485" s="1" t="s">
        <v>11</v>
      </c>
      <c r="G485" s="1" t="s">
        <v>20</v>
      </c>
      <c r="H485" s="1" t="s">
        <v>1273</v>
      </c>
      <c r="I485" s="1">
        <v>3.17</v>
      </c>
      <c r="J485" s="1">
        <v>2</v>
      </c>
      <c r="K485" s="1">
        <v>-4.75</v>
      </c>
    </row>
    <row r="486" spans="1:11" ht="12.75" x14ac:dyDescent="0.2">
      <c r="A486" s="2">
        <v>42510</v>
      </c>
      <c r="B486" s="2" t="str">
        <f>TEXT(Table1[[#This Row],[Order Date]],"MMM")</f>
        <v>May</v>
      </c>
      <c r="C486" s="2" t="str">
        <f t="shared" si="7"/>
        <v>2016</v>
      </c>
      <c r="D486" s="1" t="s">
        <v>700</v>
      </c>
      <c r="E486" s="1" t="s">
        <v>103</v>
      </c>
      <c r="F486" s="1" t="s">
        <v>38</v>
      </c>
      <c r="G486" s="1" t="s">
        <v>48</v>
      </c>
      <c r="H486" s="1" t="s">
        <v>419</v>
      </c>
      <c r="I486" s="1">
        <v>58.58</v>
      </c>
      <c r="J486" s="1">
        <v>2</v>
      </c>
      <c r="K486" s="1">
        <v>19.329999999999998</v>
      </c>
    </row>
    <row r="487" spans="1:11" ht="12.75" x14ac:dyDescent="0.2">
      <c r="A487" s="2">
        <v>42875</v>
      </c>
      <c r="B487" s="2" t="str">
        <f>TEXT(Table1[[#This Row],[Order Date]],"MMM")</f>
        <v>May</v>
      </c>
      <c r="C487" s="2" t="str">
        <f t="shared" si="7"/>
        <v>2017</v>
      </c>
      <c r="D487" s="1" t="s">
        <v>1199</v>
      </c>
      <c r="E487" s="1" t="s">
        <v>79</v>
      </c>
      <c r="F487" s="1" t="s">
        <v>38</v>
      </c>
      <c r="G487" s="1" t="s">
        <v>39</v>
      </c>
      <c r="H487" s="1" t="s">
        <v>675</v>
      </c>
      <c r="I487" s="1">
        <v>403.17</v>
      </c>
      <c r="J487" s="1">
        <v>4</v>
      </c>
      <c r="K487" s="1">
        <v>25.2</v>
      </c>
    </row>
    <row r="488" spans="1:11" ht="12.75" x14ac:dyDescent="0.2">
      <c r="A488" s="2">
        <v>41810</v>
      </c>
      <c r="B488" s="2" t="str">
        <f>TEXT(Table1[[#This Row],[Order Date]],"MMM")</f>
        <v>Jun</v>
      </c>
      <c r="C488" s="2" t="str">
        <f t="shared" si="7"/>
        <v>2014</v>
      </c>
      <c r="D488" s="1" t="s">
        <v>522</v>
      </c>
      <c r="E488" s="1" t="s">
        <v>517</v>
      </c>
      <c r="F488" s="1" t="s">
        <v>38</v>
      </c>
      <c r="G488" s="1" t="s">
        <v>48</v>
      </c>
      <c r="H488" s="1" t="s">
        <v>912</v>
      </c>
      <c r="I488" s="1">
        <v>1287.45</v>
      </c>
      <c r="J488" s="1">
        <v>5</v>
      </c>
      <c r="K488" s="1">
        <v>244.62</v>
      </c>
    </row>
    <row r="489" spans="1:11" ht="12.75" x14ac:dyDescent="0.2">
      <c r="A489" s="2">
        <v>42175</v>
      </c>
      <c r="B489" s="2" t="str">
        <f>TEXT(Table1[[#This Row],[Order Date]],"MMM")</f>
        <v>Jun</v>
      </c>
      <c r="C489" s="2" t="str">
        <f t="shared" si="7"/>
        <v>2015</v>
      </c>
      <c r="D489" s="1" t="s">
        <v>377</v>
      </c>
      <c r="E489" s="1" t="s">
        <v>30</v>
      </c>
      <c r="F489" s="1" t="s">
        <v>33</v>
      </c>
      <c r="G489" s="1" t="s">
        <v>44</v>
      </c>
      <c r="H489" s="1" t="s">
        <v>1263</v>
      </c>
      <c r="I489" s="1">
        <v>20.239999999999998</v>
      </c>
      <c r="J489" s="1">
        <v>1</v>
      </c>
      <c r="K489" s="1">
        <v>8.6999999999999993</v>
      </c>
    </row>
    <row r="490" spans="1:11" ht="12.75" x14ac:dyDescent="0.2">
      <c r="A490" s="2">
        <v>42541</v>
      </c>
      <c r="B490" s="2" t="str">
        <f>TEXT(Table1[[#This Row],[Order Date]],"MMM")</f>
        <v>Jun</v>
      </c>
      <c r="C490" s="2" t="str">
        <f t="shared" si="7"/>
        <v>2016</v>
      </c>
      <c r="D490" s="1" t="s">
        <v>639</v>
      </c>
      <c r="E490" s="1" t="s">
        <v>51</v>
      </c>
      <c r="F490" s="1" t="s">
        <v>11</v>
      </c>
      <c r="G490" s="1" t="s">
        <v>18</v>
      </c>
      <c r="H490" s="1" t="s">
        <v>1221</v>
      </c>
      <c r="I490" s="1">
        <v>31.4</v>
      </c>
      <c r="J490" s="1">
        <v>2</v>
      </c>
      <c r="K490" s="1">
        <v>7.85</v>
      </c>
    </row>
    <row r="491" spans="1:11" ht="12.75" x14ac:dyDescent="0.2">
      <c r="A491" s="2">
        <v>41840</v>
      </c>
      <c r="B491" s="2" t="str">
        <f>TEXT(Table1[[#This Row],[Order Date]],"MMM")</f>
        <v>Jul</v>
      </c>
      <c r="C491" s="2" t="str">
        <f t="shared" si="7"/>
        <v>2014</v>
      </c>
      <c r="D491" s="1" t="s">
        <v>31</v>
      </c>
      <c r="E491" s="1" t="s">
        <v>15</v>
      </c>
      <c r="F491" s="1" t="s">
        <v>11</v>
      </c>
      <c r="G491" s="1" t="s">
        <v>12</v>
      </c>
      <c r="H491" s="1" t="s">
        <v>1016</v>
      </c>
      <c r="I491" s="1">
        <v>45.53</v>
      </c>
      <c r="J491" s="1">
        <v>3</v>
      </c>
      <c r="K491" s="1">
        <v>15.93</v>
      </c>
    </row>
    <row r="492" spans="1:11" ht="12.75" x14ac:dyDescent="0.2">
      <c r="A492" s="2">
        <v>42205</v>
      </c>
      <c r="B492" s="2" t="str">
        <f>TEXT(Table1[[#This Row],[Order Date]],"MMM")</f>
        <v>Jul</v>
      </c>
      <c r="C492" s="2" t="str">
        <f t="shared" si="7"/>
        <v>2015</v>
      </c>
      <c r="D492" s="1" t="s">
        <v>492</v>
      </c>
      <c r="E492" s="1" t="s">
        <v>23</v>
      </c>
      <c r="F492" s="1" t="s">
        <v>38</v>
      </c>
      <c r="G492" s="1" t="s">
        <v>39</v>
      </c>
      <c r="H492" s="1" t="s">
        <v>1235</v>
      </c>
      <c r="I492" s="1">
        <v>280.77999999999997</v>
      </c>
      <c r="J492" s="1">
        <v>3</v>
      </c>
      <c r="K492" s="1">
        <v>-60.84</v>
      </c>
    </row>
    <row r="493" spans="1:11" ht="12.75" x14ac:dyDescent="0.2">
      <c r="A493" s="2">
        <v>42571</v>
      </c>
      <c r="B493" s="2" t="str">
        <f>TEXT(Table1[[#This Row],[Order Date]],"MMM")</f>
        <v>Jul</v>
      </c>
      <c r="C493" s="2" t="str">
        <f t="shared" si="7"/>
        <v>2016</v>
      </c>
      <c r="D493" s="1" t="s">
        <v>982</v>
      </c>
      <c r="E493" s="1" t="s">
        <v>126</v>
      </c>
      <c r="F493" s="1" t="s">
        <v>33</v>
      </c>
      <c r="G493" s="1" t="s">
        <v>34</v>
      </c>
      <c r="H493" s="1" t="s">
        <v>945</v>
      </c>
      <c r="I493" s="1">
        <v>1454.9</v>
      </c>
      <c r="J493" s="1">
        <v>5</v>
      </c>
      <c r="K493" s="1">
        <v>378.27</v>
      </c>
    </row>
    <row r="494" spans="1:11" ht="12.75" x14ac:dyDescent="0.2">
      <c r="A494" s="2">
        <v>41871</v>
      </c>
      <c r="B494" s="2" t="str">
        <f>TEXT(Table1[[#This Row],[Order Date]],"MMM")</f>
        <v>Aug</v>
      </c>
      <c r="C494" s="2" t="str">
        <f t="shared" si="7"/>
        <v>2014</v>
      </c>
      <c r="D494" s="1" t="s">
        <v>492</v>
      </c>
      <c r="E494" s="1" t="s">
        <v>23</v>
      </c>
      <c r="F494" s="1" t="s">
        <v>11</v>
      </c>
      <c r="G494" s="1" t="s">
        <v>20</v>
      </c>
      <c r="H494" s="1" t="s">
        <v>1091</v>
      </c>
      <c r="I494" s="1">
        <v>99.85</v>
      </c>
      <c r="J494" s="1">
        <v>9</v>
      </c>
      <c r="K494" s="1">
        <v>-83.21</v>
      </c>
    </row>
    <row r="495" spans="1:11" ht="12.75" x14ac:dyDescent="0.2">
      <c r="A495" s="2">
        <v>42602</v>
      </c>
      <c r="B495" s="2" t="str">
        <f>TEXT(Table1[[#This Row],[Order Date]],"MMM")</f>
        <v>Aug</v>
      </c>
      <c r="C495" s="2" t="str">
        <f t="shared" si="7"/>
        <v>2016</v>
      </c>
      <c r="D495" s="1" t="s">
        <v>31</v>
      </c>
      <c r="E495" s="1" t="s">
        <v>51</v>
      </c>
      <c r="F495" s="1" t="s">
        <v>38</v>
      </c>
      <c r="G495" s="1" t="s">
        <v>39</v>
      </c>
      <c r="H495" s="1" t="s">
        <v>1261</v>
      </c>
      <c r="I495" s="1">
        <v>149.97</v>
      </c>
      <c r="J495" s="1">
        <v>3</v>
      </c>
      <c r="K495" s="1">
        <v>6</v>
      </c>
    </row>
    <row r="496" spans="1:11" ht="12.75" x14ac:dyDescent="0.2">
      <c r="A496" s="2">
        <v>41902</v>
      </c>
      <c r="B496" s="2" t="str">
        <f>TEXT(Table1[[#This Row],[Order Date]],"MMM")</f>
        <v>Sep</v>
      </c>
      <c r="C496" s="2" t="str">
        <f t="shared" si="7"/>
        <v>2014</v>
      </c>
      <c r="D496" s="1" t="s">
        <v>335</v>
      </c>
      <c r="E496" s="1" t="s">
        <v>10</v>
      </c>
      <c r="F496" s="1" t="s">
        <v>11</v>
      </c>
      <c r="G496" s="1" t="s">
        <v>18</v>
      </c>
      <c r="H496" s="1" t="s">
        <v>400</v>
      </c>
      <c r="I496" s="1">
        <v>158.37</v>
      </c>
      <c r="J496" s="1">
        <v>7</v>
      </c>
      <c r="K496" s="1">
        <v>13.86</v>
      </c>
    </row>
    <row r="497" spans="1:11" ht="12.75" x14ac:dyDescent="0.2">
      <c r="A497" s="2">
        <v>42267</v>
      </c>
      <c r="B497" s="2" t="str">
        <f>TEXT(Table1[[#This Row],[Order Date]],"MMM")</f>
        <v>Sep</v>
      </c>
      <c r="C497" s="2" t="str">
        <f t="shared" si="7"/>
        <v>2015</v>
      </c>
      <c r="D497" s="1" t="s">
        <v>322</v>
      </c>
      <c r="E497" s="1" t="s">
        <v>1223</v>
      </c>
      <c r="F497" s="1" t="s">
        <v>38</v>
      </c>
      <c r="G497" s="1" t="s">
        <v>39</v>
      </c>
      <c r="H497" s="1" t="s">
        <v>1041</v>
      </c>
      <c r="I497" s="1">
        <v>1294.75</v>
      </c>
      <c r="J497" s="1">
        <v>5</v>
      </c>
      <c r="K497" s="1">
        <v>336.64</v>
      </c>
    </row>
    <row r="498" spans="1:11" ht="12.75" x14ac:dyDescent="0.2">
      <c r="A498" s="2">
        <v>42633</v>
      </c>
      <c r="B498" s="2" t="str">
        <f>TEXT(Table1[[#This Row],[Order Date]],"MMM")</f>
        <v>Sep</v>
      </c>
      <c r="C498" s="2" t="str">
        <f t="shared" si="7"/>
        <v>2016</v>
      </c>
      <c r="D498" s="1" t="s">
        <v>919</v>
      </c>
      <c r="E498" s="1" t="s">
        <v>27</v>
      </c>
      <c r="F498" s="1" t="s">
        <v>38</v>
      </c>
      <c r="G498" s="1" t="s">
        <v>387</v>
      </c>
      <c r="H498" s="1" t="s">
        <v>836</v>
      </c>
      <c r="I498" s="1">
        <v>1199.98</v>
      </c>
      <c r="J498" s="1">
        <v>3</v>
      </c>
      <c r="K498" s="1">
        <v>374.99</v>
      </c>
    </row>
    <row r="499" spans="1:11" ht="12.75" x14ac:dyDescent="0.2">
      <c r="A499" s="2">
        <v>42998</v>
      </c>
      <c r="B499" s="2" t="str">
        <f>TEXT(Table1[[#This Row],[Order Date]],"MMM")</f>
        <v>Sep</v>
      </c>
      <c r="C499" s="2" t="str">
        <f t="shared" si="7"/>
        <v>2017</v>
      </c>
      <c r="D499" s="1" t="s">
        <v>907</v>
      </c>
      <c r="E499" s="1" t="s">
        <v>119</v>
      </c>
      <c r="F499" s="1" t="s">
        <v>33</v>
      </c>
      <c r="G499" s="1" t="s">
        <v>65</v>
      </c>
      <c r="H499" s="1" t="s">
        <v>1232</v>
      </c>
      <c r="I499" s="1">
        <v>388.7</v>
      </c>
      <c r="J499" s="1">
        <v>6</v>
      </c>
      <c r="K499" s="1">
        <v>-4.8600000000000003</v>
      </c>
    </row>
    <row r="500" spans="1:11" ht="12.75" x14ac:dyDescent="0.2">
      <c r="A500" s="2">
        <v>41963</v>
      </c>
      <c r="B500" s="2" t="str">
        <f>TEXT(Table1[[#This Row],[Order Date]],"MMM")</f>
        <v>Nov</v>
      </c>
      <c r="C500" s="2" t="str">
        <f t="shared" si="7"/>
        <v>2014</v>
      </c>
      <c r="D500" s="1" t="s">
        <v>1193</v>
      </c>
      <c r="E500" s="1" t="s">
        <v>68</v>
      </c>
      <c r="F500" s="1" t="s">
        <v>11</v>
      </c>
      <c r="G500" s="1" t="s">
        <v>20</v>
      </c>
      <c r="H500" s="1" t="s">
        <v>721</v>
      </c>
      <c r="I500" s="1">
        <v>8.9</v>
      </c>
      <c r="J500" s="1">
        <v>2</v>
      </c>
      <c r="K500" s="1">
        <v>-6.53</v>
      </c>
    </row>
    <row r="501" spans="1:11" ht="12.75" x14ac:dyDescent="0.2">
      <c r="A501" s="2">
        <v>41660</v>
      </c>
      <c r="B501" s="2" t="str">
        <f>TEXT(Table1[[#This Row],[Order Date]],"MMM")</f>
        <v>Jan</v>
      </c>
      <c r="C501" s="2" t="str">
        <f t="shared" si="7"/>
        <v>2014</v>
      </c>
      <c r="D501" s="1" t="s">
        <v>484</v>
      </c>
      <c r="E501" s="1" t="s">
        <v>186</v>
      </c>
      <c r="F501" s="1" t="s">
        <v>11</v>
      </c>
      <c r="G501" s="1" t="s">
        <v>20</v>
      </c>
      <c r="H501" s="1" t="s">
        <v>1279</v>
      </c>
      <c r="I501" s="1">
        <v>189.59</v>
      </c>
      <c r="J501" s="1">
        <v>2</v>
      </c>
      <c r="K501" s="1">
        <v>-145.35</v>
      </c>
    </row>
    <row r="502" spans="1:11" ht="12.75" x14ac:dyDescent="0.2">
      <c r="A502" s="2">
        <v>42756</v>
      </c>
      <c r="B502" s="2" t="str">
        <f>TEXT(Table1[[#This Row],[Order Date]],"MMM")</f>
        <v>Jan</v>
      </c>
      <c r="C502" s="2" t="str">
        <f t="shared" si="7"/>
        <v>2017</v>
      </c>
      <c r="D502" s="1" t="s">
        <v>342</v>
      </c>
      <c r="E502" s="1" t="s">
        <v>186</v>
      </c>
      <c r="F502" s="1" t="s">
        <v>38</v>
      </c>
      <c r="G502" s="1" t="s">
        <v>39</v>
      </c>
      <c r="H502" s="1" t="s">
        <v>454</v>
      </c>
      <c r="I502" s="1">
        <v>36.79</v>
      </c>
      <c r="J502" s="1">
        <v>1</v>
      </c>
      <c r="K502" s="1">
        <v>4.1399999999999997</v>
      </c>
    </row>
    <row r="503" spans="1:11" ht="12.75" x14ac:dyDescent="0.2">
      <c r="A503" s="2">
        <v>41691</v>
      </c>
      <c r="B503" s="2" t="str">
        <f>TEXT(Table1[[#This Row],[Order Date]],"MMM")</f>
        <v>Feb</v>
      </c>
      <c r="C503" s="2" t="str">
        <f t="shared" si="7"/>
        <v>2014</v>
      </c>
      <c r="D503" s="1" t="s">
        <v>1281</v>
      </c>
      <c r="E503" s="1" t="s">
        <v>15</v>
      </c>
      <c r="F503" s="1" t="s">
        <v>11</v>
      </c>
      <c r="G503" s="1" t="s">
        <v>18</v>
      </c>
      <c r="H503" s="1" t="s">
        <v>924</v>
      </c>
      <c r="I503" s="1">
        <v>230.38</v>
      </c>
      <c r="J503" s="1">
        <v>3</v>
      </c>
      <c r="K503" s="1">
        <v>-48.95</v>
      </c>
    </row>
    <row r="504" spans="1:11" ht="12.75" x14ac:dyDescent="0.2">
      <c r="A504" s="2">
        <v>42421</v>
      </c>
      <c r="B504" s="2" t="str">
        <f>TEXT(Table1[[#This Row],[Order Date]],"MMM")</f>
        <v>Feb</v>
      </c>
      <c r="C504" s="2" t="str">
        <f t="shared" si="7"/>
        <v>2016</v>
      </c>
      <c r="D504" s="1" t="s">
        <v>335</v>
      </c>
      <c r="E504" s="1" t="s">
        <v>68</v>
      </c>
      <c r="F504" s="1" t="s">
        <v>33</v>
      </c>
      <c r="G504" s="1" t="s">
        <v>117</v>
      </c>
      <c r="H504" s="1" t="s">
        <v>1246</v>
      </c>
      <c r="I504" s="1">
        <v>205.18</v>
      </c>
      <c r="J504" s="1">
        <v>2</v>
      </c>
      <c r="K504" s="1">
        <v>-58.13</v>
      </c>
    </row>
    <row r="505" spans="1:11" ht="12.75" x14ac:dyDescent="0.2">
      <c r="A505" s="2">
        <v>42787</v>
      </c>
      <c r="B505" s="2" t="str">
        <f>TEXT(Table1[[#This Row],[Order Date]],"MMM")</f>
        <v>Feb</v>
      </c>
      <c r="C505" s="2" t="str">
        <f t="shared" si="7"/>
        <v>2017</v>
      </c>
      <c r="D505" s="1" t="s">
        <v>834</v>
      </c>
      <c r="E505" s="1" t="s">
        <v>15</v>
      </c>
      <c r="F505" s="1" t="s">
        <v>11</v>
      </c>
      <c r="G505" s="1" t="s">
        <v>18</v>
      </c>
      <c r="H505" s="1" t="s">
        <v>559</v>
      </c>
      <c r="I505" s="1">
        <v>102.34</v>
      </c>
      <c r="J505" s="1">
        <v>4</v>
      </c>
      <c r="K505" s="1">
        <v>-12.79</v>
      </c>
    </row>
    <row r="506" spans="1:11" ht="12.75" x14ac:dyDescent="0.2">
      <c r="A506" s="2">
        <v>41719</v>
      </c>
      <c r="B506" s="2" t="str">
        <f>TEXT(Table1[[#This Row],[Order Date]],"MMM")</f>
        <v>Mar</v>
      </c>
      <c r="C506" s="2" t="str">
        <f t="shared" si="7"/>
        <v>2014</v>
      </c>
      <c r="D506" s="1" t="s">
        <v>1182</v>
      </c>
      <c r="E506" s="1" t="s">
        <v>10</v>
      </c>
      <c r="F506" s="1" t="s">
        <v>38</v>
      </c>
      <c r="G506" s="1" t="s">
        <v>48</v>
      </c>
      <c r="H506" s="1" t="s">
        <v>60</v>
      </c>
      <c r="I506" s="1">
        <v>258.7</v>
      </c>
      <c r="J506" s="1">
        <v>3</v>
      </c>
      <c r="K506" s="1">
        <v>64.67</v>
      </c>
    </row>
    <row r="507" spans="1:11" ht="12.75" x14ac:dyDescent="0.2">
      <c r="A507" s="2">
        <v>42084</v>
      </c>
      <c r="B507" s="2" t="str">
        <f>TEXT(Table1[[#This Row],[Order Date]],"MMM")</f>
        <v>Mar</v>
      </c>
      <c r="C507" s="2" t="str">
        <f t="shared" si="7"/>
        <v>2015</v>
      </c>
      <c r="D507" s="1" t="s">
        <v>619</v>
      </c>
      <c r="E507" s="1" t="s">
        <v>23</v>
      </c>
      <c r="F507" s="1" t="s">
        <v>38</v>
      </c>
      <c r="G507" s="1" t="s">
        <v>39</v>
      </c>
      <c r="H507" s="1" t="s">
        <v>76</v>
      </c>
      <c r="I507" s="1">
        <v>82.8</v>
      </c>
      <c r="J507" s="1">
        <v>2</v>
      </c>
      <c r="K507" s="1">
        <v>-20.7</v>
      </c>
    </row>
    <row r="508" spans="1:11" ht="12.75" x14ac:dyDescent="0.2">
      <c r="A508" s="2">
        <v>42450</v>
      </c>
      <c r="B508" s="2" t="str">
        <f>TEXT(Table1[[#This Row],[Order Date]],"MMM")</f>
        <v>Mar</v>
      </c>
      <c r="C508" s="2" t="str">
        <f t="shared" si="7"/>
        <v>2016</v>
      </c>
      <c r="D508" s="1" t="s">
        <v>931</v>
      </c>
      <c r="E508" s="1" t="s">
        <v>119</v>
      </c>
      <c r="F508" s="1" t="s">
        <v>33</v>
      </c>
      <c r="G508" s="1" t="s">
        <v>34</v>
      </c>
      <c r="H508" s="1" t="s">
        <v>785</v>
      </c>
      <c r="I508" s="1">
        <v>434.65</v>
      </c>
      <c r="J508" s="1">
        <v>3</v>
      </c>
      <c r="K508" s="1">
        <v>62.78</v>
      </c>
    </row>
    <row r="509" spans="1:11" ht="12.75" x14ac:dyDescent="0.2">
      <c r="A509" s="2">
        <v>42115</v>
      </c>
      <c r="B509" s="2" t="str">
        <f>TEXT(Table1[[#This Row],[Order Date]],"MMM")</f>
        <v>Apr</v>
      </c>
      <c r="C509" s="2" t="str">
        <f t="shared" si="7"/>
        <v>2015</v>
      </c>
      <c r="D509" s="1" t="s">
        <v>1268</v>
      </c>
      <c r="E509" s="1" t="s">
        <v>10</v>
      </c>
      <c r="F509" s="1" t="s">
        <v>11</v>
      </c>
      <c r="G509" s="1" t="s">
        <v>24</v>
      </c>
      <c r="H509" s="1" t="s">
        <v>1098</v>
      </c>
      <c r="I509" s="1">
        <v>86.35</v>
      </c>
      <c r="J509" s="1">
        <v>3</v>
      </c>
      <c r="K509" s="1">
        <v>5.4</v>
      </c>
    </row>
    <row r="510" spans="1:11" ht="12.75" x14ac:dyDescent="0.2">
      <c r="A510" s="2">
        <v>42481</v>
      </c>
      <c r="B510" s="2" t="str">
        <f>TEXT(Table1[[#This Row],[Order Date]],"MMM")</f>
        <v>Apr</v>
      </c>
      <c r="C510" s="2" t="str">
        <f t="shared" si="7"/>
        <v>2016</v>
      </c>
      <c r="D510" s="1" t="s">
        <v>1222</v>
      </c>
      <c r="E510" s="1" t="s">
        <v>15</v>
      </c>
      <c r="F510" s="1" t="s">
        <v>11</v>
      </c>
      <c r="G510" s="1" t="s">
        <v>20</v>
      </c>
      <c r="H510" s="1" t="s">
        <v>1189</v>
      </c>
      <c r="I510" s="1">
        <v>2.1800000000000002</v>
      </c>
      <c r="J510" s="1">
        <v>1</v>
      </c>
      <c r="K510" s="1">
        <v>-3.6</v>
      </c>
    </row>
    <row r="511" spans="1:11" ht="12.75" x14ac:dyDescent="0.2">
      <c r="A511" s="2">
        <v>42846</v>
      </c>
      <c r="B511" s="2" t="str">
        <f>TEXT(Table1[[#This Row],[Order Date]],"MMM")</f>
        <v>Apr</v>
      </c>
      <c r="C511" s="2" t="str">
        <f t="shared" si="7"/>
        <v>2017</v>
      </c>
      <c r="D511" s="1" t="s">
        <v>1165</v>
      </c>
      <c r="E511" s="1" t="s">
        <v>68</v>
      </c>
      <c r="F511" s="1" t="s">
        <v>11</v>
      </c>
      <c r="G511" s="1" t="s">
        <v>42</v>
      </c>
      <c r="H511" s="1" t="s">
        <v>1000</v>
      </c>
      <c r="I511" s="1">
        <v>7.22</v>
      </c>
      <c r="J511" s="1">
        <v>2</v>
      </c>
      <c r="K511" s="1">
        <v>1.71</v>
      </c>
    </row>
    <row r="512" spans="1:11" ht="12.75" x14ac:dyDescent="0.2">
      <c r="A512" s="2">
        <v>41780</v>
      </c>
      <c r="B512" s="2" t="str">
        <f>TEXT(Table1[[#This Row],[Order Date]],"MMM")</f>
        <v>May</v>
      </c>
      <c r="C512" s="2" t="str">
        <f t="shared" si="7"/>
        <v>2014</v>
      </c>
      <c r="D512" s="1" t="s">
        <v>1267</v>
      </c>
      <c r="E512" s="1" t="s">
        <v>119</v>
      </c>
      <c r="F512" s="1" t="s">
        <v>11</v>
      </c>
      <c r="G512" s="1" t="s">
        <v>20</v>
      </c>
      <c r="H512" s="1" t="s">
        <v>227</v>
      </c>
      <c r="I512" s="1">
        <v>85.23</v>
      </c>
      <c r="J512" s="1">
        <v>7</v>
      </c>
      <c r="K512" s="1">
        <v>30.9</v>
      </c>
    </row>
    <row r="513" spans="1:11" ht="12.75" x14ac:dyDescent="0.2">
      <c r="A513" s="2">
        <v>42145</v>
      </c>
      <c r="B513" s="2" t="str">
        <f>TEXT(Table1[[#This Row],[Order Date]],"MMM")</f>
        <v>May</v>
      </c>
      <c r="C513" s="2" t="str">
        <f t="shared" ref="C513:C576" si="8">TEXT(A513,"YYY")</f>
        <v>2015</v>
      </c>
      <c r="D513" s="1" t="s">
        <v>654</v>
      </c>
      <c r="E513" s="1" t="s">
        <v>133</v>
      </c>
      <c r="F513" s="1" t="s">
        <v>38</v>
      </c>
      <c r="G513" s="1" t="s">
        <v>48</v>
      </c>
      <c r="H513" s="1" t="s">
        <v>1284</v>
      </c>
      <c r="I513" s="1">
        <v>93.98</v>
      </c>
      <c r="J513" s="1">
        <v>2</v>
      </c>
      <c r="K513" s="1">
        <v>13.16</v>
      </c>
    </row>
    <row r="514" spans="1:11" ht="12.75" x14ac:dyDescent="0.2">
      <c r="A514" s="2">
        <v>42511</v>
      </c>
      <c r="B514" s="2" t="str">
        <f>TEXT(Table1[[#This Row],[Order Date]],"MMM")</f>
        <v>May</v>
      </c>
      <c r="C514" s="2" t="str">
        <f t="shared" si="8"/>
        <v>2016</v>
      </c>
      <c r="D514" s="1" t="s">
        <v>605</v>
      </c>
      <c r="E514" s="1" t="s">
        <v>133</v>
      </c>
      <c r="F514" s="1" t="s">
        <v>11</v>
      </c>
      <c r="G514" s="1" t="s">
        <v>12</v>
      </c>
      <c r="H514" s="1" t="s">
        <v>609</v>
      </c>
      <c r="I514" s="1">
        <v>11.96</v>
      </c>
      <c r="J514" s="1">
        <v>2</v>
      </c>
      <c r="K514" s="1">
        <v>5.86</v>
      </c>
    </row>
    <row r="515" spans="1:11" ht="12.75" x14ac:dyDescent="0.2">
      <c r="A515" s="2">
        <v>41811</v>
      </c>
      <c r="B515" s="2" t="str">
        <f>TEXT(Table1[[#This Row],[Order Date]],"MMM")</f>
        <v>Jun</v>
      </c>
      <c r="C515" s="2" t="str">
        <f t="shared" si="8"/>
        <v>2014</v>
      </c>
      <c r="D515" s="1" t="s">
        <v>987</v>
      </c>
      <c r="E515" s="1" t="s">
        <v>68</v>
      </c>
      <c r="F515" s="1" t="s">
        <v>33</v>
      </c>
      <c r="G515" s="1" t="s">
        <v>44</v>
      </c>
      <c r="H515" s="1" t="s">
        <v>1093</v>
      </c>
      <c r="I515" s="1">
        <v>79.38</v>
      </c>
      <c r="J515" s="1">
        <v>1</v>
      </c>
      <c r="K515" s="1">
        <v>29.77</v>
      </c>
    </row>
    <row r="516" spans="1:11" ht="12.75" x14ac:dyDescent="0.2">
      <c r="A516" s="2">
        <v>41841</v>
      </c>
      <c r="B516" s="2" t="str">
        <f>TEXT(Table1[[#This Row],[Order Date]],"MMM")</f>
        <v>Jul</v>
      </c>
      <c r="C516" s="2" t="str">
        <f t="shared" si="8"/>
        <v>2014</v>
      </c>
      <c r="D516" s="1" t="s">
        <v>404</v>
      </c>
      <c r="E516" s="1" t="s">
        <v>226</v>
      </c>
      <c r="F516" s="1" t="s">
        <v>11</v>
      </c>
      <c r="G516" s="1" t="s">
        <v>20</v>
      </c>
      <c r="H516" s="1" t="s">
        <v>688</v>
      </c>
      <c r="I516" s="1">
        <v>511.84</v>
      </c>
      <c r="J516" s="1">
        <v>8</v>
      </c>
      <c r="K516" s="1">
        <v>240.56</v>
      </c>
    </row>
    <row r="517" spans="1:11" ht="12.75" x14ac:dyDescent="0.2">
      <c r="A517" s="2">
        <v>42237</v>
      </c>
      <c r="B517" s="2" t="str">
        <f>TEXT(Table1[[#This Row],[Order Date]],"MMM")</f>
        <v>Aug</v>
      </c>
      <c r="C517" s="2" t="str">
        <f t="shared" si="8"/>
        <v>2015</v>
      </c>
      <c r="D517" s="1" t="s">
        <v>308</v>
      </c>
      <c r="E517" s="1" t="s">
        <v>100</v>
      </c>
      <c r="F517" s="1" t="s">
        <v>11</v>
      </c>
      <c r="G517" s="1" t="s">
        <v>20</v>
      </c>
      <c r="H517" s="1" t="s">
        <v>926</v>
      </c>
      <c r="I517" s="1">
        <v>2.95</v>
      </c>
      <c r="J517" s="1">
        <v>2</v>
      </c>
      <c r="K517" s="1">
        <v>-2.16</v>
      </c>
    </row>
    <row r="518" spans="1:11" ht="12.75" x14ac:dyDescent="0.2">
      <c r="A518" s="2">
        <v>42603</v>
      </c>
      <c r="B518" s="2" t="str">
        <f>TEXT(Table1[[#This Row],[Order Date]],"MMM")</f>
        <v>Aug</v>
      </c>
      <c r="C518" s="2" t="str">
        <f t="shared" si="8"/>
        <v>2016</v>
      </c>
      <c r="D518" s="1" t="s">
        <v>130</v>
      </c>
      <c r="E518" s="1" t="s">
        <v>27</v>
      </c>
      <c r="F518" s="1" t="s">
        <v>11</v>
      </c>
      <c r="G518" s="1" t="s">
        <v>18</v>
      </c>
      <c r="H518" s="1" t="s">
        <v>1226</v>
      </c>
      <c r="I518" s="1">
        <v>104.28</v>
      </c>
      <c r="J518" s="1">
        <v>3</v>
      </c>
      <c r="K518" s="1">
        <v>26.07</v>
      </c>
    </row>
    <row r="519" spans="1:11" ht="12.75" x14ac:dyDescent="0.2">
      <c r="A519" s="2">
        <v>41903</v>
      </c>
      <c r="B519" s="2" t="str">
        <f>TEXT(Table1[[#This Row],[Order Date]],"MMM")</f>
        <v>Sep</v>
      </c>
      <c r="C519" s="2" t="str">
        <f t="shared" si="8"/>
        <v>2014</v>
      </c>
      <c r="D519" s="1" t="s">
        <v>467</v>
      </c>
      <c r="E519" s="1" t="s">
        <v>51</v>
      </c>
      <c r="F519" s="1" t="s">
        <v>33</v>
      </c>
      <c r="G519" s="1" t="s">
        <v>34</v>
      </c>
      <c r="H519" s="1" t="s">
        <v>963</v>
      </c>
      <c r="I519" s="1">
        <v>641.96</v>
      </c>
      <c r="J519" s="1">
        <v>2</v>
      </c>
      <c r="K519" s="1">
        <v>179.75</v>
      </c>
    </row>
    <row r="520" spans="1:11" ht="12.75" x14ac:dyDescent="0.2">
      <c r="A520" s="2">
        <v>42268</v>
      </c>
      <c r="B520" s="2" t="str">
        <f>TEXT(Table1[[#This Row],[Order Date]],"MMM")</f>
        <v>Sep</v>
      </c>
      <c r="C520" s="2" t="str">
        <f t="shared" si="8"/>
        <v>2015</v>
      </c>
      <c r="D520" s="1" t="s">
        <v>212</v>
      </c>
      <c r="E520" s="1" t="s">
        <v>27</v>
      </c>
      <c r="F520" s="1" t="s">
        <v>33</v>
      </c>
      <c r="G520" s="1" t="s">
        <v>44</v>
      </c>
      <c r="H520" s="1" t="s">
        <v>1237</v>
      </c>
      <c r="I520" s="1">
        <v>1049.2</v>
      </c>
      <c r="J520" s="1">
        <v>5</v>
      </c>
      <c r="K520" s="1">
        <v>272.79000000000002</v>
      </c>
    </row>
    <row r="521" spans="1:11" ht="12.75" x14ac:dyDescent="0.2">
      <c r="A521" s="2">
        <v>42999</v>
      </c>
      <c r="B521" s="2" t="str">
        <f>TEXT(Table1[[#This Row],[Order Date]],"MMM")</f>
        <v>Sep</v>
      </c>
      <c r="C521" s="2" t="str">
        <f t="shared" si="8"/>
        <v>2017</v>
      </c>
      <c r="D521" s="1" t="s">
        <v>987</v>
      </c>
      <c r="E521" s="1" t="s">
        <v>27</v>
      </c>
      <c r="F521" s="1" t="s">
        <v>38</v>
      </c>
      <c r="G521" s="1" t="s">
        <v>39</v>
      </c>
      <c r="H521" s="1" t="s">
        <v>1205</v>
      </c>
      <c r="I521" s="1">
        <v>55.18</v>
      </c>
      <c r="J521" s="1">
        <v>3</v>
      </c>
      <c r="K521" s="1">
        <v>-12.41</v>
      </c>
    </row>
    <row r="522" spans="1:11" ht="12.75" x14ac:dyDescent="0.2">
      <c r="A522" s="2">
        <v>43029</v>
      </c>
      <c r="B522" s="2" t="str">
        <f>TEXT(Table1[[#This Row],[Order Date]],"MMM")</f>
        <v>Oct</v>
      </c>
      <c r="C522" s="2" t="str">
        <f t="shared" si="8"/>
        <v>2017</v>
      </c>
      <c r="D522" s="1" t="s">
        <v>803</v>
      </c>
      <c r="E522" s="1" t="s">
        <v>27</v>
      </c>
      <c r="F522" s="1" t="s">
        <v>33</v>
      </c>
      <c r="G522" s="1" t="s">
        <v>44</v>
      </c>
      <c r="H522" s="1" t="s">
        <v>672</v>
      </c>
      <c r="I522" s="1">
        <v>37.049999999999997</v>
      </c>
      <c r="J522" s="1">
        <v>3</v>
      </c>
      <c r="K522" s="1">
        <v>16.3</v>
      </c>
    </row>
    <row r="523" spans="1:11" ht="12.75" x14ac:dyDescent="0.2">
      <c r="A523" s="2">
        <v>42329</v>
      </c>
      <c r="B523" s="2" t="str">
        <f>TEXT(Table1[[#This Row],[Order Date]],"MMM")</f>
        <v>Nov</v>
      </c>
      <c r="C523" s="2" t="str">
        <f t="shared" si="8"/>
        <v>2015</v>
      </c>
      <c r="D523" s="1" t="s">
        <v>1100</v>
      </c>
      <c r="E523" s="1" t="s">
        <v>30</v>
      </c>
      <c r="F523" s="1" t="s">
        <v>33</v>
      </c>
      <c r="G523" s="1" t="s">
        <v>44</v>
      </c>
      <c r="H523" s="1" t="s">
        <v>1287</v>
      </c>
      <c r="I523" s="1">
        <v>24.96</v>
      </c>
      <c r="J523" s="1">
        <v>4</v>
      </c>
      <c r="K523" s="1">
        <v>6.24</v>
      </c>
    </row>
    <row r="524" spans="1:11" ht="12.75" x14ac:dyDescent="0.2">
      <c r="A524" s="2">
        <v>42695</v>
      </c>
      <c r="B524" s="2" t="str">
        <f>TEXT(Table1[[#This Row],[Order Date]],"MMM")</f>
        <v>Nov</v>
      </c>
      <c r="C524" s="2" t="str">
        <f t="shared" si="8"/>
        <v>2016</v>
      </c>
      <c r="D524" s="1" t="s">
        <v>380</v>
      </c>
      <c r="E524" s="1" t="s">
        <v>93</v>
      </c>
      <c r="F524" s="1" t="s">
        <v>33</v>
      </c>
      <c r="G524" s="1" t="s">
        <v>34</v>
      </c>
      <c r="H524" s="1" t="s">
        <v>600</v>
      </c>
      <c r="I524" s="1">
        <v>3504.9</v>
      </c>
      <c r="J524" s="1">
        <v>5</v>
      </c>
      <c r="K524" s="1">
        <v>700.98</v>
      </c>
    </row>
    <row r="525" spans="1:11" ht="12.75" x14ac:dyDescent="0.2">
      <c r="A525" s="2">
        <v>41994</v>
      </c>
      <c r="B525" s="2" t="str">
        <f>TEXT(Table1[[#This Row],[Order Date]],"MMM")</f>
        <v>Dec</v>
      </c>
      <c r="C525" s="2" t="str">
        <f t="shared" si="8"/>
        <v>2014</v>
      </c>
      <c r="D525" s="1" t="s">
        <v>974</v>
      </c>
      <c r="E525" s="1" t="s">
        <v>319</v>
      </c>
      <c r="F525" s="1" t="s">
        <v>38</v>
      </c>
      <c r="G525" s="1" t="s">
        <v>39</v>
      </c>
      <c r="H525" s="1" t="s">
        <v>205</v>
      </c>
      <c r="I525" s="1">
        <v>979.95</v>
      </c>
      <c r="J525" s="1">
        <v>5</v>
      </c>
      <c r="K525" s="1">
        <v>274.39</v>
      </c>
    </row>
    <row r="526" spans="1:11" ht="12.75" x14ac:dyDescent="0.2">
      <c r="A526" s="2">
        <v>42359</v>
      </c>
      <c r="B526" s="2" t="str">
        <f>TEXT(Table1[[#This Row],[Order Date]],"MMM")</f>
        <v>Dec</v>
      </c>
      <c r="C526" s="2" t="str">
        <f t="shared" si="8"/>
        <v>2015</v>
      </c>
      <c r="D526" s="1" t="s">
        <v>814</v>
      </c>
      <c r="E526" s="1" t="s">
        <v>15</v>
      </c>
      <c r="F526" s="1" t="s">
        <v>33</v>
      </c>
      <c r="G526" s="1" t="s">
        <v>44</v>
      </c>
      <c r="H526" s="1" t="s">
        <v>1290</v>
      </c>
      <c r="I526" s="1">
        <v>32.06</v>
      </c>
      <c r="J526" s="1">
        <v>3</v>
      </c>
      <c r="K526" s="1">
        <v>-12.83</v>
      </c>
    </row>
    <row r="527" spans="1:11" ht="12.75" x14ac:dyDescent="0.2">
      <c r="A527" s="2">
        <v>42757</v>
      </c>
      <c r="B527" s="2" t="str">
        <f>TEXT(Table1[[#This Row],[Order Date]],"MMM")</f>
        <v>Jan</v>
      </c>
      <c r="C527" s="2" t="str">
        <f t="shared" si="8"/>
        <v>2017</v>
      </c>
      <c r="D527" s="1" t="s">
        <v>223</v>
      </c>
      <c r="E527" s="1" t="s">
        <v>27</v>
      </c>
      <c r="F527" s="1" t="s">
        <v>33</v>
      </c>
      <c r="G527" s="1" t="s">
        <v>117</v>
      </c>
      <c r="H527" s="1" t="s">
        <v>1014</v>
      </c>
      <c r="I527" s="1">
        <v>71.09</v>
      </c>
      <c r="J527" s="1">
        <v>2</v>
      </c>
      <c r="K527" s="1">
        <v>-1.78</v>
      </c>
    </row>
    <row r="528" spans="1:11" ht="12.75" x14ac:dyDescent="0.2">
      <c r="A528" s="2">
        <v>42057</v>
      </c>
      <c r="B528" s="2" t="str">
        <f>TEXT(Table1[[#This Row],[Order Date]],"MMM")</f>
        <v>Feb</v>
      </c>
      <c r="C528" s="2" t="str">
        <f t="shared" si="8"/>
        <v>2015</v>
      </c>
      <c r="D528" s="1" t="s">
        <v>896</v>
      </c>
      <c r="E528" s="1" t="s">
        <v>51</v>
      </c>
      <c r="F528" s="1" t="s">
        <v>11</v>
      </c>
      <c r="G528" s="1" t="s">
        <v>12</v>
      </c>
      <c r="H528" s="1" t="s">
        <v>739</v>
      </c>
      <c r="I528" s="1">
        <v>75.88</v>
      </c>
      <c r="J528" s="1">
        <v>2</v>
      </c>
      <c r="K528" s="1">
        <v>35.659999999999997</v>
      </c>
    </row>
    <row r="529" spans="1:11" ht="12.75" x14ac:dyDescent="0.2">
      <c r="A529" s="2">
        <v>42422</v>
      </c>
      <c r="B529" s="2" t="str">
        <f>TEXT(Table1[[#This Row],[Order Date]],"MMM")</f>
        <v>Feb</v>
      </c>
      <c r="C529" s="2" t="str">
        <f t="shared" si="8"/>
        <v>2016</v>
      </c>
      <c r="D529" s="1" t="s">
        <v>971</v>
      </c>
      <c r="E529" s="1" t="s">
        <v>15</v>
      </c>
      <c r="F529" s="1" t="s">
        <v>38</v>
      </c>
      <c r="G529" s="1" t="s">
        <v>39</v>
      </c>
      <c r="H529" s="1" t="s">
        <v>1247</v>
      </c>
      <c r="I529" s="1">
        <v>328.22</v>
      </c>
      <c r="J529" s="1">
        <v>4</v>
      </c>
      <c r="K529" s="1">
        <v>28.72</v>
      </c>
    </row>
    <row r="530" spans="1:11" ht="12.75" x14ac:dyDescent="0.2">
      <c r="A530" s="2">
        <v>41720</v>
      </c>
      <c r="B530" s="2" t="str">
        <f>TEXT(Table1[[#This Row],[Order Date]],"MMM")</f>
        <v>Mar</v>
      </c>
      <c r="C530" s="2" t="str">
        <f t="shared" si="8"/>
        <v>2014</v>
      </c>
      <c r="D530" s="1" t="s">
        <v>1094</v>
      </c>
      <c r="E530" s="1" t="s">
        <v>27</v>
      </c>
      <c r="F530" s="1" t="s">
        <v>11</v>
      </c>
      <c r="G530" s="1" t="s">
        <v>16</v>
      </c>
      <c r="H530" s="1" t="s">
        <v>1276</v>
      </c>
      <c r="I530" s="1">
        <v>20.7</v>
      </c>
      <c r="J530" s="1">
        <v>2</v>
      </c>
      <c r="K530" s="1">
        <v>9.94</v>
      </c>
    </row>
    <row r="531" spans="1:11" ht="12.75" x14ac:dyDescent="0.2">
      <c r="A531" s="2">
        <v>42085</v>
      </c>
      <c r="B531" s="2" t="str">
        <f>TEXT(Table1[[#This Row],[Order Date]],"MMM")</f>
        <v>Mar</v>
      </c>
      <c r="C531" s="2" t="str">
        <f t="shared" si="8"/>
        <v>2015</v>
      </c>
      <c r="D531" s="1" t="s">
        <v>297</v>
      </c>
      <c r="E531" s="1" t="s">
        <v>10</v>
      </c>
      <c r="F531" s="1" t="s">
        <v>11</v>
      </c>
      <c r="G531" s="1" t="s">
        <v>20</v>
      </c>
      <c r="H531" s="1" t="s">
        <v>843</v>
      </c>
      <c r="I531" s="1">
        <v>1.34</v>
      </c>
      <c r="J531" s="1">
        <v>4</v>
      </c>
      <c r="K531" s="1">
        <v>-2.15</v>
      </c>
    </row>
    <row r="532" spans="1:11" ht="12.75" x14ac:dyDescent="0.2">
      <c r="A532" s="2">
        <v>42451</v>
      </c>
      <c r="B532" s="2" t="str">
        <f>TEXT(Table1[[#This Row],[Order Date]],"MMM")</f>
        <v>Mar</v>
      </c>
      <c r="C532" s="2" t="str">
        <f t="shared" si="8"/>
        <v>2016</v>
      </c>
      <c r="D532" s="1" t="s">
        <v>233</v>
      </c>
      <c r="E532" s="1" t="s">
        <v>93</v>
      </c>
      <c r="F532" s="1" t="s">
        <v>38</v>
      </c>
      <c r="G532" s="1" t="s">
        <v>39</v>
      </c>
      <c r="H532" s="1" t="s">
        <v>249</v>
      </c>
      <c r="I532" s="1">
        <v>377.97</v>
      </c>
      <c r="J532" s="1">
        <v>3</v>
      </c>
      <c r="K532" s="1">
        <v>94.49</v>
      </c>
    </row>
    <row r="533" spans="1:11" ht="12.75" x14ac:dyDescent="0.2">
      <c r="A533" s="2">
        <v>41781</v>
      </c>
      <c r="B533" s="2" t="str">
        <f>TEXT(Table1[[#This Row],[Order Date]],"MMM")</f>
        <v>May</v>
      </c>
      <c r="C533" s="2" t="str">
        <f t="shared" si="8"/>
        <v>2014</v>
      </c>
      <c r="D533" s="1" t="s">
        <v>581</v>
      </c>
      <c r="E533" s="1" t="s">
        <v>27</v>
      </c>
      <c r="F533" s="1" t="s">
        <v>11</v>
      </c>
      <c r="G533" s="1" t="s">
        <v>24</v>
      </c>
      <c r="H533" s="1" t="s">
        <v>1243</v>
      </c>
      <c r="I533" s="1">
        <v>7.04</v>
      </c>
      <c r="J533" s="1">
        <v>4</v>
      </c>
      <c r="K533" s="1">
        <v>2.04</v>
      </c>
    </row>
    <row r="534" spans="1:11" ht="12.75" x14ac:dyDescent="0.2">
      <c r="A534" s="2">
        <v>42146</v>
      </c>
      <c r="B534" s="2" t="str">
        <f>TEXT(Table1[[#This Row],[Order Date]],"MMM")</f>
        <v>May</v>
      </c>
      <c r="C534" s="2" t="str">
        <f t="shared" si="8"/>
        <v>2015</v>
      </c>
      <c r="D534" s="1" t="s">
        <v>837</v>
      </c>
      <c r="E534" s="1" t="s">
        <v>10</v>
      </c>
      <c r="F534" s="1" t="s">
        <v>11</v>
      </c>
      <c r="G534" s="1" t="s">
        <v>12</v>
      </c>
      <c r="H534" s="1" t="s">
        <v>1092</v>
      </c>
      <c r="I534" s="1">
        <v>173.49</v>
      </c>
      <c r="J534" s="1">
        <v>7</v>
      </c>
      <c r="K534" s="1">
        <v>54.22</v>
      </c>
    </row>
    <row r="535" spans="1:11" ht="12.75" x14ac:dyDescent="0.2">
      <c r="A535" s="2">
        <v>41812</v>
      </c>
      <c r="B535" s="2" t="str">
        <f>TEXT(Table1[[#This Row],[Order Date]],"MMM")</f>
        <v>Jun</v>
      </c>
      <c r="C535" s="2" t="str">
        <f t="shared" si="8"/>
        <v>2014</v>
      </c>
      <c r="D535" s="1" t="s">
        <v>1124</v>
      </c>
      <c r="E535" s="1" t="s">
        <v>27</v>
      </c>
      <c r="F535" s="1" t="s">
        <v>11</v>
      </c>
      <c r="G535" s="1" t="s">
        <v>12</v>
      </c>
      <c r="H535" s="1" t="s">
        <v>899</v>
      </c>
      <c r="I535" s="1">
        <v>46.35</v>
      </c>
      <c r="J535" s="1">
        <v>5</v>
      </c>
      <c r="K535" s="1">
        <v>21.78</v>
      </c>
    </row>
    <row r="536" spans="1:11" ht="12.75" x14ac:dyDescent="0.2">
      <c r="A536" s="2">
        <v>42908</v>
      </c>
      <c r="B536" s="2" t="str">
        <f>TEXT(Table1[[#This Row],[Order Date]],"MMM")</f>
        <v>Jun</v>
      </c>
      <c r="C536" s="2" t="str">
        <f t="shared" si="8"/>
        <v>2017</v>
      </c>
      <c r="D536" s="1" t="s">
        <v>485</v>
      </c>
      <c r="E536" s="1" t="s">
        <v>15</v>
      </c>
      <c r="F536" s="1" t="s">
        <v>11</v>
      </c>
      <c r="G536" s="1" t="s">
        <v>12</v>
      </c>
      <c r="H536" s="1" t="s">
        <v>1118</v>
      </c>
      <c r="I536" s="1">
        <v>76.86</v>
      </c>
      <c r="J536" s="1">
        <v>2</v>
      </c>
      <c r="K536" s="1">
        <v>26.9</v>
      </c>
    </row>
    <row r="537" spans="1:11" ht="12.75" x14ac:dyDescent="0.2">
      <c r="A537" s="2">
        <v>41842</v>
      </c>
      <c r="B537" s="2" t="str">
        <f>TEXT(Table1[[#This Row],[Order Date]],"MMM")</f>
        <v>Jul</v>
      </c>
      <c r="C537" s="2" t="str">
        <f t="shared" si="8"/>
        <v>2014</v>
      </c>
      <c r="D537" s="1" t="s">
        <v>689</v>
      </c>
      <c r="E537" s="1" t="s">
        <v>54</v>
      </c>
      <c r="F537" s="1" t="s">
        <v>38</v>
      </c>
      <c r="G537" s="1" t="s">
        <v>48</v>
      </c>
      <c r="H537" s="1" t="s">
        <v>625</v>
      </c>
      <c r="I537" s="1">
        <v>45</v>
      </c>
      <c r="J537" s="1">
        <v>3</v>
      </c>
      <c r="K537" s="1">
        <v>4.95</v>
      </c>
    </row>
    <row r="538" spans="1:11" ht="12.75" x14ac:dyDescent="0.2">
      <c r="A538" s="2">
        <v>42573</v>
      </c>
      <c r="B538" s="2" t="str">
        <f>TEXT(Table1[[#This Row],[Order Date]],"MMM")</f>
        <v>Jul</v>
      </c>
      <c r="C538" s="2" t="str">
        <f t="shared" si="8"/>
        <v>2016</v>
      </c>
      <c r="D538" s="1" t="s">
        <v>997</v>
      </c>
      <c r="E538" s="1" t="s">
        <v>119</v>
      </c>
      <c r="F538" s="1" t="s">
        <v>11</v>
      </c>
      <c r="G538" s="1" t="s">
        <v>16</v>
      </c>
      <c r="H538" s="1" t="s">
        <v>850</v>
      </c>
      <c r="I538" s="1">
        <v>122.12</v>
      </c>
      <c r="J538" s="1">
        <v>4</v>
      </c>
      <c r="K538" s="1">
        <v>56.18</v>
      </c>
    </row>
    <row r="539" spans="1:11" ht="12.75" x14ac:dyDescent="0.2">
      <c r="A539" s="2">
        <v>41873</v>
      </c>
      <c r="B539" s="2" t="str">
        <f>TEXT(Table1[[#This Row],[Order Date]],"MMM")</f>
        <v>Aug</v>
      </c>
      <c r="C539" s="2" t="str">
        <f t="shared" si="8"/>
        <v>2014</v>
      </c>
      <c r="D539" s="1" t="s">
        <v>1124</v>
      </c>
      <c r="E539" s="1" t="s">
        <v>27</v>
      </c>
      <c r="F539" s="1" t="s">
        <v>38</v>
      </c>
      <c r="G539" s="1" t="s">
        <v>39</v>
      </c>
      <c r="H539" s="1" t="s">
        <v>110</v>
      </c>
      <c r="I539" s="1">
        <v>38.24</v>
      </c>
      <c r="J539" s="1">
        <v>4</v>
      </c>
      <c r="K539" s="1">
        <v>-9.56</v>
      </c>
    </row>
    <row r="540" spans="1:11" ht="12.75" x14ac:dyDescent="0.2">
      <c r="A540" s="2">
        <v>42238</v>
      </c>
      <c r="B540" s="2" t="str">
        <f>TEXT(Table1[[#This Row],[Order Date]],"MMM")</f>
        <v>Aug</v>
      </c>
      <c r="C540" s="2" t="str">
        <f t="shared" si="8"/>
        <v>2015</v>
      </c>
      <c r="D540" s="1" t="s">
        <v>362</v>
      </c>
      <c r="E540" s="1" t="s">
        <v>23</v>
      </c>
      <c r="F540" s="1" t="s">
        <v>33</v>
      </c>
      <c r="G540" s="1" t="s">
        <v>34</v>
      </c>
      <c r="H540" s="1" t="s">
        <v>284</v>
      </c>
      <c r="I540" s="1">
        <v>422.06</v>
      </c>
      <c r="J540" s="1">
        <v>3</v>
      </c>
      <c r="K540" s="1">
        <v>-18.09</v>
      </c>
    </row>
    <row r="541" spans="1:11" ht="12.75" x14ac:dyDescent="0.2">
      <c r="A541" s="2">
        <v>41934</v>
      </c>
      <c r="B541" s="2" t="str">
        <f>TEXT(Table1[[#This Row],[Order Date]],"MMM")</f>
        <v>Oct</v>
      </c>
      <c r="C541" s="2" t="str">
        <f t="shared" si="8"/>
        <v>2014</v>
      </c>
      <c r="D541" s="1" t="s">
        <v>304</v>
      </c>
      <c r="E541" s="1" t="s">
        <v>119</v>
      </c>
      <c r="F541" s="1" t="s">
        <v>11</v>
      </c>
      <c r="G541" s="1" t="s">
        <v>24</v>
      </c>
      <c r="H541" s="1" t="s">
        <v>736</v>
      </c>
      <c r="I541" s="1">
        <v>14.7</v>
      </c>
      <c r="J541" s="1">
        <v>5</v>
      </c>
      <c r="K541" s="1">
        <v>6.62</v>
      </c>
    </row>
    <row r="542" spans="1:11" ht="12.75" x14ac:dyDescent="0.2">
      <c r="A542" s="2">
        <v>42299</v>
      </c>
      <c r="B542" s="2" t="str">
        <f>TEXT(Table1[[#This Row],[Order Date]],"MMM")</f>
        <v>Oct</v>
      </c>
      <c r="C542" s="2" t="str">
        <f t="shared" si="8"/>
        <v>2015</v>
      </c>
      <c r="D542" s="1" t="s">
        <v>285</v>
      </c>
      <c r="E542" s="1" t="s">
        <v>15</v>
      </c>
      <c r="F542" s="1" t="s">
        <v>11</v>
      </c>
      <c r="G542" s="1" t="s">
        <v>12</v>
      </c>
      <c r="H542" s="1" t="s">
        <v>950</v>
      </c>
      <c r="I542" s="1">
        <v>37.46</v>
      </c>
      <c r="J542" s="1">
        <v>7</v>
      </c>
      <c r="K542" s="1">
        <v>12.18</v>
      </c>
    </row>
    <row r="543" spans="1:11" ht="12.75" x14ac:dyDescent="0.2">
      <c r="A543" s="2">
        <v>43030</v>
      </c>
      <c r="B543" s="2" t="str">
        <f>TEXT(Table1[[#This Row],[Order Date]],"MMM")</f>
        <v>Oct</v>
      </c>
      <c r="C543" s="2" t="str">
        <f t="shared" si="8"/>
        <v>2017</v>
      </c>
      <c r="D543" s="1" t="s">
        <v>771</v>
      </c>
      <c r="E543" s="1" t="s">
        <v>30</v>
      </c>
      <c r="F543" s="1" t="s">
        <v>11</v>
      </c>
      <c r="G543" s="1" t="s">
        <v>24</v>
      </c>
      <c r="H543" s="1" t="s">
        <v>676</v>
      </c>
      <c r="I543" s="1">
        <v>35.97</v>
      </c>
      <c r="J543" s="1">
        <v>3</v>
      </c>
      <c r="K543" s="1">
        <v>9.7100000000000009</v>
      </c>
    </row>
    <row r="544" spans="1:11" ht="12.75" x14ac:dyDescent="0.2">
      <c r="A544" s="2">
        <v>41965</v>
      </c>
      <c r="B544" s="2" t="str">
        <f>TEXT(Table1[[#This Row],[Order Date]],"MMM")</f>
        <v>Nov</v>
      </c>
      <c r="C544" s="2" t="str">
        <f t="shared" si="8"/>
        <v>2014</v>
      </c>
      <c r="D544" s="1" t="s">
        <v>1212</v>
      </c>
      <c r="E544" s="1" t="s">
        <v>63</v>
      </c>
      <c r="F544" s="1" t="s">
        <v>11</v>
      </c>
      <c r="G544" s="1" t="s">
        <v>20</v>
      </c>
      <c r="H544" s="1" t="s">
        <v>711</v>
      </c>
      <c r="I544" s="1">
        <v>14.2</v>
      </c>
      <c r="J544" s="1">
        <v>2</v>
      </c>
      <c r="K544" s="1">
        <v>6.53</v>
      </c>
    </row>
    <row r="545" spans="1:11" ht="12.75" x14ac:dyDescent="0.2">
      <c r="A545" s="2">
        <v>42330</v>
      </c>
      <c r="B545" s="2" t="str">
        <f>TEXT(Table1[[#This Row],[Order Date]],"MMM")</f>
        <v>Nov</v>
      </c>
      <c r="C545" s="2" t="str">
        <f t="shared" si="8"/>
        <v>2015</v>
      </c>
      <c r="D545" s="1" t="s">
        <v>373</v>
      </c>
      <c r="E545" s="1" t="s">
        <v>27</v>
      </c>
      <c r="F545" s="1" t="s">
        <v>33</v>
      </c>
      <c r="G545" s="1" t="s">
        <v>34</v>
      </c>
      <c r="H545" s="1" t="s">
        <v>582</v>
      </c>
      <c r="I545" s="1">
        <v>195.18</v>
      </c>
      <c r="J545" s="1">
        <v>1</v>
      </c>
      <c r="K545" s="1">
        <v>19.52</v>
      </c>
    </row>
    <row r="546" spans="1:11" ht="12.75" x14ac:dyDescent="0.2">
      <c r="A546" s="2">
        <v>42696</v>
      </c>
      <c r="B546" s="2" t="str">
        <f>TEXT(Table1[[#This Row],[Order Date]],"MMM")</f>
        <v>Nov</v>
      </c>
      <c r="C546" s="2" t="str">
        <f t="shared" si="8"/>
        <v>2016</v>
      </c>
      <c r="D546" s="1" t="s">
        <v>526</v>
      </c>
      <c r="E546" s="1" t="s">
        <v>27</v>
      </c>
      <c r="F546" s="1" t="s">
        <v>33</v>
      </c>
      <c r="G546" s="1" t="s">
        <v>44</v>
      </c>
      <c r="H546" s="1" t="s">
        <v>170</v>
      </c>
      <c r="I546" s="1">
        <v>25.4</v>
      </c>
      <c r="J546" s="1">
        <v>5</v>
      </c>
      <c r="K546" s="1">
        <v>8.64</v>
      </c>
    </row>
    <row r="547" spans="1:11" ht="12.75" x14ac:dyDescent="0.2">
      <c r="A547" s="2">
        <v>41995</v>
      </c>
      <c r="B547" s="2" t="str">
        <f>TEXT(Table1[[#This Row],[Order Date]],"MMM")</f>
        <v>Dec</v>
      </c>
      <c r="C547" s="2" t="str">
        <f t="shared" si="8"/>
        <v>2014</v>
      </c>
      <c r="D547" s="1" t="s">
        <v>995</v>
      </c>
      <c r="E547" s="1" t="s">
        <v>100</v>
      </c>
      <c r="F547" s="1" t="s">
        <v>11</v>
      </c>
      <c r="G547" s="1" t="s">
        <v>157</v>
      </c>
      <c r="H547" s="1" t="s">
        <v>624</v>
      </c>
      <c r="I547" s="1">
        <v>45.58</v>
      </c>
      <c r="J547" s="1">
        <v>7</v>
      </c>
      <c r="K547" s="1">
        <v>5.13</v>
      </c>
    </row>
    <row r="548" spans="1:11" ht="12.75" x14ac:dyDescent="0.2">
      <c r="A548" s="2">
        <v>43091</v>
      </c>
      <c r="B548" s="2" t="str">
        <f>TEXT(Table1[[#This Row],[Order Date]],"MMM")</f>
        <v>Dec</v>
      </c>
      <c r="C548" s="2" t="str">
        <f t="shared" si="8"/>
        <v>2017</v>
      </c>
      <c r="D548" s="1" t="s">
        <v>1291</v>
      </c>
      <c r="E548" s="1" t="s">
        <v>10</v>
      </c>
      <c r="F548" s="1" t="s">
        <v>38</v>
      </c>
      <c r="G548" s="1" t="s">
        <v>39</v>
      </c>
      <c r="H548" s="1" t="s">
        <v>1252</v>
      </c>
      <c r="I548" s="1">
        <v>863.64</v>
      </c>
      <c r="J548" s="1">
        <v>9</v>
      </c>
      <c r="K548" s="1">
        <v>107.96</v>
      </c>
    </row>
    <row r="549" spans="1:11" ht="12.75" x14ac:dyDescent="0.2">
      <c r="A549" s="2">
        <v>41662</v>
      </c>
      <c r="B549" s="2" t="str">
        <f>TEXT(Table1[[#This Row],[Order Date]],"MMM")</f>
        <v>Jan</v>
      </c>
      <c r="C549" s="2" t="str">
        <f t="shared" si="8"/>
        <v>2014</v>
      </c>
      <c r="D549" s="1" t="s">
        <v>358</v>
      </c>
      <c r="E549" s="1" t="s">
        <v>82</v>
      </c>
      <c r="F549" s="1" t="s">
        <v>11</v>
      </c>
      <c r="G549" s="1" t="s">
        <v>18</v>
      </c>
      <c r="H549" s="1" t="s">
        <v>1180</v>
      </c>
      <c r="I549" s="1">
        <v>16.77</v>
      </c>
      <c r="J549" s="1">
        <v>2</v>
      </c>
      <c r="K549" s="1">
        <v>1.47</v>
      </c>
    </row>
    <row r="550" spans="1:11" ht="12.75" x14ac:dyDescent="0.2">
      <c r="A550" s="2">
        <v>42027</v>
      </c>
      <c r="B550" s="2" t="str">
        <f>TEXT(Table1[[#This Row],[Order Date]],"MMM")</f>
        <v>Jan</v>
      </c>
      <c r="C550" s="2" t="str">
        <f t="shared" si="8"/>
        <v>2015</v>
      </c>
      <c r="D550" s="1" t="s">
        <v>240</v>
      </c>
      <c r="E550" s="1" t="s">
        <v>27</v>
      </c>
      <c r="F550" s="1" t="s">
        <v>38</v>
      </c>
      <c r="G550" s="1" t="s">
        <v>39</v>
      </c>
      <c r="H550" s="1" t="s">
        <v>702</v>
      </c>
      <c r="I550" s="1">
        <v>95.76</v>
      </c>
      <c r="J550" s="1">
        <v>6</v>
      </c>
      <c r="K550" s="1">
        <v>7.18</v>
      </c>
    </row>
    <row r="551" spans="1:11" ht="12.75" x14ac:dyDescent="0.2">
      <c r="A551" s="2">
        <v>42392</v>
      </c>
      <c r="B551" s="2" t="str">
        <f>TEXT(Table1[[#This Row],[Order Date]],"MMM")</f>
        <v>Jan</v>
      </c>
      <c r="C551" s="2" t="str">
        <f t="shared" si="8"/>
        <v>2016</v>
      </c>
      <c r="D551" s="1" t="s">
        <v>811</v>
      </c>
      <c r="E551" s="1" t="s">
        <v>82</v>
      </c>
      <c r="F551" s="1" t="s">
        <v>38</v>
      </c>
      <c r="G551" s="1" t="s">
        <v>39</v>
      </c>
      <c r="H551" s="1" t="s">
        <v>1037</v>
      </c>
      <c r="I551" s="1">
        <v>380.86</v>
      </c>
      <c r="J551" s="1">
        <v>8</v>
      </c>
      <c r="K551" s="1">
        <v>38.090000000000003</v>
      </c>
    </row>
    <row r="552" spans="1:11" ht="12.75" x14ac:dyDescent="0.2">
      <c r="A552" s="2">
        <v>41693</v>
      </c>
      <c r="B552" s="2" t="str">
        <f>TEXT(Table1[[#This Row],[Order Date]],"MMM")</f>
        <v>Feb</v>
      </c>
      <c r="C552" s="2" t="str">
        <f t="shared" si="8"/>
        <v>2014</v>
      </c>
      <c r="D552" s="1" t="s">
        <v>913</v>
      </c>
      <c r="E552" s="1" t="s">
        <v>210</v>
      </c>
      <c r="F552" s="1" t="s">
        <v>11</v>
      </c>
      <c r="G552" s="1" t="s">
        <v>157</v>
      </c>
      <c r="H552" s="1" t="s">
        <v>1295</v>
      </c>
      <c r="I552" s="1">
        <v>44.4</v>
      </c>
      <c r="J552" s="1">
        <v>5</v>
      </c>
      <c r="K552" s="1">
        <v>12.43</v>
      </c>
    </row>
    <row r="553" spans="1:11" ht="12.75" x14ac:dyDescent="0.2">
      <c r="A553" s="2">
        <v>42058</v>
      </c>
      <c r="B553" s="2" t="str">
        <f>TEXT(Table1[[#This Row],[Order Date]],"MMM")</f>
        <v>Feb</v>
      </c>
      <c r="C553" s="2" t="str">
        <f t="shared" si="8"/>
        <v>2015</v>
      </c>
      <c r="D553" s="1" t="s">
        <v>177</v>
      </c>
      <c r="E553" s="1" t="s">
        <v>226</v>
      </c>
      <c r="F553" s="1" t="s">
        <v>33</v>
      </c>
      <c r="G553" s="1" t="s">
        <v>44</v>
      </c>
      <c r="H553" s="1" t="s">
        <v>1130</v>
      </c>
      <c r="I553" s="1">
        <v>185.58</v>
      </c>
      <c r="J553" s="1">
        <v>6</v>
      </c>
      <c r="K553" s="1">
        <v>76.09</v>
      </c>
    </row>
    <row r="554" spans="1:11" ht="12.75" x14ac:dyDescent="0.2">
      <c r="A554" s="2">
        <v>42423</v>
      </c>
      <c r="B554" s="2" t="str">
        <f>TEXT(Table1[[#This Row],[Order Date]],"MMM")</f>
        <v>Feb</v>
      </c>
      <c r="C554" s="2" t="str">
        <f t="shared" si="8"/>
        <v>2016</v>
      </c>
      <c r="D554" s="1" t="s">
        <v>318</v>
      </c>
      <c r="E554" s="1" t="s">
        <v>119</v>
      </c>
      <c r="F554" s="1" t="s">
        <v>38</v>
      </c>
      <c r="G554" s="1" t="s">
        <v>39</v>
      </c>
      <c r="H554" s="1" t="s">
        <v>725</v>
      </c>
      <c r="I554" s="1">
        <v>89.95</v>
      </c>
      <c r="J554" s="1">
        <v>5</v>
      </c>
      <c r="K554" s="1">
        <v>43.18</v>
      </c>
    </row>
    <row r="555" spans="1:11" ht="12.75" x14ac:dyDescent="0.2">
      <c r="A555" s="2">
        <v>42789</v>
      </c>
      <c r="B555" s="2" t="str">
        <f>TEXT(Table1[[#This Row],[Order Date]],"MMM")</f>
        <v>Feb</v>
      </c>
      <c r="C555" s="2" t="str">
        <f t="shared" si="8"/>
        <v>2017</v>
      </c>
      <c r="D555" s="1" t="s">
        <v>1250</v>
      </c>
      <c r="E555" s="1" t="s">
        <v>27</v>
      </c>
      <c r="F555" s="1" t="s">
        <v>11</v>
      </c>
      <c r="G555" s="1" t="s">
        <v>16</v>
      </c>
      <c r="H555" s="1" t="s">
        <v>1115</v>
      </c>
      <c r="I555" s="1">
        <v>6.3</v>
      </c>
      <c r="J555" s="1">
        <v>2</v>
      </c>
      <c r="K555" s="1">
        <v>3.02</v>
      </c>
    </row>
    <row r="556" spans="1:11" ht="12.75" x14ac:dyDescent="0.2">
      <c r="A556" s="2">
        <v>41721</v>
      </c>
      <c r="B556" s="2" t="str">
        <f>TEXT(Table1[[#This Row],[Order Date]],"MMM")</f>
        <v>Mar</v>
      </c>
      <c r="C556" s="2" t="str">
        <f t="shared" si="8"/>
        <v>2014</v>
      </c>
      <c r="D556" s="1" t="s">
        <v>152</v>
      </c>
      <c r="E556" s="1" t="s">
        <v>27</v>
      </c>
      <c r="F556" s="1" t="s">
        <v>11</v>
      </c>
      <c r="G556" s="1" t="s">
        <v>20</v>
      </c>
      <c r="H556" s="1" t="s">
        <v>606</v>
      </c>
      <c r="I556" s="1">
        <v>119.62</v>
      </c>
      <c r="J556" s="1">
        <v>8</v>
      </c>
      <c r="K556" s="1">
        <v>40.369999999999997</v>
      </c>
    </row>
    <row r="557" spans="1:11" ht="12.75" x14ac:dyDescent="0.2">
      <c r="A557" s="2">
        <v>42817</v>
      </c>
      <c r="B557" s="2" t="str">
        <f>TEXT(Table1[[#This Row],[Order Date]],"MMM")</f>
        <v>Mar</v>
      </c>
      <c r="C557" s="2" t="str">
        <f t="shared" si="8"/>
        <v>2017</v>
      </c>
      <c r="D557" s="1" t="s">
        <v>626</v>
      </c>
      <c r="E557" s="1" t="s">
        <v>93</v>
      </c>
      <c r="F557" s="1" t="s">
        <v>11</v>
      </c>
      <c r="G557" s="1" t="s">
        <v>80</v>
      </c>
      <c r="H557" s="1" t="s">
        <v>473</v>
      </c>
      <c r="I557" s="1">
        <v>283.14</v>
      </c>
      <c r="J557" s="1">
        <v>4</v>
      </c>
      <c r="K557" s="1">
        <v>72.36</v>
      </c>
    </row>
    <row r="558" spans="1:11" ht="12.75" x14ac:dyDescent="0.2">
      <c r="A558" s="2">
        <v>41752</v>
      </c>
      <c r="B558" s="2" t="str">
        <f>TEXT(Table1[[#This Row],[Order Date]],"MMM")</f>
        <v>Apr</v>
      </c>
      <c r="C558" s="2" t="str">
        <f t="shared" si="8"/>
        <v>2014</v>
      </c>
      <c r="D558" s="1" t="s">
        <v>159</v>
      </c>
      <c r="E558" s="1" t="s">
        <v>27</v>
      </c>
      <c r="F558" s="1" t="s">
        <v>33</v>
      </c>
      <c r="G558" s="1" t="s">
        <v>117</v>
      </c>
      <c r="H558" s="1" t="s">
        <v>1299</v>
      </c>
      <c r="I558" s="1">
        <v>136.46</v>
      </c>
      <c r="J558" s="1">
        <v>2</v>
      </c>
      <c r="K558" s="1">
        <v>15.35</v>
      </c>
    </row>
    <row r="559" spans="1:11" ht="12.75" x14ac:dyDescent="0.2">
      <c r="A559" s="2">
        <v>42848</v>
      </c>
      <c r="B559" s="2" t="str">
        <f>TEXT(Table1[[#This Row],[Order Date]],"MMM")</f>
        <v>Apr</v>
      </c>
      <c r="C559" s="2" t="str">
        <f t="shared" si="8"/>
        <v>2017</v>
      </c>
      <c r="D559" s="1" t="s">
        <v>1300</v>
      </c>
      <c r="E559" s="1" t="s">
        <v>517</v>
      </c>
      <c r="F559" s="1" t="s">
        <v>11</v>
      </c>
      <c r="G559" s="1" t="s">
        <v>58</v>
      </c>
      <c r="H559" s="1" t="s">
        <v>84</v>
      </c>
      <c r="I559" s="1">
        <v>81.540000000000006</v>
      </c>
      <c r="J559" s="1">
        <v>3</v>
      </c>
      <c r="K559" s="1">
        <v>38.32</v>
      </c>
    </row>
    <row r="560" spans="1:11" ht="12.75" x14ac:dyDescent="0.2">
      <c r="A560" s="2">
        <v>41782</v>
      </c>
      <c r="B560" s="2" t="str">
        <f>TEXT(Table1[[#This Row],[Order Date]],"MMM")</f>
        <v>May</v>
      </c>
      <c r="C560" s="2" t="str">
        <f t="shared" si="8"/>
        <v>2014</v>
      </c>
      <c r="D560" s="1" t="s">
        <v>1301</v>
      </c>
      <c r="E560" s="1" t="s">
        <v>51</v>
      </c>
      <c r="F560" s="1" t="s">
        <v>11</v>
      </c>
      <c r="G560" s="1" t="s">
        <v>157</v>
      </c>
      <c r="H560" s="1" t="s">
        <v>1099</v>
      </c>
      <c r="I560" s="1">
        <v>35.06</v>
      </c>
      <c r="J560" s="1">
        <v>2</v>
      </c>
      <c r="K560" s="1">
        <v>10.52</v>
      </c>
    </row>
    <row r="561" spans="1:11" ht="12.75" x14ac:dyDescent="0.2">
      <c r="A561" s="2">
        <v>42513</v>
      </c>
      <c r="B561" s="2" t="str">
        <f>TEXT(Table1[[#This Row],[Order Date]],"MMM")</f>
        <v>May</v>
      </c>
      <c r="C561" s="2" t="str">
        <f t="shared" si="8"/>
        <v>2016</v>
      </c>
      <c r="D561" s="1" t="s">
        <v>1028</v>
      </c>
      <c r="E561" s="1" t="s">
        <v>319</v>
      </c>
      <c r="F561" s="1" t="s">
        <v>11</v>
      </c>
      <c r="G561" s="1" t="s">
        <v>24</v>
      </c>
      <c r="H561" s="1" t="s">
        <v>1145</v>
      </c>
      <c r="I561" s="1">
        <v>197.05</v>
      </c>
      <c r="J561" s="1">
        <v>7</v>
      </c>
      <c r="K561" s="1">
        <v>59.12</v>
      </c>
    </row>
    <row r="562" spans="1:11" ht="12.75" x14ac:dyDescent="0.2">
      <c r="A562" s="2">
        <v>41813</v>
      </c>
      <c r="B562" s="2" t="str">
        <f>TEXT(Table1[[#This Row],[Order Date]],"MMM")</f>
        <v>Jun</v>
      </c>
      <c r="C562" s="2" t="str">
        <f t="shared" si="8"/>
        <v>2014</v>
      </c>
      <c r="D562" s="1" t="s">
        <v>705</v>
      </c>
      <c r="E562" s="1" t="s">
        <v>133</v>
      </c>
      <c r="F562" s="1" t="s">
        <v>38</v>
      </c>
      <c r="G562" s="1" t="s">
        <v>48</v>
      </c>
      <c r="H562" s="1" t="s">
        <v>838</v>
      </c>
      <c r="I562" s="1">
        <v>179.97</v>
      </c>
      <c r="J562" s="1">
        <v>3</v>
      </c>
      <c r="K562" s="1">
        <v>86.39</v>
      </c>
    </row>
    <row r="563" spans="1:11" ht="12.75" x14ac:dyDescent="0.2">
      <c r="A563" s="2">
        <v>42178</v>
      </c>
      <c r="B563" s="2" t="str">
        <f>TEXT(Table1[[#This Row],[Order Date]],"MMM")</f>
        <v>Jun</v>
      </c>
      <c r="C563" s="2" t="str">
        <f t="shared" si="8"/>
        <v>2015</v>
      </c>
      <c r="D563" s="1" t="s">
        <v>830</v>
      </c>
      <c r="E563" s="1" t="s">
        <v>186</v>
      </c>
      <c r="F563" s="1" t="s">
        <v>11</v>
      </c>
      <c r="G563" s="1" t="s">
        <v>12</v>
      </c>
      <c r="H563" s="1" t="s">
        <v>893</v>
      </c>
      <c r="I563" s="1">
        <v>30.82</v>
      </c>
      <c r="J563" s="1">
        <v>9</v>
      </c>
      <c r="K563" s="1">
        <v>9.6300000000000008</v>
      </c>
    </row>
    <row r="564" spans="1:11" ht="12.75" x14ac:dyDescent="0.2">
      <c r="A564" s="2">
        <v>42544</v>
      </c>
      <c r="B564" s="2" t="str">
        <f>TEXT(Table1[[#This Row],[Order Date]],"MMM")</f>
        <v>Jun</v>
      </c>
      <c r="C564" s="2" t="str">
        <f t="shared" si="8"/>
        <v>2016</v>
      </c>
      <c r="D564" s="1" t="s">
        <v>1101</v>
      </c>
      <c r="E564" s="1" t="s">
        <v>261</v>
      </c>
      <c r="F564" s="1" t="s">
        <v>11</v>
      </c>
      <c r="G564" s="1" t="s">
        <v>12</v>
      </c>
      <c r="H564" s="1" t="s">
        <v>332</v>
      </c>
      <c r="I564" s="1">
        <v>6.48</v>
      </c>
      <c r="J564" s="1">
        <v>1</v>
      </c>
      <c r="K564" s="1">
        <v>3.11</v>
      </c>
    </row>
    <row r="565" spans="1:11" ht="12.75" x14ac:dyDescent="0.2">
      <c r="A565" s="2">
        <v>41843</v>
      </c>
      <c r="B565" s="2" t="str">
        <f>TEXT(Table1[[#This Row],[Order Date]],"MMM")</f>
        <v>Jul</v>
      </c>
      <c r="C565" s="2" t="str">
        <f t="shared" si="8"/>
        <v>2014</v>
      </c>
      <c r="D565" s="1" t="s">
        <v>616</v>
      </c>
      <c r="E565" s="1" t="s">
        <v>186</v>
      </c>
      <c r="F565" s="1" t="s">
        <v>11</v>
      </c>
      <c r="G565" s="1" t="s">
        <v>20</v>
      </c>
      <c r="H565" s="1" t="s">
        <v>678</v>
      </c>
      <c r="I565" s="1">
        <v>11.23</v>
      </c>
      <c r="J565" s="1">
        <v>8</v>
      </c>
      <c r="K565" s="1">
        <v>-8.24</v>
      </c>
    </row>
    <row r="566" spans="1:11" ht="12.75" x14ac:dyDescent="0.2">
      <c r="A566" s="2">
        <v>41874</v>
      </c>
      <c r="B566" s="2" t="str">
        <f>TEXT(Table1[[#This Row],[Order Date]],"MMM")</f>
        <v>Aug</v>
      </c>
      <c r="C566" s="2" t="str">
        <f t="shared" si="8"/>
        <v>2014</v>
      </c>
      <c r="D566" s="1" t="s">
        <v>1278</v>
      </c>
      <c r="E566" s="1" t="s">
        <v>27</v>
      </c>
      <c r="F566" s="1" t="s">
        <v>11</v>
      </c>
      <c r="G566" s="1" t="s">
        <v>12</v>
      </c>
      <c r="H566" s="1" t="s">
        <v>1302</v>
      </c>
      <c r="I566" s="1">
        <v>15.54</v>
      </c>
      <c r="J566" s="1">
        <v>3</v>
      </c>
      <c r="K566" s="1">
        <v>7.61</v>
      </c>
    </row>
    <row r="567" spans="1:11" ht="12.75" x14ac:dyDescent="0.2">
      <c r="A567" s="2">
        <v>42239</v>
      </c>
      <c r="B567" s="2" t="str">
        <f>TEXT(Table1[[#This Row],[Order Date]],"MMM")</f>
        <v>Aug</v>
      </c>
      <c r="C567" s="2" t="str">
        <f t="shared" si="8"/>
        <v>2015</v>
      </c>
      <c r="D567" s="1" t="s">
        <v>580</v>
      </c>
      <c r="E567" s="1" t="s">
        <v>199</v>
      </c>
      <c r="F567" s="1" t="s">
        <v>11</v>
      </c>
      <c r="G567" s="1" t="s">
        <v>20</v>
      </c>
      <c r="H567" s="1" t="s">
        <v>681</v>
      </c>
      <c r="I567" s="1">
        <v>18.88</v>
      </c>
      <c r="J567" s="1">
        <v>3</v>
      </c>
      <c r="K567" s="1">
        <v>-13.85</v>
      </c>
    </row>
    <row r="568" spans="1:11" ht="12.75" x14ac:dyDescent="0.2">
      <c r="A568" s="2">
        <v>42970</v>
      </c>
      <c r="B568" s="2" t="str">
        <f>TEXT(Table1[[#This Row],[Order Date]],"MMM")</f>
        <v>Aug</v>
      </c>
      <c r="C568" s="2" t="str">
        <f t="shared" si="8"/>
        <v>2017</v>
      </c>
      <c r="D568" s="1" t="s">
        <v>1204</v>
      </c>
      <c r="E568" s="1" t="s">
        <v>119</v>
      </c>
      <c r="F568" s="1" t="s">
        <v>11</v>
      </c>
      <c r="G568" s="1" t="s">
        <v>80</v>
      </c>
      <c r="H568" s="1" t="s">
        <v>588</v>
      </c>
      <c r="I568" s="1">
        <v>355.32</v>
      </c>
      <c r="J568" s="1">
        <v>9</v>
      </c>
      <c r="K568" s="1">
        <v>99.49</v>
      </c>
    </row>
    <row r="569" spans="1:11" ht="12.75" x14ac:dyDescent="0.2">
      <c r="A569" s="2">
        <v>42636</v>
      </c>
      <c r="B569" s="2" t="str">
        <f>TEXT(Table1[[#This Row],[Order Date]],"MMM")</f>
        <v>Sep</v>
      </c>
      <c r="C569" s="2" t="str">
        <f t="shared" si="8"/>
        <v>2016</v>
      </c>
      <c r="D569" s="1" t="s">
        <v>476</v>
      </c>
      <c r="E569" s="1" t="s">
        <v>93</v>
      </c>
      <c r="F569" s="1" t="s">
        <v>38</v>
      </c>
      <c r="G569" s="1" t="s">
        <v>39</v>
      </c>
      <c r="H569" s="1" t="s">
        <v>1213</v>
      </c>
      <c r="I569" s="1">
        <v>14.78</v>
      </c>
      <c r="J569" s="1">
        <v>2</v>
      </c>
      <c r="K569" s="1">
        <v>3.99</v>
      </c>
    </row>
    <row r="570" spans="1:11" ht="12.75" x14ac:dyDescent="0.2">
      <c r="A570" s="2">
        <v>41966</v>
      </c>
      <c r="B570" s="2" t="str">
        <f>TEXT(Table1[[#This Row],[Order Date]],"MMM")</f>
        <v>Nov</v>
      </c>
      <c r="C570" s="2" t="str">
        <f t="shared" si="8"/>
        <v>2014</v>
      </c>
      <c r="D570" s="1" t="s">
        <v>1241</v>
      </c>
      <c r="E570" s="1" t="s">
        <v>186</v>
      </c>
      <c r="F570" s="1" t="s">
        <v>11</v>
      </c>
      <c r="G570" s="1" t="s">
        <v>16</v>
      </c>
      <c r="H570" s="1" t="s">
        <v>569</v>
      </c>
      <c r="I570" s="1">
        <v>9.2200000000000006</v>
      </c>
      <c r="J570" s="1">
        <v>4</v>
      </c>
      <c r="K570" s="1">
        <v>3.34</v>
      </c>
    </row>
    <row r="571" spans="1:11" ht="12.75" x14ac:dyDescent="0.2">
      <c r="A571" s="2">
        <v>42331</v>
      </c>
      <c r="B571" s="2" t="str">
        <f>TEXT(Table1[[#This Row],[Order Date]],"MMM")</f>
        <v>Nov</v>
      </c>
      <c r="C571" s="2" t="str">
        <f t="shared" si="8"/>
        <v>2015</v>
      </c>
      <c r="D571" s="1" t="s">
        <v>652</v>
      </c>
      <c r="E571" s="1" t="s">
        <v>199</v>
      </c>
      <c r="F571" s="1" t="s">
        <v>11</v>
      </c>
      <c r="G571" s="1" t="s">
        <v>12</v>
      </c>
      <c r="H571" s="1" t="s">
        <v>781</v>
      </c>
      <c r="I571" s="1">
        <v>15.48</v>
      </c>
      <c r="J571" s="1">
        <v>3</v>
      </c>
      <c r="K571" s="1">
        <v>5.61</v>
      </c>
    </row>
    <row r="572" spans="1:11" ht="12.75" x14ac:dyDescent="0.2">
      <c r="A572" s="2">
        <v>42697</v>
      </c>
      <c r="B572" s="2" t="str">
        <f>TEXT(Table1[[#This Row],[Order Date]],"MMM")</f>
        <v>Nov</v>
      </c>
      <c r="C572" s="2" t="str">
        <f t="shared" si="8"/>
        <v>2016</v>
      </c>
      <c r="D572" s="1" t="s">
        <v>212</v>
      </c>
      <c r="E572" s="1" t="s">
        <v>15</v>
      </c>
      <c r="F572" s="1" t="s">
        <v>11</v>
      </c>
      <c r="G572" s="1" t="s">
        <v>12</v>
      </c>
      <c r="H572" s="1" t="s">
        <v>1244</v>
      </c>
      <c r="I572" s="1">
        <v>64.62</v>
      </c>
      <c r="J572" s="1">
        <v>7</v>
      </c>
      <c r="K572" s="1">
        <v>22.62</v>
      </c>
    </row>
    <row r="573" spans="1:11" ht="12.75" x14ac:dyDescent="0.2">
      <c r="A573" s="2">
        <v>43062</v>
      </c>
      <c r="B573" s="2" t="str">
        <f>TEXT(Table1[[#This Row],[Order Date]],"MMM")</f>
        <v>Nov</v>
      </c>
      <c r="C573" s="2" t="str">
        <f t="shared" si="8"/>
        <v>2017</v>
      </c>
      <c r="D573" s="1" t="s">
        <v>870</v>
      </c>
      <c r="E573" s="1" t="s">
        <v>23</v>
      </c>
      <c r="F573" s="1" t="s">
        <v>38</v>
      </c>
      <c r="G573" s="1" t="s">
        <v>39</v>
      </c>
      <c r="H573" s="1" t="s">
        <v>139</v>
      </c>
      <c r="I573" s="1">
        <v>290.89999999999998</v>
      </c>
      <c r="J573" s="1">
        <v>3</v>
      </c>
      <c r="K573" s="1">
        <v>-67.88</v>
      </c>
    </row>
    <row r="574" spans="1:11" ht="12.75" x14ac:dyDescent="0.2">
      <c r="A574" s="2">
        <v>41996</v>
      </c>
      <c r="B574" s="2" t="str">
        <f>TEXT(Table1[[#This Row],[Order Date]],"MMM")</f>
        <v>Dec</v>
      </c>
      <c r="C574" s="2" t="str">
        <f t="shared" si="8"/>
        <v>2014</v>
      </c>
      <c r="D574" s="1" t="s">
        <v>1194</v>
      </c>
      <c r="E574" s="1" t="s">
        <v>119</v>
      </c>
      <c r="F574" s="1" t="s">
        <v>38</v>
      </c>
      <c r="G574" s="1" t="s">
        <v>48</v>
      </c>
      <c r="H574" s="1" t="s">
        <v>1031</v>
      </c>
      <c r="I574" s="1">
        <v>6.79</v>
      </c>
      <c r="J574" s="1">
        <v>1</v>
      </c>
      <c r="K574" s="1">
        <v>2.31</v>
      </c>
    </row>
    <row r="575" spans="1:11" ht="12.75" x14ac:dyDescent="0.2">
      <c r="A575" s="2">
        <v>42361</v>
      </c>
      <c r="B575" s="2" t="str">
        <f>TEXT(Table1[[#This Row],[Order Date]],"MMM")</f>
        <v>Dec</v>
      </c>
      <c r="C575" s="2" t="str">
        <f t="shared" si="8"/>
        <v>2015</v>
      </c>
      <c r="D575" s="1" t="s">
        <v>896</v>
      </c>
      <c r="E575" s="1" t="s">
        <v>119</v>
      </c>
      <c r="F575" s="1" t="s">
        <v>11</v>
      </c>
      <c r="G575" s="1" t="s">
        <v>24</v>
      </c>
      <c r="H575" s="1" t="s">
        <v>886</v>
      </c>
      <c r="I575" s="1">
        <v>75.48</v>
      </c>
      <c r="J575" s="1">
        <v>2</v>
      </c>
      <c r="K575" s="1">
        <v>19.62</v>
      </c>
    </row>
    <row r="576" spans="1:11" ht="12.75" x14ac:dyDescent="0.2">
      <c r="A576" s="2">
        <v>42727</v>
      </c>
      <c r="B576" s="2" t="str">
        <f>TEXT(Table1[[#This Row],[Order Date]],"MMM")</f>
        <v>Dec</v>
      </c>
      <c r="C576" s="2" t="str">
        <f t="shared" si="8"/>
        <v>2016</v>
      </c>
      <c r="D576" s="1" t="s">
        <v>294</v>
      </c>
      <c r="E576" s="1" t="s">
        <v>23</v>
      </c>
      <c r="F576" s="1" t="s">
        <v>11</v>
      </c>
      <c r="G576" s="1" t="s">
        <v>20</v>
      </c>
      <c r="H576" s="1" t="s">
        <v>1139</v>
      </c>
      <c r="I576" s="1">
        <v>1141.47</v>
      </c>
      <c r="J576" s="1">
        <v>5</v>
      </c>
      <c r="K576" s="1">
        <v>-760.98</v>
      </c>
    </row>
    <row r="577" spans="1:11" ht="12.75" x14ac:dyDescent="0.2">
      <c r="A577" s="2">
        <v>43092</v>
      </c>
      <c r="B577" s="2" t="str">
        <f>TEXT(Table1[[#This Row],[Order Date]],"MMM")</f>
        <v>Dec</v>
      </c>
      <c r="C577" s="2" t="str">
        <f t="shared" ref="C577:C640" si="9">TEXT(A577,"YYY")</f>
        <v>2017</v>
      </c>
      <c r="D577" s="1" t="s">
        <v>1105</v>
      </c>
      <c r="E577" s="1" t="s">
        <v>10</v>
      </c>
      <c r="F577" s="1" t="s">
        <v>11</v>
      </c>
      <c r="G577" s="1" t="s">
        <v>18</v>
      </c>
      <c r="H577" s="1" t="s">
        <v>1282</v>
      </c>
      <c r="I577" s="1">
        <v>35.950000000000003</v>
      </c>
      <c r="J577" s="1">
        <v>3</v>
      </c>
      <c r="K577" s="1">
        <v>3.6</v>
      </c>
    </row>
    <row r="578" spans="1:11" ht="12.75" x14ac:dyDescent="0.2">
      <c r="A578" s="2">
        <v>42393</v>
      </c>
      <c r="B578" s="2" t="str">
        <f>TEXT(Table1[[#This Row],[Order Date]],"MMM")</f>
        <v>Jan</v>
      </c>
      <c r="C578" s="2" t="str">
        <f t="shared" si="9"/>
        <v>2016</v>
      </c>
      <c r="D578" s="1" t="s">
        <v>1166</v>
      </c>
      <c r="E578" s="1" t="s">
        <v>119</v>
      </c>
      <c r="F578" s="1" t="s">
        <v>11</v>
      </c>
      <c r="G578" s="1" t="s">
        <v>18</v>
      </c>
      <c r="H578" s="1" t="s">
        <v>1306</v>
      </c>
      <c r="I578" s="1">
        <v>59.48</v>
      </c>
      <c r="J578" s="1">
        <v>2</v>
      </c>
      <c r="K578" s="1">
        <v>8.92</v>
      </c>
    </row>
    <row r="579" spans="1:11" ht="12.75" x14ac:dyDescent="0.2">
      <c r="A579" s="2">
        <v>42759</v>
      </c>
      <c r="B579" s="2" t="str">
        <f>TEXT(Table1[[#This Row],[Order Date]],"MMM")</f>
        <v>Jan</v>
      </c>
      <c r="C579" s="2" t="str">
        <f t="shared" si="9"/>
        <v>2017</v>
      </c>
      <c r="D579" s="1" t="s">
        <v>1218</v>
      </c>
      <c r="E579" s="1" t="s">
        <v>27</v>
      </c>
      <c r="F579" s="1" t="s">
        <v>11</v>
      </c>
      <c r="G579" s="1" t="s">
        <v>12</v>
      </c>
      <c r="H579" s="1" t="s">
        <v>607</v>
      </c>
      <c r="I579" s="1">
        <v>7.61</v>
      </c>
      <c r="J579" s="1">
        <v>1</v>
      </c>
      <c r="K579" s="1">
        <v>3.58</v>
      </c>
    </row>
    <row r="580" spans="1:11" ht="12.75" x14ac:dyDescent="0.2">
      <c r="A580" s="2">
        <v>41722</v>
      </c>
      <c r="B580" s="2" t="str">
        <f>TEXT(Table1[[#This Row],[Order Date]],"MMM")</f>
        <v>Mar</v>
      </c>
      <c r="C580" s="2" t="str">
        <f t="shared" si="9"/>
        <v>2014</v>
      </c>
      <c r="D580" s="1" t="s">
        <v>1073</v>
      </c>
      <c r="E580" s="1" t="s">
        <v>199</v>
      </c>
      <c r="F580" s="1" t="s">
        <v>33</v>
      </c>
      <c r="G580" s="1" t="s">
        <v>44</v>
      </c>
      <c r="H580" s="1" t="s">
        <v>315</v>
      </c>
      <c r="I580" s="1">
        <v>15.14</v>
      </c>
      <c r="J580" s="1">
        <v>4</v>
      </c>
      <c r="K580" s="1">
        <v>3.59</v>
      </c>
    </row>
    <row r="581" spans="1:11" ht="12.75" x14ac:dyDescent="0.2">
      <c r="A581" s="2">
        <v>42087</v>
      </c>
      <c r="B581" s="2" t="str">
        <f>TEXT(Table1[[#This Row],[Order Date]],"MMM")</f>
        <v>Mar</v>
      </c>
      <c r="C581" s="2" t="str">
        <f t="shared" si="9"/>
        <v>2015</v>
      </c>
      <c r="D581" s="1" t="s">
        <v>1070</v>
      </c>
      <c r="E581" s="1" t="s">
        <v>23</v>
      </c>
      <c r="F581" s="1" t="s">
        <v>11</v>
      </c>
      <c r="G581" s="1" t="s">
        <v>12</v>
      </c>
      <c r="H581" s="1" t="s">
        <v>1308</v>
      </c>
      <c r="I581" s="1">
        <v>5.34</v>
      </c>
      <c r="J581" s="1">
        <v>1</v>
      </c>
      <c r="K581" s="1">
        <v>1.87</v>
      </c>
    </row>
    <row r="582" spans="1:11" ht="12.75" x14ac:dyDescent="0.2">
      <c r="A582" s="2">
        <v>42453</v>
      </c>
      <c r="B582" s="2" t="str">
        <f>TEXT(Table1[[#This Row],[Order Date]],"MMM")</f>
        <v>Mar</v>
      </c>
      <c r="C582" s="2" t="str">
        <f t="shared" si="9"/>
        <v>2016</v>
      </c>
      <c r="D582" s="1" t="s">
        <v>1206</v>
      </c>
      <c r="E582" s="1" t="s">
        <v>119</v>
      </c>
      <c r="F582" s="1" t="s">
        <v>11</v>
      </c>
      <c r="G582" s="1" t="s">
        <v>20</v>
      </c>
      <c r="H582" s="1" t="s">
        <v>787</v>
      </c>
      <c r="I582" s="1">
        <v>4.62</v>
      </c>
      <c r="J582" s="1">
        <v>1</v>
      </c>
      <c r="K582" s="1">
        <v>1.73</v>
      </c>
    </row>
    <row r="583" spans="1:11" ht="12.75" x14ac:dyDescent="0.2">
      <c r="A583" s="2">
        <v>42818</v>
      </c>
      <c r="B583" s="2" t="str">
        <f>TEXT(Table1[[#This Row],[Order Date]],"MMM")</f>
        <v>Mar</v>
      </c>
      <c r="C583" s="2" t="str">
        <f t="shared" si="9"/>
        <v>2017</v>
      </c>
      <c r="D583" s="1" t="s">
        <v>848</v>
      </c>
      <c r="E583" s="1" t="s">
        <v>15</v>
      </c>
      <c r="F583" s="1" t="s">
        <v>33</v>
      </c>
      <c r="G583" s="1" t="s">
        <v>34</v>
      </c>
      <c r="H583" s="1" t="s">
        <v>612</v>
      </c>
      <c r="I583" s="1">
        <v>701.37</v>
      </c>
      <c r="J583" s="1">
        <v>2</v>
      </c>
      <c r="K583" s="1">
        <v>-50.1</v>
      </c>
    </row>
    <row r="584" spans="1:11" ht="12.75" x14ac:dyDescent="0.2">
      <c r="A584" s="2">
        <v>42118</v>
      </c>
      <c r="B584" s="2" t="str">
        <f>TEXT(Table1[[#This Row],[Order Date]],"MMM")</f>
        <v>Apr</v>
      </c>
      <c r="C584" s="2" t="str">
        <f t="shared" si="9"/>
        <v>2015</v>
      </c>
      <c r="D584" s="1" t="s">
        <v>302</v>
      </c>
      <c r="E584" s="1" t="s">
        <v>27</v>
      </c>
      <c r="F584" s="1" t="s">
        <v>11</v>
      </c>
      <c r="G584" s="1" t="s">
        <v>12</v>
      </c>
      <c r="H584" s="1" t="s">
        <v>460</v>
      </c>
      <c r="I584" s="1">
        <v>65.790000000000006</v>
      </c>
      <c r="J584" s="1">
        <v>9</v>
      </c>
      <c r="K584" s="1">
        <v>30.26</v>
      </c>
    </row>
    <row r="585" spans="1:11" ht="12.75" x14ac:dyDescent="0.2">
      <c r="A585" s="2">
        <v>42484</v>
      </c>
      <c r="B585" s="2" t="str">
        <f>TEXT(Table1[[#This Row],[Order Date]],"MMM")</f>
        <v>Apr</v>
      </c>
      <c r="C585" s="2" t="str">
        <f t="shared" si="9"/>
        <v>2016</v>
      </c>
      <c r="D585" s="1" t="s">
        <v>509</v>
      </c>
      <c r="E585" s="1" t="s">
        <v>68</v>
      </c>
      <c r="F585" s="1" t="s">
        <v>33</v>
      </c>
      <c r="G585" s="1" t="s">
        <v>44</v>
      </c>
      <c r="H585" s="1" t="s">
        <v>151</v>
      </c>
      <c r="I585" s="1">
        <v>532.70000000000005</v>
      </c>
      <c r="J585" s="1">
        <v>6</v>
      </c>
      <c r="K585" s="1">
        <v>-26.64</v>
      </c>
    </row>
    <row r="586" spans="1:11" ht="12.75" x14ac:dyDescent="0.2">
      <c r="A586" s="2">
        <v>42849</v>
      </c>
      <c r="B586" s="2" t="str">
        <f>TEXT(Table1[[#This Row],[Order Date]],"MMM")</f>
        <v>Apr</v>
      </c>
      <c r="C586" s="2" t="str">
        <f t="shared" si="9"/>
        <v>2017</v>
      </c>
      <c r="D586" s="1" t="s">
        <v>894</v>
      </c>
      <c r="E586" s="1" t="s">
        <v>68</v>
      </c>
      <c r="F586" s="1" t="s">
        <v>33</v>
      </c>
      <c r="G586" s="1" t="s">
        <v>34</v>
      </c>
      <c r="H586" s="1" t="s">
        <v>1142</v>
      </c>
      <c r="I586" s="1">
        <v>155.37</v>
      </c>
      <c r="J586" s="1">
        <v>2</v>
      </c>
      <c r="K586" s="1">
        <v>-13.32</v>
      </c>
    </row>
    <row r="587" spans="1:11" ht="12.75" x14ac:dyDescent="0.2">
      <c r="A587" s="2">
        <v>41783</v>
      </c>
      <c r="B587" s="2" t="str">
        <f>TEXT(Table1[[#This Row],[Order Date]],"MMM")</f>
        <v>May</v>
      </c>
      <c r="C587" s="2" t="str">
        <f t="shared" si="9"/>
        <v>2014</v>
      </c>
      <c r="D587" s="1" t="s">
        <v>145</v>
      </c>
      <c r="E587" s="1" t="s">
        <v>15</v>
      </c>
      <c r="F587" s="1" t="s">
        <v>33</v>
      </c>
      <c r="G587" s="1" t="s">
        <v>34</v>
      </c>
      <c r="H587" s="1" t="s">
        <v>89</v>
      </c>
      <c r="I587" s="1">
        <v>747.56</v>
      </c>
      <c r="J587" s="1">
        <v>3</v>
      </c>
      <c r="K587" s="1">
        <v>-96.11</v>
      </c>
    </row>
    <row r="588" spans="1:11" ht="12.75" x14ac:dyDescent="0.2">
      <c r="A588" s="2">
        <v>41814</v>
      </c>
      <c r="B588" s="2" t="str">
        <f>TEXT(Table1[[#This Row],[Order Date]],"MMM")</f>
        <v>Jun</v>
      </c>
      <c r="C588" s="2" t="str">
        <f t="shared" si="9"/>
        <v>2014</v>
      </c>
      <c r="D588" s="1" t="s">
        <v>613</v>
      </c>
      <c r="E588" s="1" t="s">
        <v>10</v>
      </c>
      <c r="F588" s="1" t="s">
        <v>33</v>
      </c>
      <c r="G588" s="1" t="s">
        <v>65</v>
      </c>
      <c r="H588" s="1" t="s">
        <v>1173</v>
      </c>
      <c r="I588" s="1">
        <v>956.66</v>
      </c>
      <c r="J588" s="1">
        <v>7</v>
      </c>
      <c r="K588" s="1">
        <v>-225.1</v>
      </c>
    </row>
    <row r="589" spans="1:11" ht="12.75" x14ac:dyDescent="0.2">
      <c r="A589" s="2">
        <v>42545</v>
      </c>
      <c r="B589" s="2" t="str">
        <f>TEXT(Table1[[#This Row],[Order Date]],"MMM")</f>
        <v>Jun</v>
      </c>
      <c r="C589" s="2" t="str">
        <f t="shared" si="9"/>
        <v>2016</v>
      </c>
      <c r="D589" s="1" t="s">
        <v>1096</v>
      </c>
      <c r="E589" s="1" t="s">
        <v>23</v>
      </c>
      <c r="F589" s="1" t="s">
        <v>11</v>
      </c>
      <c r="G589" s="1" t="s">
        <v>16</v>
      </c>
      <c r="H589" s="1" t="s">
        <v>149</v>
      </c>
      <c r="I589" s="1">
        <v>15.94</v>
      </c>
      <c r="J589" s="1">
        <v>4</v>
      </c>
      <c r="K589" s="1">
        <v>5.18</v>
      </c>
    </row>
    <row r="590" spans="1:11" ht="12.75" x14ac:dyDescent="0.2">
      <c r="A590" s="2">
        <v>41875</v>
      </c>
      <c r="B590" s="2" t="str">
        <f>TEXT(Table1[[#This Row],[Order Date]],"MMM")</f>
        <v>Aug</v>
      </c>
      <c r="C590" s="2" t="str">
        <f t="shared" si="9"/>
        <v>2014</v>
      </c>
      <c r="D590" s="1" t="s">
        <v>1169</v>
      </c>
      <c r="E590" s="1" t="s">
        <v>119</v>
      </c>
      <c r="F590" s="1" t="s">
        <v>11</v>
      </c>
      <c r="G590" s="1" t="s">
        <v>80</v>
      </c>
      <c r="H590" s="1" t="s">
        <v>746</v>
      </c>
      <c r="I590" s="1">
        <v>61.44</v>
      </c>
      <c r="J590" s="1">
        <v>3</v>
      </c>
      <c r="K590" s="1">
        <v>16.59</v>
      </c>
    </row>
    <row r="591" spans="1:11" ht="12.75" x14ac:dyDescent="0.2">
      <c r="A591" s="2">
        <v>42971</v>
      </c>
      <c r="B591" s="2" t="str">
        <f>TEXT(Table1[[#This Row],[Order Date]],"MMM")</f>
        <v>Aug</v>
      </c>
      <c r="C591" s="2" t="str">
        <f t="shared" si="9"/>
        <v>2017</v>
      </c>
      <c r="D591" s="1" t="s">
        <v>981</v>
      </c>
      <c r="E591" s="1" t="s">
        <v>27</v>
      </c>
      <c r="F591" s="1" t="s">
        <v>11</v>
      </c>
      <c r="G591" s="1" t="s">
        <v>20</v>
      </c>
      <c r="H591" s="1" t="s">
        <v>863</v>
      </c>
      <c r="I591" s="1">
        <v>27.26</v>
      </c>
      <c r="J591" s="1">
        <v>2</v>
      </c>
      <c r="K591" s="1">
        <v>8.86</v>
      </c>
    </row>
    <row r="592" spans="1:11" ht="12.75" x14ac:dyDescent="0.2">
      <c r="A592" s="2">
        <v>41906</v>
      </c>
      <c r="B592" s="2" t="str">
        <f>TEXT(Table1[[#This Row],[Order Date]],"MMM")</f>
        <v>Sep</v>
      </c>
      <c r="C592" s="2" t="str">
        <f t="shared" si="9"/>
        <v>2014</v>
      </c>
      <c r="D592" s="1" t="s">
        <v>1066</v>
      </c>
      <c r="E592" s="1" t="s">
        <v>10</v>
      </c>
      <c r="F592" s="1" t="s">
        <v>33</v>
      </c>
      <c r="G592" s="1" t="s">
        <v>44</v>
      </c>
      <c r="H592" s="1" t="s">
        <v>1220</v>
      </c>
      <c r="I592" s="1">
        <v>51.71</v>
      </c>
      <c r="J592" s="1">
        <v>8</v>
      </c>
      <c r="K592" s="1">
        <v>-32.32</v>
      </c>
    </row>
    <row r="593" spans="1:11" ht="12.75" x14ac:dyDescent="0.2">
      <c r="A593" s="2">
        <v>42271</v>
      </c>
      <c r="B593" s="2" t="str">
        <f>TEXT(Table1[[#This Row],[Order Date]],"MMM")</f>
        <v>Sep</v>
      </c>
      <c r="C593" s="2" t="str">
        <f t="shared" si="9"/>
        <v>2015</v>
      </c>
      <c r="D593" s="1" t="s">
        <v>223</v>
      </c>
      <c r="E593" s="1" t="s">
        <v>133</v>
      </c>
      <c r="F593" s="1" t="s">
        <v>38</v>
      </c>
      <c r="G593" s="1" t="s">
        <v>48</v>
      </c>
      <c r="H593" s="1" t="s">
        <v>757</v>
      </c>
      <c r="I593" s="1">
        <v>177</v>
      </c>
      <c r="J593" s="1">
        <v>3</v>
      </c>
      <c r="K593" s="1">
        <v>30.09</v>
      </c>
    </row>
    <row r="594" spans="1:11" ht="12.75" x14ac:dyDescent="0.2">
      <c r="A594" s="2">
        <v>42637</v>
      </c>
      <c r="B594" s="2" t="str">
        <f>TEXT(Table1[[#This Row],[Order Date]],"MMM")</f>
        <v>Sep</v>
      </c>
      <c r="C594" s="2" t="str">
        <f t="shared" si="9"/>
        <v>2016</v>
      </c>
      <c r="D594" s="1" t="s">
        <v>1231</v>
      </c>
      <c r="E594" s="1" t="s">
        <v>210</v>
      </c>
      <c r="F594" s="1" t="s">
        <v>11</v>
      </c>
      <c r="G594" s="1" t="s">
        <v>12</v>
      </c>
      <c r="H594" s="1" t="s">
        <v>1311</v>
      </c>
      <c r="I594" s="1">
        <v>45.68</v>
      </c>
      <c r="J594" s="1">
        <v>2</v>
      </c>
      <c r="K594" s="1">
        <v>21.01</v>
      </c>
    </row>
    <row r="595" spans="1:11" ht="12.75" x14ac:dyDescent="0.2">
      <c r="A595" s="2">
        <v>43032</v>
      </c>
      <c r="B595" s="2" t="str">
        <f>TEXT(Table1[[#This Row],[Order Date]],"MMM")</f>
        <v>Oct</v>
      </c>
      <c r="C595" s="2" t="str">
        <f t="shared" si="9"/>
        <v>2017</v>
      </c>
      <c r="D595" s="1" t="s">
        <v>1119</v>
      </c>
      <c r="E595" s="1" t="s">
        <v>27</v>
      </c>
      <c r="F595" s="1" t="s">
        <v>11</v>
      </c>
      <c r="G595" s="1" t="s">
        <v>20</v>
      </c>
      <c r="H595" s="1" t="s">
        <v>390</v>
      </c>
      <c r="I595" s="1">
        <v>18.16</v>
      </c>
      <c r="J595" s="1">
        <v>5</v>
      </c>
      <c r="K595" s="1">
        <v>6.58</v>
      </c>
    </row>
    <row r="596" spans="1:11" ht="12.75" x14ac:dyDescent="0.2">
      <c r="A596" s="2">
        <v>41967</v>
      </c>
      <c r="B596" s="2" t="str">
        <f>TEXT(Table1[[#This Row],[Order Date]],"MMM")</f>
        <v>Nov</v>
      </c>
      <c r="C596" s="2" t="str">
        <f t="shared" si="9"/>
        <v>2014</v>
      </c>
      <c r="D596" s="1" t="s">
        <v>1124</v>
      </c>
      <c r="E596" s="1" t="s">
        <v>23</v>
      </c>
      <c r="F596" s="1" t="s">
        <v>33</v>
      </c>
      <c r="G596" s="1" t="s">
        <v>34</v>
      </c>
      <c r="H596" s="1" t="s">
        <v>462</v>
      </c>
      <c r="I596" s="1">
        <v>492.84</v>
      </c>
      <c r="J596" s="1">
        <v>5</v>
      </c>
      <c r="K596" s="1">
        <v>-14.08</v>
      </c>
    </row>
    <row r="597" spans="1:11" ht="12.75" x14ac:dyDescent="0.2">
      <c r="A597" s="2">
        <v>42332</v>
      </c>
      <c r="B597" s="2" t="str">
        <f>TEXT(Table1[[#This Row],[Order Date]],"MMM")</f>
        <v>Nov</v>
      </c>
      <c r="C597" s="2" t="str">
        <f t="shared" si="9"/>
        <v>2015</v>
      </c>
      <c r="D597" s="1" t="s">
        <v>598</v>
      </c>
      <c r="E597" s="1" t="s">
        <v>51</v>
      </c>
      <c r="F597" s="1" t="s">
        <v>38</v>
      </c>
      <c r="G597" s="1" t="s">
        <v>39</v>
      </c>
      <c r="H597" s="1" t="s">
        <v>415</v>
      </c>
      <c r="I597" s="1">
        <v>21.8</v>
      </c>
      <c r="J597" s="1">
        <v>2</v>
      </c>
      <c r="K597" s="1">
        <v>6.1</v>
      </c>
    </row>
    <row r="598" spans="1:11" ht="12.75" x14ac:dyDescent="0.2">
      <c r="A598" s="2">
        <v>41997</v>
      </c>
      <c r="B598" s="2" t="str">
        <f>TEXT(Table1[[#This Row],[Order Date]],"MMM")</f>
        <v>Dec</v>
      </c>
      <c r="C598" s="2" t="str">
        <f t="shared" si="9"/>
        <v>2014</v>
      </c>
      <c r="D598" s="1" t="s">
        <v>189</v>
      </c>
      <c r="E598" s="1" t="s">
        <v>261</v>
      </c>
      <c r="F598" s="1" t="s">
        <v>11</v>
      </c>
      <c r="G598" s="1" t="s">
        <v>24</v>
      </c>
      <c r="H598" s="1" t="s">
        <v>737</v>
      </c>
      <c r="I598" s="1">
        <v>75.959999999999994</v>
      </c>
      <c r="J598" s="1">
        <v>2</v>
      </c>
      <c r="K598" s="1">
        <v>22.79</v>
      </c>
    </row>
    <row r="599" spans="1:11" ht="12.75" x14ac:dyDescent="0.2">
      <c r="A599" s="2">
        <v>42362</v>
      </c>
      <c r="B599" s="2" t="str">
        <f>TEXT(Table1[[#This Row],[Order Date]],"MMM")</f>
        <v>Dec</v>
      </c>
      <c r="C599" s="2" t="str">
        <f t="shared" si="9"/>
        <v>2015</v>
      </c>
      <c r="D599" s="1" t="s">
        <v>793</v>
      </c>
      <c r="E599" s="1" t="s">
        <v>27</v>
      </c>
      <c r="F599" s="1" t="s">
        <v>11</v>
      </c>
      <c r="G599" s="1" t="s">
        <v>20</v>
      </c>
      <c r="H599" s="1" t="s">
        <v>1227</v>
      </c>
      <c r="I599" s="1">
        <v>29.12</v>
      </c>
      <c r="J599" s="1">
        <v>5</v>
      </c>
      <c r="K599" s="1">
        <v>9.83</v>
      </c>
    </row>
    <row r="600" spans="1:11" ht="12.75" x14ac:dyDescent="0.2">
      <c r="A600" s="2">
        <v>42728</v>
      </c>
      <c r="B600" s="2" t="str">
        <f>TEXT(Table1[[#This Row],[Order Date]],"MMM")</f>
        <v>Dec</v>
      </c>
      <c r="C600" s="2" t="str">
        <f t="shared" si="9"/>
        <v>2016</v>
      </c>
      <c r="D600" s="1" t="s">
        <v>1131</v>
      </c>
      <c r="E600" s="1" t="s">
        <v>133</v>
      </c>
      <c r="F600" s="1" t="s">
        <v>11</v>
      </c>
      <c r="G600" s="1" t="s">
        <v>20</v>
      </c>
      <c r="H600" s="1" t="s">
        <v>1136</v>
      </c>
      <c r="I600" s="1">
        <v>27.68</v>
      </c>
      <c r="J600" s="1">
        <v>2</v>
      </c>
      <c r="K600" s="1">
        <v>9.69</v>
      </c>
    </row>
    <row r="601" spans="1:11" ht="12.75" x14ac:dyDescent="0.2">
      <c r="A601" s="2">
        <v>43093</v>
      </c>
      <c r="B601" s="2" t="str">
        <f>TEXT(Table1[[#This Row],[Order Date]],"MMM")</f>
        <v>Dec</v>
      </c>
      <c r="C601" s="2" t="str">
        <f t="shared" si="9"/>
        <v>2017</v>
      </c>
      <c r="D601" s="1" t="s">
        <v>1209</v>
      </c>
      <c r="E601" s="1" t="s">
        <v>32</v>
      </c>
      <c r="F601" s="1" t="s">
        <v>33</v>
      </c>
      <c r="G601" s="1" t="s">
        <v>65</v>
      </c>
      <c r="H601" s="1" t="s">
        <v>1277</v>
      </c>
      <c r="I601" s="1">
        <v>261.95999999999998</v>
      </c>
      <c r="J601" s="1">
        <v>2</v>
      </c>
      <c r="K601" s="1">
        <v>41.91</v>
      </c>
    </row>
    <row r="602" spans="1:11" ht="12.75" x14ac:dyDescent="0.2">
      <c r="A602" s="2">
        <v>42394</v>
      </c>
      <c r="B602" s="2" t="str">
        <f>TEXT(Table1[[#This Row],[Order Date]],"MMM")</f>
        <v>Jan</v>
      </c>
      <c r="C602" s="2" t="str">
        <f t="shared" si="9"/>
        <v>2016</v>
      </c>
      <c r="D602" s="1" t="s">
        <v>1029</v>
      </c>
      <c r="E602" s="1" t="s">
        <v>27</v>
      </c>
      <c r="F602" s="1" t="s">
        <v>11</v>
      </c>
      <c r="G602" s="1" t="s">
        <v>18</v>
      </c>
      <c r="H602" s="1" t="s">
        <v>976</v>
      </c>
      <c r="I602" s="1">
        <v>155.82</v>
      </c>
      <c r="J602" s="1">
        <v>7</v>
      </c>
      <c r="K602" s="1">
        <v>42.07</v>
      </c>
    </row>
    <row r="603" spans="1:11" ht="12.75" x14ac:dyDescent="0.2">
      <c r="A603" s="2">
        <v>42791</v>
      </c>
      <c r="B603" s="2" t="str">
        <f>TEXT(Table1[[#This Row],[Order Date]],"MMM")</f>
        <v>Feb</v>
      </c>
      <c r="C603" s="2" t="str">
        <f t="shared" si="9"/>
        <v>2017</v>
      </c>
      <c r="D603" s="1" t="s">
        <v>1268</v>
      </c>
      <c r="E603" s="1" t="s">
        <v>119</v>
      </c>
      <c r="F603" s="1" t="s">
        <v>38</v>
      </c>
      <c r="G603" s="1" t="s">
        <v>48</v>
      </c>
      <c r="H603" s="1" t="s">
        <v>957</v>
      </c>
      <c r="I603" s="1">
        <v>59.97</v>
      </c>
      <c r="J603" s="1">
        <v>3</v>
      </c>
      <c r="K603" s="1">
        <v>14.99</v>
      </c>
    </row>
    <row r="604" spans="1:11" ht="12.75" x14ac:dyDescent="0.2">
      <c r="A604" s="2">
        <v>41723</v>
      </c>
      <c r="B604" s="2" t="str">
        <f>TEXT(Table1[[#This Row],[Order Date]],"MMM")</f>
        <v>Mar</v>
      </c>
      <c r="C604" s="2" t="str">
        <f t="shared" si="9"/>
        <v>2014</v>
      </c>
      <c r="D604" s="1" t="s">
        <v>253</v>
      </c>
      <c r="E604" s="1" t="s">
        <v>82</v>
      </c>
      <c r="F604" s="1" t="s">
        <v>11</v>
      </c>
      <c r="G604" s="1" t="s">
        <v>20</v>
      </c>
      <c r="H604" s="1" t="s">
        <v>847</v>
      </c>
      <c r="I604" s="1">
        <v>6.27</v>
      </c>
      <c r="J604" s="1">
        <v>5</v>
      </c>
      <c r="K604" s="1">
        <v>-4.5999999999999996</v>
      </c>
    </row>
    <row r="605" spans="1:11" ht="12.75" x14ac:dyDescent="0.2">
      <c r="A605" s="2">
        <v>42454</v>
      </c>
      <c r="B605" s="2" t="str">
        <f>TEXT(Table1[[#This Row],[Order Date]],"MMM")</f>
        <v>Mar</v>
      </c>
      <c r="C605" s="2" t="str">
        <f t="shared" si="9"/>
        <v>2016</v>
      </c>
      <c r="D605" s="1" t="s">
        <v>707</v>
      </c>
      <c r="E605" s="1" t="s">
        <v>133</v>
      </c>
      <c r="F605" s="1" t="s">
        <v>11</v>
      </c>
      <c r="G605" s="1" t="s">
        <v>24</v>
      </c>
      <c r="H605" s="1" t="s">
        <v>784</v>
      </c>
      <c r="I605" s="1">
        <v>44.02</v>
      </c>
      <c r="J605" s="1">
        <v>2</v>
      </c>
      <c r="K605" s="1">
        <v>11.45</v>
      </c>
    </row>
    <row r="606" spans="1:11" ht="12.75" x14ac:dyDescent="0.2">
      <c r="A606" s="2">
        <v>41754</v>
      </c>
      <c r="B606" s="2" t="str">
        <f>TEXT(Table1[[#This Row],[Order Date]],"MMM")</f>
        <v>Apr</v>
      </c>
      <c r="C606" s="2" t="str">
        <f t="shared" si="9"/>
        <v>2014</v>
      </c>
      <c r="D606" s="1" t="s">
        <v>358</v>
      </c>
      <c r="E606" s="1" t="s">
        <v>30</v>
      </c>
      <c r="F606" s="1" t="s">
        <v>38</v>
      </c>
      <c r="G606" s="1" t="s">
        <v>48</v>
      </c>
      <c r="H606" s="1" t="s">
        <v>1229</v>
      </c>
      <c r="I606" s="1">
        <v>499.98</v>
      </c>
      <c r="J606" s="1">
        <v>2</v>
      </c>
      <c r="K606" s="1">
        <v>115</v>
      </c>
    </row>
    <row r="607" spans="1:11" ht="12.75" x14ac:dyDescent="0.2">
      <c r="A607" s="2">
        <v>42119</v>
      </c>
      <c r="B607" s="2" t="str">
        <f>TEXT(Table1[[#This Row],[Order Date]],"MMM")</f>
        <v>Apr</v>
      </c>
      <c r="C607" s="2" t="str">
        <f t="shared" si="9"/>
        <v>2015</v>
      </c>
      <c r="D607" s="1" t="s">
        <v>1138</v>
      </c>
      <c r="E607" s="1" t="s">
        <v>27</v>
      </c>
      <c r="F607" s="1" t="s">
        <v>38</v>
      </c>
      <c r="G607" s="1" t="s">
        <v>48</v>
      </c>
      <c r="H607" s="1" t="s">
        <v>905</v>
      </c>
      <c r="I607" s="1">
        <v>99.39</v>
      </c>
      <c r="J607" s="1">
        <v>3</v>
      </c>
      <c r="K607" s="1">
        <v>40.75</v>
      </c>
    </row>
    <row r="608" spans="1:11" ht="12.75" x14ac:dyDescent="0.2">
      <c r="A608" s="2">
        <v>42485</v>
      </c>
      <c r="B608" s="2" t="str">
        <f>TEXT(Table1[[#This Row],[Order Date]],"MMM")</f>
        <v>Apr</v>
      </c>
      <c r="C608" s="2" t="str">
        <f t="shared" si="9"/>
        <v>2016</v>
      </c>
      <c r="D608" s="1" t="s">
        <v>585</v>
      </c>
      <c r="E608" s="1" t="s">
        <v>517</v>
      </c>
      <c r="F608" s="1" t="s">
        <v>11</v>
      </c>
      <c r="G608" s="1" t="s">
        <v>18</v>
      </c>
      <c r="H608" s="1" t="s">
        <v>496</v>
      </c>
      <c r="I608" s="1">
        <v>1117.92</v>
      </c>
      <c r="J608" s="1">
        <v>4</v>
      </c>
      <c r="K608" s="1">
        <v>55.9</v>
      </c>
    </row>
    <row r="609" spans="1:11" ht="12.75" x14ac:dyDescent="0.2">
      <c r="A609" s="2">
        <v>41784</v>
      </c>
      <c r="B609" s="2" t="str">
        <f>TEXT(Table1[[#This Row],[Order Date]],"MMM")</f>
        <v>May</v>
      </c>
      <c r="C609" s="2" t="str">
        <f t="shared" si="9"/>
        <v>2014</v>
      </c>
      <c r="D609" s="1" t="s">
        <v>1116</v>
      </c>
      <c r="E609" s="1" t="s">
        <v>79</v>
      </c>
      <c r="F609" s="1" t="s">
        <v>33</v>
      </c>
      <c r="G609" s="1" t="s">
        <v>34</v>
      </c>
      <c r="H609" s="1" t="s">
        <v>682</v>
      </c>
      <c r="I609" s="1">
        <v>195.14</v>
      </c>
      <c r="J609" s="1">
        <v>4</v>
      </c>
      <c r="K609" s="1">
        <v>-12.2</v>
      </c>
    </row>
    <row r="610" spans="1:11" ht="12.75" x14ac:dyDescent="0.2">
      <c r="A610" s="2">
        <v>42149</v>
      </c>
      <c r="B610" s="2" t="str">
        <f>TEXT(Table1[[#This Row],[Order Date]],"MMM")</f>
        <v>May</v>
      </c>
      <c r="C610" s="2" t="str">
        <f t="shared" si="9"/>
        <v>2015</v>
      </c>
      <c r="D610" s="1" t="s">
        <v>1257</v>
      </c>
      <c r="E610" s="1" t="s">
        <v>119</v>
      </c>
      <c r="F610" s="1" t="s">
        <v>33</v>
      </c>
      <c r="G610" s="1" t="s">
        <v>44</v>
      </c>
      <c r="H610" s="1" t="s">
        <v>890</v>
      </c>
      <c r="I610" s="1">
        <v>39.880000000000003</v>
      </c>
      <c r="J610" s="1">
        <v>2</v>
      </c>
      <c r="K610" s="1">
        <v>11.17</v>
      </c>
    </row>
    <row r="611" spans="1:11" ht="12.75" x14ac:dyDescent="0.2">
      <c r="A611" s="2">
        <v>42515</v>
      </c>
      <c r="B611" s="2" t="str">
        <f>TEXT(Table1[[#This Row],[Order Date]],"MMM")</f>
        <v>May</v>
      </c>
      <c r="C611" s="2" t="str">
        <f t="shared" si="9"/>
        <v>2016</v>
      </c>
      <c r="D611" s="1" t="s">
        <v>842</v>
      </c>
      <c r="E611" s="1" t="s">
        <v>23</v>
      </c>
      <c r="F611" s="1" t="s">
        <v>11</v>
      </c>
      <c r="G611" s="1" t="s">
        <v>42</v>
      </c>
      <c r="H611" s="1" t="s">
        <v>854</v>
      </c>
      <c r="I611" s="1">
        <v>15.8</v>
      </c>
      <c r="J611" s="1">
        <v>5</v>
      </c>
      <c r="K611" s="1">
        <v>2.37</v>
      </c>
    </row>
    <row r="612" spans="1:11" ht="12.75" x14ac:dyDescent="0.2">
      <c r="A612" s="2">
        <v>42880</v>
      </c>
      <c r="B612" s="2" t="str">
        <f>TEXT(Table1[[#This Row],[Order Date]],"MMM")</f>
        <v>May</v>
      </c>
      <c r="C612" s="2" t="str">
        <f t="shared" si="9"/>
        <v>2017</v>
      </c>
      <c r="D612" s="1" t="s">
        <v>1089</v>
      </c>
      <c r="E612" s="1" t="s">
        <v>100</v>
      </c>
      <c r="F612" s="1" t="s">
        <v>11</v>
      </c>
      <c r="G612" s="1" t="s">
        <v>12</v>
      </c>
      <c r="H612" s="1" t="s">
        <v>1288</v>
      </c>
      <c r="I612" s="1">
        <v>5.08</v>
      </c>
      <c r="J612" s="1">
        <v>1</v>
      </c>
      <c r="K612" s="1">
        <v>1.65</v>
      </c>
    </row>
    <row r="613" spans="1:11" ht="12.75" x14ac:dyDescent="0.2">
      <c r="A613" s="2">
        <v>41815</v>
      </c>
      <c r="B613" s="2" t="str">
        <f>TEXT(Table1[[#This Row],[Order Date]],"MMM")</f>
        <v>Jun</v>
      </c>
      <c r="C613" s="2" t="str">
        <f t="shared" si="9"/>
        <v>2014</v>
      </c>
      <c r="D613" s="1" t="s">
        <v>623</v>
      </c>
      <c r="E613" s="1" t="s">
        <v>10</v>
      </c>
      <c r="F613" s="1" t="s">
        <v>38</v>
      </c>
      <c r="G613" s="1" t="s">
        <v>48</v>
      </c>
      <c r="H613" s="1" t="s">
        <v>884</v>
      </c>
      <c r="I613" s="1">
        <v>58.42</v>
      </c>
      <c r="J613" s="1">
        <v>2</v>
      </c>
      <c r="K613" s="1">
        <v>16.79</v>
      </c>
    </row>
    <row r="614" spans="1:11" ht="12.75" x14ac:dyDescent="0.2">
      <c r="A614" s="2">
        <v>42180</v>
      </c>
      <c r="B614" s="2" t="str">
        <f>TEXT(Table1[[#This Row],[Order Date]],"MMM")</f>
        <v>Jun</v>
      </c>
      <c r="C614" s="2" t="str">
        <f t="shared" si="9"/>
        <v>2015</v>
      </c>
      <c r="D614" s="1" t="s">
        <v>1070</v>
      </c>
      <c r="E614" s="1" t="s">
        <v>186</v>
      </c>
      <c r="F614" s="1" t="s">
        <v>38</v>
      </c>
      <c r="G614" s="1" t="s">
        <v>39</v>
      </c>
      <c r="H614" s="1" t="s">
        <v>132</v>
      </c>
      <c r="I614" s="1">
        <v>36.19</v>
      </c>
      <c r="J614" s="1">
        <v>1</v>
      </c>
      <c r="K614" s="1">
        <v>2.71</v>
      </c>
    </row>
    <row r="615" spans="1:11" ht="12.75" x14ac:dyDescent="0.2">
      <c r="A615" s="2">
        <v>42546</v>
      </c>
      <c r="B615" s="2" t="str">
        <f>TEXT(Table1[[#This Row],[Order Date]],"MMM")</f>
        <v>Jun</v>
      </c>
      <c r="C615" s="2" t="str">
        <f t="shared" si="9"/>
        <v>2016</v>
      </c>
      <c r="D615" s="1" t="s">
        <v>657</v>
      </c>
      <c r="E615" s="1" t="s">
        <v>220</v>
      </c>
      <c r="F615" s="1" t="s">
        <v>11</v>
      </c>
      <c r="G615" s="1" t="s">
        <v>12</v>
      </c>
      <c r="H615" s="1" t="s">
        <v>1143</v>
      </c>
      <c r="I615" s="1">
        <v>23.92</v>
      </c>
      <c r="J615" s="1">
        <v>4</v>
      </c>
      <c r="K615" s="1">
        <v>11.72</v>
      </c>
    </row>
    <row r="616" spans="1:11" ht="12.75" x14ac:dyDescent="0.2">
      <c r="A616" s="2">
        <v>41845</v>
      </c>
      <c r="B616" s="2" t="str">
        <f>TEXT(Table1[[#This Row],[Order Date]],"MMM")</f>
        <v>Jul</v>
      </c>
      <c r="C616" s="2" t="str">
        <f t="shared" si="9"/>
        <v>2014</v>
      </c>
      <c r="D616" s="1" t="s">
        <v>728</v>
      </c>
      <c r="E616" s="1" t="s">
        <v>119</v>
      </c>
      <c r="F616" s="1" t="s">
        <v>33</v>
      </c>
      <c r="G616" s="1" t="s">
        <v>44</v>
      </c>
      <c r="H616" s="1" t="s">
        <v>664</v>
      </c>
      <c r="I616" s="1">
        <v>113.79</v>
      </c>
      <c r="J616" s="1">
        <v>3</v>
      </c>
      <c r="K616" s="1">
        <v>20.48</v>
      </c>
    </row>
    <row r="617" spans="1:11" ht="12.75" x14ac:dyDescent="0.2">
      <c r="A617" s="2">
        <v>42210</v>
      </c>
      <c r="B617" s="2" t="str">
        <f>TEXT(Table1[[#This Row],[Order Date]],"MMM")</f>
        <v>Jul</v>
      </c>
      <c r="C617" s="2" t="str">
        <f t="shared" si="9"/>
        <v>2015</v>
      </c>
      <c r="D617" s="1" t="s">
        <v>1208</v>
      </c>
      <c r="E617" s="1" t="s">
        <v>10</v>
      </c>
      <c r="F617" s="1" t="s">
        <v>38</v>
      </c>
      <c r="G617" s="1" t="s">
        <v>39</v>
      </c>
      <c r="H617" s="1" t="s">
        <v>40</v>
      </c>
      <c r="I617" s="1">
        <v>1097.54</v>
      </c>
      <c r="J617" s="1">
        <v>7</v>
      </c>
      <c r="K617" s="1">
        <v>123.47</v>
      </c>
    </row>
    <row r="618" spans="1:11" ht="12.75" x14ac:dyDescent="0.2">
      <c r="A618" s="2">
        <v>42576</v>
      </c>
      <c r="B618" s="2" t="str">
        <f>TEXT(Table1[[#This Row],[Order Date]],"MMM")</f>
        <v>Jul</v>
      </c>
      <c r="C618" s="2" t="str">
        <f t="shared" si="9"/>
        <v>2016</v>
      </c>
      <c r="D618" s="1" t="s">
        <v>706</v>
      </c>
      <c r="E618" s="1" t="s">
        <v>119</v>
      </c>
      <c r="F618" s="1" t="s">
        <v>11</v>
      </c>
      <c r="G618" s="1" t="s">
        <v>42</v>
      </c>
      <c r="H618" s="1" t="s">
        <v>591</v>
      </c>
      <c r="I618" s="1">
        <v>15.26</v>
      </c>
      <c r="J618" s="1">
        <v>7</v>
      </c>
      <c r="K618" s="1">
        <v>6.26</v>
      </c>
    </row>
    <row r="619" spans="1:11" ht="12.75" x14ac:dyDescent="0.2">
      <c r="A619" s="2">
        <v>42941</v>
      </c>
      <c r="B619" s="2" t="str">
        <f>TEXT(Table1[[#This Row],[Order Date]],"MMM")</f>
        <v>Jul</v>
      </c>
      <c r="C619" s="2" t="str">
        <f t="shared" si="9"/>
        <v>2017</v>
      </c>
      <c r="D619" s="1" t="s">
        <v>555</v>
      </c>
      <c r="E619" s="1" t="s">
        <v>226</v>
      </c>
      <c r="F619" s="1" t="s">
        <v>33</v>
      </c>
      <c r="G619" s="1" t="s">
        <v>44</v>
      </c>
      <c r="H619" s="1" t="s">
        <v>949</v>
      </c>
      <c r="I619" s="1">
        <v>133.38</v>
      </c>
      <c r="J619" s="1">
        <v>6</v>
      </c>
      <c r="K619" s="1">
        <v>58.69</v>
      </c>
    </row>
    <row r="620" spans="1:11" ht="12.75" x14ac:dyDescent="0.2">
      <c r="A620" s="2">
        <v>42972</v>
      </c>
      <c r="B620" s="2" t="str">
        <f>TEXT(Table1[[#This Row],[Order Date]],"MMM")</f>
        <v>Aug</v>
      </c>
      <c r="C620" s="2" t="str">
        <f t="shared" si="9"/>
        <v>2017</v>
      </c>
      <c r="D620" s="1" t="s">
        <v>1015</v>
      </c>
      <c r="E620" s="1" t="s">
        <v>15</v>
      </c>
      <c r="F620" s="1" t="s">
        <v>11</v>
      </c>
      <c r="G620" s="1" t="s">
        <v>20</v>
      </c>
      <c r="H620" s="1" t="s">
        <v>1167</v>
      </c>
      <c r="I620" s="1">
        <v>4.79</v>
      </c>
      <c r="J620" s="1">
        <v>3</v>
      </c>
      <c r="K620" s="1">
        <v>-7.9</v>
      </c>
    </row>
    <row r="621" spans="1:11" ht="12.75" x14ac:dyDescent="0.2">
      <c r="A621" s="2">
        <v>41907</v>
      </c>
      <c r="B621" s="2" t="str">
        <f>TEXT(Table1[[#This Row],[Order Date]],"MMM")</f>
        <v>Sep</v>
      </c>
      <c r="C621" s="2" t="str">
        <f t="shared" si="9"/>
        <v>2014</v>
      </c>
      <c r="D621" s="1" t="s">
        <v>1312</v>
      </c>
      <c r="E621" s="1" t="s">
        <v>27</v>
      </c>
      <c r="F621" s="1" t="s">
        <v>33</v>
      </c>
      <c r="G621" s="1" t="s">
        <v>117</v>
      </c>
      <c r="H621" s="1" t="s">
        <v>1259</v>
      </c>
      <c r="I621" s="1">
        <v>2003.52</v>
      </c>
      <c r="J621" s="1">
        <v>6</v>
      </c>
      <c r="K621" s="1">
        <v>-325.57</v>
      </c>
    </row>
    <row r="622" spans="1:11" ht="12.75" x14ac:dyDescent="0.2">
      <c r="A622" s="2">
        <v>42272</v>
      </c>
      <c r="B622" s="2" t="str">
        <f>TEXT(Table1[[#This Row],[Order Date]],"MMM")</f>
        <v>Sep</v>
      </c>
      <c r="C622" s="2" t="str">
        <f t="shared" si="9"/>
        <v>2015</v>
      </c>
      <c r="D622" s="1" t="s">
        <v>1054</v>
      </c>
      <c r="E622" s="1" t="s">
        <v>100</v>
      </c>
      <c r="F622" s="1" t="s">
        <v>11</v>
      </c>
      <c r="G622" s="1" t="s">
        <v>20</v>
      </c>
      <c r="H622" s="1" t="s">
        <v>1202</v>
      </c>
      <c r="I622" s="1">
        <v>254.06</v>
      </c>
      <c r="J622" s="1">
        <v>7</v>
      </c>
      <c r="K622" s="1">
        <v>-169.37</v>
      </c>
    </row>
    <row r="623" spans="1:11" ht="12.75" x14ac:dyDescent="0.2">
      <c r="A623" s="2">
        <v>41937</v>
      </c>
      <c r="B623" s="2" t="str">
        <f>TEXT(Table1[[#This Row],[Order Date]],"MMM")</f>
        <v>Oct</v>
      </c>
      <c r="C623" s="2" t="str">
        <f t="shared" si="9"/>
        <v>2014</v>
      </c>
      <c r="D623" s="1" t="s">
        <v>811</v>
      </c>
      <c r="E623" s="1" t="s">
        <v>82</v>
      </c>
      <c r="F623" s="1" t="s">
        <v>33</v>
      </c>
      <c r="G623" s="1" t="s">
        <v>117</v>
      </c>
      <c r="H623" s="1" t="s">
        <v>326</v>
      </c>
      <c r="I623" s="1">
        <v>455.97</v>
      </c>
      <c r="J623" s="1">
        <v>6</v>
      </c>
      <c r="K623" s="1">
        <v>-218.87</v>
      </c>
    </row>
    <row r="624" spans="1:11" ht="12.75" x14ac:dyDescent="0.2">
      <c r="A624" s="2">
        <v>42699</v>
      </c>
      <c r="B624" s="2" t="str">
        <f>TEXT(Table1[[#This Row],[Order Date]],"MMM")</f>
        <v>Nov</v>
      </c>
      <c r="C624" s="2" t="str">
        <f t="shared" si="9"/>
        <v>2016</v>
      </c>
      <c r="D624" s="1" t="s">
        <v>743</v>
      </c>
      <c r="E624" s="1" t="s">
        <v>51</v>
      </c>
      <c r="F624" s="1" t="s">
        <v>33</v>
      </c>
      <c r="G624" s="1" t="s">
        <v>44</v>
      </c>
      <c r="H624" s="1" t="s">
        <v>1307</v>
      </c>
      <c r="I624" s="1">
        <v>572.76</v>
      </c>
      <c r="J624" s="1">
        <v>6</v>
      </c>
      <c r="K624" s="1">
        <v>166.1</v>
      </c>
    </row>
    <row r="625" spans="1:11" ht="12.75" x14ac:dyDescent="0.2">
      <c r="A625" s="2">
        <v>42363</v>
      </c>
      <c r="B625" s="2" t="str">
        <f>TEXT(Table1[[#This Row],[Order Date]],"MMM")</f>
        <v>Dec</v>
      </c>
      <c r="C625" s="2" t="str">
        <f t="shared" si="9"/>
        <v>2015</v>
      </c>
      <c r="D625" s="1" t="s">
        <v>484</v>
      </c>
      <c r="E625" s="1" t="s">
        <v>186</v>
      </c>
      <c r="F625" s="1" t="s">
        <v>11</v>
      </c>
      <c r="G625" s="1" t="s">
        <v>20</v>
      </c>
      <c r="H625" s="1" t="s">
        <v>77</v>
      </c>
      <c r="I625" s="1">
        <v>27.88</v>
      </c>
      <c r="J625" s="1">
        <v>3</v>
      </c>
      <c r="K625" s="1">
        <v>-20.45</v>
      </c>
    </row>
    <row r="626" spans="1:11" ht="12.75" x14ac:dyDescent="0.2">
      <c r="A626" s="2">
        <v>42729</v>
      </c>
      <c r="B626" s="2" t="str">
        <f>TEXT(Table1[[#This Row],[Order Date]],"MMM")</f>
        <v>Dec</v>
      </c>
      <c r="C626" s="2" t="str">
        <f t="shared" si="9"/>
        <v>2016</v>
      </c>
      <c r="D626" s="1" t="s">
        <v>538</v>
      </c>
      <c r="E626" s="1" t="s">
        <v>27</v>
      </c>
      <c r="F626" s="1" t="s">
        <v>38</v>
      </c>
      <c r="G626" s="1" t="s">
        <v>39</v>
      </c>
      <c r="H626" s="1" t="s">
        <v>1316</v>
      </c>
      <c r="I626" s="1">
        <v>2575.94</v>
      </c>
      <c r="J626" s="1">
        <v>7</v>
      </c>
      <c r="K626" s="1">
        <v>257.58999999999997</v>
      </c>
    </row>
    <row r="627" spans="1:11" ht="12.75" x14ac:dyDescent="0.2">
      <c r="A627" s="2">
        <v>41665</v>
      </c>
      <c r="B627" s="2" t="str">
        <f>TEXT(Table1[[#This Row],[Order Date]],"MMM")</f>
        <v>Jan</v>
      </c>
      <c r="C627" s="2" t="str">
        <f t="shared" si="9"/>
        <v>2014</v>
      </c>
      <c r="D627" s="1" t="s">
        <v>978</v>
      </c>
      <c r="E627" s="1" t="s">
        <v>133</v>
      </c>
      <c r="F627" s="1" t="s">
        <v>11</v>
      </c>
      <c r="G627" s="1" t="s">
        <v>12</v>
      </c>
      <c r="H627" s="1" t="s">
        <v>1315</v>
      </c>
      <c r="I627" s="1">
        <v>33.9</v>
      </c>
      <c r="J627" s="1">
        <v>5</v>
      </c>
      <c r="K627" s="1">
        <v>15.59</v>
      </c>
    </row>
    <row r="628" spans="1:11" ht="12.75" x14ac:dyDescent="0.2">
      <c r="A628" s="2">
        <v>42030</v>
      </c>
      <c r="B628" s="2" t="str">
        <f>TEXT(Table1[[#This Row],[Order Date]],"MMM")</f>
        <v>Jan</v>
      </c>
      <c r="C628" s="2" t="str">
        <f t="shared" si="9"/>
        <v>2015</v>
      </c>
      <c r="D628" s="1" t="s">
        <v>165</v>
      </c>
      <c r="E628" s="1" t="s">
        <v>126</v>
      </c>
      <c r="F628" s="1" t="s">
        <v>33</v>
      </c>
      <c r="G628" s="1" t="s">
        <v>34</v>
      </c>
      <c r="H628" s="1" t="s">
        <v>944</v>
      </c>
      <c r="I628" s="1">
        <v>754.45</v>
      </c>
      <c r="J628" s="1">
        <v>5</v>
      </c>
      <c r="K628" s="1">
        <v>60.36</v>
      </c>
    </row>
    <row r="629" spans="1:11" ht="12.75" x14ac:dyDescent="0.2">
      <c r="A629" s="2">
        <v>41724</v>
      </c>
      <c r="B629" s="2" t="str">
        <f>TEXT(Table1[[#This Row],[Order Date]],"MMM")</f>
        <v>Mar</v>
      </c>
      <c r="C629" s="2" t="str">
        <f t="shared" si="9"/>
        <v>2014</v>
      </c>
      <c r="D629" s="1" t="s">
        <v>509</v>
      </c>
      <c r="E629" s="1" t="s">
        <v>103</v>
      </c>
      <c r="F629" s="1" t="s">
        <v>11</v>
      </c>
      <c r="G629" s="1" t="s">
        <v>24</v>
      </c>
      <c r="H629" s="1" t="s">
        <v>1233</v>
      </c>
      <c r="I629" s="1">
        <v>3.64</v>
      </c>
      <c r="J629" s="1">
        <v>2</v>
      </c>
      <c r="K629" s="1">
        <v>1.64</v>
      </c>
    </row>
    <row r="630" spans="1:11" ht="12.75" x14ac:dyDescent="0.2">
      <c r="A630" s="2">
        <v>42089</v>
      </c>
      <c r="B630" s="2" t="str">
        <f>TEXT(Table1[[#This Row],[Order Date]],"MMM")</f>
        <v>Mar</v>
      </c>
      <c r="C630" s="2" t="str">
        <f t="shared" si="9"/>
        <v>2015</v>
      </c>
      <c r="D630" s="1" t="s">
        <v>146</v>
      </c>
      <c r="E630" s="1" t="s">
        <v>68</v>
      </c>
      <c r="F630" s="1" t="s">
        <v>33</v>
      </c>
      <c r="G630" s="1" t="s">
        <v>44</v>
      </c>
      <c r="H630" s="1" t="s">
        <v>964</v>
      </c>
      <c r="I630" s="1">
        <v>48.9</v>
      </c>
      <c r="J630" s="1">
        <v>4</v>
      </c>
      <c r="K630" s="1">
        <v>8.56</v>
      </c>
    </row>
    <row r="631" spans="1:11" ht="12.75" x14ac:dyDescent="0.2">
      <c r="A631" s="2">
        <v>42820</v>
      </c>
      <c r="B631" s="2" t="str">
        <f>TEXT(Table1[[#This Row],[Order Date]],"MMM")</f>
        <v>Mar</v>
      </c>
      <c r="C631" s="2" t="str">
        <f t="shared" si="9"/>
        <v>2017</v>
      </c>
      <c r="D631" s="1" t="s">
        <v>639</v>
      </c>
      <c r="E631" s="1" t="s">
        <v>186</v>
      </c>
      <c r="F631" s="1" t="s">
        <v>38</v>
      </c>
      <c r="G631" s="1" t="s">
        <v>213</v>
      </c>
      <c r="H631" s="1" t="s">
        <v>1293</v>
      </c>
      <c r="I631" s="1">
        <v>695.7</v>
      </c>
      <c r="J631" s="1">
        <v>2</v>
      </c>
      <c r="K631" s="1">
        <v>-27.83</v>
      </c>
    </row>
    <row r="632" spans="1:11" ht="12.75" x14ac:dyDescent="0.2">
      <c r="A632" s="2">
        <v>41755</v>
      </c>
      <c r="B632" s="2" t="str">
        <f>TEXT(Table1[[#This Row],[Order Date]],"MMM")</f>
        <v>Apr</v>
      </c>
      <c r="C632" s="2" t="str">
        <f t="shared" si="9"/>
        <v>2014</v>
      </c>
      <c r="D632" s="1" t="s">
        <v>74</v>
      </c>
      <c r="E632" s="1" t="s">
        <v>27</v>
      </c>
      <c r="F632" s="1" t="s">
        <v>11</v>
      </c>
      <c r="G632" s="1" t="s">
        <v>12</v>
      </c>
      <c r="H632" s="1" t="s">
        <v>1310</v>
      </c>
      <c r="I632" s="1">
        <v>38.880000000000003</v>
      </c>
      <c r="J632" s="1">
        <v>6</v>
      </c>
      <c r="K632" s="1">
        <v>18.66</v>
      </c>
    </row>
    <row r="633" spans="1:11" ht="12.75" x14ac:dyDescent="0.2">
      <c r="A633" s="2">
        <v>42486</v>
      </c>
      <c r="B633" s="2" t="str">
        <f>TEXT(Table1[[#This Row],[Order Date]],"MMM")</f>
        <v>Apr</v>
      </c>
      <c r="C633" s="2" t="str">
        <f t="shared" si="9"/>
        <v>2016</v>
      </c>
      <c r="D633" s="1" t="s">
        <v>560</v>
      </c>
      <c r="E633" s="1" t="s">
        <v>319</v>
      </c>
      <c r="F633" s="1" t="s">
        <v>11</v>
      </c>
      <c r="G633" s="1" t="s">
        <v>20</v>
      </c>
      <c r="H633" s="1" t="s">
        <v>150</v>
      </c>
      <c r="I633" s="1">
        <v>33.74</v>
      </c>
      <c r="J633" s="1">
        <v>7</v>
      </c>
      <c r="K633" s="1">
        <v>15.52</v>
      </c>
    </row>
    <row r="634" spans="1:11" ht="12.75" x14ac:dyDescent="0.2">
      <c r="A634" s="2">
        <v>42881</v>
      </c>
      <c r="B634" s="2" t="str">
        <f>TEXT(Table1[[#This Row],[Order Date]],"MMM")</f>
        <v>May</v>
      </c>
      <c r="C634" s="2" t="str">
        <f t="shared" si="9"/>
        <v>2017</v>
      </c>
      <c r="D634" s="1" t="s">
        <v>655</v>
      </c>
      <c r="E634" s="1" t="s">
        <v>133</v>
      </c>
      <c r="F634" s="1" t="s">
        <v>33</v>
      </c>
      <c r="G634" s="1" t="s">
        <v>117</v>
      </c>
      <c r="H634" s="1" t="s">
        <v>224</v>
      </c>
      <c r="I634" s="1">
        <v>892.98</v>
      </c>
      <c r="J634" s="1">
        <v>2</v>
      </c>
      <c r="K634" s="1">
        <v>80.37</v>
      </c>
    </row>
    <row r="635" spans="1:11" ht="12.75" x14ac:dyDescent="0.2">
      <c r="A635" s="2">
        <v>42181</v>
      </c>
      <c r="B635" s="2" t="str">
        <f>TEXT(Table1[[#This Row],[Order Date]],"MMM")</f>
        <v>Jun</v>
      </c>
      <c r="C635" s="2" t="str">
        <f t="shared" si="9"/>
        <v>2015</v>
      </c>
      <c r="D635" s="1" t="s">
        <v>1289</v>
      </c>
      <c r="E635" s="1" t="s">
        <v>23</v>
      </c>
      <c r="F635" s="1" t="s">
        <v>11</v>
      </c>
      <c r="G635" s="1" t="s">
        <v>80</v>
      </c>
      <c r="H635" s="1" t="s">
        <v>1305</v>
      </c>
      <c r="I635" s="1">
        <v>34.380000000000003</v>
      </c>
      <c r="J635" s="1">
        <v>1</v>
      </c>
      <c r="K635" s="1">
        <v>3.87</v>
      </c>
    </row>
    <row r="636" spans="1:11" ht="12.75" x14ac:dyDescent="0.2">
      <c r="A636" s="2">
        <v>42547</v>
      </c>
      <c r="B636" s="2" t="str">
        <f>TEXT(Table1[[#This Row],[Order Date]],"MMM")</f>
        <v>Jun</v>
      </c>
      <c r="C636" s="2" t="str">
        <f t="shared" si="9"/>
        <v>2016</v>
      </c>
      <c r="D636" s="1" t="s">
        <v>542</v>
      </c>
      <c r="E636" s="1" t="s">
        <v>10</v>
      </c>
      <c r="F636" s="1" t="s">
        <v>11</v>
      </c>
      <c r="G636" s="1" t="s">
        <v>16</v>
      </c>
      <c r="H636" s="1" t="s">
        <v>1197</v>
      </c>
      <c r="I636" s="1">
        <v>6</v>
      </c>
      <c r="J636" s="1">
        <v>2</v>
      </c>
      <c r="K636" s="1">
        <v>2.1</v>
      </c>
    </row>
    <row r="637" spans="1:11" ht="12.75" x14ac:dyDescent="0.2">
      <c r="A637" s="2">
        <v>41846</v>
      </c>
      <c r="B637" s="2" t="str">
        <f>TEXT(Table1[[#This Row],[Order Date]],"MMM")</f>
        <v>Jul</v>
      </c>
      <c r="C637" s="2" t="str">
        <f t="shared" si="9"/>
        <v>2014</v>
      </c>
      <c r="D637" s="1" t="s">
        <v>571</v>
      </c>
      <c r="E637" s="1" t="s">
        <v>133</v>
      </c>
      <c r="F637" s="1" t="s">
        <v>11</v>
      </c>
      <c r="G637" s="1" t="s">
        <v>18</v>
      </c>
      <c r="H637" s="1" t="s">
        <v>211</v>
      </c>
      <c r="I637" s="1">
        <v>242.94</v>
      </c>
      <c r="J637" s="1">
        <v>3</v>
      </c>
      <c r="K637" s="1">
        <v>9.7200000000000006</v>
      </c>
    </row>
    <row r="638" spans="1:11" ht="12.75" x14ac:dyDescent="0.2">
      <c r="A638" s="2">
        <v>42211</v>
      </c>
      <c r="B638" s="2" t="str">
        <f>TEXT(Table1[[#This Row],[Order Date]],"MMM")</f>
        <v>Jul</v>
      </c>
      <c r="C638" s="2" t="str">
        <f t="shared" si="9"/>
        <v>2015</v>
      </c>
      <c r="D638" s="1" t="s">
        <v>933</v>
      </c>
      <c r="E638" s="1" t="s">
        <v>336</v>
      </c>
      <c r="F638" s="1" t="s">
        <v>38</v>
      </c>
      <c r="G638" s="1" t="s">
        <v>387</v>
      </c>
      <c r="H638" s="1" t="s">
        <v>1317</v>
      </c>
      <c r="I638" s="1">
        <v>2999.95</v>
      </c>
      <c r="J638" s="1">
        <v>5</v>
      </c>
      <c r="K638" s="1">
        <v>1379.98</v>
      </c>
    </row>
    <row r="639" spans="1:11" ht="12.75" x14ac:dyDescent="0.2">
      <c r="A639" s="2">
        <v>42942</v>
      </c>
      <c r="B639" s="2" t="str">
        <f>TEXT(Table1[[#This Row],[Order Date]],"MMM")</f>
        <v>Jul</v>
      </c>
      <c r="C639" s="2" t="str">
        <f t="shared" si="9"/>
        <v>2017</v>
      </c>
      <c r="D639" s="1" t="s">
        <v>1090</v>
      </c>
      <c r="E639" s="1" t="s">
        <v>30</v>
      </c>
      <c r="F639" s="1" t="s">
        <v>11</v>
      </c>
      <c r="G639" s="1" t="s">
        <v>42</v>
      </c>
      <c r="H639" s="1" t="s">
        <v>761</v>
      </c>
      <c r="I639" s="1">
        <v>5.67</v>
      </c>
      <c r="J639" s="1">
        <v>3</v>
      </c>
      <c r="K639" s="1">
        <v>0.11</v>
      </c>
    </row>
    <row r="640" spans="1:11" ht="12.75" x14ac:dyDescent="0.2">
      <c r="A640" s="2">
        <v>42273</v>
      </c>
      <c r="B640" s="2" t="str">
        <f>TEXT(Table1[[#This Row],[Order Date]],"MMM")</f>
        <v>Sep</v>
      </c>
      <c r="C640" s="2" t="str">
        <f t="shared" si="9"/>
        <v>2015</v>
      </c>
      <c r="D640" s="1" t="s">
        <v>1075</v>
      </c>
      <c r="E640" s="1" t="s">
        <v>261</v>
      </c>
      <c r="F640" s="1" t="s">
        <v>11</v>
      </c>
      <c r="G640" s="1" t="s">
        <v>20</v>
      </c>
      <c r="H640" s="1" t="s">
        <v>880</v>
      </c>
      <c r="I640" s="1">
        <v>18.28</v>
      </c>
      <c r="J640" s="1">
        <v>2</v>
      </c>
      <c r="K640" s="1">
        <v>9.14</v>
      </c>
    </row>
    <row r="641" spans="1:11" ht="12.75" x14ac:dyDescent="0.2">
      <c r="A641" s="2">
        <v>42639</v>
      </c>
      <c r="B641" s="2" t="str">
        <f>TEXT(Table1[[#This Row],[Order Date]],"MMM")</f>
        <v>Sep</v>
      </c>
      <c r="C641" s="2" t="str">
        <f t="shared" ref="C641:C704" si="10">TEXT(A641,"YYY")</f>
        <v>2016</v>
      </c>
      <c r="D641" s="1" t="s">
        <v>90</v>
      </c>
      <c r="E641" s="1" t="s">
        <v>51</v>
      </c>
      <c r="F641" s="1" t="s">
        <v>33</v>
      </c>
      <c r="G641" s="1" t="s">
        <v>65</v>
      </c>
      <c r="H641" s="1" t="s">
        <v>918</v>
      </c>
      <c r="I641" s="1">
        <v>359.97</v>
      </c>
      <c r="J641" s="1">
        <v>3</v>
      </c>
      <c r="K641" s="1">
        <v>79.19</v>
      </c>
    </row>
    <row r="642" spans="1:11" ht="12.75" x14ac:dyDescent="0.2">
      <c r="A642" s="2">
        <v>43004</v>
      </c>
      <c r="B642" s="2" t="str">
        <f>TEXT(Table1[[#This Row],[Order Date]],"MMM")</f>
        <v>Sep</v>
      </c>
      <c r="C642" s="2" t="str">
        <f t="shared" si="10"/>
        <v>2017</v>
      </c>
      <c r="D642" s="1" t="s">
        <v>421</v>
      </c>
      <c r="E642" s="1" t="s">
        <v>27</v>
      </c>
      <c r="F642" s="1" t="s">
        <v>11</v>
      </c>
      <c r="G642" s="1" t="s">
        <v>20</v>
      </c>
      <c r="H642" s="1" t="s">
        <v>597</v>
      </c>
      <c r="I642" s="1">
        <v>21.34</v>
      </c>
      <c r="J642" s="1">
        <v>7</v>
      </c>
      <c r="K642" s="1">
        <v>7.73</v>
      </c>
    </row>
    <row r="643" spans="1:11" ht="12.75" x14ac:dyDescent="0.2">
      <c r="A643" s="2">
        <v>41938</v>
      </c>
      <c r="B643" s="2" t="str">
        <f>TEXT(Table1[[#This Row],[Order Date]],"MMM")</f>
        <v>Oct</v>
      </c>
      <c r="C643" s="2" t="str">
        <f t="shared" si="10"/>
        <v>2014</v>
      </c>
      <c r="D643" s="1" t="s">
        <v>635</v>
      </c>
      <c r="E643" s="1" t="s">
        <v>119</v>
      </c>
      <c r="F643" s="1" t="s">
        <v>11</v>
      </c>
      <c r="G643" s="1" t="s">
        <v>12</v>
      </c>
      <c r="H643" s="1" t="s">
        <v>889</v>
      </c>
      <c r="I643" s="1">
        <v>37.94</v>
      </c>
      <c r="J643" s="1">
        <v>2</v>
      </c>
      <c r="K643" s="1">
        <v>18.21</v>
      </c>
    </row>
    <row r="644" spans="1:11" ht="12.75" x14ac:dyDescent="0.2">
      <c r="A644" s="2">
        <v>42303</v>
      </c>
      <c r="B644" s="2" t="str">
        <f>TEXT(Table1[[#This Row],[Order Date]],"MMM")</f>
        <v>Oct</v>
      </c>
      <c r="C644" s="2" t="str">
        <f t="shared" si="10"/>
        <v>2015</v>
      </c>
      <c r="D644" s="1" t="s">
        <v>871</v>
      </c>
      <c r="E644" s="1" t="s">
        <v>15</v>
      </c>
      <c r="F644" s="1" t="s">
        <v>33</v>
      </c>
      <c r="G644" s="1" t="s">
        <v>117</v>
      </c>
      <c r="H644" s="1" t="s">
        <v>1003</v>
      </c>
      <c r="I644" s="1">
        <v>480.96</v>
      </c>
      <c r="J644" s="1">
        <v>3</v>
      </c>
      <c r="K644" s="1">
        <v>-269.33999999999997</v>
      </c>
    </row>
    <row r="645" spans="1:11" ht="12.75" x14ac:dyDescent="0.2">
      <c r="A645" s="2">
        <v>43034</v>
      </c>
      <c r="B645" s="2" t="str">
        <f>TEXT(Table1[[#This Row],[Order Date]],"MMM")</f>
        <v>Oct</v>
      </c>
      <c r="C645" s="2" t="str">
        <f t="shared" si="10"/>
        <v>2017</v>
      </c>
      <c r="D645" s="1" t="s">
        <v>1285</v>
      </c>
      <c r="E645" s="1" t="s">
        <v>27</v>
      </c>
      <c r="F645" s="1" t="s">
        <v>38</v>
      </c>
      <c r="G645" s="1" t="s">
        <v>39</v>
      </c>
      <c r="H645" s="1" t="s">
        <v>1297</v>
      </c>
      <c r="I645" s="1">
        <v>167.98</v>
      </c>
      <c r="J645" s="1">
        <v>3</v>
      </c>
      <c r="K645" s="1">
        <v>10.5</v>
      </c>
    </row>
    <row r="646" spans="1:11" ht="12.75" x14ac:dyDescent="0.2">
      <c r="A646" s="2">
        <v>41969</v>
      </c>
      <c r="B646" s="2" t="str">
        <f>TEXT(Table1[[#This Row],[Order Date]],"MMM")</f>
        <v>Nov</v>
      </c>
      <c r="C646" s="2" t="str">
        <f t="shared" si="10"/>
        <v>2014</v>
      </c>
      <c r="D646" s="1" t="s">
        <v>185</v>
      </c>
      <c r="E646" s="1" t="s">
        <v>30</v>
      </c>
      <c r="F646" s="1" t="s">
        <v>11</v>
      </c>
      <c r="G646" s="1" t="s">
        <v>80</v>
      </c>
      <c r="H646" s="1" t="s">
        <v>731</v>
      </c>
      <c r="I646" s="1">
        <v>1245.8599999999999</v>
      </c>
      <c r="J646" s="1">
        <v>7</v>
      </c>
      <c r="K646" s="1">
        <v>361.3</v>
      </c>
    </row>
    <row r="647" spans="1:11" ht="12.75" x14ac:dyDescent="0.2">
      <c r="A647" s="2">
        <v>43065</v>
      </c>
      <c r="B647" s="2" t="str">
        <f>TEXT(Table1[[#This Row],[Order Date]],"MMM")</f>
        <v>Nov</v>
      </c>
      <c r="C647" s="2" t="str">
        <f t="shared" si="10"/>
        <v>2017</v>
      </c>
      <c r="D647" s="1" t="s">
        <v>1053</v>
      </c>
      <c r="E647" s="1" t="s">
        <v>10</v>
      </c>
      <c r="F647" s="1" t="s">
        <v>38</v>
      </c>
      <c r="G647" s="1" t="s">
        <v>48</v>
      </c>
      <c r="H647" s="1" t="s">
        <v>622</v>
      </c>
      <c r="I647" s="1">
        <v>47.9</v>
      </c>
      <c r="J647" s="1">
        <v>1</v>
      </c>
      <c r="K647" s="1">
        <v>-2.99</v>
      </c>
    </row>
    <row r="648" spans="1:11" ht="12.75" x14ac:dyDescent="0.2">
      <c r="A648" s="2">
        <v>42730</v>
      </c>
      <c r="B648" s="2" t="str">
        <f>TEXT(Table1[[#This Row],[Order Date]],"MMM")</f>
        <v>Dec</v>
      </c>
      <c r="C648" s="2" t="str">
        <f t="shared" si="10"/>
        <v>2016</v>
      </c>
      <c r="D648" s="1" t="s">
        <v>1021</v>
      </c>
      <c r="E648" s="1" t="s">
        <v>27</v>
      </c>
      <c r="F648" s="1" t="s">
        <v>11</v>
      </c>
      <c r="G648" s="1" t="s">
        <v>12</v>
      </c>
      <c r="H648" s="1" t="s">
        <v>1146</v>
      </c>
      <c r="I648" s="1">
        <v>37.44</v>
      </c>
      <c r="J648" s="1">
        <v>6</v>
      </c>
      <c r="K648" s="1">
        <v>16.850000000000001</v>
      </c>
    </row>
    <row r="649" spans="1:11" ht="12.75" x14ac:dyDescent="0.2">
      <c r="A649" s="2">
        <v>43095</v>
      </c>
      <c r="B649" s="2" t="str">
        <f>TEXT(Table1[[#This Row],[Order Date]],"MMM")</f>
        <v>Dec</v>
      </c>
      <c r="C649" s="2" t="str">
        <f t="shared" si="10"/>
        <v>2017</v>
      </c>
      <c r="D649" s="1" t="s">
        <v>565</v>
      </c>
      <c r="E649" s="1" t="s">
        <v>15</v>
      </c>
      <c r="F649" s="1" t="s">
        <v>11</v>
      </c>
      <c r="G649" s="1" t="s">
        <v>20</v>
      </c>
      <c r="H649" s="1" t="s">
        <v>572</v>
      </c>
      <c r="I649" s="1">
        <v>1.79</v>
      </c>
      <c r="J649" s="1">
        <v>3</v>
      </c>
      <c r="K649" s="1">
        <v>-3.04</v>
      </c>
    </row>
    <row r="650" spans="1:11" ht="12.75" x14ac:dyDescent="0.2">
      <c r="A650" s="2">
        <v>41666</v>
      </c>
      <c r="B650" s="2" t="str">
        <f>TEXT(Table1[[#This Row],[Order Date]],"MMM")</f>
        <v>Jan</v>
      </c>
      <c r="C650" s="2" t="str">
        <f t="shared" si="10"/>
        <v>2014</v>
      </c>
      <c r="D650" s="1" t="s">
        <v>1138</v>
      </c>
      <c r="E650" s="1" t="s">
        <v>10</v>
      </c>
      <c r="F650" s="1" t="s">
        <v>11</v>
      </c>
      <c r="G650" s="1" t="s">
        <v>157</v>
      </c>
      <c r="H650" s="1" t="s">
        <v>503</v>
      </c>
      <c r="I650" s="1">
        <v>6.98</v>
      </c>
      <c r="J650" s="1">
        <v>4</v>
      </c>
      <c r="K650" s="1">
        <v>-1.4</v>
      </c>
    </row>
    <row r="651" spans="1:11" ht="12.75" x14ac:dyDescent="0.2">
      <c r="A651" s="2">
        <v>42031</v>
      </c>
      <c r="B651" s="2" t="str">
        <f>TEXT(Table1[[#This Row],[Order Date]],"MMM")</f>
        <v>Jan</v>
      </c>
      <c r="C651" s="2" t="str">
        <f t="shared" si="10"/>
        <v>2015</v>
      </c>
      <c r="D651" s="1" t="s">
        <v>1292</v>
      </c>
      <c r="E651" s="1" t="s">
        <v>32</v>
      </c>
      <c r="F651" s="1" t="s">
        <v>11</v>
      </c>
      <c r="G651" s="1" t="s">
        <v>80</v>
      </c>
      <c r="H651" s="1" t="s">
        <v>481</v>
      </c>
      <c r="I651" s="1">
        <v>72.8</v>
      </c>
      <c r="J651" s="1">
        <v>5</v>
      </c>
      <c r="K651" s="1">
        <v>19.66</v>
      </c>
    </row>
    <row r="652" spans="1:11" ht="12.75" x14ac:dyDescent="0.2">
      <c r="A652" s="2">
        <v>41697</v>
      </c>
      <c r="B652" s="2" t="str">
        <f>TEXT(Table1[[#This Row],[Order Date]],"MMM")</f>
        <v>Feb</v>
      </c>
      <c r="C652" s="2" t="str">
        <f t="shared" si="10"/>
        <v>2014</v>
      </c>
      <c r="D652" s="1" t="s">
        <v>894</v>
      </c>
      <c r="E652" s="1" t="s">
        <v>126</v>
      </c>
      <c r="F652" s="1" t="s">
        <v>11</v>
      </c>
      <c r="G652" s="1" t="s">
        <v>16</v>
      </c>
      <c r="H652" s="1" t="s">
        <v>1304</v>
      </c>
      <c r="I652" s="1">
        <v>25.06</v>
      </c>
      <c r="J652" s="1">
        <v>2</v>
      </c>
      <c r="K652" s="1">
        <v>11.78</v>
      </c>
    </row>
    <row r="653" spans="1:11" ht="12.75" x14ac:dyDescent="0.2">
      <c r="A653" s="2">
        <v>42427</v>
      </c>
      <c r="B653" s="2" t="str">
        <f>TEXT(Table1[[#This Row],[Order Date]],"MMM")</f>
        <v>Feb</v>
      </c>
      <c r="C653" s="2" t="str">
        <f t="shared" si="10"/>
        <v>2016</v>
      </c>
      <c r="D653" s="1" t="s">
        <v>1318</v>
      </c>
      <c r="E653" s="1" t="s">
        <v>119</v>
      </c>
      <c r="F653" s="1" t="s">
        <v>11</v>
      </c>
      <c r="G653" s="1" t="s">
        <v>12</v>
      </c>
      <c r="H653" s="1" t="s">
        <v>1069</v>
      </c>
      <c r="I653" s="1">
        <v>26.38</v>
      </c>
      <c r="J653" s="1">
        <v>1</v>
      </c>
      <c r="K653" s="1">
        <v>12.13</v>
      </c>
    </row>
    <row r="654" spans="1:11" ht="12.75" x14ac:dyDescent="0.2">
      <c r="A654" s="2">
        <v>42090</v>
      </c>
      <c r="B654" s="2" t="str">
        <f>TEXT(Table1[[#This Row],[Order Date]],"MMM")</f>
        <v>Mar</v>
      </c>
      <c r="C654" s="2" t="str">
        <f t="shared" si="10"/>
        <v>2015</v>
      </c>
      <c r="D654" s="1" t="s">
        <v>1303</v>
      </c>
      <c r="E654" s="1" t="s">
        <v>23</v>
      </c>
      <c r="F654" s="1" t="s">
        <v>11</v>
      </c>
      <c r="G654" s="1" t="s">
        <v>24</v>
      </c>
      <c r="H654" s="1" t="s">
        <v>1254</v>
      </c>
      <c r="I654" s="1">
        <v>5.25</v>
      </c>
      <c r="J654" s="1">
        <v>2</v>
      </c>
      <c r="K654" s="1">
        <v>0.59</v>
      </c>
    </row>
    <row r="655" spans="1:11" ht="12.75" x14ac:dyDescent="0.2">
      <c r="A655" s="2">
        <v>42456</v>
      </c>
      <c r="B655" s="2" t="str">
        <f>TEXT(Table1[[#This Row],[Order Date]],"MMM")</f>
        <v>Mar</v>
      </c>
      <c r="C655" s="2" t="str">
        <f t="shared" si="10"/>
        <v>2016</v>
      </c>
      <c r="D655" s="1" t="s">
        <v>1131</v>
      </c>
      <c r="E655" s="1" t="s">
        <v>93</v>
      </c>
      <c r="F655" s="1" t="s">
        <v>11</v>
      </c>
      <c r="G655" s="1" t="s">
        <v>20</v>
      </c>
      <c r="H655" s="1" t="s">
        <v>98</v>
      </c>
      <c r="I655" s="1">
        <v>895.92</v>
      </c>
      <c r="J655" s="1">
        <v>4</v>
      </c>
      <c r="K655" s="1">
        <v>421.08</v>
      </c>
    </row>
    <row r="656" spans="1:11" ht="12.75" x14ac:dyDescent="0.2">
      <c r="A656" s="2">
        <v>42821</v>
      </c>
      <c r="B656" s="2" t="str">
        <f>TEXT(Table1[[#This Row],[Order Date]],"MMM")</f>
        <v>Mar</v>
      </c>
      <c r="C656" s="2" t="str">
        <f t="shared" si="10"/>
        <v>2017</v>
      </c>
      <c r="D656" s="1" t="s">
        <v>795</v>
      </c>
      <c r="E656" s="1" t="s">
        <v>27</v>
      </c>
      <c r="F656" s="1" t="s">
        <v>11</v>
      </c>
      <c r="G656" s="1" t="s">
        <v>12</v>
      </c>
      <c r="H656" s="1" t="s">
        <v>935</v>
      </c>
      <c r="I656" s="1">
        <v>314.55</v>
      </c>
      <c r="J656" s="1">
        <v>3</v>
      </c>
      <c r="K656" s="1">
        <v>150.97999999999999</v>
      </c>
    </row>
    <row r="657" spans="1:11" ht="12.75" x14ac:dyDescent="0.2">
      <c r="A657" s="2">
        <v>42852</v>
      </c>
      <c r="B657" s="2" t="str">
        <f>TEXT(Table1[[#This Row],[Order Date]],"MMM")</f>
        <v>Apr</v>
      </c>
      <c r="C657" s="2" t="str">
        <f t="shared" si="10"/>
        <v>2017</v>
      </c>
      <c r="D657" s="1" t="s">
        <v>1126</v>
      </c>
      <c r="E657" s="1" t="s">
        <v>119</v>
      </c>
      <c r="F657" s="1" t="s">
        <v>11</v>
      </c>
      <c r="G657" s="1" t="s">
        <v>16</v>
      </c>
      <c r="H657" s="1" t="s">
        <v>413</v>
      </c>
      <c r="I657" s="1">
        <v>28.91</v>
      </c>
      <c r="J657" s="1">
        <v>7</v>
      </c>
      <c r="K657" s="1">
        <v>13.3</v>
      </c>
    </row>
    <row r="658" spans="1:11" ht="12.75" x14ac:dyDescent="0.2">
      <c r="A658" s="2">
        <v>41786</v>
      </c>
      <c r="B658" s="2" t="str">
        <f>TEXT(Table1[[#This Row],[Order Date]],"MMM")</f>
        <v>May</v>
      </c>
      <c r="C658" s="2" t="str">
        <f t="shared" si="10"/>
        <v>2014</v>
      </c>
      <c r="D658" s="1" t="s">
        <v>165</v>
      </c>
      <c r="E658" s="1" t="s">
        <v>106</v>
      </c>
      <c r="F658" s="1" t="s">
        <v>33</v>
      </c>
      <c r="G658" s="1" t="s">
        <v>44</v>
      </c>
      <c r="H658" s="1" t="s">
        <v>1280</v>
      </c>
      <c r="I658" s="1">
        <v>2.91</v>
      </c>
      <c r="J658" s="1">
        <v>1</v>
      </c>
      <c r="K658" s="1">
        <v>1.37</v>
      </c>
    </row>
    <row r="659" spans="1:11" ht="12.75" x14ac:dyDescent="0.2">
      <c r="A659" s="2">
        <v>42517</v>
      </c>
      <c r="B659" s="2" t="str">
        <f>TEXT(Table1[[#This Row],[Order Date]],"MMM")</f>
        <v>May</v>
      </c>
      <c r="C659" s="2" t="str">
        <f t="shared" si="10"/>
        <v>2016</v>
      </c>
      <c r="D659" s="1" t="s">
        <v>1256</v>
      </c>
      <c r="E659" s="1" t="s">
        <v>27</v>
      </c>
      <c r="F659" s="1" t="s">
        <v>33</v>
      </c>
      <c r="G659" s="1" t="s">
        <v>44</v>
      </c>
      <c r="H659" s="1" t="s">
        <v>726</v>
      </c>
      <c r="I659" s="1">
        <v>211.84</v>
      </c>
      <c r="J659" s="1">
        <v>8</v>
      </c>
      <c r="K659" s="1">
        <v>76.260000000000005</v>
      </c>
    </row>
    <row r="660" spans="1:11" ht="12.75" x14ac:dyDescent="0.2">
      <c r="A660" s="2">
        <v>41817</v>
      </c>
      <c r="B660" s="2" t="str">
        <f>TEXT(Table1[[#This Row],[Order Date]],"MMM")</f>
        <v>Jun</v>
      </c>
      <c r="C660" s="2" t="str">
        <f t="shared" si="10"/>
        <v>2014</v>
      </c>
      <c r="D660" s="1" t="s">
        <v>567</v>
      </c>
      <c r="E660" s="1" t="s">
        <v>119</v>
      </c>
      <c r="F660" s="1" t="s">
        <v>11</v>
      </c>
      <c r="G660" s="1" t="s">
        <v>12</v>
      </c>
      <c r="H660" s="1" t="s">
        <v>932</v>
      </c>
      <c r="I660" s="1">
        <v>221.92</v>
      </c>
      <c r="J660" s="1">
        <v>4</v>
      </c>
      <c r="K660" s="1">
        <v>106.52</v>
      </c>
    </row>
    <row r="661" spans="1:11" ht="12.75" x14ac:dyDescent="0.2">
      <c r="A661" s="2">
        <v>42548</v>
      </c>
      <c r="B661" s="2" t="str">
        <f>TEXT(Table1[[#This Row],[Order Date]],"MMM")</f>
        <v>Jun</v>
      </c>
      <c r="C661" s="2" t="str">
        <f t="shared" si="10"/>
        <v>2016</v>
      </c>
      <c r="D661" s="1" t="s">
        <v>242</v>
      </c>
      <c r="E661" s="1" t="s">
        <v>119</v>
      </c>
      <c r="F661" s="1" t="s">
        <v>33</v>
      </c>
      <c r="G661" s="1" t="s">
        <v>65</v>
      </c>
      <c r="H661" s="1" t="s">
        <v>1144</v>
      </c>
      <c r="I661" s="1">
        <v>257.57</v>
      </c>
      <c r="J661" s="1">
        <v>2</v>
      </c>
      <c r="K661" s="1">
        <v>-28.98</v>
      </c>
    </row>
    <row r="662" spans="1:11" ht="12.75" x14ac:dyDescent="0.2">
      <c r="A662" s="2">
        <v>41847</v>
      </c>
      <c r="B662" s="2" t="str">
        <f>TEXT(Table1[[#This Row],[Order Date]],"MMM")</f>
        <v>Jul</v>
      </c>
      <c r="C662" s="2" t="str">
        <f t="shared" si="10"/>
        <v>2014</v>
      </c>
      <c r="D662" s="1" t="s">
        <v>423</v>
      </c>
      <c r="E662" s="1" t="s">
        <v>23</v>
      </c>
      <c r="F662" s="1" t="s">
        <v>33</v>
      </c>
      <c r="G662" s="1" t="s">
        <v>44</v>
      </c>
      <c r="H662" s="1" t="s">
        <v>1074</v>
      </c>
      <c r="I662" s="1">
        <v>15.01</v>
      </c>
      <c r="J662" s="1">
        <v>2</v>
      </c>
      <c r="K662" s="1">
        <v>1.5</v>
      </c>
    </row>
    <row r="663" spans="1:11" ht="12.75" x14ac:dyDescent="0.2">
      <c r="A663" s="2">
        <v>42212</v>
      </c>
      <c r="B663" s="2" t="str">
        <f>TEXT(Table1[[#This Row],[Order Date]],"MMM")</f>
        <v>Jul</v>
      </c>
      <c r="C663" s="2" t="str">
        <f t="shared" si="10"/>
        <v>2015</v>
      </c>
      <c r="D663" s="1" t="s">
        <v>140</v>
      </c>
      <c r="E663" s="1" t="s">
        <v>100</v>
      </c>
      <c r="F663" s="1" t="s">
        <v>11</v>
      </c>
      <c r="G663" s="1" t="s">
        <v>20</v>
      </c>
      <c r="H663" s="1" t="s">
        <v>998</v>
      </c>
      <c r="I663" s="1">
        <v>68.739999999999995</v>
      </c>
      <c r="J663" s="1">
        <v>9</v>
      </c>
      <c r="K663" s="1">
        <v>-48.12</v>
      </c>
    </row>
    <row r="664" spans="1:11" ht="12.75" x14ac:dyDescent="0.2">
      <c r="A664" s="2">
        <v>41878</v>
      </c>
      <c r="B664" s="2" t="str">
        <f>TEXT(Table1[[#This Row],[Order Date]],"MMM")</f>
        <v>Aug</v>
      </c>
      <c r="C664" s="2" t="str">
        <f t="shared" si="10"/>
        <v>2014</v>
      </c>
      <c r="D664" s="1" t="s">
        <v>605</v>
      </c>
      <c r="E664" s="1" t="s">
        <v>106</v>
      </c>
      <c r="F664" s="1" t="s">
        <v>11</v>
      </c>
      <c r="G664" s="1" t="s">
        <v>18</v>
      </c>
      <c r="H664" s="1" t="s">
        <v>305</v>
      </c>
      <c r="I664" s="1">
        <v>81.400000000000006</v>
      </c>
      <c r="J664" s="1">
        <v>5</v>
      </c>
      <c r="K664" s="1">
        <v>21.16</v>
      </c>
    </row>
    <row r="665" spans="1:11" ht="12.75" x14ac:dyDescent="0.2">
      <c r="A665" s="2">
        <v>42974</v>
      </c>
      <c r="B665" s="2" t="str">
        <f>TEXT(Table1[[#This Row],[Order Date]],"MMM")</f>
        <v>Aug</v>
      </c>
      <c r="C665" s="2" t="str">
        <f t="shared" si="10"/>
        <v>2017</v>
      </c>
      <c r="D665" s="1" t="s">
        <v>1319</v>
      </c>
      <c r="E665" s="1" t="s">
        <v>517</v>
      </c>
      <c r="F665" s="1" t="s">
        <v>11</v>
      </c>
      <c r="G665" s="1" t="s">
        <v>58</v>
      </c>
      <c r="H665" s="1" t="s">
        <v>1320</v>
      </c>
      <c r="I665" s="1">
        <v>325.86</v>
      </c>
      <c r="J665" s="1">
        <v>2</v>
      </c>
      <c r="K665" s="1">
        <v>149.9</v>
      </c>
    </row>
    <row r="666" spans="1:11" ht="12.75" x14ac:dyDescent="0.2">
      <c r="A666" s="2">
        <v>41909</v>
      </c>
      <c r="B666" s="2" t="str">
        <f>TEXT(Table1[[#This Row],[Order Date]],"MMM")</f>
        <v>Sep</v>
      </c>
      <c r="C666" s="2" t="str">
        <f t="shared" si="10"/>
        <v>2014</v>
      </c>
      <c r="D666" s="1" t="s">
        <v>377</v>
      </c>
      <c r="E666" s="1" t="s">
        <v>10</v>
      </c>
      <c r="F666" s="1" t="s">
        <v>33</v>
      </c>
      <c r="G666" s="1" t="s">
        <v>65</v>
      </c>
      <c r="H666" s="1" t="s">
        <v>1152</v>
      </c>
      <c r="I666" s="1">
        <v>205.33</v>
      </c>
      <c r="J666" s="1">
        <v>2</v>
      </c>
      <c r="K666" s="1">
        <v>-36.24</v>
      </c>
    </row>
    <row r="667" spans="1:11" ht="12.75" x14ac:dyDescent="0.2">
      <c r="A667" s="2">
        <v>42640</v>
      </c>
      <c r="B667" s="2" t="str">
        <f>TEXT(Table1[[#This Row],[Order Date]],"MMM")</f>
        <v>Sep</v>
      </c>
      <c r="C667" s="2" t="str">
        <f t="shared" si="10"/>
        <v>2016</v>
      </c>
      <c r="D667" s="1" t="s">
        <v>382</v>
      </c>
      <c r="E667" s="1" t="s">
        <v>23</v>
      </c>
      <c r="F667" s="1" t="s">
        <v>33</v>
      </c>
      <c r="G667" s="1" t="s">
        <v>44</v>
      </c>
      <c r="H667" s="1" t="s">
        <v>628</v>
      </c>
      <c r="I667" s="1">
        <v>25.47</v>
      </c>
      <c r="J667" s="1">
        <v>4</v>
      </c>
      <c r="K667" s="1">
        <v>7.64</v>
      </c>
    </row>
    <row r="668" spans="1:11" ht="12.75" x14ac:dyDescent="0.2">
      <c r="A668" s="2">
        <v>42335</v>
      </c>
      <c r="B668" s="2" t="str">
        <f>TEXT(Table1[[#This Row],[Order Date]],"MMM")</f>
        <v>Nov</v>
      </c>
      <c r="C668" s="2" t="str">
        <f t="shared" si="10"/>
        <v>2015</v>
      </c>
      <c r="D668" s="1" t="s">
        <v>1203</v>
      </c>
      <c r="E668" s="1" t="s">
        <v>119</v>
      </c>
      <c r="F668" s="1" t="s">
        <v>11</v>
      </c>
      <c r="G668" s="1" t="s">
        <v>16</v>
      </c>
      <c r="H668" s="1" t="s">
        <v>1321</v>
      </c>
      <c r="I668" s="1">
        <v>9.82</v>
      </c>
      <c r="J668" s="1">
        <v>2</v>
      </c>
      <c r="K668" s="1">
        <v>4.8099999999999996</v>
      </c>
    </row>
    <row r="669" spans="1:11" ht="12.75" x14ac:dyDescent="0.2">
      <c r="A669" s="2">
        <v>43066</v>
      </c>
      <c r="B669" s="2" t="str">
        <f>TEXT(Table1[[#This Row],[Order Date]],"MMM")</f>
        <v>Nov</v>
      </c>
      <c r="C669" s="2" t="str">
        <f t="shared" si="10"/>
        <v>2017</v>
      </c>
      <c r="D669" s="1" t="s">
        <v>752</v>
      </c>
      <c r="E669" s="1" t="s">
        <v>27</v>
      </c>
      <c r="F669" s="1" t="s">
        <v>38</v>
      </c>
      <c r="G669" s="1" t="s">
        <v>48</v>
      </c>
      <c r="H669" s="1" t="s">
        <v>665</v>
      </c>
      <c r="I669" s="1">
        <v>199.95</v>
      </c>
      <c r="J669" s="1">
        <v>5</v>
      </c>
      <c r="K669" s="1">
        <v>21.99</v>
      </c>
    </row>
    <row r="670" spans="1:11" ht="12.75" x14ac:dyDescent="0.2">
      <c r="A670" s="2">
        <v>42365</v>
      </c>
      <c r="B670" s="2" t="str">
        <f>TEXT(Table1[[#This Row],[Order Date]],"MMM")</f>
        <v>Dec</v>
      </c>
      <c r="C670" s="2" t="str">
        <f t="shared" si="10"/>
        <v>2015</v>
      </c>
      <c r="D670" s="1" t="s">
        <v>717</v>
      </c>
      <c r="E670" s="1" t="s">
        <v>10</v>
      </c>
      <c r="F670" s="1" t="s">
        <v>11</v>
      </c>
      <c r="G670" s="1" t="s">
        <v>80</v>
      </c>
      <c r="H670" s="1" t="s">
        <v>1153</v>
      </c>
      <c r="I670" s="1">
        <v>97.26</v>
      </c>
      <c r="J670" s="1">
        <v>4</v>
      </c>
      <c r="K670" s="1">
        <v>-243.16</v>
      </c>
    </row>
    <row r="671" spans="1:11" ht="12.75" x14ac:dyDescent="0.2">
      <c r="A671" s="2">
        <v>43096</v>
      </c>
      <c r="B671" s="2" t="str">
        <f>TEXT(Table1[[#This Row],[Order Date]],"MMM")</f>
        <v>Dec</v>
      </c>
      <c r="C671" s="2" t="str">
        <f t="shared" si="10"/>
        <v>2017</v>
      </c>
      <c r="D671" s="1" t="s">
        <v>1313</v>
      </c>
      <c r="E671" s="1" t="s">
        <v>119</v>
      </c>
      <c r="F671" s="1" t="s">
        <v>11</v>
      </c>
      <c r="G671" s="1" t="s">
        <v>80</v>
      </c>
      <c r="H671" s="1" t="s">
        <v>1211</v>
      </c>
      <c r="I671" s="1">
        <v>121.94</v>
      </c>
      <c r="J671" s="1">
        <v>2</v>
      </c>
      <c r="K671" s="1">
        <v>35.36</v>
      </c>
    </row>
    <row r="672" spans="1:11" ht="12.75" x14ac:dyDescent="0.2">
      <c r="A672" s="2">
        <v>41667</v>
      </c>
      <c r="B672" s="2" t="str">
        <f>TEXT(Table1[[#This Row],[Order Date]],"MMM")</f>
        <v>Jan</v>
      </c>
      <c r="C672" s="2" t="str">
        <f t="shared" si="10"/>
        <v>2014</v>
      </c>
      <c r="D672" s="1" t="s">
        <v>258</v>
      </c>
      <c r="E672" s="1" t="s">
        <v>23</v>
      </c>
      <c r="F672" s="1" t="s">
        <v>11</v>
      </c>
      <c r="G672" s="1" t="s">
        <v>80</v>
      </c>
      <c r="H672" s="1" t="s">
        <v>666</v>
      </c>
      <c r="I672" s="1">
        <v>99.28</v>
      </c>
      <c r="J672" s="1">
        <v>2</v>
      </c>
      <c r="K672" s="1">
        <v>12.41</v>
      </c>
    </row>
    <row r="673" spans="1:11" ht="12.75" x14ac:dyDescent="0.2">
      <c r="A673" s="2">
        <v>42032</v>
      </c>
      <c r="B673" s="2" t="str">
        <f>TEXT(Table1[[#This Row],[Order Date]],"MMM")</f>
        <v>Jan</v>
      </c>
      <c r="C673" s="2" t="str">
        <f t="shared" si="10"/>
        <v>2015</v>
      </c>
      <c r="D673" s="1" t="s">
        <v>1285</v>
      </c>
      <c r="E673" s="1" t="s">
        <v>10</v>
      </c>
      <c r="F673" s="1" t="s">
        <v>11</v>
      </c>
      <c r="G673" s="1" t="s">
        <v>16</v>
      </c>
      <c r="H673" s="1" t="s">
        <v>953</v>
      </c>
      <c r="I673" s="1">
        <v>33.119999999999997</v>
      </c>
      <c r="J673" s="1">
        <v>4</v>
      </c>
      <c r="K673" s="1">
        <v>11.59</v>
      </c>
    </row>
    <row r="674" spans="1:11" ht="12.75" x14ac:dyDescent="0.2">
      <c r="A674" s="2">
        <v>42063</v>
      </c>
      <c r="B674" s="2" t="str">
        <f>TEXT(Table1[[#This Row],[Order Date]],"MMM")</f>
        <v>Feb</v>
      </c>
      <c r="C674" s="2" t="str">
        <f t="shared" si="10"/>
        <v>2015</v>
      </c>
      <c r="D674" s="1" t="s">
        <v>203</v>
      </c>
      <c r="E674" s="1" t="s">
        <v>68</v>
      </c>
      <c r="F674" s="1" t="s">
        <v>33</v>
      </c>
      <c r="G674" s="1" t="s">
        <v>117</v>
      </c>
      <c r="H674" s="1" t="s">
        <v>658</v>
      </c>
      <c r="I674" s="1">
        <v>1048.3499999999999</v>
      </c>
      <c r="J674" s="1">
        <v>5</v>
      </c>
      <c r="K674" s="1">
        <v>-69.89</v>
      </c>
    </row>
    <row r="675" spans="1:11" ht="12.75" x14ac:dyDescent="0.2">
      <c r="A675" s="2">
        <v>41726</v>
      </c>
      <c r="B675" s="2" t="str">
        <f>TEXT(Table1[[#This Row],[Order Date]],"MMM")</f>
        <v>Mar</v>
      </c>
      <c r="C675" s="2" t="str">
        <f t="shared" si="10"/>
        <v>2014</v>
      </c>
      <c r="D675" s="1" t="s">
        <v>705</v>
      </c>
      <c r="E675" s="1" t="s">
        <v>141</v>
      </c>
      <c r="F675" s="1" t="s">
        <v>33</v>
      </c>
      <c r="G675" s="1" t="s">
        <v>44</v>
      </c>
      <c r="H675" s="1" t="s">
        <v>985</v>
      </c>
      <c r="I675" s="1">
        <v>129.93</v>
      </c>
      <c r="J675" s="1">
        <v>3</v>
      </c>
      <c r="K675" s="1">
        <v>12.99</v>
      </c>
    </row>
    <row r="676" spans="1:11" ht="12.75" x14ac:dyDescent="0.2">
      <c r="A676" s="2">
        <v>42091</v>
      </c>
      <c r="B676" s="2" t="str">
        <f>TEXT(Table1[[#This Row],[Order Date]],"MMM")</f>
        <v>Mar</v>
      </c>
      <c r="C676" s="2" t="str">
        <f t="shared" si="10"/>
        <v>2015</v>
      </c>
      <c r="D676" s="1" t="s">
        <v>1301</v>
      </c>
      <c r="E676" s="1" t="s">
        <v>15</v>
      </c>
      <c r="F676" s="1" t="s">
        <v>11</v>
      </c>
      <c r="G676" s="1" t="s">
        <v>24</v>
      </c>
      <c r="H676" s="1" t="s">
        <v>371</v>
      </c>
      <c r="I676" s="1">
        <v>6.41</v>
      </c>
      <c r="J676" s="1">
        <v>3</v>
      </c>
      <c r="K676" s="1">
        <v>0.64</v>
      </c>
    </row>
    <row r="677" spans="1:11" ht="12.75" x14ac:dyDescent="0.2">
      <c r="A677" s="2">
        <v>42457</v>
      </c>
      <c r="B677" s="2" t="str">
        <f>TEXT(Table1[[#This Row],[Order Date]],"MMM")</f>
        <v>Mar</v>
      </c>
      <c r="C677" s="2" t="str">
        <f t="shared" si="10"/>
        <v>2016</v>
      </c>
      <c r="D677" s="1" t="s">
        <v>930</v>
      </c>
      <c r="E677" s="1" t="s">
        <v>68</v>
      </c>
      <c r="F677" s="1" t="s">
        <v>11</v>
      </c>
      <c r="G677" s="1" t="s">
        <v>18</v>
      </c>
      <c r="H677" s="1" t="s">
        <v>359</v>
      </c>
      <c r="I677" s="1">
        <v>221.02</v>
      </c>
      <c r="J677" s="1">
        <v>2</v>
      </c>
      <c r="K677" s="1">
        <v>-55.26</v>
      </c>
    </row>
    <row r="678" spans="1:11" ht="12.75" x14ac:dyDescent="0.2">
      <c r="A678" s="2">
        <v>42822</v>
      </c>
      <c r="B678" s="2" t="str">
        <f>TEXT(Table1[[#This Row],[Order Date]],"MMM")</f>
        <v>Mar</v>
      </c>
      <c r="C678" s="2" t="str">
        <f t="shared" si="10"/>
        <v>2017</v>
      </c>
      <c r="D678" s="1" t="s">
        <v>276</v>
      </c>
      <c r="E678" s="1" t="s">
        <v>1322</v>
      </c>
      <c r="F678" s="1" t="s">
        <v>11</v>
      </c>
      <c r="G678" s="1" t="s">
        <v>24</v>
      </c>
      <c r="H678" s="1" t="s">
        <v>502</v>
      </c>
      <c r="I678" s="1">
        <v>131.94</v>
      </c>
      <c r="J678" s="1">
        <v>3</v>
      </c>
      <c r="K678" s="1">
        <v>35.619999999999997</v>
      </c>
    </row>
    <row r="679" spans="1:11" ht="12.75" x14ac:dyDescent="0.2">
      <c r="A679" s="2">
        <v>41757</v>
      </c>
      <c r="B679" s="2" t="str">
        <f>TEXT(Table1[[#This Row],[Order Date]],"MMM")</f>
        <v>Apr</v>
      </c>
      <c r="C679" s="2" t="str">
        <f>TEXT(A679,"YYY")</f>
        <v>2014</v>
      </c>
      <c r="D679" s="1" t="s">
        <v>1303</v>
      </c>
      <c r="E679" s="1" t="s">
        <v>30</v>
      </c>
      <c r="F679" s="1" t="s">
        <v>11</v>
      </c>
      <c r="G679" s="1" t="s">
        <v>20</v>
      </c>
      <c r="H679" s="1" t="s">
        <v>1009</v>
      </c>
      <c r="I679" s="1">
        <v>29.84</v>
      </c>
      <c r="J679" s="1">
        <v>2</v>
      </c>
      <c r="K679" s="1">
        <v>13.43</v>
      </c>
    </row>
    <row r="680" spans="1:11" ht="12.75" x14ac:dyDescent="0.2">
      <c r="A680" s="2">
        <v>42122</v>
      </c>
      <c r="B680" s="2" t="str">
        <f>TEXT(Table1[[#This Row],[Order Date]],"MMM")</f>
        <v>Apr</v>
      </c>
      <c r="C680" s="2" t="str">
        <f t="shared" si="10"/>
        <v>2015</v>
      </c>
      <c r="D680" s="1" t="s">
        <v>989</v>
      </c>
      <c r="E680" s="1" t="s">
        <v>32</v>
      </c>
      <c r="F680" s="1" t="s">
        <v>11</v>
      </c>
      <c r="G680" s="1" t="s">
        <v>80</v>
      </c>
      <c r="H680" s="1" t="s">
        <v>1323</v>
      </c>
      <c r="I680" s="1">
        <v>208.44</v>
      </c>
      <c r="J680" s="1">
        <v>3</v>
      </c>
      <c r="K680" s="1">
        <v>62.53</v>
      </c>
    </row>
    <row r="681" spans="1:11" ht="12.75" x14ac:dyDescent="0.2">
      <c r="A681" s="2">
        <v>41787</v>
      </c>
      <c r="B681" s="2" t="str">
        <f>TEXT(Table1[[#This Row],[Order Date]],"MMM")</f>
        <v>May</v>
      </c>
      <c r="C681" s="2" t="str">
        <f t="shared" si="10"/>
        <v>2014</v>
      </c>
      <c r="D681" s="1" t="s">
        <v>505</v>
      </c>
      <c r="E681" s="1" t="s">
        <v>97</v>
      </c>
      <c r="F681" s="1" t="s">
        <v>33</v>
      </c>
      <c r="G681" s="1" t="s">
        <v>44</v>
      </c>
      <c r="H681" s="1" t="s">
        <v>947</v>
      </c>
      <c r="I681" s="1">
        <v>35.17</v>
      </c>
      <c r="J681" s="1">
        <v>7</v>
      </c>
      <c r="K681" s="1">
        <v>9.67</v>
      </c>
    </row>
    <row r="682" spans="1:11" ht="12.75" x14ac:dyDescent="0.2">
      <c r="A682" s="2">
        <v>42152</v>
      </c>
      <c r="B682" s="2" t="str">
        <f>TEXT(Table1[[#This Row],[Order Date]],"MMM")</f>
        <v>May</v>
      </c>
      <c r="C682" s="2" t="str">
        <f t="shared" si="10"/>
        <v>2015</v>
      </c>
      <c r="D682" s="1" t="s">
        <v>1283</v>
      </c>
      <c r="E682" s="1" t="s">
        <v>186</v>
      </c>
      <c r="F682" s="1" t="s">
        <v>33</v>
      </c>
      <c r="G682" s="1" t="s">
        <v>44</v>
      </c>
      <c r="H682" s="1" t="s">
        <v>724</v>
      </c>
      <c r="I682" s="1">
        <v>31.98</v>
      </c>
      <c r="J682" s="1">
        <v>2</v>
      </c>
      <c r="K682" s="1">
        <v>2</v>
      </c>
    </row>
    <row r="683" spans="1:11" ht="12.75" x14ac:dyDescent="0.2">
      <c r="A683" s="2">
        <v>41818</v>
      </c>
      <c r="B683" s="2" t="str">
        <f>TEXT(Table1[[#This Row],[Order Date]],"MMM")</f>
        <v>Jun</v>
      </c>
      <c r="C683" s="2" t="str">
        <f t="shared" si="10"/>
        <v>2014</v>
      </c>
      <c r="D683" s="1" t="s">
        <v>568</v>
      </c>
      <c r="E683" s="1" t="s">
        <v>27</v>
      </c>
      <c r="F683" s="1" t="s">
        <v>33</v>
      </c>
      <c r="G683" s="1" t="s">
        <v>44</v>
      </c>
      <c r="H683" s="1" t="s">
        <v>1296</v>
      </c>
      <c r="I683" s="1">
        <v>4.95</v>
      </c>
      <c r="J683" s="1">
        <v>1</v>
      </c>
      <c r="K683" s="1">
        <v>2.1800000000000002</v>
      </c>
    </row>
    <row r="684" spans="1:11" ht="12.75" x14ac:dyDescent="0.2">
      <c r="A684" s="2">
        <v>41848</v>
      </c>
      <c r="B684" s="2" t="str">
        <f>TEXT(Table1[[#This Row],[Order Date]],"MMM")</f>
        <v>Jul</v>
      </c>
      <c r="C684" s="2" t="str">
        <f t="shared" si="10"/>
        <v>2014</v>
      </c>
      <c r="D684" s="1" t="s">
        <v>271</v>
      </c>
      <c r="E684" s="1" t="s">
        <v>10</v>
      </c>
      <c r="F684" s="1" t="s">
        <v>11</v>
      </c>
      <c r="G684" s="1" t="s">
        <v>80</v>
      </c>
      <c r="H684" s="1" t="s">
        <v>1324</v>
      </c>
      <c r="I684" s="1">
        <v>1.62</v>
      </c>
      <c r="J684" s="1">
        <v>2</v>
      </c>
      <c r="K684" s="1">
        <v>-4.47</v>
      </c>
    </row>
    <row r="685" spans="1:11" ht="12.75" x14ac:dyDescent="0.2">
      <c r="A685" s="2">
        <v>42944</v>
      </c>
      <c r="B685" s="2" t="str">
        <f>TEXT(Table1[[#This Row],[Order Date]],"MMM")</f>
        <v>Jul</v>
      </c>
      <c r="C685" s="2" t="str">
        <f t="shared" si="10"/>
        <v>2017</v>
      </c>
      <c r="D685" s="1" t="s">
        <v>525</v>
      </c>
      <c r="E685" s="1" t="s">
        <v>27</v>
      </c>
      <c r="F685" s="1" t="s">
        <v>11</v>
      </c>
      <c r="G685" s="1" t="s">
        <v>12</v>
      </c>
      <c r="H685" s="1" t="s">
        <v>1081</v>
      </c>
      <c r="I685" s="1">
        <v>122.97</v>
      </c>
      <c r="J685" s="1">
        <v>3</v>
      </c>
      <c r="K685" s="1">
        <v>60.26</v>
      </c>
    </row>
    <row r="686" spans="1:11" ht="12.75" x14ac:dyDescent="0.2">
      <c r="A686" s="2">
        <v>42610</v>
      </c>
      <c r="B686" s="2" t="str">
        <f>TEXT(Table1[[#This Row],[Order Date]],"MMM")</f>
        <v>Aug</v>
      </c>
      <c r="C686" s="2" t="str">
        <f t="shared" si="10"/>
        <v>2016</v>
      </c>
      <c r="D686" s="1" t="s">
        <v>31</v>
      </c>
      <c r="E686" s="1" t="s">
        <v>30</v>
      </c>
      <c r="F686" s="1" t="s">
        <v>11</v>
      </c>
      <c r="G686" s="1" t="s">
        <v>20</v>
      </c>
      <c r="H686" s="1" t="s">
        <v>450</v>
      </c>
      <c r="I686" s="1">
        <v>91.2</v>
      </c>
      <c r="J686" s="1">
        <v>3</v>
      </c>
      <c r="K686" s="1">
        <v>41.95</v>
      </c>
    </row>
    <row r="687" spans="1:11" ht="12.75" x14ac:dyDescent="0.2">
      <c r="A687" s="2">
        <v>41910</v>
      </c>
      <c r="B687" s="2" t="str">
        <f>TEXT(Table1[[#This Row],[Order Date]],"MMM")</f>
        <v>Sep</v>
      </c>
      <c r="C687" s="2" t="str">
        <f t="shared" si="10"/>
        <v>2014</v>
      </c>
      <c r="D687" s="1" t="s">
        <v>1325</v>
      </c>
      <c r="E687" s="1" t="s">
        <v>27</v>
      </c>
      <c r="F687" s="1" t="s">
        <v>38</v>
      </c>
      <c r="G687" s="1" t="s">
        <v>39</v>
      </c>
      <c r="H687" s="1" t="s">
        <v>1249</v>
      </c>
      <c r="I687" s="1">
        <v>47.98</v>
      </c>
      <c r="J687" s="1">
        <v>3</v>
      </c>
      <c r="K687" s="1">
        <v>4.8</v>
      </c>
    </row>
    <row r="688" spans="1:11" ht="12.75" x14ac:dyDescent="0.2">
      <c r="A688" s="2">
        <v>41940</v>
      </c>
      <c r="B688" s="2" t="str">
        <f>TEXT(Table1[[#This Row],[Order Date]],"MMM")</f>
        <v>Oct</v>
      </c>
      <c r="C688" s="2" t="str">
        <f t="shared" si="10"/>
        <v>2014</v>
      </c>
      <c r="D688" s="1" t="s">
        <v>815</v>
      </c>
      <c r="E688" s="1" t="s">
        <v>119</v>
      </c>
      <c r="F688" s="1" t="s">
        <v>11</v>
      </c>
      <c r="G688" s="1" t="s">
        <v>12</v>
      </c>
      <c r="H688" s="1" t="s">
        <v>1234</v>
      </c>
      <c r="I688" s="1">
        <v>97.82</v>
      </c>
      <c r="J688" s="1">
        <v>2</v>
      </c>
      <c r="K688" s="1">
        <v>45.98</v>
      </c>
    </row>
    <row r="689" spans="1:11" ht="12.75" x14ac:dyDescent="0.2">
      <c r="A689" s="2">
        <v>42305</v>
      </c>
      <c r="B689" s="2" t="str">
        <f>TEXT(Table1[[#This Row],[Order Date]],"MMM")</f>
        <v>Oct</v>
      </c>
      <c r="C689" s="2" t="str">
        <f t="shared" si="10"/>
        <v>2015</v>
      </c>
      <c r="D689" s="1" t="s">
        <v>557</v>
      </c>
      <c r="E689" s="1" t="s">
        <v>100</v>
      </c>
      <c r="F689" s="1" t="s">
        <v>11</v>
      </c>
      <c r="G689" s="1" t="s">
        <v>58</v>
      </c>
      <c r="H689" s="1" t="s">
        <v>779</v>
      </c>
      <c r="I689" s="1">
        <v>37.61</v>
      </c>
      <c r="J689" s="1">
        <v>3</v>
      </c>
      <c r="K689" s="1">
        <v>12.69</v>
      </c>
    </row>
    <row r="690" spans="1:11" ht="12.75" x14ac:dyDescent="0.2">
      <c r="A690" s="2">
        <v>41971</v>
      </c>
      <c r="B690" s="2" t="str">
        <f>TEXT(Table1[[#This Row],[Order Date]],"MMM")</f>
        <v>Nov</v>
      </c>
      <c r="C690" s="2" t="str">
        <f t="shared" si="10"/>
        <v>2014</v>
      </c>
      <c r="D690" s="1" t="s">
        <v>207</v>
      </c>
      <c r="E690" s="1" t="s">
        <v>27</v>
      </c>
      <c r="F690" s="1" t="s">
        <v>11</v>
      </c>
      <c r="G690" s="1" t="s">
        <v>18</v>
      </c>
      <c r="H690" s="1" t="s">
        <v>1133</v>
      </c>
      <c r="I690" s="1">
        <v>1295.78</v>
      </c>
      <c r="J690" s="1">
        <v>2</v>
      </c>
      <c r="K690" s="1">
        <v>310.99</v>
      </c>
    </row>
    <row r="691" spans="1:11" ht="12.75" x14ac:dyDescent="0.2">
      <c r="A691" s="2">
        <v>42336</v>
      </c>
      <c r="B691" s="2" t="str">
        <f>TEXT(Table1[[#This Row],[Order Date]],"MMM")</f>
        <v>Nov</v>
      </c>
      <c r="C691" s="2" t="str">
        <f t="shared" si="10"/>
        <v>2015</v>
      </c>
      <c r="D691" s="1" t="s">
        <v>1150</v>
      </c>
      <c r="E691" s="1" t="s">
        <v>103</v>
      </c>
      <c r="F691" s="1" t="s">
        <v>11</v>
      </c>
      <c r="G691" s="1" t="s">
        <v>20</v>
      </c>
      <c r="H691" s="1" t="s">
        <v>1155</v>
      </c>
      <c r="I691" s="1">
        <v>75.790000000000006</v>
      </c>
      <c r="J691" s="1">
        <v>3</v>
      </c>
      <c r="K691" s="1">
        <v>25.58</v>
      </c>
    </row>
    <row r="692" spans="1:11" ht="12.75" x14ac:dyDescent="0.2">
      <c r="A692" s="2">
        <v>42001</v>
      </c>
      <c r="B692" s="2" t="str">
        <f>TEXT(Table1[[#This Row],[Order Date]],"MMM")</f>
        <v>Dec</v>
      </c>
      <c r="C692" s="2" t="str">
        <f t="shared" si="10"/>
        <v>2014</v>
      </c>
      <c r="D692" s="1" t="s">
        <v>1326</v>
      </c>
      <c r="E692" s="1" t="s">
        <v>30</v>
      </c>
      <c r="F692" s="1" t="s">
        <v>33</v>
      </c>
      <c r="G692" s="1" t="s">
        <v>44</v>
      </c>
      <c r="H692" s="1" t="s">
        <v>1019</v>
      </c>
      <c r="I692" s="1">
        <v>23.99</v>
      </c>
      <c r="J692" s="1">
        <v>1</v>
      </c>
      <c r="K692" s="1">
        <v>5.52</v>
      </c>
    </row>
    <row r="693" spans="1:11" ht="12.75" x14ac:dyDescent="0.2">
      <c r="A693" s="2">
        <v>43097</v>
      </c>
      <c r="B693" s="2" t="str">
        <f>TEXT(Table1[[#This Row],[Order Date]],"MMM")</f>
        <v>Dec</v>
      </c>
      <c r="C693" s="2" t="str">
        <f t="shared" si="10"/>
        <v>2017</v>
      </c>
      <c r="D693" s="1" t="s">
        <v>1096</v>
      </c>
      <c r="E693" s="1" t="s">
        <v>10</v>
      </c>
      <c r="F693" s="1" t="s">
        <v>33</v>
      </c>
      <c r="G693" s="1" t="s">
        <v>44</v>
      </c>
      <c r="H693" s="1" t="s">
        <v>1260</v>
      </c>
      <c r="I693" s="1">
        <v>332.03</v>
      </c>
      <c r="J693" s="1">
        <v>9</v>
      </c>
      <c r="K693" s="1">
        <v>-348.63</v>
      </c>
    </row>
    <row r="694" spans="1:11" ht="12.75" x14ac:dyDescent="0.2">
      <c r="A694" s="2">
        <v>41727</v>
      </c>
      <c r="B694" s="2" t="str">
        <f>TEXT(Table1[[#This Row],[Order Date]],"MMM")</f>
        <v>Mar</v>
      </c>
      <c r="C694" s="2" t="str">
        <f t="shared" si="10"/>
        <v>2014</v>
      </c>
      <c r="D694" s="1" t="s">
        <v>680</v>
      </c>
      <c r="E694" s="1" t="s">
        <v>119</v>
      </c>
      <c r="F694" s="1" t="s">
        <v>11</v>
      </c>
      <c r="G694" s="1" t="s">
        <v>20</v>
      </c>
      <c r="H694" s="1" t="s">
        <v>914</v>
      </c>
      <c r="I694" s="1">
        <v>17.47</v>
      </c>
      <c r="J694" s="1">
        <v>3</v>
      </c>
      <c r="K694" s="1">
        <v>6.33</v>
      </c>
    </row>
    <row r="695" spans="1:11" ht="12.75" x14ac:dyDescent="0.2">
      <c r="A695" s="2">
        <v>42092</v>
      </c>
      <c r="B695" s="2" t="str">
        <f>TEXT(Table1[[#This Row],[Order Date]],"MMM")</f>
        <v>Mar</v>
      </c>
      <c r="C695" s="2" t="str">
        <f t="shared" si="10"/>
        <v>2015</v>
      </c>
      <c r="D695" s="1" t="s">
        <v>386</v>
      </c>
      <c r="E695" s="1" t="s">
        <v>68</v>
      </c>
      <c r="F695" s="1" t="s">
        <v>11</v>
      </c>
      <c r="G695" s="1" t="s">
        <v>12</v>
      </c>
      <c r="H695" s="1" t="s">
        <v>1046</v>
      </c>
      <c r="I695" s="1">
        <v>3.82</v>
      </c>
      <c r="J695" s="1">
        <v>1</v>
      </c>
      <c r="K695" s="1">
        <v>1.19</v>
      </c>
    </row>
    <row r="696" spans="1:11" ht="12.75" x14ac:dyDescent="0.2">
      <c r="A696" s="2">
        <v>42458</v>
      </c>
      <c r="B696" s="2" t="str">
        <f>TEXT(Table1[[#This Row],[Order Date]],"MMM")</f>
        <v>Mar</v>
      </c>
      <c r="C696" s="2" t="str">
        <f t="shared" si="10"/>
        <v>2016</v>
      </c>
      <c r="D696" s="1" t="s">
        <v>577</v>
      </c>
      <c r="E696" s="1" t="s">
        <v>23</v>
      </c>
      <c r="F696" s="1" t="s">
        <v>38</v>
      </c>
      <c r="G696" s="1" t="s">
        <v>39</v>
      </c>
      <c r="H696" s="1" t="s">
        <v>573</v>
      </c>
      <c r="I696" s="1">
        <v>39.590000000000003</v>
      </c>
      <c r="J696" s="1">
        <v>1</v>
      </c>
      <c r="K696" s="1">
        <v>-7.26</v>
      </c>
    </row>
    <row r="697" spans="1:11" ht="12.75" x14ac:dyDescent="0.2">
      <c r="A697" s="2">
        <v>42823</v>
      </c>
      <c r="B697" s="2" t="str">
        <f>TEXT(Table1[[#This Row],[Order Date]],"MMM")</f>
        <v>Mar</v>
      </c>
      <c r="C697" s="2" t="str">
        <f t="shared" si="10"/>
        <v>2017</v>
      </c>
      <c r="D697" s="1" t="s">
        <v>1275</v>
      </c>
      <c r="E697" s="1" t="s">
        <v>112</v>
      </c>
      <c r="F697" s="1" t="s">
        <v>11</v>
      </c>
      <c r="G697" s="1" t="s">
        <v>16</v>
      </c>
      <c r="H697" s="1" t="s">
        <v>1298</v>
      </c>
      <c r="I697" s="1">
        <v>20.23</v>
      </c>
      <c r="J697" s="1">
        <v>7</v>
      </c>
      <c r="K697" s="1">
        <v>9.51</v>
      </c>
    </row>
    <row r="698" spans="1:11" ht="12.75" x14ac:dyDescent="0.2">
      <c r="A698" s="2">
        <v>41758</v>
      </c>
      <c r="B698" s="2" t="str">
        <f>TEXT(Table1[[#This Row],[Order Date]],"MMM")</f>
        <v>Apr</v>
      </c>
      <c r="C698" s="2" t="str">
        <f t="shared" si="10"/>
        <v>2014</v>
      </c>
      <c r="D698" s="1" t="s">
        <v>798</v>
      </c>
      <c r="E698" s="1" t="s">
        <v>27</v>
      </c>
      <c r="F698" s="1" t="s">
        <v>38</v>
      </c>
      <c r="G698" s="1" t="s">
        <v>48</v>
      </c>
      <c r="H698" s="1" t="s">
        <v>1127</v>
      </c>
      <c r="I698" s="1">
        <v>1649.95</v>
      </c>
      <c r="J698" s="1">
        <v>5</v>
      </c>
      <c r="K698" s="1">
        <v>659.98</v>
      </c>
    </row>
    <row r="699" spans="1:11" ht="12.75" x14ac:dyDescent="0.2">
      <c r="A699" s="2">
        <v>42123</v>
      </c>
      <c r="B699" s="2" t="str">
        <f>TEXT(Table1[[#This Row],[Order Date]],"MMM")</f>
        <v>Apr</v>
      </c>
      <c r="C699" s="2" t="str">
        <f t="shared" si="10"/>
        <v>2015</v>
      </c>
      <c r="D699" s="1" t="s">
        <v>1240</v>
      </c>
      <c r="E699" s="1" t="s">
        <v>27</v>
      </c>
      <c r="F699" s="1" t="s">
        <v>11</v>
      </c>
      <c r="G699" s="1" t="s">
        <v>20</v>
      </c>
      <c r="H699" s="1" t="s">
        <v>288</v>
      </c>
      <c r="I699" s="1">
        <v>9.98</v>
      </c>
      <c r="J699" s="1">
        <v>4</v>
      </c>
      <c r="K699" s="1">
        <v>3.62</v>
      </c>
    </row>
    <row r="700" spans="1:11" ht="12.75" x14ac:dyDescent="0.2">
      <c r="A700" s="2">
        <v>42854</v>
      </c>
      <c r="B700" s="2" t="str">
        <f>TEXT(Table1[[#This Row],[Order Date]],"MMM")</f>
        <v>Apr</v>
      </c>
      <c r="C700" s="2" t="str">
        <f t="shared" si="10"/>
        <v>2017</v>
      </c>
      <c r="D700" s="1" t="s">
        <v>1195</v>
      </c>
      <c r="E700" s="1" t="s">
        <v>15</v>
      </c>
      <c r="F700" s="1" t="s">
        <v>33</v>
      </c>
      <c r="G700" s="1" t="s">
        <v>65</v>
      </c>
      <c r="H700" s="1" t="s">
        <v>66</v>
      </c>
      <c r="I700" s="1">
        <v>183.37</v>
      </c>
      <c r="J700" s="1">
        <v>2</v>
      </c>
      <c r="K700" s="1">
        <v>-36.67</v>
      </c>
    </row>
    <row r="701" spans="1:11" ht="12.75" x14ac:dyDescent="0.2">
      <c r="A701" s="2">
        <v>42153</v>
      </c>
      <c r="B701" s="2" t="str">
        <f>TEXT(Table1[[#This Row],[Order Date]],"MMM")</f>
        <v>May</v>
      </c>
      <c r="C701" s="2" t="str">
        <f t="shared" si="10"/>
        <v>2015</v>
      </c>
      <c r="D701" s="1" t="s">
        <v>1156</v>
      </c>
      <c r="E701" s="1" t="s">
        <v>186</v>
      </c>
      <c r="F701" s="1" t="s">
        <v>38</v>
      </c>
      <c r="G701" s="1" t="s">
        <v>48</v>
      </c>
      <c r="H701" s="1" t="s">
        <v>660</v>
      </c>
      <c r="I701" s="1">
        <v>79.989999999999995</v>
      </c>
      <c r="J701" s="1">
        <v>1</v>
      </c>
      <c r="K701" s="1">
        <v>22</v>
      </c>
    </row>
    <row r="702" spans="1:11" ht="12.75" x14ac:dyDescent="0.2">
      <c r="A702" s="2">
        <v>42519</v>
      </c>
      <c r="B702" s="2" t="str">
        <f>TEXT(Table1[[#This Row],[Order Date]],"MMM")</f>
        <v>May</v>
      </c>
      <c r="C702" s="2" t="str">
        <f t="shared" si="10"/>
        <v>2016</v>
      </c>
      <c r="D702" s="1" t="s">
        <v>948</v>
      </c>
      <c r="E702" s="1" t="s">
        <v>119</v>
      </c>
      <c r="F702" s="1" t="s">
        <v>33</v>
      </c>
      <c r="G702" s="1" t="s">
        <v>44</v>
      </c>
      <c r="H702" s="1" t="s">
        <v>966</v>
      </c>
      <c r="I702" s="1">
        <v>40.479999999999997</v>
      </c>
      <c r="J702" s="1">
        <v>2</v>
      </c>
      <c r="K702" s="1">
        <v>15.79</v>
      </c>
    </row>
    <row r="703" spans="1:11" ht="12.75" x14ac:dyDescent="0.2">
      <c r="A703" s="2">
        <v>41819</v>
      </c>
      <c r="B703" s="2" t="str">
        <f>TEXT(Table1[[#This Row],[Order Date]],"MMM")</f>
        <v>Jun</v>
      </c>
      <c r="C703" s="2" t="str">
        <f t="shared" si="10"/>
        <v>2014</v>
      </c>
      <c r="D703" s="1" t="s">
        <v>870</v>
      </c>
      <c r="E703" s="1" t="s">
        <v>100</v>
      </c>
      <c r="F703" s="1" t="s">
        <v>38</v>
      </c>
      <c r="G703" s="1" t="s">
        <v>39</v>
      </c>
      <c r="H703" s="1" t="s">
        <v>376</v>
      </c>
      <c r="I703" s="1">
        <v>4367.8999999999996</v>
      </c>
      <c r="J703" s="1">
        <v>13</v>
      </c>
      <c r="K703" s="1">
        <v>327.58999999999997</v>
      </c>
    </row>
    <row r="704" spans="1:11" ht="12.75" x14ac:dyDescent="0.2">
      <c r="A704" s="2">
        <v>42915</v>
      </c>
      <c r="B704" s="2" t="str">
        <f>TEXT(Table1[[#This Row],[Order Date]],"MMM")</f>
        <v>Jun</v>
      </c>
      <c r="C704" s="2" t="str">
        <f t="shared" si="10"/>
        <v>2017</v>
      </c>
      <c r="D704" s="1" t="s">
        <v>1054</v>
      </c>
      <c r="E704" s="1" t="s">
        <v>119</v>
      </c>
      <c r="F704" s="1" t="s">
        <v>11</v>
      </c>
      <c r="G704" s="1" t="s">
        <v>20</v>
      </c>
      <c r="H704" s="1" t="s">
        <v>499</v>
      </c>
      <c r="I704" s="1">
        <v>24.67</v>
      </c>
      <c r="J704" s="1">
        <v>4</v>
      </c>
      <c r="K704" s="1">
        <v>7.71</v>
      </c>
    </row>
    <row r="705" spans="1:11" ht="12.75" x14ac:dyDescent="0.2">
      <c r="A705" s="2">
        <v>41880</v>
      </c>
      <c r="B705" s="2" t="str">
        <f>TEXT(Table1[[#This Row],[Order Date]],"MMM")</f>
        <v>Aug</v>
      </c>
      <c r="C705" s="2" t="str">
        <f t="shared" ref="C705:C759" si="11">TEXT(A705,"YYY")</f>
        <v>2014</v>
      </c>
      <c r="D705" s="1" t="s">
        <v>146</v>
      </c>
      <c r="E705" s="1" t="s">
        <v>186</v>
      </c>
      <c r="F705" s="1" t="s">
        <v>11</v>
      </c>
      <c r="G705" s="1" t="s">
        <v>12</v>
      </c>
      <c r="H705" s="1" t="s">
        <v>1225</v>
      </c>
      <c r="I705" s="1">
        <v>192.16</v>
      </c>
      <c r="J705" s="1">
        <v>5</v>
      </c>
      <c r="K705" s="1">
        <v>67.260000000000005</v>
      </c>
    </row>
    <row r="706" spans="1:11" ht="12.75" x14ac:dyDescent="0.2">
      <c r="A706" s="2">
        <v>42245</v>
      </c>
      <c r="B706" s="2" t="str">
        <f>TEXT(Table1[[#This Row],[Order Date]],"MMM")</f>
        <v>Aug</v>
      </c>
      <c r="C706" s="2" t="str">
        <f t="shared" si="11"/>
        <v>2015</v>
      </c>
      <c r="D706" s="1" t="s">
        <v>815</v>
      </c>
      <c r="E706" s="1" t="s">
        <v>286</v>
      </c>
      <c r="F706" s="1" t="s">
        <v>33</v>
      </c>
      <c r="G706" s="1" t="s">
        <v>117</v>
      </c>
      <c r="H706" s="1" t="s">
        <v>1264</v>
      </c>
      <c r="I706" s="1">
        <v>1488.42</v>
      </c>
      <c r="J706" s="1">
        <v>7</v>
      </c>
      <c r="K706" s="1">
        <v>-297.68</v>
      </c>
    </row>
    <row r="707" spans="1:11" ht="12.75" x14ac:dyDescent="0.2">
      <c r="A707" s="2">
        <v>42611</v>
      </c>
      <c r="B707" s="2" t="str">
        <f>TEXT(Table1[[#This Row],[Order Date]],"MMM")</f>
        <v>Aug</v>
      </c>
      <c r="C707" s="2" t="str">
        <f t="shared" si="11"/>
        <v>2016</v>
      </c>
      <c r="D707" s="1" t="s">
        <v>219</v>
      </c>
      <c r="E707" s="1" t="s">
        <v>119</v>
      </c>
      <c r="F707" s="1" t="s">
        <v>33</v>
      </c>
      <c r="G707" s="1" t="s">
        <v>44</v>
      </c>
      <c r="H707" s="1" t="s">
        <v>1314</v>
      </c>
      <c r="I707" s="1">
        <v>114.9</v>
      </c>
      <c r="J707" s="1">
        <v>5</v>
      </c>
      <c r="K707" s="1">
        <v>39.07</v>
      </c>
    </row>
    <row r="708" spans="1:11" ht="12.75" x14ac:dyDescent="0.2">
      <c r="A708" s="2">
        <v>41911</v>
      </c>
      <c r="B708" s="2" t="str">
        <f>TEXT(Table1[[#This Row],[Order Date]],"MMM")</f>
        <v>Sep</v>
      </c>
      <c r="C708" s="2" t="str">
        <f t="shared" si="11"/>
        <v>2014</v>
      </c>
      <c r="D708" s="1" t="s">
        <v>562</v>
      </c>
      <c r="E708" s="1" t="s">
        <v>15</v>
      </c>
      <c r="F708" s="1" t="s">
        <v>11</v>
      </c>
      <c r="G708" s="1" t="s">
        <v>20</v>
      </c>
      <c r="H708" s="1" t="s">
        <v>749</v>
      </c>
      <c r="I708" s="1">
        <v>42.62</v>
      </c>
      <c r="J708" s="1">
        <v>7</v>
      </c>
      <c r="K708" s="1">
        <v>-68.19</v>
      </c>
    </row>
    <row r="709" spans="1:11" ht="12.75" x14ac:dyDescent="0.2">
      <c r="A709" s="2">
        <v>42642</v>
      </c>
      <c r="B709" s="2" t="str">
        <f>TEXT(Table1[[#This Row],[Order Date]],"MMM")</f>
        <v>Sep</v>
      </c>
      <c r="C709" s="2" t="str">
        <f t="shared" si="11"/>
        <v>2016</v>
      </c>
      <c r="D709" s="1" t="s">
        <v>168</v>
      </c>
      <c r="E709" s="1" t="s">
        <v>15</v>
      </c>
      <c r="F709" s="1" t="s">
        <v>38</v>
      </c>
      <c r="G709" s="1" t="s">
        <v>39</v>
      </c>
      <c r="H709" s="1" t="s">
        <v>528</v>
      </c>
      <c r="I709" s="1">
        <v>147.16999999999999</v>
      </c>
      <c r="J709" s="1">
        <v>4</v>
      </c>
      <c r="K709" s="1">
        <v>16.559999999999999</v>
      </c>
    </row>
    <row r="710" spans="1:11" ht="12.75" x14ac:dyDescent="0.2">
      <c r="A710" s="2">
        <v>41941</v>
      </c>
      <c r="B710" s="2" t="str">
        <f>TEXT(Table1[[#This Row],[Order Date]],"MMM")</f>
        <v>Oct</v>
      </c>
      <c r="C710" s="2" t="str">
        <f t="shared" si="11"/>
        <v>2014</v>
      </c>
      <c r="D710" s="1" t="s">
        <v>754</v>
      </c>
      <c r="E710" s="1" t="s">
        <v>27</v>
      </c>
      <c r="F710" s="1" t="s">
        <v>33</v>
      </c>
      <c r="G710" s="1" t="s">
        <v>44</v>
      </c>
      <c r="H710" s="1" t="s">
        <v>988</v>
      </c>
      <c r="I710" s="1">
        <v>8.36</v>
      </c>
      <c r="J710" s="1">
        <v>2</v>
      </c>
      <c r="K710" s="1">
        <v>3.01</v>
      </c>
    </row>
    <row r="711" spans="1:11" ht="12.75" x14ac:dyDescent="0.2">
      <c r="A711" s="2">
        <v>42306</v>
      </c>
      <c r="B711" s="2" t="str">
        <f>TEXT(Table1[[#This Row],[Order Date]],"MMM")</f>
        <v>Oct</v>
      </c>
      <c r="C711" s="2" t="str">
        <f t="shared" si="11"/>
        <v>2015</v>
      </c>
      <c r="D711" s="1" t="s">
        <v>105</v>
      </c>
      <c r="E711" s="1" t="s">
        <v>186</v>
      </c>
      <c r="F711" s="1" t="s">
        <v>11</v>
      </c>
      <c r="G711" s="1" t="s">
        <v>24</v>
      </c>
      <c r="H711" s="1" t="s">
        <v>583</v>
      </c>
      <c r="I711" s="1">
        <v>15.92</v>
      </c>
      <c r="J711" s="1">
        <v>5</v>
      </c>
      <c r="K711" s="1">
        <v>2.79</v>
      </c>
    </row>
    <row r="712" spans="1:11" ht="12.75" x14ac:dyDescent="0.2">
      <c r="A712" s="2">
        <v>43037</v>
      </c>
      <c r="B712" s="2" t="str">
        <f>TEXT(Table1[[#This Row],[Order Date]],"MMM")</f>
        <v>Oct</v>
      </c>
      <c r="C712" s="2" t="str">
        <f t="shared" si="11"/>
        <v>2017</v>
      </c>
      <c r="D712" s="1" t="s">
        <v>1128</v>
      </c>
      <c r="E712" s="1" t="s">
        <v>10</v>
      </c>
      <c r="F712" s="1" t="s">
        <v>11</v>
      </c>
      <c r="G712" s="1" t="s">
        <v>12</v>
      </c>
      <c r="H712" s="1" t="s">
        <v>604</v>
      </c>
      <c r="I712" s="1">
        <v>31.87</v>
      </c>
      <c r="J712" s="1">
        <v>8</v>
      </c>
      <c r="K712" s="1">
        <v>11.55</v>
      </c>
    </row>
    <row r="713" spans="1:11" ht="12.75" x14ac:dyDescent="0.2">
      <c r="A713" s="2">
        <v>41972</v>
      </c>
      <c r="B713" s="2" t="str">
        <f>TEXT(Table1[[#This Row],[Order Date]],"MMM")</f>
        <v>Nov</v>
      </c>
      <c r="C713" s="2" t="str">
        <f t="shared" si="11"/>
        <v>2014</v>
      </c>
      <c r="D713" s="1" t="s">
        <v>640</v>
      </c>
      <c r="E713" s="1" t="s">
        <v>27</v>
      </c>
      <c r="F713" s="1" t="s">
        <v>11</v>
      </c>
      <c r="G713" s="1" t="s">
        <v>12</v>
      </c>
      <c r="H713" s="1" t="s">
        <v>1079</v>
      </c>
      <c r="I713" s="1">
        <v>8.82</v>
      </c>
      <c r="J713" s="1">
        <v>2</v>
      </c>
      <c r="K713" s="1">
        <v>4.0599999999999996</v>
      </c>
    </row>
    <row r="714" spans="1:11" ht="12.75" x14ac:dyDescent="0.2">
      <c r="A714" s="2">
        <v>42337</v>
      </c>
      <c r="B714" s="2" t="str">
        <f>TEXT(Table1[[#This Row],[Order Date]],"MMM")</f>
        <v>Nov</v>
      </c>
      <c r="C714" s="2" t="str">
        <f t="shared" si="11"/>
        <v>2015</v>
      </c>
      <c r="D714" s="1" t="s">
        <v>53</v>
      </c>
      <c r="E714" s="1" t="s">
        <v>119</v>
      </c>
      <c r="F714" s="1" t="s">
        <v>33</v>
      </c>
      <c r="G714" s="1" t="s">
        <v>34</v>
      </c>
      <c r="H714" s="1" t="s">
        <v>1248</v>
      </c>
      <c r="I714" s="1">
        <v>272.64999999999998</v>
      </c>
      <c r="J714" s="1">
        <v>3</v>
      </c>
      <c r="K714" s="1">
        <v>18.18</v>
      </c>
    </row>
    <row r="715" spans="1:11" ht="12.75" x14ac:dyDescent="0.2">
      <c r="A715" s="2">
        <v>42703</v>
      </c>
      <c r="B715" s="2" t="str">
        <f>TEXT(Table1[[#This Row],[Order Date]],"MMM")</f>
        <v>Nov</v>
      </c>
      <c r="C715" s="2" t="str">
        <f t="shared" si="11"/>
        <v>2016</v>
      </c>
      <c r="D715" s="1" t="s">
        <v>697</v>
      </c>
      <c r="E715" s="1" t="s">
        <v>220</v>
      </c>
      <c r="F715" s="1" t="s">
        <v>11</v>
      </c>
      <c r="G715" s="1" t="s">
        <v>20</v>
      </c>
      <c r="H715" s="1" t="s">
        <v>551</v>
      </c>
      <c r="I715" s="1">
        <v>20.16</v>
      </c>
      <c r="J715" s="1">
        <v>7</v>
      </c>
      <c r="K715" s="1">
        <v>9.8800000000000008</v>
      </c>
    </row>
    <row r="716" spans="1:11" ht="12.75" x14ac:dyDescent="0.2">
      <c r="A716" s="2">
        <v>43068</v>
      </c>
      <c r="B716" s="2" t="str">
        <f>TEXT(Table1[[#This Row],[Order Date]],"MMM")</f>
        <v>Nov</v>
      </c>
      <c r="C716" s="2" t="str">
        <f t="shared" si="11"/>
        <v>2017</v>
      </c>
      <c r="D716" s="1" t="s">
        <v>1196</v>
      </c>
      <c r="E716" s="1" t="s">
        <v>100</v>
      </c>
      <c r="F716" s="1" t="s">
        <v>33</v>
      </c>
      <c r="G716" s="1" t="s">
        <v>34</v>
      </c>
      <c r="H716" s="1" t="s">
        <v>822</v>
      </c>
      <c r="I716" s="1">
        <v>419.14</v>
      </c>
      <c r="J716" s="1">
        <v>4</v>
      </c>
      <c r="K716" s="1">
        <v>-57.63</v>
      </c>
    </row>
    <row r="717" spans="1:11" ht="12.75" x14ac:dyDescent="0.2">
      <c r="A717" s="2">
        <v>42002</v>
      </c>
      <c r="B717" s="2" t="str">
        <f>TEXT(Table1[[#This Row],[Order Date]],"MMM")</f>
        <v>Dec</v>
      </c>
      <c r="C717" s="2" t="str">
        <f t="shared" si="11"/>
        <v>2014</v>
      </c>
      <c r="D717" s="1" t="s">
        <v>866</v>
      </c>
      <c r="E717" s="1" t="s">
        <v>10</v>
      </c>
      <c r="F717" s="1" t="s">
        <v>11</v>
      </c>
      <c r="G717" s="1" t="s">
        <v>24</v>
      </c>
      <c r="H717" s="1" t="s">
        <v>1216</v>
      </c>
      <c r="I717" s="1">
        <v>6.67</v>
      </c>
      <c r="J717" s="1">
        <v>6</v>
      </c>
      <c r="K717" s="1">
        <v>0.5</v>
      </c>
    </row>
    <row r="718" spans="1:11" ht="12.75" x14ac:dyDescent="0.2">
      <c r="A718" s="2">
        <v>42367</v>
      </c>
      <c r="B718" s="2" t="str">
        <f>TEXT(Table1[[#This Row],[Order Date]],"MMM")</f>
        <v>Dec</v>
      </c>
      <c r="C718" s="2" t="str">
        <f t="shared" si="11"/>
        <v>2015</v>
      </c>
      <c r="D718" s="1" t="s">
        <v>864</v>
      </c>
      <c r="E718" s="1" t="s">
        <v>220</v>
      </c>
      <c r="F718" s="1" t="s">
        <v>11</v>
      </c>
      <c r="G718" s="1" t="s">
        <v>20</v>
      </c>
      <c r="H718" s="1" t="s">
        <v>692</v>
      </c>
      <c r="I718" s="1">
        <v>1793.98</v>
      </c>
      <c r="J718" s="1">
        <v>2</v>
      </c>
      <c r="K718" s="1">
        <v>843.17</v>
      </c>
    </row>
    <row r="719" spans="1:11" ht="12.75" x14ac:dyDescent="0.2">
      <c r="A719" s="2">
        <v>42733</v>
      </c>
      <c r="B719" s="2" t="str">
        <f>TEXT(Table1[[#This Row],[Order Date]],"MMM")</f>
        <v>Dec</v>
      </c>
      <c r="C719" s="2" t="str">
        <f t="shared" si="11"/>
        <v>2016</v>
      </c>
      <c r="D719" s="1" t="s">
        <v>645</v>
      </c>
      <c r="E719" s="1" t="s">
        <v>333</v>
      </c>
      <c r="F719" s="1" t="s">
        <v>33</v>
      </c>
      <c r="G719" s="1" t="s">
        <v>44</v>
      </c>
      <c r="H719" s="1" t="s">
        <v>1055</v>
      </c>
      <c r="I719" s="1">
        <v>41.96</v>
      </c>
      <c r="J719" s="1">
        <v>2</v>
      </c>
      <c r="K719" s="1">
        <v>2.94</v>
      </c>
    </row>
    <row r="720" spans="1:11" ht="12.75" x14ac:dyDescent="0.2">
      <c r="A720" s="2">
        <v>41669</v>
      </c>
      <c r="B720" s="2" t="str">
        <f>TEXT(Table1[[#This Row],[Order Date]],"MMM")</f>
        <v>Jan</v>
      </c>
      <c r="C720" s="2" t="str">
        <f t="shared" si="11"/>
        <v>2014</v>
      </c>
      <c r="D720" s="1" t="s">
        <v>56</v>
      </c>
      <c r="E720" s="1" t="s">
        <v>27</v>
      </c>
      <c r="F720" s="1" t="s">
        <v>38</v>
      </c>
      <c r="G720" s="1" t="s">
        <v>39</v>
      </c>
      <c r="H720" s="1" t="s">
        <v>859</v>
      </c>
      <c r="I720" s="1">
        <v>103.19</v>
      </c>
      <c r="J720" s="1">
        <v>1</v>
      </c>
      <c r="K720" s="1">
        <v>11.61</v>
      </c>
    </row>
    <row r="721" spans="1:11" ht="12.75" x14ac:dyDescent="0.2">
      <c r="A721" s="2">
        <v>42034</v>
      </c>
      <c r="B721" s="2" t="str">
        <f>TEXT(Table1[[#This Row],[Order Date]],"MMM")</f>
        <v>Jan</v>
      </c>
      <c r="C721" s="2" t="str">
        <f t="shared" si="11"/>
        <v>2015</v>
      </c>
      <c r="D721" s="1" t="s">
        <v>805</v>
      </c>
      <c r="E721" s="1" t="s">
        <v>186</v>
      </c>
      <c r="F721" s="1" t="s">
        <v>11</v>
      </c>
      <c r="G721" s="1" t="s">
        <v>12</v>
      </c>
      <c r="H721" s="1" t="s">
        <v>709</v>
      </c>
      <c r="I721" s="1">
        <v>10.82</v>
      </c>
      <c r="J721" s="1">
        <v>4</v>
      </c>
      <c r="K721" s="1">
        <v>3.52</v>
      </c>
    </row>
    <row r="722" spans="1:11" ht="12.75" x14ac:dyDescent="0.2">
      <c r="A722" s="2">
        <v>42765</v>
      </c>
      <c r="B722" s="2" t="str">
        <f>TEXT(Table1[[#This Row],[Order Date]],"MMM")</f>
        <v>Jan</v>
      </c>
      <c r="C722" s="2" t="str">
        <f t="shared" si="11"/>
        <v>2017</v>
      </c>
      <c r="D722" s="1" t="s">
        <v>601</v>
      </c>
      <c r="E722" s="1" t="s">
        <v>15</v>
      </c>
      <c r="F722" s="1" t="s">
        <v>33</v>
      </c>
      <c r="G722" s="1" t="s">
        <v>34</v>
      </c>
      <c r="H722" s="1" t="s">
        <v>1200</v>
      </c>
      <c r="I722" s="1">
        <v>239.36</v>
      </c>
      <c r="J722" s="1">
        <v>3</v>
      </c>
      <c r="K722" s="1">
        <v>-47.87</v>
      </c>
    </row>
    <row r="723" spans="1:11" ht="12.75" x14ac:dyDescent="0.2">
      <c r="A723" s="2">
        <v>41728</v>
      </c>
      <c r="B723" s="2" t="str">
        <f>TEXT(Table1[[#This Row],[Order Date]],"MMM")</f>
        <v>Mar</v>
      </c>
      <c r="C723" s="2" t="str">
        <f t="shared" si="11"/>
        <v>2014</v>
      </c>
      <c r="D723" s="1" t="s">
        <v>404</v>
      </c>
      <c r="E723" s="1" t="s">
        <v>15</v>
      </c>
      <c r="F723" s="1" t="s">
        <v>33</v>
      </c>
      <c r="G723" s="1" t="s">
        <v>34</v>
      </c>
      <c r="H723" s="1" t="s">
        <v>275</v>
      </c>
      <c r="I723" s="1">
        <v>254.6</v>
      </c>
      <c r="J723" s="1">
        <v>14</v>
      </c>
      <c r="K723" s="1">
        <v>-18.190000000000001</v>
      </c>
    </row>
    <row r="724" spans="1:11" ht="12.75" x14ac:dyDescent="0.2">
      <c r="A724" s="2">
        <v>42824</v>
      </c>
      <c r="B724" s="2" t="str">
        <f>TEXT(Table1[[#This Row],[Order Date]],"MMM")</f>
        <v>Mar</v>
      </c>
      <c r="C724" s="2" t="str">
        <f t="shared" si="11"/>
        <v>2017</v>
      </c>
      <c r="D724" s="1" t="s">
        <v>447</v>
      </c>
      <c r="E724" s="1" t="s">
        <v>27</v>
      </c>
      <c r="F724" s="1" t="s">
        <v>11</v>
      </c>
      <c r="G724" s="1" t="s">
        <v>24</v>
      </c>
      <c r="H724" s="1" t="s">
        <v>1327</v>
      </c>
      <c r="I724" s="1">
        <v>87.92</v>
      </c>
      <c r="J724" s="1">
        <v>4</v>
      </c>
      <c r="K724" s="1">
        <v>26.38</v>
      </c>
    </row>
    <row r="725" spans="1:11" ht="12.75" x14ac:dyDescent="0.2">
      <c r="A725" s="2">
        <v>41759</v>
      </c>
      <c r="B725" s="2" t="str">
        <f>TEXT(Table1[[#This Row],[Order Date]],"MMM")</f>
        <v>Apr</v>
      </c>
      <c r="C725" s="2" t="str">
        <f t="shared" si="11"/>
        <v>2014</v>
      </c>
      <c r="D725" s="1" t="s">
        <v>939</v>
      </c>
      <c r="E725" s="1" t="s">
        <v>862</v>
      </c>
      <c r="F725" s="1" t="s">
        <v>11</v>
      </c>
      <c r="G725" s="1" t="s">
        <v>18</v>
      </c>
      <c r="H725" s="1" t="s">
        <v>381</v>
      </c>
      <c r="I725" s="1">
        <v>49.96</v>
      </c>
      <c r="J725" s="1">
        <v>2</v>
      </c>
      <c r="K725" s="1">
        <v>9.49</v>
      </c>
    </row>
    <row r="726" spans="1:11" ht="12.75" x14ac:dyDescent="0.2">
      <c r="A726" s="2">
        <v>42124</v>
      </c>
      <c r="B726" s="2" t="str">
        <f>TEXT(Table1[[#This Row],[Order Date]],"MMM")</f>
        <v>Apr</v>
      </c>
      <c r="C726" s="2" t="str">
        <f t="shared" si="11"/>
        <v>2015</v>
      </c>
      <c r="D726" s="1" t="s">
        <v>1328</v>
      </c>
      <c r="E726" s="1" t="s">
        <v>100</v>
      </c>
      <c r="F726" s="1" t="s">
        <v>33</v>
      </c>
      <c r="G726" s="1" t="s">
        <v>34</v>
      </c>
      <c r="H726" s="1" t="s">
        <v>209</v>
      </c>
      <c r="I726" s="1">
        <v>683.95</v>
      </c>
      <c r="J726" s="1">
        <v>3</v>
      </c>
      <c r="K726" s="1">
        <v>42.75</v>
      </c>
    </row>
    <row r="727" spans="1:11" ht="12.75" x14ac:dyDescent="0.2">
      <c r="A727" s="2">
        <v>41789</v>
      </c>
      <c r="B727" s="2" t="str">
        <f>TEXT(Table1[[#This Row],[Order Date]],"MMM")</f>
        <v>May</v>
      </c>
      <c r="C727" s="2" t="str">
        <f t="shared" si="11"/>
        <v>2014</v>
      </c>
      <c r="D727" s="1" t="s">
        <v>750</v>
      </c>
      <c r="E727" s="1" t="s">
        <v>119</v>
      </c>
      <c r="F727" s="1" t="s">
        <v>38</v>
      </c>
      <c r="G727" s="1" t="s">
        <v>387</v>
      </c>
      <c r="H727" s="1" t="s">
        <v>1286</v>
      </c>
      <c r="I727" s="1">
        <v>11199.97</v>
      </c>
      <c r="J727" s="1">
        <v>4</v>
      </c>
      <c r="K727" s="1">
        <v>3919.99</v>
      </c>
    </row>
    <row r="728" spans="1:11" ht="12.75" x14ac:dyDescent="0.2">
      <c r="A728" s="2">
        <v>42154</v>
      </c>
      <c r="B728" s="2" t="str">
        <f>TEXT(Table1[[#This Row],[Order Date]],"MMM")</f>
        <v>May</v>
      </c>
      <c r="C728" s="2" t="str">
        <f t="shared" si="11"/>
        <v>2015</v>
      </c>
      <c r="D728" s="1" t="s">
        <v>870</v>
      </c>
      <c r="E728" s="1" t="s">
        <v>10</v>
      </c>
      <c r="F728" s="1" t="s">
        <v>33</v>
      </c>
      <c r="G728" s="1" t="s">
        <v>117</v>
      </c>
      <c r="H728" s="1" t="s">
        <v>770</v>
      </c>
      <c r="I728" s="1">
        <v>517.41</v>
      </c>
      <c r="J728" s="1">
        <v>5</v>
      </c>
      <c r="K728" s="1">
        <v>-81.31</v>
      </c>
    </row>
    <row r="729" spans="1:11" ht="12.75" x14ac:dyDescent="0.2">
      <c r="A729" s="2">
        <v>41820</v>
      </c>
      <c r="B729" s="2" t="str">
        <f>TEXT(Table1[[#This Row],[Order Date]],"MMM")</f>
        <v>Jun</v>
      </c>
      <c r="C729" s="2" t="str">
        <f t="shared" si="11"/>
        <v>2014</v>
      </c>
      <c r="D729" s="1" t="s">
        <v>416</v>
      </c>
      <c r="E729" s="1" t="s">
        <v>220</v>
      </c>
      <c r="F729" s="1" t="s">
        <v>38</v>
      </c>
      <c r="G729" s="1" t="s">
        <v>48</v>
      </c>
      <c r="H729" s="1" t="s">
        <v>1187</v>
      </c>
      <c r="I729" s="1">
        <v>19.989999999999998</v>
      </c>
      <c r="J729" s="1">
        <v>1</v>
      </c>
      <c r="K729" s="1">
        <v>6.8</v>
      </c>
    </row>
    <row r="730" spans="1:11" ht="12.75" x14ac:dyDescent="0.2">
      <c r="A730" s="2">
        <v>42551</v>
      </c>
      <c r="B730" s="2" t="str">
        <f>TEXT(Table1[[#This Row],[Order Date]],"MMM")</f>
        <v>Jun</v>
      </c>
      <c r="C730" s="2" t="str">
        <f t="shared" si="11"/>
        <v>2016</v>
      </c>
      <c r="D730" s="1" t="s">
        <v>373</v>
      </c>
      <c r="E730" s="1" t="s">
        <v>119</v>
      </c>
      <c r="F730" s="1" t="s">
        <v>11</v>
      </c>
      <c r="G730" s="1" t="s">
        <v>12</v>
      </c>
      <c r="H730" s="1" t="s">
        <v>1114</v>
      </c>
      <c r="I730" s="1">
        <v>46.96</v>
      </c>
      <c r="J730" s="1">
        <v>8</v>
      </c>
      <c r="K730" s="1">
        <v>22.54</v>
      </c>
    </row>
    <row r="731" spans="1:11" ht="12.75" x14ac:dyDescent="0.2">
      <c r="A731" s="2">
        <v>42916</v>
      </c>
      <c r="B731" s="2" t="str">
        <f>TEXT(Table1[[#This Row],[Order Date]],"MMM")</f>
        <v>Jun</v>
      </c>
      <c r="C731" s="2" t="str">
        <f t="shared" si="11"/>
        <v>2017</v>
      </c>
      <c r="D731" s="1" t="s">
        <v>489</v>
      </c>
      <c r="E731" s="1" t="s">
        <v>186</v>
      </c>
      <c r="F731" s="1" t="s">
        <v>38</v>
      </c>
      <c r="G731" s="1" t="s">
        <v>213</v>
      </c>
      <c r="H731" s="1" t="s">
        <v>1329</v>
      </c>
      <c r="I731" s="1">
        <v>7999.98</v>
      </c>
      <c r="J731" s="1">
        <v>4</v>
      </c>
      <c r="K731" s="1">
        <v>-3839.99</v>
      </c>
    </row>
    <row r="732" spans="1:11" ht="12.75" x14ac:dyDescent="0.2">
      <c r="A732" s="2">
        <v>41850</v>
      </c>
      <c r="B732" s="2" t="str">
        <f>TEXT(Table1[[#This Row],[Order Date]],"MMM")</f>
        <v>Jul</v>
      </c>
      <c r="C732" s="2" t="str">
        <f t="shared" si="11"/>
        <v>2014</v>
      </c>
      <c r="D732" s="1" t="s">
        <v>683</v>
      </c>
      <c r="E732" s="1" t="s">
        <v>82</v>
      </c>
      <c r="F732" s="1" t="s">
        <v>11</v>
      </c>
      <c r="G732" s="1" t="s">
        <v>20</v>
      </c>
      <c r="H732" s="1" t="s">
        <v>796</v>
      </c>
      <c r="I732" s="1">
        <v>2.39</v>
      </c>
      <c r="J732" s="1">
        <v>2</v>
      </c>
      <c r="K732" s="1">
        <v>-1.83</v>
      </c>
    </row>
    <row r="733" spans="1:11" ht="12.75" x14ac:dyDescent="0.2">
      <c r="A733" s="2">
        <v>41881</v>
      </c>
      <c r="B733" s="2" t="str">
        <f>TEXT(Table1[[#This Row],[Order Date]],"MMM")</f>
        <v>Aug</v>
      </c>
      <c r="C733" s="2" t="str">
        <f t="shared" si="11"/>
        <v>2014</v>
      </c>
      <c r="D733" s="1" t="s">
        <v>1177</v>
      </c>
      <c r="E733" s="1" t="s">
        <v>79</v>
      </c>
      <c r="F733" s="1" t="s">
        <v>11</v>
      </c>
      <c r="G733" s="1" t="s">
        <v>20</v>
      </c>
      <c r="H733" s="1" t="s">
        <v>833</v>
      </c>
      <c r="I733" s="1">
        <v>5.68</v>
      </c>
      <c r="J733" s="1">
        <v>1</v>
      </c>
      <c r="K733" s="1">
        <v>-3.79</v>
      </c>
    </row>
    <row r="734" spans="1:11" ht="12.75" x14ac:dyDescent="0.2">
      <c r="A734" s="2">
        <v>42612</v>
      </c>
      <c r="B734" s="2" t="str">
        <f>TEXT(Table1[[#This Row],[Order Date]],"MMM")</f>
        <v>Aug</v>
      </c>
      <c r="C734" s="2" t="str">
        <f t="shared" si="11"/>
        <v>2016</v>
      </c>
      <c r="D734" s="1" t="s">
        <v>1166</v>
      </c>
      <c r="E734" s="1" t="s">
        <v>119</v>
      </c>
      <c r="F734" s="1" t="s">
        <v>33</v>
      </c>
      <c r="G734" s="1" t="s">
        <v>44</v>
      </c>
      <c r="H734" s="1" t="s">
        <v>574</v>
      </c>
      <c r="I734" s="1">
        <v>96.53</v>
      </c>
      <c r="J734" s="1">
        <v>7</v>
      </c>
      <c r="K734" s="1">
        <v>40.54</v>
      </c>
    </row>
    <row r="735" spans="1:11" ht="12.75" x14ac:dyDescent="0.2">
      <c r="A735" s="2">
        <v>41912</v>
      </c>
      <c r="B735" s="2" t="str">
        <f>TEXT(Table1[[#This Row],[Order Date]],"MMM")</f>
        <v>Sep</v>
      </c>
      <c r="C735" s="2" t="str">
        <f t="shared" si="11"/>
        <v>2014</v>
      </c>
      <c r="D735" s="1" t="s">
        <v>439</v>
      </c>
      <c r="E735" s="1" t="s">
        <v>10</v>
      </c>
      <c r="F735" s="1" t="s">
        <v>11</v>
      </c>
      <c r="G735" s="1" t="s">
        <v>16</v>
      </c>
      <c r="H735" s="1" t="s">
        <v>915</v>
      </c>
      <c r="I735" s="1">
        <v>10.44</v>
      </c>
      <c r="J735" s="1">
        <v>5</v>
      </c>
      <c r="K735" s="1">
        <v>3.39</v>
      </c>
    </row>
    <row r="736" spans="1:11" ht="12.75" x14ac:dyDescent="0.2">
      <c r="A736" s="2">
        <v>42307</v>
      </c>
      <c r="B736" s="2" t="str">
        <f>TEXT(Table1[[#This Row],[Order Date]],"MMM")</f>
        <v>Oct</v>
      </c>
      <c r="C736" s="2" t="str">
        <f t="shared" si="11"/>
        <v>2015</v>
      </c>
      <c r="D736" s="1" t="s">
        <v>1058</v>
      </c>
      <c r="E736" s="1" t="s">
        <v>100</v>
      </c>
      <c r="F736" s="1" t="s">
        <v>33</v>
      </c>
      <c r="G736" s="1" t="s">
        <v>44</v>
      </c>
      <c r="H736" s="1" t="s">
        <v>929</v>
      </c>
      <c r="I736" s="1">
        <v>220.06</v>
      </c>
      <c r="J736" s="1">
        <v>4</v>
      </c>
      <c r="K736" s="1">
        <v>55.02</v>
      </c>
    </row>
    <row r="737" spans="1:11" ht="12.75" x14ac:dyDescent="0.2">
      <c r="A737" s="2">
        <v>41973</v>
      </c>
      <c r="B737" s="2" t="str">
        <f>TEXT(Table1[[#This Row],[Order Date]],"MMM")</f>
        <v>Nov</v>
      </c>
      <c r="C737" s="2" t="str">
        <f t="shared" si="11"/>
        <v>2014</v>
      </c>
      <c r="D737" s="1" t="s">
        <v>680</v>
      </c>
      <c r="E737" s="1" t="s">
        <v>51</v>
      </c>
      <c r="F737" s="1" t="s">
        <v>11</v>
      </c>
      <c r="G737" s="1" t="s">
        <v>80</v>
      </c>
      <c r="H737" s="1" t="s">
        <v>977</v>
      </c>
      <c r="I737" s="1">
        <v>35.04</v>
      </c>
      <c r="J737" s="1">
        <v>2</v>
      </c>
      <c r="K737" s="1">
        <v>12.26</v>
      </c>
    </row>
    <row r="738" spans="1:11" ht="12.75" x14ac:dyDescent="0.2">
      <c r="A738" s="2">
        <v>42338</v>
      </c>
      <c r="B738" s="2" t="str">
        <f>TEXT(Table1[[#This Row],[Order Date]],"MMM")</f>
        <v>Nov</v>
      </c>
      <c r="C738" s="2" t="str">
        <f t="shared" si="11"/>
        <v>2015</v>
      </c>
      <c r="D738" s="1" t="s">
        <v>1134</v>
      </c>
      <c r="E738" s="1" t="s">
        <v>15</v>
      </c>
      <c r="F738" s="1" t="s">
        <v>33</v>
      </c>
      <c r="G738" s="1" t="s">
        <v>117</v>
      </c>
      <c r="H738" s="1" t="s">
        <v>927</v>
      </c>
      <c r="I738" s="1">
        <v>219.08</v>
      </c>
      <c r="J738" s="1">
        <v>3</v>
      </c>
      <c r="K738" s="1">
        <v>-131.44999999999999</v>
      </c>
    </row>
    <row r="739" spans="1:11" ht="12.75" x14ac:dyDescent="0.2">
      <c r="A739" s="2">
        <v>42704</v>
      </c>
      <c r="B739" s="2" t="str">
        <f>TEXT(Table1[[#This Row],[Order Date]],"MMM")</f>
        <v>Nov</v>
      </c>
      <c r="C739" s="2" t="str">
        <f t="shared" si="11"/>
        <v>2016</v>
      </c>
      <c r="D739" s="1" t="s">
        <v>1274</v>
      </c>
      <c r="E739" s="1" t="s">
        <v>186</v>
      </c>
      <c r="F739" s="1" t="s">
        <v>38</v>
      </c>
      <c r="G739" s="1" t="s">
        <v>48</v>
      </c>
      <c r="H739" s="1" t="s">
        <v>1044</v>
      </c>
      <c r="I739" s="1">
        <v>74.11</v>
      </c>
      <c r="J739" s="1">
        <v>8</v>
      </c>
      <c r="K739" s="1">
        <v>17.600000000000001</v>
      </c>
    </row>
    <row r="740" spans="1:11" ht="12.75" x14ac:dyDescent="0.2">
      <c r="A740" s="2">
        <v>43069</v>
      </c>
      <c r="B740" s="2" t="str">
        <f>TEXT(Table1[[#This Row],[Order Date]],"MMM")</f>
        <v>Nov</v>
      </c>
      <c r="C740" s="2" t="str">
        <f t="shared" si="11"/>
        <v>2017</v>
      </c>
      <c r="D740" s="1" t="s">
        <v>837</v>
      </c>
      <c r="E740" s="1" t="s">
        <v>147</v>
      </c>
      <c r="F740" s="1" t="s">
        <v>33</v>
      </c>
      <c r="G740" s="1" t="s">
        <v>44</v>
      </c>
      <c r="H740" s="1" t="s">
        <v>1087</v>
      </c>
      <c r="I740" s="1">
        <v>126.3</v>
      </c>
      <c r="J740" s="1">
        <v>3</v>
      </c>
      <c r="K740" s="1">
        <v>40.42</v>
      </c>
    </row>
    <row r="741" spans="1:11" ht="12.75" x14ac:dyDescent="0.2">
      <c r="A741" s="2">
        <v>42003</v>
      </c>
      <c r="B741" s="2" t="str">
        <f>TEXT(Table1[[#This Row],[Order Date]],"MMM")</f>
        <v>Dec</v>
      </c>
      <c r="C741" s="2" t="str">
        <f t="shared" si="11"/>
        <v>2014</v>
      </c>
      <c r="D741" s="1" t="s">
        <v>567</v>
      </c>
      <c r="E741" s="1" t="s">
        <v>126</v>
      </c>
      <c r="F741" s="1" t="s">
        <v>33</v>
      </c>
      <c r="G741" s="1" t="s">
        <v>44</v>
      </c>
      <c r="H741" s="1" t="s">
        <v>346</v>
      </c>
      <c r="I741" s="1">
        <v>46.94</v>
      </c>
      <c r="J741" s="1">
        <v>1</v>
      </c>
      <c r="K741" s="1">
        <v>19.25</v>
      </c>
    </row>
    <row r="742" spans="1:11" ht="12.75" x14ac:dyDescent="0.2">
      <c r="A742" s="2">
        <v>42368</v>
      </c>
      <c r="B742" s="2" t="str">
        <f>TEXT(Table1[[#This Row],[Order Date]],"MMM")</f>
        <v>Dec</v>
      </c>
      <c r="C742" s="2" t="str">
        <f t="shared" si="11"/>
        <v>2015</v>
      </c>
      <c r="D742" s="1" t="s">
        <v>433</v>
      </c>
      <c r="E742" s="1" t="s">
        <v>97</v>
      </c>
      <c r="F742" s="1" t="s">
        <v>33</v>
      </c>
      <c r="G742" s="1" t="s">
        <v>34</v>
      </c>
      <c r="H742" s="1" t="s">
        <v>529</v>
      </c>
      <c r="I742" s="1">
        <v>390.37</v>
      </c>
      <c r="J742" s="1">
        <v>2</v>
      </c>
      <c r="K742" s="1">
        <v>48.8</v>
      </c>
    </row>
    <row r="743" spans="1:11" ht="12.75" x14ac:dyDescent="0.2">
      <c r="A743" s="2">
        <v>41670</v>
      </c>
      <c r="B743" s="2" t="str">
        <f>TEXT(Table1[[#This Row],[Order Date]],"MMM")</f>
        <v>Jan</v>
      </c>
      <c r="C743" s="2" t="str">
        <f t="shared" si="11"/>
        <v>2014</v>
      </c>
      <c r="D743" s="1" t="s">
        <v>402</v>
      </c>
      <c r="E743" s="1" t="s">
        <v>119</v>
      </c>
      <c r="F743" s="1" t="s">
        <v>11</v>
      </c>
      <c r="G743" s="1" t="s">
        <v>20</v>
      </c>
      <c r="H743" s="1" t="s">
        <v>1011</v>
      </c>
      <c r="I743" s="1">
        <v>68.47</v>
      </c>
      <c r="J743" s="1">
        <v>3</v>
      </c>
      <c r="K743" s="1">
        <v>23.11</v>
      </c>
    </row>
    <row r="744" spans="1:11" ht="12.75" x14ac:dyDescent="0.2">
      <c r="A744" s="2">
        <v>42035</v>
      </c>
      <c r="B744" s="2" t="str">
        <f>TEXT(Table1[[#This Row],[Order Date]],"MMM")</f>
        <v>Jan</v>
      </c>
      <c r="C744" s="2" t="str">
        <f t="shared" si="11"/>
        <v>2015</v>
      </c>
      <c r="D744" s="1" t="s">
        <v>671</v>
      </c>
      <c r="E744" s="1" t="s">
        <v>93</v>
      </c>
      <c r="F744" s="1" t="s">
        <v>11</v>
      </c>
      <c r="G744" s="1" t="s">
        <v>18</v>
      </c>
      <c r="H744" s="1" t="s">
        <v>825</v>
      </c>
      <c r="I744" s="1">
        <v>83.92</v>
      </c>
      <c r="J744" s="1">
        <v>4</v>
      </c>
      <c r="K744" s="1">
        <v>5.87</v>
      </c>
    </row>
    <row r="745" spans="1:11" ht="12.75" x14ac:dyDescent="0.2">
      <c r="A745" s="2">
        <v>42400</v>
      </c>
      <c r="B745" s="2" t="str">
        <f>TEXT(Table1[[#This Row],[Order Date]],"MMM")</f>
        <v>Jan</v>
      </c>
      <c r="C745" s="2" t="str">
        <f t="shared" si="11"/>
        <v>2016</v>
      </c>
      <c r="D745" s="1" t="s">
        <v>421</v>
      </c>
      <c r="E745" s="1" t="s">
        <v>27</v>
      </c>
      <c r="F745" s="1" t="s">
        <v>11</v>
      </c>
      <c r="G745" s="1" t="s">
        <v>18</v>
      </c>
      <c r="H745" s="1" t="s">
        <v>802</v>
      </c>
      <c r="I745" s="1">
        <v>559.62</v>
      </c>
      <c r="J745" s="1">
        <v>9</v>
      </c>
      <c r="K745" s="1">
        <v>151.1</v>
      </c>
    </row>
    <row r="746" spans="1:11" ht="12.75" x14ac:dyDescent="0.2">
      <c r="A746" s="2">
        <v>41729</v>
      </c>
      <c r="B746" s="2" t="str">
        <f>TEXT(Table1[[#This Row],[Order Date]],"MMM")</f>
        <v>Mar</v>
      </c>
      <c r="C746" s="2" t="str">
        <f t="shared" si="11"/>
        <v>2014</v>
      </c>
      <c r="D746" s="1" t="s">
        <v>978</v>
      </c>
      <c r="E746" s="1" t="s">
        <v>27</v>
      </c>
      <c r="F746" s="1" t="s">
        <v>38</v>
      </c>
      <c r="G746" s="1" t="s">
        <v>39</v>
      </c>
      <c r="H746" s="1" t="s">
        <v>1132</v>
      </c>
      <c r="I746" s="1">
        <v>374.38</v>
      </c>
      <c r="J746" s="1">
        <v>3</v>
      </c>
      <c r="K746" s="1">
        <v>46.8</v>
      </c>
    </row>
    <row r="747" spans="1:11" ht="12.75" x14ac:dyDescent="0.2">
      <c r="A747" s="2">
        <v>42094</v>
      </c>
      <c r="B747" s="2" t="str">
        <f>TEXT(Table1[[#This Row],[Order Date]],"MMM")</f>
        <v>Mar</v>
      </c>
      <c r="C747" s="2" t="str">
        <f t="shared" si="11"/>
        <v>2015</v>
      </c>
      <c r="D747" s="1" t="s">
        <v>1027</v>
      </c>
      <c r="E747" s="1" t="s">
        <v>10</v>
      </c>
      <c r="F747" s="1" t="s">
        <v>11</v>
      </c>
      <c r="G747" s="1" t="s">
        <v>20</v>
      </c>
      <c r="H747" s="1" t="s">
        <v>1160</v>
      </c>
      <c r="I747" s="1">
        <v>1.25</v>
      </c>
      <c r="J747" s="1">
        <v>3</v>
      </c>
      <c r="K747" s="1">
        <v>-1.93</v>
      </c>
    </row>
    <row r="748" spans="1:11" ht="12.75" x14ac:dyDescent="0.2">
      <c r="A748" s="2">
        <v>42460</v>
      </c>
      <c r="B748" s="2" t="str">
        <f>TEXT(Table1[[#This Row],[Order Date]],"MMM")</f>
        <v>Mar</v>
      </c>
      <c r="C748" s="2" t="str">
        <f t="shared" si="11"/>
        <v>2016</v>
      </c>
      <c r="D748" s="1" t="s">
        <v>1073</v>
      </c>
      <c r="E748" s="1" t="s">
        <v>27</v>
      </c>
      <c r="F748" s="1" t="s">
        <v>11</v>
      </c>
      <c r="G748" s="1" t="s">
        <v>20</v>
      </c>
      <c r="H748" s="1" t="s">
        <v>282</v>
      </c>
      <c r="I748" s="1">
        <v>19.940000000000001</v>
      </c>
      <c r="J748" s="1">
        <v>4</v>
      </c>
      <c r="K748" s="1">
        <v>7.23</v>
      </c>
    </row>
    <row r="749" spans="1:11" ht="12.75" x14ac:dyDescent="0.2">
      <c r="A749" s="2">
        <v>42825</v>
      </c>
      <c r="B749" s="2" t="str">
        <f>TEXT(Table1[[#This Row],[Order Date]],"MMM")</f>
        <v>Mar</v>
      </c>
      <c r="C749" s="2" t="str">
        <f t="shared" si="11"/>
        <v>2017</v>
      </c>
      <c r="D749" s="1" t="s">
        <v>121</v>
      </c>
      <c r="E749" s="1" t="s">
        <v>119</v>
      </c>
      <c r="F749" s="1" t="s">
        <v>11</v>
      </c>
      <c r="G749" s="1" t="s">
        <v>20</v>
      </c>
      <c r="H749" s="1" t="s">
        <v>727</v>
      </c>
      <c r="I749" s="1">
        <v>23.36</v>
      </c>
      <c r="J749" s="1">
        <v>4</v>
      </c>
      <c r="K749" s="1">
        <v>7.88</v>
      </c>
    </row>
    <row r="750" spans="1:11" ht="12.75" x14ac:dyDescent="0.2">
      <c r="A750" s="2">
        <v>41790</v>
      </c>
      <c r="B750" s="2" t="str">
        <f>TEXT(Table1[[#This Row],[Order Date]],"MMM")</f>
        <v>May</v>
      </c>
      <c r="C750" s="2" t="str">
        <f t="shared" si="11"/>
        <v>2014</v>
      </c>
      <c r="D750" s="1" t="s">
        <v>265</v>
      </c>
      <c r="E750" s="1" t="s">
        <v>27</v>
      </c>
      <c r="F750" s="1" t="s">
        <v>33</v>
      </c>
      <c r="G750" s="1" t="s">
        <v>44</v>
      </c>
      <c r="H750" s="1" t="s">
        <v>1309</v>
      </c>
      <c r="I750" s="1">
        <v>26.25</v>
      </c>
      <c r="J750" s="1">
        <v>3</v>
      </c>
      <c r="K750" s="1">
        <v>11.03</v>
      </c>
    </row>
    <row r="751" spans="1:11" ht="12.75" x14ac:dyDescent="0.2">
      <c r="A751" s="2">
        <v>42155</v>
      </c>
      <c r="B751" s="2" t="str">
        <f>TEXT(Table1[[#This Row],[Order Date]],"MMM")</f>
        <v>May</v>
      </c>
      <c r="C751" s="2" t="str">
        <f t="shared" si="11"/>
        <v>2015</v>
      </c>
      <c r="D751" s="1" t="s">
        <v>868</v>
      </c>
      <c r="E751" s="1" t="s">
        <v>133</v>
      </c>
      <c r="F751" s="1" t="s">
        <v>33</v>
      </c>
      <c r="G751" s="1" t="s">
        <v>44</v>
      </c>
      <c r="H751" s="1" t="s">
        <v>1017</v>
      </c>
      <c r="I751" s="1">
        <v>22.77</v>
      </c>
      <c r="J751" s="1">
        <v>3</v>
      </c>
      <c r="K751" s="1">
        <v>9.7899999999999991</v>
      </c>
    </row>
    <row r="752" spans="1:11" ht="12.75" x14ac:dyDescent="0.2">
      <c r="A752" s="2">
        <v>42521</v>
      </c>
      <c r="B752" s="2" t="str">
        <f>TEXT(Table1[[#This Row],[Order Date]],"MMM")</f>
        <v>May</v>
      </c>
      <c r="C752" s="2" t="str">
        <f t="shared" si="11"/>
        <v>2016</v>
      </c>
      <c r="D752" s="1" t="s">
        <v>743</v>
      </c>
      <c r="E752" s="1" t="s">
        <v>10</v>
      </c>
      <c r="F752" s="1" t="s">
        <v>11</v>
      </c>
      <c r="G752" s="1" t="s">
        <v>80</v>
      </c>
      <c r="H752" s="1" t="s">
        <v>810</v>
      </c>
      <c r="I752" s="1">
        <v>66.28</v>
      </c>
      <c r="J752" s="1">
        <v>2</v>
      </c>
      <c r="K752" s="1">
        <v>-178.97</v>
      </c>
    </row>
    <row r="753" spans="1:11" ht="12.75" x14ac:dyDescent="0.2">
      <c r="A753" s="2">
        <v>42216</v>
      </c>
      <c r="B753" s="2" t="str">
        <f>TEXT(Table1[[#This Row],[Order Date]],"MMM")</f>
        <v>Jul</v>
      </c>
      <c r="C753" s="2" t="str">
        <f t="shared" si="11"/>
        <v>2015</v>
      </c>
      <c r="D753" s="1" t="s">
        <v>67</v>
      </c>
      <c r="E753" s="1" t="s">
        <v>27</v>
      </c>
      <c r="F753" s="1" t="s">
        <v>11</v>
      </c>
      <c r="G753" s="1" t="s">
        <v>20</v>
      </c>
      <c r="H753" s="1" t="s">
        <v>1179</v>
      </c>
      <c r="I753" s="1">
        <v>36.67</v>
      </c>
      <c r="J753" s="1">
        <v>2</v>
      </c>
      <c r="K753" s="1">
        <v>11.46</v>
      </c>
    </row>
    <row r="754" spans="1:11" ht="12.75" x14ac:dyDescent="0.2">
      <c r="A754" s="2">
        <v>42582</v>
      </c>
      <c r="B754" s="2" t="str">
        <f>TEXT(Table1[[#This Row],[Order Date]],"MMM")</f>
        <v>Jul</v>
      </c>
      <c r="C754" s="2" t="str">
        <f t="shared" si="11"/>
        <v>2016</v>
      </c>
      <c r="D754" s="1" t="s">
        <v>1217</v>
      </c>
      <c r="E754" s="1" t="s">
        <v>147</v>
      </c>
      <c r="F754" s="1" t="s">
        <v>11</v>
      </c>
      <c r="G754" s="1" t="s">
        <v>80</v>
      </c>
      <c r="H754" s="1" t="s">
        <v>1294</v>
      </c>
      <c r="I754" s="1">
        <v>839.43</v>
      </c>
      <c r="J754" s="1">
        <v>3</v>
      </c>
      <c r="K754" s="1">
        <v>218.25</v>
      </c>
    </row>
    <row r="755" spans="1:11" ht="12.75" x14ac:dyDescent="0.2">
      <c r="A755" s="2">
        <v>41882</v>
      </c>
      <c r="B755" s="2" t="str">
        <f>TEXT(Table1[[#This Row],[Order Date]],"MMM")</f>
        <v>Aug</v>
      </c>
      <c r="C755" s="2" t="str">
        <f t="shared" si="11"/>
        <v>2014</v>
      </c>
      <c r="D755" s="1" t="s">
        <v>657</v>
      </c>
      <c r="E755" s="1" t="s">
        <v>27</v>
      </c>
      <c r="F755" s="1" t="s">
        <v>11</v>
      </c>
      <c r="G755" s="1" t="s">
        <v>24</v>
      </c>
      <c r="H755" s="1" t="s">
        <v>1112</v>
      </c>
      <c r="I755" s="1">
        <v>13.48</v>
      </c>
      <c r="J755" s="1">
        <v>4</v>
      </c>
      <c r="K755" s="1">
        <v>5.93</v>
      </c>
    </row>
    <row r="756" spans="1:11" ht="12.75" x14ac:dyDescent="0.2">
      <c r="A756" s="2">
        <v>42674</v>
      </c>
      <c r="B756" s="2" t="str">
        <f>TEXT(Table1[[#This Row],[Order Date]],"MMM")</f>
        <v>Oct</v>
      </c>
      <c r="C756" s="2" t="str">
        <f t="shared" si="11"/>
        <v>2016</v>
      </c>
      <c r="D756" s="1" t="s">
        <v>901</v>
      </c>
      <c r="E756" s="1" t="s">
        <v>119</v>
      </c>
      <c r="F756" s="1" t="s">
        <v>11</v>
      </c>
      <c r="G756" s="1" t="s">
        <v>80</v>
      </c>
      <c r="H756" s="1" t="s">
        <v>420</v>
      </c>
      <c r="I756" s="1">
        <v>35.909999999999997</v>
      </c>
      <c r="J756" s="1">
        <v>3</v>
      </c>
      <c r="K756" s="1">
        <v>9.6999999999999993</v>
      </c>
    </row>
    <row r="757" spans="1:11" ht="12.75" x14ac:dyDescent="0.2">
      <c r="A757" s="2">
        <v>42004</v>
      </c>
      <c r="B757" s="2" t="str">
        <f>TEXT(Table1[[#This Row],[Order Date]],"MMM")</f>
        <v>Dec</v>
      </c>
      <c r="C757" s="2" t="str">
        <f t="shared" si="11"/>
        <v>2014</v>
      </c>
      <c r="D757" s="1" t="s">
        <v>870</v>
      </c>
      <c r="E757" s="1" t="s">
        <v>261</v>
      </c>
      <c r="F757" s="1" t="s">
        <v>11</v>
      </c>
      <c r="G757" s="1" t="s">
        <v>12</v>
      </c>
      <c r="H757" s="1" t="s">
        <v>888</v>
      </c>
      <c r="I757" s="1">
        <v>44.75</v>
      </c>
      <c r="J757" s="1">
        <v>5</v>
      </c>
      <c r="K757" s="1">
        <v>20.59</v>
      </c>
    </row>
    <row r="758" spans="1:11" ht="12.75" x14ac:dyDescent="0.2">
      <c r="A758" s="2">
        <v>42369</v>
      </c>
      <c r="B758" s="2" t="str">
        <f>TEXT(Table1[[#This Row],[Order Date]],"MMM")</f>
        <v>Dec</v>
      </c>
      <c r="C758" s="2" t="str">
        <f t="shared" si="11"/>
        <v>2015</v>
      </c>
      <c r="D758" s="1" t="s">
        <v>1199</v>
      </c>
      <c r="E758" s="1" t="s">
        <v>68</v>
      </c>
      <c r="F758" s="1" t="s">
        <v>38</v>
      </c>
      <c r="G758" s="1" t="s">
        <v>39</v>
      </c>
      <c r="H758" s="1" t="s">
        <v>339</v>
      </c>
      <c r="I758" s="1">
        <v>164.39</v>
      </c>
      <c r="J758" s="1">
        <v>2</v>
      </c>
      <c r="K758" s="1">
        <v>-35.619999999999997</v>
      </c>
    </row>
    <row r="759" spans="1:11" ht="12.75" x14ac:dyDescent="0.2">
      <c r="A759" s="2">
        <v>42735</v>
      </c>
      <c r="B759" s="2" t="str">
        <f>TEXT(Table1[[#This Row],[Order Date]],"MMM")</f>
        <v>Dec</v>
      </c>
      <c r="C759" s="2" t="str">
        <f t="shared" si="11"/>
        <v>2016</v>
      </c>
      <c r="D759" s="1" t="s">
        <v>240</v>
      </c>
      <c r="E759" s="1" t="s">
        <v>27</v>
      </c>
      <c r="F759" s="1" t="s">
        <v>11</v>
      </c>
      <c r="G759" s="1" t="s">
        <v>18</v>
      </c>
      <c r="H759" s="1" t="s">
        <v>872</v>
      </c>
      <c r="I759" s="1">
        <v>725.84</v>
      </c>
      <c r="J759" s="1">
        <v>4</v>
      </c>
      <c r="K759" s="1">
        <v>210.49</v>
      </c>
    </row>
    <row r="760" spans="1:11" ht="12.75" x14ac:dyDescent="0.2"/>
    <row r="761" spans="1:11" ht="12.75" x14ac:dyDescent="0.2"/>
    <row r="762" spans="1:11" ht="12.75" x14ac:dyDescent="0.2"/>
    <row r="763" spans="1:11" ht="12.75" x14ac:dyDescent="0.2"/>
    <row r="764" spans="1:11" ht="12.75" x14ac:dyDescent="0.2"/>
    <row r="765" spans="1:11" ht="12.75" x14ac:dyDescent="0.2"/>
    <row r="766" spans="1:11" ht="12.75" x14ac:dyDescent="0.2"/>
    <row r="767" spans="1:11" ht="12.75" x14ac:dyDescent="0.2"/>
    <row r="768" spans="1:11"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row r="1001" ht="12.75" x14ac:dyDescent="0.2"/>
    <row r="1002" ht="12.75" x14ac:dyDescent="0.2"/>
    <row r="1003" ht="12.75" x14ac:dyDescent="0.2"/>
    <row r="1004" ht="12.75" x14ac:dyDescent="0.2"/>
    <row r="1005" ht="12.75" x14ac:dyDescent="0.2"/>
    <row r="1006" ht="12.75" x14ac:dyDescent="0.2"/>
    <row r="1007" ht="12.75" x14ac:dyDescent="0.2"/>
    <row r="1008" ht="12.75" x14ac:dyDescent="0.2"/>
    <row r="1009" ht="12.75" x14ac:dyDescent="0.2"/>
    <row r="1010" ht="12.75" x14ac:dyDescent="0.2"/>
    <row r="1011" ht="12.75" x14ac:dyDescent="0.2"/>
    <row r="1012" ht="12.75" x14ac:dyDescent="0.2"/>
    <row r="1013" ht="12.75" x14ac:dyDescent="0.2"/>
    <row r="1014" ht="12.75" x14ac:dyDescent="0.2"/>
    <row r="1015" ht="12.75" x14ac:dyDescent="0.2"/>
    <row r="1016" ht="12.75" x14ac:dyDescent="0.2"/>
    <row r="1017" ht="12.75" x14ac:dyDescent="0.2"/>
    <row r="1018" ht="12.75" x14ac:dyDescent="0.2"/>
    <row r="1019" ht="12.75" x14ac:dyDescent="0.2"/>
    <row r="1020" ht="12.75" x14ac:dyDescent="0.2"/>
    <row r="1021" ht="12.75" x14ac:dyDescent="0.2"/>
    <row r="1022" ht="12.75" x14ac:dyDescent="0.2"/>
    <row r="1023" ht="12.75" x14ac:dyDescent="0.2"/>
    <row r="1024" ht="12.75" x14ac:dyDescent="0.2"/>
    <row r="1025" ht="12.75" x14ac:dyDescent="0.2"/>
    <row r="1026" ht="12.75" x14ac:dyDescent="0.2"/>
    <row r="1027" ht="12.75" x14ac:dyDescent="0.2"/>
    <row r="1028" ht="12.75" x14ac:dyDescent="0.2"/>
    <row r="1029" ht="12.75" x14ac:dyDescent="0.2"/>
    <row r="1030" ht="12.75" x14ac:dyDescent="0.2"/>
    <row r="1031" ht="12.75" x14ac:dyDescent="0.2"/>
    <row r="1032" ht="12.75" x14ac:dyDescent="0.2"/>
    <row r="1033" ht="12.75" x14ac:dyDescent="0.2"/>
    <row r="1034" ht="12.75" x14ac:dyDescent="0.2"/>
    <row r="1035" ht="12.75" x14ac:dyDescent="0.2"/>
    <row r="1036" ht="12.75" x14ac:dyDescent="0.2"/>
    <row r="1037" ht="12.75" x14ac:dyDescent="0.2"/>
    <row r="1038" ht="12.75" x14ac:dyDescent="0.2"/>
    <row r="1039" ht="12.75" x14ac:dyDescent="0.2"/>
    <row r="1040" ht="12.75" x14ac:dyDescent="0.2"/>
    <row r="1041" ht="12.75" x14ac:dyDescent="0.2"/>
    <row r="1042" ht="12.75" x14ac:dyDescent="0.2"/>
    <row r="1043" ht="12.75" x14ac:dyDescent="0.2"/>
    <row r="1044" ht="12.75" x14ac:dyDescent="0.2"/>
    <row r="1045" ht="12.75" x14ac:dyDescent="0.2"/>
    <row r="1046" ht="12.75" x14ac:dyDescent="0.2"/>
    <row r="1047" ht="12.75" x14ac:dyDescent="0.2"/>
    <row r="1048" ht="12.75" x14ac:dyDescent="0.2"/>
    <row r="1049" ht="12.75" x14ac:dyDescent="0.2"/>
    <row r="1050" ht="12.75" x14ac:dyDescent="0.2"/>
    <row r="1051" ht="12.75" x14ac:dyDescent="0.2"/>
    <row r="1052" ht="12.75" x14ac:dyDescent="0.2"/>
    <row r="1053" ht="12.75" x14ac:dyDescent="0.2"/>
    <row r="1054" ht="12.75" x14ac:dyDescent="0.2"/>
    <row r="1055" ht="12.75" x14ac:dyDescent="0.2"/>
    <row r="1056" ht="12.75" x14ac:dyDescent="0.2"/>
    <row r="1057" ht="12.75" x14ac:dyDescent="0.2"/>
    <row r="1058" ht="12.75" x14ac:dyDescent="0.2"/>
    <row r="1059" ht="12.75" x14ac:dyDescent="0.2"/>
    <row r="1060" ht="12.75" x14ac:dyDescent="0.2"/>
    <row r="1061" ht="12.75" x14ac:dyDescent="0.2"/>
    <row r="1062" ht="12.75" x14ac:dyDescent="0.2"/>
    <row r="1063" ht="12.75" x14ac:dyDescent="0.2"/>
    <row r="1064" ht="12.75" x14ac:dyDescent="0.2"/>
    <row r="1065" ht="12.75" x14ac:dyDescent="0.2"/>
    <row r="1066" ht="12.75" x14ac:dyDescent="0.2"/>
    <row r="1067" ht="12.75" x14ac:dyDescent="0.2"/>
    <row r="1068" ht="12.75" x14ac:dyDescent="0.2"/>
    <row r="1069" ht="12.75" x14ac:dyDescent="0.2"/>
    <row r="1070" ht="12.75" x14ac:dyDescent="0.2"/>
    <row r="1071" ht="12.75" x14ac:dyDescent="0.2"/>
    <row r="1072" ht="12.75" x14ac:dyDescent="0.2"/>
    <row r="1073" ht="12.75" x14ac:dyDescent="0.2"/>
    <row r="1074" ht="12.75" x14ac:dyDescent="0.2"/>
    <row r="1075" ht="12.75" x14ac:dyDescent="0.2"/>
    <row r="1076" ht="12.75" x14ac:dyDescent="0.2"/>
    <row r="1077" ht="12.75" x14ac:dyDescent="0.2"/>
    <row r="1078" ht="12.75" x14ac:dyDescent="0.2"/>
    <row r="1079" ht="12.75" x14ac:dyDescent="0.2"/>
    <row r="1080" ht="12.75" x14ac:dyDescent="0.2"/>
    <row r="1081" ht="12.75" x14ac:dyDescent="0.2"/>
    <row r="1082" ht="12.75" x14ac:dyDescent="0.2"/>
    <row r="1083" ht="12.75" x14ac:dyDescent="0.2"/>
    <row r="1084" ht="12.75" x14ac:dyDescent="0.2"/>
    <row r="1085" ht="12.75" x14ac:dyDescent="0.2"/>
    <row r="1086" ht="12.75" x14ac:dyDescent="0.2"/>
    <row r="1087" ht="12.75" x14ac:dyDescent="0.2"/>
    <row r="1088" ht="12.75" x14ac:dyDescent="0.2"/>
    <row r="1089" ht="12.75" x14ac:dyDescent="0.2"/>
    <row r="1090" ht="12.75" x14ac:dyDescent="0.2"/>
    <row r="1091" ht="12.75" x14ac:dyDescent="0.2"/>
    <row r="1092" ht="12.75" x14ac:dyDescent="0.2"/>
    <row r="1093" ht="12.75" x14ac:dyDescent="0.2"/>
    <row r="1094" ht="12.75" x14ac:dyDescent="0.2"/>
    <row r="1095" ht="12.75" x14ac:dyDescent="0.2"/>
    <row r="1096" ht="12.75" x14ac:dyDescent="0.2"/>
    <row r="1097" ht="12.75" x14ac:dyDescent="0.2"/>
    <row r="1098" ht="12.75" x14ac:dyDescent="0.2"/>
    <row r="1099" ht="12.75" x14ac:dyDescent="0.2"/>
    <row r="1100" ht="12.75" x14ac:dyDescent="0.2"/>
    <row r="1101" ht="12.75" x14ac:dyDescent="0.2"/>
    <row r="1102" ht="12.75" x14ac:dyDescent="0.2"/>
    <row r="1103" ht="12.75" x14ac:dyDescent="0.2"/>
    <row r="1104" ht="12.75" x14ac:dyDescent="0.2"/>
    <row r="1105" ht="12.75" x14ac:dyDescent="0.2"/>
    <row r="1106" ht="12.75" x14ac:dyDescent="0.2"/>
    <row r="1107" ht="12.75" x14ac:dyDescent="0.2"/>
    <row r="1108" ht="12.75" x14ac:dyDescent="0.2"/>
    <row r="1109" ht="12.75" x14ac:dyDescent="0.2"/>
    <row r="1110" ht="12.75" x14ac:dyDescent="0.2"/>
    <row r="1111" ht="12.75" x14ac:dyDescent="0.2"/>
    <row r="1112" ht="12.75" x14ac:dyDescent="0.2"/>
    <row r="1113" ht="12.75" x14ac:dyDescent="0.2"/>
    <row r="1114" ht="12.75" x14ac:dyDescent="0.2"/>
    <row r="1115" ht="12.75" x14ac:dyDescent="0.2"/>
    <row r="1116" ht="12.75" x14ac:dyDescent="0.2"/>
    <row r="1117" ht="12.75" x14ac:dyDescent="0.2"/>
    <row r="1118" ht="12.75" x14ac:dyDescent="0.2"/>
    <row r="1119" ht="12.75" x14ac:dyDescent="0.2"/>
    <row r="1120" ht="12.75" x14ac:dyDescent="0.2"/>
    <row r="1121" ht="12.75" x14ac:dyDescent="0.2"/>
    <row r="1122" ht="12.75" x14ac:dyDescent="0.2"/>
    <row r="1123" ht="12.75" x14ac:dyDescent="0.2"/>
    <row r="1124" ht="12.75" x14ac:dyDescent="0.2"/>
    <row r="1125" ht="12.75" x14ac:dyDescent="0.2"/>
    <row r="1126" ht="12.75" x14ac:dyDescent="0.2"/>
    <row r="1127" ht="12.75" x14ac:dyDescent="0.2"/>
    <row r="1128" ht="12.75" x14ac:dyDescent="0.2"/>
    <row r="1129" ht="12.75" x14ac:dyDescent="0.2"/>
    <row r="1130" ht="12.75" x14ac:dyDescent="0.2"/>
    <row r="1131" ht="12.75" x14ac:dyDescent="0.2"/>
    <row r="1132" ht="12.75" x14ac:dyDescent="0.2"/>
    <row r="1133" ht="12.75" x14ac:dyDescent="0.2"/>
    <row r="1134" ht="12.75" x14ac:dyDescent="0.2"/>
    <row r="1135" ht="12.75" x14ac:dyDescent="0.2"/>
    <row r="1136" ht="12.75" x14ac:dyDescent="0.2"/>
    <row r="1137" ht="12.75" x14ac:dyDescent="0.2"/>
    <row r="1138" ht="12.75" x14ac:dyDescent="0.2"/>
    <row r="1139" ht="12.75" x14ac:dyDescent="0.2"/>
    <row r="1140" ht="12.75" x14ac:dyDescent="0.2"/>
    <row r="1141" ht="12.75" x14ac:dyDescent="0.2"/>
    <row r="1142" ht="12.75" x14ac:dyDescent="0.2"/>
    <row r="1143" ht="12.75" x14ac:dyDescent="0.2"/>
    <row r="1144" ht="12.75" x14ac:dyDescent="0.2"/>
    <row r="1145" ht="12.75" x14ac:dyDescent="0.2"/>
    <row r="1146" ht="12.75" x14ac:dyDescent="0.2"/>
    <row r="1147" ht="12.75" x14ac:dyDescent="0.2"/>
    <row r="1148" ht="12.75" x14ac:dyDescent="0.2"/>
    <row r="1149" ht="12.75" x14ac:dyDescent="0.2"/>
    <row r="1150" ht="12.75" x14ac:dyDescent="0.2"/>
    <row r="1151" ht="12.75" x14ac:dyDescent="0.2"/>
    <row r="1152" ht="12.75" x14ac:dyDescent="0.2"/>
    <row r="1153" ht="12.75" x14ac:dyDescent="0.2"/>
    <row r="1154" ht="12.75" x14ac:dyDescent="0.2"/>
    <row r="1155" ht="12.75" x14ac:dyDescent="0.2"/>
    <row r="1156" ht="12.75" x14ac:dyDescent="0.2"/>
    <row r="1157" ht="12.75" x14ac:dyDescent="0.2"/>
    <row r="1158" ht="12.75" x14ac:dyDescent="0.2"/>
    <row r="1159" ht="12.75" x14ac:dyDescent="0.2"/>
    <row r="1160" ht="12.75" x14ac:dyDescent="0.2"/>
    <row r="1161" ht="12.75" x14ac:dyDescent="0.2"/>
    <row r="1162" ht="12.75" x14ac:dyDescent="0.2"/>
    <row r="1163" ht="12.75" x14ac:dyDescent="0.2"/>
    <row r="1164" ht="12.75" x14ac:dyDescent="0.2"/>
    <row r="1165" ht="12.75" x14ac:dyDescent="0.2"/>
    <row r="1166" ht="12.75" x14ac:dyDescent="0.2"/>
    <row r="1167" ht="12.75" x14ac:dyDescent="0.2"/>
    <row r="1168" ht="12.75" x14ac:dyDescent="0.2"/>
    <row r="1169" ht="12.75" x14ac:dyDescent="0.2"/>
    <row r="1170" ht="12.75" x14ac:dyDescent="0.2"/>
    <row r="1171" ht="12.75" x14ac:dyDescent="0.2"/>
    <row r="1172" ht="12.75" x14ac:dyDescent="0.2"/>
    <row r="1173" ht="12.75" x14ac:dyDescent="0.2"/>
    <row r="1174" ht="12.75" x14ac:dyDescent="0.2"/>
    <row r="1175" ht="12.75" x14ac:dyDescent="0.2"/>
    <row r="1176" ht="12.75" x14ac:dyDescent="0.2"/>
    <row r="1177" ht="12.75" x14ac:dyDescent="0.2"/>
    <row r="1178" ht="12.75" x14ac:dyDescent="0.2"/>
    <row r="1179" ht="12.75" x14ac:dyDescent="0.2"/>
    <row r="1180" ht="12.75" x14ac:dyDescent="0.2"/>
    <row r="1181" ht="12.75" x14ac:dyDescent="0.2"/>
    <row r="1182" ht="12.75" x14ac:dyDescent="0.2"/>
    <row r="1183" ht="12.75" x14ac:dyDescent="0.2"/>
    <row r="1184" ht="12.75" x14ac:dyDescent="0.2"/>
    <row r="1185" ht="12.75" x14ac:dyDescent="0.2"/>
    <row r="1186" ht="12.75" x14ac:dyDescent="0.2"/>
    <row r="1187" ht="12.75" x14ac:dyDescent="0.2"/>
    <row r="1188" ht="12.75" x14ac:dyDescent="0.2"/>
    <row r="1189" ht="12.75" x14ac:dyDescent="0.2"/>
    <row r="1190" ht="12.75" x14ac:dyDescent="0.2"/>
    <row r="1191" ht="12.75" x14ac:dyDescent="0.2"/>
    <row r="1192" ht="12.75" x14ac:dyDescent="0.2"/>
    <row r="1193" ht="12.75" x14ac:dyDescent="0.2"/>
    <row r="1194" ht="12.75" x14ac:dyDescent="0.2"/>
    <row r="1195" ht="12.75" x14ac:dyDescent="0.2"/>
    <row r="1196" ht="12.75" x14ac:dyDescent="0.2"/>
    <row r="1197" ht="12.75" x14ac:dyDescent="0.2"/>
    <row r="1198" ht="12.75" x14ac:dyDescent="0.2"/>
    <row r="1199" ht="12.75" x14ac:dyDescent="0.2"/>
    <row r="1200" ht="12.75" x14ac:dyDescent="0.2"/>
    <row r="1201" ht="12.75" x14ac:dyDescent="0.2"/>
    <row r="1202" ht="12.75" x14ac:dyDescent="0.2"/>
    <row r="1203" ht="12.75" x14ac:dyDescent="0.2"/>
    <row r="1204" ht="12.75" x14ac:dyDescent="0.2"/>
    <row r="1205" ht="12.75" x14ac:dyDescent="0.2"/>
    <row r="1206" ht="12.75" x14ac:dyDescent="0.2"/>
    <row r="1207" ht="12.75" x14ac:dyDescent="0.2"/>
    <row r="1208" ht="12.75" x14ac:dyDescent="0.2"/>
    <row r="1209" ht="12.75" x14ac:dyDescent="0.2"/>
    <row r="1210" ht="12.75" x14ac:dyDescent="0.2"/>
    <row r="1211" ht="12.75" x14ac:dyDescent="0.2"/>
    <row r="1212" ht="12.75" x14ac:dyDescent="0.2"/>
    <row r="1213" ht="12.75" x14ac:dyDescent="0.2"/>
    <row r="1214" ht="12.75" x14ac:dyDescent="0.2"/>
    <row r="1215" ht="12.75" x14ac:dyDescent="0.2"/>
    <row r="1216" ht="12.75" x14ac:dyDescent="0.2"/>
    <row r="1217" ht="12.75" x14ac:dyDescent="0.2"/>
    <row r="1218" ht="12.75" x14ac:dyDescent="0.2"/>
    <row r="1219" ht="12.75" x14ac:dyDescent="0.2"/>
    <row r="1220" ht="12.75" x14ac:dyDescent="0.2"/>
    <row r="1221" ht="12.75" x14ac:dyDescent="0.2"/>
    <row r="1222" ht="12.75" x14ac:dyDescent="0.2"/>
    <row r="1223" ht="12.75" x14ac:dyDescent="0.2"/>
    <row r="1224" ht="12.75" x14ac:dyDescent="0.2"/>
    <row r="1225" ht="12.75" x14ac:dyDescent="0.2"/>
    <row r="1226" ht="12.75" x14ac:dyDescent="0.2"/>
    <row r="1227" ht="12.75" x14ac:dyDescent="0.2"/>
    <row r="1228" ht="12.75" x14ac:dyDescent="0.2"/>
    <row r="1229" ht="12.75" x14ac:dyDescent="0.2"/>
    <row r="1230" ht="12.75" x14ac:dyDescent="0.2"/>
    <row r="1231" ht="12.75" x14ac:dyDescent="0.2"/>
    <row r="1232" ht="12.75" x14ac:dyDescent="0.2"/>
    <row r="1233" ht="12.75" x14ac:dyDescent="0.2"/>
    <row r="1234" ht="12.75" x14ac:dyDescent="0.2"/>
    <row r="1235" ht="12.75" x14ac:dyDescent="0.2"/>
    <row r="1236" ht="12.75" x14ac:dyDescent="0.2"/>
    <row r="1237" ht="12.75" x14ac:dyDescent="0.2"/>
    <row r="1238" ht="12.75" x14ac:dyDescent="0.2"/>
    <row r="1239" ht="12.75" x14ac:dyDescent="0.2"/>
    <row r="1240" ht="12.75" x14ac:dyDescent="0.2"/>
    <row r="1241" ht="12.75" x14ac:dyDescent="0.2"/>
    <row r="1242" ht="12.75" x14ac:dyDescent="0.2"/>
    <row r="1243" ht="12.75" x14ac:dyDescent="0.2"/>
    <row r="1244" ht="12.75" x14ac:dyDescent="0.2"/>
    <row r="1245" ht="12.75" x14ac:dyDescent="0.2"/>
    <row r="1246" ht="12.75" x14ac:dyDescent="0.2"/>
    <row r="1247" ht="12.75" x14ac:dyDescent="0.2"/>
    <row r="1248" ht="12.75" x14ac:dyDescent="0.2"/>
    <row r="1249" ht="12.75" x14ac:dyDescent="0.2"/>
    <row r="1250" ht="12.75" x14ac:dyDescent="0.2"/>
    <row r="1251" ht="12.75" x14ac:dyDescent="0.2"/>
    <row r="1252" ht="12.75" x14ac:dyDescent="0.2"/>
    <row r="1253" ht="12.75" x14ac:dyDescent="0.2"/>
    <row r="1254" ht="12.75" x14ac:dyDescent="0.2"/>
    <row r="1255" ht="12.75" x14ac:dyDescent="0.2"/>
    <row r="1256" ht="12.75" x14ac:dyDescent="0.2"/>
    <row r="1257" ht="12.75" x14ac:dyDescent="0.2"/>
    <row r="1258" ht="12.75" x14ac:dyDescent="0.2"/>
    <row r="1259" ht="12.75" x14ac:dyDescent="0.2"/>
    <row r="1260" ht="12.75" x14ac:dyDescent="0.2"/>
    <row r="1261" ht="12.75" x14ac:dyDescent="0.2"/>
    <row r="1262" ht="12.75" x14ac:dyDescent="0.2"/>
    <row r="1263" ht="12.75" x14ac:dyDescent="0.2"/>
    <row r="1264" ht="12.75" x14ac:dyDescent="0.2"/>
    <row r="1265" ht="12.75" x14ac:dyDescent="0.2"/>
    <row r="1266" ht="12.75" x14ac:dyDescent="0.2"/>
    <row r="1267" ht="12.75" x14ac:dyDescent="0.2"/>
    <row r="1268" ht="12.75" x14ac:dyDescent="0.2"/>
    <row r="1269" ht="12.75" x14ac:dyDescent="0.2"/>
    <row r="1270" ht="12.75" x14ac:dyDescent="0.2"/>
    <row r="1271" ht="12.75" x14ac:dyDescent="0.2"/>
    <row r="1272" ht="12.75" x14ac:dyDescent="0.2"/>
    <row r="1273" ht="12.75" x14ac:dyDescent="0.2"/>
    <row r="1274" ht="12.75" x14ac:dyDescent="0.2"/>
    <row r="1275" ht="12.75" x14ac:dyDescent="0.2"/>
    <row r="1276" ht="12.75" x14ac:dyDescent="0.2"/>
    <row r="1277" ht="12.75" x14ac:dyDescent="0.2"/>
    <row r="1278" ht="12.75" x14ac:dyDescent="0.2"/>
    <row r="1279" ht="12.75" x14ac:dyDescent="0.2"/>
    <row r="1280" ht="12.75" x14ac:dyDescent="0.2"/>
    <row r="1281" ht="12.75" x14ac:dyDescent="0.2"/>
    <row r="1282" ht="12.75" x14ac:dyDescent="0.2"/>
    <row r="1283" ht="12.75" x14ac:dyDescent="0.2"/>
    <row r="1284" ht="12.75" x14ac:dyDescent="0.2"/>
    <row r="1285" ht="12.75" x14ac:dyDescent="0.2"/>
    <row r="1286" ht="12.75" x14ac:dyDescent="0.2"/>
    <row r="1287" ht="12.75" x14ac:dyDescent="0.2"/>
    <row r="1288" ht="12.75" x14ac:dyDescent="0.2"/>
    <row r="1289" ht="12.75" x14ac:dyDescent="0.2"/>
    <row r="1290" ht="12.75" x14ac:dyDescent="0.2"/>
    <row r="1291" ht="12.75" x14ac:dyDescent="0.2"/>
    <row r="1292" ht="12.75" x14ac:dyDescent="0.2"/>
    <row r="1293" ht="12.75" x14ac:dyDescent="0.2"/>
    <row r="1294" ht="12.75" x14ac:dyDescent="0.2"/>
    <row r="1295" ht="12.75" x14ac:dyDescent="0.2"/>
    <row r="1296" ht="12.75" x14ac:dyDescent="0.2"/>
    <row r="1297" ht="12.75" x14ac:dyDescent="0.2"/>
    <row r="1298" ht="12.75" x14ac:dyDescent="0.2"/>
    <row r="1299" ht="12.75" x14ac:dyDescent="0.2"/>
    <row r="1300" ht="12.75" x14ac:dyDescent="0.2"/>
    <row r="1301" ht="12.75" x14ac:dyDescent="0.2"/>
    <row r="1302" ht="12.75" x14ac:dyDescent="0.2"/>
    <row r="1303" ht="12.75" x14ac:dyDescent="0.2"/>
    <row r="1304" ht="12.75" x14ac:dyDescent="0.2"/>
    <row r="1305" ht="12.75" x14ac:dyDescent="0.2"/>
    <row r="1306" ht="12.75" x14ac:dyDescent="0.2"/>
    <row r="1307" ht="12.75" x14ac:dyDescent="0.2"/>
    <row r="1308" ht="12.75" x14ac:dyDescent="0.2"/>
    <row r="1309" ht="12.75" x14ac:dyDescent="0.2"/>
    <row r="1310" ht="12.75" x14ac:dyDescent="0.2"/>
    <row r="1311" ht="12.75" x14ac:dyDescent="0.2"/>
    <row r="1312" ht="12.75" x14ac:dyDescent="0.2"/>
    <row r="1313" ht="12.75" x14ac:dyDescent="0.2"/>
    <row r="1314" ht="12.75" x14ac:dyDescent="0.2"/>
    <row r="1315" ht="12.75" x14ac:dyDescent="0.2"/>
    <row r="1316" ht="12.75" x14ac:dyDescent="0.2"/>
    <row r="1317" ht="12.75" x14ac:dyDescent="0.2"/>
    <row r="1318" ht="12.75" x14ac:dyDescent="0.2"/>
    <row r="1319" ht="12.75" x14ac:dyDescent="0.2"/>
    <row r="1320" ht="12.75" x14ac:dyDescent="0.2"/>
    <row r="1321" ht="12.75" x14ac:dyDescent="0.2"/>
    <row r="1322" ht="12.75" x14ac:dyDescent="0.2"/>
    <row r="1323" ht="12.75" x14ac:dyDescent="0.2"/>
    <row r="1324" ht="12.75" x14ac:dyDescent="0.2"/>
    <row r="1325" ht="12.75" x14ac:dyDescent="0.2"/>
    <row r="1326" ht="12.75" x14ac:dyDescent="0.2"/>
    <row r="1327" ht="12.75" x14ac:dyDescent="0.2"/>
    <row r="1328" ht="12.75" x14ac:dyDescent="0.2"/>
    <row r="1329" ht="12.75" x14ac:dyDescent="0.2"/>
    <row r="1330" ht="12.75" x14ac:dyDescent="0.2"/>
    <row r="1331" ht="12.75" x14ac:dyDescent="0.2"/>
    <row r="1332" ht="12.75" x14ac:dyDescent="0.2"/>
    <row r="1333" ht="12.75" x14ac:dyDescent="0.2"/>
    <row r="1334" ht="12.75" x14ac:dyDescent="0.2"/>
    <row r="1335" ht="12.75" x14ac:dyDescent="0.2"/>
    <row r="1336" ht="12.75" x14ac:dyDescent="0.2"/>
    <row r="1337" ht="12.75" x14ac:dyDescent="0.2"/>
    <row r="1338" ht="12.75" x14ac:dyDescent="0.2"/>
    <row r="1339" ht="12.75" x14ac:dyDescent="0.2"/>
    <row r="1340" ht="12.75" x14ac:dyDescent="0.2"/>
    <row r="1341" ht="12.75" x14ac:dyDescent="0.2"/>
    <row r="1342" ht="12.75" x14ac:dyDescent="0.2"/>
    <row r="1343" ht="12.75" x14ac:dyDescent="0.2"/>
    <row r="1344" ht="12.75" x14ac:dyDescent="0.2"/>
    <row r="1345" ht="12.75" x14ac:dyDescent="0.2"/>
    <row r="1346" ht="12.75" x14ac:dyDescent="0.2"/>
    <row r="1347" ht="12.75" x14ac:dyDescent="0.2"/>
    <row r="1348" ht="12.75" x14ac:dyDescent="0.2"/>
    <row r="1349" ht="12.75" x14ac:dyDescent="0.2"/>
    <row r="1350" ht="12.75" x14ac:dyDescent="0.2"/>
    <row r="1351" ht="12.75" x14ac:dyDescent="0.2"/>
    <row r="1352" ht="12.75" x14ac:dyDescent="0.2"/>
    <row r="1353" ht="12.75" x14ac:dyDescent="0.2"/>
    <row r="1354" ht="12.75" x14ac:dyDescent="0.2"/>
    <row r="1355" ht="12.75" x14ac:dyDescent="0.2"/>
    <row r="1356" ht="12.75" x14ac:dyDescent="0.2"/>
    <row r="1357" ht="12.75" x14ac:dyDescent="0.2"/>
    <row r="1358" ht="12.75" x14ac:dyDescent="0.2"/>
    <row r="1359" ht="12.75" x14ac:dyDescent="0.2"/>
    <row r="1360" ht="12.75" x14ac:dyDescent="0.2"/>
    <row r="1361" ht="12.75" x14ac:dyDescent="0.2"/>
    <row r="1362" ht="12.75" x14ac:dyDescent="0.2"/>
    <row r="1363" ht="12.75" x14ac:dyDescent="0.2"/>
    <row r="1364" ht="12.75" x14ac:dyDescent="0.2"/>
    <row r="1365" ht="12.75" x14ac:dyDescent="0.2"/>
    <row r="1366" ht="12.75" x14ac:dyDescent="0.2"/>
    <row r="1367" ht="12.75" x14ac:dyDescent="0.2"/>
    <row r="1368" ht="12.75" x14ac:dyDescent="0.2"/>
    <row r="1369" ht="12.75" x14ac:dyDescent="0.2"/>
    <row r="1370" ht="12.75" x14ac:dyDescent="0.2"/>
    <row r="1371" ht="12.75" x14ac:dyDescent="0.2"/>
    <row r="1372" ht="12.75" x14ac:dyDescent="0.2"/>
    <row r="1373" ht="12.75" x14ac:dyDescent="0.2"/>
    <row r="1374" ht="12.75" x14ac:dyDescent="0.2"/>
    <row r="1375" ht="12.75" x14ac:dyDescent="0.2"/>
    <row r="1376" ht="12.75" x14ac:dyDescent="0.2"/>
    <row r="1377" ht="12.75" x14ac:dyDescent="0.2"/>
    <row r="1378" ht="12.75" x14ac:dyDescent="0.2"/>
    <row r="1379" ht="12.75" x14ac:dyDescent="0.2"/>
    <row r="1380" ht="12.75" x14ac:dyDescent="0.2"/>
    <row r="1381" ht="12.75" x14ac:dyDescent="0.2"/>
    <row r="1382" ht="12.75" x14ac:dyDescent="0.2"/>
    <row r="1383" ht="12.75" x14ac:dyDescent="0.2"/>
    <row r="1384" ht="12.75" x14ac:dyDescent="0.2"/>
    <row r="1385" ht="12.75" x14ac:dyDescent="0.2"/>
    <row r="1386" ht="12.75" x14ac:dyDescent="0.2"/>
    <row r="1387" ht="12.75" x14ac:dyDescent="0.2"/>
    <row r="1388" ht="12.75" x14ac:dyDescent="0.2"/>
    <row r="1389" ht="12.75" x14ac:dyDescent="0.2"/>
    <row r="1390" ht="12.75" x14ac:dyDescent="0.2"/>
    <row r="1391" ht="12.75" x14ac:dyDescent="0.2"/>
    <row r="1392" ht="12.75" x14ac:dyDescent="0.2"/>
    <row r="1393" ht="12.75" x14ac:dyDescent="0.2"/>
    <row r="1394" ht="12.75" x14ac:dyDescent="0.2"/>
    <row r="1395" ht="12.75" x14ac:dyDescent="0.2"/>
    <row r="1396" ht="12.75" x14ac:dyDescent="0.2"/>
    <row r="1397" ht="12.75" x14ac:dyDescent="0.2"/>
    <row r="1398" ht="12.75" x14ac:dyDescent="0.2"/>
    <row r="1399" ht="12.75" x14ac:dyDescent="0.2"/>
    <row r="1400" ht="12.75" x14ac:dyDescent="0.2"/>
    <row r="1401" ht="12.75" x14ac:dyDescent="0.2"/>
    <row r="1402" ht="12.75" x14ac:dyDescent="0.2"/>
    <row r="1403" ht="12.75" x14ac:dyDescent="0.2"/>
    <row r="1404" ht="12.75" x14ac:dyDescent="0.2"/>
    <row r="1405" ht="12.75" x14ac:dyDescent="0.2"/>
    <row r="1406" ht="12.75" x14ac:dyDescent="0.2"/>
    <row r="1407" ht="12.75" x14ac:dyDescent="0.2"/>
    <row r="1408" ht="12.75" x14ac:dyDescent="0.2"/>
    <row r="1409" ht="12.75" x14ac:dyDescent="0.2"/>
    <row r="1410" ht="12.75" x14ac:dyDescent="0.2"/>
    <row r="1411" ht="12.75" x14ac:dyDescent="0.2"/>
    <row r="1412" ht="12.75" x14ac:dyDescent="0.2"/>
    <row r="1413" ht="12.75" x14ac:dyDescent="0.2"/>
    <row r="1414" ht="12.75" x14ac:dyDescent="0.2"/>
    <row r="1415" ht="12.75" x14ac:dyDescent="0.2"/>
    <row r="1416" ht="12.75" x14ac:dyDescent="0.2"/>
    <row r="1417" ht="12.75" x14ac:dyDescent="0.2"/>
    <row r="1418" ht="12.75" x14ac:dyDescent="0.2"/>
    <row r="1419" ht="12.75" x14ac:dyDescent="0.2"/>
    <row r="1420" ht="12.75" x14ac:dyDescent="0.2"/>
    <row r="1421" ht="12.75" x14ac:dyDescent="0.2"/>
    <row r="1422" ht="12.75" x14ac:dyDescent="0.2"/>
    <row r="1423" ht="12.75" x14ac:dyDescent="0.2"/>
    <row r="1424" ht="12.75" x14ac:dyDescent="0.2"/>
    <row r="1425" ht="12.75" x14ac:dyDescent="0.2"/>
    <row r="1426" ht="12.75" x14ac:dyDescent="0.2"/>
    <row r="1427" ht="12.75" x14ac:dyDescent="0.2"/>
    <row r="1428" ht="12.75" x14ac:dyDescent="0.2"/>
    <row r="1429" ht="12.75" x14ac:dyDescent="0.2"/>
    <row r="1430" ht="12.75" x14ac:dyDescent="0.2"/>
    <row r="1431" ht="12.75" x14ac:dyDescent="0.2"/>
    <row r="1432" ht="12.75" x14ac:dyDescent="0.2"/>
    <row r="1433" ht="12.75" x14ac:dyDescent="0.2"/>
    <row r="1434" ht="12.75" x14ac:dyDescent="0.2"/>
    <row r="1435" ht="12.75" x14ac:dyDescent="0.2"/>
    <row r="1436" ht="12.75" x14ac:dyDescent="0.2"/>
    <row r="1437" ht="12.75" x14ac:dyDescent="0.2"/>
    <row r="1438" ht="12.75" x14ac:dyDescent="0.2"/>
    <row r="1439" ht="12.75" x14ac:dyDescent="0.2"/>
    <row r="1440" ht="12.75" x14ac:dyDescent="0.2"/>
    <row r="1441" ht="12.75" x14ac:dyDescent="0.2"/>
    <row r="1442" ht="12.75" x14ac:dyDescent="0.2"/>
    <row r="1443" ht="12.75" x14ac:dyDescent="0.2"/>
    <row r="1444" ht="12.75" x14ac:dyDescent="0.2"/>
    <row r="1445" ht="12.75" x14ac:dyDescent="0.2"/>
    <row r="1446" ht="12.75" x14ac:dyDescent="0.2"/>
    <row r="1447" ht="12.75" x14ac:dyDescent="0.2"/>
    <row r="1448" ht="12.75" x14ac:dyDescent="0.2"/>
    <row r="1449" ht="12.75" x14ac:dyDescent="0.2"/>
    <row r="1450" ht="12.75" x14ac:dyDescent="0.2"/>
    <row r="1451" ht="12.75" x14ac:dyDescent="0.2"/>
    <row r="1452" ht="12.75" x14ac:dyDescent="0.2"/>
    <row r="1453" ht="12.75" x14ac:dyDescent="0.2"/>
    <row r="1454" ht="12.75" x14ac:dyDescent="0.2"/>
    <row r="1455" ht="12.75" x14ac:dyDescent="0.2"/>
    <row r="1456" ht="12.75" x14ac:dyDescent="0.2"/>
    <row r="1457" ht="12.75" x14ac:dyDescent="0.2"/>
    <row r="1458" ht="12.75" x14ac:dyDescent="0.2"/>
    <row r="1459" ht="12.75" x14ac:dyDescent="0.2"/>
    <row r="1460" ht="12.75" x14ac:dyDescent="0.2"/>
    <row r="1461" ht="12.75" x14ac:dyDescent="0.2"/>
    <row r="1462" ht="12.75" x14ac:dyDescent="0.2"/>
    <row r="1463" ht="12.75" x14ac:dyDescent="0.2"/>
    <row r="1464" ht="12.75" x14ac:dyDescent="0.2"/>
    <row r="1465" ht="12.75" x14ac:dyDescent="0.2"/>
    <row r="1466" ht="12.75" x14ac:dyDescent="0.2"/>
    <row r="1467" ht="12.75" x14ac:dyDescent="0.2"/>
    <row r="1468" ht="12.75" x14ac:dyDescent="0.2"/>
    <row r="1469" ht="12.75" x14ac:dyDescent="0.2"/>
    <row r="1470" ht="12.75" x14ac:dyDescent="0.2"/>
    <row r="1471" ht="12.75" x14ac:dyDescent="0.2"/>
    <row r="1472" ht="12.75" x14ac:dyDescent="0.2"/>
    <row r="1473" ht="12.75" x14ac:dyDescent="0.2"/>
    <row r="1474" ht="12.75" x14ac:dyDescent="0.2"/>
    <row r="1475" ht="12.75" x14ac:dyDescent="0.2"/>
    <row r="1476" ht="12.75" x14ac:dyDescent="0.2"/>
    <row r="1477" ht="12.75" x14ac:dyDescent="0.2"/>
    <row r="1478" ht="12.75" x14ac:dyDescent="0.2"/>
    <row r="1479" ht="12.75" x14ac:dyDescent="0.2"/>
    <row r="1480" ht="12.75" x14ac:dyDescent="0.2"/>
    <row r="1481" ht="12.75" x14ac:dyDescent="0.2"/>
    <row r="1482" ht="12.75" x14ac:dyDescent="0.2"/>
    <row r="1483" ht="12.75" x14ac:dyDescent="0.2"/>
    <row r="1484" ht="12.75" x14ac:dyDescent="0.2"/>
    <row r="1485" ht="12.75" x14ac:dyDescent="0.2"/>
    <row r="1486" ht="12.75" x14ac:dyDescent="0.2"/>
    <row r="1487" ht="12.75" x14ac:dyDescent="0.2"/>
    <row r="1488" ht="12.75" x14ac:dyDescent="0.2"/>
    <row r="1489" ht="12.75" x14ac:dyDescent="0.2"/>
    <row r="1490" ht="12.75" x14ac:dyDescent="0.2"/>
    <row r="1491" ht="12.75" x14ac:dyDescent="0.2"/>
    <row r="1492" ht="12.75" x14ac:dyDescent="0.2"/>
    <row r="1493" ht="12.75" x14ac:dyDescent="0.2"/>
    <row r="1494" ht="12.75" x14ac:dyDescent="0.2"/>
    <row r="1495" ht="12.75" x14ac:dyDescent="0.2"/>
    <row r="1496" ht="12.75" x14ac:dyDescent="0.2"/>
    <row r="1497" ht="12.75" x14ac:dyDescent="0.2"/>
    <row r="1498" ht="12.75" x14ac:dyDescent="0.2"/>
    <row r="1499" ht="12.75" x14ac:dyDescent="0.2"/>
    <row r="1500" ht="12.75" x14ac:dyDescent="0.2"/>
    <row r="1501" ht="12.75" x14ac:dyDescent="0.2"/>
    <row r="1502" ht="12.75" x14ac:dyDescent="0.2"/>
    <row r="1503" ht="12.75" x14ac:dyDescent="0.2"/>
    <row r="1504" ht="12.75" x14ac:dyDescent="0.2"/>
    <row r="1505" ht="12.75" x14ac:dyDescent="0.2"/>
    <row r="1506" ht="12.75" x14ac:dyDescent="0.2"/>
    <row r="1507" ht="12.75" x14ac:dyDescent="0.2"/>
    <row r="1508" ht="12.75" x14ac:dyDescent="0.2"/>
    <row r="1509" ht="12.75" x14ac:dyDescent="0.2"/>
    <row r="1510" ht="12.75" x14ac:dyDescent="0.2"/>
    <row r="1511" ht="12.75" x14ac:dyDescent="0.2"/>
    <row r="1512" ht="12.75" x14ac:dyDescent="0.2"/>
    <row r="1513" ht="12.75" x14ac:dyDescent="0.2"/>
    <row r="1514" ht="12.75" x14ac:dyDescent="0.2"/>
    <row r="1515" ht="12.75" x14ac:dyDescent="0.2"/>
    <row r="1516" ht="12.75" x14ac:dyDescent="0.2"/>
    <row r="1517" ht="12.75" x14ac:dyDescent="0.2"/>
    <row r="1518" ht="12.75" x14ac:dyDescent="0.2"/>
    <row r="1519" ht="12.75" x14ac:dyDescent="0.2"/>
    <row r="1520" ht="12.75" x14ac:dyDescent="0.2"/>
    <row r="1521" ht="12.75" x14ac:dyDescent="0.2"/>
    <row r="1522" ht="12.75" x14ac:dyDescent="0.2"/>
    <row r="1523" ht="12.75" x14ac:dyDescent="0.2"/>
    <row r="1524" ht="12.75" x14ac:dyDescent="0.2"/>
    <row r="1525" ht="12.75" x14ac:dyDescent="0.2"/>
    <row r="1526" ht="12.75" x14ac:dyDescent="0.2"/>
    <row r="1527" ht="12.75" x14ac:dyDescent="0.2"/>
    <row r="1528" ht="12.75" x14ac:dyDescent="0.2"/>
    <row r="1529" ht="12.75" x14ac:dyDescent="0.2"/>
    <row r="1530" ht="12.75" x14ac:dyDescent="0.2"/>
    <row r="1531" ht="12.75" x14ac:dyDescent="0.2"/>
    <row r="1532" ht="12.75" x14ac:dyDescent="0.2"/>
    <row r="1533" ht="12.75" x14ac:dyDescent="0.2"/>
    <row r="1534" ht="12.75" x14ac:dyDescent="0.2"/>
    <row r="1535" ht="12.75" x14ac:dyDescent="0.2"/>
    <row r="1536" ht="12.75" x14ac:dyDescent="0.2"/>
    <row r="1537" ht="12.75" x14ac:dyDescent="0.2"/>
    <row r="1538" ht="12.75" x14ac:dyDescent="0.2"/>
    <row r="1539" ht="12.75" x14ac:dyDescent="0.2"/>
    <row r="1540" ht="12.75" x14ac:dyDescent="0.2"/>
    <row r="1541" ht="12.75" x14ac:dyDescent="0.2"/>
    <row r="1542" ht="12.75" x14ac:dyDescent="0.2"/>
    <row r="1543" ht="12.75" x14ac:dyDescent="0.2"/>
    <row r="1544" ht="12.75" x14ac:dyDescent="0.2"/>
    <row r="1545" ht="12.75" x14ac:dyDescent="0.2"/>
    <row r="1546" ht="12.75" x14ac:dyDescent="0.2"/>
    <row r="1547" ht="12.75" x14ac:dyDescent="0.2"/>
    <row r="1548" ht="12.75" x14ac:dyDescent="0.2"/>
    <row r="1549" ht="12.75" x14ac:dyDescent="0.2"/>
    <row r="1550" ht="12.75" x14ac:dyDescent="0.2"/>
    <row r="1551" ht="12.75" x14ac:dyDescent="0.2"/>
    <row r="1552" ht="12.75" x14ac:dyDescent="0.2"/>
    <row r="1553" ht="12.75" x14ac:dyDescent="0.2"/>
    <row r="1554" ht="12.75" x14ac:dyDescent="0.2"/>
    <row r="1555" ht="12.75" x14ac:dyDescent="0.2"/>
    <row r="1556" ht="12.75" x14ac:dyDescent="0.2"/>
    <row r="1557" ht="12.75" x14ac:dyDescent="0.2"/>
    <row r="1558" ht="12.75" x14ac:dyDescent="0.2"/>
    <row r="1559" ht="12.75" x14ac:dyDescent="0.2"/>
    <row r="1560" ht="12.75" x14ac:dyDescent="0.2"/>
    <row r="1561" ht="12.75" x14ac:dyDescent="0.2"/>
    <row r="1562" ht="12.75" x14ac:dyDescent="0.2"/>
    <row r="1563" ht="12.75" x14ac:dyDescent="0.2"/>
    <row r="1564" ht="12.75" x14ac:dyDescent="0.2"/>
    <row r="1565" ht="12.75" x14ac:dyDescent="0.2"/>
    <row r="1566" ht="12.75" x14ac:dyDescent="0.2"/>
    <row r="1567" ht="12.75" x14ac:dyDescent="0.2"/>
    <row r="1568" ht="12.75" x14ac:dyDescent="0.2"/>
    <row r="1569" ht="12.75" x14ac:dyDescent="0.2"/>
    <row r="1570" ht="12.75" x14ac:dyDescent="0.2"/>
    <row r="1571" ht="12.75" x14ac:dyDescent="0.2"/>
    <row r="1572" ht="12.75" x14ac:dyDescent="0.2"/>
    <row r="1573" ht="12.75" x14ac:dyDescent="0.2"/>
    <row r="1574" ht="12.75" x14ac:dyDescent="0.2"/>
    <row r="1575" ht="12.75" x14ac:dyDescent="0.2"/>
    <row r="1576" ht="12.75" x14ac:dyDescent="0.2"/>
    <row r="1577" ht="12.75" x14ac:dyDescent="0.2"/>
    <row r="1578" ht="12.75" x14ac:dyDescent="0.2"/>
    <row r="1579" ht="12.75" x14ac:dyDescent="0.2"/>
    <row r="1580" ht="12.75" x14ac:dyDescent="0.2"/>
    <row r="1581" ht="12.75" x14ac:dyDescent="0.2"/>
    <row r="1582" ht="12.75" x14ac:dyDescent="0.2"/>
    <row r="1583" ht="12.75" x14ac:dyDescent="0.2"/>
    <row r="1584" ht="12.75" x14ac:dyDescent="0.2"/>
    <row r="1585" ht="12.75" x14ac:dyDescent="0.2"/>
    <row r="1586" ht="12.75" x14ac:dyDescent="0.2"/>
    <row r="1587" ht="12.75" x14ac:dyDescent="0.2"/>
    <row r="1588" ht="12.75" x14ac:dyDescent="0.2"/>
    <row r="1589" ht="12.75" x14ac:dyDescent="0.2"/>
    <row r="1590" ht="12.75" x14ac:dyDescent="0.2"/>
    <row r="1591" ht="12.75" x14ac:dyDescent="0.2"/>
    <row r="1592" ht="12.75" x14ac:dyDescent="0.2"/>
    <row r="1593" ht="12.75" x14ac:dyDescent="0.2"/>
    <row r="1594" ht="12.75" x14ac:dyDescent="0.2"/>
    <row r="1595" ht="12.75" x14ac:dyDescent="0.2"/>
    <row r="1596" ht="12.75" x14ac:dyDescent="0.2"/>
    <row r="1597" ht="12.75" x14ac:dyDescent="0.2"/>
    <row r="1598" ht="12.75" x14ac:dyDescent="0.2"/>
    <row r="1599" ht="12.75" x14ac:dyDescent="0.2"/>
    <row r="1600" ht="12.75" x14ac:dyDescent="0.2"/>
    <row r="1601" ht="12.75" x14ac:dyDescent="0.2"/>
    <row r="1602" ht="12.75" x14ac:dyDescent="0.2"/>
    <row r="1603" ht="12.75" x14ac:dyDescent="0.2"/>
    <row r="1604" ht="12.75" x14ac:dyDescent="0.2"/>
    <row r="1605" ht="12.75" x14ac:dyDescent="0.2"/>
    <row r="1606" ht="12.75" x14ac:dyDescent="0.2"/>
    <row r="1607" ht="12.75" x14ac:dyDescent="0.2"/>
    <row r="1608" ht="12.75" x14ac:dyDescent="0.2"/>
    <row r="1609" ht="12.75" x14ac:dyDescent="0.2"/>
    <row r="1610" ht="12.75" x14ac:dyDescent="0.2"/>
    <row r="1611" ht="12.75" x14ac:dyDescent="0.2"/>
    <row r="1612" ht="12.75" x14ac:dyDescent="0.2"/>
    <row r="1613" ht="12.75" x14ac:dyDescent="0.2"/>
    <row r="1614" ht="12.75" x14ac:dyDescent="0.2"/>
    <row r="1615" ht="12.75" x14ac:dyDescent="0.2"/>
    <row r="1616" ht="12.75" x14ac:dyDescent="0.2"/>
    <row r="1617" ht="12.75" x14ac:dyDescent="0.2"/>
    <row r="1618" ht="12.75" x14ac:dyDescent="0.2"/>
    <row r="1619" ht="12.75" x14ac:dyDescent="0.2"/>
    <row r="1620" ht="12.75" x14ac:dyDescent="0.2"/>
    <row r="1621" ht="12.75" x14ac:dyDescent="0.2"/>
    <row r="1622" ht="12.75" x14ac:dyDescent="0.2"/>
    <row r="1623" ht="12.75" x14ac:dyDescent="0.2"/>
    <row r="1624" ht="12.75" x14ac:dyDescent="0.2"/>
    <row r="1625" ht="12.75" x14ac:dyDescent="0.2"/>
    <row r="1626" ht="12.75" x14ac:dyDescent="0.2"/>
    <row r="1627" ht="12.75" x14ac:dyDescent="0.2"/>
    <row r="1628" ht="12.75" x14ac:dyDescent="0.2"/>
    <row r="1629" ht="12.75" x14ac:dyDescent="0.2"/>
    <row r="1630" ht="12.75" x14ac:dyDescent="0.2"/>
    <row r="1631" ht="12.75" x14ac:dyDescent="0.2"/>
    <row r="1632" ht="12.75" x14ac:dyDescent="0.2"/>
    <row r="1633" ht="12.75" x14ac:dyDescent="0.2"/>
    <row r="1634" ht="12.75" x14ac:dyDescent="0.2"/>
    <row r="1635" ht="12.75" x14ac:dyDescent="0.2"/>
    <row r="1636" ht="12.75" x14ac:dyDescent="0.2"/>
    <row r="1637" ht="12.75" x14ac:dyDescent="0.2"/>
    <row r="1638" ht="12.75" x14ac:dyDescent="0.2"/>
    <row r="1639" ht="12.75" x14ac:dyDescent="0.2"/>
    <row r="1640" ht="12.75" x14ac:dyDescent="0.2"/>
    <row r="1641" ht="12.75" x14ac:dyDescent="0.2"/>
    <row r="1642" ht="12.75" x14ac:dyDescent="0.2"/>
    <row r="1643" ht="12.75" x14ac:dyDescent="0.2"/>
    <row r="1644" ht="12.75" x14ac:dyDescent="0.2"/>
    <row r="1645" ht="12.75" x14ac:dyDescent="0.2"/>
    <row r="1646" ht="12.75" x14ac:dyDescent="0.2"/>
    <row r="1647" ht="12.75" x14ac:dyDescent="0.2"/>
    <row r="1648" ht="12.75" x14ac:dyDescent="0.2"/>
    <row r="1649" ht="12.75" x14ac:dyDescent="0.2"/>
    <row r="1650" ht="12.75" x14ac:dyDescent="0.2"/>
    <row r="1651" ht="12.75" x14ac:dyDescent="0.2"/>
    <row r="1652" ht="12.75" x14ac:dyDescent="0.2"/>
    <row r="1653" ht="12.75" x14ac:dyDescent="0.2"/>
    <row r="1654" ht="12.75" x14ac:dyDescent="0.2"/>
    <row r="1655" ht="12.75" x14ac:dyDescent="0.2"/>
    <row r="1656" ht="12.75" x14ac:dyDescent="0.2"/>
    <row r="1657" ht="12.75" x14ac:dyDescent="0.2"/>
    <row r="1658" ht="12.75" x14ac:dyDescent="0.2"/>
    <row r="1659" ht="12.75" x14ac:dyDescent="0.2"/>
    <row r="1660" ht="12.75" x14ac:dyDescent="0.2"/>
    <row r="1661" ht="12.75" x14ac:dyDescent="0.2"/>
    <row r="1662" ht="12.75" x14ac:dyDescent="0.2"/>
    <row r="1663" ht="12.75" x14ac:dyDescent="0.2"/>
    <row r="1664" ht="12.75" x14ac:dyDescent="0.2"/>
    <row r="1665" ht="12.75" x14ac:dyDescent="0.2"/>
    <row r="1666" ht="12.75" x14ac:dyDescent="0.2"/>
    <row r="1667" ht="12.75" x14ac:dyDescent="0.2"/>
    <row r="1668" ht="12.75" x14ac:dyDescent="0.2"/>
    <row r="1669" ht="12.75" x14ac:dyDescent="0.2"/>
    <row r="1670" ht="12.75" x14ac:dyDescent="0.2"/>
    <row r="1671" ht="12.75" x14ac:dyDescent="0.2"/>
    <row r="1672" ht="12.75" x14ac:dyDescent="0.2"/>
    <row r="1673" ht="12.75" x14ac:dyDescent="0.2"/>
    <row r="1674" ht="12.75" x14ac:dyDescent="0.2"/>
    <row r="1675" ht="12.75" x14ac:dyDescent="0.2"/>
    <row r="1676" ht="12.75" x14ac:dyDescent="0.2"/>
    <row r="1677" ht="12.75" x14ac:dyDescent="0.2"/>
    <row r="1678" ht="12.75" x14ac:dyDescent="0.2"/>
    <row r="1679" ht="12.75" x14ac:dyDescent="0.2"/>
    <row r="1680" ht="12.75" x14ac:dyDescent="0.2"/>
    <row r="1681" ht="12.75" x14ac:dyDescent="0.2"/>
    <row r="1682" ht="12.75" x14ac:dyDescent="0.2"/>
    <row r="1683" ht="12.75" x14ac:dyDescent="0.2"/>
    <row r="1684" ht="12.75" x14ac:dyDescent="0.2"/>
    <row r="1685" ht="12.75" x14ac:dyDescent="0.2"/>
    <row r="1686" ht="12.75" x14ac:dyDescent="0.2"/>
    <row r="1687" ht="12.75" x14ac:dyDescent="0.2"/>
    <row r="1688" ht="12.75" x14ac:dyDescent="0.2"/>
    <row r="1689" ht="12.75" x14ac:dyDescent="0.2"/>
    <row r="1690" ht="12.75" x14ac:dyDescent="0.2"/>
    <row r="1691" ht="12.75" x14ac:dyDescent="0.2"/>
    <row r="1692" ht="12.75" x14ac:dyDescent="0.2"/>
    <row r="1693" ht="12.75" x14ac:dyDescent="0.2"/>
    <row r="1694" ht="12.75" x14ac:dyDescent="0.2"/>
    <row r="1695" ht="12.75" x14ac:dyDescent="0.2"/>
    <row r="1696" ht="12.75" x14ac:dyDescent="0.2"/>
    <row r="1697" ht="12.75" x14ac:dyDescent="0.2"/>
    <row r="1698" ht="12.75" x14ac:dyDescent="0.2"/>
    <row r="1699" ht="12.75" x14ac:dyDescent="0.2"/>
    <row r="1700" ht="12.75" x14ac:dyDescent="0.2"/>
    <row r="1701" ht="12.75" x14ac:dyDescent="0.2"/>
    <row r="1702" ht="12.75" x14ac:dyDescent="0.2"/>
    <row r="1703" ht="12.75" x14ac:dyDescent="0.2"/>
    <row r="1704" ht="12.75" x14ac:dyDescent="0.2"/>
    <row r="1705" ht="12.75" x14ac:dyDescent="0.2"/>
    <row r="1706" ht="12.75" x14ac:dyDescent="0.2"/>
    <row r="1707" ht="12.75" x14ac:dyDescent="0.2"/>
    <row r="1708" ht="12.75" x14ac:dyDescent="0.2"/>
    <row r="1709" ht="12.75" x14ac:dyDescent="0.2"/>
    <row r="1710" ht="12.75" x14ac:dyDescent="0.2"/>
    <row r="1711" ht="12.75" x14ac:dyDescent="0.2"/>
    <row r="1712" ht="12.75" x14ac:dyDescent="0.2"/>
    <row r="1713" ht="12.75" x14ac:dyDescent="0.2"/>
    <row r="1714" ht="12.75" x14ac:dyDescent="0.2"/>
    <row r="1715" ht="12.75" x14ac:dyDescent="0.2"/>
    <row r="1716" ht="12.75" x14ac:dyDescent="0.2"/>
    <row r="1717" ht="12.75" x14ac:dyDescent="0.2"/>
    <row r="1718" ht="12.75" x14ac:dyDescent="0.2"/>
    <row r="1719" ht="12.75" x14ac:dyDescent="0.2"/>
    <row r="1720" ht="12.75" x14ac:dyDescent="0.2"/>
    <row r="1721" ht="12.75" x14ac:dyDescent="0.2"/>
    <row r="1722" ht="12.75" x14ac:dyDescent="0.2"/>
    <row r="1723" ht="12.75" x14ac:dyDescent="0.2"/>
    <row r="1724" ht="12.75" x14ac:dyDescent="0.2"/>
    <row r="1725" ht="12.75" x14ac:dyDescent="0.2"/>
    <row r="1726" ht="12.75" x14ac:dyDescent="0.2"/>
    <row r="1727" ht="12.75" x14ac:dyDescent="0.2"/>
    <row r="1728" ht="12.75" x14ac:dyDescent="0.2"/>
    <row r="1729" ht="12.75" x14ac:dyDescent="0.2"/>
    <row r="1730" ht="12.75" x14ac:dyDescent="0.2"/>
    <row r="1731" ht="12.75" x14ac:dyDescent="0.2"/>
    <row r="1732" ht="12.75" x14ac:dyDescent="0.2"/>
    <row r="1733" ht="12.75" x14ac:dyDescent="0.2"/>
    <row r="1734" ht="12.75" x14ac:dyDescent="0.2"/>
    <row r="1735" ht="12.75" x14ac:dyDescent="0.2"/>
    <row r="1736" ht="12.75" x14ac:dyDescent="0.2"/>
    <row r="1737" ht="12.75" x14ac:dyDescent="0.2"/>
    <row r="1738" ht="12.75" x14ac:dyDescent="0.2"/>
    <row r="1739" ht="12.75" x14ac:dyDescent="0.2"/>
    <row r="1740" ht="12.75" x14ac:dyDescent="0.2"/>
    <row r="1741" ht="12.75" x14ac:dyDescent="0.2"/>
    <row r="1742" ht="12.75" x14ac:dyDescent="0.2"/>
    <row r="1743" ht="12.75" x14ac:dyDescent="0.2"/>
    <row r="1744" ht="12.75" x14ac:dyDescent="0.2"/>
    <row r="1745" ht="12.75" x14ac:dyDescent="0.2"/>
    <row r="1746" ht="12.75" x14ac:dyDescent="0.2"/>
    <row r="1747" ht="12.75" x14ac:dyDescent="0.2"/>
    <row r="1748" ht="12.75" x14ac:dyDescent="0.2"/>
    <row r="1749" ht="12.75" x14ac:dyDescent="0.2"/>
    <row r="1750" ht="12.75" x14ac:dyDescent="0.2"/>
    <row r="1751" ht="12.75" x14ac:dyDescent="0.2"/>
    <row r="1752" ht="12.75" x14ac:dyDescent="0.2"/>
    <row r="1753" ht="12.75" x14ac:dyDescent="0.2"/>
    <row r="1754" ht="12.75" x14ac:dyDescent="0.2"/>
    <row r="1755" ht="12.75" x14ac:dyDescent="0.2"/>
    <row r="1756" ht="12.75" x14ac:dyDescent="0.2"/>
    <row r="1757" ht="12.75" x14ac:dyDescent="0.2"/>
    <row r="1758" ht="12.75" x14ac:dyDescent="0.2"/>
    <row r="1759" ht="12.75" x14ac:dyDescent="0.2"/>
    <row r="1760" ht="12.75" x14ac:dyDescent="0.2"/>
    <row r="1761" ht="12.75" x14ac:dyDescent="0.2"/>
    <row r="1762" ht="12.75" x14ac:dyDescent="0.2"/>
    <row r="1763" ht="12.75" x14ac:dyDescent="0.2"/>
    <row r="1764" ht="12.75" x14ac:dyDescent="0.2"/>
    <row r="1765" ht="12.75" x14ac:dyDescent="0.2"/>
    <row r="1766" ht="12.75" x14ac:dyDescent="0.2"/>
    <row r="1767" ht="12.75" x14ac:dyDescent="0.2"/>
    <row r="1768" ht="12.75" x14ac:dyDescent="0.2"/>
    <row r="1769" ht="12.75" x14ac:dyDescent="0.2"/>
    <row r="1770" ht="12.75" x14ac:dyDescent="0.2"/>
    <row r="1771" ht="12.75" x14ac:dyDescent="0.2"/>
    <row r="1772" ht="12.75" x14ac:dyDescent="0.2"/>
    <row r="1773" ht="12.75" x14ac:dyDescent="0.2"/>
    <row r="1774" ht="12.75" x14ac:dyDescent="0.2"/>
    <row r="1775" ht="12.75" x14ac:dyDescent="0.2"/>
    <row r="1776" ht="12.75" x14ac:dyDescent="0.2"/>
    <row r="1777" ht="12.75" x14ac:dyDescent="0.2"/>
    <row r="1778" ht="12.75" x14ac:dyDescent="0.2"/>
    <row r="1779" ht="12.75" x14ac:dyDescent="0.2"/>
    <row r="1780" ht="12.75" x14ac:dyDescent="0.2"/>
    <row r="1781" ht="12.75" x14ac:dyDescent="0.2"/>
    <row r="1782" ht="12.75" x14ac:dyDescent="0.2"/>
    <row r="1783" ht="12.75" x14ac:dyDescent="0.2"/>
    <row r="1784" ht="12.75" x14ac:dyDescent="0.2"/>
    <row r="1785" ht="12.75" x14ac:dyDescent="0.2"/>
    <row r="1786" ht="12.75" x14ac:dyDescent="0.2"/>
    <row r="1787" ht="12.75" x14ac:dyDescent="0.2"/>
    <row r="1788" ht="12.75" x14ac:dyDescent="0.2"/>
    <row r="1789" ht="12.75" x14ac:dyDescent="0.2"/>
    <row r="1790" ht="12.75" x14ac:dyDescent="0.2"/>
    <row r="1791" ht="12.75" x14ac:dyDescent="0.2"/>
    <row r="1792" ht="12.75" x14ac:dyDescent="0.2"/>
    <row r="1793" ht="12.75" x14ac:dyDescent="0.2"/>
    <row r="1794" ht="12.75" x14ac:dyDescent="0.2"/>
    <row r="1795" ht="12.75" x14ac:dyDescent="0.2"/>
    <row r="1796" ht="12.75" x14ac:dyDescent="0.2"/>
    <row r="1797" ht="12.75" x14ac:dyDescent="0.2"/>
    <row r="1798" ht="12.75" x14ac:dyDescent="0.2"/>
    <row r="1799" ht="12.75" x14ac:dyDescent="0.2"/>
    <row r="1800" ht="12.75" x14ac:dyDescent="0.2"/>
    <row r="1801" ht="12.75" x14ac:dyDescent="0.2"/>
    <row r="1802" ht="12.75" x14ac:dyDescent="0.2"/>
    <row r="1803" ht="12.75" x14ac:dyDescent="0.2"/>
    <row r="1804" ht="12.75" x14ac:dyDescent="0.2"/>
    <row r="1805" ht="12.75" x14ac:dyDescent="0.2"/>
    <row r="1806" ht="12.75" x14ac:dyDescent="0.2"/>
    <row r="1807" ht="12.75" x14ac:dyDescent="0.2"/>
    <row r="1808" ht="12.75" x14ac:dyDescent="0.2"/>
    <row r="1809" ht="12.75" x14ac:dyDescent="0.2"/>
    <row r="1810" ht="12.75" x14ac:dyDescent="0.2"/>
    <row r="1811" ht="12.75" x14ac:dyDescent="0.2"/>
    <row r="1812" ht="12.75" x14ac:dyDescent="0.2"/>
    <row r="1813" ht="12.75" x14ac:dyDescent="0.2"/>
    <row r="1814" ht="12.75" x14ac:dyDescent="0.2"/>
    <row r="1815" ht="12.75" x14ac:dyDescent="0.2"/>
    <row r="1816" ht="12.75" x14ac:dyDescent="0.2"/>
    <row r="1817" ht="12.75" x14ac:dyDescent="0.2"/>
    <row r="1818" ht="12.75" x14ac:dyDescent="0.2"/>
    <row r="1819" ht="12.75" x14ac:dyDescent="0.2"/>
    <row r="1820" ht="12.75" x14ac:dyDescent="0.2"/>
    <row r="1821" ht="12.75" x14ac:dyDescent="0.2"/>
    <row r="1822" ht="12.75" x14ac:dyDescent="0.2"/>
    <row r="1823" ht="12.75" x14ac:dyDescent="0.2"/>
    <row r="1824" ht="12.75" x14ac:dyDescent="0.2"/>
    <row r="1825" ht="12.75" x14ac:dyDescent="0.2"/>
    <row r="1826" ht="12.75" x14ac:dyDescent="0.2"/>
    <row r="1827" ht="12.75" x14ac:dyDescent="0.2"/>
    <row r="1828" ht="12.75" x14ac:dyDescent="0.2"/>
    <row r="1829" ht="12.75" x14ac:dyDescent="0.2"/>
    <row r="1830" ht="12.75" x14ac:dyDescent="0.2"/>
    <row r="1831" ht="12.75" x14ac:dyDescent="0.2"/>
    <row r="1832" ht="12.75" x14ac:dyDescent="0.2"/>
    <row r="1833" ht="12.75" x14ac:dyDescent="0.2"/>
    <row r="1834" ht="12.75" x14ac:dyDescent="0.2"/>
    <row r="1835" ht="12.75" x14ac:dyDescent="0.2"/>
    <row r="1836" ht="12.75" x14ac:dyDescent="0.2"/>
    <row r="1837" ht="12.75" x14ac:dyDescent="0.2"/>
    <row r="1838" ht="12.75" x14ac:dyDescent="0.2"/>
    <row r="1839" ht="12.75" x14ac:dyDescent="0.2"/>
    <row r="1840" ht="12.75" x14ac:dyDescent="0.2"/>
    <row r="1841" ht="12.75" x14ac:dyDescent="0.2"/>
    <row r="1842" ht="12.75" x14ac:dyDescent="0.2"/>
    <row r="1843" ht="12.75" x14ac:dyDescent="0.2"/>
    <row r="1844" ht="12.75" x14ac:dyDescent="0.2"/>
    <row r="1845" ht="12.75" x14ac:dyDescent="0.2"/>
    <row r="1846" ht="12.75" x14ac:dyDescent="0.2"/>
    <row r="1847" ht="12.75" x14ac:dyDescent="0.2"/>
    <row r="1848" ht="12.75" x14ac:dyDescent="0.2"/>
    <row r="1849" ht="12.75" x14ac:dyDescent="0.2"/>
    <row r="1850" ht="12.75" x14ac:dyDescent="0.2"/>
    <row r="1851" ht="12.75" x14ac:dyDescent="0.2"/>
    <row r="1852" ht="12.75" x14ac:dyDescent="0.2"/>
    <row r="1853" ht="12.75" x14ac:dyDescent="0.2"/>
    <row r="1854" ht="12.75" x14ac:dyDescent="0.2"/>
    <row r="1855" ht="12.75" x14ac:dyDescent="0.2"/>
    <row r="1856" ht="12.75" x14ac:dyDescent="0.2"/>
    <row r="1857" ht="12.75" x14ac:dyDescent="0.2"/>
    <row r="1858" ht="12.75" x14ac:dyDescent="0.2"/>
    <row r="1859" ht="12.75" x14ac:dyDescent="0.2"/>
    <row r="1860" ht="12.75" x14ac:dyDescent="0.2"/>
    <row r="1861" ht="12.75" x14ac:dyDescent="0.2"/>
    <row r="1862" ht="12.75" x14ac:dyDescent="0.2"/>
    <row r="1863" ht="12.75" x14ac:dyDescent="0.2"/>
    <row r="1864" ht="12.75" x14ac:dyDescent="0.2"/>
    <row r="1865" ht="12.75" x14ac:dyDescent="0.2"/>
    <row r="1866" ht="12.75" x14ac:dyDescent="0.2"/>
    <row r="1867" ht="12.75" x14ac:dyDescent="0.2"/>
    <row r="1868" ht="12.75" x14ac:dyDescent="0.2"/>
    <row r="1869" ht="12.75" x14ac:dyDescent="0.2"/>
    <row r="1870" ht="12.75" x14ac:dyDescent="0.2"/>
    <row r="1871" ht="12.75" x14ac:dyDescent="0.2"/>
    <row r="1872" ht="12.75" x14ac:dyDescent="0.2"/>
    <row r="1873" ht="12.75" x14ac:dyDescent="0.2"/>
    <row r="1874" ht="12.75" x14ac:dyDescent="0.2"/>
    <row r="1875" ht="12.75" x14ac:dyDescent="0.2"/>
    <row r="1876" ht="12.75" x14ac:dyDescent="0.2"/>
    <row r="1877" ht="12.75" x14ac:dyDescent="0.2"/>
    <row r="1878" ht="12.75" x14ac:dyDescent="0.2"/>
    <row r="1879" ht="12.75" x14ac:dyDescent="0.2"/>
    <row r="1880" ht="12.75" x14ac:dyDescent="0.2"/>
    <row r="1881" ht="12.75" x14ac:dyDescent="0.2"/>
    <row r="1882" ht="12.75" x14ac:dyDescent="0.2"/>
    <row r="1883" ht="12.75" x14ac:dyDescent="0.2"/>
    <row r="1884" ht="12.75" x14ac:dyDescent="0.2"/>
    <row r="1885" ht="12.75" x14ac:dyDescent="0.2"/>
    <row r="1886" ht="12.75" x14ac:dyDescent="0.2"/>
    <row r="1887" ht="12.75" x14ac:dyDescent="0.2"/>
    <row r="1888" ht="12.75" x14ac:dyDescent="0.2"/>
    <row r="1889" ht="12.75" x14ac:dyDescent="0.2"/>
    <row r="1890" ht="12.75" x14ac:dyDescent="0.2"/>
    <row r="1891" ht="12.75" x14ac:dyDescent="0.2"/>
    <row r="1892" ht="12.75" x14ac:dyDescent="0.2"/>
    <row r="1893" ht="12.75" x14ac:dyDescent="0.2"/>
    <row r="1894" ht="12.75" x14ac:dyDescent="0.2"/>
    <row r="1895" ht="12.75" x14ac:dyDescent="0.2"/>
    <row r="1896" ht="12.75" x14ac:dyDescent="0.2"/>
    <row r="1897" ht="12.75" x14ac:dyDescent="0.2"/>
    <row r="1898" ht="12.75" x14ac:dyDescent="0.2"/>
    <row r="1899" ht="12.75" x14ac:dyDescent="0.2"/>
    <row r="1900" ht="12.75" x14ac:dyDescent="0.2"/>
    <row r="1901" ht="12.75" x14ac:dyDescent="0.2"/>
    <row r="1902" ht="12.75" x14ac:dyDescent="0.2"/>
    <row r="1903" ht="12.75" x14ac:dyDescent="0.2"/>
    <row r="1904" ht="12.75" x14ac:dyDescent="0.2"/>
    <row r="1905" ht="12.75" x14ac:dyDescent="0.2"/>
    <row r="1906" ht="12.75" x14ac:dyDescent="0.2"/>
    <row r="1907" ht="12.75" x14ac:dyDescent="0.2"/>
    <row r="1908" ht="12.75" x14ac:dyDescent="0.2"/>
    <row r="1909" ht="12.75" x14ac:dyDescent="0.2"/>
    <row r="1910" ht="12.75" x14ac:dyDescent="0.2"/>
    <row r="1911" ht="12.75" x14ac:dyDescent="0.2"/>
    <row r="1912" ht="12.75" x14ac:dyDescent="0.2"/>
    <row r="1913" ht="12.75" x14ac:dyDescent="0.2"/>
    <row r="1914" ht="12.75" x14ac:dyDescent="0.2"/>
    <row r="1915" ht="12.75" x14ac:dyDescent="0.2"/>
    <row r="1916" ht="12.75" x14ac:dyDescent="0.2"/>
    <row r="1917" ht="12.75" x14ac:dyDescent="0.2"/>
    <row r="1918" ht="12.75" x14ac:dyDescent="0.2"/>
    <row r="1919" ht="12.75" x14ac:dyDescent="0.2"/>
    <row r="1920" ht="12.75" x14ac:dyDescent="0.2"/>
    <row r="1921" ht="12.75" x14ac:dyDescent="0.2"/>
    <row r="1922" ht="12.75" x14ac:dyDescent="0.2"/>
    <row r="1923" ht="12.75" x14ac:dyDescent="0.2"/>
    <row r="1924" ht="12.75" x14ac:dyDescent="0.2"/>
    <row r="1925" ht="12.75" x14ac:dyDescent="0.2"/>
    <row r="1926" ht="12.75" x14ac:dyDescent="0.2"/>
    <row r="1927" ht="12.75" x14ac:dyDescent="0.2"/>
    <row r="1928" ht="12.75" x14ac:dyDescent="0.2"/>
    <row r="1929" ht="12.75" x14ac:dyDescent="0.2"/>
    <row r="1930" ht="12.75" x14ac:dyDescent="0.2"/>
    <row r="1931" ht="12.75" x14ac:dyDescent="0.2"/>
    <row r="1932" ht="12.75" x14ac:dyDescent="0.2"/>
    <row r="1933" ht="12.75" x14ac:dyDescent="0.2"/>
    <row r="1934" ht="12.75" x14ac:dyDescent="0.2"/>
    <row r="1935" ht="12.75" x14ac:dyDescent="0.2"/>
    <row r="1936" ht="12.75" x14ac:dyDescent="0.2"/>
    <row r="1937" ht="12.75" x14ac:dyDescent="0.2"/>
    <row r="1938" ht="12.75" x14ac:dyDescent="0.2"/>
    <row r="1939" ht="12.75" x14ac:dyDescent="0.2"/>
    <row r="1940" ht="12.75" x14ac:dyDescent="0.2"/>
    <row r="1941" ht="12.75" x14ac:dyDescent="0.2"/>
    <row r="1942" ht="12.75" x14ac:dyDescent="0.2"/>
    <row r="1943" ht="12.75" x14ac:dyDescent="0.2"/>
    <row r="1944" ht="12.75" x14ac:dyDescent="0.2"/>
    <row r="1945" ht="12.75" x14ac:dyDescent="0.2"/>
    <row r="1946" ht="12.75" x14ac:dyDescent="0.2"/>
    <row r="1947" ht="12.75" x14ac:dyDescent="0.2"/>
    <row r="1948" ht="12.75" x14ac:dyDescent="0.2"/>
    <row r="1949" ht="12.75" x14ac:dyDescent="0.2"/>
    <row r="1950" ht="12.75" x14ac:dyDescent="0.2"/>
    <row r="1951" ht="12.75" x14ac:dyDescent="0.2"/>
    <row r="1952" ht="12.75" x14ac:dyDescent="0.2"/>
    <row r="1953" ht="12.75" x14ac:dyDescent="0.2"/>
    <row r="1954" ht="12.75" x14ac:dyDescent="0.2"/>
    <row r="1955" ht="12.75" x14ac:dyDescent="0.2"/>
    <row r="1956" ht="12.75" x14ac:dyDescent="0.2"/>
    <row r="1957" ht="12.75" x14ac:dyDescent="0.2"/>
    <row r="1958" ht="12.75" x14ac:dyDescent="0.2"/>
    <row r="1959" ht="12.75" x14ac:dyDescent="0.2"/>
    <row r="1960" ht="12.75" x14ac:dyDescent="0.2"/>
    <row r="1961" ht="12.75" x14ac:dyDescent="0.2"/>
    <row r="1962" ht="12.75" x14ac:dyDescent="0.2"/>
    <row r="1963" ht="12.75" x14ac:dyDescent="0.2"/>
    <row r="1964" ht="12.75" x14ac:dyDescent="0.2"/>
    <row r="1965" ht="12.75" x14ac:dyDescent="0.2"/>
    <row r="1966" ht="12.75" x14ac:dyDescent="0.2"/>
    <row r="1967" ht="12.75" x14ac:dyDescent="0.2"/>
    <row r="1968" ht="12.75" x14ac:dyDescent="0.2"/>
    <row r="1969" ht="12.75" x14ac:dyDescent="0.2"/>
    <row r="1970" ht="12.75" x14ac:dyDescent="0.2"/>
    <row r="1971" ht="12.75" x14ac:dyDescent="0.2"/>
    <row r="1972" ht="12.75" x14ac:dyDescent="0.2"/>
    <row r="1973" ht="12.75" x14ac:dyDescent="0.2"/>
    <row r="1974" ht="12.75" x14ac:dyDescent="0.2"/>
    <row r="1975" ht="12.75" x14ac:dyDescent="0.2"/>
    <row r="1976" ht="12.75" x14ac:dyDescent="0.2"/>
    <row r="1977" ht="12.75" x14ac:dyDescent="0.2"/>
    <row r="1978" ht="12.75" x14ac:dyDescent="0.2"/>
    <row r="1979" ht="12.75" x14ac:dyDescent="0.2"/>
    <row r="1980" ht="12.75" x14ac:dyDescent="0.2"/>
    <row r="1981" ht="12.75" x14ac:dyDescent="0.2"/>
    <row r="1982" ht="12.75" x14ac:dyDescent="0.2"/>
    <row r="1983" ht="12.75" x14ac:dyDescent="0.2"/>
    <row r="1984" ht="12.75" x14ac:dyDescent="0.2"/>
    <row r="1985" ht="12.75" x14ac:dyDescent="0.2"/>
    <row r="1986" ht="12.75" x14ac:dyDescent="0.2"/>
    <row r="1987" ht="12.75" x14ac:dyDescent="0.2"/>
    <row r="1988" ht="12.75" x14ac:dyDescent="0.2"/>
    <row r="1989" ht="12.75" x14ac:dyDescent="0.2"/>
    <row r="1990" ht="12.75" x14ac:dyDescent="0.2"/>
    <row r="1991" ht="12.75" x14ac:dyDescent="0.2"/>
    <row r="1992" ht="12.75" x14ac:dyDescent="0.2"/>
    <row r="1993" ht="12.75" x14ac:dyDescent="0.2"/>
    <row r="1994" ht="12.75" x14ac:dyDescent="0.2"/>
    <row r="1995" ht="12.75" x14ac:dyDescent="0.2"/>
    <row r="1996" ht="12.75" x14ac:dyDescent="0.2"/>
    <row r="1997" ht="12.75" x14ac:dyDescent="0.2"/>
    <row r="1998" ht="12.75" x14ac:dyDescent="0.2"/>
    <row r="1999" ht="12.75" x14ac:dyDescent="0.2"/>
    <row r="2000" ht="12.75" x14ac:dyDescent="0.2"/>
    <row r="2001" ht="12.75" x14ac:dyDescent="0.2"/>
    <row r="2002" ht="12.75" x14ac:dyDescent="0.2"/>
    <row r="2003" ht="12.75" x14ac:dyDescent="0.2"/>
    <row r="2004" ht="12.75" x14ac:dyDescent="0.2"/>
    <row r="2005" ht="12.75" x14ac:dyDescent="0.2"/>
    <row r="2006" ht="12.75" x14ac:dyDescent="0.2"/>
    <row r="2007" ht="12.75" x14ac:dyDescent="0.2"/>
    <row r="2008" ht="12.75" x14ac:dyDescent="0.2"/>
    <row r="2009" ht="12.75" x14ac:dyDescent="0.2"/>
    <row r="2010" ht="12.75" x14ac:dyDescent="0.2"/>
    <row r="2011" ht="12.75" x14ac:dyDescent="0.2"/>
    <row r="2012" ht="12.75" x14ac:dyDescent="0.2"/>
    <row r="2013" ht="12.75" x14ac:dyDescent="0.2"/>
    <row r="2014" ht="12.75" x14ac:dyDescent="0.2"/>
    <row r="2015" ht="12.75" x14ac:dyDescent="0.2"/>
    <row r="2016" ht="12.75" x14ac:dyDescent="0.2"/>
    <row r="2017" ht="12.75" x14ac:dyDescent="0.2"/>
    <row r="2018" ht="12.75" x14ac:dyDescent="0.2"/>
    <row r="2019" ht="12.75" x14ac:dyDescent="0.2"/>
    <row r="2020" ht="12.75" x14ac:dyDescent="0.2"/>
    <row r="2021" ht="12.75" x14ac:dyDescent="0.2"/>
    <row r="2022" ht="12.75" x14ac:dyDescent="0.2"/>
    <row r="2023" ht="12.75" x14ac:dyDescent="0.2"/>
    <row r="2024" ht="12.75" x14ac:dyDescent="0.2"/>
    <row r="2025" ht="12.75" x14ac:dyDescent="0.2"/>
    <row r="2026" ht="12.75" x14ac:dyDescent="0.2"/>
    <row r="2027" ht="12.75" x14ac:dyDescent="0.2"/>
    <row r="2028" ht="12.75" x14ac:dyDescent="0.2"/>
    <row r="2029" ht="12.75" x14ac:dyDescent="0.2"/>
    <row r="2030" ht="12.75" x14ac:dyDescent="0.2"/>
    <row r="2031" ht="12.75" x14ac:dyDescent="0.2"/>
    <row r="2032" ht="12.75" x14ac:dyDescent="0.2"/>
    <row r="2033" ht="12.75" x14ac:dyDescent="0.2"/>
    <row r="2034" ht="12.75" x14ac:dyDescent="0.2"/>
    <row r="2035" ht="12.75" x14ac:dyDescent="0.2"/>
    <row r="2036" ht="12.75" x14ac:dyDescent="0.2"/>
    <row r="2037" ht="12.75" x14ac:dyDescent="0.2"/>
    <row r="2038" ht="12.75" x14ac:dyDescent="0.2"/>
    <row r="2039" ht="12.75" x14ac:dyDescent="0.2"/>
    <row r="2040" ht="12.75" x14ac:dyDescent="0.2"/>
    <row r="2041" ht="12.75" x14ac:dyDescent="0.2"/>
    <row r="2042" ht="12.75" x14ac:dyDescent="0.2"/>
    <row r="2043" ht="12.75" x14ac:dyDescent="0.2"/>
    <row r="2044" ht="12.75" x14ac:dyDescent="0.2"/>
    <row r="2045" ht="12.75" x14ac:dyDescent="0.2"/>
    <row r="2046" ht="12.75" x14ac:dyDescent="0.2"/>
    <row r="2047" ht="12.75" x14ac:dyDescent="0.2"/>
    <row r="2048" ht="12.75" x14ac:dyDescent="0.2"/>
    <row r="2049" ht="12.75" x14ac:dyDescent="0.2"/>
    <row r="2050" ht="12.75" x14ac:dyDescent="0.2"/>
    <row r="2051" ht="12.75" x14ac:dyDescent="0.2"/>
    <row r="2052" ht="12.75" x14ac:dyDescent="0.2"/>
    <row r="2053" ht="12.75" x14ac:dyDescent="0.2"/>
    <row r="2054" ht="12.75" x14ac:dyDescent="0.2"/>
    <row r="2055" ht="12.75" x14ac:dyDescent="0.2"/>
    <row r="2056" ht="12.75" x14ac:dyDescent="0.2"/>
    <row r="2057" ht="12.75" x14ac:dyDescent="0.2"/>
    <row r="2058" ht="12.75" x14ac:dyDescent="0.2"/>
    <row r="2059" ht="12.75" x14ac:dyDescent="0.2"/>
    <row r="2060" ht="12.75" x14ac:dyDescent="0.2"/>
    <row r="2061" ht="12.75" x14ac:dyDescent="0.2"/>
    <row r="2062" ht="12.75" x14ac:dyDescent="0.2"/>
    <row r="2063" ht="12.75" x14ac:dyDescent="0.2"/>
    <row r="2064" ht="12.75" x14ac:dyDescent="0.2"/>
    <row r="2065" ht="12.75" x14ac:dyDescent="0.2"/>
    <row r="2066" ht="12.75" x14ac:dyDescent="0.2"/>
    <row r="2067" ht="12.75" x14ac:dyDescent="0.2"/>
    <row r="2068" ht="12.75" x14ac:dyDescent="0.2"/>
    <row r="2069" ht="12.75" x14ac:dyDescent="0.2"/>
    <row r="2070" ht="12.75" x14ac:dyDescent="0.2"/>
    <row r="2071" ht="12.75" x14ac:dyDescent="0.2"/>
    <row r="2072" ht="12.75" x14ac:dyDescent="0.2"/>
    <row r="2073" ht="12.75" x14ac:dyDescent="0.2"/>
    <row r="2074" ht="12.75" x14ac:dyDescent="0.2"/>
    <row r="2075" ht="12.75" x14ac:dyDescent="0.2"/>
    <row r="2076" ht="12.75" x14ac:dyDescent="0.2"/>
    <row r="2077" ht="12.75" x14ac:dyDescent="0.2"/>
    <row r="2078" ht="12.75" x14ac:dyDescent="0.2"/>
    <row r="2079" ht="12.75" x14ac:dyDescent="0.2"/>
    <row r="2080" ht="12.75" x14ac:dyDescent="0.2"/>
    <row r="2081" ht="12.75" x14ac:dyDescent="0.2"/>
    <row r="2082" ht="12.75" x14ac:dyDescent="0.2"/>
    <row r="2083" ht="12.75" x14ac:dyDescent="0.2"/>
    <row r="2084" ht="12.75" x14ac:dyDescent="0.2"/>
    <row r="2085" ht="12.75" x14ac:dyDescent="0.2"/>
    <row r="2086" ht="12.75" x14ac:dyDescent="0.2"/>
    <row r="2087" ht="12.75" x14ac:dyDescent="0.2"/>
    <row r="2088" ht="12.75" x14ac:dyDescent="0.2"/>
    <row r="2089" ht="12.75" x14ac:dyDescent="0.2"/>
    <row r="2090" ht="12.75" x14ac:dyDescent="0.2"/>
    <row r="2091" ht="12.75" x14ac:dyDescent="0.2"/>
    <row r="2092" ht="12.75" x14ac:dyDescent="0.2"/>
    <row r="2093" ht="12.75" x14ac:dyDescent="0.2"/>
    <row r="2094" ht="12.75" x14ac:dyDescent="0.2"/>
    <row r="2095" ht="12.75" x14ac:dyDescent="0.2"/>
    <row r="2096" ht="12.75" x14ac:dyDescent="0.2"/>
    <row r="2097" ht="12.75" x14ac:dyDescent="0.2"/>
    <row r="2098" ht="12.75" x14ac:dyDescent="0.2"/>
    <row r="2099" ht="12.75" x14ac:dyDescent="0.2"/>
    <row r="2100" ht="12.75" x14ac:dyDescent="0.2"/>
    <row r="2101" ht="12.75" x14ac:dyDescent="0.2"/>
    <row r="2102" ht="12.75" x14ac:dyDescent="0.2"/>
    <row r="2103" ht="12.75" x14ac:dyDescent="0.2"/>
    <row r="2104" ht="12.75" x14ac:dyDescent="0.2"/>
    <row r="2105" ht="12.75" x14ac:dyDescent="0.2"/>
    <row r="2106" ht="12.75" x14ac:dyDescent="0.2"/>
    <row r="2107" ht="12.75" x14ac:dyDescent="0.2"/>
    <row r="2108" ht="12.75" x14ac:dyDescent="0.2"/>
    <row r="2109" ht="12.75" x14ac:dyDescent="0.2"/>
    <row r="2110" ht="12.75" x14ac:dyDescent="0.2"/>
    <row r="2111" ht="12.75" x14ac:dyDescent="0.2"/>
    <row r="2112" ht="12.75" x14ac:dyDescent="0.2"/>
    <row r="2113" ht="12.75" x14ac:dyDescent="0.2"/>
    <row r="2114" ht="12.75" x14ac:dyDescent="0.2"/>
    <row r="2115" ht="12.75" x14ac:dyDescent="0.2"/>
    <row r="2116" ht="12.75" x14ac:dyDescent="0.2"/>
    <row r="2117" ht="12.75" x14ac:dyDescent="0.2"/>
    <row r="2118" ht="12.75" x14ac:dyDescent="0.2"/>
    <row r="2119" ht="12.75" x14ac:dyDescent="0.2"/>
    <row r="2120" ht="12.75" x14ac:dyDescent="0.2"/>
    <row r="2121" ht="12.75" x14ac:dyDescent="0.2"/>
    <row r="2122" ht="12.75" x14ac:dyDescent="0.2"/>
    <row r="2123" ht="12.75" x14ac:dyDescent="0.2"/>
    <row r="2124" ht="12.75" x14ac:dyDescent="0.2"/>
    <row r="2125" ht="12.75" x14ac:dyDescent="0.2"/>
    <row r="2126" ht="12.75" x14ac:dyDescent="0.2"/>
    <row r="2127" ht="12.75" x14ac:dyDescent="0.2"/>
    <row r="2128" ht="12.75" x14ac:dyDescent="0.2"/>
    <row r="2129" ht="12.75" x14ac:dyDescent="0.2"/>
    <row r="2130" ht="12.75" x14ac:dyDescent="0.2"/>
    <row r="2131" ht="12.75" x14ac:dyDescent="0.2"/>
    <row r="2132" ht="12.75" x14ac:dyDescent="0.2"/>
    <row r="2133" ht="12.75" x14ac:dyDescent="0.2"/>
    <row r="2134" ht="12.75" x14ac:dyDescent="0.2"/>
    <row r="2135" ht="12.75" x14ac:dyDescent="0.2"/>
    <row r="2136" ht="12.75" x14ac:dyDescent="0.2"/>
    <row r="2137" ht="12.75" x14ac:dyDescent="0.2"/>
    <row r="2138" ht="12.75" x14ac:dyDescent="0.2"/>
    <row r="2139" ht="12.75" x14ac:dyDescent="0.2"/>
    <row r="2140" ht="12.75" x14ac:dyDescent="0.2"/>
    <row r="2141" ht="12.75" x14ac:dyDescent="0.2"/>
    <row r="2142" ht="12.75" x14ac:dyDescent="0.2"/>
    <row r="2143" ht="12.75" x14ac:dyDescent="0.2"/>
    <row r="2144" ht="12.75" x14ac:dyDescent="0.2"/>
    <row r="2145" ht="12.75" x14ac:dyDescent="0.2"/>
    <row r="2146" ht="12.75" x14ac:dyDescent="0.2"/>
    <row r="2147" ht="12.75" x14ac:dyDescent="0.2"/>
    <row r="2148" ht="12.75" x14ac:dyDescent="0.2"/>
    <row r="2149" ht="12.75" x14ac:dyDescent="0.2"/>
    <row r="2150" ht="12.75" x14ac:dyDescent="0.2"/>
    <row r="2151" ht="12.75" x14ac:dyDescent="0.2"/>
    <row r="2152" ht="12.75" x14ac:dyDescent="0.2"/>
    <row r="2153" ht="12.75" x14ac:dyDescent="0.2"/>
    <row r="2154" ht="12.75" x14ac:dyDescent="0.2"/>
    <row r="2155" ht="12.75" x14ac:dyDescent="0.2"/>
    <row r="2156" ht="12.75" x14ac:dyDescent="0.2"/>
    <row r="2157" ht="12.75" x14ac:dyDescent="0.2"/>
    <row r="2158" ht="12.75" x14ac:dyDescent="0.2"/>
    <row r="2159" ht="12.75" x14ac:dyDescent="0.2"/>
    <row r="2160" ht="12.75" x14ac:dyDescent="0.2"/>
    <row r="2161" ht="12.75" x14ac:dyDescent="0.2"/>
    <row r="2162" ht="12.75" x14ac:dyDescent="0.2"/>
    <row r="2163" ht="12.75" x14ac:dyDescent="0.2"/>
    <row r="2164" ht="12.75" x14ac:dyDescent="0.2"/>
    <row r="2165" ht="12.75" x14ac:dyDescent="0.2"/>
    <row r="2166" ht="12.75" x14ac:dyDescent="0.2"/>
    <row r="2167" ht="12.75" x14ac:dyDescent="0.2"/>
    <row r="2168" ht="12.75" x14ac:dyDescent="0.2"/>
    <row r="2169" ht="12.75" x14ac:dyDescent="0.2"/>
    <row r="2170" ht="12.75" x14ac:dyDescent="0.2"/>
    <row r="2171" ht="12.75" x14ac:dyDescent="0.2"/>
    <row r="2172" ht="12.75" x14ac:dyDescent="0.2"/>
    <row r="2173" ht="12.75" x14ac:dyDescent="0.2"/>
    <row r="2174" ht="12.75" x14ac:dyDescent="0.2"/>
    <row r="2175" ht="12.75" x14ac:dyDescent="0.2"/>
    <row r="2176" ht="12.75" x14ac:dyDescent="0.2"/>
    <row r="2177" ht="12.75" x14ac:dyDescent="0.2"/>
    <row r="2178" ht="12.75" x14ac:dyDescent="0.2"/>
    <row r="2179" ht="12.75" x14ac:dyDescent="0.2"/>
    <row r="2180" ht="12.75" x14ac:dyDescent="0.2"/>
    <row r="2181" ht="12.75" x14ac:dyDescent="0.2"/>
    <row r="2182" ht="12.75" x14ac:dyDescent="0.2"/>
    <row r="2183" ht="12.75" x14ac:dyDescent="0.2"/>
    <row r="2184" ht="12.75" x14ac:dyDescent="0.2"/>
    <row r="2185" ht="12.75" x14ac:dyDescent="0.2"/>
    <row r="2186" ht="12.75" x14ac:dyDescent="0.2"/>
    <row r="2187" ht="12.75" x14ac:dyDescent="0.2"/>
    <row r="2188" ht="12.75" x14ac:dyDescent="0.2"/>
    <row r="2189" ht="12.75" x14ac:dyDescent="0.2"/>
    <row r="2190" ht="12.75" x14ac:dyDescent="0.2"/>
    <row r="2191" ht="12.75" x14ac:dyDescent="0.2"/>
    <row r="2192" ht="12.75" x14ac:dyDescent="0.2"/>
    <row r="2193" ht="12.75" x14ac:dyDescent="0.2"/>
    <row r="2194" ht="12.75" x14ac:dyDescent="0.2"/>
    <row r="2195" ht="12.75" x14ac:dyDescent="0.2"/>
    <row r="2196" ht="12.75" x14ac:dyDescent="0.2"/>
    <row r="2197" ht="12.75" x14ac:dyDescent="0.2"/>
    <row r="2198" ht="12.75" x14ac:dyDescent="0.2"/>
    <row r="2199" ht="12.75" x14ac:dyDescent="0.2"/>
    <row r="2200" ht="12.75" x14ac:dyDescent="0.2"/>
    <row r="2201" ht="12.75" x14ac:dyDescent="0.2"/>
    <row r="2202" ht="12.75" x14ac:dyDescent="0.2"/>
    <row r="2203" ht="12.75" x14ac:dyDescent="0.2"/>
    <row r="2204" ht="12.75" x14ac:dyDescent="0.2"/>
    <row r="2205" ht="12.75" x14ac:dyDescent="0.2"/>
    <row r="2206" ht="12.75" x14ac:dyDescent="0.2"/>
    <row r="2207" ht="12.75" x14ac:dyDescent="0.2"/>
    <row r="2208" ht="12.75" x14ac:dyDescent="0.2"/>
    <row r="2209" ht="12.75" x14ac:dyDescent="0.2"/>
    <row r="2210" ht="12.75" x14ac:dyDescent="0.2"/>
    <row r="2211" ht="12.75" x14ac:dyDescent="0.2"/>
    <row r="2212" ht="12.75" x14ac:dyDescent="0.2"/>
    <row r="2213" ht="12.75" x14ac:dyDescent="0.2"/>
    <row r="2214" ht="12.75" x14ac:dyDescent="0.2"/>
    <row r="2215" ht="12.75" x14ac:dyDescent="0.2"/>
    <row r="2216" ht="12.75" x14ac:dyDescent="0.2"/>
    <row r="2217" ht="12.75" x14ac:dyDescent="0.2"/>
    <row r="2218" ht="12.75" x14ac:dyDescent="0.2"/>
    <row r="2219" ht="12.75" x14ac:dyDescent="0.2"/>
    <row r="2220" ht="12.75" x14ac:dyDescent="0.2"/>
    <row r="2221" ht="12.75" x14ac:dyDescent="0.2"/>
    <row r="2222" ht="12.75" x14ac:dyDescent="0.2"/>
    <row r="2223" ht="12.75" x14ac:dyDescent="0.2"/>
    <row r="2224" ht="12.75" x14ac:dyDescent="0.2"/>
    <row r="2225" ht="12.75" x14ac:dyDescent="0.2"/>
    <row r="2226" ht="12.75" x14ac:dyDescent="0.2"/>
    <row r="2227" ht="12.75" x14ac:dyDescent="0.2"/>
    <row r="2228" ht="12.75" x14ac:dyDescent="0.2"/>
    <row r="2229" ht="12.75" x14ac:dyDescent="0.2"/>
    <row r="2230" ht="12.75" x14ac:dyDescent="0.2"/>
    <row r="2231" ht="12.75" x14ac:dyDescent="0.2"/>
    <row r="2232" ht="12.75" x14ac:dyDescent="0.2"/>
    <row r="2233" ht="12.75" x14ac:dyDescent="0.2"/>
    <row r="2234" ht="12.75" x14ac:dyDescent="0.2"/>
    <row r="2235" ht="12.75" x14ac:dyDescent="0.2"/>
    <row r="2236" ht="12.75" x14ac:dyDescent="0.2"/>
    <row r="2237" ht="12.75" x14ac:dyDescent="0.2"/>
    <row r="2238" ht="12.75" x14ac:dyDescent="0.2"/>
    <row r="2239" ht="12.75" x14ac:dyDescent="0.2"/>
    <row r="2240" ht="12.75" x14ac:dyDescent="0.2"/>
    <row r="2241" ht="12.75" x14ac:dyDescent="0.2"/>
    <row r="2242" ht="12.75" x14ac:dyDescent="0.2"/>
    <row r="2243" ht="12.75" x14ac:dyDescent="0.2"/>
    <row r="2244" ht="12.75" x14ac:dyDescent="0.2"/>
    <row r="2245" ht="12.75" x14ac:dyDescent="0.2"/>
    <row r="2246" ht="12.75" x14ac:dyDescent="0.2"/>
    <row r="2247" ht="12.75" x14ac:dyDescent="0.2"/>
    <row r="2248" ht="12.75" x14ac:dyDescent="0.2"/>
    <row r="2249" ht="12.75" x14ac:dyDescent="0.2"/>
    <row r="2250" ht="12.75" x14ac:dyDescent="0.2"/>
    <row r="2251" ht="12.75" x14ac:dyDescent="0.2"/>
    <row r="2252" ht="12.75" x14ac:dyDescent="0.2"/>
    <row r="2253" ht="12.75" x14ac:dyDescent="0.2"/>
    <row r="2254" ht="12.75" x14ac:dyDescent="0.2"/>
    <row r="2255" ht="12.75" x14ac:dyDescent="0.2"/>
    <row r="2256" ht="12.75" x14ac:dyDescent="0.2"/>
    <row r="2257" ht="12.75" x14ac:dyDescent="0.2"/>
    <row r="2258" ht="12.75" x14ac:dyDescent="0.2"/>
    <row r="2259" ht="12.75" x14ac:dyDescent="0.2"/>
    <row r="2260" ht="12.75" x14ac:dyDescent="0.2"/>
    <row r="2261" ht="12.75" x14ac:dyDescent="0.2"/>
    <row r="2262" ht="12.75" x14ac:dyDescent="0.2"/>
    <row r="2263" ht="12.75" x14ac:dyDescent="0.2"/>
    <row r="2264" ht="12.75" x14ac:dyDescent="0.2"/>
    <row r="2265" ht="12.75" x14ac:dyDescent="0.2"/>
    <row r="2266" ht="12.75" x14ac:dyDescent="0.2"/>
    <row r="2267" ht="12.75" x14ac:dyDescent="0.2"/>
    <row r="2268" ht="12.75" x14ac:dyDescent="0.2"/>
    <row r="2269" ht="12.75" x14ac:dyDescent="0.2"/>
    <row r="2270" ht="12.75" x14ac:dyDescent="0.2"/>
    <row r="2271" ht="12.75" x14ac:dyDescent="0.2"/>
    <row r="2272" ht="12.75" x14ac:dyDescent="0.2"/>
    <row r="2273" ht="12.75" x14ac:dyDescent="0.2"/>
    <row r="2274" ht="12.75" x14ac:dyDescent="0.2"/>
    <row r="2275" ht="12.75" x14ac:dyDescent="0.2"/>
    <row r="2276" ht="12.75" x14ac:dyDescent="0.2"/>
    <row r="2277" ht="12.75" x14ac:dyDescent="0.2"/>
    <row r="2278" ht="12.75" x14ac:dyDescent="0.2"/>
    <row r="2279" ht="12.75" x14ac:dyDescent="0.2"/>
    <row r="2280" ht="12.75" x14ac:dyDescent="0.2"/>
    <row r="2281" ht="12.75" x14ac:dyDescent="0.2"/>
    <row r="2282" ht="12.75" x14ac:dyDescent="0.2"/>
    <row r="2283" ht="12.75" x14ac:dyDescent="0.2"/>
    <row r="2284" ht="12.75" x14ac:dyDescent="0.2"/>
    <row r="2285" ht="12.75" x14ac:dyDescent="0.2"/>
    <row r="2286" ht="12.75" x14ac:dyDescent="0.2"/>
    <row r="2287" ht="12.75" x14ac:dyDescent="0.2"/>
    <row r="2288" ht="12.75" x14ac:dyDescent="0.2"/>
    <row r="2289" ht="12.75" x14ac:dyDescent="0.2"/>
    <row r="2290" ht="12.75" x14ac:dyDescent="0.2"/>
    <row r="2291" ht="12.75" x14ac:dyDescent="0.2"/>
    <row r="2292" ht="12.75" x14ac:dyDescent="0.2"/>
    <row r="2293" ht="12.75" x14ac:dyDescent="0.2"/>
    <row r="2294" ht="12.75" x14ac:dyDescent="0.2"/>
    <row r="2295" ht="12.75" x14ac:dyDescent="0.2"/>
    <row r="2296" ht="12.75" x14ac:dyDescent="0.2"/>
    <row r="2297" ht="12.75" x14ac:dyDescent="0.2"/>
    <row r="2298" ht="12.75" x14ac:dyDescent="0.2"/>
    <row r="2299" ht="12.75" x14ac:dyDescent="0.2"/>
    <row r="2300" ht="12.75" x14ac:dyDescent="0.2"/>
    <row r="2301" ht="12.75" x14ac:dyDescent="0.2"/>
    <row r="2302" ht="12.75" x14ac:dyDescent="0.2"/>
    <row r="2303" ht="12.75" x14ac:dyDescent="0.2"/>
    <row r="2304" ht="12.75" x14ac:dyDescent="0.2"/>
    <row r="2305" ht="12.75" x14ac:dyDescent="0.2"/>
    <row r="2306" ht="12.75" x14ac:dyDescent="0.2"/>
    <row r="2307" ht="12.75" x14ac:dyDescent="0.2"/>
    <row r="2308" ht="12.75" x14ac:dyDescent="0.2"/>
    <row r="2309" ht="12.75" x14ac:dyDescent="0.2"/>
    <row r="2310" ht="12.75" x14ac:dyDescent="0.2"/>
    <row r="2311" ht="12.75" x14ac:dyDescent="0.2"/>
    <row r="2312" ht="12.75" x14ac:dyDescent="0.2"/>
    <row r="2313" ht="12.75" x14ac:dyDescent="0.2"/>
    <row r="2314" ht="12.75" x14ac:dyDescent="0.2"/>
    <row r="2315" ht="12.75" x14ac:dyDescent="0.2"/>
    <row r="2316" ht="12.75" x14ac:dyDescent="0.2"/>
    <row r="2317" ht="12.75" x14ac:dyDescent="0.2"/>
    <row r="2318" ht="12.75" x14ac:dyDescent="0.2"/>
    <row r="2319" ht="12.75" x14ac:dyDescent="0.2"/>
    <row r="2320" ht="12.75" x14ac:dyDescent="0.2"/>
    <row r="2321" ht="12.75" x14ac:dyDescent="0.2"/>
    <row r="2322" ht="12.75" x14ac:dyDescent="0.2"/>
    <row r="2323" ht="12.75" x14ac:dyDescent="0.2"/>
    <row r="2324" ht="12.75" x14ac:dyDescent="0.2"/>
    <row r="2325" ht="12.75" x14ac:dyDescent="0.2"/>
    <row r="2326" ht="12.75" x14ac:dyDescent="0.2"/>
    <row r="2327" ht="12.75" x14ac:dyDescent="0.2"/>
    <row r="2328" ht="12.75" x14ac:dyDescent="0.2"/>
    <row r="2329" ht="12.75" x14ac:dyDescent="0.2"/>
    <row r="2330" ht="12.75" x14ac:dyDescent="0.2"/>
    <row r="2331" ht="12.75" x14ac:dyDescent="0.2"/>
    <row r="2332" ht="12.75" x14ac:dyDescent="0.2"/>
    <row r="2333" ht="12.75" x14ac:dyDescent="0.2"/>
    <row r="2334" ht="12.75" x14ac:dyDescent="0.2"/>
    <row r="2335" ht="12.75" x14ac:dyDescent="0.2"/>
    <row r="2336" ht="12.75" x14ac:dyDescent="0.2"/>
    <row r="2337" ht="12.75" x14ac:dyDescent="0.2"/>
    <row r="2338" ht="12.75" x14ac:dyDescent="0.2"/>
    <row r="2339" ht="12.75" x14ac:dyDescent="0.2"/>
    <row r="2340" ht="12.75" x14ac:dyDescent="0.2"/>
    <row r="2341" ht="12.75" x14ac:dyDescent="0.2"/>
    <row r="2342" ht="12.75" x14ac:dyDescent="0.2"/>
    <row r="2343" ht="12.75" x14ac:dyDescent="0.2"/>
    <row r="2344" ht="12.75" x14ac:dyDescent="0.2"/>
    <row r="2345" ht="12.75" x14ac:dyDescent="0.2"/>
    <row r="2346" ht="12.75" x14ac:dyDescent="0.2"/>
    <row r="2347" ht="12.75" x14ac:dyDescent="0.2"/>
    <row r="2348" ht="12.75" x14ac:dyDescent="0.2"/>
    <row r="2349" ht="12.75" x14ac:dyDescent="0.2"/>
    <row r="2350" ht="12.75" x14ac:dyDescent="0.2"/>
    <row r="2351" ht="12.75" x14ac:dyDescent="0.2"/>
    <row r="2352" ht="12.75" x14ac:dyDescent="0.2"/>
    <row r="2353" ht="12.75" x14ac:dyDescent="0.2"/>
    <row r="2354" ht="12.75" x14ac:dyDescent="0.2"/>
    <row r="2355" ht="12.75" x14ac:dyDescent="0.2"/>
    <row r="2356" ht="12.75" x14ac:dyDescent="0.2"/>
    <row r="2357" ht="12.75" x14ac:dyDescent="0.2"/>
    <row r="2358" ht="12.75" x14ac:dyDescent="0.2"/>
    <row r="2359" ht="12.75" x14ac:dyDescent="0.2"/>
    <row r="2360" ht="12.75" x14ac:dyDescent="0.2"/>
    <row r="2361" ht="12.75" x14ac:dyDescent="0.2"/>
    <row r="2362" ht="12.75" x14ac:dyDescent="0.2"/>
    <row r="2363" ht="12.75" x14ac:dyDescent="0.2"/>
    <row r="2364" ht="12.75" x14ac:dyDescent="0.2"/>
    <row r="2365" ht="12.75" x14ac:dyDescent="0.2"/>
    <row r="2366" ht="12.75" x14ac:dyDescent="0.2"/>
    <row r="2367" ht="12.75" x14ac:dyDescent="0.2"/>
    <row r="2368" ht="12.75" x14ac:dyDescent="0.2"/>
    <row r="2369" ht="12.75" x14ac:dyDescent="0.2"/>
    <row r="2370" ht="12.75" x14ac:dyDescent="0.2"/>
    <row r="2371" ht="12.75" x14ac:dyDescent="0.2"/>
    <row r="2372" ht="12.75" x14ac:dyDescent="0.2"/>
    <row r="2373" ht="12.75" x14ac:dyDescent="0.2"/>
    <row r="2374" ht="12.75" x14ac:dyDescent="0.2"/>
    <row r="2375" ht="12.75" x14ac:dyDescent="0.2"/>
    <row r="2376" ht="12.75" x14ac:dyDescent="0.2"/>
    <row r="2377" ht="12.75" x14ac:dyDescent="0.2"/>
    <row r="2378" ht="12.75" x14ac:dyDescent="0.2"/>
    <row r="2379" ht="12.75" x14ac:dyDescent="0.2"/>
    <row r="2380" ht="12.75" x14ac:dyDescent="0.2"/>
    <row r="2381" ht="12.75" x14ac:dyDescent="0.2"/>
    <row r="2382" ht="12.75" x14ac:dyDescent="0.2"/>
    <row r="2383" ht="12.75" x14ac:dyDescent="0.2"/>
    <row r="2384" ht="12.75" x14ac:dyDescent="0.2"/>
    <row r="2385" ht="12.75" x14ac:dyDescent="0.2"/>
    <row r="2386" ht="12.75" x14ac:dyDescent="0.2"/>
    <row r="2387" ht="12.75" x14ac:dyDescent="0.2"/>
    <row r="2388" ht="12.75" x14ac:dyDescent="0.2"/>
    <row r="2389" ht="12.75" x14ac:dyDescent="0.2"/>
    <row r="2390" ht="12.75" x14ac:dyDescent="0.2"/>
    <row r="2391" ht="12.75" x14ac:dyDescent="0.2"/>
    <row r="2392" ht="12.75" x14ac:dyDescent="0.2"/>
    <row r="2393" ht="12.75" x14ac:dyDescent="0.2"/>
    <row r="2394" ht="12.75" x14ac:dyDescent="0.2"/>
    <row r="2395" ht="12.75" x14ac:dyDescent="0.2"/>
    <row r="2396" ht="12.75" x14ac:dyDescent="0.2"/>
    <row r="2397" ht="12.75" x14ac:dyDescent="0.2"/>
    <row r="2398" ht="12.75" x14ac:dyDescent="0.2"/>
    <row r="2399" ht="12.75" x14ac:dyDescent="0.2"/>
    <row r="2400" ht="12.75" x14ac:dyDescent="0.2"/>
    <row r="2401" ht="12.75" x14ac:dyDescent="0.2"/>
    <row r="2402" ht="12.75" x14ac:dyDescent="0.2"/>
    <row r="2403" ht="12.75" x14ac:dyDescent="0.2"/>
    <row r="2404" ht="12.75" x14ac:dyDescent="0.2"/>
    <row r="2405" ht="12.75" x14ac:dyDescent="0.2"/>
    <row r="2406" ht="12.75" x14ac:dyDescent="0.2"/>
    <row r="2407" ht="12.75" x14ac:dyDescent="0.2"/>
    <row r="2408" ht="12.75" x14ac:dyDescent="0.2"/>
    <row r="2409" ht="12.75" x14ac:dyDescent="0.2"/>
    <row r="2410" ht="12.75" x14ac:dyDescent="0.2"/>
    <row r="2411" ht="12.75" x14ac:dyDescent="0.2"/>
    <row r="2412" ht="12.75" x14ac:dyDescent="0.2"/>
    <row r="2413" ht="12.75" x14ac:dyDescent="0.2"/>
    <row r="2414" ht="12.75" x14ac:dyDescent="0.2"/>
    <row r="2415" ht="12.75" x14ac:dyDescent="0.2"/>
    <row r="2416" ht="12.75" x14ac:dyDescent="0.2"/>
    <row r="2417" ht="12.75" x14ac:dyDescent="0.2"/>
    <row r="2418" ht="12.75" x14ac:dyDescent="0.2"/>
    <row r="2419" ht="12.75" x14ac:dyDescent="0.2"/>
    <row r="2420" ht="12.75" x14ac:dyDescent="0.2"/>
    <row r="2421" ht="12.75" x14ac:dyDescent="0.2"/>
    <row r="2422" ht="12.75" x14ac:dyDescent="0.2"/>
    <row r="2423" ht="12.75" x14ac:dyDescent="0.2"/>
    <row r="2424" ht="12.75" x14ac:dyDescent="0.2"/>
    <row r="2425" ht="12.75" x14ac:dyDescent="0.2"/>
    <row r="2426" ht="12.75" x14ac:dyDescent="0.2"/>
    <row r="2427" ht="12.75" x14ac:dyDescent="0.2"/>
    <row r="2428" ht="12.75" x14ac:dyDescent="0.2"/>
    <row r="2429" ht="12.75" x14ac:dyDescent="0.2"/>
    <row r="2430" ht="12.75" x14ac:dyDescent="0.2"/>
    <row r="2431" ht="12.75" x14ac:dyDescent="0.2"/>
    <row r="2432" ht="12.75" x14ac:dyDescent="0.2"/>
    <row r="2433" ht="12.75" x14ac:dyDescent="0.2"/>
    <row r="2434" ht="12.75" x14ac:dyDescent="0.2"/>
    <row r="2435" ht="12.75" x14ac:dyDescent="0.2"/>
    <row r="2436" ht="12.75" x14ac:dyDescent="0.2"/>
    <row r="2437" ht="12.75" x14ac:dyDescent="0.2"/>
    <row r="2438" ht="12.75" x14ac:dyDescent="0.2"/>
    <row r="2439" ht="12.75" x14ac:dyDescent="0.2"/>
    <row r="2440" ht="12.75" x14ac:dyDescent="0.2"/>
    <row r="2441" ht="12.75" x14ac:dyDescent="0.2"/>
    <row r="2442" ht="12.75" x14ac:dyDescent="0.2"/>
    <row r="2443" ht="12.75" x14ac:dyDescent="0.2"/>
    <row r="2444" ht="12.75" x14ac:dyDescent="0.2"/>
    <row r="2445" ht="12.75" x14ac:dyDescent="0.2"/>
    <row r="2446" ht="12.75" x14ac:dyDescent="0.2"/>
    <row r="2447" ht="12.75" x14ac:dyDescent="0.2"/>
    <row r="2448" ht="12.75" x14ac:dyDescent="0.2"/>
    <row r="2449" ht="12.75" x14ac:dyDescent="0.2"/>
    <row r="2450" ht="12.75" x14ac:dyDescent="0.2"/>
    <row r="2451" ht="12.75" x14ac:dyDescent="0.2"/>
    <row r="2452" ht="12.75" x14ac:dyDescent="0.2"/>
    <row r="2453" ht="12.75" x14ac:dyDescent="0.2"/>
    <row r="2454" ht="12.75" x14ac:dyDescent="0.2"/>
    <row r="2455" ht="12.75" x14ac:dyDescent="0.2"/>
    <row r="2456" ht="12.75" x14ac:dyDescent="0.2"/>
    <row r="2457" ht="12.75" x14ac:dyDescent="0.2"/>
    <row r="2458" ht="12.75" x14ac:dyDescent="0.2"/>
    <row r="2459" ht="12.75" x14ac:dyDescent="0.2"/>
    <row r="2460" ht="12.75" x14ac:dyDescent="0.2"/>
    <row r="2461" ht="12.75" x14ac:dyDescent="0.2"/>
    <row r="2462" ht="12.75" x14ac:dyDescent="0.2"/>
    <row r="2463" ht="12.75" x14ac:dyDescent="0.2"/>
    <row r="2464" ht="12.75" x14ac:dyDescent="0.2"/>
    <row r="2465" ht="12.75" x14ac:dyDescent="0.2"/>
    <row r="2466" ht="12.75" x14ac:dyDescent="0.2"/>
    <row r="2467" ht="12.75" x14ac:dyDescent="0.2"/>
    <row r="2468" ht="12.75" x14ac:dyDescent="0.2"/>
    <row r="2469" ht="12.75" x14ac:dyDescent="0.2"/>
    <row r="2470" ht="12.75" x14ac:dyDescent="0.2"/>
    <row r="2471" ht="12.75" x14ac:dyDescent="0.2"/>
    <row r="2472" ht="12.75" x14ac:dyDescent="0.2"/>
    <row r="2473" ht="12.75" x14ac:dyDescent="0.2"/>
    <row r="2474" ht="12.75" x14ac:dyDescent="0.2"/>
    <row r="2475" ht="12.75" x14ac:dyDescent="0.2"/>
    <row r="2476" ht="12.75" x14ac:dyDescent="0.2"/>
    <row r="2477" ht="12.75" x14ac:dyDescent="0.2"/>
    <row r="2478" ht="12.75" x14ac:dyDescent="0.2"/>
    <row r="2479" ht="12.75" x14ac:dyDescent="0.2"/>
    <row r="2480" ht="12.75" x14ac:dyDescent="0.2"/>
    <row r="2481" ht="12.75" x14ac:dyDescent="0.2"/>
    <row r="2482" ht="12.75" x14ac:dyDescent="0.2"/>
    <row r="2483" ht="12.75" x14ac:dyDescent="0.2"/>
    <row r="2484" ht="12.75" x14ac:dyDescent="0.2"/>
    <row r="2485" ht="12.75" x14ac:dyDescent="0.2"/>
    <row r="2486" ht="12.75" x14ac:dyDescent="0.2"/>
    <row r="2487" ht="12.75" x14ac:dyDescent="0.2"/>
    <row r="2488" ht="12.75" x14ac:dyDescent="0.2"/>
    <row r="2489" ht="12.75" x14ac:dyDescent="0.2"/>
    <row r="2490" ht="12.75" x14ac:dyDescent="0.2"/>
    <row r="2491" ht="12.75" x14ac:dyDescent="0.2"/>
    <row r="2492" ht="12.75" x14ac:dyDescent="0.2"/>
    <row r="2493" ht="12.75" x14ac:dyDescent="0.2"/>
    <row r="2494" ht="12.75" x14ac:dyDescent="0.2"/>
    <row r="2495" ht="12.75" x14ac:dyDescent="0.2"/>
    <row r="2496" ht="12.75" x14ac:dyDescent="0.2"/>
    <row r="2497" ht="12.75" x14ac:dyDescent="0.2"/>
    <row r="2498" ht="12.75" x14ac:dyDescent="0.2"/>
    <row r="2499" ht="12.75" x14ac:dyDescent="0.2"/>
    <row r="2500" ht="12.75" x14ac:dyDescent="0.2"/>
    <row r="2501" ht="12.75" x14ac:dyDescent="0.2"/>
    <row r="2502" ht="12.75" x14ac:dyDescent="0.2"/>
    <row r="2503" ht="12.75" x14ac:dyDescent="0.2"/>
    <row r="2504" ht="12.75" x14ac:dyDescent="0.2"/>
    <row r="2505" ht="12.75" x14ac:dyDescent="0.2"/>
    <row r="2506" ht="12.75" x14ac:dyDescent="0.2"/>
    <row r="2507" ht="12.75" x14ac:dyDescent="0.2"/>
    <row r="2508" ht="12.75" x14ac:dyDescent="0.2"/>
    <row r="2509" ht="12.75" x14ac:dyDescent="0.2"/>
    <row r="2510" ht="12.75" x14ac:dyDescent="0.2"/>
    <row r="2511" ht="12.75" x14ac:dyDescent="0.2"/>
    <row r="2512" ht="12.75" x14ac:dyDescent="0.2"/>
    <row r="2513" ht="12.75" x14ac:dyDescent="0.2"/>
    <row r="2514" ht="12.75" x14ac:dyDescent="0.2"/>
    <row r="2515" ht="12.75" x14ac:dyDescent="0.2"/>
    <row r="2516" ht="12.75" x14ac:dyDescent="0.2"/>
    <row r="2517" ht="12.75" x14ac:dyDescent="0.2"/>
    <row r="2518" ht="12.75" x14ac:dyDescent="0.2"/>
    <row r="2519" ht="12.75" x14ac:dyDescent="0.2"/>
    <row r="2520" ht="12.75" x14ac:dyDescent="0.2"/>
    <row r="2521" ht="12.75" x14ac:dyDescent="0.2"/>
    <row r="2522" ht="12.75" x14ac:dyDescent="0.2"/>
    <row r="2523" ht="12.75" x14ac:dyDescent="0.2"/>
    <row r="2524" ht="12.75" x14ac:dyDescent="0.2"/>
    <row r="2525" ht="12.75" x14ac:dyDescent="0.2"/>
    <row r="2526" ht="12.75" x14ac:dyDescent="0.2"/>
    <row r="2527" ht="12.75" x14ac:dyDescent="0.2"/>
    <row r="2528" ht="12.75" x14ac:dyDescent="0.2"/>
    <row r="2529" ht="12.75" x14ac:dyDescent="0.2"/>
    <row r="2530" ht="12.75" x14ac:dyDescent="0.2"/>
    <row r="2531" ht="12.75" x14ac:dyDescent="0.2"/>
    <row r="2532" ht="12.75" x14ac:dyDescent="0.2"/>
    <row r="2533" ht="12.75" x14ac:dyDescent="0.2"/>
    <row r="2534" ht="12.75" x14ac:dyDescent="0.2"/>
    <row r="2535" ht="12.75" x14ac:dyDescent="0.2"/>
    <row r="2536" ht="12.75" x14ac:dyDescent="0.2"/>
    <row r="2537" ht="12.75" x14ac:dyDescent="0.2"/>
    <row r="2538" ht="12.75" x14ac:dyDescent="0.2"/>
    <row r="2539" ht="12.75" x14ac:dyDescent="0.2"/>
    <row r="2540" ht="12.75" x14ac:dyDescent="0.2"/>
    <row r="2541" ht="12.75" x14ac:dyDescent="0.2"/>
    <row r="2542" ht="12.75" x14ac:dyDescent="0.2"/>
    <row r="2543" ht="12.75" x14ac:dyDescent="0.2"/>
    <row r="2544" ht="12.75" x14ac:dyDescent="0.2"/>
    <row r="2545" ht="12.75" x14ac:dyDescent="0.2"/>
    <row r="2546" ht="12.75" x14ac:dyDescent="0.2"/>
    <row r="2547" ht="12.75" x14ac:dyDescent="0.2"/>
    <row r="2548" ht="12.75" x14ac:dyDescent="0.2"/>
    <row r="2549" ht="12.75" x14ac:dyDescent="0.2"/>
    <row r="2550" ht="12.75" x14ac:dyDescent="0.2"/>
    <row r="2551" ht="12.75" x14ac:dyDescent="0.2"/>
    <row r="2552" ht="12.75" x14ac:dyDescent="0.2"/>
    <row r="2553" ht="12.75" x14ac:dyDescent="0.2"/>
    <row r="2554" ht="12.75" x14ac:dyDescent="0.2"/>
    <row r="2555" ht="12.75" x14ac:dyDescent="0.2"/>
    <row r="2556" ht="12.75" x14ac:dyDescent="0.2"/>
    <row r="2557" ht="12.75" x14ac:dyDescent="0.2"/>
    <row r="2558" ht="12.75" x14ac:dyDescent="0.2"/>
    <row r="2559" ht="12.75" x14ac:dyDescent="0.2"/>
    <row r="2560" ht="12.75" x14ac:dyDescent="0.2"/>
    <row r="2561" ht="12.75" x14ac:dyDescent="0.2"/>
    <row r="2562" ht="12.75" x14ac:dyDescent="0.2"/>
    <row r="2563" ht="12.75" x14ac:dyDescent="0.2"/>
    <row r="2564" ht="12.75" x14ac:dyDescent="0.2"/>
    <row r="2565" ht="12.75" x14ac:dyDescent="0.2"/>
    <row r="2566" ht="12.75" x14ac:dyDescent="0.2"/>
    <row r="2567" ht="12.75" x14ac:dyDescent="0.2"/>
    <row r="2568" ht="12.75" x14ac:dyDescent="0.2"/>
    <row r="2569" ht="12.75" x14ac:dyDescent="0.2"/>
    <row r="2570" ht="12.75" x14ac:dyDescent="0.2"/>
    <row r="2571" ht="12.75" x14ac:dyDescent="0.2"/>
    <row r="2572" ht="12.75" x14ac:dyDescent="0.2"/>
    <row r="2573" ht="12.75" x14ac:dyDescent="0.2"/>
    <row r="2574" ht="12.75" x14ac:dyDescent="0.2"/>
    <row r="2575" ht="12.75" x14ac:dyDescent="0.2"/>
    <row r="2576" ht="12.75" x14ac:dyDescent="0.2"/>
    <row r="2577" ht="12.75" x14ac:dyDescent="0.2"/>
    <row r="2578" ht="12.75" x14ac:dyDescent="0.2"/>
    <row r="2579" ht="12.75" x14ac:dyDescent="0.2"/>
    <row r="2580" ht="12.75" x14ac:dyDescent="0.2"/>
    <row r="2581" ht="12.75" x14ac:dyDescent="0.2"/>
    <row r="2582" ht="12.75" x14ac:dyDescent="0.2"/>
    <row r="2583" ht="12.75" x14ac:dyDescent="0.2"/>
    <row r="2584" ht="12.75" x14ac:dyDescent="0.2"/>
    <row r="2585" ht="12.75" x14ac:dyDescent="0.2"/>
    <row r="2586" ht="12.75" x14ac:dyDescent="0.2"/>
    <row r="2587" ht="12.75" x14ac:dyDescent="0.2"/>
    <row r="2588" ht="12.75" x14ac:dyDescent="0.2"/>
    <row r="2589" ht="12.75" x14ac:dyDescent="0.2"/>
    <row r="2590" ht="12.75" x14ac:dyDescent="0.2"/>
    <row r="2591" ht="12.75" x14ac:dyDescent="0.2"/>
    <row r="2592" ht="12.75" x14ac:dyDescent="0.2"/>
    <row r="2593" ht="12.75" x14ac:dyDescent="0.2"/>
    <row r="2594" ht="12.75" x14ac:dyDescent="0.2"/>
    <row r="2595" ht="12.75" x14ac:dyDescent="0.2"/>
    <row r="2596" ht="12.75" x14ac:dyDescent="0.2"/>
    <row r="2597" ht="12.75" x14ac:dyDescent="0.2"/>
    <row r="2598" ht="12.75" x14ac:dyDescent="0.2"/>
    <row r="2599" ht="12.75" x14ac:dyDescent="0.2"/>
    <row r="2600" ht="12.75" x14ac:dyDescent="0.2"/>
    <row r="2601" ht="12.75" x14ac:dyDescent="0.2"/>
    <row r="2602" ht="12.75" x14ac:dyDescent="0.2"/>
    <row r="2603" ht="12.75" x14ac:dyDescent="0.2"/>
    <row r="2604" ht="12.75" x14ac:dyDescent="0.2"/>
    <row r="2605" ht="12.75" x14ac:dyDescent="0.2"/>
    <row r="2606" ht="12.75" x14ac:dyDescent="0.2"/>
    <row r="2607" ht="12.75" x14ac:dyDescent="0.2"/>
    <row r="2608" ht="12.75" x14ac:dyDescent="0.2"/>
    <row r="2609" ht="12.75" x14ac:dyDescent="0.2"/>
    <row r="2610" ht="12.75" x14ac:dyDescent="0.2"/>
    <row r="2611" ht="12.75" x14ac:dyDescent="0.2"/>
    <row r="2612" ht="12.75" x14ac:dyDescent="0.2"/>
    <row r="2613" ht="12.75" x14ac:dyDescent="0.2"/>
    <row r="2614" ht="12.75" x14ac:dyDescent="0.2"/>
    <row r="2615" ht="12.75" x14ac:dyDescent="0.2"/>
    <row r="2616" ht="12.75" x14ac:dyDescent="0.2"/>
    <row r="2617" ht="12.75" x14ac:dyDescent="0.2"/>
    <row r="2618" ht="12.75" x14ac:dyDescent="0.2"/>
    <row r="2619" ht="12.75" x14ac:dyDescent="0.2"/>
    <row r="2620" ht="12.75" x14ac:dyDescent="0.2"/>
    <row r="2621" ht="12.75" x14ac:dyDescent="0.2"/>
    <row r="2622" ht="12.75" x14ac:dyDescent="0.2"/>
    <row r="2623" ht="12.75" x14ac:dyDescent="0.2"/>
    <row r="2624" ht="12.75" x14ac:dyDescent="0.2"/>
    <row r="2625" ht="12.75" x14ac:dyDescent="0.2"/>
    <row r="2626" ht="12.75" x14ac:dyDescent="0.2"/>
    <row r="2627" ht="12.75" x14ac:dyDescent="0.2"/>
    <row r="2628" ht="12.75" x14ac:dyDescent="0.2"/>
    <row r="2629" ht="12.75" x14ac:dyDescent="0.2"/>
    <row r="2630" ht="12.75" x14ac:dyDescent="0.2"/>
    <row r="2631" ht="12.75" x14ac:dyDescent="0.2"/>
    <row r="2632" ht="12.75" x14ac:dyDescent="0.2"/>
    <row r="2633" ht="12.75" x14ac:dyDescent="0.2"/>
    <row r="2634" ht="12.75" x14ac:dyDescent="0.2"/>
    <row r="2635" ht="12.75" x14ac:dyDescent="0.2"/>
    <row r="2636" ht="12.75" x14ac:dyDescent="0.2"/>
    <row r="2637" ht="12.75" x14ac:dyDescent="0.2"/>
    <row r="2638" ht="12.75" x14ac:dyDescent="0.2"/>
    <row r="2639" ht="12.75" x14ac:dyDescent="0.2"/>
    <row r="2640" ht="12.75" x14ac:dyDescent="0.2"/>
    <row r="2641" ht="12.75" x14ac:dyDescent="0.2"/>
    <row r="2642" ht="12.75" x14ac:dyDescent="0.2"/>
    <row r="2643" ht="12.75" x14ac:dyDescent="0.2"/>
    <row r="2644" ht="12.75" x14ac:dyDescent="0.2"/>
    <row r="2645" ht="12.75" x14ac:dyDescent="0.2"/>
    <row r="2646" ht="12.75" x14ac:dyDescent="0.2"/>
    <row r="2647" ht="12.75" x14ac:dyDescent="0.2"/>
    <row r="2648" ht="12.75" x14ac:dyDescent="0.2"/>
    <row r="2649" ht="12.75" x14ac:dyDescent="0.2"/>
    <row r="2650" ht="12.75" x14ac:dyDescent="0.2"/>
    <row r="2651" ht="12.75" x14ac:dyDescent="0.2"/>
    <row r="2652" ht="12.75" x14ac:dyDescent="0.2"/>
    <row r="2653" ht="12.75" x14ac:dyDescent="0.2"/>
    <row r="2654" ht="12.75" x14ac:dyDescent="0.2"/>
    <row r="2655" ht="12.75" x14ac:dyDescent="0.2"/>
    <row r="2656" ht="12.75" x14ac:dyDescent="0.2"/>
    <row r="2657" ht="12.75" x14ac:dyDescent="0.2"/>
    <row r="2658" ht="12.75" x14ac:dyDescent="0.2"/>
    <row r="2659" ht="12.75" x14ac:dyDescent="0.2"/>
    <row r="2660" ht="12.75" x14ac:dyDescent="0.2"/>
    <row r="2661" ht="12.75" x14ac:dyDescent="0.2"/>
    <row r="2662" ht="12.75" x14ac:dyDescent="0.2"/>
    <row r="2663" ht="12.75" x14ac:dyDescent="0.2"/>
    <row r="2664" ht="12.75" x14ac:dyDescent="0.2"/>
    <row r="2665" ht="12.75" x14ac:dyDescent="0.2"/>
    <row r="2666" ht="12.75" x14ac:dyDescent="0.2"/>
    <row r="2667" ht="12.75" x14ac:dyDescent="0.2"/>
    <row r="2668" ht="12.75" x14ac:dyDescent="0.2"/>
    <row r="2669" ht="12.75" x14ac:dyDescent="0.2"/>
    <row r="2670" ht="12.75" x14ac:dyDescent="0.2"/>
    <row r="2671" ht="12.75" x14ac:dyDescent="0.2"/>
    <row r="2672" ht="12.75" x14ac:dyDescent="0.2"/>
    <row r="2673" ht="12.75" x14ac:dyDescent="0.2"/>
    <row r="2674" ht="12.75" x14ac:dyDescent="0.2"/>
    <row r="2675" ht="12.75" x14ac:dyDescent="0.2"/>
    <row r="2676" ht="12.75" x14ac:dyDescent="0.2"/>
    <row r="2677" ht="12.75" x14ac:dyDescent="0.2"/>
    <row r="2678" ht="12.75" x14ac:dyDescent="0.2"/>
    <row r="2679" ht="12.75" x14ac:dyDescent="0.2"/>
    <row r="2680" ht="12.75" x14ac:dyDescent="0.2"/>
    <row r="2681" ht="12.75" x14ac:dyDescent="0.2"/>
    <row r="2682" ht="12.75" x14ac:dyDescent="0.2"/>
    <row r="2683" ht="12.75" x14ac:dyDescent="0.2"/>
    <row r="2684" ht="12.75" x14ac:dyDescent="0.2"/>
    <row r="2685" ht="12.75" x14ac:dyDescent="0.2"/>
    <row r="2686" ht="12.75" x14ac:dyDescent="0.2"/>
    <row r="2687" ht="12.75" x14ac:dyDescent="0.2"/>
    <row r="2688" ht="12.75" x14ac:dyDescent="0.2"/>
    <row r="2689" ht="12.75" x14ac:dyDescent="0.2"/>
    <row r="2690" ht="12.75" x14ac:dyDescent="0.2"/>
    <row r="2691" ht="12.75" x14ac:dyDescent="0.2"/>
    <row r="2692" ht="12.75" x14ac:dyDescent="0.2"/>
    <row r="2693" ht="12.75" x14ac:dyDescent="0.2"/>
    <row r="2694" ht="12.75" x14ac:dyDescent="0.2"/>
    <row r="2695" ht="12.75" x14ac:dyDescent="0.2"/>
    <row r="2696" ht="12.75" x14ac:dyDescent="0.2"/>
    <row r="2697" ht="12.75" x14ac:dyDescent="0.2"/>
    <row r="2698" ht="12.75" x14ac:dyDescent="0.2"/>
    <row r="2699" ht="12.75" x14ac:dyDescent="0.2"/>
    <row r="2700" ht="12.75" x14ac:dyDescent="0.2"/>
    <row r="2701" ht="12.75" x14ac:dyDescent="0.2"/>
    <row r="2702" ht="12.75" x14ac:dyDescent="0.2"/>
    <row r="2703" ht="12.75" x14ac:dyDescent="0.2"/>
    <row r="2704" ht="12.75" x14ac:dyDescent="0.2"/>
    <row r="2705" ht="12.75" x14ac:dyDescent="0.2"/>
    <row r="2706" ht="12.75" x14ac:dyDescent="0.2"/>
    <row r="2707" ht="12.75" x14ac:dyDescent="0.2"/>
    <row r="2708" ht="12.75" x14ac:dyDescent="0.2"/>
    <row r="2709" ht="12.75" x14ac:dyDescent="0.2"/>
    <row r="2710" ht="12.75" x14ac:dyDescent="0.2"/>
    <row r="2711" ht="12.75" x14ac:dyDescent="0.2"/>
    <row r="2712" ht="12.75" x14ac:dyDescent="0.2"/>
    <row r="2713" ht="12.75" x14ac:dyDescent="0.2"/>
    <row r="2714" ht="12.75" x14ac:dyDescent="0.2"/>
    <row r="2715" ht="12.75" x14ac:dyDescent="0.2"/>
    <row r="2716" ht="12.75" x14ac:dyDescent="0.2"/>
    <row r="2717" ht="12.75" x14ac:dyDescent="0.2"/>
    <row r="2718" ht="12.75" x14ac:dyDescent="0.2"/>
    <row r="2719" ht="12.75" x14ac:dyDescent="0.2"/>
    <row r="2720" ht="12.75" x14ac:dyDescent="0.2"/>
    <row r="2721" ht="12.75" x14ac:dyDescent="0.2"/>
    <row r="2722" ht="12.75" x14ac:dyDescent="0.2"/>
    <row r="2723" ht="12.75" x14ac:dyDescent="0.2"/>
    <row r="2724" ht="12.75" x14ac:dyDescent="0.2"/>
    <row r="2725" ht="12.75" x14ac:dyDescent="0.2"/>
    <row r="2726" ht="12.75" x14ac:dyDescent="0.2"/>
    <row r="2727" ht="12.75" x14ac:dyDescent="0.2"/>
    <row r="2728" ht="12.75" x14ac:dyDescent="0.2"/>
    <row r="2729" ht="12.75" x14ac:dyDescent="0.2"/>
    <row r="2730" ht="12.75" x14ac:dyDescent="0.2"/>
    <row r="2731" ht="12.75" x14ac:dyDescent="0.2"/>
    <row r="2732" ht="12.75" x14ac:dyDescent="0.2"/>
    <row r="2733" ht="12.75" x14ac:dyDescent="0.2"/>
    <row r="2734" ht="12.75" x14ac:dyDescent="0.2"/>
    <row r="2735" ht="12.75" x14ac:dyDescent="0.2"/>
    <row r="2736" ht="12.75" x14ac:dyDescent="0.2"/>
    <row r="2737" ht="12.75" x14ac:dyDescent="0.2"/>
    <row r="2738" ht="12.75" x14ac:dyDescent="0.2"/>
    <row r="2739" ht="12.75" x14ac:dyDescent="0.2"/>
    <row r="2740" ht="12.75" x14ac:dyDescent="0.2"/>
    <row r="2741" ht="12.75" x14ac:dyDescent="0.2"/>
    <row r="2742" ht="12.75" x14ac:dyDescent="0.2"/>
    <row r="2743" ht="12.75" x14ac:dyDescent="0.2"/>
    <row r="2744" ht="12.75" x14ac:dyDescent="0.2"/>
    <row r="2745" ht="12.75" x14ac:dyDescent="0.2"/>
    <row r="2746" ht="12.75" x14ac:dyDescent="0.2"/>
    <row r="2747" ht="12.75" x14ac:dyDescent="0.2"/>
    <row r="2748" ht="12.75" x14ac:dyDescent="0.2"/>
    <row r="2749" ht="12.75" x14ac:dyDescent="0.2"/>
    <row r="2750" ht="12.75" x14ac:dyDescent="0.2"/>
    <row r="2751" ht="12.75" x14ac:dyDescent="0.2"/>
    <row r="2752" ht="12.75" x14ac:dyDescent="0.2"/>
    <row r="2753" ht="12.75" x14ac:dyDescent="0.2"/>
    <row r="2754" ht="12.75" x14ac:dyDescent="0.2"/>
    <row r="2755" ht="12.75" x14ac:dyDescent="0.2"/>
    <row r="2756" ht="12.75" x14ac:dyDescent="0.2"/>
    <row r="2757" ht="12.75" x14ac:dyDescent="0.2"/>
    <row r="2758" ht="12.75" x14ac:dyDescent="0.2"/>
    <row r="2759" ht="12.75" x14ac:dyDescent="0.2"/>
    <row r="2760" ht="12.75" x14ac:dyDescent="0.2"/>
    <row r="2761" ht="12.75" x14ac:dyDescent="0.2"/>
    <row r="2762" ht="12.75" x14ac:dyDescent="0.2"/>
    <row r="2763" ht="12.75" x14ac:dyDescent="0.2"/>
    <row r="2764" ht="12.75" x14ac:dyDescent="0.2"/>
    <row r="2765" ht="12.75" x14ac:dyDescent="0.2"/>
    <row r="2766" ht="12.75" x14ac:dyDescent="0.2"/>
    <row r="2767" ht="12.75" x14ac:dyDescent="0.2"/>
    <row r="2768" ht="12.75" x14ac:dyDescent="0.2"/>
    <row r="2769" ht="12.75" x14ac:dyDescent="0.2"/>
    <row r="2770" ht="12.75" x14ac:dyDescent="0.2"/>
    <row r="2771" ht="12.75" x14ac:dyDescent="0.2"/>
    <row r="2772" ht="12.75" x14ac:dyDescent="0.2"/>
    <row r="2773" ht="12.75" x14ac:dyDescent="0.2"/>
    <row r="2774" ht="12.75" x14ac:dyDescent="0.2"/>
    <row r="2775" ht="12.75" x14ac:dyDescent="0.2"/>
    <row r="2776" ht="12.75" x14ac:dyDescent="0.2"/>
    <row r="2777" ht="12.75" x14ac:dyDescent="0.2"/>
    <row r="2778" ht="12.75" x14ac:dyDescent="0.2"/>
    <row r="2779" ht="12.75" x14ac:dyDescent="0.2"/>
    <row r="2780" ht="12.75" x14ac:dyDescent="0.2"/>
    <row r="2781" ht="12.75" x14ac:dyDescent="0.2"/>
    <row r="2782" ht="12.75" x14ac:dyDescent="0.2"/>
    <row r="2783" ht="12.75" x14ac:dyDescent="0.2"/>
    <row r="2784" ht="12.75" x14ac:dyDescent="0.2"/>
    <row r="2785" ht="12.75" x14ac:dyDescent="0.2"/>
    <row r="2786" ht="12.75" x14ac:dyDescent="0.2"/>
    <row r="2787" ht="12.75" x14ac:dyDescent="0.2"/>
    <row r="2788" ht="12.75" x14ac:dyDescent="0.2"/>
    <row r="2789" ht="12.75" x14ac:dyDescent="0.2"/>
    <row r="2790" ht="12.75" x14ac:dyDescent="0.2"/>
    <row r="2791" ht="12.75" x14ac:dyDescent="0.2"/>
    <row r="2792" ht="12.75" x14ac:dyDescent="0.2"/>
    <row r="2793" ht="12.75" x14ac:dyDescent="0.2"/>
    <row r="2794" ht="12.75" x14ac:dyDescent="0.2"/>
    <row r="2795" ht="12.75" x14ac:dyDescent="0.2"/>
    <row r="2796" ht="12.75" x14ac:dyDescent="0.2"/>
    <row r="2797" ht="12.75" x14ac:dyDescent="0.2"/>
    <row r="2798" ht="12.75" x14ac:dyDescent="0.2"/>
    <row r="2799" ht="12.75" x14ac:dyDescent="0.2"/>
    <row r="2800" ht="12.75" x14ac:dyDescent="0.2"/>
    <row r="2801" ht="12.75" x14ac:dyDescent="0.2"/>
    <row r="2802" ht="12.75" x14ac:dyDescent="0.2"/>
    <row r="2803" ht="12.75" x14ac:dyDescent="0.2"/>
    <row r="2804" ht="12.75" x14ac:dyDescent="0.2"/>
    <row r="2805" ht="12.75" x14ac:dyDescent="0.2"/>
    <row r="2806" ht="12.75" x14ac:dyDescent="0.2"/>
    <row r="2807" ht="12.75" x14ac:dyDescent="0.2"/>
    <row r="2808" ht="12.75" x14ac:dyDescent="0.2"/>
    <row r="2809" ht="12.75" x14ac:dyDescent="0.2"/>
    <row r="2810" ht="12.75" x14ac:dyDescent="0.2"/>
    <row r="2811" ht="12.75" x14ac:dyDescent="0.2"/>
    <row r="2812" ht="12.75" x14ac:dyDescent="0.2"/>
    <row r="2813" ht="12.75" x14ac:dyDescent="0.2"/>
    <row r="2814" ht="12.75" x14ac:dyDescent="0.2"/>
    <row r="2815" ht="12.75" x14ac:dyDescent="0.2"/>
    <row r="2816" ht="12.75" x14ac:dyDescent="0.2"/>
    <row r="2817" ht="12.75" x14ac:dyDescent="0.2"/>
    <row r="2818" ht="12.75" x14ac:dyDescent="0.2"/>
    <row r="2819" ht="12.75" x14ac:dyDescent="0.2"/>
    <row r="2820" ht="12.75" x14ac:dyDescent="0.2"/>
    <row r="2821" ht="12.75" x14ac:dyDescent="0.2"/>
    <row r="2822" ht="12.75" x14ac:dyDescent="0.2"/>
    <row r="2823" ht="12.75" x14ac:dyDescent="0.2"/>
    <row r="2824" ht="12.75" x14ac:dyDescent="0.2"/>
    <row r="2825" ht="12.75" x14ac:dyDescent="0.2"/>
    <row r="2826" ht="12.75" x14ac:dyDescent="0.2"/>
    <row r="2827" ht="12.75" x14ac:dyDescent="0.2"/>
    <row r="2828" ht="12.75" x14ac:dyDescent="0.2"/>
    <row r="2829" ht="12.75" x14ac:dyDescent="0.2"/>
    <row r="2830" ht="12.75" x14ac:dyDescent="0.2"/>
    <row r="2831" ht="12.75" x14ac:dyDescent="0.2"/>
    <row r="2832" ht="12.75" x14ac:dyDescent="0.2"/>
    <row r="2833" ht="12.75" x14ac:dyDescent="0.2"/>
    <row r="2834" ht="12.75" x14ac:dyDescent="0.2"/>
    <row r="2835" ht="12.75" x14ac:dyDescent="0.2"/>
    <row r="2836" ht="12.75" x14ac:dyDescent="0.2"/>
    <row r="2837" ht="12.75" x14ac:dyDescent="0.2"/>
    <row r="2838" ht="12.75" x14ac:dyDescent="0.2"/>
    <row r="2839" ht="12.75" x14ac:dyDescent="0.2"/>
    <row r="2840" ht="12.75" x14ac:dyDescent="0.2"/>
    <row r="2841" ht="12.75" x14ac:dyDescent="0.2"/>
    <row r="2842" ht="12.75" x14ac:dyDescent="0.2"/>
    <row r="2843" ht="12.75" x14ac:dyDescent="0.2"/>
    <row r="2844" ht="12.75" x14ac:dyDescent="0.2"/>
    <row r="2845" ht="12.75" x14ac:dyDescent="0.2"/>
    <row r="2846" ht="12.75" x14ac:dyDescent="0.2"/>
    <row r="2847" ht="12.75" x14ac:dyDescent="0.2"/>
    <row r="2848" ht="12.75" x14ac:dyDescent="0.2"/>
    <row r="2849" ht="12.75" x14ac:dyDescent="0.2"/>
    <row r="2850" ht="12.75" x14ac:dyDescent="0.2"/>
    <row r="2851" ht="12.75" x14ac:dyDescent="0.2"/>
    <row r="2852" ht="12.75" x14ac:dyDescent="0.2"/>
    <row r="2853" ht="12.75" x14ac:dyDescent="0.2"/>
    <row r="2854" ht="12.75" x14ac:dyDescent="0.2"/>
    <row r="2855" ht="12.75" x14ac:dyDescent="0.2"/>
    <row r="2856" ht="12.75" x14ac:dyDescent="0.2"/>
    <row r="2857" ht="12.75" x14ac:dyDescent="0.2"/>
    <row r="2858" ht="12.75" x14ac:dyDescent="0.2"/>
    <row r="2859" ht="12.75" x14ac:dyDescent="0.2"/>
    <row r="2860" ht="12.75" x14ac:dyDescent="0.2"/>
    <row r="2861" ht="12.75" x14ac:dyDescent="0.2"/>
    <row r="2862" ht="12.75" x14ac:dyDescent="0.2"/>
    <row r="2863" ht="12.75" x14ac:dyDescent="0.2"/>
    <row r="2864" ht="12.75" x14ac:dyDescent="0.2"/>
    <row r="2865" ht="12.75" x14ac:dyDescent="0.2"/>
    <row r="2866" ht="12.75" x14ac:dyDescent="0.2"/>
    <row r="2867" ht="12.75" x14ac:dyDescent="0.2"/>
    <row r="2868" ht="12.75" x14ac:dyDescent="0.2"/>
    <row r="2869" ht="12.75" x14ac:dyDescent="0.2"/>
    <row r="2870" ht="12.75" x14ac:dyDescent="0.2"/>
    <row r="2871" ht="12.75" x14ac:dyDescent="0.2"/>
    <row r="2872" ht="12.75" x14ac:dyDescent="0.2"/>
    <row r="2873" ht="12.75" x14ac:dyDescent="0.2"/>
    <row r="2874" ht="12.75" x14ac:dyDescent="0.2"/>
    <row r="2875" ht="12.75" x14ac:dyDescent="0.2"/>
    <row r="2876" ht="12.75" x14ac:dyDescent="0.2"/>
    <row r="2877" ht="12.75" x14ac:dyDescent="0.2"/>
    <row r="2878" ht="12.75" x14ac:dyDescent="0.2"/>
    <row r="2879" ht="12.75" x14ac:dyDescent="0.2"/>
    <row r="2880" ht="12.75" x14ac:dyDescent="0.2"/>
    <row r="2881" ht="12.75" x14ac:dyDescent="0.2"/>
    <row r="2882" ht="12.75" x14ac:dyDescent="0.2"/>
    <row r="2883" ht="12.75" x14ac:dyDescent="0.2"/>
    <row r="2884" ht="12.75" x14ac:dyDescent="0.2"/>
    <row r="2885" ht="12.75" x14ac:dyDescent="0.2"/>
    <row r="2886" ht="12.75" x14ac:dyDescent="0.2"/>
    <row r="2887" ht="12.75" x14ac:dyDescent="0.2"/>
    <row r="2888" ht="12.75" x14ac:dyDescent="0.2"/>
    <row r="2889" ht="12.75" x14ac:dyDescent="0.2"/>
    <row r="2890" ht="12.75" x14ac:dyDescent="0.2"/>
    <row r="2891" ht="12.75" x14ac:dyDescent="0.2"/>
    <row r="2892" ht="12.75" x14ac:dyDescent="0.2"/>
    <row r="2893" ht="12.75" x14ac:dyDescent="0.2"/>
    <row r="2894" ht="12.75" x14ac:dyDescent="0.2"/>
    <row r="2895" ht="12.75" x14ac:dyDescent="0.2"/>
    <row r="2896" ht="12.75" x14ac:dyDescent="0.2"/>
    <row r="2897" ht="12.75" x14ac:dyDescent="0.2"/>
    <row r="2898" ht="12.75" x14ac:dyDescent="0.2"/>
    <row r="2899" ht="12.75" x14ac:dyDescent="0.2"/>
    <row r="2900" ht="12.75" x14ac:dyDescent="0.2"/>
    <row r="2901" ht="12.75" x14ac:dyDescent="0.2"/>
    <row r="2902" ht="12.75" x14ac:dyDescent="0.2"/>
    <row r="2903" ht="12.75" x14ac:dyDescent="0.2"/>
    <row r="2904" ht="12.75" x14ac:dyDescent="0.2"/>
    <row r="2905" ht="12.75" x14ac:dyDescent="0.2"/>
    <row r="2906" ht="12.75" x14ac:dyDescent="0.2"/>
    <row r="2907" ht="12.75" x14ac:dyDescent="0.2"/>
    <row r="2908" ht="12.75" x14ac:dyDescent="0.2"/>
    <row r="2909" ht="12.75" x14ac:dyDescent="0.2"/>
    <row r="2910" ht="12.75" x14ac:dyDescent="0.2"/>
    <row r="2911" ht="12.75" x14ac:dyDescent="0.2"/>
    <row r="2912" ht="12.75" x14ac:dyDescent="0.2"/>
    <row r="2913" ht="12.75" x14ac:dyDescent="0.2"/>
    <row r="2914" ht="12.75" x14ac:dyDescent="0.2"/>
    <row r="2915" ht="12.75" x14ac:dyDescent="0.2"/>
    <row r="2916" ht="12.75" x14ac:dyDescent="0.2"/>
    <row r="2917" ht="12.75" x14ac:dyDescent="0.2"/>
    <row r="2918" ht="12.75" x14ac:dyDescent="0.2"/>
    <row r="2919" ht="12.75" x14ac:dyDescent="0.2"/>
    <row r="2920" ht="12.75" x14ac:dyDescent="0.2"/>
    <row r="2921" ht="12.75" x14ac:dyDescent="0.2"/>
    <row r="2922" ht="12.75" x14ac:dyDescent="0.2"/>
    <row r="2923" ht="12.75" x14ac:dyDescent="0.2"/>
    <row r="2924" ht="12.75" x14ac:dyDescent="0.2"/>
    <row r="2925" ht="12.75" x14ac:dyDescent="0.2"/>
    <row r="2926" ht="12.75" x14ac:dyDescent="0.2"/>
    <row r="2927" ht="12.75" x14ac:dyDescent="0.2"/>
    <row r="2928" ht="12.75" x14ac:dyDescent="0.2"/>
    <row r="2929" ht="12.75" x14ac:dyDescent="0.2"/>
    <row r="2930" ht="12.75" x14ac:dyDescent="0.2"/>
    <row r="2931" ht="12.75" x14ac:dyDescent="0.2"/>
    <row r="2932" ht="12.75" x14ac:dyDescent="0.2"/>
    <row r="2933" ht="12.75" x14ac:dyDescent="0.2"/>
    <row r="2934" ht="12.75" x14ac:dyDescent="0.2"/>
    <row r="2935" ht="12.75" x14ac:dyDescent="0.2"/>
    <row r="2936" ht="12.75" x14ac:dyDescent="0.2"/>
    <row r="2937" ht="12.75" x14ac:dyDescent="0.2"/>
    <row r="2938" ht="12.75" x14ac:dyDescent="0.2"/>
    <row r="2939" ht="12.75" x14ac:dyDescent="0.2"/>
    <row r="2940" ht="12.75" x14ac:dyDescent="0.2"/>
    <row r="2941" ht="12.75" x14ac:dyDescent="0.2"/>
    <row r="2942" ht="12.75" x14ac:dyDescent="0.2"/>
    <row r="2943" ht="12.75" x14ac:dyDescent="0.2"/>
    <row r="2944" ht="12.75" x14ac:dyDescent="0.2"/>
    <row r="2945" ht="12.75" x14ac:dyDescent="0.2"/>
    <row r="2946" ht="12.75" x14ac:dyDescent="0.2"/>
    <row r="2947" ht="12.75" x14ac:dyDescent="0.2"/>
    <row r="2948" ht="12.75" x14ac:dyDescent="0.2"/>
    <row r="2949" ht="12.75" x14ac:dyDescent="0.2"/>
    <row r="2950" ht="12.75" x14ac:dyDescent="0.2"/>
    <row r="2951" ht="12.75" x14ac:dyDescent="0.2"/>
    <row r="2952" ht="12.75" x14ac:dyDescent="0.2"/>
    <row r="2953" ht="12.75" x14ac:dyDescent="0.2"/>
    <row r="2954" ht="12.75" x14ac:dyDescent="0.2"/>
    <row r="2955" ht="12.75" x14ac:dyDescent="0.2"/>
    <row r="2956" ht="12.75" x14ac:dyDescent="0.2"/>
    <row r="2957" ht="12.75" x14ac:dyDescent="0.2"/>
    <row r="2958" ht="12.75" x14ac:dyDescent="0.2"/>
    <row r="2959" ht="12.75" x14ac:dyDescent="0.2"/>
    <row r="2960" ht="12.75" x14ac:dyDescent="0.2"/>
    <row r="2961" ht="12.75" x14ac:dyDescent="0.2"/>
    <row r="2962" ht="12.75" x14ac:dyDescent="0.2"/>
    <row r="2963" ht="12.75" x14ac:dyDescent="0.2"/>
    <row r="2964" ht="12.75" x14ac:dyDescent="0.2"/>
    <row r="2965" ht="12.75" x14ac:dyDescent="0.2"/>
    <row r="2966" ht="12.75" x14ac:dyDescent="0.2"/>
    <row r="2967" ht="12.75" x14ac:dyDescent="0.2"/>
    <row r="2968" ht="12.75" x14ac:dyDescent="0.2"/>
    <row r="2969" ht="12.75" x14ac:dyDescent="0.2"/>
    <row r="2970" ht="12.75" x14ac:dyDescent="0.2"/>
    <row r="2971" ht="12.75" x14ac:dyDescent="0.2"/>
    <row r="2972" ht="12.75" x14ac:dyDescent="0.2"/>
    <row r="2973" ht="12.75" x14ac:dyDescent="0.2"/>
    <row r="2974" ht="12.75" x14ac:dyDescent="0.2"/>
    <row r="2975" ht="12.75" x14ac:dyDescent="0.2"/>
    <row r="2976" ht="12.75" x14ac:dyDescent="0.2"/>
    <row r="2977" ht="12.75" x14ac:dyDescent="0.2"/>
    <row r="2978" ht="12.75" x14ac:dyDescent="0.2"/>
    <row r="2979" ht="12.75" x14ac:dyDescent="0.2"/>
    <row r="2980" ht="12.75" x14ac:dyDescent="0.2"/>
    <row r="2981" ht="12.75" x14ac:dyDescent="0.2"/>
    <row r="2982" ht="12.75" x14ac:dyDescent="0.2"/>
    <row r="2983" ht="12.75" x14ac:dyDescent="0.2"/>
    <row r="2984" ht="12.75" x14ac:dyDescent="0.2"/>
    <row r="2985" ht="12.75" x14ac:dyDescent="0.2"/>
    <row r="2986" ht="12.75" x14ac:dyDescent="0.2"/>
    <row r="2987" ht="12.75" x14ac:dyDescent="0.2"/>
    <row r="2988" ht="12.75" x14ac:dyDescent="0.2"/>
    <row r="2989" ht="12.75" x14ac:dyDescent="0.2"/>
    <row r="2990" ht="12.75" x14ac:dyDescent="0.2"/>
    <row r="2991" ht="12.75" x14ac:dyDescent="0.2"/>
    <row r="2992" ht="12.75" x14ac:dyDescent="0.2"/>
    <row r="2993" ht="12.75" x14ac:dyDescent="0.2"/>
    <row r="2994" ht="12.75" x14ac:dyDescent="0.2"/>
    <row r="2995" ht="12.75" x14ac:dyDescent="0.2"/>
    <row r="2996" ht="12.75" x14ac:dyDescent="0.2"/>
    <row r="2997" ht="12.75" x14ac:dyDescent="0.2"/>
    <row r="2998" ht="12.75" x14ac:dyDescent="0.2"/>
    <row r="2999" ht="12.75" x14ac:dyDescent="0.2"/>
    <row r="3000" ht="12.75" x14ac:dyDescent="0.2"/>
    <row r="3001" ht="12.75" x14ac:dyDescent="0.2"/>
    <row r="3002" ht="12.75" x14ac:dyDescent="0.2"/>
    <row r="3003" ht="12.75" x14ac:dyDescent="0.2"/>
    <row r="3004" ht="12.75" x14ac:dyDescent="0.2"/>
    <row r="3005" ht="12.75" x14ac:dyDescent="0.2"/>
    <row r="3006" ht="12.75" x14ac:dyDescent="0.2"/>
    <row r="3007" ht="12.75" x14ac:dyDescent="0.2"/>
    <row r="3008" ht="12.75" x14ac:dyDescent="0.2"/>
    <row r="3009" ht="12.75" x14ac:dyDescent="0.2"/>
    <row r="3010" ht="12.75" x14ac:dyDescent="0.2"/>
    <row r="3011" ht="12.75" x14ac:dyDescent="0.2"/>
    <row r="3012" ht="12.75" x14ac:dyDescent="0.2"/>
    <row r="3013" ht="12.75" x14ac:dyDescent="0.2"/>
    <row r="3014" ht="12.75" x14ac:dyDescent="0.2"/>
    <row r="3015" ht="12.75" x14ac:dyDescent="0.2"/>
    <row r="3016" ht="12.75" x14ac:dyDescent="0.2"/>
    <row r="3017" ht="12.75" x14ac:dyDescent="0.2"/>
    <row r="3018" ht="12.75" x14ac:dyDescent="0.2"/>
    <row r="3019" ht="12.75" x14ac:dyDescent="0.2"/>
    <row r="3020" ht="12.75" x14ac:dyDescent="0.2"/>
    <row r="3021" ht="12.75" x14ac:dyDescent="0.2"/>
    <row r="3022" ht="12.75" x14ac:dyDescent="0.2"/>
    <row r="3023" ht="12.75" x14ac:dyDescent="0.2"/>
    <row r="3024" ht="12.75" x14ac:dyDescent="0.2"/>
    <row r="3025" ht="12.75" x14ac:dyDescent="0.2"/>
    <row r="3026" ht="12.75" x14ac:dyDescent="0.2"/>
    <row r="3027" ht="12.75" x14ac:dyDescent="0.2"/>
    <row r="3028" ht="12.75" x14ac:dyDescent="0.2"/>
    <row r="3029" ht="12.75" x14ac:dyDescent="0.2"/>
    <row r="3030" ht="12.75" x14ac:dyDescent="0.2"/>
    <row r="3031" ht="12.75" x14ac:dyDescent="0.2"/>
    <row r="3032" ht="12.75" x14ac:dyDescent="0.2"/>
    <row r="3033" ht="12.75" x14ac:dyDescent="0.2"/>
    <row r="3034" ht="12.75" x14ac:dyDescent="0.2"/>
    <row r="3035" ht="12.75" x14ac:dyDescent="0.2"/>
    <row r="3036" ht="12.75" x14ac:dyDescent="0.2"/>
    <row r="3037" ht="12.75" x14ac:dyDescent="0.2"/>
    <row r="3038" ht="12.75" x14ac:dyDescent="0.2"/>
    <row r="3039" ht="12.75" x14ac:dyDescent="0.2"/>
    <row r="3040" ht="12.75" x14ac:dyDescent="0.2"/>
    <row r="3041" ht="12.75" x14ac:dyDescent="0.2"/>
    <row r="3042" ht="12.75" x14ac:dyDescent="0.2"/>
    <row r="3043" ht="12.75" x14ac:dyDescent="0.2"/>
    <row r="3044" ht="12.75" x14ac:dyDescent="0.2"/>
    <row r="3045" ht="12.75" x14ac:dyDescent="0.2"/>
    <row r="3046" ht="12.75" x14ac:dyDescent="0.2"/>
    <row r="3047" ht="12.75" x14ac:dyDescent="0.2"/>
    <row r="3048" ht="12.75" x14ac:dyDescent="0.2"/>
    <row r="3049" ht="12.75" x14ac:dyDescent="0.2"/>
    <row r="3050" ht="12.75" x14ac:dyDescent="0.2"/>
    <row r="3051" ht="12.75" x14ac:dyDescent="0.2"/>
    <row r="3052" ht="12.75" x14ac:dyDescent="0.2"/>
    <row r="3053" ht="12.75" x14ac:dyDescent="0.2"/>
    <row r="3054" ht="12.75" x14ac:dyDescent="0.2"/>
    <row r="3055" ht="12.75" x14ac:dyDescent="0.2"/>
    <row r="3056" ht="12.75" x14ac:dyDescent="0.2"/>
    <row r="3057" ht="12.75" x14ac:dyDescent="0.2"/>
    <row r="3058" ht="12.75" x14ac:dyDescent="0.2"/>
    <row r="3059" ht="12.75" x14ac:dyDescent="0.2"/>
    <row r="3060" ht="12.75" x14ac:dyDescent="0.2"/>
    <row r="3061" ht="12.75" x14ac:dyDescent="0.2"/>
    <row r="3062" ht="12.75" x14ac:dyDescent="0.2"/>
    <row r="3063" ht="12.75" x14ac:dyDescent="0.2"/>
    <row r="3064" ht="12.75" x14ac:dyDescent="0.2"/>
    <row r="3065" ht="12.75" x14ac:dyDescent="0.2"/>
    <row r="3066" ht="12.75" x14ac:dyDescent="0.2"/>
    <row r="3067" ht="12.75" x14ac:dyDescent="0.2"/>
    <row r="3068" ht="12.75" x14ac:dyDescent="0.2"/>
    <row r="3069" ht="12.75" x14ac:dyDescent="0.2"/>
    <row r="3070" ht="12.75" x14ac:dyDescent="0.2"/>
    <row r="3071" ht="12.75" x14ac:dyDescent="0.2"/>
    <row r="3072" ht="12.75" x14ac:dyDescent="0.2"/>
    <row r="3073" ht="12.75" x14ac:dyDescent="0.2"/>
    <row r="3074" ht="12.75" x14ac:dyDescent="0.2"/>
    <row r="3075" ht="12.75" x14ac:dyDescent="0.2"/>
    <row r="3076" ht="12.75" x14ac:dyDescent="0.2"/>
    <row r="3077" ht="12.75" x14ac:dyDescent="0.2"/>
    <row r="3078" ht="12.75" x14ac:dyDescent="0.2"/>
    <row r="3079" ht="12.75" x14ac:dyDescent="0.2"/>
    <row r="3080" ht="12.75" x14ac:dyDescent="0.2"/>
    <row r="3081" ht="12.75" x14ac:dyDescent="0.2"/>
    <row r="3082" ht="12.75" x14ac:dyDescent="0.2"/>
    <row r="3083" ht="12.75" x14ac:dyDescent="0.2"/>
    <row r="3084" ht="12.75" x14ac:dyDescent="0.2"/>
    <row r="3085" ht="12.75" x14ac:dyDescent="0.2"/>
    <row r="3086" ht="12.75" x14ac:dyDescent="0.2"/>
    <row r="3087" ht="12.75" x14ac:dyDescent="0.2"/>
    <row r="3088" ht="12.75" x14ac:dyDescent="0.2"/>
    <row r="3089" ht="12.75" x14ac:dyDescent="0.2"/>
    <row r="3090" ht="12.75" x14ac:dyDescent="0.2"/>
    <row r="3091" ht="12.75" x14ac:dyDescent="0.2"/>
    <row r="3092" ht="12.75" x14ac:dyDescent="0.2"/>
    <row r="3093" ht="12.75" x14ac:dyDescent="0.2"/>
    <row r="3094" ht="12.75" x14ac:dyDescent="0.2"/>
    <row r="3095" ht="12.75" x14ac:dyDescent="0.2"/>
    <row r="3096" ht="12.75" x14ac:dyDescent="0.2"/>
    <row r="3097" ht="12.75" x14ac:dyDescent="0.2"/>
    <row r="3098" ht="12.75" x14ac:dyDescent="0.2"/>
    <row r="3099" ht="12.75" x14ac:dyDescent="0.2"/>
    <row r="3100" ht="12.75" x14ac:dyDescent="0.2"/>
    <row r="3101" ht="12.75" x14ac:dyDescent="0.2"/>
    <row r="3102" ht="12.75" x14ac:dyDescent="0.2"/>
    <row r="3103" ht="12.75" x14ac:dyDescent="0.2"/>
    <row r="3104" ht="12.75" x14ac:dyDescent="0.2"/>
    <row r="3105" ht="12.75" x14ac:dyDescent="0.2"/>
    <row r="3106" ht="12.75" x14ac:dyDescent="0.2"/>
    <row r="3107" ht="12.75" x14ac:dyDescent="0.2"/>
    <row r="3108" ht="12.75" x14ac:dyDescent="0.2"/>
    <row r="3109" ht="12.75" x14ac:dyDescent="0.2"/>
    <row r="3110" ht="12.75" x14ac:dyDescent="0.2"/>
    <row r="3111" ht="12.75" x14ac:dyDescent="0.2"/>
    <row r="3112" ht="12.75" x14ac:dyDescent="0.2"/>
    <row r="3113" ht="12.75" x14ac:dyDescent="0.2"/>
    <row r="3114" ht="12.75" x14ac:dyDescent="0.2"/>
    <row r="3115" ht="12.75" x14ac:dyDescent="0.2"/>
    <row r="3116" ht="12.75" x14ac:dyDescent="0.2"/>
    <row r="3117" ht="12.75" x14ac:dyDescent="0.2"/>
    <row r="3118" ht="12.75" x14ac:dyDescent="0.2"/>
    <row r="3119" ht="12.75" x14ac:dyDescent="0.2"/>
    <row r="3120" ht="12.75" x14ac:dyDescent="0.2"/>
    <row r="3121" ht="12.75" x14ac:dyDescent="0.2"/>
    <row r="3122" ht="12.75" x14ac:dyDescent="0.2"/>
    <row r="3123" ht="12.75" x14ac:dyDescent="0.2"/>
    <row r="3124" ht="12.75" x14ac:dyDescent="0.2"/>
    <row r="3125" ht="12.75" x14ac:dyDescent="0.2"/>
    <row r="3126" ht="12.75" x14ac:dyDescent="0.2"/>
    <row r="3127" ht="12.75" x14ac:dyDescent="0.2"/>
    <row r="3128" ht="12.75" x14ac:dyDescent="0.2"/>
    <row r="3129" ht="12.75" x14ac:dyDescent="0.2"/>
    <row r="3130" ht="12.75" x14ac:dyDescent="0.2"/>
    <row r="3131" ht="12.75" x14ac:dyDescent="0.2"/>
    <row r="3132" ht="12.75" x14ac:dyDescent="0.2"/>
    <row r="3133" ht="12.75" x14ac:dyDescent="0.2"/>
    <row r="3134" ht="12.75" x14ac:dyDescent="0.2"/>
    <row r="3135" ht="12.75" x14ac:dyDescent="0.2"/>
    <row r="3136" ht="12.75" x14ac:dyDescent="0.2"/>
    <row r="3137" ht="12.75" x14ac:dyDescent="0.2"/>
    <row r="3138" ht="12.75" x14ac:dyDescent="0.2"/>
    <row r="3139" ht="12.75" x14ac:dyDescent="0.2"/>
    <row r="3140" ht="12.75" x14ac:dyDescent="0.2"/>
    <row r="3141" ht="12.75" x14ac:dyDescent="0.2"/>
    <row r="3142" ht="12.75" x14ac:dyDescent="0.2"/>
    <row r="3143" ht="12.75" x14ac:dyDescent="0.2"/>
    <row r="3144" ht="12.75" x14ac:dyDescent="0.2"/>
    <row r="3145" ht="12.75" x14ac:dyDescent="0.2"/>
    <row r="3146" ht="12.75" x14ac:dyDescent="0.2"/>
    <row r="3147" ht="12.75" x14ac:dyDescent="0.2"/>
    <row r="3148" ht="12.75" x14ac:dyDescent="0.2"/>
    <row r="3149" ht="12.75" x14ac:dyDescent="0.2"/>
    <row r="3150" ht="12.75" x14ac:dyDescent="0.2"/>
    <row r="3151" ht="12.75" x14ac:dyDescent="0.2"/>
    <row r="3152" ht="12.75" x14ac:dyDescent="0.2"/>
    <row r="3153" ht="12.75" x14ac:dyDescent="0.2"/>
    <row r="3154" ht="12.75" x14ac:dyDescent="0.2"/>
    <row r="3155" ht="12.75" x14ac:dyDescent="0.2"/>
    <row r="3156" ht="12.75" x14ac:dyDescent="0.2"/>
    <row r="3157" ht="12.75" x14ac:dyDescent="0.2"/>
    <row r="3158" ht="12.75" x14ac:dyDescent="0.2"/>
    <row r="3159" ht="12.75" x14ac:dyDescent="0.2"/>
    <row r="3160" ht="12.75" x14ac:dyDescent="0.2"/>
    <row r="3161" ht="12.75" x14ac:dyDescent="0.2"/>
    <row r="3162" ht="12.75" x14ac:dyDescent="0.2"/>
    <row r="3163" ht="12.75" x14ac:dyDescent="0.2"/>
    <row r="3164" ht="12.75" x14ac:dyDescent="0.2"/>
    <row r="3165" ht="12.75" x14ac:dyDescent="0.2"/>
    <row r="3166" ht="12.75" x14ac:dyDescent="0.2"/>
    <row r="3167" ht="12.75" x14ac:dyDescent="0.2"/>
    <row r="3168" ht="12.75" x14ac:dyDescent="0.2"/>
    <row r="3169" ht="12.75" x14ac:dyDescent="0.2"/>
    <row r="3170" ht="12.75" x14ac:dyDescent="0.2"/>
    <row r="3171" ht="12.75" x14ac:dyDescent="0.2"/>
    <row r="3172" ht="12.75" x14ac:dyDescent="0.2"/>
    <row r="3173" ht="12.75" x14ac:dyDescent="0.2"/>
    <row r="3174" ht="12.75" x14ac:dyDescent="0.2"/>
    <row r="3175" ht="12.75" x14ac:dyDescent="0.2"/>
    <row r="3176" ht="12.75" x14ac:dyDescent="0.2"/>
    <row r="3177" ht="12.75" x14ac:dyDescent="0.2"/>
    <row r="3178" ht="12.75" x14ac:dyDescent="0.2"/>
    <row r="3179" ht="12.75" x14ac:dyDescent="0.2"/>
    <row r="3180" ht="12.75" x14ac:dyDescent="0.2"/>
    <row r="3181" ht="12.75" x14ac:dyDescent="0.2"/>
    <row r="3182" ht="12.75" x14ac:dyDescent="0.2"/>
    <row r="3183" ht="12.75" x14ac:dyDescent="0.2"/>
    <row r="3184" ht="12.75" x14ac:dyDescent="0.2"/>
    <row r="3185" ht="12.75" x14ac:dyDescent="0.2"/>
    <row r="3186" ht="12.75" x14ac:dyDescent="0.2"/>
    <row r="3187" ht="12.75" x14ac:dyDescent="0.2"/>
    <row r="3188" ht="12.75" x14ac:dyDescent="0.2"/>
    <row r="3189" ht="12.75" x14ac:dyDescent="0.2"/>
    <row r="3190" ht="12.75" x14ac:dyDescent="0.2"/>
    <row r="3191" ht="12.75" x14ac:dyDescent="0.2"/>
    <row r="3192" ht="12.75" x14ac:dyDescent="0.2"/>
    <row r="3193" ht="12.75" x14ac:dyDescent="0.2"/>
    <row r="3194" ht="12.75" x14ac:dyDescent="0.2"/>
    <row r="3195" ht="12.75" x14ac:dyDescent="0.2"/>
    <row r="3196" ht="12.75" x14ac:dyDescent="0.2"/>
    <row r="3197" ht="12.75" x14ac:dyDescent="0.2"/>
    <row r="3198" ht="12.75" x14ac:dyDescent="0.2"/>
    <row r="3199" ht="12.75" x14ac:dyDescent="0.2"/>
    <row r="3200" ht="12.75" x14ac:dyDescent="0.2"/>
    <row r="3201" ht="12.75" x14ac:dyDescent="0.2"/>
    <row r="3202" ht="12.75" x14ac:dyDescent="0.2"/>
    <row r="3203" ht="12.75" x14ac:dyDescent="0.2"/>
    <row r="3204" ht="12.75" x14ac:dyDescent="0.2"/>
    <row r="3205" ht="12.75" x14ac:dyDescent="0.2"/>
    <row r="3206" ht="12.75" x14ac:dyDescent="0.2"/>
    <row r="3207" ht="12.75" x14ac:dyDescent="0.2"/>
    <row r="3208" ht="12.75" x14ac:dyDescent="0.2"/>
    <row r="3209" ht="12.75" x14ac:dyDescent="0.2"/>
    <row r="3210" ht="12.75" x14ac:dyDescent="0.2"/>
    <row r="3211" ht="12.75" x14ac:dyDescent="0.2"/>
    <row r="3212" ht="12.75" x14ac:dyDescent="0.2"/>
    <row r="3213" ht="12.75" x14ac:dyDescent="0.2"/>
    <row r="3214" ht="12.75" x14ac:dyDescent="0.2"/>
    <row r="3215" ht="12.75" x14ac:dyDescent="0.2"/>
    <row r="3216" ht="12.75" x14ac:dyDescent="0.2"/>
    <row r="3217" ht="12.75" x14ac:dyDescent="0.2"/>
    <row r="3218" ht="12.75" x14ac:dyDescent="0.2"/>
    <row r="3219" ht="12.75" x14ac:dyDescent="0.2"/>
    <row r="3220" ht="12.75" x14ac:dyDescent="0.2"/>
    <row r="3221" ht="12.75" x14ac:dyDescent="0.2"/>
    <row r="3222" ht="12.75" x14ac:dyDescent="0.2"/>
    <row r="3223" ht="12.75" x14ac:dyDescent="0.2"/>
    <row r="3224" ht="12.75" x14ac:dyDescent="0.2"/>
    <row r="3225" ht="12.75" x14ac:dyDescent="0.2"/>
    <row r="3226" ht="12.75" x14ac:dyDescent="0.2"/>
    <row r="3227" ht="12.75" x14ac:dyDescent="0.2"/>
    <row r="3228" ht="12.75" x14ac:dyDescent="0.2"/>
    <row r="3229" ht="12.75" x14ac:dyDescent="0.2"/>
    <row r="3230" ht="12.75" x14ac:dyDescent="0.2"/>
    <row r="3231" ht="12.75" x14ac:dyDescent="0.2"/>
    <row r="3232" ht="12.75" x14ac:dyDescent="0.2"/>
    <row r="3233" ht="12.75" x14ac:dyDescent="0.2"/>
    <row r="3234" ht="12.75" x14ac:dyDescent="0.2"/>
    <row r="3235" ht="12.75" x14ac:dyDescent="0.2"/>
    <row r="3236" ht="12.75" x14ac:dyDescent="0.2"/>
    <row r="3237" ht="12.75" x14ac:dyDescent="0.2"/>
    <row r="3238" ht="12.75" x14ac:dyDescent="0.2"/>
    <row r="3239" ht="12.75" x14ac:dyDescent="0.2"/>
    <row r="3240" ht="12.75" x14ac:dyDescent="0.2"/>
    <row r="3241" ht="12.75" x14ac:dyDescent="0.2"/>
    <row r="3242" ht="12.75" x14ac:dyDescent="0.2"/>
    <row r="3243" ht="12.75" x14ac:dyDescent="0.2"/>
    <row r="3244" ht="12.75" x14ac:dyDescent="0.2"/>
    <row r="3245" ht="12.75" x14ac:dyDescent="0.2"/>
    <row r="3246" ht="12.75" x14ac:dyDescent="0.2"/>
    <row r="3247" ht="12.75" x14ac:dyDescent="0.2"/>
    <row r="3248" ht="12.75" x14ac:dyDescent="0.2"/>
    <row r="3249" ht="12.75" x14ac:dyDescent="0.2"/>
    <row r="3250" ht="12.75" x14ac:dyDescent="0.2"/>
    <row r="3251" ht="12.75" x14ac:dyDescent="0.2"/>
    <row r="3252" ht="12.75" x14ac:dyDescent="0.2"/>
    <row r="3253" ht="12.75" x14ac:dyDescent="0.2"/>
    <row r="3254" ht="12.75" x14ac:dyDescent="0.2"/>
    <row r="3255" ht="12.75" x14ac:dyDescent="0.2"/>
    <row r="3256" ht="12.75" x14ac:dyDescent="0.2"/>
    <row r="3257" ht="12.75" x14ac:dyDescent="0.2"/>
    <row r="3258" ht="12.75" x14ac:dyDescent="0.2"/>
    <row r="3259" ht="12.75" x14ac:dyDescent="0.2"/>
    <row r="3260" ht="12.75" x14ac:dyDescent="0.2"/>
    <row r="3261" ht="12.75" x14ac:dyDescent="0.2"/>
    <row r="3262" ht="12.75" x14ac:dyDescent="0.2"/>
    <row r="3263" ht="12.75" x14ac:dyDescent="0.2"/>
    <row r="3264" ht="12.75" x14ac:dyDescent="0.2"/>
    <row r="3265" ht="12.75" x14ac:dyDescent="0.2"/>
    <row r="3266" ht="12.75" x14ac:dyDescent="0.2"/>
    <row r="3267" ht="12.75" x14ac:dyDescent="0.2"/>
    <row r="3268" ht="12.75" x14ac:dyDescent="0.2"/>
    <row r="3269" ht="12.75" x14ac:dyDescent="0.2"/>
    <row r="3270" ht="12.75" x14ac:dyDescent="0.2"/>
    <row r="3271" ht="12.75" x14ac:dyDescent="0.2"/>
    <row r="3272" ht="12.75" x14ac:dyDescent="0.2"/>
    <row r="3273" ht="12.75" x14ac:dyDescent="0.2"/>
    <row r="3274" ht="12.75" x14ac:dyDescent="0.2"/>
    <row r="3275" ht="12.75" x14ac:dyDescent="0.2"/>
    <row r="3276" ht="12.75" x14ac:dyDescent="0.2"/>
    <row r="3277" ht="12.75" x14ac:dyDescent="0.2"/>
    <row r="3278" ht="12.75" x14ac:dyDescent="0.2"/>
    <row r="3279" ht="12.75" x14ac:dyDescent="0.2"/>
    <row r="3280" ht="12.75" x14ac:dyDescent="0.2"/>
    <row r="3281" ht="12.75" x14ac:dyDescent="0.2"/>
    <row r="3282" ht="12.75" x14ac:dyDescent="0.2"/>
    <row r="3283" ht="12.75" x14ac:dyDescent="0.2"/>
    <row r="3284" ht="12.75" x14ac:dyDescent="0.2"/>
    <row r="3285" ht="12.75" x14ac:dyDescent="0.2"/>
    <row r="3286" ht="12.75" x14ac:dyDescent="0.2"/>
    <row r="3287" ht="12.75" x14ac:dyDescent="0.2"/>
    <row r="3288" ht="12.75" x14ac:dyDescent="0.2"/>
    <row r="3289" ht="12.75" x14ac:dyDescent="0.2"/>
    <row r="3290" ht="12.75" x14ac:dyDescent="0.2"/>
    <row r="3291" ht="12.75" x14ac:dyDescent="0.2"/>
    <row r="3292" ht="12.75" x14ac:dyDescent="0.2"/>
    <row r="3293" ht="12.75" x14ac:dyDescent="0.2"/>
    <row r="3294" ht="12.75" x14ac:dyDescent="0.2"/>
    <row r="3295" ht="12.75" x14ac:dyDescent="0.2"/>
    <row r="3296" ht="12.75" x14ac:dyDescent="0.2"/>
    <row r="3297" ht="12.75" x14ac:dyDescent="0.2"/>
    <row r="3298" ht="12.75" x14ac:dyDescent="0.2"/>
    <row r="3299" ht="12.75" x14ac:dyDescent="0.2"/>
    <row r="3300" ht="12.75" x14ac:dyDescent="0.2"/>
    <row r="3301" ht="12.75" x14ac:dyDescent="0.2"/>
    <row r="3302" ht="12.75" x14ac:dyDescent="0.2"/>
    <row r="3303" ht="12.75" x14ac:dyDescent="0.2"/>
    <row r="3304" ht="12.75" x14ac:dyDescent="0.2"/>
    <row r="3305" ht="12.75" x14ac:dyDescent="0.2"/>
    <row r="3306" ht="12.75" x14ac:dyDescent="0.2"/>
    <row r="3307" ht="12.75" x14ac:dyDescent="0.2"/>
    <row r="3308" ht="12.75" x14ac:dyDescent="0.2"/>
    <row r="3309" ht="12.75" x14ac:dyDescent="0.2"/>
    <row r="3310" ht="12.75" x14ac:dyDescent="0.2"/>
    <row r="3311" ht="12.75" x14ac:dyDescent="0.2"/>
    <row r="3312" ht="12.75" x14ac:dyDescent="0.2"/>
    <row r="3313" ht="12.75" x14ac:dyDescent="0.2"/>
    <row r="3314" ht="12.75" x14ac:dyDescent="0.2"/>
    <row r="3315" ht="12.75" x14ac:dyDescent="0.2"/>
    <row r="3316" ht="12.75" x14ac:dyDescent="0.2"/>
    <row r="3317" ht="12.75" x14ac:dyDescent="0.2"/>
    <row r="3318" ht="12.75" x14ac:dyDescent="0.2"/>
    <row r="3319" ht="12.75" x14ac:dyDescent="0.2"/>
    <row r="3320" ht="12.75" x14ac:dyDescent="0.2"/>
    <row r="3321" ht="12.75" x14ac:dyDescent="0.2"/>
    <row r="3322" ht="12.75" x14ac:dyDescent="0.2"/>
    <row r="3323" ht="12.75" x14ac:dyDescent="0.2"/>
    <row r="3324" ht="12.75" x14ac:dyDescent="0.2"/>
    <row r="3325" ht="12.75" x14ac:dyDescent="0.2"/>
    <row r="3326" ht="12.75" x14ac:dyDescent="0.2"/>
    <row r="3327" ht="12.75" x14ac:dyDescent="0.2"/>
    <row r="3328" ht="12.75" x14ac:dyDescent="0.2"/>
    <row r="3329" ht="12.75" x14ac:dyDescent="0.2"/>
    <row r="3330" ht="12.75" x14ac:dyDescent="0.2"/>
    <row r="3331" ht="12.75" x14ac:dyDescent="0.2"/>
    <row r="3332" ht="12.75" x14ac:dyDescent="0.2"/>
    <row r="3333" ht="12.75" x14ac:dyDescent="0.2"/>
    <row r="3334" ht="12.75" x14ac:dyDescent="0.2"/>
    <row r="3335" ht="12.75" x14ac:dyDescent="0.2"/>
    <row r="3336" ht="12.75" x14ac:dyDescent="0.2"/>
    <row r="3337" ht="12.75" x14ac:dyDescent="0.2"/>
    <row r="3338" ht="12.75" x14ac:dyDescent="0.2"/>
    <row r="3339" ht="12.75" x14ac:dyDescent="0.2"/>
    <row r="3340" ht="12.75" x14ac:dyDescent="0.2"/>
    <row r="3341" ht="12.75" x14ac:dyDescent="0.2"/>
    <row r="3342" ht="12.75" x14ac:dyDescent="0.2"/>
    <row r="3343" ht="12.75" x14ac:dyDescent="0.2"/>
    <row r="3344" ht="12.75" x14ac:dyDescent="0.2"/>
    <row r="3345" ht="12.75" x14ac:dyDescent="0.2"/>
    <row r="3346" ht="12.75" x14ac:dyDescent="0.2"/>
    <row r="3347" ht="12.75" x14ac:dyDescent="0.2"/>
    <row r="3348" ht="12.75" x14ac:dyDescent="0.2"/>
    <row r="3349" ht="12.75" x14ac:dyDescent="0.2"/>
    <row r="3350" ht="12.75" x14ac:dyDescent="0.2"/>
    <row r="3351" ht="12.75" x14ac:dyDescent="0.2"/>
    <row r="3352" ht="12.75" x14ac:dyDescent="0.2"/>
    <row r="3353" ht="12.75" x14ac:dyDescent="0.2"/>
    <row r="3354" ht="12.75" x14ac:dyDescent="0.2"/>
    <row r="3355" ht="12.75" x14ac:dyDescent="0.2"/>
    <row r="3356" ht="12.75" x14ac:dyDescent="0.2"/>
    <row r="3357" ht="12.75" x14ac:dyDescent="0.2"/>
    <row r="3358" ht="12.75" x14ac:dyDescent="0.2"/>
    <row r="3359" ht="12.75" x14ac:dyDescent="0.2"/>
    <row r="3360" ht="12.75" x14ac:dyDescent="0.2"/>
    <row r="3361" ht="12.75" x14ac:dyDescent="0.2"/>
    <row r="3362" ht="12.75" x14ac:dyDescent="0.2"/>
    <row r="3363" ht="12.75" x14ac:dyDescent="0.2"/>
    <row r="3364" ht="12.75" x14ac:dyDescent="0.2"/>
    <row r="3365" ht="12.75" x14ac:dyDescent="0.2"/>
    <row r="3366" ht="12.75" x14ac:dyDescent="0.2"/>
    <row r="3367" ht="12.75" x14ac:dyDescent="0.2"/>
    <row r="3368" ht="12.75" x14ac:dyDescent="0.2"/>
    <row r="3369" ht="12.75" x14ac:dyDescent="0.2"/>
    <row r="3370" ht="12.75" x14ac:dyDescent="0.2"/>
    <row r="3371" ht="12.75" x14ac:dyDescent="0.2"/>
    <row r="3372" ht="12.75" x14ac:dyDescent="0.2"/>
    <row r="3373" ht="12.75" x14ac:dyDescent="0.2"/>
    <row r="3374" ht="12.75" x14ac:dyDescent="0.2"/>
    <row r="3375" ht="12.75" x14ac:dyDescent="0.2"/>
    <row r="3376" ht="12.75" x14ac:dyDescent="0.2"/>
    <row r="3377" ht="12.75" x14ac:dyDescent="0.2"/>
    <row r="3378" ht="12.75" x14ac:dyDescent="0.2"/>
    <row r="3379" ht="12.75" x14ac:dyDescent="0.2"/>
    <row r="3380" ht="12.75" x14ac:dyDescent="0.2"/>
    <row r="3381" ht="12.75" x14ac:dyDescent="0.2"/>
    <row r="3382" ht="12.75" x14ac:dyDescent="0.2"/>
    <row r="3383" ht="12.75" x14ac:dyDescent="0.2"/>
    <row r="3384" ht="12.75" x14ac:dyDescent="0.2"/>
    <row r="3385" ht="12.75" x14ac:dyDescent="0.2"/>
    <row r="3386" ht="12.75" x14ac:dyDescent="0.2"/>
    <row r="3387" ht="12.75" x14ac:dyDescent="0.2"/>
    <row r="3388" ht="12.75" x14ac:dyDescent="0.2"/>
    <row r="3389" ht="12.75" x14ac:dyDescent="0.2"/>
    <row r="3390" ht="12.75" x14ac:dyDescent="0.2"/>
    <row r="3391" ht="12.75" x14ac:dyDescent="0.2"/>
    <row r="3392" ht="12.75" x14ac:dyDescent="0.2"/>
    <row r="3393" ht="12.75" x14ac:dyDescent="0.2"/>
    <row r="3394" ht="12.75" x14ac:dyDescent="0.2"/>
    <row r="3395" ht="12.75" x14ac:dyDescent="0.2"/>
    <row r="3396" ht="12.75" x14ac:dyDescent="0.2"/>
    <row r="3397" ht="12.75" x14ac:dyDescent="0.2"/>
    <row r="3398" ht="12.75" x14ac:dyDescent="0.2"/>
    <row r="3399" ht="12.75" x14ac:dyDescent="0.2"/>
    <row r="3400" ht="12.75" x14ac:dyDescent="0.2"/>
    <row r="3401" ht="12.75" x14ac:dyDescent="0.2"/>
    <row r="3402" ht="12.75" x14ac:dyDescent="0.2"/>
    <row r="3403" ht="12.75" x14ac:dyDescent="0.2"/>
    <row r="3404" ht="12.75" x14ac:dyDescent="0.2"/>
    <row r="3405" ht="12.75" x14ac:dyDescent="0.2"/>
    <row r="3406" ht="12.75" x14ac:dyDescent="0.2"/>
    <row r="3407" ht="12.75" x14ac:dyDescent="0.2"/>
    <row r="3408" ht="12.75" x14ac:dyDescent="0.2"/>
    <row r="3409" ht="12.75" x14ac:dyDescent="0.2"/>
    <row r="3410" ht="12.75" x14ac:dyDescent="0.2"/>
    <row r="3411" ht="12.75" x14ac:dyDescent="0.2"/>
    <row r="3412" ht="12.75" x14ac:dyDescent="0.2"/>
    <row r="3413" ht="12.75" x14ac:dyDescent="0.2"/>
    <row r="3414" ht="12.75" x14ac:dyDescent="0.2"/>
    <row r="3415" ht="12.75" x14ac:dyDescent="0.2"/>
    <row r="3416" ht="12.75" x14ac:dyDescent="0.2"/>
    <row r="3417" ht="12.75" x14ac:dyDescent="0.2"/>
    <row r="3418" ht="12.75" x14ac:dyDescent="0.2"/>
    <row r="3419" ht="12.75" x14ac:dyDescent="0.2"/>
    <row r="3420" ht="12.75" x14ac:dyDescent="0.2"/>
    <row r="3421" ht="12.75" x14ac:dyDescent="0.2"/>
    <row r="3422" ht="12.75" x14ac:dyDescent="0.2"/>
    <row r="3423" ht="12.75" x14ac:dyDescent="0.2"/>
    <row r="3424" ht="12.75" x14ac:dyDescent="0.2"/>
    <row r="3425" ht="12.75" x14ac:dyDescent="0.2"/>
    <row r="3426" ht="12.75" x14ac:dyDescent="0.2"/>
    <row r="3427" ht="12.75" x14ac:dyDescent="0.2"/>
    <row r="3428" ht="12.75" x14ac:dyDescent="0.2"/>
    <row r="3429" ht="12.75" x14ac:dyDescent="0.2"/>
    <row r="3430" ht="12.75" x14ac:dyDescent="0.2"/>
    <row r="3431" ht="12.75" x14ac:dyDescent="0.2"/>
    <row r="3432" ht="12.75" x14ac:dyDescent="0.2"/>
    <row r="3433" ht="12.75" x14ac:dyDescent="0.2"/>
    <row r="3434" ht="12.75" x14ac:dyDescent="0.2"/>
    <row r="3435" ht="12.75" x14ac:dyDescent="0.2"/>
    <row r="3436" ht="12.75" x14ac:dyDescent="0.2"/>
    <row r="3437" ht="12.75" x14ac:dyDescent="0.2"/>
    <row r="3438" ht="12.75" x14ac:dyDescent="0.2"/>
    <row r="3439" ht="12.75" x14ac:dyDescent="0.2"/>
    <row r="3440" ht="12.75" x14ac:dyDescent="0.2"/>
    <row r="3441" ht="12.75" x14ac:dyDescent="0.2"/>
    <row r="3442" ht="12.75" x14ac:dyDescent="0.2"/>
    <row r="3443" ht="12.75" x14ac:dyDescent="0.2"/>
    <row r="3444" ht="12.75" x14ac:dyDescent="0.2"/>
    <row r="3445" ht="12.75" x14ac:dyDescent="0.2"/>
    <row r="3446" ht="12.75" x14ac:dyDescent="0.2"/>
    <row r="3447" ht="12.75" x14ac:dyDescent="0.2"/>
    <row r="3448" ht="12.75" x14ac:dyDescent="0.2"/>
    <row r="3449" ht="12.75" x14ac:dyDescent="0.2"/>
    <row r="3450" ht="12.75" x14ac:dyDescent="0.2"/>
    <row r="3451" ht="12.75" x14ac:dyDescent="0.2"/>
    <row r="3452" ht="12.75" x14ac:dyDescent="0.2"/>
    <row r="3453" ht="12.75" x14ac:dyDescent="0.2"/>
    <row r="3454" ht="12.75" x14ac:dyDescent="0.2"/>
    <row r="3455" ht="12.75" x14ac:dyDescent="0.2"/>
    <row r="3456" ht="12.75" x14ac:dyDescent="0.2"/>
    <row r="3457" ht="12.75" x14ac:dyDescent="0.2"/>
    <row r="3458" ht="12.75" x14ac:dyDescent="0.2"/>
    <row r="3459" ht="12.75" x14ac:dyDescent="0.2"/>
    <row r="3460" ht="12.75" x14ac:dyDescent="0.2"/>
    <row r="3461" ht="12.75" x14ac:dyDescent="0.2"/>
    <row r="3462" ht="12.75" x14ac:dyDescent="0.2"/>
    <row r="3463" ht="12.75" x14ac:dyDescent="0.2"/>
    <row r="3464" ht="12.75" x14ac:dyDescent="0.2"/>
    <row r="3465" ht="12.75" x14ac:dyDescent="0.2"/>
    <row r="3466" ht="12.75" x14ac:dyDescent="0.2"/>
    <row r="3467" ht="12.75" x14ac:dyDescent="0.2"/>
    <row r="3468" ht="12.75" x14ac:dyDescent="0.2"/>
    <row r="3469" ht="12.75" x14ac:dyDescent="0.2"/>
    <row r="3470" ht="12.75" x14ac:dyDescent="0.2"/>
    <row r="3471" ht="12.75" x14ac:dyDescent="0.2"/>
    <row r="3472" ht="12.75" x14ac:dyDescent="0.2"/>
    <row r="3473" ht="12.75" x14ac:dyDescent="0.2"/>
    <row r="3474" ht="12.75" x14ac:dyDescent="0.2"/>
    <row r="3475" ht="12.75" x14ac:dyDescent="0.2"/>
    <row r="3476" ht="12.75" x14ac:dyDescent="0.2"/>
    <row r="3477" ht="12.75" x14ac:dyDescent="0.2"/>
    <row r="3478" ht="12.75" x14ac:dyDescent="0.2"/>
    <row r="3479" ht="12.75" x14ac:dyDescent="0.2"/>
    <row r="3480" ht="12.75" x14ac:dyDescent="0.2"/>
    <row r="3481" ht="12.75" x14ac:dyDescent="0.2"/>
    <row r="3482" ht="12.75" x14ac:dyDescent="0.2"/>
    <row r="3483" ht="12.75" x14ac:dyDescent="0.2"/>
    <row r="3484" ht="12.75" x14ac:dyDescent="0.2"/>
    <row r="3485" ht="12.75" x14ac:dyDescent="0.2"/>
    <row r="3486" ht="12.75" x14ac:dyDescent="0.2"/>
    <row r="3487" ht="12.75" x14ac:dyDescent="0.2"/>
    <row r="3488" ht="12.75" x14ac:dyDescent="0.2"/>
    <row r="3489" ht="12.75" x14ac:dyDescent="0.2"/>
    <row r="3490" ht="12.75" x14ac:dyDescent="0.2"/>
    <row r="3491" ht="12.75" x14ac:dyDescent="0.2"/>
    <row r="3492" ht="12.75" x14ac:dyDescent="0.2"/>
    <row r="3493" ht="12.75" x14ac:dyDescent="0.2"/>
    <row r="3494" ht="12.75" x14ac:dyDescent="0.2"/>
    <row r="3495" ht="12.75" x14ac:dyDescent="0.2"/>
    <row r="3496" ht="12.75" x14ac:dyDescent="0.2"/>
    <row r="3497" ht="12.75" x14ac:dyDescent="0.2"/>
    <row r="3498" ht="12.75" x14ac:dyDescent="0.2"/>
    <row r="3499" ht="12.75" x14ac:dyDescent="0.2"/>
    <row r="3500" ht="12.75" x14ac:dyDescent="0.2"/>
    <row r="3501" ht="12.75" x14ac:dyDescent="0.2"/>
    <row r="3502" ht="12.75" x14ac:dyDescent="0.2"/>
    <row r="3503" ht="12.75" x14ac:dyDescent="0.2"/>
    <row r="3504" ht="12.75" x14ac:dyDescent="0.2"/>
    <row r="3505" ht="12.75" x14ac:dyDescent="0.2"/>
    <row r="3506" ht="12.75" x14ac:dyDescent="0.2"/>
    <row r="3507" ht="12.75" x14ac:dyDescent="0.2"/>
    <row r="3508" ht="12.75" x14ac:dyDescent="0.2"/>
    <row r="3509" ht="12.75" x14ac:dyDescent="0.2"/>
    <row r="3510" ht="12.75" x14ac:dyDescent="0.2"/>
    <row r="3511" ht="12.75" x14ac:dyDescent="0.2"/>
    <row r="3512" ht="12.75" x14ac:dyDescent="0.2"/>
    <row r="3513" ht="12.75" x14ac:dyDescent="0.2"/>
    <row r="3514" ht="12.75" x14ac:dyDescent="0.2"/>
    <row r="3515" ht="12.75" x14ac:dyDescent="0.2"/>
    <row r="3516" ht="12.75" x14ac:dyDescent="0.2"/>
    <row r="3517" ht="12.75" x14ac:dyDescent="0.2"/>
    <row r="3518" ht="12.75" x14ac:dyDescent="0.2"/>
    <row r="3519" ht="12.75" x14ac:dyDescent="0.2"/>
    <row r="3520" ht="12.75" x14ac:dyDescent="0.2"/>
    <row r="3521" ht="12.75" x14ac:dyDescent="0.2"/>
    <row r="3522" ht="12.75" x14ac:dyDescent="0.2"/>
    <row r="3523" ht="12.75" x14ac:dyDescent="0.2"/>
    <row r="3524" ht="12.75" x14ac:dyDescent="0.2"/>
    <row r="3525" ht="12.75" x14ac:dyDescent="0.2"/>
    <row r="3526" ht="12.75" x14ac:dyDescent="0.2"/>
    <row r="3527" ht="12.75" x14ac:dyDescent="0.2"/>
    <row r="3528" ht="12.75" x14ac:dyDescent="0.2"/>
    <row r="3529" ht="12.75" x14ac:dyDescent="0.2"/>
    <row r="3530" ht="12.75" x14ac:dyDescent="0.2"/>
    <row r="3531" ht="12.75" x14ac:dyDescent="0.2"/>
    <row r="3532" ht="12.75" x14ac:dyDescent="0.2"/>
    <row r="3533" ht="12.75" x14ac:dyDescent="0.2"/>
    <row r="3534" ht="12.75" x14ac:dyDescent="0.2"/>
    <row r="3535" ht="12.75" x14ac:dyDescent="0.2"/>
    <row r="3536" ht="12.75" x14ac:dyDescent="0.2"/>
    <row r="3537" ht="12.75" x14ac:dyDescent="0.2"/>
    <row r="3538" ht="12.75" x14ac:dyDescent="0.2"/>
    <row r="3539" ht="12.75" x14ac:dyDescent="0.2"/>
    <row r="3540" ht="12.75" x14ac:dyDescent="0.2"/>
    <row r="3541" ht="12.75" x14ac:dyDescent="0.2"/>
    <row r="3542" ht="12.75" x14ac:dyDescent="0.2"/>
    <row r="3543" ht="12.75" x14ac:dyDescent="0.2"/>
    <row r="3544" ht="12.75" x14ac:dyDescent="0.2"/>
    <row r="3545" ht="12.75" x14ac:dyDescent="0.2"/>
    <row r="3546" ht="12.75" x14ac:dyDescent="0.2"/>
    <row r="3547" ht="12.75" x14ac:dyDescent="0.2"/>
    <row r="3548" ht="12.75" x14ac:dyDescent="0.2"/>
    <row r="3549" ht="12.75" x14ac:dyDescent="0.2"/>
    <row r="3550" ht="12.75" x14ac:dyDescent="0.2"/>
    <row r="3551" ht="12.75" x14ac:dyDescent="0.2"/>
    <row r="3552" ht="12.75" x14ac:dyDescent="0.2"/>
    <row r="3553" ht="12.75" x14ac:dyDescent="0.2"/>
    <row r="3554" ht="12.75" x14ac:dyDescent="0.2"/>
    <row r="3555" ht="12.75" x14ac:dyDescent="0.2"/>
    <row r="3556" ht="12.75" x14ac:dyDescent="0.2"/>
    <row r="3557" ht="12.75" x14ac:dyDescent="0.2"/>
    <row r="3558" ht="12.75" x14ac:dyDescent="0.2"/>
    <row r="3559" ht="12.75" x14ac:dyDescent="0.2"/>
    <row r="3560" ht="12.75" x14ac:dyDescent="0.2"/>
    <row r="3561" ht="12.75" x14ac:dyDescent="0.2"/>
    <row r="3562" ht="12.75" x14ac:dyDescent="0.2"/>
    <row r="3563" ht="12.75" x14ac:dyDescent="0.2"/>
    <row r="3564" ht="12.75" x14ac:dyDescent="0.2"/>
    <row r="3565" ht="12.75" x14ac:dyDescent="0.2"/>
    <row r="3566" ht="12.75" x14ac:dyDescent="0.2"/>
    <row r="3567" ht="12.75" x14ac:dyDescent="0.2"/>
    <row r="3568" ht="12.75" x14ac:dyDescent="0.2"/>
    <row r="3569" ht="12.75" x14ac:dyDescent="0.2"/>
    <row r="3570" ht="12.75" x14ac:dyDescent="0.2"/>
    <row r="3571" ht="12.75" x14ac:dyDescent="0.2"/>
    <row r="3572" ht="12.75" x14ac:dyDescent="0.2"/>
    <row r="3573" ht="12.75" x14ac:dyDescent="0.2"/>
    <row r="3574" ht="12.75" x14ac:dyDescent="0.2"/>
    <row r="3575" ht="12.75" x14ac:dyDescent="0.2"/>
    <row r="3576" ht="12.75" x14ac:dyDescent="0.2"/>
    <row r="3577" ht="12.75" x14ac:dyDescent="0.2"/>
    <row r="3578" ht="12.75" x14ac:dyDescent="0.2"/>
    <row r="3579" ht="12.75" x14ac:dyDescent="0.2"/>
    <row r="3580" ht="12.75" x14ac:dyDescent="0.2"/>
    <row r="3581" ht="12.75" x14ac:dyDescent="0.2"/>
    <row r="3582" ht="12.75" x14ac:dyDescent="0.2"/>
    <row r="3583" ht="12.75" x14ac:dyDescent="0.2"/>
    <row r="3584" ht="12.75" x14ac:dyDescent="0.2"/>
    <row r="3585" ht="12.75" x14ac:dyDescent="0.2"/>
    <row r="3586" ht="12.75" x14ac:dyDescent="0.2"/>
    <row r="3587" ht="12.75" x14ac:dyDescent="0.2"/>
    <row r="3588" ht="12.75" x14ac:dyDescent="0.2"/>
    <row r="3589" ht="12.75" x14ac:dyDescent="0.2"/>
    <row r="3590" ht="12.75" x14ac:dyDescent="0.2"/>
    <row r="3591" ht="12.75" x14ac:dyDescent="0.2"/>
    <row r="3592" ht="12.75" x14ac:dyDescent="0.2"/>
    <row r="3593" ht="12.75" x14ac:dyDescent="0.2"/>
    <row r="3594" ht="12.75" x14ac:dyDescent="0.2"/>
    <row r="3595" ht="12.75" x14ac:dyDescent="0.2"/>
    <row r="3596" ht="12.75" x14ac:dyDescent="0.2"/>
    <row r="3597" ht="12.75" x14ac:dyDescent="0.2"/>
    <row r="3598" ht="12.75" x14ac:dyDescent="0.2"/>
    <row r="3599" ht="12.75" x14ac:dyDescent="0.2"/>
    <row r="3600" ht="12.75" x14ac:dyDescent="0.2"/>
    <row r="3601" ht="12.75" x14ac:dyDescent="0.2"/>
    <row r="3602" ht="12.75" x14ac:dyDescent="0.2"/>
    <row r="3603" ht="12.75" x14ac:dyDescent="0.2"/>
    <row r="3604" ht="12.75" x14ac:dyDescent="0.2"/>
    <row r="3605" ht="12.75" x14ac:dyDescent="0.2"/>
    <row r="3606" ht="12.75" x14ac:dyDescent="0.2"/>
    <row r="3607" ht="12.75" x14ac:dyDescent="0.2"/>
    <row r="3608" ht="12.75" x14ac:dyDescent="0.2"/>
    <row r="3609" ht="12.75" x14ac:dyDescent="0.2"/>
    <row r="3610" ht="12.75" x14ac:dyDescent="0.2"/>
    <row r="3611" ht="12.75" x14ac:dyDescent="0.2"/>
    <row r="3612" ht="12.75" x14ac:dyDescent="0.2"/>
    <row r="3613" ht="12.75" x14ac:dyDescent="0.2"/>
    <row r="3614" ht="12.75" x14ac:dyDescent="0.2"/>
    <row r="3615" ht="12.75" x14ac:dyDescent="0.2"/>
    <row r="3616" ht="12.75" x14ac:dyDescent="0.2"/>
    <row r="3617" ht="12.75" x14ac:dyDescent="0.2"/>
    <row r="3618" ht="12.75" x14ac:dyDescent="0.2"/>
    <row r="3619" ht="12.75" x14ac:dyDescent="0.2"/>
    <row r="3620" ht="12.75" x14ac:dyDescent="0.2"/>
    <row r="3621" ht="12.75" x14ac:dyDescent="0.2"/>
    <row r="3622" ht="12.75" x14ac:dyDescent="0.2"/>
    <row r="3623" ht="12.75" x14ac:dyDescent="0.2"/>
    <row r="3624" ht="12.75" x14ac:dyDescent="0.2"/>
    <row r="3625" ht="12.75" x14ac:dyDescent="0.2"/>
    <row r="3626" ht="12.75" x14ac:dyDescent="0.2"/>
    <row r="3627" ht="12.75" x14ac:dyDescent="0.2"/>
    <row r="3628" ht="12.75" x14ac:dyDescent="0.2"/>
    <row r="3629" ht="12.75" x14ac:dyDescent="0.2"/>
    <row r="3630" ht="12.75" x14ac:dyDescent="0.2"/>
    <row r="3631" ht="12.75" x14ac:dyDescent="0.2"/>
    <row r="3632" ht="12.75" x14ac:dyDescent="0.2"/>
    <row r="3633" ht="12.75" x14ac:dyDescent="0.2"/>
    <row r="3634" ht="12.75" x14ac:dyDescent="0.2"/>
    <row r="3635" ht="12.75" x14ac:dyDescent="0.2"/>
    <row r="3636" ht="12.75" x14ac:dyDescent="0.2"/>
    <row r="3637" ht="12.75" x14ac:dyDescent="0.2"/>
    <row r="3638" ht="12.75" x14ac:dyDescent="0.2"/>
    <row r="3639" ht="12.75" x14ac:dyDescent="0.2"/>
    <row r="3640" ht="12.75" x14ac:dyDescent="0.2"/>
    <row r="3641" ht="12.75" x14ac:dyDescent="0.2"/>
    <row r="3642" ht="12.75" x14ac:dyDescent="0.2"/>
    <row r="3643" ht="12.75" x14ac:dyDescent="0.2"/>
    <row r="3644" ht="12.75" x14ac:dyDescent="0.2"/>
    <row r="3645" ht="12.75" x14ac:dyDescent="0.2"/>
    <row r="3646" ht="12.75" x14ac:dyDescent="0.2"/>
    <row r="3647" ht="12.75" x14ac:dyDescent="0.2"/>
    <row r="3648" ht="12.75" x14ac:dyDescent="0.2"/>
    <row r="3649" ht="12.75" x14ac:dyDescent="0.2"/>
    <row r="3650" ht="12.75" x14ac:dyDescent="0.2"/>
    <row r="3651" ht="12.75" x14ac:dyDescent="0.2"/>
    <row r="3652" ht="12.75" x14ac:dyDescent="0.2"/>
    <row r="3653" ht="12.75" x14ac:dyDescent="0.2"/>
    <row r="3654" ht="12.75" x14ac:dyDescent="0.2"/>
    <row r="3655" ht="12.75" x14ac:dyDescent="0.2"/>
    <row r="3656" ht="12.75" x14ac:dyDescent="0.2"/>
    <row r="3657" ht="12.75" x14ac:dyDescent="0.2"/>
    <row r="3658" ht="12.75" x14ac:dyDescent="0.2"/>
    <row r="3659" ht="12.75" x14ac:dyDescent="0.2"/>
    <row r="3660" ht="12.75" x14ac:dyDescent="0.2"/>
    <row r="3661" ht="12.75" x14ac:dyDescent="0.2"/>
    <row r="3662" ht="12.75" x14ac:dyDescent="0.2"/>
    <row r="3663" ht="12.75" x14ac:dyDescent="0.2"/>
    <row r="3664" ht="12.75" x14ac:dyDescent="0.2"/>
    <row r="3665" ht="12.75" x14ac:dyDescent="0.2"/>
    <row r="3666" ht="12.75" x14ac:dyDescent="0.2"/>
    <row r="3667" ht="12.75" x14ac:dyDescent="0.2"/>
    <row r="3668" ht="12.75" x14ac:dyDescent="0.2"/>
    <row r="3669" ht="12.75" x14ac:dyDescent="0.2"/>
    <row r="3670" ht="12.75" x14ac:dyDescent="0.2"/>
    <row r="3671" ht="12.75" x14ac:dyDescent="0.2"/>
    <row r="3672" ht="12.75" x14ac:dyDescent="0.2"/>
    <row r="3673" ht="12.75" x14ac:dyDescent="0.2"/>
    <row r="3674" ht="12.75" x14ac:dyDescent="0.2"/>
    <row r="3675" ht="12.75" x14ac:dyDescent="0.2"/>
    <row r="3676" ht="12.75" x14ac:dyDescent="0.2"/>
    <row r="3677" ht="12.75" x14ac:dyDescent="0.2"/>
    <row r="3678" ht="12.75" x14ac:dyDescent="0.2"/>
    <row r="3679" ht="12.75" x14ac:dyDescent="0.2"/>
    <row r="3680" ht="12.75" x14ac:dyDescent="0.2"/>
    <row r="3681" ht="12.75" x14ac:dyDescent="0.2"/>
    <row r="3682" ht="12.75" x14ac:dyDescent="0.2"/>
    <row r="3683" ht="12.75" x14ac:dyDescent="0.2"/>
    <row r="3684" ht="12.75" x14ac:dyDescent="0.2"/>
    <row r="3685" ht="12.75" x14ac:dyDescent="0.2"/>
    <row r="3686" ht="12.75" x14ac:dyDescent="0.2"/>
    <row r="3687" ht="12.75" x14ac:dyDescent="0.2"/>
    <row r="3688" ht="12.75" x14ac:dyDescent="0.2"/>
    <row r="3689" ht="12.75" x14ac:dyDescent="0.2"/>
    <row r="3690" ht="12.75" x14ac:dyDescent="0.2"/>
    <row r="3691" ht="12.75" x14ac:dyDescent="0.2"/>
    <row r="3692" ht="12.75" x14ac:dyDescent="0.2"/>
    <row r="3693" ht="12.75" x14ac:dyDescent="0.2"/>
    <row r="3694" ht="12.75" x14ac:dyDescent="0.2"/>
    <row r="3695" ht="12.75" x14ac:dyDescent="0.2"/>
    <row r="3696" ht="12.75" x14ac:dyDescent="0.2"/>
    <row r="3697" ht="12.75" x14ac:dyDescent="0.2"/>
    <row r="3698" ht="12.75" x14ac:dyDescent="0.2"/>
    <row r="3699" ht="12.75" x14ac:dyDescent="0.2"/>
    <row r="3700" ht="12.75" x14ac:dyDescent="0.2"/>
    <row r="3701" ht="12.75" x14ac:dyDescent="0.2"/>
    <row r="3702" ht="12.75" x14ac:dyDescent="0.2"/>
    <row r="3703" ht="12.75" x14ac:dyDescent="0.2"/>
    <row r="3704" ht="12.75" x14ac:dyDescent="0.2"/>
    <row r="3705" ht="12.75" x14ac:dyDescent="0.2"/>
    <row r="3706" ht="12.75" x14ac:dyDescent="0.2"/>
    <row r="3707" ht="12.75" x14ac:dyDescent="0.2"/>
    <row r="3708" ht="12.75" x14ac:dyDescent="0.2"/>
    <row r="3709" ht="12.75" x14ac:dyDescent="0.2"/>
    <row r="3710" ht="12.75" x14ac:dyDescent="0.2"/>
    <row r="3711" ht="12.75" x14ac:dyDescent="0.2"/>
    <row r="3712" ht="12.75" x14ac:dyDescent="0.2"/>
    <row r="3713" ht="12.75" x14ac:dyDescent="0.2"/>
    <row r="3714" ht="12.75" x14ac:dyDescent="0.2"/>
    <row r="3715" ht="12.75" x14ac:dyDescent="0.2"/>
    <row r="3716" ht="12.75" x14ac:dyDescent="0.2"/>
    <row r="3717" ht="12.75" x14ac:dyDescent="0.2"/>
    <row r="3718" ht="12.75" x14ac:dyDescent="0.2"/>
    <row r="3719" ht="12.75" x14ac:dyDescent="0.2"/>
    <row r="3720" ht="12.75" x14ac:dyDescent="0.2"/>
    <row r="3721" ht="12.75" x14ac:dyDescent="0.2"/>
    <row r="3722" ht="12.75" x14ac:dyDescent="0.2"/>
    <row r="3723" ht="12.75" x14ac:dyDescent="0.2"/>
    <row r="3724" ht="12.75" x14ac:dyDescent="0.2"/>
    <row r="3725" ht="12.75" x14ac:dyDescent="0.2"/>
    <row r="3726" ht="12.75" x14ac:dyDescent="0.2"/>
    <row r="3727" ht="12.75" x14ac:dyDescent="0.2"/>
    <row r="3728" ht="12.75" x14ac:dyDescent="0.2"/>
    <row r="3729" ht="12.75" x14ac:dyDescent="0.2"/>
    <row r="3730" ht="12.75" x14ac:dyDescent="0.2"/>
    <row r="3731" ht="12.75" x14ac:dyDescent="0.2"/>
    <row r="3732" ht="12.75" x14ac:dyDescent="0.2"/>
    <row r="3733" ht="12.75" x14ac:dyDescent="0.2"/>
    <row r="3734" ht="12.75" x14ac:dyDescent="0.2"/>
    <row r="3735" ht="12.75" x14ac:dyDescent="0.2"/>
    <row r="3736" ht="12.75" x14ac:dyDescent="0.2"/>
    <row r="3737" ht="12.75" x14ac:dyDescent="0.2"/>
    <row r="3738" ht="12.75" x14ac:dyDescent="0.2"/>
    <row r="3739" ht="12.75" x14ac:dyDescent="0.2"/>
    <row r="3740" ht="12.75" x14ac:dyDescent="0.2"/>
    <row r="3741" ht="12.75" x14ac:dyDescent="0.2"/>
    <row r="3742" ht="12.75" x14ac:dyDescent="0.2"/>
    <row r="3743" ht="12.75" x14ac:dyDescent="0.2"/>
    <row r="3744" ht="12.75" x14ac:dyDescent="0.2"/>
    <row r="3745" ht="12.75" x14ac:dyDescent="0.2"/>
    <row r="3746" ht="12.75" x14ac:dyDescent="0.2"/>
    <row r="3747" ht="12.75" x14ac:dyDescent="0.2"/>
    <row r="3748" ht="12.75" x14ac:dyDescent="0.2"/>
    <row r="3749" ht="12.75" x14ac:dyDescent="0.2"/>
    <row r="3750" ht="12.75" x14ac:dyDescent="0.2"/>
    <row r="3751" ht="12.75" x14ac:dyDescent="0.2"/>
    <row r="3752" ht="12.75" x14ac:dyDescent="0.2"/>
    <row r="3753" ht="12.75" x14ac:dyDescent="0.2"/>
    <row r="3754" ht="12.75" x14ac:dyDescent="0.2"/>
    <row r="3755" ht="12.75" x14ac:dyDescent="0.2"/>
    <row r="3756" ht="12.75" x14ac:dyDescent="0.2"/>
    <row r="3757" ht="12.75" x14ac:dyDescent="0.2"/>
    <row r="3758" ht="12.75" x14ac:dyDescent="0.2"/>
    <row r="3759" ht="12.75" x14ac:dyDescent="0.2"/>
    <row r="3760" ht="12.75" x14ac:dyDescent="0.2"/>
    <row r="3761" ht="12.75" x14ac:dyDescent="0.2"/>
    <row r="3762" ht="12.75" x14ac:dyDescent="0.2"/>
    <row r="3763" ht="12.75" x14ac:dyDescent="0.2"/>
    <row r="3764" ht="12.75" x14ac:dyDescent="0.2"/>
    <row r="3765" ht="12.75" x14ac:dyDescent="0.2"/>
    <row r="3766" ht="12.75" x14ac:dyDescent="0.2"/>
    <row r="3767" ht="12.75" x14ac:dyDescent="0.2"/>
    <row r="3768" ht="12.75" x14ac:dyDescent="0.2"/>
    <row r="3769" ht="12.75" x14ac:dyDescent="0.2"/>
    <row r="3770" ht="12.75" x14ac:dyDescent="0.2"/>
    <row r="3771" ht="12.75" x14ac:dyDescent="0.2"/>
    <row r="3772" ht="12.75" x14ac:dyDescent="0.2"/>
    <row r="3773" ht="12.75" x14ac:dyDescent="0.2"/>
    <row r="3774" ht="12.75" x14ac:dyDescent="0.2"/>
    <row r="3775" ht="12.75" x14ac:dyDescent="0.2"/>
    <row r="3776" ht="12.75" x14ac:dyDescent="0.2"/>
    <row r="3777" ht="12.75" x14ac:dyDescent="0.2"/>
    <row r="3778" ht="12.75" x14ac:dyDescent="0.2"/>
    <row r="3779" ht="12.75" x14ac:dyDescent="0.2"/>
    <row r="3780" ht="12.75" x14ac:dyDescent="0.2"/>
    <row r="3781" ht="12.75" x14ac:dyDescent="0.2"/>
    <row r="3782" ht="12.75" x14ac:dyDescent="0.2"/>
    <row r="3783" ht="12.75" x14ac:dyDescent="0.2"/>
    <row r="3784" ht="12.75" x14ac:dyDescent="0.2"/>
    <row r="3785" ht="12.75" x14ac:dyDescent="0.2"/>
    <row r="3786" ht="12.75" x14ac:dyDescent="0.2"/>
    <row r="3787" ht="12.75" x14ac:dyDescent="0.2"/>
    <row r="3788" ht="12.75" x14ac:dyDescent="0.2"/>
    <row r="3789" ht="12.75" x14ac:dyDescent="0.2"/>
    <row r="3790" ht="12.75" x14ac:dyDescent="0.2"/>
    <row r="3791" ht="12.75" x14ac:dyDescent="0.2"/>
    <row r="3792" ht="12.75" x14ac:dyDescent="0.2"/>
    <row r="3793" ht="12.75" x14ac:dyDescent="0.2"/>
    <row r="3794" ht="12.75" x14ac:dyDescent="0.2"/>
    <row r="3795" ht="12.75" x14ac:dyDescent="0.2"/>
    <row r="3796" ht="12.75" x14ac:dyDescent="0.2"/>
    <row r="3797" ht="12.75" x14ac:dyDescent="0.2"/>
    <row r="3798" ht="12.75" x14ac:dyDescent="0.2"/>
    <row r="3799" ht="12.75" x14ac:dyDescent="0.2"/>
    <row r="3800" ht="12.75" x14ac:dyDescent="0.2"/>
    <row r="3801" ht="12.75" x14ac:dyDescent="0.2"/>
    <row r="3802" ht="12.75" x14ac:dyDescent="0.2"/>
    <row r="3803" ht="12.75" x14ac:dyDescent="0.2"/>
    <row r="3804" ht="12.75" x14ac:dyDescent="0.2"/>
    <row r="3805" ht="12.75" x14ac:dyDescent="0.2"/>
    <row r="3806" ht="12.75" x14ac:dyDescent="0.2"/>
    <row r="3807" ht="12.75" x14ac:dyDescent="0.2"/>
    <row r="3808" ht="12.75" x14ac:dyDescent="0.2"/>
    <row r="3809" ht="12.75" x14ac:dyDescent="0.2"/>
    <row r="3810" ht="12.75" x14ac:dyDescent="0.2"/>
    <row r="3811" ht="12.75" x14ac:dyDescent="0.2"/>
    <row r="3812" ht="12.75" x14ac:dyDescent="0.2"/>
    <row r="3813" ht="12.75" x14ac:dyDescent="0.2"/>
    <row r="3814" ht="12.75" x14ac:dyDescent="0.2"/>
    <row r="3815" ht="12.75" x14ac:dyDescent="0.2"/>
    <row r="3816" ht="12.75" x14ac:dyDescent="0.2"/>
    <row r="3817" ht="12.75" x14ac:dyDescent="0.2"/>
    <row r="3818" ht="12.75" x14ac:dyDescent="0.2"/>
    <row r="3819" ht="12.75" x14ac:dyDescent="0.2"/>
    <row r="3820" ht="12.75" x14ac:dyDescent="0.2"/>
    <row r="3821" ht="12.75" x14ac:dyDescent="0.2"/>
    <row r="3822" ht="12.75" x14ac:dyDescent="0.2"/>
    <row r="3823" ht="12.75" x14ac:dyDescent="0.2"/>
    <row r="3824" ht="12.75" x14ac:dyDescent="0.2"/>
    <row r="3825" ht="12.75" x14ac:dyDescent="0.2"/>
    <row r="3826" ht="12.75" x14ac:dyDescent="0.2"/>
    <row r="3827" ht="12.75" x14ac:dyDescent="0.2"/>
    <row r="3828" ht="12.75" x14ac:dyDescent="0.2"/>
    <row r="3829" ht="12.75" x14ac:dyDescent="0.2"/>
    <row r="3830" ht="12.75" x14ac:dyDescent="0.2"/>
    <row r="3831" ht="12.75" x14ac:dyDescent="0.2"/>
    <row r="3832" ht="12.75" x14ac:dyDescent="0.2"/>
    <row r="3833" ht="12.75" x14ac:dyDescent="0.2"/>
    <row r="3834" ht="12.75" x14ac:dyDescent="0.2"/>
    <row r="3835" ht="12.75" x14ac:dyDescent="0.2"/>
    <row r="3836" ht="12.75" x14ac:dyDescent="0.2"/>
    <row r="3837" ht="12.75" x14ac:dyDescent="0.2"/>
    <row r="3838" ht="12.75" x14ac:dyDescent="0.2"/>
    <row r="3839" ht="12.75" x14ac:dyDescent="0.2"/>
    <row r="3840" ht="12.75" x14ac:dyDescent="0.2"/>
    <row r="3841" ht="12.75" x14ac:dyDescent="0.2"/>
    <row r="3842" ht="12.75" x14ac:dyDescent="0.2"/>
    <row r="3843" ht="12.75" x14ac:dyDescent="0.2"/>
    <row r="3844" ht="12.75" x14ac:dyDescent="0.2"/>
    <row r="3845" ht="12.75" x14ac:dyDescent="0.2"/>
    <row r="3846" ht="12.75" x14ac:dyDescent="0.2"/>
    <row r="3847" ht="12.75" x14ac:dyDescent="0.2"/>
    <row r="3848" ht="12.75" x14ac:dyDescent="0.2"/>
    <row r="3849" ht="12.75" x14ac:dyDescent="0.2"/>
    <row r="3850" ht="12.75" x14ac:dyDescent="0.2"/>
    <row r="3851" ht="12.75" x14ac:dyDescent="0.2"/>
    <row r="3852" ht="12.75" x14ac:dyDescent="0.2"/>
    <row r="3853" ht="12.75" x14ac:dyDescent="0.2"/>
    <row r="3854" ht="12.75" x14ac:dyDescent="0.2"/>
    <row r="3855" ht="12.75" x14ac:dyDescent="0.2"/>
    <row r="3856" ht="12.75" x14ac:dyDescent="0.2"/>
    <row r="3857" ht="12.75" x14ac:dyDescent="0.2"/>
    <row r="3858" ht="12.75" x14ac:dyDescent="0.2"/>
    <row r="3859" ht="12.75" x14ac:dyDescent="0.2"/>
    <row r="3860" ht="12.75" x14ac:dyDescent="0.2"/>
    <row r="3861" ht="12.75" x14ac:dyDescent="0.2"/>
    <row r="3862" ht="12.75" x14ac:dyDescent="0.2"/>
    <row r="3863" ht="12.75" x14ac:dyDescent="0.2"/>
    <row r="3864" ht="12.75" x14ac:dyDescent="0.2"/>
    <row r="3865" ht="12.75" x14ac:dyDescent="0.2"/>
    <row r="3866" ht="12.75" x14ac:dyDescent="0.2"/>
    <row r="3867" ht="12.75" x14ac:dyDescent="0.2"/>
    <row r="3868" ht="12.75" x14ac:dyDescent="0.2"/>
    <row r="3869" ht="12.75" x14ac:dyDescent="0.2"/>
    <row r="3870" ht="12.75" x14ac:dyDescent="0.2"/>
    <row r="3871" ht="12.75" x14ac:dyDescent="0.2"/>
    <row r="3872" ht="12.75" x14ac:dyDescent="0.2"/>
    <row r="3873" ht="12.75" x14ac:dyDescent="0.2"/>
    <row r="3874" ht="12.75" x14ac:dyDescent="0.2"/>
    <row r="3875" ht="12.75" x14ac:dyDescent="0.2"/>
    <row r="3876" ht="12.75" x14ac:dyDescent="0.2"/>
    <row r="3877" ht="12.75" x14ac:dyDescent="0.2"/>
    <row r="3878" ht="12.75" x14ac:dyDescent="0.2"/>
    <row r="3879" ht="12.75" x14ac:dyDescent="0.2"/>
    <row r="3880" ht="12.75" x14ac:dyDescent="0.2"/>
    <row r="3881" ht="12.75" x14ac:dyDescent="0.2"/>
    <row r="3882" ht="12.75" x14ac:dyDescent="0.2"/>
    <row r="3883" ht="12.75" x14ac:dyDescent="0.2"/>
    <row r="3884" ht="12.75" x14ac:dyDescent="0.2"/>
    <row r="3885" ht="12.75" x14ac:dyDescent="0.2"/>
    <row r="3886" ht="12.75" x14ac:dyDescent="0.2"/>
    <row r="3887" ht="12.75" x14ac:dyDescent="0.2"/>
    <row r="3888" ht="12.75" x14ac:dyDescent="0.2"/>
    <row r="3889" ht="12.75" x14ac:dyDescent="0.2"/>
    <row r="3890" ht="12.75" x14ac:dyDescent="0.2"/>
    <row r="3891" ht="12.75" x14ac:dyDescent="0.2"/>
    <row r="3892" ht="12.75" x14ac:dyDescent="0.2"/>
    <row r="3893" ht="12.75" x14ac:dyDescent="0.2"/>
    <row r="3894" ht="12.75" x14ac:dyDescent="0.2"/>
    <row r="3895" ht="12.75" x14ac:dyDescent="0.2"/>
    <row r="3896" ht="12.75" x14ac:dyDescent="0.2"/>
    <row r="3897" ht="12.75" x14ac:dyDescent="0.2"/>
    <row r="3898" ht="12.75" x14ac:dyDescent="0.2"/>
    <row r="3899" ht="12.75" x14ac:dyDescent="0.2"/>
    <row r="3900" ht="12.75" x14ac:dyDescent="0.2"/>
    <row r="3901" ht="12.75" x14ac:dyDescent="0.2"/>
    <row r="3902" ht="12.75" x14ac:dyDescent="0.2"/>
    <row r="3903" ht="12.75" x14ac:dyDescent="0.2"/>
    <row r="3904" ht="12.75" x14ac:dyDescent="0.2"/>
    <row r="3905" ht="12.75" x14ac:dyDescent="0.2"/>
    <row r="3906" ht="12.75" x14ac:dyDescent="0.2"/>
    <row r="3907" ht="12.75" x14ac:dyDescent="0.2"/>
    <row r="3908" ht="12.75" x14ac:dyDescent="0.2"/>
    <row r="3909" ht="12.75" x14ac:dyDescent="0.2"/>
    <row r="3910" ht="12.75" x14ac:dyDescent="0.2"/>
    <row r="3911" ht="12.75" x14ac:dyDescent="0.2"/>
    <row r="3912" ht="12.75" x14ac:dyDescent="0.2"/>
    <row r="3913" ht="12.75" x14ac:dyDescent="0.2"/>
    <row r="3914" ht="12.75" x14ac:dyDescent="0.2"/>
    <row r="3915" ht="12.75" x14ac:dyDescent="0.2"/>
    <row r="3916" ht="12.75" x14ac:dyDescent="0.2"/>
    <row r="3917" ht="12.75" x14ac:dyDescent="0.2"/>
    <row r="3918" ht="12.75" x14ac:dyDescent="0.2"/>
    <row r="3919" ht="12.75" x14ac:dyDescent="0.2"/>
    <row r="3920" ht="12.75" x14ac:dyDescent="0.2"/>
    <row r="3921" ht="12.75" x14ac:dyDescent="0.2"/>
    <row r="3922" ht="12.75" x14ac:dyDescent="0.2"/>
    <row r="3923" ht="12.75" x14ac:dyDescent="0.2"/>
    <row r="3924" ht="12.75" x14ac:dyDescent="0.2"/>
    <row r="3925" ht="12.75" x14ac:dyDescent="0.2"/>
    <row r="3926" ht="12.75" x14ac:dyDescent="0.2"/>
    <row r="3927" ht="12.75" x14ac:dyDescent="0.2"/>
    <row r="3928" ht="12.75" x14ac:dyDescent="0.2"/>
    <row r="3929" ht="12.75" x14ac:dyDescent="0.2"/>
    <row r="3930" ht="12.75" x14ac:dyDescent="0.2"/>
    <row r="3931" ht="12.75" x14ac:dyDescent="0.2"/>
    <row r="3932" ht="12.75" x14ac:dyDescent="0.2"/>
    <row r="3933" ht="12.75" x14ac:dyDescent="0.2"/>
    <row r="3934" ht="12.75" x14ac:dyDescent="0.2"/>
    <row r="3935" ht="12.75" x14ac:dyDescent="0.2"/>
    <row r="3936" ht="12.75" x14ac:dyDescent="0.2"/>
    <row r="3937" ht="12.75" x14ac:dyDescent="0.2"/>
    <row r="3938" ht="12.75" x14ac:dyDescent="0.2"/>
    <row r="3939" ht="12.75" x14ac:dyDescent="0.2"/>
    <row r="3940" ht="12.75" x14ac:dyDescent="0.2"/>
    <row r="3941" ht="12.75" x14ac:dyDescent="0.2"/>
    <row r="3942" ht="12.75" x14ac:dyDescent="0.2"/>
    <row r="3943" ht="12.75" x14ac:dyDescent="0.2"/>
    <row r="3944" ht="12.75" x14ac:dyDescent="0.2"/>
    <row r="3945" ht="12.75" x14ac:dyDescent="0.2"/>
    <row r="3946" ht="12.75" x14ac:dyDescent="0.2"/>
    <row r="3947" ht="12.75" x14ac:dyDescent="0.2"/>
    <row r="3948" ht="12.75" x14ac:dyDescent="0.2"/>
    <row r="3949" ht="12.75" x14ac:dyDescent="0.2"/>
    <row r="3950" ht="12.75" x14ac:dyDescent="0.2"/>
    <row r="3951" ht="12.75" x14ac:dyDescent="0.2"/>
    <row r="3952" ht="12.75" x14ac:dyDescent="0.2"/>
    <row r="3953" ht="12.75" x14ac:dyDescent="0.2"/>
    <row r="3954" ht="12.75" x14ac:dyDescent="0.2"/>
    <row r="3955" ht="12.75" x14ac:dyDescent="0.2"/>
    <row r="3956" ht="12.75" x14ac:dyDescent="0.2"/>
    <row r="3957" ht="12.75" x14ac:dyDescent="0.2"/>
    <row r="3958" ht="12.75" x14ac:dyDescent="0.2"/>
    <row r="3959" ht="12.75" x14ac:dyDescent="0.2"/>
    <row r="3960" ht="12.75" x14ac:dyDescent="0.2"/>
    <row r="3961" ht="12.75" x14ac:dyDescent="0.2"/>
    <row r="3962" ht="12.75" x14ac:dyDescent="0.2"/>
    <row r="3963" ht="12.75" x14ac:dyDescent="0.2"/>
    <row r="3964" ht="12.75" x14ac:dyDescent="0.2"/>
    <row r="3965" ht="12.75" x14ac:dyDescent="0.2"/>
    <row r="3966" ht="12.75" x14ac:dyDescent="0.2"/>
    <row r="3967" ht="12.75" x14ac:dyDescent="0.2"/>
    <row r="3968" ht="12.75" x14ac:dyDescent="0.2"/>
    <row r="3969" ht="12.75" x14ac:dyDescent="0.2"/>
    <row r="3970" ht="12.75" x14ac:dyDescent="0.2"/>
    <row r="3971" ht="12.75" x14ac:dyDescent="0.2"/>
    <row r="3972" ht="12.75" x14ac:dyDescent="0.2"/>
    <row r="3973" ht="12.75" x14ac:dyDescent="0.2"/>
    <row r="3974" ht="12.75" x14ac:dyDescent="0.2"/>
    <row r="3975" ht="12.75" x14ac:dyDescent="0.2"/>
    <row r="3976" ht="12.75" x14ac:dyDescent="0.2"/>
    <row r="3977" ht="12.75" x14ac:dyDescent="0.2"/>
    <row r="3978" ht="12.75" x14ac:dyDescent="0.2"/>
    <row r="3979" ht="12.75" x14ac:dyDescent="0.2"/>
    <row r="3980" ht="12.75" x14ac:dyDescent="0.2"/>
    <row r="3981" ht="12.75" x14ac:dyDescent="0.2"/>
    <row r="3982" ht="12.75" x14ac:dyDescent="0.2"/>
    <row r="3983" ht="12.75" x14ac:dyDescent="0.2"/>
    <row r="3984" ht="12.75" x14ac:dyDescent="0.2"/>
    <row r="3985" ht="12.75" x14ac:dyDescent="0.2"/>
    <row r="3986" ht="12.75" x14ac:dyDescent="0.2"/>
    <row r="3987" ht="12.75" x14ac:dyDescent="0.2"/>
    <row r="3988" ht="12.75" x14ac:dyDescent="0.2"/>
    <row r="3989" ht="12.75" x14ac:dyDescent="0.2"/>
    <row r="3990" ht="12.75" x14ac:dyDescent="0.2"/>
    <row r="3991" ht="12.75" x14ac:dyDescent="0.2"/>
    <row r="3992" ht="12.75" x14ac:dyDescent="0.2"/>
    <row r="3993" ht="12.75" x14ac:dyDescent="0.2"/>
    <row r="3994" ht="12.75" x14ac:dyDescent="0.2"/>
    <row r="3995" ht="12.75" x14ac:dyDescent="0.2"/>
    <row r="3996" ht="12.75" x14ac:dyDescent="0.2"/>
    <row r="3997" ht="12.75" x14ac:dyDescent="0.2"/>
    <row r="3998" ht="12.75" x14ac:dyDescent="0.2"/>
    <row r="3999" ht="12.75" x14ac:dyDescent="0.2"/>
    <row r="4000" ht="12.75" x14ac:dyDescent="0.2"/>
    <row r="4001" ht="12.75" x14ac:dyDescent="0.2"/>
    <row r="4002" ht="12.75" x14ac:dyDescent="0.2"/>
    <row r="4003" ht="12.75" x14ac:dyDescent="0.2"/>
    <row r="4004" ht="12.75" x14ac:dyDescent="0.2"/>
    <row r="4005" ht="12.75" x14ac:dyDescent="0.2"/>
    <row r="4006" ht="12.75" x14ac:dyDescent="0.2"/>
    <row r="4007" ht="12.75" x14ac:dyDescent="0.2"/>
    <row r="4008" ht="12.75" x14ac:dyDescent="0.2"/>
    <row r="4009" ht="12.75" x14ac:dyDescent="0.2"/>
    <row r="4010" ht="12.75" x14ac:dyDescent="0.2"/>
    <row r="4011" ht="12.75" x14ac:dyDescent="0.2"/>
    <row r="4012" ht="12.75" x14ac:dyDescent="0.2"/>
    <row r="4013" ht="12.75" x14ac:dyDescent="0.2"/>
    <row r="4014" ht="12.75" x14ac:dyDescent="0.2"/>
    <row r="4015" ht="12.75" x14ac:dyDescent="0.2"/>
    <row r="4016" ht="12.75" x14ac:dyDescent="0.2"/>
    <row r="4017" ht="12.75" x14ac:dyDescent="0.2"/>
    <row r="4018" ht="12.75" x14ac:dyDescent="0.2"/>
    <row r="4019" ht="12.75" x14ac:dyDescent="0.2"/>
    <row r="4020" ht="12.75" x14ac:dyDescent="0.2"/>
    <row r="4021" ht="12.75" x14ac:dyDescent="0.2"/>
    <row r="4022" ht="12.75" x14ac:dyDescent="0.2"/>
    <row r="4023" ht="12.75" x14ac:dyDescent="0.2"/>
    <row r="4024" ht="12.75" x14ac:dyDescent="0.2"/>
    <row r="4025" ht="12.75" x14ac:dyDescent="0.2"/>
    <row r="4026" ht="12.75" x14ac:dyDescent="0.2"/>
    <row r="4027" ht="12.75" x14ac:dyDescent="0.2"/>
    <row r="4028" ht="12.75" x14ac:dyDescent="0.2"/>
    <row r="4029" ht="12.75" x14ac:dyDescent="0.2"/>
    <row r="4030" ht="12.75" x14ac:dyDescent="0.2"/>
    <row r="4031" ht="12.75" x14ac:dyDescent="0.2"/>
    <row r="4032" ht="12.75" x14ac:dyDescent="0.2"/>
    <row r="4033" ht="12.75" x14ac:dyDescent="0.2"/>
    <row r="4034" ht="12.75" x14ac:dyDescent="0.2"/>
    <row r="4035" ht="12.75" x14ac:dyDescent="0.2"/>
    <row r="4036" ht="12.75" x14ac:dyDescent="0.2"/>
    <row r="4037" ht="12.75" x14ac:dyDescent="0.2"/>
    <row r="4038" ht="12.75" x14ac:dyDescent="0.2"/>
    <row r="4039" ht="12.75" x14ac:dyDescent="0.2"/>
    <row r="4040" ht="12.75" x14ac:dyDescent="0.2"/>
    <row r="4041" ht="12.75" x14ac:dyDescent="0.2"/>
    <row r="4042" ht="12.75" x14ac:dyDescent="0.2"/>
    <row r="4043" ht="12.75" x14ac:dyDescent="0.2"/>
    <row r="4044" ht="12.75" x14ac:dyDescent="0.2"/>
    <row r="4045" ht="12.75" x14ac:dyDescent="0.2"/>
    <row r="4046" ht="12.75" x14ac:dyDescent="0.2"/>
    <row r="4047" ht="12.75" x14ac:dyDescent="0.2"/>
    <row r="4048" ht="12.75" x14ac:dyDescent="0.2"/>
    <row r="4049" ht="12.75" x14ac:dyDescent="0.2"/>
    <row r="4050" ht="12.75" x14ac:dyDescent="0.2"/>
    <row r="4051" ht="12.75" x14ac:dyDescent="0.2"/>
    <row r="4052" ht="12.75" x14ac:dyDescent="0.2"/>
    <row r="4053" ht="12.75" x14ac:dyDescent="0.2"/>
    <row r="4054" ht="12.75" x14ac:dyDescent="0.2"/>
    <row r="4055" ht="12.75" x14ac:dyDescent="0.2"/>
    <row r="4056" ht="12.75" x14ac:dyDescent="0.2"/>
    <row r="4057" ht="12.75" x14ac:dyDescent="0.2"/>
    <row r="4058" ht="12.75" x14ac:dyDescent="0.2"/>
    <row r="4059" ht="12.75" x14ac:dyDescent="0.2"/>
    <row r="4060" ht="12.75" x14ac:dyDescent="0.2"/>
    <row r="4061" ht="12.75" x14ac:dyDescent="0.2"/>
    <row r="4062" ht="12.75" x14ac:dyDescent="0.2"/>
    <row r="4063" ht="12.75" x14ac:dyDescent="0.2"/>
    <row r="4064" ht="12.75" x14ac:dyDescent="0.2"/>
    <row r="4065" ht="12.75" x14ac:dyDescent="0.2"/>
    <row r="4066" ht="12.75" x14ac:dyDescent="0.2"/>
    <row r="4067" ht="12.75" x14ac:dyDescent="0.2"/>
    <row r="4068" ht="12.75" x14ac:dyDescent="0.2"/>
    <row r="4069" ht="12.75" x14ac:dyDescent="0.2"/>
    <row r="4070" ht="12.75" x14ac:dyDescent="0.2"/>
    <row r="4071" ht="12.75" x14ac:dyDescent="0.2"/>
    <row r="4072" ht="12.75" x14ac:dyDescent="0.2"/>
    <row r="4073" ht="12.75" x14ac:dyDescent="0.2"/>
    <row r="4074" ht="12.75" x14ac:dyDescent="0.2"/>
    <row r="4075" ht="12.75" x14ac:dyDescent="0.2"/>
    <row r="4076" ht="12.75" x14ac:dyDescent="0.2"/>
    <row r="4077" ht="12.75" x14ac:dyDescent="0.2"/>
    <row r="4078" ht="12.75" x14ac:dyDescent="0.2"/>
    <row r="4079" ht="12.75" x14ac:dyDescent="0.2"/>
    <row r="4080" ht="12.75" x14ac:dyDescent="0.2"/>
    <row r="4081" ht="12.75" x14ac:dyDescent="0.2"/>
    <row r="4082" ht="12.75" x14ac:dyDescent="0.2"/>
    <row r="4083" ht="12.75" x14ac:dyDescent="0.2"/>
    <row r="4084" ht="12.75" x14ac:dyDescent="0.2"/>
    <row r="4085" ht="12.75" x14ac:dyDescent="0.2"/>
    <row r="4086" ht="12.75" x14ac:dyDescent="0.2"/>
    <row r="4087" ht="12.75" x14ac:dyDescent="0.2"/>
    <row r="4088" ht="12.75" x14ac:dyDescent="0.2"/>
    <row r="4089" ht="12.75" x14ac:dyDescent="0.2"/>
    <row r="4090" ht="12.75" x14ac:dyDescent="0.2"/>
    <row r="4091" ht="12.75" x14ac:dyDescent="0.2"/>
    <row r="4092" ht="12.75" x14ac:dyDescent="0.2"/>
    <row r="4093" ht="12.75" x14ac:dyDescent="0.2"/>
    <row r="4094" ht="12.75" x14ac:dyDescent="0.2"/>
    <row r="4095" ht="12.75" x14ac:dyDescent="0.2"/>
    <row r="4096" ht="12.75" x14ac:dyDescent="0.2"/>
    <row r="4097" ht="12.75" x14ac:dyDescent="0.2"/>
    <row r="4098" ht="12.75" x14ac:dyDescent="0.2"/>
    <row r="4099" ht="12.75" x14ac:dyDescent="0.2"/>
    <row r="4100" ht="12.75" x14ac:dyDescent="0.2"/>
    <row r="4101" ht="12.75" x14ac:dyDescent="0.2"/>
    <row r="4102" ht="12.75" x14ac:dyDescent="0.2"/>
    <row r="4103" ht="12.75" x14ac:dyDescent="0.2"/>
    <row r="4104" ht="12.75" x14ac:dyDescent="0.2"/>
    <row r="4105" ht="12.75" x14ac:dyDescent="0.2"/>
    <row r="4106" ht="12.75" x14ac:dyDescent="0.2"/>
    <row r="4107" ht="12.75" x14ac:dyDescent="0.2"/>
    <row r="4108" ht="12.75" x14ac:dyDescent="0.2"/>
    <row r="4109" ht="12.75" x14ac:dyDescent="0.2"/>
    <row r="4110" ht="12.75" x14ac:dyDescent="0.2"/>
    <row r="4111" ht="12.75" x14ac:dyDescent="0.2"/>
    <row r="4112" ht="12.75" x14ac:dyDescent="0.2"/>
    <row r="4113" ht="12.75" x14ac:dyDescent="0.2"/>
    <row r="4114" ht="12.75" x14ac:dyDescent="0.2"/>
    <row r="4115" ht="12.75" x14ac:dyDescent="0.2"/>
    <row r="4116" ht="12.75" x14ac:dyDescent="0.2"/>
    <row r="4117" ht="12.75" x14ac:dyDescent="0.2"/>
    <row r="4118" ht="12.75" x14ac:dyDescent="0.2"/>
    <row r="4119" ht="12.75" x14ac:dyDescent="0.2"/>
    <row r="4120" ht="12.75" x14ac:dyDescent="0.2"/>
    <row r="4121" ht="12.75" x14ac:dyDescent="0.2"/>
    <row r="4122" ht="12.75" x14ac:dyDescent="0.2"/>
    <row r="4123" ht="12.75" x14ac:dyDescent="0.2"/>
    <row r="4124" ht="12.75" x14ac:dyDescent="0.2"/>
    <row r="4125" ht="12.75" x14ac:dyDescent="0.2"/>
    <row r="4126" ht="12.75" x14ac:dyDescent="0.2"/>
    <row r="4127" ht="12.75" x14ac:dyDescent="0.2"/>
    <row r="4128" ht="12.75" x14ac:dyDescent="0.2"/>
    <row r="4129" ht="12.75" x14ac:dyDescent="0.2"/>
    <row r="4130" ht="12.75" x14ac:dyDescent="0.2"/>
    <row r="4131" ht="12.75" x14ac:dyDescent="0.2"/>
    <row r="4132" ht="12.75" x14ac:dyDescent="0.2"/>
    <row r="4133" ht="12.75" x14ac:dyDescent="0.2"/>
    <row r="4134" ht="12.75" x14ac:dyDescent="0.2"/>
    <row r="4135" ht="12.75" x14ac:dyDescent="0.2"/>
    <row r="4136" ht="12.75" x14ac:dyDescent="0.2"/>
    <row r="4137" ht="12.75" x14ac:dyDescent="0.2"/>
    <row r="4138" ht="12.75" x14ac:dyDescent="0.2"/>
    <row r="4139" ht="12.75" x14ac:dyDescent="0.2"/>
    <row r="4140" ht="12.75" x14ac:dyDescent="0.2"/>
    <row r="4141" ht="12.75" x14ac:dyDescent="0.2"/>
    <row r="4142" ht="12.75" x14ac:dyDescent="0.2"/>
    <row r="4143" ht="12.75" x14ac:dyDescent="0.2"/>
    <row r="4144" ht="12.75" x14ac:dyDescent="0.2"/>
    <row r="4145" ht="12.75" x14ac:dyDescent="0.2"/>
    <row r="4146" ht="12.75" x14ac:dyDescent="0.2"/>
    <row r="4147" ht="12.75" x14ac:dyDescent="0.2"/>
    <row r="4148" ht="12.75" x14ac:dyDescent="0.2"/>
    <row r="4149" ht="12.75" x14ac:dyDescent="0.2"/>
    <row r="4150" ht="12.75" x14ac:dyDescent="0.2"/>
    <row r="4151" ht="12.75" x14ac:dyDescent="0.2"/>
    <row r="4152" ht="12.75" x14ac:dyDescent="0.2"/>
    <row r="4153" ht="12.75" x14ac:dyDescent="0.2"/>
    <row r="4154" ht="12.75" x14ac:dyDescent="0.2"/>
    <row r="4155" ht="12.75" x14ac:dyDescent="0.2"/>
    <row r="4156" ht="12.75" x14ac:dyDescent="0.2"/>
    <row r="4157" ht="12.75" x14ac:dyDescent="0.2"/>
    <row r="4158" ht="12.75" x14ac:dyDescent="0.2"/>
    <row r="4159" ht="12.75" x14ac:dyDescent="0.2"/>
    <row r="4160" ht="12.75" x14ac:dyDescent="0.2"/>
    <row r="4161" ht="12.75" x14ac:dyDescent="0.2"/>
    <row r="4162" ht="12.75" x14ac:dyDescent="0.2"/>
    <row r="4163" ht="12.75" x14ac:dyDescent="0.2"/>
    <row r="4164" ht="12.75" x14ac:dyDescent="0.2"/>
    <row r="4165" ht="12.75" x14ac:dyDescent="0.2"/>
    <row r="4166" ht="12.75" x14ac:dyDescent="0.2"/>
    <row r="4167" ht="12.75" x14ac:dyDescent="0.2"/>
    <row r="4168" ht="12.75" x14ac:dyDescent="0.2"/>
    <row r="4169" ht="12.75" x14ac:dyDescent="0.2"/>
    <row r="4170" ht="12.75" x14ac:dyDescent="0.2"/>
    <row r="4171" ht="12.75" x14ac:dyDescent="0.2"/>
    <row r="4172" ht="12.75" x14ac:dyDescent="0.2"/>
    <row r="4173" ht="12.75" x14ac:dyDescent="0.2"/>
    <row r="4174" ht="12.75" x14ac:dyDescent="0.2"/>
    <row r="4175" ht="12.75" x14ac:dyDescent="0.2"/>
    <row r="4176" ht="12.75" x14ac:dyDescent="0.2"/>
    <row r="4177" ht="12.75" x14ac:dyDescent="0.2"/>
    <row r="4178" ht="12.75" x14ac:dyDescent="0.2"/>
    <row r="4179" ht="12.75" x14ac:dyDescent="0.2"/>
    <row r="4180" ht="12.75" x14ac:dyDescent="0.2"/>
    <row r="4181" ht="12.75" x14ac:dyDescent="0.2"/>
    <row r="4182" ht="12.75" x14ac:dyDescent="0.2"/>
    <row r="4183" ht="12.75" x14ac:dyDescent="0.2"/>
    <row r="4184" ht="12.75" x14ac:dyDescent="0.2"/>
    <row r="4185" ht="12.75" x14ac:dyDescent="0.2"/>
    <row r="4186" ht="12.75" x14ac:dyDescent="0.2"/>
    <row r="4187" ht="12.75" x14ac:dyDescent="0.2"/>
    <row r="4188" ht="12.75" x14ac:dyDescent="0.2"/>
    <row r="4189" ht="12.75" x14ac:dyDescent="0.2"/>
    <row r="4190" ht="12.75" x14ac:dyDescent="0.2"/>
    <row r="4191" ht="12.75" x14ac:dyDescent="0.2"/>
    <row r="4192" ht="12.75" x14ac:dyDescent="0.2"/>
    <row r="4193" ht="12.75" x14ac:dyDescent="0.2"/>
    <row r="4194" ht="12.75" x14ac:dyDescent="0.2"/>
    <row r="4195" ht="12.75" x14ac:dyDescent="0.2"/>
    <row r="4196" ht="12.75" x14ac:dyDescent="0.2"/>
    <row r="4197" ht="12.75" x14ac:dyDescent="0.2"/>
    <row r="4198" ht="12.75" x14ac:dyDescent="0.2"/>
    <row r="4199" ht="12.75" x14ac:dyDescent="0.2"/>
    <row r="4200" ht="12.75" x14ac:dyDescent="0.2"/>
    <row r="4201" ht="12.75" x14ac:dyDescent="0.2"/>
    <row r="4202" ht="12.75" x14ac:dyDescent="0.2"/>
    <row r="4203" ht="12.75" x14ac:dyDescent="0.2"/>
    <row r="4204" ht="12.75" x14ac:dyDescent="0.2"/>
    <row r="4205" ht="12.75" x14ac:dyDescent="0.2"/>
    <row r="4206" ht="12.75" x14ac:dyDescent="0.2"/>
    <row r="4207" ht="12.75" x14ac:dyDescent="0.2"/>
    <row r="4208" ht="12.75" x14ac:dyDescent="0.2"/>
    <row r="4209" ht="12.75" x14ac:dyDescent="0.2"/>
    <row r="4210" ht="12.75" x14ac:dyDescent="0.2"/>
    <row r="4211" ht="12.75" x14ac:dyDescent="0.2"/>
    <row r="4212" ht="12.75" x14ac:dyDescent="0.2"/>
    <row r="4213" ht="12.75" x14ac:dyDescent="0.2"/>
    <row r="4214" ht="12.75" x14ac:dyDescent="0.2"/>
    <row r="4215" ht="12.75" x14ac:dyDescent="0.2"/>
    <row r="4216" ht="12.75" x14ac:dyDescent="0.2"/>
    <row r="4217" ht="12.75" x14ac:dyDescent="0.2"/>
    <row r="4218" ht="12.75" x14ac:dyDescent="0.2"/>
    <row r="4219" ht="12.75" x14ac:dyDescent="0.2"/>
    <row r="4220" ht="12.75" x14ac:dyDescent="0.2"/>
    <row r="4221" ht="12.75" x14ac:dyDescent="0.2"/>
    <row r="4222" ht="12.75" x14ac:dyDescent="0.2"/>
    <row r="4223" ht="12.75" x14ac:dyDescent="0.2"/>
    <row r="4224" ht="12.75" x14ac:dyDescent="0.2"/>
    <row r="4225" ht="12.75" x14ac:dyDescent="0.2"/>
    <row r="4226" ht="12.75" x14ac:dyDescent="0.2"/>
    <row r="4227" ht="12.75" x14ac:dyDescent="0.2"/>
    <row r="4228" ht="12.75" x14ac:dyDescent="0.2"/>
    <row r="4229" ht="12.75" x14ac:dyDescent="0.2"/>
    <row r="4230" ht="12.75" x14ac:dyDescent="0.2"/>
    <row r="4231" ht="12.75" x14ac:dyDescent="0.2"/>
    <row r="4232" ht="12.75" x14ac:dyDescent="0.2"/>
    <row r="4233" ht="12.75" x14ac:dyDescent="0.2"/>
    <row r="4234" ht="12.75" x14ac:dyDescent="0.2"/>
    <row r="4235" ht="12.75" x14ac:dyDescent="0.2"/>
    <row r="4236" ht="12.75" x14ac:dyDescent="0.2"/>
    <row r="4237" ht="12.75" x14ac:dyDescent="0.2"/>
    <row r="4238" ht="12.75" x14ac:dyDescent="0.2"/>
    <row r="4239" ht="12.75" x14ac:dyDescent="0.2"/>
    <row r="4240" ht="12.75" x14ac:dyDescent="0.2"/>
    <row r="4241" ht="12.75" x14ac:dyDescent="0.2"/>
    <row r="4242" ht="12.75" x14ac:dyDescent="0.2"/>
    <row r="4243" ht="12.75" x14ac:dyDescent="0.2"/>
    <row r="4244" ht="12.75" x14ac:dyDescent="0.2"/>
    <row r="4245" ht="12.75" x14ac:dyDescent="0.2"/>
    <row r="4246" ht="12.75" x14ac:dyDescent="0.2"/>
    <row r="4247" ht="12.75" x14ac:dyDescent="0.2"/>
    <row r="4248" ht="12.75" x14ac:dyDescent="0.2"/>
    <row r="4249" ht="12.75" x14ac:dyDescent="0.2"/>
    <row r="4250" ht="12.75" x14ac:dyDescent="0.2"/>
    <row r="4251" ht="12.75" x14ac:dyDescent="0.2"/>
    <row r="4252" ht="12.75" x14ac:dyDescent="0.2"/>
    <row r="4253" ht="12.75" x14ac:dyDescent="0.2"/>
    <row r="4254" ht="12.75" x14ac:dyDescent="0.2"/>
    <row r="4255" ht="12.75" x14ac:dyDescent="0.2"/>
    <row r="4256" ht="12.75" x14ac:dyDescent="0.2"/>
    <row r="4257" ht="12.75" x14ac:dyDescent="0.2"/>
    <row r="4258" ht="12.75" x14ac:dyDescent="0.2"/>
    <row r="4259" ht="12.75" x14ac:dyDescent="0.2"/>
    <row r="4260" ht="12.75" x14ac:dyDescent="0.2"/>
    <row r="4261" ht="12.75" x14ac:dyDescent="0.2"/>
    <row r="4262" ht="12.75" x14ac:dyDescent="0.2"/>
    <row r="4263" ht="12.75" x14ac:dyDescent="0.2"/>
    <row r="4264" ht="12.75" x14ac:dyDescent="0.2"/>
    <row r="4265" ht="12.75" x14ac:dyDescent="0.2"/>
    <row r="4266" ht="12.75" x14ac:dyDescent="0.2"/>
    <row r="4267" ht="12.75" x14ac:dyDescent="0.2"/>
    <row r="4268" ht="12.75" x14ac:dyDescent="0.2"/>
    <row r="4269" ht="12.75" x14ac:dyDescent="0.2"/>
    <row r="4270" ht="12.75" x14ac:dyDescent="0.2"/>
    <row r="4271" ht="12.75" x14ac:dyDescent="0.2"/>
    <row r="4272" ht="12.75" x14ac:dyDescent="0.2"/>
    <row r="4273" ht="12.75" x14ac:dyDescent="0.2"/>
    <row r="4274" ht="12.75" x14ac:dyDescent="0.2"/>
    <row r="4275" ht="12.75" x14ac:dyDescent="0.2"/>
    <row r="4276" ht="12.75" x14ac:dyDescent="0.2"/>
    <row r="4277" ht="12.75" x14ac:dyDescent="0.2"/>
    <row r="4278" ht="12.75" x14ac:dyDescent="0.2"/>
    <row r="4279" ht="12.75" x14ac:dyDescent="0.2"/>
    <row r="4280" ht="12.75" x14ac:dyDescent="0.2"/>
    <row r="4281" ht="12.75" x14ac:dyDescent="0.2"/>
    <row r="4282" ht="12.75" x14ac:dyDescent="0.2"/>
    <row r="4283" ht="12.75" x14ac:dyDescent="0.2"/>
    <row r="4284" ht="12.75" x14ac:dyDescent="0.2"/>
    <row r="4285" ht="12.75" x14ac:dyDescent="0.2"/>
    <row r="4286" ht="12.75" x14ac:dyDescent="0.2"/>
    <row r="4287" ht="12.75" x14ac:dyDescent="0.2"/>
    <row r="4288" ht="12.75" x14ac:dyDescent="0.2"/>
    <row r="4289" ht="12.75" x14ac:dyDescent="0.2"/>
    <row r="4290" ht="12.75" x14ac:dyDescent="0.2"/>
    <row r="4291" ht="12.75" x14ac:dyDescent="0.2"/>
    <row r="4292" ht="12.75" x14ac:dyDescent="0.2"/>
    <row r="4293" ht="12.75" x14ac:dyDescent="0.2"/>
    <row r="4294" ht="12.75" x14ac:dyDescent="0.2"/>
    <row r="4295" ht="12.75" x14ac:dyDescent="0.2"/>
    <row r="4296" ht="12.75" x14ac:dyDescent="0.2"/>
    <row r="4297" ht="12.75" x14ac:dyDescent="0.2"/>
    <row r="4298" ht="12.75" x14ac:dyDescent="0.2"/>
    <row r="4299" ht="12.75" x14ac:dyDescent="0.2"/>
    <row r="4300" ht="12.75" x14ac:dyDescent="0.2"/>
    <row r="4301" ht="12.75" x14ac:dyDescent="0.2"/>
    <row r="4302" ht="12.75" x14ac:dyDescent="0.2"/>
    <row r="4303" ht="12.75" x14ac:dyDescent="0.2"/>
    <row r="4304" ht="12.75" x14ac:dyDescent="0.2"/>
    <row r="4305" ht="12.75" x14ac:dyDescent="0.2"/>
    <row r="4306" ht="12.75" x14ac:dyDescent="0.2"/>
    <row r="4307" ht="12.75" x14ac:dyDescent="0.2"/>
    <row r="4308" ht="12.75" x14ac:dyDescent="0.2"/>
    <row r="4309" ht="12.75" x14ac:dyDescent="0.2"/>
    <row r="4310" ht="12.75" x14ac:dyDescent="0.2"/>
    <row r="4311" ht="12.75" x14ac:dyDescent="0.2"/>
    <row r="4312" ht="12.75" x14ac:dyDescent="0.2"/>
    <row r="4313" ht="12.75" x14ac:dyDescent="0.2"/>
    <row r="4314" ht="12.75" x14ac:dyDescent="0.2"/>
    <row r="4315" ht="12.75" x14ac:dyDescent="0.2"/>
    <row r="4316" ht="12.75" x14ac:dyDescent="0.2"/>
    <row r="4317" ht="12.75" x14ac:dyDescent="0.2"/>
    <row r="4318" ht="12.75" x14ac:dyDescent="0.2"/>
    <row r="4319" ht="12.75" x14ac:dyDescent="0.2"/>
    <row r="4320" ht="12.75" x14ac:dyDescent="0.2"/>
    <row r="4321" ht="12.75" x14ac:dyDescent="0.2"/>
    <row r="4322" ht="12.75" x14ac:dyDescent="0.2"/>
    <row r="4323" ht="12.75" x14ac:dyDescent="0.2"/>
    <row r="4324" ht="12.75" x14ac:dyDescent="0.2"/>
    <row r="4325" ht="12.75" x14ac:dyDescent="0.2"/>
    <row r="4326" ht="12.75" x14ac:dyDescent="0.2"/>
    <row r="4327" ht="12.75" x14ac:dyDescent="0.2"/>
    <row r="4328" ht="12.75" x14ac:dyDescent="0.2"/>
    <row r="4329" ht="12.75" x14ac:dyDescent="0.2"/>
    <row r="4330" ht="12.75" x14ac:dyDescent="0.2"/>
    <row r="4331" ht="12.75" x14ac:dyDescent="0.2"/>
    <row r="4332" ht="12.75" x14ac:dyDescent="0.2"/>
    <row r="4333" ht="12.75" x14ac:dyDescent="0.2"/>
    <row r="4334" ht="12.75" x14ac:dyDescent="0.2"/>
    <row r="4335" ht="12.75" x14ac:dyDescent="0.2"/>
    <row r="4336" ht="12.75" x14ac:dyDescent="0.2"/>
    <row r="4337" ht="12.75" x14ac:dyDescent="0.2"/>
    <row r="4338" ht="12.75" x14ac:dyDescent="0.2"/>
    <row r="4339" ht="12.75" x14ac:dyDescent="0.2"/>
    <row r="4340" ht="12.75" x14ac:dyDescent="0.2"/>
    <row r="4341" ht="12.75" x14ac:dyDescent="0.2"/>
    <row r="4342" ht="12.75" x14ac:dyDescent="0.2"/>
    <row r="4343" ht="12.75" x14ac:dyDescent="0.2"/>
    <row r="4344" ht="12.75" x14ac:dyDescent="0.2"/>
    <row r="4345" ht="12.75" x14ac:dyDescent="0.2"/>
    <row r="4346" ht="12.75" x14ac:dyDescent="0.2"/>
    <row r="4347" ht="12.75" x14ac:dyDescent="0.2"/>
    <row r="4348" ht="12.75" x14ac:dyDescent="0.2"/>
    <row r="4349" ht="12.75" x14ac:dyDescent="0.2"/>
    <row r="4350" ht="12.75" x14ac:dyDescent="0.2"/>
    <row r="4351" ht="12.75" x14ac:dyDescent="0.2"/>
    <row r="4352" ht="12.75" x14ac:dyDescent="0.2"/>
    <row r="4353" ht="12.75" x14ac:dyDescent="0.2"/>
    <row r="4354" ht="12.75" x14ac:dyDescent="0.2"/>
    <row r="4355" ht="12.75" x14ac:dyDescent="0.2"/>
    <row r="4356" ht="12.75" x14ac:dyDescent="0.2"/>
    <row r="4357" ht="12.75" x14ac:dyDescent="0.2"/>
    <row r="4358" ht="12.75" x14ac:dyDescent="0.2"/>
    <row r="4359" ht="12.75" x14ac:dyDescent="0.2"/>
    <row r="4360" ht="12.75" x14ac:dyDescent="0.2"/>
    <row r="4361" ht="12.75" x14ac:dyDescent="0.2"/>
    <row r="4362" ht="12.75" x14ac:dyDescent="0.2"/>
    <row r="4363" ht="12.75" x14ac:dyDescent="0.2"/>
    <row r="4364" ht="12.75" x14ac:dyDescent="0.2"/>
    <row r="4365" ht="12.75" x14ac:dyDescent="0.2"/>
    <row r="4366" ht="12.75" x14ac:dyDescent="0.2"/>
    <row r="4367" ht="12.75" x14ac:dyDescent="0.2"/>
    <row r="4368" ht="12.75" x14ac:dyDescent="0.2"/>
    <row r="4369" ht="12.75" x14ac:dyDescent="0.2"/>
    <row r="4370" ht="12.75" x14ac:dyDescent="0.2"/>
    <row r="4371" ht="12.75" x14ac:dyDescent="0.2"/>
    <row r="4372" ht="12.75" x14ac:dyDescent="0.2"/>
    <row r="4373" ht="12.75" x14ac:dyDescent="0.2"/>
    <row r="4374" ht="12.75" x14ac:dyDescent="0.2"/>
    <row r="4375" ht="12.75" x14ac:dyDescent="0.2"/>
    <row r="4376" ht="12.75" x14ac:dyDescent="0.2"/>
    <row r="4377" ht="12.75" x14ac:dyDescent="0.2"/>
    <row r="4378" ht="12.75" x14ac:dyDescent="0.2"/>
    <row r="4379" ht="12.75" x14ac:dyDescent="0.2"/>
    <row r="4380" ht="12.75" x14ac:dyDescent="0.2"/>
    <row r="4381" ht="12.75" x14ac:dyDescent="0.2"/>
    <row r="4382" ht="12.75" x14ac:dyDescent="0.2"/>
    <row r="4383" ht="12.75" x14ac:dyDescent="0.2"/>
    <row r="4384" ht="12.75" x14ac:dyDescent="0.2"/>
    <row r="4385" ht="12.75" x14ac:dyDescent="0.2"/>
    <row r="4386" ht="12.75" x14ac:dyDescent="0.2"/>
    <row r="4387" ht="12.75" x14ac:dyDescent="0.2"/>
    <row r="4388" ht="12.75" x14ac:dyDescent="0.2"/>
    <row r="4389" ht="12.75" x14ac:dyDescent="0.2"/>
    <row r="4390" ht="12.75" x14ac:dyDescent="0.2"/>
    <row r="4391" ht="12.75" x14ac:dyDescent="0.2"/>
    <row r="4392" ht="12.75" x14ac:dyDescent="0.2"/>
    <row r="4393" ht="12.75" x14ac:dyDescent="0.2"/>
    <row r="4394" ht="12.75" x14ac:dyDescent="0.2"/>
    <row r="4395" ht="12.75" x14ac:dyDescent="0.2"/>
    <row r="4396" ht="12.75" x14ac:dyDescent="0.2"/>
    <row r="4397" ht="12.75" x14ac:dyDescent="0.2"/>
    <row r="4398" ht="12.75" x14ac:dyDescent="0.2"/>
    <row r="4399" ht="12.75" x14ac:dyDescent="0.2"/>
    <row r="4400" ht="12.75" x14ac:dyDescent="0.2"/>
    <row r="4401" ht="12.75" x14ac:dyDescent="0.2"/>
    <row r="4402" ht="12.75" x14ac:dyDescent="0.2"/>
    <row r="4403" ht="12.75" x14ac:dyDescent="0.2"/>
    <row r="4404" ht="12.75" x14ac:dyDescent="0.2"/>
    <row r="4405" ht="12.75" x14ac:dyDescent="0.2"/>
    <row r="4406" ht="12.75" x14ac:dyDescent="0.2"/>
    <row r="4407" ht="12.75" x14ac:dyDescent="0.2"/>
    <row r="4408" ht="12.75" x14ac:dyDescent="0.2"/>
    <row r="4409" ht="12.75" x14ac:dyDescent="0.2"/>
    <row r="4410" ht="12.75" x14ac:dyDescent="0.2"/>
    <row r="4411" ht="12.75" x14ac:dyDescent="0.2"/>
    <row r="4412" ht="12.75" x14ac:dyDescent="0.2"/>
    <row r="4413" ht="12.75" x14ac:dyDescent="0.2"/>
    <row r="4414" ht="12.75" x14ac:dyDescent="0.2"/>
    <row r="4415" ht="12.75" x14ac:dyDescent="0.2"/>
    <row r="4416" ht="12.75" x14ac:dyDescent="0.2"/>
    <row r="4417" ht="12.75" x14ac:dyDescent="0.2"/>
    <row r="4418" ht="12.75" x14ac:dyDescent="0.2"/>
    <row r="4419" ht="12.75" x14ac:dyDescent="0.2"/>
    <row r="4420" ht="12.75" x14ac:dyDescent="0.2"/>
    <row r="4421" ht="12.75" x14ac:dyDescent="0.2"/>
    <row r="4422" ht="12.75" x14ac:dyDescent="0.2"/>
    <row r="4423" ht="12.75" x14ac:dyDescent="0.2"/>
    <row r="4424" ht="12.75" x14ac:dyDescent="0.2"/>
    <row r="4425" ht="12.75" x14ac:dyDescent="0.2"/>
    <row r="4426" ht="12.75" x14ac:dyDescent="0.2"/>
    <row r="4427" ht="12.75" x14ac:dyDescent="0.2"/>
    <row r="4428" ht="12.75" x14ac:dyDescent="0.2"/>
    <row r="4429" ht="12.75" x14ac:dyDescent="0.2"/>
    <row r="4430" ht="12.75" x14ac:dyDescent="0.2"/>
    <row r="4431" ht="12.75" x14ac:dyDescent="0.2"/>
    <row r="4432" ht="12.75" x14ac:dyDescent="0.2"/>
    <row r="4433" ht="12.75" x14ac:dyDescent="0.2"/>
    <row r="4434" ht="12.75" x14ac:dyDescent="0.2"/>
    <row r="4435" ht="12.75" x14ac:dyDescent="0.2"/>
    <row r="4436" ht="12.75" x14ac:dyDescent="0.2"/>
    <row r="4437" ht="12.75" x14ac:dyDescent="0.2"/>
    <row r="4438" ht="12.75" x14ac:dyDescent="0.2"/>
    <row r="4439" ht="12.75" x14ac:dyDescent="0.2"/>
    <row r="4440" ht="12.75" x14ac:dyDescent="0.2"/>
    <row r="4441" ht="12.75" x14ac:dyDescent="0.2"/>
    <row r="4442" ht="12.75" x14ac:dyDescent="0.2"/>
    <row r="4443" ht="12.75" x14ac:dyDescent="0.2"/>
    <row r="4444" ht="12.75" x14ac:dyDescent="0.2"/>
    <row r="4445" ht="12.75" x14ac:dyDescent="0.2"/>
    <row r="4446" ht="12.75" x14ac:dyDescent="0.2"/>
    <row r="4447" ht="12.75" x14ac:dyDescent="0.2"/>
    <row r="4448" ht="12.75" x14ac:dyDescent="0.2"/>
    <row r="4449" ht="12.75" x14ac:dyDescent="0.2"/>
    <row r="4450" ht="12.75" x14ac:dyDescent="0.2"/>
    <row r="4451" ht="12.75" x14ac:dyDescent="0.2"/>
    <row r="4452" ht="12.75" x14ac:dyDescent="0.2"/>
    <row r="4453" ht="12.75" x14ac:dyDescent="0.2"/>
    <row r="4454" ht="12.75" x14ac:dyDescent="0.2"/>
    <row r="4455" ht="12.75" x14ac:dyDescent="0.2"/>
    <row r="4456" ht="12.75" x14ac:dyDescent="0.2"/>
    <row r="4457" ht="12.75" x14ac:dyDescent="0.2"/>
    <row r="4458" ht="12.75" x14ac:dyDescent="0.2"/>
    <row r="4459" ht="12.75" x14ac:dyDescent="0.2"/>
    <row r="4460" ht="12.75" x14ac:dyDescent="0.2"/>
    <row r="4461" ht="12.75" x14ac:dyDescent="0.2"/>
    <row r="4462" ht="12.75" x14ac:dyDescent="0.2"/>
    <row r="4463" ht="12.75" x14ac:dyDescent="0.2"/>
    <row r="4464" ht="12.75" x14ac:dyDescent="0.2"/>
    <row r="4465" ht="12.75" x14ac:dyDescent="0.2"/>
    <row r="4466" ht="12.75" x14ac:dyDescent="0.2"/>
    <row r="4467" ht="12.75" x14ac:dyDescent="0.2"/>
    <row r="4468" ht="12.75" x14ac:dyDescent="0.2"/>
    <row r="4469" ht="12.75" x14ac:dyDescent="0.2"/>
    <row r="4470" ht="12.75" x14ac:dyDescent="0.2"/>
    <row r="4471" ht="12.75" x14ac:dyDescent="0.2"/>
    <row r="4472" ht="12.75" x14ac:dyDescent="0.2"/>
    <row r="4473" ht="12.75" x14ac:dyDescent="0.2"/>
    <row r="4474" ht="12.75" x14ac:dyDescent="0.2"/>
    <row r="4475" ht="12.75" x14ac:dyDescent="0.2"/>
    <row r="4476" ht="12.75" x14ac:dyDescent="0.2"/>
    <row r="4477" ht="12.75" x14ac:dyDescent="0.2"/>
    <row r="4478" ht="12.75" x14ac:dyDescent="0.2"/>
    <row r="4479" ht="12.75" x14ac:dyDescent="0.2"/>
    <row r="4480" ht="12.75" x14ac:dyDescent="0.2"/>
    <row r="4481" ht="12.75" x14ac:dyDescent="0.2"/>
    <row r="4482" ht="12.75" x14ac:dyDescent="0.2"/>
    <row r="4483" ht="12.75" x14ac:dyDescent="0.2"/>
    <row r="4484" ht="12.75" x14ac:dyDescent="0.2"/>
    <row r="4485" ht="12.75" x14ac:dyDescent="0.2"/>
    <row r="4486" ht="12.75" x14ac:dyDescent="0.2"/>
    <row r="4487" ht="12.75" x14ac:dyDescent="0.2"/>
    <row r="4488" ht="12.75" x14ac:dyDescent="0.2"/>
    <row r="4489" ht="12.75" x14ac:dyDescent="0.2"/>
    <row r="4490" ht="12.75" x14ac:dyDescent="0.2"/>
    <row r="4491" ht="12.75" x14ac:dyDescent="0.2"/>
    <row r="4492" ht="12.75" x14ac:dyDescent="0.2"/>
    <row r="4493" ht="12.75" x14ac:dyDescent="0.2"/>
    <row r="4494" ht="12.75" x14ac:dyDescent="0.2"/>
    <row r="4495" ht="12.75" x14ac:dyDescent="0.2"/>
    <row r="4496" ht="12.75" x14ac:dyDescent="0.2"/>
    <row r="4497" ht="12.75" x14ac:dyDescent="0.2"/>
    <row r="4498" ht="12.75" x14ac:dyDescent="0.2"/>
    <row r="4499" ht="12.75" x14ac:dyDescent="0.2"/>
    <row r="4500" ht="12.75" x14ac:dyDescent="0.2"/>
    <row r="4501" ht="12.75" x14ac:dyDescent="0.2"/>
    <row r="4502" ht="12.75" x14ac:dyDescent="0.2"/>
    <row r="4503" ht="12.75" x14ac:dyDescent="0.2"/>
    <row r="4504" ht="12.75" x14ac:dyDescent="0.2"/>
    <row r="4505" ht="12.75" x14ac:dyDescent="0.2"/>
    <row r="4506" ht="12.75" x14ac:dyDescent="0.2"/>
    <row r="4507" ht="12.75" x14ac:dyDescent="0.2"/>
    <row r="4508" ht="12.75" x14ac:dyDescent="0.2"/>
    <row r="4509" ht="12.75" x14ac:dyDescent="0.2"/>
    <row r="4510" ht="12.75" x14ac:dyDescent="0.2"/>
    <row r="4511" ht="12.75" x14ac:dyDescent="0.2"/>
    <row r="4512" ht="12.75" x14ac:dyDescent="0.2"/>
    <row r="4513" ht="12.75" x14ac:dyDescent="0.2"/>
    <row r="4514" ht="12.75" x14ac:dyDescent="0.2"/>
    <row r="4515" ht="12.75" x14ac:dyDescent="0.2"/>
    <row r="4516" ht="12.75" x14ac:dyDescent="0.2"/>
    <row r="4517" ht="12.75" x14ac:dyDescent="0.2"/>
    <row r="4518" ht="12.75" x14ac:dyDescent="0.2"/>
    <row r="4519" ht="12.75" x14ac:dyDescent="0.2"/>
    <row r="4520" ht="12.75" x14ac:dyDescent="0.2"/>
    <row r="4521" ht="12.75" x14ac:dyDescent="0.2"/>
    <row r="4522" ht="12.75" x14ac:dyDescent="0.2"/>
    <row r="4523" ht="12.75" x14ac:dyDescent="0.2"/>
    <row r="4524" ht="12.75" x14ac:dyDescent="0.2"/>
    <row r="4525" ht="12.75" x14ac:dyDescent="0.2"/>
    <row r="4526" ht="12.75" x14ac:dyDescent="0.2"/>
    <row r="4527" ht="12.75" x14ac:dyDescent="0.2"/>
    <row r="4528" ht="12.75" x14ac:dyDescent="0.2"/>
    <row r="4529" ht="12.75" x14ac:dyDescent="0.2"/>
    <row r="4530" ht="12.75" x14ac:dyDescent="0.2"/>
    <row r="4531" ht="12.75" x14ac:dyDescent="0.2"/>
    <row r="4532" ht="12.75" x14ac:dyDescent="0.2"/>
    <row r="4533" ht="12.75" x14ac:dyDescent="0.2"/>
    <row r="4534" ht="12.75" x14ac:dyDescent="0.2"/>
    <row r="4535" ht="12.75" x14ac:dyDescent="0.2"/>
    <row r="4536" ht="12.75" x14ac:dyDescent="0.2"/>
    <row r="4537" ht="12.75" x14ac:dyDescent="0.2"/>
    <row r="4538" ht="12.75" x14ac:dyDescent="0.2"/>
    <row r="4539" ht="12.75" x14ac:dyDescent="0.2"/>
    <row r="4540" ht="12.75" x14ac:dyDescent="0.2"/>
    <row r="4541" ht="12.75" x14ac:dyDescent="0.2"/>
    <row r="4542" ht="12.75" x14ac:dyDescent="0.2"/>
    <row r="4543" ht="12.75" x14ac:dyDescent="0.2"/>
    <row r="4544" ht="12.75" x14ac:dyDescent="0.2"/>
    <row r="4545" ht="12.75" x14ac:dyDescent="0.2"/>
    <row r="4546" ht="12.75" x14ac:dyDescent="0.2"/>
    <row r="4547" ht="12.75" x14ac:dyDescent="0.2"/>
    <row r="4548" ht="12.75" x14ac:dyDescent="0.2"/>
    <row r="4549" ht="12.75" x14ac:dyDescent="0.2"/>
    <row r="4550" ht="12.75" x14ac:dyDescent="0.2"/>
    <row r="4551" ht="12.75" x14ac:dyDescent="0.2"/>
    <row r="4552" ht="12.75" x14ac:dyDescent="0.2"/>
    <row r="4553" ht="12.75" x14ac:dyDescent="0.2"/>
    <row r="4554" ht="12.75" x14ac:dyDescent="0.2"/>
    <row r="4555" ht="12.75" x14ac:dyDescent="0.2"/>
    <row r="4556" ht="12.75" x14ac:dyDescent="0.2"/>
    <row r="4557" ht="12.75" x14ac:dyDescent="0.2"/>
    <row r="4558" ht="12.75" x14ac:dyDescent="0.2"/>
    <row r="4559" ht="12.75" x14ac:dyDescent="0.2"/>
    <row r="4560" ht="12.75" x14ac:dyDescent="0.2"/>
    <row r="4561" ht="12.75" x14ac:dyDescent="0.2"/>
    <row r="4562" ht="12.75" x14ac:dyDescent="0.2"/>
    <row r="4563" ht="12.75" x14ac:dyDescent="0.2"/>
    <row r="4564" ht="12.75" x14ac:dyDescent="0.2"/>
    <row r="4565" ht="12.75" x14ac:dyDescent="0.2"/>
    <row r="4566" ht="12.75" x14ac:dyDescent="0.2"/>
    <row r="4567" ht="12.75" x14ac:dyDescent="0.2"/>
    <row r="4568" ht="12.75" x14ac:dyDescent="0.2"/>
    <row r="4569" ht="12.75" x14ac:dyDescent="0.2"/>
    <row r="4570" ht="12.75" x14ac:dyDescent="0.2"/>
    <row r="4571" ht="12.75" x14ac:dyDescent="0.2"/>
    <row r="4572" ht="12.75" x14ac:dyDescent="0.2"/>
    <row r="4573" ht="12.75" x14ac:dyDescent="0.2"/>
    <row r="4574" ht="12.75" x14ac:dyDescent="0.2"/>
    <row r="4575" ht="12.75" x14ac:dyDescent="0.2"/>
    <row r="4576" ht="12.75" x14ac:dyDescent="0.2"/>
    <row r="4577" ht="12.75" x14ac:dyDescent="0.2"/>
    <row r="4578" ht="12.75" x14ac:dyDescent="0.2"/>
    <row r="4579" ht="12.75" x14ac:dyDescent="0.2"/>
    <row r="4580" ht="12.75" x14ac:dyDescent="0.2"/>
    <row r="4581" ht="12.75" x14ac:dyDescent="0.2"/>
    <row r="4582" ht="12.75" x14ac:dyDescent="0.2"/>
    <row r="4583" ht="12.75" x14ac:dyDescent="0.2"/>
    <row r="4584" ht="12.75" x14ac:dyDescent="0.2"/>
    <row r="4585" ht="12.75" x14ac:dyDescent="0.2"/>
    <row r="4586" ht="12.75" x14ac:dyDescent="0.2"/>
    <row r="4587" ht="12.75" x14ac:dyDescent="0.2"/>
    <row r="4588" ht="12.75" x14ac:dyDescent="0.2"/>
    <row r="4589" ht="12.75" x14ac:dyDescent="0.2"/>
    <row r="4590" ht="12.75" x14ac:dyDescent="0.2"/>
    <row r="4591" ht="12.75" x14ac:dyDescent="0.2"/>
    <row r="4592" ht="12.75" x14ac:dyDescent="0.2"/>
    <row r="4593" ht="12.75" x14ac:dyDescent="0.2"/>
    <row r="4594" ht="12.75" x14ac:dyDescent="0.2"/>
    <row r="4595" ht="12.75" x14ac:dyDescent="0.2"/>
    <row r="4596" ht="12.75" x14ac:dyDescent="0.2"/>
    <row r="4597" ht="12.75" x14ac:dyDescent="0.2"/>
    <row r="4598" ht="12.75" x14ac:dyDescent="0.2"/>
    <row r="4599" ht="12.75" x14ac:dyDescent="0.2"/>
    <row r="4600" ht="12.75" x14ac:dyDescent="0.2"/>
    <row r="4601" ht="12.75" x14ac:dyDescent="0.2"/>
    <row r="4602" ht="12.75" x14ac:dyDescent="0.2"/>
    <row r="4603" ht="12.75" x14ac:dyDescent="0.2"/>
    <row r="4604" ht="12.75" x14ac:dyDescent="0.2"/>
    <row r="4605" ht="12.75" x14ac:dyDescent="0.2"/>
    <row r="4606" ht="12.75" x14ac:dyDescent="0.2"/>
    <row r="4607" ht="12.75" x14ac:dyDescent="0.2"/>
    <row r="4608" ht="12.75" x14ac:dyDescent="0.2"/>
    <row r="4609" ht="12.75" x14ac:dyDescent="0.2"/>
    <row r="4610" ht="12.75" x14ac:dyDescent="0.2"/>
    <row r="4611" ht="12.75" x14ac:dyDescent="0.2"/>
    <row r="4612" ht="12.75" x14ac:dyDescent="0.2"/>
    <row r="4613" ht="12.75" x14ac:dyDescent="0.2"/>
    <row r="4614" ht="12.75" x14ac:dyDescent="0.2"/>
    <row r="4615" ht="12.75" x14ac:dyDescent="0.2"/>
    <row r="4616" ht="12.75" x14ac:dyDescent="0.2"/>
    <row r="4617" ht="12.75" x14ac:dyDescent="0.2"/>
    <row r="4618" ht="12.75" x14ac:dyDescent="0.2"/>
    <row r="4619" ht="12.75" x14ac:dyDescent="0.2"/>
    <row r="4620" ht="12.75" x14ac:dyDescent="0.2"/>
    <row r="4621" ht="12.75" x14ac:dyDescent="0.2"/>
    <row r="4622" ht="12.75" x14ac:dyDescent="0.2"/>
    <row r="4623" ht="12.75" x14ac:dyDescent="0.2"/>
    <row r="4624" ht="12.75" x14ac:dyDescent="0.2"/>
    <row r="4625" ht="12.75" x14ac:dyDescent="0.2"/>
    <row r="4626" ht="12.75" x14ac:dyDescent="0.2"/>
    <row r="4627" ht="12.75" x14ac:dyDescent="0.2"/>
    <row r="4628" ht="12.75" x14ac:dyDescent="0.2"/>
    <row r="4629" ht="12.75" x14ac:dyDescent="0.2"/>
    <row r="4630" ht="12.75" x14ac:dyDescent="0.2"/>
    <row r="4631" ht="12.75" x14ac:dyDescent="0.2"/>
    <row r="4632" ht="12.75" x14ac:dyDescent="0.2"/>
    <row r="4633" ht="12.75" x14ac:dyDescent="0.2"/>
    <row r="4634" ht="12.75" x14ac:dyDescent="0.2"/>
    <row r="4635" ht="12.75" x14ac:dyDescent="0.2"/>
    <row r="4636" ht="12.75" x14ac:dyDescent="0.2"/>
    <row r="4637" ht="12.75" x14ac:dyDescent="0.2"/>
    <row r="4638" ht="12.75" x14ac:dyDescent="0.2"/>
    <row r="4639" ht="12.75" x14ac:dyDescent="0.2"/>
    <row r="4640" ht="12.75" x14ac:dyDescent="0.2"/>
    <row r="4641" ht="12.75" x14ac:dyDescent="0.2"/>
    <row r="4642" ht="12.75" x14ac:dyDescent="0.2"/>
    <row r="4643" ht="12.75" x14ac:dyDescent="0.2"/>
    <row r="4644" ht="12.75" x14ac:dyDescent="0.2"/>
    <row r="4645" ht="12.75" x14ac:dyDescent="0.2"/>
    <row r="4646" ht="12.75" x14ac:dyDescent="0.2"/>
    <row r="4647" ht="12.75" x14ac:dyDescent="0.2"/>
    <row r="4648" ht="12.75" x14ac:dyDescent="0.2"/>
    <row r="4649" ht="12.75" x14ac:dyDescent="0.2"/>
    <row r="4650" ht="12.75" x14ac:dyDescent="0.2"/>
    <row r="4651" ht="12.75" x14ac:dyDescent="0.2"/>
    <row r="4652" ht="12.75" x14ac:dyDescent="0.2"/>
    <row r="4653" ht="12.75" x14ac:dyDescent="0.2"/>
    <row r="4654" ht="12.75" x14ac:dyDescent="0.2"/>
    <row r="4655" ht="12.75" x14ac:dyDescent="0.2"/>
    <row r="4656" ht="12.75" x14ac:dyDescent="0.2"/>
    <row r="4657" ht="12.75" x14ac:dyDescent="0.2"/>
    <row r="4658" ht="12.75" x14ac:dyDescent="0.2"/>
    <row r="4659" ht="12.75" x14ac:dyDescent="0.2"/>
    <row r="4660" ht="12.75" x14ac:dyDescent="0.2"/>
    <row r="4661" ht="12.75" x14ac:dyDescent="0.2"/>
    <row r="4662" ht="12.75" x14ac:dyDescent="0.2"/>
    <row r="4663" ht="12.75" x14ac:dyDescent="0.2"/>
    <row r="4664" ht="12.75" x14ac:dyDescent="0.2"/>
    <row r="4665" ht="12.75" x14ac:dyDescent="0.2"/>
    <row r="4666" ht="12.75" x14ac:dyDescent="0.2"/>
    <row r="4667" ht="12.75" x14ac:dyDescent="0.2"/>
    <row r="4668" ht="12.75" x14ac:dyDescent="0.2"/>
    <row r="4669" ht="12.75" x14ac:dyDescent="0.2"/>
    <row r="4670" ht="12.75" x14ac:dyDescent="0.2"/>
    <row r="4671" ht="12.75" x14ac:dyDescent="0.2"/>
    <row r="4672" ht="12.75" x14ac:dyDescent="0.2"/>
    <row r="4673" ht="12.75" x14ac:dyDescent="0.2"/>
    <row r="4674" ht="12.75" x14ac:dyDescent="0.2"/>
    <row r="4675" ht="12.75" x14ac:dyDescent="0.2"/>
    <row r="4676" ht="12.75" x14ac:dyDescent="0.2"/>
    <row r="4677" ht="12.75" x14ac:dyDescent="0.2"/>
    <row r="4678" ht="12.75" x14ac:dyDescent="0.2"/>
    <row r="4679" ht="12.75" x14ac:dyDescent="0.2"/>
    <row r="4680" ht="12.75" x14ac:dyDescent="0.2"/>
    <row r="4681" ht="12.75" x14ac:dyDescent="0.2"/>
    <row r="4682" ht="12.75" x14ac:dyDescent="0.2"/>
    <row r="4683" ht="12.75" x14ac:dyDescent="0.2"/>
    <row r="4684" ht="12.75" x14ac:dyDescent="0.2"/>
    <row r="4685" ht="12.75" x14ac:dyDescent="0.2"/>
    <row r="4686" ht="12.75" x14ac:dyDescent="0.2"/>
    <row r="4687" ht="12.75" x14ac:dyDescent="0.2"/>
    <row r="4688" ht="12.75" x14ac:dyDescent="0.2"/>
    <row r="4689" ht="12.75" x14ac:dyDescent="0.2"/>
    <row r="4690" ht="12.75" x14ac:dyDescent="0.2"/>
    <row r="4691" ht="12.75" x14ac:dyDescent="0.2"/>
    <row r="4692" ht="12.75" x14ac:dyDescent="0.2"/>
    <row r="4693" ht="12.75" x14ac:dyDescent="0.2"/>
    <row r="4694" ht="12.75" x14ac:dyDescent="0.2"/>
    <row r="4695" ht="12.75" x14ac:dyDescent="0.2"/>
    <row r="4696" ht="12.75" x14ac:dyDescent="0.2"/>
    <row r="4697" ht="12.75" x14ac:dyDescent="0.2"/>
    <row r="4698" ht="12.75" x14ac:dyDescent="0.2"/>
    <row r="4699" ht="12.75" x14ac:dyDescent="0.2"/>
    <row r="4700" ht="12.75" x14ac:dyDescent="0.2"/>
    <row r="4701" ht="12.75" x14ac:dyDescent="0.2"/>
    <row r="4702" ht="12.75" x14ac:dyDescent="0.2"/>
    <row r="4703" ht="12.75" x14ac:dyDescent="0.2"/>
    <row r="4704" ht="12.75" x14ac:dyDescent="0.2"/>
    <row r="4705" ht="12.75" x14ac:dyDescent="0.2"/>
    <row r="4706" ht="12.75" x14ac:dyDescent="0.2"/>
    <row r="4707" ht="12.75" x14ac:dyDescent="0.2"/>
    <row r="4708" ht="12.75" x14ac:dyDescent="0.2"/>
    <row r="4709" ht="12.75" x14ac:dyDescent="0.2"/>
    <row r="4710" ht="12.75" x14ac:dyDescent="0.2"/>
    <row r="4711" ht="12.75" x14ac:dyDescent="0.2"/>
    <row r="4712" ht="12.75" x14ac:dyDescent="0.2"/>
    <row r="4713" ht="12.75" x14ac:dyDescent="0.2"/>
    <row r="4714" ht="12.75" x14ac:dyDescent="0.2"/>
    <row r="4715" ht="12.75" x14ac:dyDescent="0.2"/>
    <row r="4716" ht="12.75" x14ac:dyDescent="0.2"/>
    <row r="4717" ht="12.75" x14ac:dyDescent="0.2"/>
    <row r="4718" ht="12.75" x14ac:dyDescent="0.2"/>
    <row r="4719" ht="12.75" x14ac:dyDescent="0.2"/>
    <row r="4720" ht="12.75" x14ac:dyDescent="0.2"/>
    <row r="4721" ht="12.75" x14ac:dyDescent="0.2"/>
    <row r="4722" ht="12.75" x14ac:dyDescent="0.2"/>
    <row r="4723" ht="12.75" x14ac:dyDescent="0.2"/>
    <row r="4724" ht="12.75" x14ac:dyDescent="0.2"/>
    <row r="4725" ht="12.75" x14ac:dyDescent="0.2"/>
    <row r="4726" ht="12.75" x14ac:dyDescent="0.2"/>
    <row r="4727" ht="12.75" x14ac:dyDescent="0.2"/>
    <row r="4728" ht="12.75" x14ac:dyDescent="0.2"/>
    <row r="4729" ht="12.75" x14ac:dyDescent="0.2"/>
    <row r="4730" ht="12.75" x14ac:dyDescent="0.2"/>
    <row r="4731" ht="12.75" x14ac:dyDescent="0.2"/>
    <row r="4732" ht="12.75" x14ac:dyDescent="0.2"/>
    <row r="4733" ht="12.75" x14ac:dyDescent="0.2"/>
    <row r="4734" ht="12.75" x14ac:dyDescent="0.2"/>
    <row r="4735" ht="12.75" x14ac:dyDescent="0.2"/>
    <row r="4736" ht="12.75" x14ac:dyDescent="0.2"/>
    <row r="4737" ht="12.75" x14ac:dyDescent="0.2"/>
    <row r="4738" ht="12.75" x14ac:dyDescent="0.2"/>
    <row r="4739" ht="12.75" x14ac:dyDescent="0.2"/>
    <row r="4740" ht="12.75" x14ac:dyDescent="0.2"/>
    <row r="4741" ht="12.75" x14ac:dyDescent="0.2"/>
    <row r="4742" ht="12.75" x14ac:dyDescent="0.2"/>
    <row r="4743" ht="12.75" x14ac:dyDescent="0.2"/>
    <row r="4744" ht="12.75" x14ac:dyDescent="0.2"/>
    <row r="4745" ht="12.75" x14ac:dyDescent="0.2"/>
    <row r="4746" ht="12.75" x14ac:dyDescent="0.2"/>
    <row r="4747" ht="12.75" x14ac:dyDescent="0.2"/>
    <row r="4748" ht="12.75" x14ac:dyDescent="0.2"/>
    <row r="4749" ht="12.75" x14ac:dyDescent="0.2"/>
    <row r="4750" ht="12.75" x14ac:dyDescent="0.2"/>
    <row r="4751" ht="12.75" x14ac:dyDescent="0.2"/>
    <row r="4752" ht="12.75" x14ac:dyDescent="0.2"/>
    <row r="4753" ht="12.75" x14ac:dyDescent="0.2"/>
    <row r="4754" ht="12.75" x14ac:dyDescent="0.2"/>
    <row r="4755" ht="12.75" x14ac:dyDescent="0.2"/>
    <row r="4756" ht="12.75" x14ac:dyDescent="0.2"/>
    <row r="4757" ht="12.75" x14ac:dyDescent="0.2"/>
    <row r="4758" ht="12.75" x14ac:dyDescent="0.2"/>
    <row r="4759" ht="12.75" x14ac:dyDescent="0.2"/>
    <row r="4760" ht="12.75" x14ac:dyDescent="0.2"/>
    <row r="4761" ht="12.75" x14ac:dyDescent="0.2"/>
    <row r="4762" ht="12.75" x14ac:dyDescent="0.2"/>
    <row r="4763" ht="12.75" x14ac:dyDescent="0.2"/>
    <row r="4764" ht="12.75" x14ac:dyDescent="0.2"/>
    <row r="4765" ht="12.75" x14ac:dyDescent="0.2"/>
    <row r="4766" ht="12.75" x14ac:dyDescent="0.2"/>
    <row r="4767" ht="12.75" x14ac:dyDescent="0.2"/>
    <row r="4768" ht="12.75" x14ac:dyDescent="0.2"/>
    <row r="4769" ht="12.75" x14ac:dyDescent="0.2"/>
    <row r="4770" ht="12.75" x14ac:dyDescent="0.2"/>
    <row r="4771" ht="12.75" x14ac:dyDescent="0.2"/>
    <row r="4772" ht="12.75" x14ac:dyDescent="0.2"/>
    <row r="4773" ht="12.75" x14ac:dyDescent="0.2"/>
    <row r="4774" ht="12.75" x14ac:dyDescent="0.2"/>
    <row r="4775" ht="12.75" x14ac:dyDescent="0.2"/>
    <row r="4776" ht="12.75" x14ac:dyDescent="0.2"/>
    <row r="4777" ht="12.75" x14ac:dyDescent="0.2"/>
    <row r="4778" ht="12.75" x14ac:dyDescent="0.2"/>
    <row r="4779" ht="12.75" x14ac:dyDescent="0.2"/>
    <row r="4780" ht="12.75" x14ac:dyDescent="0.2"/>
    <row r="4781" ht="12.75" x14ac:dyDescent="0.2"/>
    <row r="4782" ht="12.75" x14ac:dyDescent="0.2"/>
    <row r="4783" ht="12.75" x14ac:dyDescent="0.2"/>
    <row r="4784" ht="12.75" x14ac:dyDescent="0.2"/>
    <row r="4785" ht="12.75" x14ac:dyDescent="0.2"/>
    <row r="4786" ht="12.75" x14ac:dyDescent="0.2"/>
    <row r="4787" ht="12.75" x14ac:dyDescent="0.2"/>
    <row r="4788" ht="12.75" x14ac:dyDescent="0.2"/>
    <row r="4789" ht="12.75" x14ac:dyDescent="0.2"/>
    <row r="4790" ht="12.75" x14ac:dyDescent="0.2"/>
    <row r="4791" ht="12.75" x14ac:dyDescent="0.2"/>
    <row r="4792" ht="12.75" x14ac:dyDescent="0.2"/>
    <row r="4793" ht="12.75" x14ac:dyDescent="0.2"/>
    <row r="4794" ht="12.75" x14ac:dyDescent="0.2"/>
    <row r="4795" ht="12.75" x14ac:dyDescent="0.2"/>
    <row r="4796" ht="12.75" x14ac:dyDescent="0.2"/>
    <row r="4797" ht="12.75" x14ac:dyDescent="0.2"/>
    <row r="4798" ht="12.75" x14ac:dyDescent="0.2"/>
    <row r="4799" ht="12.75" x14ac:dyDescent="0.2"/>
    <row r="4800" ht="12.75" x14ac:dyDescent="0.2"/>
    <row r="4801" ht="12.75" x14ac:dyDescent="0.2"/>
    <row r="4802" ht="12.75" x14ac:dyDescent="0.2"/>
    <row r="4803" ht="12.75" x14ac:dyDescent="0.2"/>
    <row r="4804" ht="12.75" x14ac:dyDescent="0.2"/>
    <row r="4805" ht="12.75" x14ac:dyDescent="0.2"/>
    <row r="4806" ht="12.75" x14ac:dyDescent="0.2"/>
    <row r="4807" ht="12.75" x14ac:dyDescent="0.2"/>
    <row r="4808" ht="12.75" x14ac:dyDescent="0.2"/>
    <row r="4809" ht="12.75" x14ac:dyDescent="0.2"/>
    <row r="4810" ht="12.75" x14ac:dyDescent="0.2"/>
    <row r="4811" ht="12.75" x14ac:dyDescent="0.2"/>
    <row r="4812" ht="12.75" x14ac:dyDescent="0.2"/>
    <row r="4813" ht="12.75" x14ac:dyDescent="0.2"/>
    <row r="4814" ht="12.75" x14ac:dyDescent="0.2"/>
    <row r="4815" ht="12.75" x14ac:dyDescent="0.2"/>
    <row r="4816" ht="12.75" x14ac:dyDescent="0.2"/>
    <row r="4817" ht="12.75" x14ac:dyDescent="0.2"/>
    <row r="4818" ht="12.75" x14ac:dyDescent="0.2"/>
    <row r="4819" ht="12.75" x14ac:dyDescent="0.2"/>
    <row r="4820" ht="12.75" x14ac:dyDescent="0.2"/>
    <row r="4821" ht="12.75" x14ac:dyDescent="0.2"/>
    <row r="4822" ht="12.75" x14ac:dyDescent="0.2"/>
    <row r="4823" ht="12.75" x14ac:dyDescent="0.2"/>
    <row r="4824" ht="12.75" x14ac:dyDescent="0.2"/>
    <row r="4825" ht="12.75" x14ac:dyDescent="0.2"/>
    <row r="4826" ht="12.75" x14ac:dyDescent="0.2"/>
    <row r="4827" ht="12.75" x14ac:dyDescent="0.2"/>
    <row r="4828" ht="12.75" x14ac:dyDescent="0.2"/>
    <row r="4829" ht="12.75" x14ac:dyDescent="0.2"/>
    <row r="4830" ht="12.75" x14ac:dyDescent="0.2"/>
    <row r="4831" ht="12.75" x14ac:dyDescent="0.2"/>
    <row r="4832" ht="12.75" x14ac:dyDescent="0.2"/>
    <row r="4833" ht="12.75" x14ac:dyDescent="0.2"/>
    <row r="4834" ht="12.75" x14ac:dyDescent="0.2"/>
    <row r="4835" ht="12.75" x14ac:dyDescent="0.2"/>
    <row r="4836" ht="12.75" x14ac:dyDescent="0.2"/>
    <row r="4837" ht="12.75" x14ac:dyDescent="0.2"/>
    <row r="4838" ht="12.75" x14ac:dyDescent="0.2"/>
    <row r="4839" ht="12.75" x14ac:dyDescent="0.2"/>
    <row r="4840" ht="12.75" x14ac:dyDescent="0.2"/>
    <row r="4841" ht="12.75" x14ac:dyDescent="0.2"/>
    <row r="4842" ht="12.75" x14ac:dyDescent="0.2"/>
    <row r="4843" ht="12.75" x14ac:dyDescent="0.2"/>
    <row r="4844" ht="12.75" x14ac:dyDescent="0.2"/>
    <row r="4845" ht="12.75" x14ac:dyDescent="0.2"/>
    <row r="4846" ht="12.75" x14ac:dyDescent="0.2"/>
    <row r="4847" ht="12.75" x14ac:dyDescent="0.2"/>
    <row r="4848" ht="12.75" x14ac:dyDescent="0.2"/>
    <row r="4849" ht="12.75" x14ac:dyDescent="0.2"/>
    <row r="4850" ht="12.75" x14ac:dyDescent="0.2"/>
    <row r="4851" ht="12.75" x14ac:dyDescent="0.2"/>
    <row r="4852" ht="12.75" x14ac:dyDescent="0.2"/>
    <row r="4853" ht="12.75" x14ac:dyDescent="0.2"/>
    <row r="4854" ht="12.75" x14ac:dyDescent="0.2"/>
    <row r="4855" ht="12.75" x14ac:dyDescent="0.2"/>
    <row r="4856" ht="12.75" x14ac:dyDescent="0.2"/>
    <row r="4857" ht="12.75" x14ac:dyDescent="0.2"/>
    <row r="4858" ht="12.75" x14ac:dyDescent="0.2"/>
    <row r="4859" ht="12.75" x14ac:dyDescent="0.2"/>
    <row r="4860" ht="12.75" x14ac:dyDescent="0.2"/>
    <row r="4861" ht="12.75" x14ac:dyDescent="0.2"/>
    <row r="4862" ht="12.75" x14ac:dyDescent="0.2"/>
    <row r="4863" ht="12.75" x14ac:dyDescent="0.2"/>
    <row r="4864" ht="12.75" x14ac:dyDescent="0.2"/>
    <row r="4865" ht="12.75" x14ac:dyDescent="0.2"/>
    <row r="4866" ht="12.75" x14ac:dyDescent="0.2"/>
    <row r="4867" ht="12.75" x14ac:dyDescent="0.2"/>
    <row r="4868" ht="12.75" x14ac:dyDescent="0.2"/>
    <row r="4869" ht="12.75" x14ac:dyDescent="0.2"/>
    <row r="4870" ht="12.75" x14ac:dyDescent="0.2"/>
    <row r="4871" ht="12.75" x14ac:dyDescent="0.2"/>
    <row r="4872" ht="12.75" x14ac:dyDescent="0.2"/>
    <row r="4873" ht="12.75" x14ac:dyDescent="0.2"/>
    <row r="4874" ht="12.75" x14ac:dyDescent="0.2"/>
    <row r="4875" ht="12.75" x14ac:dyDescent="0.2"/>
    <row r="4876" ht="12.75" x14ac:dyDescent="0.2"/>
    <row r="4877" ht="12.75" x14ac:dyDescent="0.2"/>
    <row r="4878" ht="12.75" x14ac:dyDescent="0.2"/>
    <row r="4879" ht="12.75" x14ac:dyDescent="0.2"/>
    <row r="4880" ht="12.75" x14ac:dyDescent="0.2"/>
    <row r="4881" ht="12.75" x14ac:dyDescent="0.2"/>
    <row r="4882" ht="12.75" x14ac:dyDescent="0.2"/>
    <row r="4883" ht="12.75" x14ac:dyDescent="0.2"/>
    <row r="4884" ht="12.75" x14ac:dyDescent="0.2"/>
    <row r="4885" ht="12.75" x14ac:dyDescent="0.2"/>
    <row r="4886" ht="12.75" x14ac:dyDescent="0.2"/>
    <row r="4887" ht="12.75" x14ac:dyDescent="0.2"/>
    <row r="4888" ht="12.75" x14ac:dyDescent="0.2"/>
    <row r="4889" ht="12.75" x14ac:dyDescent="0.2"/>
    <row r="4890" ht="12.75" x14ac:dyDescent="0.2"/>
    <row r="4891" ht="12.75" x14ac:dyDescent="0.2"/>
    <row r="4892" ht="12.75" x14ac:dyDescent="0.2"/>
    <row r="4893" ht="12.75" x14ac:dyDescent="0.2"/>
    <row r="4894" ht="12.75" x14ac:dyDescent="0.2"/>
    <row r="4895" ht="12.75" x14ac:dyDescent="0.2"/>
    <row r="4896" ht="12.75" x14ac:dyDescent="0.2"/>
    <row r="4897" ht="12.75" x14ac:dyDescent="0.2"/>
    <row r="4898" ht="12.75" x14ac:dyDescent="0.2"/>
    <row r="4899" ht="12.75" x14ac:dyDescent="0.2"/>
    <row r="4900" ht="12.75" x14ac:dyDescent="0.2"/>
    <row r="4901" ht="12.75" x14ac:dyDescent="0.2"/>
    <row r="4902" ht="12.75" x14ac:dyDescent="0.2"/>
    <row r="4903" ht="12.75" x14ac:dyDescent="0.2"/>
    <row r="4904" ht="12.75" x14ac:dyDescent="0.2"/>
    <row r="4905" ht="12.75" x14ac:dyDescent="0.2"/>
    <row r="4906" ht="12.75" x14ac:dyDescent="0.2"/>
    <row r="4907" ht="12.75" x14ac:dyDescent="0.2"/>
    <row r="4908" ht="12.75" x14ac:dyDescent="0.2"/>
    <row r="4909" ht="12.75" x14ac:dyDescent="0.2"/>
    <row r="4910" ht="12.75" x14ac:dyDescent="0.2"/>
    <row r="4911" ht="12.75" x14ac:dyDescent="0.2"/>
    <row r="4912" ht="12.75" x14ac:dyDescent="0.2"/>
    <row r="4913" ht="12.75" x14ac:dyDescent="0.2"/>
    <row r="4914" ht="12.75" x14ac:dyDescent="0.2"/>
    <row r="4915" ht="12.75" x14ac:dyDescent="0.2"/>
    <row r="4916" ht="12.75" x14ac:dyDescent="0.2"/>
    <row r="4917" ht="12.75" x14ac:dyDescent="0.2"/>
    <row r="4918" ht="12.75" x14ac:dyDescent="0.2"/>
    <row r="4919" ht="12.75" x14ac:dyDescent="0.2"/>
    <row r="4920" ht="12.75" x14ac:dyDescent="0.2"/>
    <row r="4921" ht="12.75" x14ac:dyDescent="0.2"/>
    <row r="4922" ht="12.75" x14ac:dyDescent="0.2"/>
    <row r="4923" ht="12.75" x14ac:dyDescent="0.2"/>
    <row r="4924" ht="12.75" x14ac:dyDescent="0.2"/>
    <row r="4925" ht="12.75" x14ac:dyDescent="0.2"/>
    <row r="4926" ht="12.75" x14ac:dyDescent="0.2"/>
    <row r="4927" ht="12.75" x14ac:dyDescent="0.2"/>
    <row r="4928" ht="12.75" x14ac:dyDescent="0.2"/>
    <row r="4929" ht="12.75" x14ac:dyDescent="0.2"/>
    <row r="4930" ht="12.75" x14ac:dyDescent="0.2"/>
    <row r="4931" ht="12.75" x14ac:dyDescent="0.2"/>
    <row r="4932" ht="12.75" x14ac:dyDescent="0.2"/>
    <row r="4933" ht="12.75" x14ac:dyDescent="0.2"/>
    <row r="4934" ht="12.75" x14ac:dyDescent="0.2"/>
    <row r="4935" ht="12.75" x14ac:dyDescent="0.2"/>
    <row r="4936" ht="12.75" x14ac:dyDescent="0.2"/>
    <row r="4937" ht="12.75" x14ac:dyDescent="0.2"/>
    <row r="4938" ht="12.75" x14ac:dyDescent="0.2"/>
    <row r="4939" ht="12.75" x14ac:dyDescent="0.2"/>
    <row r="4940" ht="12.75" x14ac:dyDescent="0.2"/>
    <row r="4941" ht="12.75" x14ac:dyDescent="0.2"/>
    <row r="4942" ht="12.75" x14ac:dyDescent="0.2"/>
    <row r="4943" ht="12.75" x14ac:dyDescent="0.2"/>
    <row r="4944" ht="12.75" x14ac:dyDescent="0.2"/>
    <row r="4945" ht="12.75" x14ac:dyDescent="0.2"/>
    <row r="4946" ht="12.75" x14ac:dyDescent="0.2"/>
    <row r="4947" ht="12.75" x14ac:dyDescent="0.2"/>
    <row r="4948" ht="12.75" x14ac:dyDescent="0.2"/>
    <row r="4949" ht="12.75" x14ac:dyDescent="0.2"/>
    <row r="4950" ht="12.75" x14ac:dyDescent="0.2"/>
    <row r="4951" ht="12.75" x14ac:dyDescent="0.2"/>
    <row r="4952" ht="12.75" x14ac:dyDescent="0.2"/>
    <row r="4953" ht="12.75" x14ac:dyDescent="0.2"/>
    <row r="4954" ht="12.75" x14ac:dyDescent="0.2"/>
    <row r="4955" ht="12.75" x14ac:dyDescent="0.2"/>
    <row r="4956" ht="12.75" x14ac:dyDescent="0.2"/>
    <row r="4957" ht="12.75" x14ac:dyDescent="0.2"/>
    <row r="4958" ht="12.75" x14ac:dyDescent="0.2"/>
    <row r="4959" ht="12.75" x14ac:dyDescent="0.2"/>
    <row r="4960" ht="12.75" x14ac:dyDescent="0.2"/>
    <row r="4961" ht="12.75" x14ac:dyDescent="0.2"/>
    <row r="4962" ht="12.75" x14ac:dyDescent="0.2"/>
    <row r="4963" ht="12.75" x14ac:dyDescent="0.2"/>
    <row r="4964" ht="12.75" x14ac:dyDescent="0.2"/>
    <row r="4965" ht="12.75" x14ac:dyDescent="0.2"/>
    <row r="4966" ht="12.75" x14ac:dyDescent="0.2"/>
    <row r="4967" ht="12.75" x14ac:dyDescent="0.2"/>
    <row r="4968" ht="12.75" x14ac:dyDescent="0.2"/>
    <row r="4969" ht="12.75" x14ac:dyDescent="0.2"/>
    <row r="4970" ht="12.75" x14ac:dyDescent="0.2"/>
    <row r="4971" ht="12.75" x14ac:dyDescent="0.2"/>
    <row r="4972" ht="12.75" x14ac:dyDescent="0.2"/>
    <row r="4973" ht="12.75" x14ac:dyDescent="0.2"/>
    <row r="4974" ht="12.75" x14ac:dyDescent="0.2"/>
    <row r="4975" ht="12.75" x14ac:dyDescent="0.2"/>
    <row r="4976" ht="12.75" x14ac:dyDescent="0.2"/>
    <row r="4977" ht="12.75" x14ac:dyDescent="0.2"/>
    <row r="4978" ht="12.75" x14ac:dyDescent="0.2"/>
    <row r="4979" ht="12.75" x14ac:dyDescent="0.2"/>
    <row r="4980" ht="12.75" x14ac:dyDescent="0.2"/>
    <row r="4981" ht="12.75" x14ac:dyDescent="0.2"/>
    <row r="4982" ht="12.75" x14ac:dyDescent="0.2"/>
    <row r="4983" ht="12.75" x14ac:dyDescent="0.2"/>
    <row r="4984" ht="12.75" x14ac:dyDescent="0.2"/>
    <row r="4985" ht="12.75" x14ac:dyDescent="0.2"/>
    <row r="4986" ht="12.75" x14ac:dyDescent="0.2"/>
    <row r="4987" ht="12.75" x14ac:dyDescent="0.2"/>
    <row r="4988" ht="12.75" x14ac:dyDescent="0.2"/>
    <row r="4989" ht="12.75" x14ac:dyDescent="0.2"/>
    <row r="4990" ht="12.75" x14ac:dyDescent="0.2"/>
    <row r="4991" ht="12.75" x14ac:dyDescent="0.2"/>
    <row r="4992" ht="12.75" x14ac:dyDescent="0.2"/>
    <row r="4993" ht="12.75" x14ac:dyDescent="0.2"/>
    <row r="4994" ht="12.75" x14ac:dyDescent="0.2"/>
    <row r="4995" ht="12.75" x14ac:dyDescent="0.2"/>
    <row r="4996" ht="12.75" x14ac:dyDescent="0.2"/>
    <row r="4997" ht="12.75" x14ac:dyDescent="0.2"/>
    <row r="4998" ht="12.75" x14ac:dyDescent="0.2"/>
    <row r="4999" ht="12.75" x14ac:dyDescent="0.2"/>
    <row r="5000" ht="12.75" x14ac:dyDescent="0.2"/>
    <row r="5001" ht="12.75" x14ac:dyDescent="0.2"/>
    <row r="5002" ht="12.75" x14ac:dyDescent="0.2"/>
    <row r="5003" ht="12.75" x14ac:dyDescent="0.2"/>
    <row r="5004" ht="12.75" x14ac:dyDescent="0.2"/>
    <row r="5005" ht="12.75" x14ac:dyDescent="0.2"/>
    <row r="5006" ht="12.75" x14ac:dyDescent="0.2"/>
    <row r="5007" ht="12.75" x14ac:dyDescent="0.2"/>
    <row r="5008" ht="12.75" x14ac:dyDescent="0.2"/>
    <row r="5009" ht="12.75" x14ac:dyDescent="0.2"/>
    <row r="5010" ht="12.75" x14ac:dyDescent="0.2"/>
    <row r="5011" ht="12.75" x14ac:dyDescent="0.2"/>
    <row r="5012" ht="12.75" x14ac:dyDescent="0.2"/>
    <row r="5013" ht="12.75" x14ac:dyDescent="0.2"/>
    <row r="5014" ht="12.75" x14ac:dyDescent="0.2"/>
    <row r="5015" ht="12.75" x14ac:dyDescent="0.2"/>
    <row r="5016" ht="12.75" x14ac:dyDescent="0.2"/>
    <row r="5017" ht="12.75" x14ac:dyDescent="0.2"/>
    <row r="5018" ht="12.75" x14ac:dyDescent="0.2"/>
    <row r="5019" ht="12.75" x14ac:dyDescent="0.2"/>
    <row r="5020" ht="12.75" x14ac:dyDescent="0.2"/>
    <row r="5021" ht="12.75" x14ac:dyDescent="0.2"/>
    <row r="5022" ht="12.75" x14ac:dyDescent="0.2"/>
    <row r="5023" ht="12.75" x14ac:dyDescent="0.2"/>
    <row r="5024" ht="12.75" x14ac:dyDescent="0.2"/>
    <row r="5025" ht="12.75" x14ac:dyDescent="0.2"/>
    <row r="5026" ht="12.75" x14ac:dyDescent="0.2"/>
    <row r="5027" ht="12.75" x14ac:dyDescent="0.2"/>
    <row r="5028" ht="12.75" x14ac:dyDescent="0.2"/>
    <row r="5029" ht="12.75" x14ac:dyDescent="0.2"/>
    <row r="5030" ht="12.75" x14ac:dyDescent="0.2"/>
    <row r="5031" ht="12.75" x14ac:dyDescent="0.2"/>
    <row r="5032" ht="12.75" x14ac:dyDescent="0.2"/>
    <row r="5033" ht="12.75" x14ac:dyDescent="0.2"/>
    <row r="5034" ht="12.75" x14ac:dyDescent="0.2"/>
    <row r="5035" ht="12.75" x14ac:dyDescent="0.2"/>
    <row r="5036" ht="12.75" x14ac:dyDescent="0.2"/>
    <row r="5037" ht="12.75" x14ac:dyDescent="0.2"/>
    <row r="5038" ht="12.75" x14ac:dyDescent="0.2"/>
    <row r="5039" ht="12.75" x14ac:dyDescent="0.2"/>
    <row r="5040" ht="12.75" x14ac:dyDescent="0.2"/>
    <row r="5041" ht="12.75" x14ac:dyDescent="0.2"/>
    <row r="5042" ht="12.75" x14ac:dyDescent="0.2"/>
    <row r="5043" ht="12.75" x14ac:dyDescent="0.2"/>
    <row r="5044" ht="12.75" x14ac:dyDescent="0.2"/>
    <row r="5045" ht="12.75" x14ac:dyDescent="0.2"/>
    <row r="5046" ht="12.75" x14ac:dyDescent="0.2"/>
    <row r="5047" ht="12.75" x14ac:dyDescent="0.2"/>
    <row r="5048" ht="12.75" x14ac:dyDescent="0.2"/>
    <row r="5049" ht="12.75" x14ac:dyDescent="0.2"/>
    <row r="5050" ht="12.75" x14ac:dyDescent="0.2"/>
    <row r="5051" ht="12.75" x14ac:dyDescent="0.2"/>
    <row r="5052" ht="12.75" x14ac:dyDescent="0.2"/>
    <row r="5053" ht="12.75" x14ac:dyDescent="0.2"/>
    <row r="5054" ht="12.75" x14ac:dyDescent="0.2"/>
    <row r="5055" ht="12.75" x14ac:dyDescent="0.2"/>
    <row r="5056" ht="12.75" x14ac:dyDescent="0.2"/>
    <row r="5057" ht="12.75" x14ac:dyDescent="0.2"/>
    <row r="5058" ht="12.75" x14ac:dyDescent="0.2"/>
    <row r="5059" ht="12.75" x14ac:dyDescent="0.2"/>
    <row r="5060" ht="12.75" x14ac:dyDescent="0.2"/>
    <row r="5061" ht="12.75" x14ac:dyDescent="0.2"/>
    <row r="5062" ht="12.75" x14ac:dyDescent="0.2"/>
    <row r="5063" ht="12.75" x14ac:dyDescent="0.2"/>
    <row r="5064" ht="12.75" x14ac:dyDescent="0.2"/>
    <row r="5065" ht="12.75" x14ac:dyDescent="0.2"/>
    <row r="5066" ht="12.75" x14ac:dyDescent="0.2"/>
    <row r="5067" ht="12.75" x14ac:dyDescent="0.2"/>
    <row r="5068" ht="12.75" x14ac:dyDescent="0.2"/>
    <row r="5069" ht="12.75" x14ac:dyDescent="0.2"/>
    <row r="5070" ht="12.75" x14ac:dyDescent="0.2"/>
    <row r="5071" ht="12.75" x14ac:dyDescent="0.2"/>
    <row r="5072" ht="12.75" x14ac:dyDescent="0.2"/>
    <row r="5073" ht="12.75" x14ac:dyDescent="0.2"/>
    <row r="5074" ht="12.75" x14ac:dyDescent="0.2"/>
    <row r="5075" ht="12.75" x14ac:dyDescent="0.2"/>
    <row r="5076" ht="12.75" x14ac:dyDescent="0.2"/>
    <row r="5077" ht="12.75" x14ac:dyDescent="0.2"/>
    <row r="5078" ht="12.75" x14ac:dyDescent="0.2"/>
    <row r="5079" ht="12.75" x14ac:dyDescent="0.2"/>
    <row r="5080" ht="12.75" x14ac:dyDescent="0.2"/>
    <row r="5081" ht="12.75" x14ac:dyDescent="0.2"/>
    <row r="5082" ht="12.75" x14ac:dyDescent="0.2"/>
    <row r="5083" ht="12.75" x14ac:dyDescent="0.2"/>
    <row r="5084" ht="12.75" x14ac:dyDescent="0.2"/>
    <row r="5085" ht="12.75" x14ac:dyDescent="0.2"/>
    <row r="5086" ht="12.75" x14ac:dyDescent="0.2"/>
    <row r="5087" ht="12.75" x14ac:dyDescent="0.2"/>
    <row r="5088" ht="12.75" x14ac:dyDescent="0.2"/>
    <row r="5089" ht="12.75" x14ac:dyDescent="0.2"/>
    <row r="5090" ht="12.75" x14ac:dyDescent="0.2"/>
    <row r="5091" ht="12.75" x14ac:dyDescent="0.2"/>
    <row r="5092" ht="12.75" x14ac:dyDescent="0.2"/>
    <row r="5093" ht="12.75" x14ac:dyDescent="0.2"/>
    <row r="5094" ht="12.75" x14ac:dyDescent="0.2"/>
    <row r="5095" ht="12.75" x14ac:dyDescent="0.2"/>
    <row r="5096" ht="12.75" x14ac:dyDescent="0.2"/>
    <row r="5097" ht="12.75" x14ac:dyDescent="0.2"/>
    <row r="5098" ht="12.75" x14ac:dyDescent="0.2"/>
    <row r="5099" ht="12.75" x14ac:dyDescent="0.2"/>
    <row r="5100" ht="12.75" x14ac:dyDescent="0.2"/>
    <row r="5101" ht="12.75" x14ac:dyDescent="0.2"/>
    <row r="5102" ht="12.75" x14ac:dyDescent="0.2"/>
    <row r="5103" ht="12.75" x14ac:dyDescent="0.2"/>
    <row r="5104" ht="12.75" x14ac:dyDescent="0.2"/>
    <row r="5105" ht="12.75" x14ac:dyDescent="0.2"/>
    <row r="5106" ht="12.75" x14ac:dyDescent="0.2"/>
    <row r="5107" ht="12.75" x14ac:dyDescent="0.2"/>
    <row r="5108" ht="12.75" x14ac:dyDescent="0.2"/>
    <row r="5109" ht="12.75" x14ac:dyDescent="0.2"/>
    <row r="5110" ht="12.75" x14ac:dyDescent="0.2"/>
    <row r="5111" ht="12.75" x14ac:dyDescent="0.2"/>
    <row r="5112" ht="12.75" x14ac:dyDescent="0.2"/>
    <row r="5113" ht="12.75" x14ac:dyDescent="0.2"/>
    <row r="5114" ht="12.75" x14ac:dyDescent="0.2"/>
    <row r="5115" ht="12.75" x14ac:dyDescent="0.2"/>
    <row r="5116" ht="12.75" x14ac:dyDescent="0.2"/>
    <row r="5117" ht="12.75" x14ac:dyDescent="0.2"/>
    <row r="5118" ht="12.75" x14ac:dyDescent="0.2"/>
    <row r="5119" ht="12.75" x14ac:dyDescent="0.2"/>
    <row r="5120" ht="12.75" x14ac:dyDescent="0.2"/>
    <row r="5121" ht="12.75" x14ac:dyDescent="0.2"/>
    <row r="5122" ht="12.75" x14ac:dyDescent="0.2"/>
    <row r="5123" ht="12.75" x14ac:dyDescent="0.2"/>
    <row r="5124" ht="12.75" x14ac:dyDescent="0.2"/>
    <row r="5125" ht="12.75" x14ac:dyDescent="0.2"/>
    <row r="5126" ht="12.75" x14ac:dyDescent="0.2"/>
    <row r="5127" ht="12.75" x14ac:dyDescent="0.2"/>
    <row r="5128" ht="12.75" x14ac:dyDescent="0.2"/>
    <row r="5129" ht="12.75" x14ac:dyDescent="0.2"/>
    <row r="5130" ht="12.75" x14ac:dyDescent="0.2"/>
    <row r="5131" ht="12.75" x14ac:dyDescent="0.2"/>
    <row r="5132" ht="12.75" x14ac:dyDescent="0.2"/>
    <row r="5133" ht="12.75" x14ac:dyDescent="0.2"/>
    <row r="5134" ht="12.75" x14ac:dyDescent="0.2"/>
    <row r="5135" ht="12.75" x14ac:dyDescent="0.2"/>
    <row r="5136" ht="12.75" x14ac:dyDescent="0.2"/>
    <row r="5137" ht="12.75" x14ac:dyDescent="0.2"/>
    <row r="5138" ht="12.75" x14ac:dyDescent="0.2"/>
    <row r="5139" ht="12.75" x14ac:dyDescent="0.2"/>
    <row r="5140" ht="12.75" x14ac:dyDescent="0.2"/>
    <row r="5141" ht="12.75" x14ac:dyDescent="0.2"/>
    <row r="5142" ht="12.75" x14ac:dyDescent="0.2"/>
    <row r="5143" ht="12.75" x14ac:dyDescent="0.2"/>
    <row r="5144" ht="12.75" x14ac:dyDescent="0.2"/>
    <row r="5145" ht="12.75" x14ac:dyDescent="0.2"/>
    <row r="5146" ht="12.75" x14ac:dyDescent="0.2"/>
    <row r="5147" ht="12.75" x14ac:dyDescent="0.2"/>
    <row r="5148" ht="12.75" x14ac:dyDescent="0.2"/>
    <row r="5149" ht="12.75" x14ac:dyDescent="0.2"/>
    <row r="5150" ht="12.75" x14ac:dyDescent="0.2"/>
    <row r="5151" ht="12.75" x14ac:dyDescent="0.2"/>
    <row r="5152" ht="12.75" x14ac:dyDescent="0.2"/>
    <row r="5153" ht="12.75" x14ac:dyDescent="0.2"/>
    <row r="5154" ht="12.75" x14ac:dyDescent="0.2"/>
    <row r="5155" ht="12.75" x14ac:dyDescent="0.2"/>
    <row r="5156" ht="12.75" x14ac:dyDescent="0.2"/>
    <row r="5157" ht="12.75" x14ac:dyDescent="0.2"/>
    <row r="5158" ht="12.75" x14ac:dyDescent="0.2"/>
    <row r="5159" ht="12.75" x14ac:dyDescent="0.2"/>
    <row r="5160" ht="12.75" x14ac:dyDescent="0.2"/>
    <row r="5161" ht="12.75" x14ac:dyDescent="0.2"/>
    <row r="5162" ht="12.75" x14ac:dyDescent="0.2"/>
    <row r="5163" ht="12.75" x14ac:dyDescent="0.2"/>
    <row r="5164" ht="12.75" x14ac:dyDescent="0.2"/>
    <row r="5165" ht="12.75" x14ac:dyDescent="0.2"/>
    <row r="5166" ht="12.75" x14ac:dyDescent="0.2"/>
    <row r="5167" ht="12.75" x14ac:dyDescent="0.2"/>
    <row r="5168" ht="12.75" x14ac:dyDescent="0.2"/>
    <row r="5169" ht="12.75" x14ac:dyDescent="0.2"/>
    <row r="5170" ht="12.75" x14ac:dyDescent="0.2"/>
    <row r="5171" ht="12.75" x14ac:dyDescent="0.2"/>
    <row r="5172" ht="12.75" x14ac:dyDescent="0.2"/>
    <row r="5173" ht="12.75" x14ac:dyDescent="0.2"/>
    <row r="5174" ht="12.75" x14ac:dyDescent="0.2"/>
    <row r="5175" ht="12.75" x14ac:dyDescent="0.2"/>
    <row r="5176" ht="12.75" x14ac:dyDescent="0.2"/>
    <row r="5177" ht="12.75" x14ac:dyDescent="0.2"/>
    <row r="5178" ht="12.75" x14ac:dyDescent="0.2"/>
    <row r="5179" ht="12.75" x14ac:dyDescent="0.2"/>
    <row r="5180" ht="12.75" x14ac:dyDescent="0.2"/>
    <row r="5181" ht="12.75" x14ac:dyDescent="0.2"/>
    <row r="5182" ht="12.75" x14ac:dyDescent="0.2"/>
    <row r="5183" ht="12.75" x14ac:dyDescent="0.2"/>
    <row r="5184" ht="12.75" x14ac:dyDescent="0.2"/>
    <row r="5185" ht="12.75" x14ac:dyDescent="0.2"/>
    <row r="5186" ht="12.75" x14ac:dyDescent="0.2"/>
    <row r="5187" ht="12.75" x14ac:dyDescent="0.2"/>
    <row r="5188" ht="12.75" x14ac:dyDescent="0.2"/>
    <row r="5189" ht="12.75" x14ac:dyDescent="0.2"/>
    <row r="5190" ht="12.75" x14ac:dyDescent="0.2"/>
    <row r="5191" ht="12.75" x14ac:dyDescent="0.2"/>
    <row r="5192" ht="12.75" x14ac:dyDescent="0.2"/>
    <row r="5193" ht="12.75" x14ac:dyDescent="0.2"/>
    <row r="5194" ht="12.75" x14ac:dyDescent="0.2"/>
    <row r="5195" ht="12.75" x14ac:dyDescent="0.2"/>
    <row r="5196" ht="12.75" x14ac:dyDescent="0.2"/>
    <row r="5197" ht="12.75" x14ac:dyDescent="0.2"/>
    <row r="5198" ht="12.75" x14ac:dyDescent="0.2"/>
    <row r="5199" ht="12.75" x14ac:dyDescent="0.2"/>
    <row r="5200" ht="12.75" x14ac:dyDescent="0.2"/>
    <row r="5201" ht="12.75" x14ac:dyDescent="0.2"/>
    <row r="5202" ht="12.75" x14ac:dyDescent="0.2"/>
    <row r="5203" ht="12.75" x14ac:dyDescent="0.2"/>
    <row r="5204" ht="12.75" x14ac:dyDescent="0.2"/>
    <row r="5205" ht="12.75" x14ac:dyDescent="0.2"/>
    <row r="5206" ht="12.75" x14ac:dyDescent="0.2"/>
    <row r="5207" ht="12.75" x14ac:dyDescent="0.2"/>
    <row r="5208" ht="12.75" x14ac:dyDescent="0.2"/>
    <row r="5209" ht="12.75" x14ac:dyDescent="0.2"/>
    <row r="5210" ht="12.75" x14ac:dyDescent="0.2"/>
    <row r="5211" ht="12.75" x14ac:dyDescent="0.2"/>
    <row r="5212" ht="12.75" x14ac:dyDescent="0.2"/>
    <row r="5213" ht="12.75" x14ac:dyDescent="0.2"/>
    <row r="5214" ht="12.75" x14ac:dyDescent="0.2"/>
    <row r="5215" ht="12.75" x14ac:dyDescent="0.2"/>
    <row r="5216" ht="12.75" x14ac:dyDescent="0.2"/>
    <row r="5217" ht="12.75" x14ac:dyDescent="0.2"/>
    <row r="5218" ht="12.75" x14ac:dyDescent="0.2"/>
    <row r="5219" ht="12.75" x14ac:dyDescent="0.2"/>
    <row r="5220" ht="12.75" x14ac:dyDescent="0.2"/>
    <row r="5221" ht="12.75" x14ac:dyDescent="0.2"/>
    <row r="5222" ht="12.75" x14ac:dyDescent="0.2"/>
    <row r="5223" ht="12.75" x14ac:dyDescent="0.2"/>
    <row r="5224" ht="12.75" x14ac:dyDescent="0.2"/>
    <row r="5225" ht="12.75" x14ac:dyDescent="0.2"/>
    <row r="5226" ht="12.75" x14ac:dyDescent="0.2"/>
    <row r="5227" ht="12.75" x14ac:dyDescent="0.2"/>
    <row r="5228" ht="12.75" x14ac:dyDescent="0.2"/>
    <row r="5229" ht="12.75" x14ac:dyDescent="0.2"/>
    <row r="5230" ht="12.75" x14ac:dyDescent="0.2"/>
    <row r="5231" ht="12.75" x14ac:dyDescent="0.2"/>
    <row r="5232" ht="12.75" x14ac:dyDescent="0.2"/>
    <row r="5233" ht="12.75" x14ac:dyDescent="0.2"/>
    <row r="5234" ht="12.75" x14ac:dyDescent="0.2"/>
    <row r="5235" ht="12.75" x14ac:dyDescent="0.2"/>
    <row r="5236" ht="12.75" x14ac:dyDescent="0.2"/>
    <row r="5237" ht="12.75" x14ac:dyDescent="0.2"/>
    <row r="5238" ht="12.75" x14ac:dyDescent="0.2"/>
    <row r="5239" ht="12.75" x14ac:dyDescent="0.2"/>
    <row r="5240" ht="12.75" x14ac:dyDescent="0.2"/>
    <row r="5241" ht="12.75" x14ac:dyDescent="0.2"/>
    <row r="5242" ht="12.75" x14ac:dyDescent="0.2"/>
    <row r="5243" ht="12.75" x14ac:dyDescent="0.2"/>
    <row r="5244" ht="12.75" x14ac:dyDescent="0.2"/>
    <row r="5245" ht="12.75" x14ac:dyDescent="0.2"/>
    <row r="5246" ht="12.75" x14ac:dyDescent="0.2"/>
    <row r="5247" ht="12.75" x14ac:dyDescent="0.2"/>
    <row r="5248" ht="12.75" x14ac:dyDescent="0.2"/>
    <row r="5249" ht="12.75" x14ac:dyDescent="0.2"/>
    <row r="5250" ht="12.75" x14ac:dyDescent="0.2"/>
    <row r="5251" ht="12.75" x14ac:dyDescent="0.2"/>
    <row r="5252" ht="12.75" x14ac:dyDescent="0.2"/>
    <row r="5253" ht="12.75" x14ac:dyDescent="0.2"/>
    <row r="5254" ht="12.75" x14ac:dyDescent="0.2"/>
    <row r="5255" ht="12.75" x14ac:dyDescent="0.2"/>
    <row r="5256" ht="12.75" x14ac:dyDescent="0.2"/>
    <row r="5257" ht="12.75" x14ac:dyDescent="0.2"/>
    <row r="5258" ht="12.75" x14ac:dyDescent="0.2"/>
    <row r="5259" ht="12.75" x14ac:dyDescent="0.2"/>
    <row r="5260" ht="12.75" x14ac:dyDescent="0.2"/>
    <row r="5261" ht="12.75" x14ac:dyDescent="0.2"/>
    <row r="5262" ht="12.75" x14ac:dyDescent="0.2"/>
    <row r="5263" ht="12.75" x14ac:dyDescent="0.2"/>
    <row r="5264" ht="12.75" x14ac:dyDescent="0.2"/>
    <row r="5265" ht="12.75" x14ac:dyDescent="0.2"/>
    <row r="5266" ht="12.75" x14ac:dyDescent="0.2"/>
    <row r="5267" ht="12.75" x14ac:dyDescent="0.2"/>
    <row r="5268" ht="12.75" x14ac:dyDescent="0.2"/>
    <row r="5269" ht="12.75" x14ac:dyDescent="0.2"/>
    <row r="5270" ht="12.75" x14ac:dyDescent="0.2"/>
    <row r="5271" ht="12.75" x14ac:dyDescent="0.2"/>
    <row r="5272" ht="12.75" x14ac:dyDescent="0.2"/>
    <row r="5273" ht="12.75" x14ac:dyDescent="0.2"/>
    <row r="5274" ht="12.75" x14ac:dyDescent="0.2"/>
    <row r="5275" ht="12.75" x14ac:dyDescent="0.2"/>
    <row r="5276" ht="12.75" x14ac:dyDescent="0.2"/>
    <row r="5277" ht="12.75" x14ac:dyDescent="0.2"/>
    <row r="5278" ht="12.75" x14ac:dyDescent="0.2"/>
    <row r="5279" ht="12.75" x14ac:dyDescent="0.2"/>
    <row r="5280" ht="12.75" x14ac:dyDescent="0.2"/>
    <row r="5281" ht="12.75" x14ac:dyDescent="0.2"/>
    <row r="5282" ht="12.75" x14ac:dyDescent="0.2"/>
    <row r="5283" ht="12.75" x14ac:dyDescent="0.2"/>
    <row r="5284" ht="12.75" x14ac:dyDescent="0.2"/>
    <row r="5285" ht="12.75" x14ac:dyDescent="0.2"/>
    <row r="5286" ht="12.75" x14ac:dyDescent="0.2"/>
    <row r="5287" ht="12.75" x14ac:dyDescent="0.2"/>
    <row r="5288" ht="12.75" x14ac:dyDescent="0.2"/>
    <row r="5289" ht="12.75" x14ac:dyDescent="0.2"/>
    <row r="5290" ht="12.75" x14ac:dyDescent="0.2"/>
    <row r="5291" ht="12.75" x14ac:dyDescent="0.2"/>
    <row r="5292" ht="12.75" x14ac:dyDescent="0.2"/>
    <row r="5293" ht="12.75" x14ac:dyDescent="0.2"/>
    <row r="5294" ht="12.75" x14ac:dyDescent="0.2"/>
    <row r="5295" ht="12.75" x14ac:dyDescent="0.2"/>
    <row r="5296" ht="12.75" x14ac:dyDescent="0.2"/>
    <row r="5297" ht="12.75" x14ac:dyDescent="0.2"/>
    <row r="5298" ht="12.75" x14ac:dyDescent="0.2"/>
    <row r="5299" ht="12.75" x14ac:dyDescent="0.2"/>
    <row r="5300" ht="12.75" x14ac:dyDescent="0.2"/>
    <row r="5301" ht="12.75" x14ac:dyDescent="0.2"/>
    <row r="5302" ht="12.75" x14ac:dyDescent="0.2"/>
    <row r="5303" ht="12.75" x14ac:dyDescent="0.2"/>
    <row r="5304" ht="12.75" x14ac:dyDescent="0.2"/>
    <row r="5305" ht="12.75" x14ac:dyDescent="0.2"/>
    <row r="5306" ht="12.75" x14ac:dyDescent="0.2"/>
    <row r="5307" ht="12.75" x14ac:dyDescent="0.2"/>
    <row r="5308" ht="12.75" x14ac:dyDescent="0.2"/>
    <row r="5309" ht="12.75" x14ac:dyDescent="0.2"/>
    <row r="5310" ht="12.75" x14ac:dyDescent="0.2"/>
    <row r="5311" ht="12.75" x14ac:dyDescent="0.2"/>
    <row r="5312" ht="12.75" x14ac:dyDescent="0.2"/>
    <row r="5313" ht="12.75" x14ac:dyDescent="0.2"/>
    <row r="5314" ht="12.75" x14ac:dyDescent="0.2"/>
    <row r="5315" ht="12.75" x14ac:dyDescent="0.2"/>
    <row r="5316" ht="12.75" x14ac:dyDescent="0.2"/>
    <row r="5317" ht="12.75" x14ac:dyDescent="0.2"/>
    <row r="5318" ht="12.75" x14ac:dyDescent="0.2"/>
    <row r="5319" ht="12.75" x14ac:dyDescent="0.2"/>
    <row r="5320" ht="12.75" x14ac:dyDescent="0.2"/>
    <row r="5321" ht="12.75" x14ac:dyDescent="0.2"/>
    <row r="5322" ht="12.75" x14ac:dyDescent="0.2"/>
    <row r="5323" ht="12.75" x14ac:dyDescent="0.2"/>
    <row r="5324" ht="12.75" x14ac:dyDescent="0.2"/>
    <row r="5325" ht="12.75" x14ac:dyDescent="0.2"/>
    <row r="5326" ht="12.75" x14ac:dyDescent="0.2"/>
    <row r="5327" ht="12.75" x14ac:dyDescent="0.2"/>
    <row r="5328" ht="12.75" x14ac:dyDescent="0.2"/>
    <row r="5329" ht="12.75" x14ac:dyDescent="0.2"/>
    <row r="5330" ht="12.75" x14ac:dyDescent="0.2"/>
    <row r="5331" ht="12.75" x14ac:dyDescent="0.2"/>
    <row r="5332" ht="12.75" x14ac:dyDescent="0.2"/>
    <row r="5333" ht="12.75" x14ac:dyDescent="0.2"/>
    <row r="5334" ht="12.75" x14ac:dyDescent="0.2"/>
    <row r="5335" ht="12.75" x14ac:dyDescent="0.2"/>
    <row r="5336" ht="12.75" x14ac:dyDescent="0.2"/>
    <row r="5337" ht="12.75" x14ac:dyDescent="0.2"/>
    <row r="5338" ht="12.75" x14ac:dyDescent="0.2"/>
    <row r="5339" ht="12.75" x14ac:dyDescent="0.2"/>
    <row r="5340" ht="12.75" x14ac:dyDescent="0.2"/>
    <row r="5341" ht="12.75" x14ac:dyDescent="0.2"/>
    <row r="5342" ht="12.75" x14ac:dyDescent="0.2"/>
    <row r="5343" ht="12.75" x14ac:dyDescent="0.2"/>
    <row r="5344" ht="12.75" x14ac:dyDescent="0.2"/>
    <row r="5345" ht="12.75" x14ac:dyDescent="0.2"/>
    <row r="5346" ht="12.75" x14ac:dyDescent="0.2"/>
    <row r="5347" ht="12.75" x14ac:dyDescent="0.2"/>
    <row r="5348" ht="12.75" x14ac:dyDescent="0.2"/>
    <row r="5349" ht="12.75" x14ac:dyDescent="0.2"/>
    <row r="5350" ht="12.75" x14ac:dyDescent="0.2"/>
    <row r="5351" ht="12.75" x14ac:dyDescent="0.2"/>
    <row r="5352" ht="12.75" x14ac:dyDescent="0.2"/>
    <row r="5353" ht="12.75" x14ac:dyDescent="0.2"/>
    <row r="5354" ht="12.75" x14ac:dyDescent="0.2"/>
    <row r="5355" ht="12.75" x14ac:dyDescent="0.2"/>
    <row r="5356" ht="12.75" x14ac:dyDescent="0.2"/>
    <row r="5357" ht="12.75" x14ac:dyDescent="0.2"/>
    <row r="5358" ht="12.75" x14ac:dyDescent="0.2"/>
    <row r="5359" ht="12.75" x14ac:dyDescent="0.2"/>
    <row r="5360" ht="12.75" x14ac:dyDescent="0.2"/>
    <row r="5361" ht="12.75" x14ac:dyDescent="0.2"/>
    <row r="5362" ht="12.75" x14ac:dyDescent="0.2"/>
    <row r="5363" ht="12.75" x14ac:dyDescent="0.2"/>
    <row r="5364" ht="12.75" x14ac:dyDescent="0.2"/>
    <row r="5365" ht="12.75" x14ac:dyDescent="0.2"/>
    <row r="5366" ht="12.75" x14ac:dyDescent="0.2"/>
    <row r="5367" ht="12.75" x14ac:dyDescent="0.2"/>
    <row r="5368" ht="12.75" x14ac:dyDescent="0.2"/>
    <row r="5369" ht="12.75" x14ac:dyDescent="0.2"/>
    <row r="5370" ht="12.75" x14ac:dyDescent="0.2"/>
    <row r="5371" ht="12.75" x14ac:dyDescent="0.2"/>
    <row r="5372" ht="12.75" x14ac:dyDescent="0.2"/>
    <row r="5373" ht="12.75" x14ac:dyDescent="0.2"/>
    <row r="5374" ht="12.75" x14ac:dyDescent="0.2"/>
    <row r="5375" ht="12.75" x14ac:dyDescent="0.2"/>
    <row r="5376" ht="12.75" x14ac:dyDescent="0.2"/>
    <row r="5377" ht="12.75" x14ac:dyDescent="0.2"/>
    <row r="5378" ht="12.75" x14ac:dyDescent="0.2"/>
    <row r="5379" ht="12.75" x14ac:dyDescent="0.2"/>
    <row r="5380" ht="12.75" x14ac:dyDescent="0.2"/>
    <row r="5381" ht="12.75" x14ac:dyDescent="0.2"/>
    <row r="5382" ht="12.75" x14ac:dyDescent="0.2"/>
    <row r="5383" ht="12.75" x14ac:dyDescent="0.2"/>
    <row r="5384" ht="12.75" x14ac:dyDescent="0.2"/>
    <row r="5385" ht="12.75" x14ac:dyDescent="0.2"/>
    <row r="5386" ht="12.75" x14ac:dyDescent="0.2"/>
    <row r="5387" ht="12.75" x14ac:dyDescent="0.2"/>
    <row r="5388" ht="12.75" x14ac:dyDescent="0.2"/>
    <row r="5389" ht="12.75" x14ac:dyDescent="0.2"/>
    <row r="5390" ht="12.75" x14ac:dyDescent="0.2"/>
    <row r="5391" ht="12.75" x14ac:dyDescent="0.2"/>
    <row r="5392" ht="12.75" x14ac:dyDescent="0.2"/>
    <row r="5393" ht="12.75" x14ac:dyDescent="0.2"/>
    <row r="5394" ht="12.75" x14ac:dyDescent="0.2"/>
    <row r="5395" ht="12.75" x14ac:dyDescent="0.2"/>
    <row r="5396" ht="12.75" x14ac:dyDescent="0.2"/>
    <row r="5397" ht="12.75" x14ac:dyDescent="0.2"/>
    <row r="5398" ht="12.75" x14ac:dyDescent="0.2"/>
    <row r="5399" ht="12.75" x14ac:dyDescent="0.2"/>
    <row r="5400" ht="12.75" x14ac:dyDescent="0.2"/>
    <row r="5401" ht="12.75" x14ac:dyDescent="0.2"/>
    <row r="5402" ht="12.75" x14ac:dyDescent="0.2"/>
    <row r="5403" ht="12.75" x14ac:dyDescent="0.2"/>
    <row r="5404" ht="12.75" x14ac:dyDescent="0.2"/>
    <row r="5405" ht="12.75" x14ac:dyDescent="0.2"/>
    <row r="5406" ht="12.75" x14ac:dyDescent="0.2"/>
    <row r="5407" ht="12.75" x14ac:dyDescent="0.2"/>
    <row r="5408" ht="12.75" x14ac:dyDescent="0.2"/>
    <row r="5409" ht="12.75" x14ac:dyDescent="0.2"/>
    <row r="5410" ht="12.75" x14ac:dyDescent="0.2"/>
    <row r="5411" ht="12.75" x14ac:dyDescent="0.2"/>
    <row r="5412" ht="12.75" x14ac:dyDescent="0.2"/>
    <row r="5413" ht="12.75" x14ac:dyDescent="0.2"/>
    <row r="5414" ht="12.75" x14ac:dyDescent="0.2"/>
    <row r="5415" ht="12.75" x14ac:dyDescent="0.2"/>
    <row r="5416" ht="12.75" x14ac:dyDescent="0.2"/>
    <row r="5417" ht="12.75" x14ac:dyDescent="0.2"/>
    <row r="5418" ht="12.75" x14ac:dyDescent="0.2"/>
    <row r="5419" ht="12.75" x14ac:dyDescent="0.2"/>
    <row r="5420" ht="12.75" x14ac:dyDescent="0.2"/>
    <row r="5421" ht="12.75" x14ac:dyDescent="0.2"/>
    <row r="5422" ht="12.75" x14ac:dyDescent="0.2"/>
    <row r="5423" ht="12.75" x14ac:dyDescent="0.2"/>
    <row r="5424" ht="12.75" x14ac:dyDescent="0.2"/>
    <row r="5425" ht="12.75" x14ac:dyDescent="0.2"/>
    <row r="5426" ht="12.75" x14ac:dyDescent="0.2"/>
    <row r="5427" ht="12.75" x14ac:dyDescent="0.2"/>
    <row r="5428" ht="12.75" x14ac:dyDescent="0.2"/>
    <row r="5429" ht="12.75" x14ac:dyDescent="0.2"/>
    <row r="5430" ht="12.75" x14ac:dyDescent="0.2"/>
    <row r="5431" ht="12.75" x14ac:dyDescent="0.2"/>
    <row r="5432" ht="12.75" x14ac:dyDescent="0.2"/>
    <row r="5433" ht="12.75" x14ac:dyDescent="0.2"/>
    <row r="5434" ht="12.75" x14ac:dyDescent="0.2"/>
    <row r="5435" ht="12.75" x14ac:dyDescent="0.2"/>
    <row r="5436" ht="12.75" x14ac:dyDescent="0.2"/>
    <row r="5437" ht="12.75" x14ac:dyDescent="0.2"/>
    <row r="5438" ht="12.75" x14ac:dyDescent="0.2"/>
    <row r="5439" ht="12.75" x14ac:dyDescent="0.2"/>
    <row r="5440" ht="12.75" x14ac:dyDescent="0.2"/>
    <row r="5441" ht="12.75" x14ac:dyDescent="0.2"/>
    <row r="5442" ht="12.75" x14ac:dyDescent="0.2"/>
    <row r="5443" ht="12.75" x14ac:dyDescent="0.2"/>
    <row r="5444" ht="12.75" x14ac:dyDescent="0.2"/>
    <row r="5445" ht="12.75" x14ac:dyDescent="0.2"/>
    <row r="5446" ht="12.75" x14ac:dyDescent="0.2"/>
    <row r="5447" ht="12.75" x14ac:dyDescent="0.2"/>
    <row r="5448" ht="12.75" x14ac:dyDescent="0.2"/>
    <row r="5449" ht="12.75" x14ac:dyDescent="0.2"/>
    <row r="5450" ht="12.75" x14ac:dyDescent="0.2"/>
    <row r="5451" ht="12.75" x14ac:dyDescent="0.2"/>
    <row r="5452" ht="12.75" x14ac:dyDescent="0.2"/>
    <row r="5453" ht="12.75" x14ac:dyDescent="0.2"/>
    <row r="5454" ht="12.75" x14ac:dyDescent="0.2"/>
    <row r="5455" ht="12.75" x14ac:dyDescent="0.2"/>
    <row r="5456" ht="12.75" x14ac:dyDescent="0.2"/>
    <row r="5457" ht="12.75" x14ac:dyDescent="0.2"/>
    <row r="5458" ht="12.75" x14ac:dyDescent="0.2"/>
    <row r="5459" ht="12.75" x14ac:dyDescent="0.2"/>
    <row r="5460" ht="12.75" x14ac:dyDescent="0.2"/>
    <row r="5461" ht="12.75" x14ac:dyDescent="0.2"/>
    <row r="5462" ht="12.75" x14ac:dyDescent="0.2"/>
    <row r="5463" ht="12.75" x14ac:dyDescent="0.2"/>
    <row r="5464" ht="12.75" x14ac:dyDescent="0.2"/>
    <row r="5465" ht="12.75" x14ac:dyDescent="0.2"/>
    <row r="5466" ht="12.75" x14ac:dyDescent="0.2"/>
    <row r="5467" ht="12.75" x14ac:dyDescent="0.2"/>
    <row r="5468" ht="12.75" x14ac:dyDescent="0.2"/>
    <row r="5469" ht="12.75" x14ac:dyDescent="0.2"/>
    <row r="5470" ht="12.75" x14ac:dyDescent="0.2"/>
    <row r="5471" ht="12.75" x14ac:dyDescent="0.2"/>
    <row r="5472" ht="12.75" x14ac:dyDescent="0.2"/>
    <row r="5473" ht="12.75" x14ac:dyDescent="0.2"/>
    <row r="5474" ht="12.75" x14ac:dyDescent="0.2"/>
    <row r="5475" ht="12.75" x14ac:dyDescent="0.2"/>
    <row r="5476" ht="12.75" x14ac:dyDescent="0.2"/>
    <row r="5477" ht="12.75" x14ac:dyDescent="0.2"/>
    <row r="5478" ht="12.75" x14ac:dyDescent="0.2"/>
    <row r="5479" ht="12.75" x14ac:dyDescent="0.2"/>
    <row r="5480" ht="12.75" x14ac:dyDescent="0.2"/>
    <row r="5481" ht="12.75" x14ac:dyDescent="0.2"/>
    <row r="5482" ht="12.75" x14ac:dyDescent="0.2"/>
    <row r="5483" ht="12.75" x14ac:dyDescent="0.2"/>
    <row r="5484" ht="12.75" x14ac:dyDescent="0.2"/>
    <row r="5485" ht="12.75" x14ac:dyDescent="0.2"/>
    <row r="5486" ht="12.75" x14ac:dyDescent="0.2"/>
    <row r="5487" ht="12.75" x14ac:dyDescent="0.2"/>
    <row r="5488" ht="12.75" x14ac:dyDescent="0.2"/>
    <row r="5489" ht="12.75" x14ac:dyDescent="0.2"/>
    <row r="5490" ht="12.75" x14ac:dyDescent="0.2"/>
    <row r="5491" ht="12.75" x14ac:dyDescent="0.2"/>
    <row r="5492" ht="12.75" x14ac:dyDescent="0.2"/>
    <row r="5493" ht="12.75" x14ac:dyDescent="0.2"/>
    <row r="5494" ht="12.75" x14ac:dyDescent="0.2"/>
    <row r="5495" ht="12.75" x14ac:dyDescent="0.2"/>
    <row r="5496" ht="12.75" x14ac:dyDescent="0.2"/>
    <row r="5497" ht="12.75" x14ac:dyDescent="0.2"/>
    <row r="5498" ht="12.75" x14ac:dyDescent="0.2"/>
    <row r="5499" ht="12.75" x14ac:dyDescent="0.2"/>
    <row r="5500" ht="12.75" x14ac:dyDescent="0.2"/>
    <row r="5501" ht="12.75" x14ac:dyDescent="0.2"/>
    <row r="5502" ht="12.75" x14ac:dyDescent="0.2"/>
    <row r="5503" ht="12.75" x14ac:dyDescent="0.2"/>
    <row r="5504" ht="12.75" x14ac:dyDescent="0.2"/>
    <row r="5505" ht="12.75" x14ac:dyDescent="0.2"/>
    <row r="5506" ht="12.75" x14ac:dyDescent="0.2"/>
    <row r="5507" ht="12.75" x14ac:dyDescent="0.2"/>
    <row r="5508" ht="12.75" x14ac:dyDescent="0.2"/>
    <row r="5509" ht="12.75" x14ac:dyDescent="0.2"/>
    <row r="5510" ht="12.75" x14ac:dyDescent="0.2"/>
    <row r="5511" ht="12.75" x14ac:dyDescent="0.2"/>
    <row r="5512" ht="12.75" x14ac:dyDescent="0.2"/>
    <row r="5513" ht="12.75" x14ac:dyDescent="0.2"/>
    <row r="5514" ht="12.75" x14ac:dyDescent="0.2"/>
    <row r="5515" ht="12.75" x14ac:dyDescent="0.2"/>
    <row r="5516" ht="12.75" x14ac:dyDescent="0.2"/>
    <row r="5517" ht="12.75" x14ac:dyDescent="0.2"/>
    <row r="5518" ht="12.75" x14ac:dyDescent="0.2"/>
    <row r="5519" ht="12.75" x14ac:dyDescent="0.2"/>
    <row r="5520" ht="12.75" x14ac:dyDescent="0.2"/>
    <row r="5521" ht="12.75" x14ac:dyDescent="0.2"/>
    <row r="5522" ht="12.75" x14ac:dyDescent="0.2"/>
    <row r="5523" ht="12.75" x14ac:dyDescent="0.2"/>
    <row r="5524" ht="12.75" x14ac:dyDescent="0.2"/>
    <row r="5525" ht="12.75" x14ac:dyDescent="0.2"/>
    <row r="5526" ht="12.75" x14ac:dyDescent="0.2"/>
    <row r="5527" ht="12.75" x14ac:dyDescent="0.2"/>
    <row r="5528" ht="12.75" x14ac:dyDescent="0.2"/>
    <row r="5529" ht="12.75" x14ac:dyDescent="0.2"/>
    <row r="5530" ht="12.75" x14ac:dyDescent="0.2"/>
    <row r="5531" ht="12.75" x14ac:dyDescent="0.2"/>
    <row r="5532" ht="12.75" x14ac:dyDescent="0.2"/>
    <row r="5533" ht="12.75" x14ac:dyDescent="0.2"/>
    <row r="5534" ht="12.75" x14ac:dyDescent="0.2"/>
    <row r="5535" ht="12.75" x14ac:dyDescent="0.2"/>
    <row r="5536" ht="12.75" x14ac:dyDescent="0.2"/>
    <row r="5537" ht="12.75" x14ac:dyDescent="0.2"/>
    <row r="5538" ht="12.75" x14ac:dyDescent="0.2"/>
    <row r="5539" ht="12.75" x14ac:dyDescent="0.2"/>
    <row r="5540" ht="12.75" x14ac:dyDescent="0.2"/>
    <row r="5541" ht="12.75" x14ac:dyDescent="0.2"/>
    <row r="5542" ht="12.75" x14ac:dyDescent="0.2"/>
    <row r="5543" ht="12.75" x14ac:dyDescent="0.2"/>
    <row r="5544" ht="12.75" x14ac:dyDescent="0.2"/>
    <row r="5545" ht="12.75" x14ac:dyDescent="0.2"/>
    <row r="5546" ht="12.75" x14ac:dyDescent="0.2"/>
    <row r="5547" ht="12.75" x14ac:dyDescent="0.2"/>
    <row r="5548" ht="12.75" x14ac:dyDescent="0.2"/>
    <row r="5549" ht="12.75" x14ac:dyDescent="0.2"/>
    <row r="5550" ht="12.75" x14ac:dyDescent="0.2"/>
    <row r="5551" ht="12.75" x14ac:dyDescent="0.2"/>
    <row r="5552" ht="12.75" x14ac:dyDescent="0.2"/>
    <row r="5553" ht="12.75" x14ac:dyDescent="0.2"/>
    <row r="5554" ht="12.75" x14ac:dyDescent="0.2"/>
    <row r="5555" ht="12.75" x14ac:dyDescent="0.2"/>
    <row r="5556" ht="12.75" x14ac:dyDescent="0.2"/>
    <row r="5557" ht="12.75" x14ac:dyDescent="0.2"/>
    <row r="5558" ht="12.75" x14ac:dyDescent="0.2"/>
    <row r="5559" ht="12.75" x14ac:dyDescent="0.2"/>
    <row r="5560" ht="12.75" x14ac:dyDescent="0.2"/>
    <row r="5561" ht="12.75" x14ac:dyDescent="0.2"/>
    <row r="5562" ht="12.75" x14ac:dyDescent="0.2"/>
    <row r="5563" ht="12.75" x14ac:dyDescent="0.2"/>
    <row r="5564" ht="12.75" x14ac:dyDescent="0.2"/>
    <row r="5565" ht="12.75" x14ac:dyDescent="0.2"/>
    <row r="5566" ht="12.75" x14ac:dyDescent="0.2"/>
    <row r="5567" ht="12.75" x14ac:dyDescent="0.2"/>
    <row r="5568" ht="12.75" x14ac:dyDescent="0.2"/>
    <row r="5569" ht="12.75" x14ac:dyDescent="0.2"/>
    <row r="5570" ht="12.75" x14ac:dyDescent="0.2"/>
    <row r="5571" ht="12.75" x14ac:dyDescent="0.2"/>
    <row r="5572" ht="12.75" x14ac:dyDescent="0.2"/>
    <row r="5573" ht="12.75" x14ac:dyDescent="0.2"/>
    <row r="5574" ht="12.75" x14ac:dyDescent="0.2"/>
    <row r="5575" ht="12.75" x14ac:dyDescent="0.2"/>
    <row r="5576" ht="12.75" x14ac:dyDescent="0.2"/>
    <row r="5577" ht="12.75" x14ac:dyDescent="0.2"/>
    <row r="5578" ht="12.75" x14ac:dyDescent="0.2"/>
    <row r="5579" ht="12.75" x14ac:dyDescent="0.2"/>
    <row r="5580" ht="12.75" x14ac:dyDescent="0.2"/>
    <row r="5581" ht="12.75" x14ac:dyDescent="0.2"/>
    <row r="5582" ht="12.75" x14ac:dyDescent="0.2"/>
    <row r="5583" ht="12.75" x14ac:dyDescent="0.2"/>
    <row r="5584" ht="12.75" x14ac:dyDescent="0.2"/>
    <row r="5585" ht="12.75" x14ac:dyDescent="0.2"/>
    <row r="5586" ht="12.75" x14ac:dyDescent="0.2"/>
    <row r="5587" ht="12.75" x14ac:dyDescent="0.2"/>
    <row r="5588" ht="12.75" x14ac:dyDescent="0.2"/>
    <row r="5589" ht="12.75" x14ac:dyDescent="0.2"/>
    <row r="5590" ht="12.75" x14ac:dyDescent="0.2"/>
    <row r="5591" ht="12.75" x14ac:dyDescent="0.2"/>
    <row r="5592" ht="12.75" x14ac:dyDescent="0.2"/>
    <row r="5593" ht="12.75" x14ac:dyDescent="0.2"/>
    <row r="5594" ht="12.75" x14ac:dyDescent="0.2"/>
    <row r="5595" ht="12.75" x14ac:dyDescent="0.2"/>
    <row r="5596" ht="12.75" x14ac:dyDescent="0.2"/>
    <row r="5597" ht="12.75" x14ac:dyDescent="0.2"/>
    <row r="5598" ht="12.75" x14ac:dyDescent="0.2"/>
    <row r="5599" ht="12.75" x14ac:dyDescent="0.2"/>
    <row r="5600" ht="12.75" x14ac:dyDescent="0.2"/>
    <row r="5601" ht="12.75" x14ac:dyDescent="0.2"/>
    <row r="5602" ht="12.75" x14ac:dyDescent="0.2"/>
    <row r="5603" ht="12.75" x14ac:dyDescent="0.2"/>
    <row r="5604" ht="12.75" x14ac:dyDescent="0.2"/>
    <row r="5605" ht="12.75" x14ac:dyDescent="0.2"/>
    <row r="5606" ht="12.75" x14ac:dyDescent="0.2"/>
    <row r="5607" ht="12.75" x14ac:dyDescent="0.2"/>
    <row r="5608" ht="12.75" x14ac:dyDescent="0.2"/>
    <row r="5609" ht="12.75" x14ac:dyDescent="0.2"/>
    <row r="5610" ht="12.75" x14ac:dyDescent="0.2"/>
    <row r="5611" ht="12.75" x14ac:dyDescent="0.2"/>
    <row r="5612" ht="12.75" x14ac:dyDescent="0.2"/>
    <row r="5613" ht="12.75" x14ac:dyDescent="0.2"/>
    <row r="5614" ht="12.75" x14ac:dyDescent="0.2"/>
    <row r="5615" ht="12.75" x14ac:dyDescent="0.2"/>
    <row r="5616" ht="12.75" x14ac:dyDescent="0.2"/>
    <row r="5617" ht="12.75" x14ac:dyDescent="0.2"/>
    <row r="5618" ht="12.75" x14ac:dyDescent="0.2"/>
    <row r="5619" ht="12.75" x14ac:dyDescent="0.2"/>
    <row r="5620" ht="12.75" x14ac:dyDescent="0.2"/>
    <row r="5621" ht="12.75" x14ac:dyDescent="0.2"/>
    <row r="5622" ht="12.75" x14ac:dyDescent="0.2"/>
    <row r="5623" ht="12.75" x14ac:dyDescent="0.2"/>
    <row r="5624" ht="12.75" x14ac:dyDescent="0.2"/>
    <row r="5625" ht="12.75" x14ac:dyDescent="0.2"/>
    <row r="5626" ht="12.75" x14ac:dyDescent="0.2"/>
    <row r="5627" ht="12.75" x14ac:dyDescent="0.2"/>
    <row r="5628" ht="12.75" x14ac:dyDescent="0.2"/>
    <row r="5629" ht="12.75" x14ac:dyDescent="0.2"/>
    <row r="5630" ht="12.75" x14ac:dyDescent="0.2"/>
    <row r="5631" ht="12.75" x14ac:dyDescent="0.2"/>
    <row r="5632" ht="12.75" x14ac:dyDescent="0.2"/>
    <row r="5633" ht="12.75" x14ac:dyDescent="0.2"/>
    <row r="5634" ht="12.75" x14ac:dyDescent="0.2"/>
    <row r="5635" ht="12.75" x14ac:dyDescent="0.2"/>
    <row r="5636" ht="12.75" x14ac:dyDescent="0.2"/>
    <row r="5637" ht="12.75" x14ac:dyDescent="0.2"/>
    <row r="5638" ht="12.75" x14ac:dyDescent="0.2"/>
    <row r="5639" ht="12.75" x14ac:dyDescent="0.2"/>
    <row r="5640" ht="12.75" x14ac:dyDescent="0.2"/>
    <row r="5641" ht="12.75" x14ac:dyDescent="0.2"/>
    <row r="5642" ht="12.75" x14ac:dyDescent="0.2"/>
    <row r="5643" ht="12.75" x14ac:dyDescent="0.2"/>
    <row r="5644" ht="12.75" x14ac:dyDescent="0.2"/>
    <row r="5645" ht="12.75" x14ac:dyDescent="0.2"/>
    <row r="5646" ht="12.75" x14ac:dyDescent="0.2"/>
    <row r="5647" ht="12.75" x14ac:dyDescent="0.2"/>
    <row r="5648" ht="12.75" x14ac:dyDescent="0.2"/>
    <row r="5649" ht="12.75" x14ac:dyDescent="0.2"/>
    <row r="5650" ht="12.75" x14ac:dyDescent="0.2"/>
    <row r="5651" ht="12.75" x14ac:dyDescent="0.2"/>
    <row r="5652" ht="12.75" x14ac:dyDescent="0.2"/>
    <row r="5653" ht="12.75" x14ac:dyDescent="0.2"/>
    <row r="5654" ht="12.75" x14ac:dyDescent="0.2"/>
    <row r="5655" ht="12.75" x14ac:dyDescent="0.2"/>
    <row r="5656" ht="12.75" x14ac:dyDescent="0.2"/>
    <row r="5657" ht="12.75" x14ac:dyDescent="0.2"/>
    <row r="5658" ht="12.75" x14ac:dyDescent="0.2"/>
    <row r="5659" ht="12.75" x14ac:dyDescent="0.2"/>
    <row r="5660" ht="12.75" x14ac:dyDescent="0.2"/>
    <row r="5661" ht="12.75" x14ac:dyDescent="0.2"/>
    <row r="5662" ht="12.75" x14ac:dyDescent="0.2"/>
    <row r="5663" ht="12.75" x14ac:dyDescent="0.2"/>
    <row r="5664" ht="12.75" x14ac:dyDescent="0.2"/>
    <row r="5665" ht="12.75" x14ac:dyDescent="0.2"/>
    <row r="5666" ht="12.75" x14ac:dyDescent="0.2"/>
    <row r="5667" ht="12.75" x14ac:dyDescent="0.2"/>
    <row r="5668" ht="12.75" x14ac:dyDescent="0.2"/>
    <row r="5669" ht="12.75" x14ac:dyDescent="0.2"/>
    <row r="5670" ht="12.75" x14ac:dyDescent="0.2"/>
    <row r="5671" ht="12.75" x14ac:dyDescent="0.2"/>
    <row r="5672" ht="12.75" x14ac:dyDescent="0.2"/>
    <row r="5673" ht="12.75" x14ac:dyDescent="0.2"/>
    <row r="5674" ht="12.75" x14ac:dyDescent="0.2"/>
    <row r="5675" ht="12.75" x14ac:dyDescent="0.2"/>
    <row r="5676" ht="12.75" x14ac:dyDescent="0.2"/>
    <row r="5677" ht="12.75" x14ac:dyDescent="0.2"/>
    <row r="5678" ht="12.75" x14ac:dyDescent="0.2"/>
    <row r="5679" ht="12.75" x14ac:dyDescent="0.2"/>
    <row r="5680" ht="12.75" x14ac:dyDescent="0.2"/>
    <row r="5681" ht="12.75" x14ac:dyDescent="0.2"/>
    <row r="5682" ht="12.75" x14ac:dyDescent="0.2"/>
    <row r="5683" ht="12.75" x14ac:dyDescent="0.2"/>
    <row r="5684" ht="12.75" x14ac:dyDescent="0.2"/>
    <row r="5685" ht="12.75" x14ac:dyDescent="0.2"/>
    <row r="5686" ht="12.75" x14ac:dyDescent="0.2"/>
    <row r="5687" ht="12.75" x14ac:dyDescent="0.2"/>
    <row r="5688" ht="12.75" x14ac:dyDescent="0.2"/>
    <row r="5689" ht="12.75" x14ac:dyDescent="0.2"/>
    <row r="5690" ht="12.75" x14ac:dyDescent="0.2"/>
    <row r="5691" ht="12.75" x14ac:dyDescent="0.2"/>
    <row r="5692" ht="12.75" x14ac:dyDescent="0.2"/>
    <row r="5693" ht="12.75" x14ac:dyDescent="0.2"/>
    <row r="5694" ht="12.75" x14ac:dyDescent="0.2"/>
    <row r="5695" ht="12.75" x14ac:dyDescent="0.2"/>
    <row r="5696" ht="12.75" x14ac:dyDescent="0.2"/>
    <row r="5697" ht="12.75" x14ac:dyDescent="0.2"/>
    <row r="5698" ht="12.75" x14ac:dyDescent="0.2"/>
    <row r="5699" ht="12.75" x14ac:dyDescent="0.2"/>
    <row r="5700" ht="12.75" x14ac:dyDescent="0.2"/>
    <row r="5701" ht="12.75" x14ac:dyDescent="0.2"/>
    <row r="5702" ht="12.75" x14ac:dyDescent="0.2"/>
    <row r="5703" ht="12.75" x14ac:dyDescent="0.2"/>
    <row r="5704" ht="12.75" x14ac:dyDescent="0.2"/>
    <row r="5705" ht="12.75" x14ac:dyDescent="0.2"/>
    <row r="5706" ht="12.75" x14ac:dyDescent="0.2"/>
    <row r="5707" ht="12.75" x14ac:dyDescent="0.2"/>
    <row r="5708" ht="12.75" x14ac:dyDescent="0.2"/>
    <row r="5709" ht="12.75" x14ac:dyDescent="0.2"/>
    <row r="5710" ht="12.75" x14ac:dyDescent="0.2"/>
    <row r="5711" ht="12.75" x14ac:dyDescent="0.2"/>
    <row r="5712" ht="12.75" x14ac:dyDescent="0.2"/>
    <row r="5713" ht="12.75" x14ac:dyDescent="0.2"/>
    <row r="5714" ht="12.75" x14ac:dyDescent="0.2"/>
    <row r="5715" ht="12.75" x14ac:dyDescent="0.2"/>
    <row r="5716" ht="12.75" x14ac:dyDescent="0.2"/>
    <row r="5717" ht="12.75" x14ac:dyDescent="0.2"/>
    <row r="5718" ht="12.75" x14ac:dyDescent="0.2"/>
    <row r="5719" ht="12.75" x14ac:dyDescent="0.2"/>
    <row r="5720" ht="12.75" x14ac:dyDescent="0.2"/>
    <row r="5721" ht="12.75" x14ac:dyDescent="0.2"/>
    <row r="5722" ht="12.75" x14ac:dyDescent="0.2"/>
    <row r="5723" ht="12.75" x14ac:dyDescent="0.2"/>
    <row r="5724" ht="12.75" x14ac:dyDescent="0.2"/>
    <row r="5725" ht="12.75" x14ac:dyDescent="0.2"/>
    <row r="5726" ht="12.75" x14ac:dyDescent="0.2"/>
    <row r="5727" ht="12.75" x14ac:dyDescent="0.2"/>
    <row r="5728" ht="12.75" x14ac:dyDescent="0.2"/>
    <row r="5729" ht="12.75" x14ac:dyDescent="0.2"/>
    <row r="5730" ht="12.75" x14ac:dyDescent="0.2"/>
    <row r="5731" ht="12.75" x14ac:dyDescent="0.2"/>
    <row r="5732" ht="12.75" x14ac:dyDescent="0.2"/>
    <row r="5733" ht="12.75" x14ac:dyDescent="0.2"/>
    <row r="5734" ht="12.75" x14ac:dyDescent="0.2"/>
    <row r="5735" ht="12.75" x14ac:dyDescent="0.2"/>
    <row r="5736" ht="12.75" x14ac:dyDescent="0.2"/>
    <row r="5737" ht="12.75" x14ac:dyDescent="0.2"/>
    <row r="5738" ht="12.75" x14ac:dyDescent="0.2"/>
    <row r="5739" ht="12.75" x14ac:dyDescent="0.2"/>
    <row r="5740" ht="12.75" x14ac:dyDescent="0.2"/>
    <row r="5741" ht="12.75" x14ac:dyDescent="0.2"/>
    <row r="5742" ht="12.75" x14ac:dyDescent="0.2"/>
    <row r="5743" ht="12.75" x14ac:dyDescent="0.2"/>
    <row r="5744" ht="12.75" x14ac:dyDescent="0.2"/>
    <row r="5745" ht="12.75" x14ac:dyDescent="0.2"/>
    <row r="5746" ht="12.75" x14ac:dyDescent="0.2"/>
    <row r="5747" ht="12.75" x14ac:dyDescent="0.2"/>
    <row r="5748" ht="12.75" x14ac:dyDescent="0.2"/>
    <row r="5749" ht="12.75" x14ac:dyDescent="0.2"/>
    <row r="5750" ht="12.75" x14ac:dyDescent="0.2"/>
    <row r="5751" ht="12.75" x14ac:dyDescent="0.2"/>
    <row r="5752" ht="12.75" x14ac:dyDescent="0.2"/>
    <row r="5753" ht="12.75" x14ac:dyDescent="0.2"/>
    <row r="5754" ht="12.75" x14ac:dyDescent="0.2"/>
    <row r="5755" ht="12.75" x14ac:dyDescent="0.2"/>
    <row r="5756" ht="12.75" x14ac:dyDescent="0.2"/>
    <row r="5757" ht="12.75" x14ac:dyDescent="0.2"/>
    <row r="5758" ht="12.75" x14ac:dyDescent="0.2"/>
    <row r="5759" ht="12.75" x14ac:dyDescent="0.2"/>
    <row r="5760" ht="12.75" x14ac:dyDescent="0.2"/>
    <row r="5761" ht="12.75" x14ac:dyDescent="0.2"/>
    <row r="5762" ht="12.75" x14ac:dyDescent="0.2"/>
    <row r="5763" ht="12.75" x14ac:dyDescent="0.2"/>
    <row r="5764" ht="12.75" x14ac:dyDescent="0.2"/>
    <row r="5765" ht="12.75" x14ac:dyDescent="0.2"/>
    <row r="5766" ht="12.75" x14ac:dyDescent="0.2"/>
    <row r="5767" ht="12.75" x14ac:dyDescent="0.2"/>
    <row r="5768" ht="12.75" x14ac:dyDescent="0.2"/>
    <row r="5769" ht="12.75" x14ac:dyDescent="0.2"/>
    <row r="5770" ht="12.75" x14ac:dyDescent="0.2"/>
    <row r="5771" ht="12.75" x14ac:dyDescent="0.2"/>
    <row r="5772" ht="12.75" x14ac:dyDescent="0.2"/>
    <row r="5773" ht="12.75" x14ac:dyDescent="0.2"/>
    <row r="5774" ht="12.75" x14ac:dyDescent="0.2"/>
    <row r="5775" ht="12.75" x14ac:dyDescent="0.2"/>
    <row r="5776" ht="12.75" x14ac:dyDescent="0.2"/>
    <row r="5777" ht="12.75" x14ac:dyDescent="0.2"/>
    <row r="5778" ht="12.75" x14ac:dyDescent="0.2"/>
    <row r="5779" ht="12.75" x14ac:dyDescent="0.2"/>
    <row r="5780" ht="12.75" x14ac:dyDescent="0.2"/>
    <row r="5781" ht="12.75" x14ac:dyDescent="0.2"/>
    <row r="5782" ht="12.75" x14ac:dyDescent="0.2"/>
    <row r="5783" ht="12.75" x14ac:dyDescent="0.2"/>
    <row r="5784" ht="12.75" x14ac:dyDescent="0.2"/>
    <row r="5785" ht="12.75" x14ac:dyDescent="0.2"/>
    <row r="5786" ht="12.75" x14ac:dyDescent="0.2"/>
    <row r="5787" ht="12.75" x14ac:dyDescent="0.2"/>
    <row r="5788" ht="12.75" x14ac:dyDescent="0.2"/>
    <row r="5789" ht="12.75" x14ac:dyDescent="0.2"/>
    <row r="5790" ht="12.75" x14ac:dyDescent="0.2"/>
    <row r="5791" ht="12.75" x14ac:dyDescent="0.2"/>
    <row r="5792" ht="12.75" x14ac:dyDescent="0.2"/>
    <row r="5793" ht="12.75" x14ac:dyDescent="0.2"/>
    <row r="5794" ht="12.75" x14ac:dyDescent="0.2"/>
    <row r="5795" ht="12.75" x14ac:dyDescent="0.2"/>
    <row r="5796" ht="12.75" x14ac:dyDescent="0.2"/>
    <row r="5797" ht="12.75" x14ac:dyDescent="0.2"/>
    <row r="5798" ht="12.75" x14ac:dyDescent="0.2"/>
    <row r="5799" ht="12.75" x14ac:dyDescent="0.2"/>
    <row r="5800" ht="12.75" x14ac:dyDescent="0.2"/>
    <row r="5801" ht="12.75" x14ac:dyDescent="0.2"/>
    <row r="5802" ht="12.75" x14ac:dyDescent="0.2"/>
    <row r="5803" ht="12.75" x14ac:dyDescent="0.2"/>
    <row r="5804" ht="12.75" x14ac:dyDescent="0.2"/>
    <row r="5805" ht="12.75" x14ac:dyDescent="0.2"/>
    <row r="5806" ht="12.75" x14ac:dyDescent="0.2"/>
    <row r="5807" ht="12.75" x14ac:dyDescent="0.2"/>
    <row r="5808" ht="12.75" x14ac:dyDescent="0.2"/>
    <row r="5809" ht="12.75" x14ac:dyDescent="0.2"/>
    <row r="5810" ht="12.75" x14ac:dyDescent="0.2"/>
    <row r="5811" ht="12.75" x14ac:dyDescent="0.2"/>
    <row r="5812" ht="12.75" x14ac:dyDescent="0.2"/>
    <row r="5813" ht="12.75" x14ac:dyDescent="0.2"/>
    <row r="5814" ht="12.75" x14ac:dyDescent="0.2"/>
    <row r="5815" ht="12.75" x14ac:dyDescent="0.2"/>
    <row r="5816" ht="12.75" x14ac:dyDescent="0.2"/>
    <row r="5817" ht="12.75" x14ac:dyDescent="0.2"/>
    <row r="5818" ht="12.75" x14ac:dyDescent="0.2"/>
    <row r="5819" ht="12.75" x14ac:dyDescent="0.2"/>
    <row r="5820" ht="12.75" x14ac:dyDescent="0.2"/>
    <row r="5821" ht="12.75" x14ac:dyDescent="0.2"/>
    <row r="5822" ht="12.75" x14ac:dyDescent="0.2"/>
    <row r="5823" ht="12.75" x14ac:dyDescent="0.2"/>
    <row r="5824" ht="12.75" x14ac:dyDescent="0.2"/>
    <row r="5825" ht="12.75" x14ac:dyDescent="0.2"/>
    <row r="5826" ht="12.75" x14ac:dyDescent="0.2"/>
    <row r="5827" ht="12.75" x14ac:dyDescent="0.2"/>
    <row r="5828" ht="12.75" x14ac:dyDescent="0.2"/>
    <row r="5829" ht="12.75" x14ac:dyDescent="0.2"/>
    <row r="5830" ht="12.75" x14ac:dyDescent="0.2"/>
    <row r="5831" ht="12.75" x14ac:dyDescent="0.2"/>
    <row r="5832" ht="12.75" x14ac:dyDescent="0.2"/>
    <row r="5833" ht="12.75" x14ac:dyDescent="0.2"/>
    <row r="5834" ht="12.75" x14ac:dyDescent="0.2"/>
    <row r="5835" ht="12.75" x14ac:dyDescent="0.2"/>
    <row r="5836" ht="12.75" x14ac:dyDescent="0.2"/>
    <row r="5837" ht="12.75" x14ac:dyDescent="0.2"/>
    <row r="5838" ht="12.75" x14ac:dyDescent="0.2"/>
    <row r="5839" ht="12.75" x14ac:dyDescent="0.2"/>
    <row r="5840" ht="12.75" x14ac:dyDescent="0.2"/>
    <row r="5841" ht="12.75" x14ac:dyDescent="0.2"/>
    <row r="5842" ht="12.75" x14ac:dyDescent="0.2"/>
    <row r="5843" ht="12.75" x14ac:dyDescent="0.2"/>
    <row r="5844" ht="12.75" x14ac:dyDescent="0.2"/>
    <row r="5845" ht="12.75" x14ac:dyDescent="0.2"/>
    <row r="5846" ht="12.75" x14ac:dyDescent="0.2"/>
    <row r="5847" ht="12.75" x14ac:dyDescent="0.2"/>
    <row r="5848" ht="12.75" x14ac:dyDescent="0.2"/>
    <row r="5849" ht="12.75" x14ac:dyDescent="0.2"/>
    <row r="5850" ht="12.75" x14ac:dyDescent="0.2"/>
    <row r="5851" ht="12.75" x14ac:dyDescent="0.2"/>
    <row r="5852" ht="12.75" x14ac:dyDescent="0.2"/>
    <row r="5853" ht="12.75" x14ac:dyDescent="0.2"/>
    <row r="5854" ht="12.75" x14ac:dyDescent="0.2"/>
    <row r="5855" ht="12.75" x14ac:dyDescent="0.2"/>
    <row r="5856" ht="12.75" x14ac:dyDescent="0.2"/>
    <row r="5857" ht="12.75" x14ac:dyDescent="0.2"/>
    <row r="5858" ht="12.75" x14ac:dyDescent="0.2"/>
    <row r="5859" ht="12.75" x14ac:dyDescent="0.2"/>
    <row r="5860" ht="12.75" x14ac:dyDescent="0.2"/>
    <row r="5861" ht="12.75" x14ac:dyDescent="0.2"/>
    <row r="5862" ht="12.75" x14ac:dyDescent="0.2"/>
    <row r="5863" ht="12.75" x14ac:dyDescent="0.2"/>
    <row r="5864" ht="12.75" x14ac:dyDescent="0.2"/>
    <row r="5865" ht="12.75" x14ac:dyDescent="0.2"/>
    <row r="5866" ht="12.75" x14ac:dyDescent="0.2"/>
    <row r="5867" ht="12.75" x14ac:dyDescent="0.2"/>
    <row r="5868" ht="12.75" x14ac:dyDescent="0.2"/>
    <row r="5869" ht="12.75" x14ac:dyDescent="0.2"/>
    <row r="5870" ht="12.75" x14ac:dyDescent="0.2"/>
    <row r="5871" ht="12.75" x14ac:dyDescent="0.2"/>
    <row r="5872" ht="12.75" x14ac:dyDescent="0.2"/>
    <row r="5873" ht="12.75" x14ac:dyDescent="0.2"/>
    <row r="5874" ht="12.75" x14ac:dyDescent="0.2"/>
    <row r="5875" ht="12.75" x14ac:dyDescent="0.2"/>
    <row r="5876" ht="12.75" x14ac:dyDescent="0.2"/>
    <row r="5877" ht="12.75" x14ac:dyDescent="0.2"/>
    <row r="5878" ht="12.75" x14ac:dyDescent="0.2"/>
    <row r="5879" ht="12.75" x14ac:dyDescent="0.2"/>
    <row r="5880" ht="12.75" x14ac:dyDescent="0.2"/>
    <row r="5881" ht="12.75" x14ac:dyDescent="0.2"/>
    <row r="5882" ht="12.75" x14ac:dyDescent="0.2"/>
    <row r="5883" ht="12.75" x14ac:dyDescent="0.2"/>
    <row r="5884" ht="12.75" x14ac:dyDescent="0.2"/>
    <row r="5885" ht="12.75" x14ac:dyDescent="0.2"/>
    <row r="5886" ht="12.75" x14ac:dyDescent="0.2"/>
    <row r="5887" ht="12.75" x14ac:dyDescent="0.2"/>
    <row r="5888" ht="12.75" x14ac:dyDescent="0.2"/>
    <row r="5889" ht="12.75" x14ac:dyDescent="0.2"/>
    <row r="5890" ht="12.75" x14ac:dyDescent="0.2"/>
    <row r="5891" ht="12.75" x14ac:dyDescent="0.2"/>
    <row r="5892" ht="12.75" x14ac:dyDescent="0.2"/>
    <row r="5893" ht="12.75" x14ac:dyDescent="0.2"/>
    <row r="5894" ht="12.75" x14ac:dyDescent="0.2"/>
    <row r="5895" ht="12.75" x14ac:dyDescent="0.2"/>
    <row r="5896" ht="12.75" x14ac:dyDescent="0.2"/>
    <row r="5897" ht="12.75" x14ac:dyDescent="0.2"/>
    <row r="5898" ht="12.75" x14ac:dyDescent="0.2"/>
    <row r="5899" ht="12.75" x14ac:dyDescent="0.2"/>
    <row r="5900" ht="12.75" x14ac:dyDescent="0.2"/>
    <row r="5901" ht="12.75" x14ac:dyDescent="0.2"/>
    <row r="5902" ht="12.75" x14ac:dyDescent="0.2"/>
    <row r="5903" ht="12.75" x14ac:dyDescent="0.2"/>
    <row r="5904" ht="12.75" x14ac:dyDescent="0.2"/>
    <row r="5905" ht="12.75" x14ac:dyDescent="0.2"/>
    <row r="5906" ht="12.75" x14ac:dyDescent="0.2"/>
    <row r="5907" ht="12.75" x14ac:dyDescent="0.2"/>
    <row r="5908" ht="12.75" x14ac:dyDescent="0.2"/>
    <row r="5909" ht="12.75" x14ac:dyDescent="0.2"/>
    <row r="5910" ht="12.75" x14ac:dyDescent="0.2"/>
    <row r="5911" ht="12.75" x14ac:dyDescent="0.2"/>
    <row r="5912" ht="12.75" x14ac:dyDescent="0.2"/>
    <row r="5913" ht="12.75" x14ac:dyDescent="0.2"/>
    <row r="5914" ht="12.75" x14ac:dyDescent="0.2"/>
    <row r="5915" ht="12.75" x14ac:dyDescent="0.2"/>
    <row r="5916" ht="12.75" x14ac:dyDescent="0.2"/>
    <row r="5917" ht="12.75" x14ac:dyDescent="0.2"/>
    <row r="5918" ht="12.75" x14ac:dyDescent="0.2"/>
    <row r="5919" ht="12.75" x14ac:dyDescent="0.2"/>
    <row r="5920" ht="12.75" x14ac:dyDescent="0.2"/>
    <row r="5921" ht="12.75" x14ac:dyDescent="0.2"/>
    <row r="5922" ht="12.75" x14ac:dyDescent="0.2"/>
    <row r="5923" ht="12.75" x14ac:dyDescent="0.2"/>
    <row r="5924" ht="12.75" x14ac:dyDescent="0.2"/>
    <row r="5925" ht="12.75" x14ac:dyDescent="0.2"/>
    <row r="5926" ht="12.75" x14ac:dyDescent="0.2"/>
    <row r="5927" ht="12.75" x14ac:dyDescent="0.2"/>
    <row r="5928" ht="12.75" x14ac:dyDescent="0.2"/>
    <row r="5929" ht="12.75" x14ac:dyDescent="0.2"/>
    <row r="5930" ht="12.75" x14ac:dyDescent="0.2"/>
    <row r="5931" ht="12.75" x14ac:dyDescent="0.2"/>
    <row r="5932" ht="12.75" x14ac:dyDescent="0.2"/>
    <row r="5933" ht="12.75" x14ac:dyDescent="0.2"/>
    <row r="5934" ht="12.75" x14ac:dyDescent="0.2"/>
    <row r="5935" ht="12.75" x14ac:dyDescent="0.2"/>
    <row r="5936" ht="12.75" x14ac:dyDescent="0.2"/>
    <row r="5937" ht="12.75" x14ac:dyDescent="0.2"/>
    <row r="5938" ht="12.75" x14ac:dyDescent="0.2"/>
    <row r="5939" ht="12.75" x14ac:dyDescent="0.2"/>
    <row r="5940" ht="12.75" x14ac:dyDescent="0.2"/>
    <row r="5941" ht="12.75" x14ac:dyDescent="0.2"/>
    <row r="5942" ht="12.75" x14ac:dyDescent="0.2"/>
    <row r="5943" ht="12.75" x14ac:dyDescent="0.2"/>
    <row r="5944" ht="12.75" x14ac:dyDescent="0.2"/>
    <row r="5945" ht="12.75" x14ac:dyDescent="0.2"/>
    <row r="5946" ht="12.75" x14ac:dyDescent="0.2"/>
    <row r="5947" ht="12.75" x14ac:dyDescent="0.2"/>
    <row r="5948" ht="12.75" x14ac:dyDescent="0.2"/>
    <row r="5949" ht="12.75" x14ac:dyDescent="0.2"/>
    <row r="5950" ht="12.75" x14ac:dyDescent="0.2"/>
    <row r="5951" ht="12.75" x14ac:dyDescent="0.2"/>
    <row r="5952" ht="12.75" x14ac:dyDescent="0.2"/>
    <row r="5953" ht="12.75" x14ac:dyDescent="0.2"/>
    <row r="5954" ht="12.75" x14ac:dyDescent="0.2"/>
    <row r="5955" ht="12.75" x14ac:dyDescent="0.2"/>
    <row r="5956" ht="12.75" x14ac:dyDescent="0.2"/>
    <row r="5957" ht="12.75" x14ac:dyDescent="0.2"/>
    <row r="5958" ht="12.75" x14ac:dyDescent="0.2"/>
    <row r="5959" ht="12.75" x14ac:dyDescent="0.2"/>
    <row r="5960" ht="12.75" x14ac:dyDescent="0.2"/>
    <row r="5961" ht="12.75" x14ac:dyDescent="0.2"/>
    <row r="5962" ht="12.75" x14ac:dyDescent="0.2"/>
    <row r="5963" ht="12.75" x14ac:dyDescent="0.2"/>
    <row r="5964" ht="12.75" x14ac:dyDescent="0.2"/>
    <row r="5965" ht="12.75" x14ac:dyDescent="0.2"/>
    <row r="5966" ht="12.75" x14ac:dyDescent="0.2"/>
    <row r="5967" ht="12.75" x14ac:dyDescent="0.2"/>
    <row r="5968" ht="12.75" x14ac:dyDescent="0.2"/>
    <row r="5969" ht="12.75" x14ac:dyDescent="0.2"/>
    <row r="5970" ht="12.75" x14ac:dyDescent="0.2"/>
    <row r="5971" ht="12.75" x14ac:dyDescent="0.2"/>
    <row r="5972" ht="12.75" x14ac:dyDescent="0.2"/>
    <row r="5973" ht="12.75" x14ac:dyDescent="0.2"/>
    <row r="5974" ht="12.75" x14ac:dyDescent="0.2"/>
    <row r="5975" ht="12.75" x14ac:dyDescent="0.2"/>
    <row r="5976" ht="12.75" x14ac:dyDescent="0.2"/>
    <row r="5977" ht="12.75" x14ac:dyDescent="0.2"/>
    <row r="5978" ht="12.75" x14ac:dyDescent="0.2"/>
    <row r="5979" ht="12.75" x14ac:dyDescent="0.2"/>
    <row r="5980" ht="12.75" x14ac:dyDescent="0.2"/>
    <row r="5981" ht="12.75" x14ac:dyDescent="0.2"/>
    <row r="5982" ht="12.75" x14ac:dyDescent="0.2"/>
    <row r="5983" ht="12.75" x14ac:dyDescent="0.2"/>
    <row r="5984" ht="12.75" x14ac:dyDescent="0.2"/>
    <row r="5985" ht="12.75" x14ac:dyDescent="0.2"/>
    <row r="5986" ht="12.75" x14ac:dyDescent="0.2"/>
    <row r="5987" ht="12.75" x14ac:dyDescent="0.2"/>
    <row r="5988" ht="12.75" x14ac:dyDescent="0.2"/>
    <row r="5989" ht="12.75" x14ac:dyDescent="0.2"/>
    <row r="5990" ht="12.75" x14ac:dyDescent="0.2"/>
    <row r="5991" ht="12.75" x14ac:dyDescent="0.2"/>
    <row r="5992" ht="12.75" x14ac:dyDescent="0.2"/>
    <row r="5993" ht="12.75" x14ac:dyDescent="0.2"/>
    <row r="5994" ht="12.75" x14ac:dyDescent="0.2"/>
    <row r="5995" ht="12.75" x14ac:dyDescent="0.2"/>
    <row r="5996" ht="12.75" x14ac:dyDescent="0.2"/>
    <row r="5997" ht="12.75" x14ac:dyDescent="0.2"/>
    <row r="5998" ht="12.75" x14ac:dyDescent="0.2"/>
    <row r="5999" ht="12.75" x14ac:dyDescent="0.2"/>
    <row r="6000" ht="12.75" x14ac:dyDescent="0.2"/>
    <row r="6001" ht="12.75" x14ac:dyDescent="0.2"/>
    <row r="6002" ht="12.75" x14ac:dyDescent="0.2"/>
    <row r="6003" ht="12.75" x14ac:dyDescent="0.2"/>
    <row r="6004" ht="12.75" x14ac:dyDescent="0.2"/>
    <row r="6005" ht="12.75" x14ac:dyDescent="0.2"/>
    <row r="6006" ht="12.75" x14ac:dyDescent="0.2"/>
    <row r="6007" ht="12.75" x14ac:dyDescent="0.2"/>
    <row r="6008" ht="12.75" x14ac:dyDescent="0.2"/>
    <row r="6009" ht="12.75" x14ac:dyDescent="0.2"/>
    <row r="6010" ht="12.75" x14ac:dyDescent="0.2"/>
    <row r="6011" ht="12.75" x14ac:dyDescent="0.2"/>
    <row r="6012" ht="12.75" x14ac:dyDescent="0.2"/>
    <row r="6013" ht="12.75" x14ac:dyDescent="0.2"/>
    <row r="6014" ht="12.75" x14ac:dyDescent="0.2"/>
    <row r="6015" ht="12.75" x14ac:dyDescent="0.2"/>
    <row r="6016" ht="12.75" x14ac:dyDescent="0.2"/>
    <row r="6017" ht="12.75" x14ac:dyDescent="0.2"/>
    <row r="6018" ht="12.75" x14ac:dyDescent="0.2"/>
    <row r="6019" ht="12.75" x14ac:dyDescent="0.2"/>
    <row r="6020" ht="12.75" x14ac:dyDescent="0.2"/>
    <row r="6021" ht="12.75" x14ac:dyDescent="0.2"/>
    <row r="6022" ht="12.75" x14ac:dyDescent="0.2"/>
    <row r="6023" ht="12.75" x14ac:dyDescent="0.2"/>
    <row r="6024" ht="12.75" x14ac:dyDescent="0.2"/>
    <row r="6025" ht="12.75" x14ac:dyDescent="0.2"/>
    <row r="6026" ht="12.75" x14ac:dyDescent="0.2"/>
    <row r="6027" ht="12.75" x14ac:dyDescent="0.2"/>
    <row r="6028" ht="12.75" x14ac:dyDescent="0.2"/>
    <row r="6029" ht="12.75" x14ac:dyDescent="0.2"/>
    <row r="6030" ht="12.75" x14ac:dyDescent="0.2"/>
    <row r="6031" ht="12.75" x14ac:dyDescent="0.2"/>
    <row r="6032" ht="12.75" x14ac:dyDescent="0.2"/>
    <row r="6033" ht="12.75" x14ac:dyDescent="0.2"/>
    <row r="6034" ht="12.75" x14ac:dyDescent="0.2"/>
    <row r="6035" ht="12.75" x14ac:dyDescent="0.2"/>
    <row r="6036" ht="12.75" x14ac:dyDescent="0.2"/>
    <row r="6037" ht="12.75" x14ac:dyDescent="0.2"/>
    <row r="6038" ht="12.75" x14ac:dyDescent="0.2"/>
    <row r="6039" ht="12.75" x14ac:dyDescent="0.2"/>
    <row r="6040" ht="12.75" x14ac:dyDescent="0.2"/>
    <row r="6041" ht="12.75" x14ac:dyDescent="0.2"/>
    <row r="6042" ht="12.75" x14ac:dyDescent="0.2"/>
    <row r="6043" ht="12.75" x14ac:dyDescent="0.2"/>
    <row r="6044" ht="12.75" x14ac:dyDescent="0.2"/>
    <row r="6045" ht="12.75" x14ac:dyDescent="0.2"/>
    <row r="6046" ht="12.75" x14ac:dyDescent="0.2"/>
    <row r="6047" ht="12.75" x14ac:dyDescent="0.2"/>
    <row r="6048" ht="12.75" x14ac:dyDescent="0.2"/>
    <row r="6049" ht="12.75" x14ac:dyDescent="0.2"/>
    <row r="6050" ht="12.75" x14ac:dyDescent="0.2"/>
    <row r="6051" ht="12.75" x14ac:dyDescent="0.2"/>
    <row r="6052" ht="12.75" x14ac:dyDescent="0.2"/>
    <row r="6053" ht="12.75" x14ac:dyDescent="0.2"/>
    <row r="6054" ht="12.75" x14ac:dyDescent="0.2"/>
    <row r="6055" ht="12.75" x14ac:dyDescent="0.2"/>
    <row r="6056" ht="12.75" x14ac:dyDescent="0.2"/>
    <row r="6057" ht="12.75" x14ac:dyDescent="0.2"/>
    <row r="6058" ht="12.75" x14ac:dyDescent="0.2"/>
    <row r="6059" ht="12.75" x14ac:dyDescent="0.2"/>
    <row r="6060" ht="12.75" x14ac:dyDescent="0.2"/>
    <row r="6061" ht="12.75" x14ac:dyDescent="0.2"/>
    <row r="6062" ht="12.75" x14ac:dyDescent="0.2"/>
    <row r="6063" ht="12.75" x14ac:dyDescent="0.2"/>
    <row r="6064" ht="12.75" x14ac:dyDescent="0.2"/>
    <row r="6065" ht="12.75" x14ac:dyDescent="0.2"/>
    <row r="6066" ht="12.75" x14ac:dyDescent="0.2"/>
    <row r="6067" ht="12.75" x14ac:dyDescent="0.2"/>
    <row r="6068" ht="12.75" x14ac:dyDescent="0.2"/>
    <row r="6069" ht="12.75" x14ac:dyDescent="0.2"/>
    <row r="6070" ht="12.75" x14ac:dyDescent="0.2"/>
    <row r="6071" ht="12.75" x14ac:dyDescent="0.2"/>
    <row r="6072" ht="12.75" x14ac:dyDescent="0.2"/>
    <row r="6073" ht="12.75" x14ac:dyDescent="0.2"/>
    <row r="6074" ht="12.75" x14ac:dyDescent="0.2"/>
    <row r="6075" ht="12.75" x14ac:dyDescent="0.2"/>
    <row r="6076" ht="12.75" x14ac:dyDescent="0.2"/>
    <row r="6077" ht="12.75" x14ac:dyDescent="0.2"/>
    <row r="6078" ht="12.75" x14ac:dyDescent="0.2"/>
    <row r="6079" ht="12.75" x14ac:dyDescent="0.2"/>
    <row r="6080" ht="12.75" x14ac:dyDescent="0.2"/>
    <row r="6081" ht="12.75" x14ac:dyDescent="0.2"/>
    <row r="6082" ht="12.75" x14ac:dyDescent="0.2"/>
    <row r="6083" ht="12.75" x14ac:dyDescent="0.2"/>
    <row r="6084" ht="12.75" x14ac:dyDescent="0.2"/>
    <row r="6085" ht="12.75" x14ac:dyDescent="0.2"/>
    <row r="6086" ht="12.75" x14ac:dyDescent="0.2"/>
    <row r="6087" ht="12.75" x14ac:dyDescent="0.2"/>
    <row r="6088" ht="12.75" x14ac:dyDescent="0.2"/>
    <row r="6089" ht="12.75" x14ac:dyDescent="0.2"/>
    <row r="6090" ht="12.75" x14ac:dyDescent="0.2"/>
    <row r="6091" ht="12.75" x14ac:dyDescent="0.2"/>
    <row r="6092" ht="12.75" x14ac:dyDescent="0.2"/>
    <row r="6093" ht="12.75" x14ac:dyDescent="0.2"/>
    <row r="6094" ht="12.75" x14ac:dyDescent="0.2"/>
    <row r="6095" ht="12.75" x14ac:dyDescent="0.2"/>
    <row r="6096" ht="12.75" x14ac:dyDescent="0.2"/>
    <row r="6097" ht="12.75" x14ac:dyDescent="0.2"/>
    <row r="6098" ht="12.75" x14ac:dyDescent="0.2"/>
    <row r="6099" ht="12.75" x14ac:dyDescent="0.2"/>
    <row r="6100" ht="12.75" x14ac:dyDescent="0.2"/>
    <row r="6101" ht="12.75" x14ac:dyDescent="0.2"/>
    <row r="6102" ht="12.75" x14ac:dyDescent="0.2"/>
    <row r="6103" ht="12.75" x14ac:dyDescent="0.2"/>
    <row r="6104" ht="12.75" x14ac:dyDescent="0.2"/>
    <row r="6105" ht="12.75" x14ac:dyDescent="0.2"/>
    <row r="6106" ht="12.75" x14ac:dyDescent="0.2"/>
    <row r="6107" ht="12.75" x14ac:dyDescent="0.2"/>
    <row r="6108" ht="12.75" x14ac:dyDescent="0.2"/>
    <row r="6109" ht="12.75" x14ac:dyDescent="0.2"/>
    <row r="6110" ht="12.75" x14ac:dyDescent="0.2"/>
    <row r="6111" ht="12.75" x14ac:dyDescent="0.2"/>
    <row r="6112" ht="12.75" x14ac:dyDescent="0.2"/>
    <row r="6113" ht="12.75" x14ac:dyDescent="0.2"/>
    <row r="6114" ht="12.75" x14ac:dyDescent="0.2"/>
    <row r="6115" ht="12.75" x14ac:dyDescent="0.2"/>
    <row r="6116" ht="12.75" x14ac:dyDescent="0.2"/>
    <row r="6117" ht="12.75" x14ac:dyDescent="0.2"/>
    <row r="6118" ht="12.75" x14ac:dyDescent="0.2"/>
    <row r="6119" ht="12.75" x14ac:dyDescent="0.2"/>
    <row r="6120" ht="12.75" x14ac:dyDescent="0.2"/>
    <row r="6121" ht="12.75" x14ac:dyDescent="0.2"/>
    <row r="6122" ht="12.75" x14ac:dyDescent="0.2"/>
    <row r="6123" ht="12.75" x14ac:dyDescent="0.2"/>
    <row r="6124" ht="12.75" x14ac:dyDescent="0.2"/>
    <row r="6125" ht="12.75" x14ac:dyDescent="0.2"/>
    <row r="6126" ht="12.75" x14ac:dyDescent="0.2"/>
    <row r="6127" ht="12.75" x14ac:dyDescent="0.2"/>
    <row r="6128" ht="12.75" x14ac:dyDescent="0.2"/>
    <row r="6129" ht="12.75" x14ac:dyDescent="0.2"/>
    <row r="6130" ht="12.75" x14ac:dyDescent="0.2"/>
    <row r="6131" ht="12.75" x14ac:dyDescent="0.2"/>
    <row r="6132" ht="12.75" x14ac:dyDescent="0.2"/>
    <row r="6133" ht="12.75" x14ac:dyDescent="0.2"/>
    <row r="6134" ht="12.75" x14ac:dyDescent="0.2"/>
    <row r="6135" ht="12.75" x14ac:dyDescent="0.2"/>
    <row r="6136" ht="12.75" x14ac:dyDescent="0.2"/>
    <row r="6137" ht="12.75" x14ac:dyDescent="0.2"/>
    <row r="6138" ht="12.75" x14ac:dyDescent="0.2"/>
    <row r="6139" ht="12.75" x14ac:dyDescent="0.2"/>
    <row r="6140" ht="12.75" x14ac:dyDescent="0.2"/>
    <row r="6141" ht="12.75" x14ac:dyDescent="0.2"/>
    <row r="6142" ht="12.75" x14ac:dyDescent="0.2"/>
    <row r="6143" ht="12.75" x14ac:dyDescent="0.2"/>
    <row r="6144" ht="12.75" x14ac:dyDescent="0.2"/>
    <row r="6145" ht="12.75" x14ac:dyDescent="0.2"/>
    <row r="6146" ht="12.75" x14ac:dyDescent="0.2"/>
    <row r="6147" ht="12.75" x14ac:dyDescent="0.2"/>
    <row r="6148" ht="12.75" x14ac:dyDescent="0.2"/>
    <row r="6149" ht="12.75" x14ac:dyDescent="0.2"/>
    <row r="6150" ht="12.75" x14ac:dyDescent="0.2"/>
    <row r="6151" ht="12.75" x14ac:dyDescent="0.2"/>
    <row r="6152" ht="12.75" x14ac:dyDescent="0.2"/>
    <row r="6153" ht="12.75" x14ac:dyDescent="0.2"/>
    <row r="6154" ht="12.75" x14ac:dyDescent="0.2"/>
    <row r="6155" ht="12.75" x14ac:dyDescent="0.2"/>
    <row r="6156" ht="12.75" x14ac:dyDescent="0.2"/>
    <row r="6157" ht="12.75" x14ac:dyDescent="0.2"/>
    <row r="6158" ht="12.75" x14ac:dyDescent="0.2"/>
    <row r="6159" ht="12.75" x14ac:dyDescent="0.2"/>
    <row r="6160" ht="12.75" x14ac:dyDescent="0.2"/>
    <row r="6161" ht="12.75" x14ac:dyDescent="0.2"/>
    <row r="6162" ht="12.75" x14ac:dyDescent="0.2"/>
    <row r="6163" ht="12.75" x14ac:dyDescent="0.2"/>
    <row r="6164" ht="12.75" x14ac:dyDescent="0.2"/>
    <row r="6165" ht="12.75" x14ac:dyDescent="0.2"/>
    <row r="6166" ht="12.75" x14ac:dyDescent="0.2"/>
    <row r="6167" ht="12.75" x14ac:dyDescent="0.2"/>
    <row r="6168" ht="12.75" x14ac:dyDescent="0.2"/>
    <row r="6169" ht="12.75" x14ac:dyDescent="0.2"/>
    <row r="6170" ht="12.75" x14ac:dyDescent="0.2"/>
    <row r="6171" ht="12.75" x14ac:dyDescent="0.2"/>
    <row r="6172" ht="12.75" x14ac:dyDescent="0.2"/>
    <row r="6173" ht="12.75" x14ac:dyDescent="0.2"/>
    <row r="6174" ht="12.75" x14ac:dyDescent="0.2"/>
    <row r="6175" ht="12.75" x14ac:dyDescent="0.2"/>
    <row r="6176" ht="12.75" x14ac:dyDescent="0.2"/>
    <row r="6177" ht="12.75" x14ac:dyDescent="0.2"/>
    <row r="6178" ht="12.75" x14ac:dyDescent="0.2"/>
    <row r="6179" ht="12.75" x14ac:dyDescent="0.2"/>
    <row r="6180" ht="12.75" x14ac:dyDescent="0.2"/>
    <row r="6181" ht="12.75" x14ac:dyDescent="0.2"/>
    <row r="6182" ht="12.75" x14ac:dyDescent="0.2"/>
    <row r="6183" ht="12.75" x14ac:dyDescent="0.2"/>
    <row r="6184" ht="12.75" x14ac:dyDescent="0.2"/>
    <row r="6185" ht="12.75" x14ac:dyDescent="0.2"/>
    <row r="6186" ht="12.75" x14ac:dyDescent="0.2"/>
    <row r="6187" ht="12.75" x14ac:dyDescent="0.2"/>
    <row r="6188" ht="12.75" x14ac:dyDescent="0.2"/>
    <row r="6189" ht="12.75" x14ac:dyDescent="0.2"/>
    <row r="6190" ht="12.75" x14ac:dyDescent="0.2"/>
    <row r="6191" ht="12.75" x14ac:dyDescent="0.2"/>
    <row r="6192" ht="12.75" x14ac:dyDescent="0.2"/>
    <row r="6193" ht="12.75" x14ac:dyDescent="0.2"/>
    <row r="6194" ht="12.75" x14ac:dyDescent="0.2"/>
    <row r="6195" ht="12.75" x14ac:dyDescent="0.2"/>
    <row r="6196" ht="12.75" x14ac:dyDescent="0.2"/>
    <row r="6197" ht="12.75" x14ac:dyDescent="0.2"/>
    <row r="6198" ht="12.75" x14ac:dyDescent="0.2"/>
    <row r="6199" ht="12.75" x14ac:dyDescent="0.2"/>
    <row r="6200" ht="12.75" x14ac:dyDescent="0.2"/>
    <row r="6201" ht="12.75" x14ac:dyDescent="0.2"/>
    <row r="6202" ht="12.75" x14ac:dyDescent="0.2"/>
    <row r="6203" ht="12.75" x14ac:dyDescent="0.2"/>
    <row r="6204" ht="12.75" x14ac:dyDescent="0.2"/>
    <row r="6205" ht="12.75" x14ac:dyDescent="0.2"/>
    <row r="6206" ht="12.75" x14ac:dyDescent="0.2"/>
    <row r="6207" ht="12.75" x14ac:dyDescent="0.2"/>
    <row r="6208" ht="12.75" x14ac:dyDescent="0.2"/>
    <row r="6209" ht="12.75" x14ac:dyDescent="0.2"/>
    <row r="6210" ht="12.75" x14ac:dyDescent="0.2"/>
    <row r="6211" ht="12.75" x14ac:dyDescent="0.2"/>
    <row r="6212" ht="12.75" x14ac:dyDescent="0.2"/>
    <row r="6213" ht="12.75" x14ac:dyDescent="0.2"/>
    <row r="6214" ht="12.75" x14ac:dyDescent="0.2"/>
    <row r="6215" ht="12.75" x14ac:dyDescent="0.2"/>
    <row r="6216" ht="12.75" x14ac:dyDescent="0.2"/>
    <row r="6217" ht="12.75" x14ac:dyDescent="0.2"/>
    <row r="6218" ht="12.75" x14ac:dyDescent="0.2"/>
    <row r="6219" ht="12.75" x14ac:dyDescent="0.2"/>
    <row r="6220" ht="12.75" x14ac:dyDescent="0.2"/>
    <row r="6221" ht="12.75" x14ac:dyDescent="0.2"/>
    <row r="6222" ht="12.75" x14ac:dyDescent="0.2"/>
    <row r="6223" ht="12.75" x14ac:dyDescent="0.2"/>
    <row r="6224" ht="12.75" x14ac:dyDescent="0.2"/>
    <row r="6225" ht="12.75" x14ac:dyDescent="0.2"/>
    <row r="6226" ht="12.75" x14ac:dyDescent="0.2"/>
    <row r="6227" ht="12.75" x14ac:dyDescent="0.2"/>
    <row r="6228" ht="12.75" x14ac:dyDescent="0.2"/>
    <row r="6229" ht="12.75" x14ac:dyDescent="0.2"/>
    <row r="6230" ht="12.75" x14ac:dyDescent="0.2"/>
    <row r="6231" ht="12.75" x14ac:dyDescent="0.2"/>
    <row r="6232" ht="12.75" x14ac:dyDescent="0.2"/>
    <row r="6233" ht="12.75" x14ac:dyDescent="0.2"/>
    <row r="6234" ht="12.75" x14ac:dyDescent="0.2"/>
    <row r="6235" ht="12.75" x14ac:dyDescent="0.2"/>
    <row r="6236" ht="12.75" x14ac:dyDescent="0.2"/>
    <row r="6237" ht="12.75" x14ac:dyDescent="0.2"/>
    <row r="6238" ht="12.75" x14ac:dyDescent="0.2"/>
    <row r="6239" ht="12.75" x14ac:dyDescent="0.2"/>
    <row r="6240" ht="12.75" x14ac:dyDescent="0.2"/>
    <row r="6241" ht="12.75" x14ac:dyDescent="0.2"/>
    <row r="6242" ht="12.75" x14ac:dyDescent="0.2"/>
    <row r="6243" ht="12.75" x14ac:dyDescent="0.2"/>
    <row r="6244" ht="12.75" x14ac:dyDescent="0.2"/>
    <row r="6245" ht="12.75" x14ac:dyDescent="0.2"/>
    <row r="6246" ht="12.75" x14ac:dyDescent="0.2"/>
    <row r="6247" ht="12.75" x14ac:dyDescent="0.2"/>
    <row r="6248" ht="12.75" x14ac:dyDescent="0.2"/>
    <row r="6249" ht="12.75" x14ac:dyDescent="0.2"/>
    <row r="6250" ht="12.75" x14ac:dyDescent="0.2"/>
    <row r="6251" ht="12.75" x14ac:dyDescent="0.2"/>
    <row r="6252" ht="12.75" x14ac:dyDescent="0.2"/>
    <row r="6253" ht="12.75" x14ac:dyDescent="0.2"/>
    <row r="6254" ht="12.75" x14ac:dyDescent="0.2"/>
    <row r="6255" ht="12.75" x14ac:dyDescent="0.2"/>
    <row r="6256" ht="12.75" x14ac:dyDescent="0.2"/>
    <row r="6257" ht="12.75" x14ac:dyDescent="0.2"/>
    <row r="6258" ht="12.75" x14ac:dyDescent="0.2"/>
    <row r="6259" ht="12.75" x14ac:dyDescent="0.2"/>
    <row r="6260" ht="12.75" x14ac:dyDescent="0.2"/>
    <row r="6261" ht="12.75" x14ac:dyDescent="0.2"/>
    <row r="6262" ht="12.75" x14ac:dyDescent="0.2"/>
    <row r="6263" ht="12.75" x14ac:dyDescent="0.2"/>
    <row r="6264" ht="12.75" x14ac:dyDescent="0.2"/>
    <row r="6265" ht="12.75" x14ac:dyDescent="0.2"/>
    <row r="6266" ht="12.75" x14ac:dyDescent="0.2"/>
    <row r="6267" ht="12.75" x14ac:dyDescent="0.2"/>
    <row r="6268" ht="12.75" x14ac:dyDescent="0.2"/>
    <row r="6269" ht="12.75" x14ac:dyDescent="0.2"/>
    <row r="6270" ht="12.75" x14ac:dyDescent="0.2"/>
    <row r="6271" ht="12.75" x14ac:dyDescent="0.2"/>
    <row r="6272" ht="12.75" x14ac:dyDescent="0.2"/>
    <row r="6273" ht="12.75" x14ac:dyDescent="0.2"/>
    <row r="6274" ht="12.75" x14ac:dyDescent="0.2"/>
    <row r="6275" ht="12.75" x14ac:dyDescent="0.2"/>
    <row r="6276" ht="12.75" x14ac:dyDescent="0.2"/>
    <row r="6277" ht="12.75" x14ac:dyDescent="0.2"/>
    <row r="6278" ht="12.75" x14ac:dyDescent="0.2"/>
    <row r="6279" ht="12.75" x14ac:dyDescent="0.2"/>
    <row r="6280" ht="12.75" x14ac:dyDescent="0.2"/>
    <row r="6281" ht="12.75" x14ac:dyDescent="0.2"/>
    <row r="6282" ht="12.75" x14ac:dyDescent="0.2"/>
    <row r="6283" ht="12.75" x14ac:dyDescent="0.2"/>
    <row r="6284" ht="12.75" x14ac:dyDescent="0.2"/>
    <row r="6285" ht="12.75" x14ac:dyDescent="0.2"/>
    <row r="6286" ht="12.75" x14ac:dyDescent="0.2"/>
    <row r="6287" ht="12.75" x14ac:dyDescent="0.2"/>
    <row r="6288" ht="12.75" x14ac:dyDescent="0.2"/>
    <row r="6289" ht="12.75" x14ac:dyDescent="0.2"/>
    <row r="6290" ht="12.75" x14ac:dyDescent="0.2"/>
    <row r="6291" ht="12.75" x14ac:dyDescent="0.2"/>
    <row r="6292" ht="12.75" x14ac:dyDescent="0.2"/>
    <row r="6293" ht="12.75" x14ac:dyDescent="0.2"/>
    <row r="6294" ht="12.75" x14ac:dyDescent="0.2"/>
    <row r="6295" ht="12.75" x14ac:dyDescent="0.2"/>
    <row r="6296" ht="12.75" x14ac:dyDescent="0.2"/>
    <row r="6297" ht="12.75" x14ac:dyDescent="0.2"/>
    <row r="6298" ht="12.75" x14ac:dyDescent="0.2"/>
    <row r="6299" ht="12.75" x14ac:dyDescent="0.2"/>
    <row r="6300" ht="12.75" x14ac:dyDescent="0.2"/>
    <row r="6301" ht="12.75" x14ac:dyDescent="0.2"/>
    <row r="6302" ht="12.75" x14ac:dyDescent="0.2"/>
    <row r="6303" ht="12.75" x14ac:dyDescent="0.2"/>
    <row r="6304" ht="12.75" x14ac:dyDescent="0.2"/>
    <row r="6305" ht="12.75" x14ac:dyDescent="0.2"/>
    <row r="6306" ht="12.75" x14ac:dyDescent="0.2"/>
    <row r="6307" ht="12.75" x14ac:dyDescent="0.2"/>
    <row r="6308" ht="12.75" x14ac:dyDescent="0.2"/>
    <row r="6309" ht="12.75" x14ac:dyDescent="0.2"/>
    <row r="6310" ht="12.75" x14ac:dyDescent="0.2"/>
    <row r="6311" ht="12.75" x14ac:dyDescent="0.2"/>
    <row r="6312" ht="12.75" x14ac:dyDescent="0.2"/>
    <row r="6313" ht="12.75" x14ac:dyDescent="0.2"/>
    <row r="6314" ht="12.75" x14ac:dyDescent="0.2"/>
    <row r="6315" ht="12.75" x14ac:dyDescent="0.2"/>
    <row r="6316" ht="12.75" x14ac:dyDescent="0.2"/>
    <row r="6317" ht="12.75" x14ac:dyDescent="0.2"/>
    <row r="6318" ht="12.75" x14ac:dyDescent="0.2"/>
    <row r="6319" ht="12.75" x14ac:dyDescent="0.2"/>
    <row r="6320" ht="12.75" x14ac:dyDescent="0.2"/>
    <row r="6321" ht="12.75" x14ac:dyDescent="0.2"/>
    <row r="6322" ht="12.75" x14ac:dyDescent="0.2"/>
    <row r="6323" ht="12.75" x14ac:dyDescent="0.2"/>
    <row r="6324" ht="12.75" x14ac:dyDescent="0.2"/>
    <row r="6325" ht="12.75" x14ac:dyDescent="0.2"/>
    <row r="6326" ht="12.75" x14ac:dyDescent="0.2"/>
    <row r="6327" ht="12.75" x14ac:dyDescent="0.2"/>
    <row r="6328" ht="12.75" x14ac:dyDescent="0.2"/>
    <row r="6329" ht="12.75" x14ac:dyDescent="0.2"/>
    <row r="6330" ht="12.75" x14ac:dyDescent="0.2"/>
    <row r="6331" ht="12.75" x14ac:dyDescent="0.2"/>
    <row r="6332" ht="12.75" x14ac:dyDescent="0.2"/>
    <row r="6333" ht="12.75" x14ac:dyDescent="0.2"/>
    <row r="6334" ht="12.75" x14ac:dyDescent="0.2"/>
    <row r="6335" ht="12.75" x14ac:dyDescent="0.2"/>
    <row r="6336" ht="12.75" x14ac:dyDescent="0.2"/>
    <row r="6337" ht="12.75" x14ac:dyDescent="0.2"/>
    <row r="6338" ht="12.75" x14ac:dyDescent="0.2"/>
    <row r="6339" ht="12.75" x14ac:dyDescent="0.2"/>
    <row r="6340" ht="12.75" x14ac:dyDescent="0.2"/>
    <row r="6341" ht="12.75" x14ac:dyDescent="0.2"/>
    <row r="6342" ht="12.75" x14ac:dyDescent="0.2"/>
    <row r="6343" ht="12.75" x14ac:dyDescent="0.2"/>
    <row r="6344" ht="12.75" x14ac:dyDescent="0.2"/>
    <row r="6345" ht="12.75" x14ac:dyDescent="0.2"/>
    <row r="6346" ht="12.75" x14ac:dyDescent="0.2"/>
    <row r="6347" ht="12.75" x14ac:dyDescent="0.2"/>
    <row r="6348" ht="12.75" x14ac:dyDescent="0.2"/>
    <row r="6349" ht="12.75" x14ac:dyDescent="0.2"/>
    <row r="6350" ht="12.75" x14ac:dyDescent="0.2"/>
    <row r="6351" ht="12.75" x14ac:dyDescent="0.2"/>
    <row r="6352" ht="12.75" x14ac:dyDescent="0.2"/>
    <row r="6353" ht="12.75" x14ac:dyDescent="0.2"/>
    <row r="6354" ht="12.75" x14ac:dyDescent="0.2"/>
    <row r="6355" ht="12.75" x14ac:dyDescent="0.2"/>
    <row r="6356" ht="12.75" x14ac:dyDescent="0.2"/>
    <row r="6357" ht="12.75" x14ac:dyDescent="0.2"/>
    <row r="6358" ht="12.75" x14ac:dyDescent="0.2"/>
    <row r="6359" ht="12.75" x14ac:dyDescent="0.2"/>
    <row r="6360" ht="12.75" x14ac:dyDescent="0.2"/>
    <row r="6361" ht="12.75" x14ac:dyDescent="0.2"/>
    <row r="6362" ht="12.75" x14ac:dyDescent="0.2"/>
    <row r="6363" ht="12.75" x14ac:dyDescent="0.2"/>
    <row r="6364" ht="12.75" x14ac:dyDescent="0.2"/>
    <row r="6365" ht="12.75" x14ac:dyDescent="0.2"/>
    <row r="6366" ht="12.75" x14ac:dyDescent="0.2"/>
    <row r="6367" ht="12.75" x14ac:dyDescent="0.2"/>
    <row r="6368" ht="12.75" x14ac:dyDescent="0.2"/>
    <row r="6369" ht="12.75" x14ac:dyDescent="0.2"/>
    <row r="6370" ht="12.75" x14ac:dyDescent="0.2"/>
    <row r="6371" ht="12.75" x14ac:dyDescent="0.2"/>
    <row r="6372" ht="12.75" x14ac:dyDescent="0.2"/>
    <row r="6373" ht="12.75" x14ac:dyDescent="0.2"/>
    <row r="6374" ht="12.75" x14ac:dyDescent="0.2"/>
    <row r="6375" ht="12.75" x14ac:dyDescent="0.2"/>
    <row r="6376" ht="12.75" x14ac:dyDescent="0.2"/>
    <row r="6377" ht="12.75" x14ac:dyDescent="0.2"/>
    <row r="6378" ht="12.75" x14ac:dyDescent="0.2"/>
    <row r="6379" ht="12.75" x14ac:dyDescent="0.2"/>
    <row r="6380" ht="12.75" x14ac:dyDescent="0.2"/>
    <row r="6381" ht="12.75" x14ac:dyDescent="0.2"/>
    <row r="6382" ht="12.75" x14ac:dyDescent="0.2"/>
    <row r="6383" ht="12.75" x14ac:dyDescent="0.2"/>
    <row r="6384" ht="12.75" x14ac:dyDescent="0.2"/>
    <row r="6385" ht="12.75" x14ac:dyDescent="0.2"/>
    <row r="6386" ht="12.75" x14ac:dyDescent="0.2"/>
    <row r="6387" ht="12.75" x14ac:dyDescent="0.2"/>
    <row r="6388" ht="12.75" x14ac:dyDescent="0.2"/>
    <row r="6389" ht="12.75" x14ac:dyDescent="0.2"/>
    <row r="6390" ht="12.75" x14ac:dyDescent="0.2"/>
    <row r="6391" ht="12.75" x14ac:dyDescent="0.2"/>
    <row r="6392" ht="12.75" x14ac:dyDescent="0.2"/>
    <row r="6393" ht="12.75" x14ac:dyDescent="0.2"/>
    <row r="6394" ht="12.75" x14ac:dyDescent="0.2"/>
    <row r="6395" ht="12.75" x14ac:dyDescent="0.2"/>
    <row r="6396" ht="12.75" x14ac:dyDescent="0.2"/>
    <row r="6397" ht="12.75" x14ac:dyDescent="0.2"/>
    <row r="6398" ht="12.75" x14ac:dyDescent="0.2"/>
    <row r="6399" ht="12.75" x14ac:dyDescent="0.2"/>
    <row r="6400" ht="12.75" x14ac:dyDescent="0.2"/>
    <row r="6401" ht="12.75" x14ac:dyDescent="0.2"/>
    <row r="6402" ht="12.75" x14ac:dyDescent="0.2"/>
    <row r="6403" ht="12.75" x14ac:dyDescent="0.2"/>
    <row r="6404" ht="12.75" x14ac:dyDescent="0.2"/>
    <row r="6405" ht="12.75" x14ac:dyDescent="0.2"/>
    <row r="6406" ht="12.75" x14ac:dyDescent="0.2"/>
    <row r="6407" ht="12.75" x14ac:dyDescent="0.2"/>
    <row r="6408" ht="12.75" x14ac:dyDescent="0.2"/>
    <row r="6409" ht="12.75" x14ac:dyDescent="0.2"/>
    <row r="6410" ht="12.75" x14ac:dyDescent="0.2"/>
    <row r="6411" ht="12.75" x14ac:dyDescent="0.2"/>
    <row r="6412" ht="12.75" x14ac:dyDescent="0.2"/>
    <row r="6413" ht="12.75" x14ac:dyDescent="0.2"/>
    <row r="6414" ht="12.75" x14ac:dyDescent="0.2"/>
    <row r="6415" ht="12.75" x14ac:dyDescent="0.2"/>
    <row r="6416" ht="12.75" x14ac:dyDescent="0.2"/>
    <row r="6417" ht="12.75" x14ac:dyDescent="0.2"/>
    <row r="6418" ht="12.75" x14ac:dyDescent="0.2"/>
    <row r="6419" ht="12.75" x14ac:dyDescent="0.2"/>
    <row r="6420" ht="12.75" x14ac:dyDescent="0.2"/>
    <row r="6421" ht="12.75" x14ac:dyDescent="0.2"/>
    <row r="6422" ht="12.75" x14ac:dyDescent="0.2"/>
    <row r="6423" ht="12.75" x14ac:dyDescent="0.2"/>
    <row r="6424" ht="12.75" x14ac:dyDescent="0.2"/>
    <row r="6425" ht="12.75" x14ac:dyDescent="0.2"/>
    <row r="6426" ht="12.75" x14ac:dyDescent="0.2"/>
    <row r="6427" ht="12.75" x14ac:dyDescent="0.2"/>
    <row r="6428" ht="12.75" x14ac:dyDescent="0.2"/>
    <row r="6429" ht="12.75" x14ac:dyDescent="0.2"/>
    <row r="6430" ht="12.75" x14ac:dyDescent="0.2"/>
    <row r="6431" ht="12.75" x14ac:dyDescent="0.2"/>
    <row r="6432" ht="12.75" x14ac:dyDescent="0.2"/>
    <row r="6433" ht="12.75" x14ac:dyDescent="0.2"/>
    <row r="6434" ht="12.75" x14ac:dyDescent="0.2"/>
    <row r="6435" ht="12.75" x14ac:dyDescent="0.2"/>
    <row r="6436" ht="12.75" x14ac:dyDescent="0.2"/>
    <row r="6437" ht="12.75" x14ac:dyDescent="0.2"/>
    <row r="6438" ht="12.75" x14ac:dyDescent="0.2"/>
    <row r="6439" ht="12.75" x14ac:dyDescent="0.2"/>
    <row r="6440" ht="12.75" x14ac:dyDescent="0.2"/>
    <row r="6441" ht="12.75" x14ac:dyDescent="0.2"/>
    <row r="6442" ht="12.75" x14ac:dyDescent="0.2"/>
    <row r="6443" ht="12.75" x14ac:dyDescent="0.2"/>
    <row r="6444" ht="12.75" x14ac:dyDescent="0.2"/>
    <row r="6445" ht="12.75" x14ac:dyDescent="0.2"/>
    <row r="6446" ht="12.75" x14ac:dyDescent="0.2"/>
    <row r="6447" ht="12.75" x14ac:dyDescent="0.2"/>
    <row r="6448" ht="12.75" x14ac:dyDescent="0.2"/>
    <row r="6449" ht="12.75" x14ac:dyDescent="0.2"/>
    <row r="6450" ht="12.75" x14ac:dyDescent="0.2"/>
    <row r="6451" ht="12.75" x14ac:dyDescent="0.2"/>
    <row r="6452" ht="12.75" x14ac:dyDescent="0.2"/>
    <row r="6453" ht="12.75" x14ac:dyDescent="0.2"/>
    <row r="6454" ht="12.75" x14ac:dyDescent="0.2"/>
    <row r="6455" ht="12.75" x14ac:dyDescent="0.2"/>
    <row r="6456" ht="12.75" x14ac:dyDescent="0.2"/>
    <row r="6457" ht="12.75" x14ac:dyDescent="0.2"/>
    <row r="6458" ht="12.75" x14ac:dyDescent="0.2"/>
    <row r="6459" ht="12.75" x14ac:dyDescent="0.2"/>
    <row r="6460" ht="12.75" x14ac:dyDescent="0.2"/>
    <row r="6461" ht="12.75" x14ac:dyDescent="0.2"/>
    <row r="6462" ht="12.75" x14ac:dyDescent="0.2"/>
    <row r="6463" ht="12.75" x14ac:dyDescent="0.2"/>
    <row r="6464" ht="12.75" x14ac:dyDescent="0.2"/>
    <row r="6465" ht="12.75" x14ac:dyDescent="0.2"/>
    <row r="6466" ht="12.75" x14ac:dyDescent="0.2"/>
    <row r="6467" ht="12.75" x14ac:dyDescent="0.2"/>
    <row r="6468" ht="12.75" x14ac:dyDescent="0.2"/>
    <row r="6469" ht="12.75" x14ac:dyDescent="0.2"/>
    <row r="6470" ht="12.75" x14ac:dyDescent="0.2"/>
    <row r="6471" ht="12.75" x14ac:dyDescent="0.2"/>
    <row r="6472" ht="12.75" x14ac:dyDescent="0.2"/>
    <row r="6473" ht="12.75" x14ac:dyDescent="0.2"/>
    <row r="6474" ht="12.75" x14ac:dyDescent="0.2"/>
    <row r="6475" ht="12.75" x14ac:dyDescent="0.2"/>
    <row r="6476" ht="12.75" x14ac:dyDescent="0.2"/>
    <row r="6477" ht="12.75" x14ac:dyDescent="0.2"/>
    <row r="6478" ht="12.75" x14ac:dyDescent="0.2"/>
    <row r="6479" ht="12.75" x14ac:dyDescent="0.2"/>
    <row r="6480" ht="12.75" x14ac:dyDescent="0.2"/>
    <row r="6481" ht="12.75" x14ac:dyDescent="0.2"/>
    <row r="6482" ht="12.75" x14ac:dyDescent="0.2"/>
    <row r="6483" ht="12.75" x14ac:dyDescent="0.2"/>
    <row r="6484" ht="12.75" x14ac:dyDescent="0.2"/>
    <row r="6485" ht="12.75" x14ac:dyDescent="0.2"/>
    <row r="6486" ht="12.75" x14ac:dyDescent="0.2"/>
    <row r="6487" ht="12.75" x14ac:dyDescent="0.2"/>
    <row r="6488" ht="12.75" x14ac:dyDescent="0.2"/>
    <row r="6489" ht="12.75" x14ac:dyDescent="0.2"/>
    <row r="6490" ht="12.75" x14ac:dyDescent="0.2"/>
    <row r="6491" ht="12.75" x14ac:dyDescent="0.2"/>
    <row r="6492" ht="12.75" x14ac:dyDescent="0.2"/>
    <row r="6493" ht="12.75" x14ac:dyDescent="0.2"/>
    <row r="6494" ht="12.75" x14ac:dyDescent="0.2"/>
    <row r="6495" ht="12.75" x14ac:dyDescent="0.2"/>
    <row r="6496" ht="12.75" x14ac:dyDescent="0.2"/>
    <row r="6497" ht="12.75" x14ac:dyDescent="0.2"/>
    <row r="6498" ht="12.75" x14ac:dyDescent="0.2"/>
    <row r="6499" ht="12.75" x14ac:dyDescent="0.2"/>
    <row r="6500" ht="12.75" x14ac:dyDescent="0.2"/>
    <row r="6501" ht="12.75" x14ac:dyDescent="0.2"/>
    <row r="6502" ht="12.75" x14ac:dyDescent="0.2"/>
    <row r="6503" ht="12.75" x14ac:dyDescent="0.2"/>
    <row r="6504" ht="12.75" x14ac:dyDescent="0.2"/>
    <row r="6505" ht="12.75" x14ac:dyDescent="0.2"/>
    <row r="6506" ht="12.75" x14ac:dyDescent="0.2"/>
    <row r="6507" ht="12.75" x14ac:dyDescent="0.2"/>
    <row r="6508" ht="12.75" x14ac:dyDescent="0.2"/>
    <row r="6509" ht="12.75" x14ac:dyDescent="0.2"/>
    <row r="6510" ht="12.75" x14ac:dyDescent="0.2"/>
    <row r="6511" ht="12.75" x14ac:dyDescent="0.2"/>
    <row r="6512" ht="12.75" x14ac:dyDescent="0.2"/>
    <row r="6513" ht="12.75" x14ac:dyDescent="0.2"/>
    <row r="6514" ht="12.75" x14ac:dyDescent="0.2"/>
    <row r="6515" ht="12.75" x14ac:dyDescent="0.2"/>
    <row r="6516" ht="12.75" x14ac:dyDescent="0.2"/>
    <row r="6517" ht="12.75" x14ac:dyDescent="0.2"/>
    <row r="6518" ht="12.75" x14ac:dyDescent="0.2"/>
    <row r="6519" ht="12.75" x14ac:dyDescent="0.2"/>
    <row r="6520" ht="12.75" x14ac:dyDescent="0.2"/>
    <row r="6521" ht="12.75" x14ac:dyDescent="0.2"/>
    <row r="6522" ht="12.75" x14ac:dyDescent="0.2"/>
    <row r="6523" ht="12.75" x14ac:dyDescent="0.2"/>
    <row r="6524" ht="12.75" x14ac:dyDescent="0.2"/>
    <row r="6525" ht="12.75" x14ac:dyDescent="0.2"/>
    <row r="6526" ht="12.75" x14ac:dyDescent="0.2"/>
    <row r="6527" ht="12.75" x14ac:dyDescent="0.2"/>
    <row r="6528" ht="12.75" x14ac:dyDescent="0.2"/>
    <row r="6529" ht="12.75" x14ac:dyDescent="0.2"/>
    <row r="6530" ht="12.75" x14ac:dyDescent="0.2"/>
    <row r="6531" ht="12.75" x14ac:dyDescent="0.2"/>
    <row r="6532" ht="12.75" x14ac:dyDescent="0.2"/>
    <row r="6533" ht="12.75" x14ac:dyDescent="0.2"/>
    <row r="6534" ht="12.75" x14ac:dyDescent="0.2"/>
    <row r="6535" ht="12.75" x14ac:dyDescent="0.2"/>
    <row r="6536" ht="12.75" x14ac:dyDescent="0.2"/>
    <row r="6537" ht="12.75" x14ac:dyDescent="0.2"/>
    <row r="6538" ht="12.75" x14ac:dyDescent="0.2"/>
    <row r="6539" ht="12.75" x14ac:dyDescent="0.2"/>
    <row r="6540" ht="12.75" x14ac:dyDescent="0.2"/>
    <row r="6541" ht="12.75" x14ac:dyDescent="0.2"/>
    <row r="6542" ht="12.75" x14ac:dyDescent="0.2"/>
    <row r="6543" ht="12.75" x14ac:dyDescent="0.2"/>
    <row r="6544" ht="12.75" x14ac:dyDescent="0.2"/>
    <row r="6545" ht="12.75" x14ac:dyDescent="0.2"/>
    <row r="6546" ht="12.75" x14ac:dyDescent="0.2"/>
    <row r="6547" ht="12.75" x14ac:dyDescent="0.2"/>
    <row r="6548" ht="12.75" x14ac:dyDescent="0.2"/>
    <row r="6549" ht="12.75" x14ac:dyDescent="0.2"/>
    <row r="6550" ht="12.75" x14ac:dyDescent="0.2"/>
    <row r="6551" ht="12.75" x14ac:dyDescent="0.2"/>
    <row r="6552" ht="12.75" x14ac:dyDescent="0.2"/>
    <row r="6553" ht="12.75" x14ac:dyDescent="0.2"/>
    <row r="6554" ht="12.75" x14ac:dyDescent="0.2"/>
    <row r="6555" ht="12.75" x14ac:dyDescent="0.2"/>
    <row r="6556" ht="12.75" x14ac:dyDescent="0.2"/>
    <row r="6557" ht="12.75" x14ac:dyDescent="0.2"/>
    <row r="6558" ht="12.75" x14ac:dyDescent="0.2"/>
    <row r="6559" ht="12.75" x14ac:dyDescent="0.2"/>
    <row r="6560" ht="12.75" x14ac:dyDescent="0.2"/>
    <row r="6561" ht="12.75" x14ac:dyDescent="0.2"/>
    <row r="6562" ht="12.75" x14ac:dyDescent="0.2"/>
    <row r="6563" ht="12.75" x14ac:dyDescent="0.2"/>
    <row r="6564" ht="12.75" x14ac:dyDescent="0.2"/>
    <row r="6565" ht="12.75" x14ac:dyDescent="0.2"/>
    <row r="6566" ht="12.75" x14ac:dyDescent="0.2"/>
    <row r="6567" ht="12.75" x14ac:dyDescent="0.2"/>
    <row r="6568" ht="12.75" x14ac:dyDescent="0.2"/>
    <row r="6569" ht="12.75" x14ac:dyDescent="0.2"/>
    <row r="6570" ht="12.75" x14ac:dyDescent="0.2"/>
    <row r="6571" ht="12.75" x14ac:dyDescent="0.2"/>
    <row r="6572" ht="12.75" x14ac:dyDescent="0.2"/>
    <row r="6573" ht="12.75" x14ac:dyDescent="0.2"/>
    <row r="6574" ht="12.75" x14ac:dyDescent="0.2"/>
    <row r="6575" ht="12.75" x14ac:dyDescent="0.2"/>
    <row r="6576" ht="12.75" x14ac:dyDescent="0.2"/>
    <row r="6577" ht="12.75" x14ac:dyDescent="0.2"/>
    <row r="6578" ht="12.75" x14ac:dyDescent="0.2"/>
    <row r="6579" ht="12.75" x14ac:dyDescent="0.2"/>
    <row r="6580" ht="12.75" x14ac:dyDescent="0.2"/>
    <row r="6581" ht="12.75" x14ac:dyDescent="0.2"/>
    <row r="6582" ht="12.75" x14ac:dyDescent="0.2"/>
    <row r="6583" ht="12.75" x14ac:dyDescent="0.2"/>
    <row r="6584" ht="12.75" x14ac:dyDescent="0.2"/>
    <row r="6585" ht="12.75" x14ac:dyDescent="0.2"/>
    <row r="6586" ht="12.75" x14ac:dyDescent="0.2"/>
    <row r="6587" ht="12.75" x14ac:dyDescent="0.2"/>
    <row r="6588" ht="12.75" x14ac:dyDescent="0.2"/>
    <row r="6589" ht="12.75" x14ac:dyDescent="0.2"/>
    <row r="6590" ht="12.75" x14ac:dyDescent="0.2"/>
    <row r="6591" ht="12.75" x14ac:dyDescent="0.2"/>
    <row r="6592" ht="12.75" x14ac:dyDescent="0.2"/>
    <row r="6593" ht="12.75" x14ac:dyDescent="0.2"/>
    <row r="6594" ht="12.75" x14ac:dyDescent="0.2"/>
    <row r="6595" ht="12.75" x14ac:dyDescent="0.2"/>
    <row r="6596" ht="12.75" x14ac:dyDescent="0.2"/>
    <row r="6597" ht="12.75" x14ac:dyDescent="0.2"/>
    <row r="6598" ht="12.75" x14ac:dyDescent="0.2"/>
    <row r="6599" ht="12.75" x14ac:dyDescent="0.2"/>
    <row r="6600" ht="12.75" x14ac:dyDescent="0.2"/>
    <row r="6601" ht="12.75" x14ac:dyDescent="0.2"/>
    <row r="6602" ht="12.75" x14ac:dyDescent="0.2"/>
    <row r="6603" ht="12.75" x14ac:dyDescent="0.2"/>
    <row r="6604" ht="12.75" x14ac:dyDescent="0.2"/>
    <row r="6605" ht="12.75" x14ac:dyDescent="0.2"/>
    <row r="6606" ht="12.75" x14ac:dyDescent="0.2"/>
    <row r="6607" ht="12.75" x14ac:dyDescent="0.2"/>
    <row r="6608" ht="12.75" x14ac:dyDescent="0.2"/>
    <row r="6609" ht="12.75" x14ac:dyDescent="0.2"/>
    <row r="6610" ht="12.75" x14ac:dyDescent="0.2"/>
    <row r="6611" ht="12.75" x14ac:dyDescent="0.2"/>
    <row r="6612" ht="12.75" x14ac:dyDescent="0.2"/>
    <row r="6613" ht="12.75" x14ac:dyDescent="0.2"/>
    <row r="6614" ht="12.75" x14ac:dyDescent="0.2"/>
    <row r="6615" ht="12.75" x14ac:dyDescent="0.2"/>
    <row r="6616" ht="12.75" x14ac:dyDescent="0.2"/>
    <row r="6617" ht="12.75" x14ac:dyDescent="0.2"/>
    <row r="6618" ht="12.75" x14ac:dyDescent="0.2"/>
    <row r="6619" ht="12.75" x14ac:dyDescent="0.2"/>
    <row r="6620" ht="12.75" x14ac:dyDescent="0.2"/>
    <row r="6621" ht="12.75" x14ac:dyDescent="0.2"/>
    <row r="6622" ht="12.75" x14ac:dyDescent="0.2"/>
    <row r="6623" ht="12.75" x14ac:dyDescent="0.2"/>
    <row r="6624" ht="12.75" x14ac:dyDescent="0.2"/>
    <row r="6625" ht="12.75" x14ac:dyDescent="0.2"/>
    <row r="6626" ht="12.75" x14ac:dyDescent="0.2"/>
    <row r="6627" ht="12.75" x14ac:dyDescent="0.2"/>
    <row r="6628" ht="12.75" x14ac:dyDescent="0.2"/>
    <row r="6629" ht="12.75" x14ac:dyDescent="0.2"/>
    <row r="6630" ht="12.75" x14ac:dyDescent="0.2"/>
    <row r="6631" ht="12.75" x14ac:dyDescent="0.2"/>
    <row r="6632" ht="12.75" x14ac:dyDescent="0.2"/>
    <row r="6633" ht="12.75" x14ac:dyDescent="0.2"/>
    <row r="6634" ht="12.75" x14ac:dyDescent="0.2"/>
    <row r="6635" ht="12.75" x14ac:dyDescent="0.2"/>
    <row r="6636" ht="12.75" x14ac:dyDescent="0.2"/>
    <row r="6637" ht="12.75" x14ac:dyDescent="0.2"/>
    <row r="6638" ht="12.75" x14ac:dyDescent="0.2"/>
    <row r="6639" ht="12.75" x14ac:dyDescent="0.2"/>
    <row r="6640" ht="12.75" x14ac:dyDescent="0.2"/>
    <row r="6641" ht="12.75" x14ac:dyDescent="0.2"/>
    <row r="6642" ht="12.75" x14ac:dyDescent="0.2"/>
    <row r="6643" ht="12.75" x14ac:dyDescent="0.2"/>
    <row r="6644" ht="12.75" x14ac:dyDescent="0.2"/>
    <row r="6645" ht="12.75" x14ac:dyDescent="0.2"/>
    <row r="6646" ht="12.75" x14ac:dyDescent="0.2"/>
    <row r="6647" ht="12.75" x14ac:dyDescent="0.2"/>
    <row r="6648" ht="12.75" x14ac:dyDescent="0.2"/>
    <row r="6649" ht="12.75" x14ac:dyDescent="0.2"/>
    <row r="6650" ht="12.75" x14ac:dyDescent="0.2"/>
    <row r="6651" ht="12.75" x14ac:dyDescent="0.2"/>
    <row r="6652" ht="12.75" x14ac:dyDescent="0.2"/>
    <row r="6653" ht="12.75" x14ac:dyDescent="0.2"/>
    <row r="6654" ht="12.75" x14ac:dyDescent="0.2"/>
    <row r="6655" ht="12.75" x14ac:dyDescent="0.2"/>
    <row r="6656" ht="12.75" x14ac:dyDescent="0.2"/>
    <row r="6657" ht="12.75" x14ac:dyDescent="0.2"/>
    <row r="6658" ht="12.75" x14ac:dyDescent="0.2"/>
    <row r="6659" ht="12.75" x14ac:dyDescent="0.2"/>
    <row r="6660" ht="12.75" x14ac:dyDescent="0.2"/>
    <row r="6661" ht="12.75" x14ac:dyDescent="0.2"/>
    <row r="6662" ht="12.75" x14ac:dyDescent="0.2"/>
    <row r="6663" ht="12.75" x14ac:dyDescent="0.2"/>
    <row r="6664" ht="12.75" x14ac:dyDescent="0.2"/>
    <row r="6665" ht="12.75" x14ac:dyDescent="0.2"/>
    <row r="6666" ht="12.75" x14ac:dyDescent="0.2"/>
    <row r="6667" ht="12.75" x14ac:dyDescent="0.2"/>
    <row r="6668" ht="12.75" x14ac:dyDescent="0.2"/>
    <row r="6669" ht="12.75" x14ac:dyDescent="0.2"/>
    <row r="6670" ht="12.75" x14ac:dyDescent="0.2"/>
    <row r="6671" ht="12.75" x14ac:dyDescent="0.2"/>
    <row r="6672" ht="12.75" x14ac:dyDescent="0.2"/>
    <row r="6673" ht="12.75" x14ac:dyDescent="0.2"/>
    <row r="6674" ht="12.75" x14ac:dyDescent="0.2"/>
    <row r="6675" ht="12.75" x14ac:dyDescent="0.2"/>
    <row r="6676" ht="12.75" x14ac:dyDescent="0.2"/>
    <row r="6677" ht="12.75" x14ac:dyDescent="0.2"/>
    <row r="6678" ht="12.75" x14ac:dyDescent="0.2"/>
    <row r="6679" ht="12.75" x14ac:dyDescent="0.2"/>
    <row r="6680" ht="12.75" x14ac:dyDescent="0.2"/>
    <row r="6681" ht="12.75" x14ac:dyDescent="0.2"/>
    <row r="6682" ht="12.75" x14ac:dyDescent="0.2"/>
    <row r="6683" ht="12.75" x14ac:dyDescent="0.2"/>
    <row r="6684" ht="12.75" x14ac:dyDescent="0.2"/>
    <row r="6685" ht="12.75" x14ac:dyDescent="0.2"/>
    <row r="6686" ht="12.75" x14ac:dyDescent="0.2"/>
    <row r="6687" ht="12.75" x14ac:dyDescent="0.2"/>
    <row r="6688" ht="12.75" x14ac:dyDescent="0.2"/>
    <row r="6689" ht="12.75" x14ac:dyDescent="0.2"/>
    <row r="6690" ht="12.75" x14ac:dyDescent="0.2"/>
    <row r="6691" ht="12.75" x14ac:dyDescent="0.2"/>
    <row r="6692" ht="12.75" x14ac:dyDescent="0.2"/>
    <row r="6693" ht="12.75" x14ac:dyDescent="0.2"/>
    <row r="6694" ht="12.75" x14ac:dyDescent="0.2"/>
    <row r="6695" ht="12.75" x14ac:dyDescent="0.2"/>
    <row r="6696" ht="12.75" x14ac:dyDescent="0.2"/>
    <row r="6697" ht="12.75" x14ac:dyDescent="0.2"/>
    <row r="6698" ht="12.75" x14ac:dyDescent="0.2"/>
    <row r="6699" ht="12.75" x14ac:dyDescent="0.2"/>
    <row r="6700" ht="12.75" x14ac:dyDescent="0.2"/>
    <row r="6701" ht="12.75" x14ac:dyDescent="0.2"/>
    <row r="6702" ht="12.75" x14ac:dyDescent="0.2"/>
    <row r="6703" ht="12.75" x14ac:dyDescent="0.2"/>
    <row r="6704" ht="12.75" x14ac:dyDescent="0.2"/>
    <row r="6705" ht="12.75" x14ac:dyDescent="0.2"/>
    <row r="6706" ht="12.75" x14ac:dyDescent="0.2"/>
    <row r="6707" ht="12.75" x14ac:dyDescent="0.2"/>
    <row r="6708" ht="12.75" x14ac:dyDescent="0.2"/>
    <row r="6709" ht="12.75" x14ac:dyDescent="0.2"/>
    <row r="6710" ht="12.75" x14ac:dyDescent="0.2"/>
    <row r="6711" ht="12.75" x14ac:dyDescent="0.2"/>
    <row r="6712" ht="12.75" x14ac:dyDescent="0.2"/>
    <row r="6713" ht="12.75" x14ac:dyDescent="0.2"/>
    <row r="6714" ht="12.75" x14ac:dyDescent="0.2"/>
    <row r="6715" ht="12.75" x14ac:dyDescent="0.2"/>
    <row r="6716" ht="12.75" x14ac:dyDescent="0.2"/>
    <row r="6717" ht="12.75" x14ac:dyDescent="0.2"/>
    <row r="6718" ht="12.75" x14ac:dyDescent="0.2"/>
    <row r="6719" ht="12.75" x14ac:dyDescent="0.2"/>
    <row r="6720" ht="12.75" x14ac:dyDescent="0.2"/>
    <row r="6721" ht="12.75" x14ac:dyDescent="0.2"/>
    <row r="6722" ht="12.75" x14ac:dyDescent="0.2"/>
    <row r="6723" ht="12.75" x14ac:dyDescent="0.2"/>
    <row r="6724" ht="12.75" x14ac:dyDescent="0.2"/>
    <row r="6725" ht="12.75" x14ac:dyDescent="0.2"/>
    <row r="6726" ht="12.75" x14ac:dyDescent="0.2"/>
    <row r="6727" ht="12.75" x14ac:dyDescent="0.2"/>
    <row r="6728" ht="12.75" x14ac:dyDescent="0.2"/>
    <row r="6729" ht="12.75" x14ac:dyDescent="0.2"/>
    <row r="6730" ht="12.75" x14ac:dyDescent="0.2"/>
    <row r="6731" ht="12.75" x14ac:dyDescent="0.2"/>
    <row r="6732" ht="12.75" x14ac:dyDescent="0.2"/>
    <row r="6733" ht="12.75" x14ac:dyDescent="0.2"/>
    <row r="6734" ht="12.75" x14ac:dyDescent="0.2"/>
    <row r="6735" ht="12.75" x14ac:dyDescent="0.2"/>
    <row r="6736" ht="12.75" x14ac:dyDescent="0.2"/>
    <row r="6737" ht="12.75" x14ac:dyDescent="0.2"/>
    <row r="6738" ht="12.75" x14ac:dyDescent="0.2"/>
    <row r="6739" ht="12.75" x14ac:dyDescent="0.2"/>
    <row r="6740" ht="12.75" x14ac:dyDescent="0.2"/>
    <row r="6741" ht="12.75" x14ac:dyDescent="0.2"/>
    <row r="6742" ht="12.75" x14ac:dyDescent="0.2"/>
    <row r="6743" ht="12.75" x14ac:dyDescent="0.2"/>
    <row r="6744" ht="12.75" x14ac:dyDescent="0.2"/>
    <row r="6745" ht="12.75" x14ac:dyDescent="0.2"/>
    <row r="6746" ht="12.75" x14ac:dyDescent="0.2"/>
    <row r="6747" ht="12.75" x14ac:dyDescent="0.2"/>
    <row r="6748" ht="12.75" x14ac:dyDescent="0.2"/>
    <row r="6749" ht="12.75" x14ac:dyDescent="0.2"/>
    <row r="6750" ht="12.75" x14ac:dyDescent="0.2"/>
    <row r="6751" ht="12.75" x14ac:dyDescent="0.2"/>
    <row r="6752" ht="12.75" x14ac:dyDescent="0.2"/>
    <row r="6753" ht="12.75" x14ac:dyDescent="0.2"/>
    <row r="6754" ht="12.75" x14ac:dyDescent="0.2"/>
    <row r="6755" ht="12.75" x14ac:dyDescent="0.2"/>
    <row r="6756" ht="12.75" x14ac:dyDescent="0.2"/>
    <row r="6757" ht="12.75" x14ac:dyDescent="0.2"/>
    <row r="6758" ht="12.75" x14ac:dyDescent="0.2"/>
    <row r="6759" ht="12.75" x14ac:dyDescent="0.2"/>
    <row r="6760" ht="12.75" x14ac:dyDescent="0.2"/>
    <row r="6761" ht="12.75" x14ac:dyDescent="0.2"/>
    <row r="6762" ht="12.75" x14ac:dyDescent="0.2"/>
    <row r="6763" ht="12.75" x14ac:dyDescent="0.2"/>
    <row r="6764" ht="12.75" x14ac:dyDescent="0.2"/>
    <row r="6765" ht="12.75" x14ac:dyDescent="0.2"/>
    <row r="6766" ht="12.75" x14ac:dyDescent="0.2"/>
    <row r="6767" ht="12.75" x14ac:dyDescent="0.2"/>
    <row r="6768" ht="12.75" x14ac:dyDescent="0.2"/>
    <row r="6769" ht="12.75" x14ac:dyDescent="0.2"/>
    <row r="6770" ht="12.75" x14ac:dyDescent="0.2"/>
    <row r="6771" ht="12.75" x14ac:dyDescent="0.2"/>
    <row r="6772" ht="12.75" x14ac:dyDescent="0.2"/>
    <row r="6773" ht="12.75" x14ac:dyDescent="0.2"/>
    <row r="6774" ht="12.75" x14ac:dyDescent="0.2"/>
    <row r="6775" ht="12.75" x14ac:dyDescent="0.2"/>
    <row r="6776" ht="12.75" x14ac:dyDescent="0.2"/>
    <row r="6777" ht="12.75" x14ac:dyDescent="0.2"/>
    <row r="6778" ht="12.75" x14ac:dyDescent="0.2"/>
    <row r="6779" ht="12.75" x14ac:dyDescent="0.2"/>
    <row r="6780" ht="12.75" x14ac:dyDescent="0.2"/>
    <row r="6781" ht="12.75" x14ac:dyDescent="0.2"/>
    <row r="6782" ht="12.75" x14ac:dyDescent="0.2"/>
    <row r="6783" ht="12.75" x14ac:dyDescent="0.2"/>
    <row r="6784" ht="12.75" x14ac:dyDescent="0.2"/>
    <row r="6785" ht="12.75" x14ac:dyDescent="0.2"/>
    <row r="6786" ht="12.75" x14ac:dyDescent="0.2"/>
    <row r="6787" ht="12.75" x14ac:dyDescent="0.2"/>
    <row r="6788" ht="12.75" x14ac:dyDescent="0.2"/>
    <row r="6789" ht="12.75" x14ac:dyDescent="0.2"/>
    <row r="6790" ht="12.75" x14ac:dyDescent="0.2"/>
    <row r="6791" ht="12.75" x14ac:dyDescent="0.2"/>
    <row r="6792" ht="12.75" x14ac:dyDescent="0.2"/>
    <row r="6793" ht="12.75" x14ac:dyDescent="0.2"/>
    <row r="6794" ht="12.75" x14ac:dyDescent="0.2"/>
    <row r="6795" ht="12.75" x14ac:dyDescent="0.2"/>
    <row r="6796" ht="12.75" x14ac:dyDescent="0.2"/>
    <row r="6797" ht="12.75" x14ac:dyDescent="0.2"/>
    <row r="6798" ht="12.75" x14ac:dyDescent="0.2"/>
    <row r="6799" ht="12.75" x14ac:dyDescent="0.2"/>
    <row r="6800" ht="12.75" x14ac:dyDescent="0.2"/>
    <row r="6801" ht="12.75" x14ac:dyDescent="0.2"/>
    <row r="6802" ht="12.75" x14ac:dyDescent="0.2"/>
    <row r="6803" ht="12.75" x14ac:dyDescent="0.2"/>
    <row r="6804" ht="12.75" x14ac:dyDescent="0.2"/>
    <row r="6805" ht="12.75" x14ac:dyDescent="0.2"/>
    <row r="6806" ht="12.75" x14ac:dyDescent="0.2"/>
    <row r="6807" ht="12.75" x14ac:dyDescent="0.2"/>
    <row r="6808" ht="12.75" x14ac:dyDescent="0.2"/>
    <row r="6809" ht="12.75" x14ac:dyDescent="0.2"/>
    <row r="6810" ht="12.75" x14ac:dyDescent="0.2"/>
    <row r="6811" ht="12.75" x14ac:dyDescent="0.2"/>
    <row r="6812" ht="12.75" x14ac:dyDescent="0.2"/>
    <row r="6813" ht="12.75" x14ac:dyDescent="0.2"/>
    <row r="6814" ht="12.75" x14ac:dyDescent="0.2"/>
    <row r="6815" ht="12.75" x14ac:dyDescent="0.2"/>
    <row r="6816" ht="12.75" x14ac:dyDescent="0.2"/>
    <row r="6817" ht="12.75" x14ac:dyDescent="0.2"/>
    <row r="6818" ht="12.75" x14ac:dyDescent="0.2"/>
    <row r="6819" ht="12.75" x14ac:dyDescent="0.2"/>
    <row r="6820" ht="12.75" x14ac:dyDescent="0.2"/>
    <row r="6821" ht="12.75" x14ac:dyDescent="0.2"/>
    <row r="6822" ht="12.75" x14ac:dyDescent="0.2"/>
    <row r="6823" ht="12.75" x14ac:dyDescent="0.2"/>
    <row r="6824" ht="12.75" x14ac:dyDescent="0.2"/>
    <row r="6825" ht="12.75" x14ac:dyDescent="0.2"/>
    <row r="6826" ht="12.75" x14ac:dyDescent="0.2"/>
    <row r="6827" ht="12.75" x14ac:dyDescent="0.2"/>
    <row r="6828" ht="12.75" x14ac:dyDescent="0.2"/>
    <row r="6829" ht="12.75" x14ac:dyDescent="0.2"/>
    <row r="6830" ht="12.75" x14ac:dyDescent="0.2"/>
    <row r="6831" ht="12.75" x14ac:dyDescent="0.2"/>
    <row r="6832" ht="12.75" x14ac:dyDescent="0.2"/>
    <row r="6833" ht="12.75" x14ac:dyDescent="0.2"/>
    <row r="6834" ht="12.75" x14ac:dyDescent="0.2"/>
    <row r="6835" ht="12.75" x14ac:dyDescent="0.2"/>
    <row r="6836" ht="12.75" x14ac:dyDescent="0.2"/>
    <row r="6837" ht="12.75" x14ac:dyDescent="0.2"/>
    <row r="6838" ht="12.75" x14ac:dyDescent="0.2"/>
    <row r="6839" ht="12.75" x14ac:dyDescent="0.2"/>
    <row r="6840" ht="12.75" x14ac:dyDescent="0.2"/>
    <row r="6841" ht="12.75" x14ac:dyDescent="0.2"/>
    <row r="6842" ht="12.75" x14ac:dyDescent="0.2"/>
    <row r="6843" ht="12.75" x14ac:dyDescent="0.2"/>
    <row r="6844" ht="12.75" x14ac:dyDescent="0.2"/>
    <row r="6845" ht="12.75" x14ac:dyDescent="0.2"/>
    <row r="6846" ht="12.75" x14ac:dyDescent="0.2"/>
    <row r="6847" ht="12.75" x14ac:dyDescent="0.2"/>
    <row r="6848" ht="12.75" x14ac:dyDescent="0.2"/>
    <row r="6849" ht="12.75" x14ac:dyDescent="0.2"/>
    <row r="6850" ht="12.75" x14ac:dyDescent="0.2"/>
    <row r="6851" ht="12.75" x14ac:dyDescent="0.2"/>
    <row r="6852" ht="12.75" x14ac:dyDescent="0.2"/>
    <row r="6853" ht="12.75" x14ac:dyDescent="0.2"/>
    <row r="6854" ht="12.75" x14ac:dyDescent="0.2"/>
    <row r="6855" ht="12.75" x14ac:dyDescent="0.2"/>
    <row r="6856" ht="12.75" x14ac:dyDescent="0.2"/>
    <row r="6857" ht="12.75" x14ac:dyDescent="0.2"/>
    <row r="6858" ht="12.75" x14ac:dyDescent="0.2"/>
    <row r="6859" ht="12.75" x14ac:dyDescent="0.2"/>
    <row r="6860" ht="12.75" x14ac:dyDescent="0.2"/>
    <row r="6861" ht="12.75" x14ac:dyDescent="0.2"/>
    <row r="6862" ht="12.75" x14ac:dyDescent="0.2"/>
    <row r="6863" ht="12.75" x14ac:dyDescent="0.2"/>
    <row r="6864" ht="12.75" x14ac:dyDescent="0.2"/>
    <row r="6865" ht="12.75" x14ac:dyDescent="0.2"/>
    <row r="6866" ht="12.75" x14ac:dyDescent="0.2"/>
    <row r="6867" ht="12.75" x14ac:dyDescent="0.2"/>
    <row r="6868" ht="12.75" x14ac:dyDescent="0.2"/>
    <row r="6869" ht="12.75" x14ac:dyDescent="0.2"/>
    <row r="6870" ht="12.75" x14ac:dyDescent="0.2"/>
    <row r="6871" ht="12.75" x14ac:dyDescent="0.2"/>
    <row r="6872" ht="12.75" x14ac:dyDescent="0.2"/>
    <row r="6873" ht="12.75" x14ac:dyDescent="0.2"/>
    <row r="6874" ht="12.75" x14ac:dyDescent="0.2"/>
    <row r="6875" ht="12.75" x14ac:dyDescent="0.2"/>
    <row r="6876" ht="12.75" x14ac:dyDescent="0.2"/>
    <row r="6877" ht="12.75" x14ac:dyDescent="0.2"/>
    <row r="6878" ht="12.75" x14ac:dyDescent="0.2"/>
    <row r="6879" ht="12.75" x14ac:dyDescent="0.2"/>
    <row r="6880" ht="12.75" x14ac:dyDescent="0.2"/>
    <row r="6881" ht="12.75" x14ac:dyDescent="0.2"/>
    <row r="6882" ht="12.75" x14ac:dyDescent="0.2"/>
    <row r="6883" ht="12.75" x14ac:dyDescent="0.2"/>
    <row r="6884" ht="12.75" x14ac:dyDescent="0.2"/>
    <row r="6885" ht="12.75" x14ac:dyDescent="0.2"/>
    <row r="6886" ht="12.75" x14ac:dyDescent="0.2"/>
    <row r="6887" ht="12.75" x14ac:dyDescent="0.2"/>
    <row r="6888" ht="12.75" x14ac:dyDescent="0.2"/>
    <row r="6889" ht="12.75" x14ac:dyDescent="0.2"/>
    <row r="6890" ht="12.75" x14ac:dyDescent="0.2"/>
    <row r="6891" ht="12.75" x14ac:dyDescent="0.2"/>
    <row r="6892" ht="12.75" x14ac:dyDescent="0.2"/>
    <row r="6893" ht="12.75" x14ac:dyDescent="0.2"/>
    <row r="6894" ht="12.75" x14ac:dyDescent="0.2"/>
    <row r="6895" ht="12.75" x14ac:dyDescent="0.2"/>
    <row r="6896" ht="12.75" x14ac:dyDescent="0.2"/>
    <row r="6897" ht="12.75" x14ac:dyDescent="0.2"/>
    <row r="6898" ht="12.75" x14ac:dyDescent="0.2"/>
    <row r="6899" ht="12.75" x14ac:dyDescent="0.2"/>
    <row r="6900" ht="12.75" x14ac:dyDescent="0.2"/>
    <row r="6901" ht="12.75" x14ac:dyDescent="0.2"/>
    <row r="6902" ht="12.75" x14ac:dyDescent="0.2"/>
    <row r="6903" ht="12.75" x14ac:dyDescent="0.2"/>
    <row r="6904" ht="12.75" x14ac:dyDescent="0.2"/>
    <row r="6905" ht="12.75" x14ac:dyDescent="0.2"/>
    <row r="6906" ht="12.75" x14ac:dyDescent="0.2"/>
    <row r="6907" ht="12.75" x14ac:dyDescent="0.2"/>
    <row r="6908" ht="12.75" x14ac:dyDescent="0.2"/>
    <row r="6909" ht="12.75" x14ac:dyDescent="0.2"/>
    <row r="6910" ht="12.75" x14ac:dyDescent="0.2"/>
    <row r="6911" ht="12.75" x14ac:dyDescent="0.2"/>
    <row r="6912" ht="12.75" x14ac:dyDescent="0.2"/>
    <row r="6913" ht="12.75" x14ac:dyDescent="0.2"/>
    <row r="6914" ht="12.75" x14ac:dyDescent="0.2"/>
    <row r="6915" ht="12.75" x14ac:dyDescent="0.2"/>
    <row r="6916" ht="12.75" x14ac:dyDescent="0.2"/>
    <row r="6917" ht="12.75" x14ac:dyDescent="0.2"/>
    <row r="6918" ht="12.75" x14ac:dyDescent="0.2"/>
    <row r="6919" ht="12.75" x14ac:dyDescent="0.2"/>
    <row r="6920" ht="12.75" x14ac:dyDescent="0.2"/>
    <row r="6921" ht="12.75" x14ac:dyDescent="0.2"/>
    <row r="6922" ht="12.75" x14ac:dyDescent="0.2"/>
    <row r="6923" ht="12.75" x14ac:dyDescent="0.2"/>
    <row r="6924" ht="12.75" x14ac:dyDescent="0.2"/>
    <row r="6925" ht="12.75" x14ac:dyDescent="0.2"/>
    <row r="6926" ht="12.75" x14ac:dyDescent="0.2"/>
    <row r="6927" ht="12.75" x14ac:dyDescent="0.2"/>
    <row r="6928" ht="12.75" x14ac:dyDescent="0.2"/>
    <row r="6929" ht="12.75" x14ac:dyDescent="0.2"/>
    <row r="6930" ht="12.75" x14ac:dyDescent="0.2"/>
    <row r="6931" ht="12.75" x14ac:dyDescent="0.2"/>
    <row r="6932" ht="12.75" x14ac:dyDescent="0.2"/>
    <row r="6933" ht="12.75" x14ac:dyDescent="0.2"/>
    <row r="6934" ht="12.75" x14ac:dyDescent="0.2"/>
    <row r="6935" ht="12.75" x14ac:dyDescent="0.2"/>
    <row r="6936" ht="12.75" x14ac:dyDescent="0.2"/>
    <row r="6937" ht="12.75" x14ac:dyDescent="0.2"/>
    <row r="6938" ht="12.75" x14ac:dyDescent="0.2"/>
    <row r="6939" ht="12.75" x14ac:dyDescent="0.2"/>
    <row r="6940" ht="12.75" x14ac:dyDescent="0.2"/>
    <row r="6941" ht="12.75" x14ac:dyDescent="0.2"/>
    <row r="6942" ht="12.75" x14ac:dyDescent="0.2"/>
    <row r="6943" ht="12.75" x14ac:dyDescent="0.2"/>
    <row r="6944" ht="12.75" x14ac:dyDescent="0.2"/>
    <row r="6945" ht="12.75" x14ac:dyDescent="0.2"/>
    <row r="6946" ht="12.75" x14ac:dyDescent="0.2"/>
    <row r="6947" ht="12.75" x14ac:dyDescent="0.2"/>
    <row r="6948" ht="12.75" x14ac:dyDescent="0.2"/>
    <row r="6949" ht="12.75" x14ac:dyDescent="0.2"/>
    <row r="6950" ht="12.75" x14ac:dyDescent="0.2"/>
    <row r="6951" ht="12.75" x14ac:dyDescent="0.2"/>
    <row r="6952" ht="12.75" x14ac:dyDescent="0.2"/>
    <row r="6953" ht="12.75" x14ac:dyDescent="0.2"/>
    <row r="6954" ht="12.75" x14ac:dyDescent="0.2"/>
    <row r="6955" ht="12.75" x14ac:dyDescent="0.2"/>
    <row r="6956" ht="12.75" x14ac:dyDescent="0.2"/>
    <row r="6957" ht="12.75" x14ac:dyDescent="0.2"/>
    <row r="6958" ht="12.75" x14ac:dyDescent="0.2"/>
    <row r="6959" ht="12.75" x14ac:dyDescent="0.2"/>
    <row r="6960" ht="12.75" x14ac:dyDescent="0.2"/>
    <row r="6961" ht="12.75" x14ac:dyDescent="0.2"/>
    <row r="6962" ht="12.75" x14ac:dyDescent="0.2"/>
    <row r="6963" ht="12.75" x14ac:dyDescent="0.2"/>
    <row r="6964" ht="12.75" x14ac:dyDescent="0.2"/>
    <row r="6965" ht="12.75" x14ac:dyDescent="0.2"/>
    <row r="6966" ht="12.75" x14ac:dyDescent="0.2"/>
    <row r="6967" ht="12.75" x14ac:dyDescent="0.2"/>
    <row r="6968" ht="12.75" x14ac:dyDescent="0.2"/>
    <row r="6969" ht="12.75" x14ac:dyDescent="0.2"/>
    <row r="6970" ht="12.75" x14ac:dyDescent="0.2"/>
    <row r="6971" ht="12.75" x14ac:dyDescent="0.2"/>
    <row r="6972" ht="12.75" x14ac:dyDescent="0.2"/>
    <row r="6973" ht="12.75" x14ac:dyDescent="0.2"/>
    <row r="6974" ht="12.75" x14ac:dyDescent="0.2"/>
    <row r="6975" ht="12.75" x14ac:dyDescent="0.2"/>
    <row r="6976" ht="12.75" x14ac:dyDescent="0.2"/>
    <row r="6977" ht="12.75" x14ac:dyDescent="0.2"/>
    <row r="6978" ht="12.75" x14ac:dyDescent="0.2"/>
    <row r="6979" ht="12.75" x14ac:dyDescent="0.2"/>
    <row r="6980" ht="12.75" x14ac:dyDescent="0.2"/>
    <row r="6981" ht="12.75" x14ac:dyDescent="0.2"/>
    <row r="6982" ht="12.75" x14ac:dyDescent="0.2"/>
    <row r="6983" ht="12.75" x14ac:dyDescent="0.2"/>
    <row r="6984" ht="12.75" x14ac:dyDescent="0.2"/>
    <row r="6985" ht="12.75" x14ac:dyDescent="0.2"/>
    <row r="6986" ht="12.75" x14ac:dyDescent="0.2"/>
    <row r="6987" ht="12.75" x14ac:dyDescent="0.2"/>
    <row r="6988" ht="12.75" x14ac:dyDescent="0.2"/>
    <row r="6989" ht="12.75" x14ac:dyDescent="0.2"/>
    <row r="6990" ht="12.75" x14ac:dyDescent="0.2"/>
    <row r="6991" ht="12.75" x14ac:dyDescent="0.2"/>
    <row r="6992" ht="12.75" x14ac:dyDescent="0.2"/>
    <row r="6993" ht="12.75" x14ac:dyDescent="0.2"/>
    <row r="6994" ht="12.75" x14ac:dyDescent="0.2"/>
    <row r="6995" ht="12.75" x14ac:dyDescent="0.2"/>
    <row r="6996" ht="12.75" x14ac:dyDescent="0.2"/>
    <row r="6997" ht="12.75" x14ac:dyDescent="0.2"/>
    <row r="6998" ht="12.75" x14ac:dyDescent="0.2"/>
    <row r="6999" ht="12.75" x14ac:dyDescent="0.2"/>
    <row r="7000" ht="12.75" x14ac:dyDescent="0.2"/>
    <row r="7001" ht="12.75" x14ac:dyDescent="0.2"/>
    <row r="7002" ht="12.75" x14ac:dyDescent="0.2"/>
    <row r="7003" ht="12.75" x14ac:dyDescent="0.2"/>
    <row r="7004" ht="12.75" x14ac:dyDescent="0.2"/>
    <row r="7005" ht="12.75" x14ac:dyDescent="0.2"/>
    <row r="7006" ht="12.75" x14ac:dyDescent="0.2"/>
    <row r="7007" ht="12.75" x14ac:dyDescent="0.2"/>
    <row r="7008" ht="12.75" x14ac:dyDescent="0.2"/>
    <row r="7009" ht="12.75" x14ac:dyDescent="0.2"/>
    <row r="7010" ht="12.75" x14ac:dyDescent="0.2"/>
    <row r="7011" ht="12.75" x14ac:dyDescent="0.2"/>
    <row r="7012" ht="12.75" x14ac:dyDescent="0.2"/>
    <row r="7013" ht="12.75" x14ac:dyDescent="0.2"/>
    <row r="7014" ht="12.75" x14ac:dyDescent="0.2"/>
    <row r="7015" ht="12.75" x14ac:dyDescent="0.2"/>
    <row r="7016" ht="12.75" x14ac:dyDescent="0.2"/>
    <row r="7017" ht="12.75" x14ac:dyDescent="0.2"/>
    <row r="7018" ht="12.75" x14ac:dyDescent="0.2"/>
    <row r="7019" ht="12.75" x14ac:dyDescent="0.2"/>
    <row r="7020" ht="12.75" x14ac:dyDescent="0.2"/>
    <row r="7021" ht="12.75" x14ac:dyDescent="0.2"/>
    <row r="7022" ht="12.75" x14ac:dyDescent="0.2"/>
    <row r="7023" ht="12.75" x14ac:dyDescent="0.2"/>
    <row r="7024" ht="12.75" x14ac:dyDescent="0.2"/>
    <row r="7025" ht="12.75" x14ac:dyDescent="0.2"/>
    <row r="7026" ht="12.75" x14ac:dyDescent="0.2"/>
    <row r="7027" ht="12.75" x14ac:dyDescent="0.2"/>
    <row r="7028" ht="12.75" x14ac:dyDescent="0.2"/>
    <row r="7029" ht="12.75" x14ac:dyDescent="0.2"/>
    <row r="7030" ht="12.75" x14ac:dyDescent="0.2"/>
    <row r="7031" ht="12.75" x14ac:dyDescent="0.2"/>
    <row r="7032" ht="12.75" x14ac:dyDescent="0.2"/>
    <row r="7033" ht="12.75" x14ac:dyDescent="0.2"/>
    <row r="7034" ht="12.75" x14ac:dyDescent="0.2"/>
    <row r="7035" ht="12.75" x14ac:dyDescent="0.2"/>
    <row r="7036" ht="12.75" x14ac:dyDescent="0.2"/>
    <row r="7037" ht="12.75" x14ac:dyDescent="0.2"/>
    <row r="7038" ht="12.75" x14ac:dyDescent="0.2"/>
    <row r="7039" ht="12.75" x14ac:dyDescent="0.2"/>
    <row r="7040" ht="12.75" x14ac:dyDescent="0.2"/>
    <row r="7041" ht="12.75" x14ac:dyDescent="0.2"/>
    <row r="7042" ht="12.75" x14ac:dyDescent="0.2"/>
    <row r="7043" ht="12.75" x14ac:dyDescent="0.2"/>
    <row r="7044" ht="12.75" x14ac:dyDescent="0.2"/>
    <row r="7045" ht="12.75" x14ac:dyDescent="0.2"/>
    <row r="7046" ht="12.75" x14ac:dyDescent="0.2"/>
    <row r="7047" ht="12.75" x14ac:dyDescent="0.2"/>
    <row r="7048" ht="12.75" x14ac:dyDescent="0.2"/>
    <row r="7049" ht="12.75" x14ac:dyDescent="0.2"/>
    <row r="7050" ht="12.75" x14ac:dyDescent="0.2"/>
    <row r="7051" ht="12.75" x14ac:dyDescent="0.2"/>
    <row r="7052" ht="12.75" x14ac:dyDescent="0.2"/>
    <row r="7053" ht="12.75" x14ac:dyDescent="0.2"/>
    <row r="7054" ht="12.75" x14ac:dyDescent="0.2"/>
    <row r="7055" ht="12.75" x14ac:dyDescent="0.2"/>
    <row r="7056" ht="12.75" x14ac:dyDescent="0.2"/>
    <row r="7057" ht="12.75" x14ac:dyDescent="0.2"/>
    <row r="7058" ht="12.75" x14ac:dyDescent="0.2"/>
    <row r="7059" ht="12.75" x14ac:dyDescent="0.2"/>
    <row r="7060" ht="12.75" x14ac:dyDescent="0.2"/>
    <row r="7061" ht="12.75" x14ac:dyDescent="0.2"/>
    <row r="7062" ht="12.75" x14ac:dyDescent="0.2"/>
    <row r="7063" ht="12.75" x14ac:dyDescent="0.2"/>
    <row r="7064" ht="12.75" x14ac:dyDescent="0.2"/>
    <row r="7065" ht="12.75" x14ac:dyDescent="0.2"/>
    <row r="7066" ht="12.75" x14ac:dyDescent="0.2"/>
    <row r="7067" ht="12.75" x14ac:dyDescent="0.2"/>
    <row r="7068" ht="12.75" x14ac:dyDescent="0.2"/>
    <row r="7069" ht="12.75" x14ac:dyDescent="0.2"/>
    <row r="7070" ht="12.75" x14ac:dyDescent="0.2"/>
    <row r="7071" ht="12.75" x14ac:dyDescent="0.2"/>
    <row r="7072" ht="12.75" x14ac:dyDescent="0.2"/>
    <row r="7073" ht="12.75" x14ac:dyDescent="0.2"/>
    <row r="7074" ht="12.75" x14ac:dyDescent="0.2"/>
    <row r="7075" ht="12.75" x14ac:dyDescent="0.2"/>
    <row r="7076" ht="12.75" x14ac:dyDescent="0.2"/>
    <row r="7077" ht="12.75" x14ac:dyDescent="0.2"/>
    <row r="7078" ht="12.75" x14ac:dyDescent="0.2"/>
    <row r="7079" ht="12.75" x14ac:dyDescent="0.2"/>
    <row r="7080" ht="12.75" x14ac:dyDescent="0.2"/>
    <row r="7081" ht="12.75" x14ac:dyDescent="0.2"/>
    <row r="7082" ht="12.75" x14ac:dyDescent="0.2"/>
    <row r="7083" ht="12.75" x14ac:dyDescent="0.2"/>
    <row r="7084" ht="12.75" x14ac:dyDescent="0.2"/>
    <row r="7085" ht="12.75" x14ac:dyDescent="0.2"/>
    <row r="7086" ht="12.75" x14ac:dyDescent="0.2"/>
    <row r="7087" ht="12.75" x14ac:dyDescent="0.2"/>
    <row r="7088" ht="12.75" x14ac:dyDescent="0.2"/>
    <row r="7089" ht="12.75" x14ac:dyDescent="0.2"/>
    <row r="7090" ht="12.75" x14ac:dyDescent="0.2"/>
    <row r="7091" ht="12.75" x14ac:dyDescent="0.2"/>
    <row r="7092" ht="12.75" x14ac:dyDescent="0.2"/>
    <row r="7093" ht="12.75" x14ac:dyDescent="0.2"/>
    <row r="7094" ht="12.75" x14ac:dyDescent="0.2"/>
    <row r="7095" ht="12.75" x14ac:dyDescent="0.2"/>
    <row r="7096" ht="12.75" x14ac:dyDescent="0.2"/>
    <row r="7097" ht="12.75" x14ac:dyDescent="0.2"/>
    <row r="7098" ht="12.75" x14ac:dyDescent="0.2"/>
    <row r="7099" ht="12.75" x14ac:dyDescent="0.2"/>
    <row r="7100" ht="12.75" x14ac:dyDescent="0.2"/>
    <row r="7101" ht="12.75" x14ac:dyDescent="0.2"/>
    <row r="7102" ht="12.75" x14ac:dyDescent="0.2"/>
    <row r="7103" ht="12.75" x14ac:dyDescent="0.2"/>
    <row r="7104" ht="12.75" x14ac:dyDescent="0.2"/>
    <row r="7105" ht="12.75" x14ac:dyDescent="0.2"/>
    <row r="7106" ht="12.75" x14ac:dyDescent="0.2"/>
    <row r="7107" ht="12.75" x14ac:dyDescent="0.2"/>
    <row r="7108" ht="12.75" x14ac:dyDescent="0.2"/>
    <row r="7109" ht="12.75" x14ac:dyDescent="0.2"/>
    <row r="7110" ht="12.75" x14ac:dyDescent="0.2"/>
    <row r="7111" ht="12.75" x14ac:dyDescent="0.2"/>
    <row r="7112" ht="12.75" x14ac:dyDescent="0.2"/>
    <row r="7113" ht="12.75" x14ac:dyDescent="0.2"/>
    <row r="7114" ht="12.75" x14ac:dyDescent="0.2"/>
    <row r="7115" ht="12.75" x14ac:dyDescent="0.2"/>
    <row r="7116" ht="12.75" x14ac:dyDescent="0.2"/>
    <row r="7117" ht="12.75" x14ac:dyDescent="0.2"/>
    <row r="7118" ht="12.75" x14ac:dyDescent="0.2"/>
    <row r="7119" ht="12.75" x14ac:dyDescent="0.2"/>
    <row r="7120" ht="12.75" x14ac:dyDescent="0.2"/>
    <row r="7121" ht="12.75" x14ac:dyDescent="0.2"/>
    <row r="7122" ht="12.75" x14ac:dyDescent="0.2"/>
    <row r="7123" ht="12.75" x14ac:dyDescent="0.2"/>
    <row r="7124" ht="12.75" x14ac:dyDescent="0.2"/>
    <row r="7125" ht="12.75" x14ac:dyDescent="0.2"/>
    <row r="7126" ht="12.75" x14ac:dyDescent="0.2"/>
    <row r="7127" ht="12.75" x14ac:dyDescent="0.2"/>
    <row r="7128" ht="12.75" x14ac:dyDescent="0.2"/>
    <row r="7129" ht="12.75" x14ac:dyDescent="0.2"/>
    <row r="7130" ht="12.75" x14ac:dyDescent="0.2"/>
    <row r="7131" ht="12.75" x14ac:dyDescent="0.2"/>
    <row r="7132" ht="12.75" x14ac:dyDescent="0.2"/>
    <row r="7133" ht="12.75" x14ac:dyDescent="0.2"/>
    <row r="7134" ht="12.75" x14ac:dyDescent="0.2"/>
    <row r="7135" ht="12.75" x14ac:dyDescent="0.2"/>
    <row r="7136" ht="12.75" x14ac:dyDescent="0.2"/>
    <row r="7137" ht="12.75" x14ac:dyDescent="0.2"/>
    <row r="7138" ht="12.75" x14ac:dyDescent="0.2"/>
    <row r="7139" ht="12.75" x14ac:dyDescent="0.2"/>
    <row r="7140" ht="12.75" x14ac:dyDescent="0.2"/>
    <row r="7141" ht="12.75" x14ac:dyDescent="0.2"/>
    <row r="7142" ht="12.75" x14ac:dyDescent="0.2"/>
    <row r="7143" ht="12.75" x14ac:dyDescent="0.2"/>
    <row r="7144" ht="12.75" x14ac:dyDescent="0.2"/>
    <row r="7145" ht="12.75" x14ac:dyDescent="0.2"/>
    <row r="7146" ht="12.75" x14ac:dyDescent="0.2"/>
    <row r="7147" ht="12.75" x14ac:dyDescent="0.2"/>
    <row r="7148" ht="12.75" x14ac:dyDescent="0.2"/>
    <row r="7149" ht="12.75" x14ac:dyDescent="0.2"/>
    <row r="7150" ht="12.75" x14ac:dyDescent="0.2"/>
    <row r="7151" ht="12.75" x14ac:dyDescent="0.2"/>
    <row r="7152" ht="12.75" x14ac:dyDescent="0.2"/>
    <row r="7153" ht="12.75" x14ac:dyDescent="0.2"/>
    <row r="7154" ht="12.75" x14ac:dyDescent="0.2"/>
    <row r="7155" ht="12.75" x14ac:dyDescent="0.2"/>
    <row r="7156" ht="12.75" x14ac:dyDescent="0.2"/>
    <row r="7157" ht="12.75" x14ac:dyDescent="0.2"/>
    <row r="7158" ht="12.75" x14ac:dyDescent="0.2"/>
    <row r="7159" ht="12.75" x14ac:dyDescent="0.2"/>
    <row r="7160" ht="12.75" x14ac:dyDescent="0.2"/>
    <row r="7161" ht="12.75" x14ac:dyDescent="0.2"/>
    <row r="7162" ht="12.75" x14ac:dyDescent="0.2"/>
    <row r="7163" ht="12.75" x14ac:dyDescent="0.2"/>
    <row r="7164" ht="12.75" x14ac:dyDescent="0.2"/>
    <row r="7165" ht="12.75" x14ac:dyDescent="0.2"/>
    <row r="7166" ht="12.75" x14ac:dyDescent="0.2"/>
    <row r="7167" ht="12.75" x14ac:dyDescent="0.2"/>
    <row r="7168" ht="12.75" x14ac:dyDescent="0.2"/>
    <row r="7169" ht="12.75" x14ac:dyDescent="0.2"/>
    <row r="7170" ht="12.75" x14ac:dyDescent="0.2"/>
    <row r="7171" ht="12.75" x14ac:dyDescent="0.2"/>
    <row r="7172" ht="12.75" x14ac:dyDescent="0.2"/>
    <row r="7173" ht="12.75" x14ac:dyDescent="0.2"/>
    <row r="7174" ht="12.75" x14ac:dyDescent="0.2"/>
    <row r="7175" ht="12.75" x14ac:dyDescent="0.2"/>
    <row r="7176" ht="12.75" x14ac:dyDescent="0.2"/>
    <row r="7177" ht="12.75" x14ac:dyDescent="0.2"/>
    <row r="7178" ht="12.75" x14ac:dyDescent="0.2"/>
    <row r="7179" ht="12.75" x14ac:dyDescent="0.2"/>
    <row r="7180" ht="12.75" x14ac:dyDescent="0.2"/>
    <row r="7181" ht="12.75" x14ac:dyDescent="0.2"/>
    <row r="7182" ht="12.75" x14ac:dyDescent="0.2"/>
    <row r="7183" ht="12.75" x14ac:dyDescent="0.2"/>
    <row r="7184" ht="12.75" x14ac:dyDescent="0.2"/>
    <row r="7185" ht="12.75" x14ac:dyDescent="0.2"/>
    <row r="7186" ht="12.75" x14ac:dyDescent="0.2"/>
    <row r="7187" ht="12.75" x14ac:dyDescent="0.2"/>
    <row r="7188" ht="12.75" x14ac:dyDescent="0.2"/>
    <row r="7189" ht="12.75" x14ac:dyDescent="0.2"/>
    <row r="7190" ht="12.75" x14ac:dyDescent="0.2"/>
    <row r="7191" ht="12.75" x14ac:dyDescent="0.2"/>
    <row r="7192" ht="12.75" x14ac:dyDescent="0.2"/>
    <row r="7193" ht="12.75" x14ac:dyDescent="0.2"/>
    <row r="7194" ht="12.75" x14ac:dyDescent="0.2"/>
    <row r="7195" ht="12.75" x14ac:dyDescent="0.2"/>
    <row r="7196" ht="12.75" x14ac:dyDescent="0.2"/>
    <row r="7197" ht="12.75" x14ac:dyDescent="0.2"/>
    <row r="7198" ht="12.75" x14ac:dyDescent="0.2"/>
    <row r="7199" ht="12.75" x14ac:dyDescent="0.2"/>
    <row r="7200" ht="12.75" x14ac:dyDescent="0.2"/>
    <row r="7201" ht="12.75" x14ac:dyDescent="0.2"/>
    <row r="7202" ht="12.75" x14ac:dyDescent="0.2"/>
    <row r="7203" ht="12.75" x14ac:dyDescent="0.2"/>
    <row r="7204" ht="12.75" x14ac:dyDescent="0.2"/>
    <row r="7205" ht="12.75" x14ac:dyDescent="0.2"/>
    <row r="7206" ht="12.75" x14ac:dyDescent="0.2"/>
    <row r="7207" ht="12.75" x14ac:dyDescent="0.2"/>
    <row r="7208" ht="12.75" x14ac:dyDescent="0.2"/>
    <row r="7209" ht="12.75" x14ac:dyDescent="0.2"/>
    <row r="7210" ht="12.75" x14ac:dyDescent="0.2"/>
    <row r="7211" ht="12.75" x14ac:dyDescent="0.2"/>
    <row r="7212" ht="12.75" x14ac:dyDescent="0.2"/>
    <row r="7213" ht="12.75" x14ac:dyDescent="0.2"/>
    <row r="7214" ht="12.75" x14ac:dyDescent="0.2"/>
    <row r="7215" ht="12.75" x14ac:dyDescent="0.2"/>
    <row r="7216" ht="12.75" x14ac:dyDescent="0.2"/>
    <row r="7217" ht="12.75" x14ac:dyDescent="0.2"/>
    <row r="7218" ht="12.75" x14ac:dyDescent="0.2"/>
    <row r="7219" ht="12.75" x14ac:dyDescent="0.2"/>
    <row r="7220" ht="12.75" x14ac:dyDescent="0.2"/>
    <row r="7221" ht="12.75" x14ac:dyDescent="0.2"/>
    <row r="7222" ht="12.75" x14ac:dyDescent="0.2"/>
    <row r="7223" ht="12.75" x14ac:dyDescent="0.2"/>
    <row r="7224" ht="12.75" x14ac:dyDescent="0.2"/>
    <row r="7225" ht="12.75" x14ac:dyDescent="0.2"/>
    <row r="7226" ht="12.75" x14ac:dyDescent="0.2"/>
    <row r="7227" ht="12.75" x14ac:dyDescent="0.2"/>
    <row r="7228" ht="12.75" x14ac:dyDescent="0.2"/>
    <row r="7229" ht="12.75" x14ac:dyDescent="0.2"/>
    <row r="7230" ht="12.75" x14ac:dyDescent="0.2"/>
    <row r="7231" ht="12.75" x14ac:dyDescent="0.2"/>
    <row r="7232" ht="12.75" x14ac:dyDescent="0.2"/>
    <row r="7233" ht="12.75" x14ac:dyDescent="0.2"/>
    <row r="7234" ht="12.75" x14ac:dyDescent="0.2"/>
    <row r="7235" ht="12.75" x14ac:dyDescent="0.2"/>
    <row r="7236" ht="12.75" x14ac:dyDescent="0.2"/>
    <row r="7237" ht="12.75" x14ac:dyDescent="0.2"/>
    <row r="7238" ht="12.75" x14ac:dyDescent="0.2"/>
    <row r="7239" ht="12.75" x14ac:dyDescent="0.2"/>
    <row r="7240" ht="12.75" x14ac:dyDescent="0.2"/>
    <row r="7241" ht="12.75" x14ac:dyDescent="0.2"/>
    <row r="7242" ht="12.75" x14ac:dyDescent="0.2"/>
    <row r="7243" ht="12.75" x14ac:dyDescent="0.2"/>
    <row r="7244" ht="12.75" x14ac:dyDescent="0.2"/>
    <row r="7245" ht="12.75" x14ac:dyDescent="0.2"/>
    <row r="7246" ht="12.75" x14ac:dyDescent="0.2"/>
    <row r="7247" ht="12.75" x14ac:dyDescent="0.2"/>
    <row r="7248" ht="12.75" x14ac:dyDescent="0.2"/>
    <row r="7249" ht="12.75" x14ac:dyDescent="0.2"/>
    <row r="7250" ht="12.75" x14ac:dyDescent="0.2"/>
    <row r="7251" ht="12.75" x14ac:dyDescent="0.2"/>
    <row r="7252" ht="12.75" x14ac:dyDescent="0.2"/>
    <row r="7253" ht="12.75" x14ac:dyDescent="0.2"/>
    <row r="7254" ht="12.75" x14ac:dyDescent="0.2"/>
    <row r="7255" ht="12.75" x14ac:dyDescent="0.2"/>
    <row r="7256" ht="12.75" x14ac:dyDescent="0.2"/>
    <row r="7257" ht="12.75" x14ac:dyDescent="0.2"/>
    <row r="7258" ht="12.75" x14ac:dyDescent="0.2"/>
    <row r="7259" ht="12.75" x14ac:dyDescent="0.2"/>
    <row r="7260" ht="12.75" x14ac:dyDescent="0.2"/>
    <row r="7261" ht="12.75" x14ac:dyDescent="0.2"/>
    <row r="7262" ht="12.75" x14ac:dyDescent="0.2"/>
    <row r="7263" ht="12.75" x14ac:dyDescent="0.2"/>
    <row r="7264" ht="12.75" x14ac:dyDescent="0.2"/>
    <row r="7265" ht="12.75" x14ac:dyDescent="0.2"/>
    <row r="7266" ht="12.75" x14ac:dyDescent="0.2"/>
    <row r="7267" ht="12.75" x14ac:dyDescent="0.2"/>
    <row r="7268" ht="12.75" x14ac:dyDescent="0.2"/>
    <row r="7269" ht="12.75" x14ac:dyDescent="0.2"/>
    <row r="7270" ht="12.75" x14ac:dyDescent="0.2"/>
    <row r="7271" ht="12.75" x14ac:dyDescent="0.2"/>
    <row r="7272" ht="12.75" x14ac:dyDescent="0.2"/>
    <row r="7273" ht="12.75" x14ac:dyDescent="0.2"/>
    <row r="7274" ht="12.75" x14ac:dyDescent="0.2"/>
    <row r="7275" ht="12.75" x14ac:dyDescent="0.2"/>
    <row r="7276" ht="12.75" x14ac:dyDescent="0.2"/>
    <row r="7277" ht="12.75" x14ac:dyDescent="0.2"/>
    <row r="7278" ht="12.75" x14ac:dyDescent="0.2"/>
    <row r="7279" ht="12.75" x14ac:dyDescent="0.2"/>
    <row r="7280" ht="12.75" x14ac:dyDescent="0.2"/>
    <row r="7281" ht="12.75" x14ac:dyDescent="0.2"/>
    <row r="7282" ht="12.75" x14ac:dyDescent="0.2"/>
    <row r="7283" ht="12.75" x14ac:dyDescent="0.2"/>
    <row r="7284" ht="12.75" x14ac:dyDescent="0.2"/>
    <row r="7285" ht="12.75" x14ac:dyDescent="0.2"/>
    <row r="7286" ht="12.75" x14ac:dyDescent="0.2"/>
    <row r="7287" ht="12.75" x14ac:dyDescent="0.2"/>
    <row r="7288" ht="12.75" x14ac:dyDescent="0.2"/>
    <row r="7289" ht="12.75" x14ac:dyDescent="0.2"/>
    <row r="7290" ht="12.75" x14ac:dyDescent="0.2"/>
    <row r="7291" ht="12.75" x14ac:dyDescent="0.2"/>
    <row r="7292" ht="12.75" x14ac:dyDescent="0.2"/>
    <row r="7293" ht="12.75" x14ac:dyDescent="0.2"/>
    <row r="7294" ht="12.75" x14ac:dyDescent="0.2"/>
    <row r="7295" ht="12.75" x14ac:dyDescent="0.2"/>
    <row r="7296" ht="12.75" x14ac:dyDescent="0.2"/>
    <row r="7297" ht="12.75" x14ac:dyDescent="0.2"/>
    <row r="7298" ht="12.75" x14ac:dyDescent="0.2"/>
    <row r="7299" ht="12.75" x14ac:dyDescent="0.2"/>
    <row r="7300" ht="12.75" x14ac:dyDescent="0.2"/>
    <row r="7301" ht="12.75" x14ac:dyDescent="0.2"/>
    <row r="7302" ht="12.75" x14ac:dyDescent="0.2"/>
    <row r="7303" ht="12.75" x14ac:dyDescent="0.2"/>
    <row r="7304" ht="12.75" x14ac:dyDescent="0.2"/>
    <row r="7305" ht="12.75" x14ac:dyDescent="0.2"/>
    <row r="7306" ht="12.75" x14ac:dyDescent="0.2"/>
    <row r="7307" ht="12.75" x14ac:dyDescent="0.2"/>
    <row r="7308" ht="12.75" x14ac:dyDescent="0.2"/>
    <row r="7309" ht="12.75" x14ac:dyDescent="0.2"/>
    <row r="7310" ht="12.75" x14ac:dyDescent="0.2"/>
    <row r="7311" ht="12.75" x14ac:dyDescent="0.2"/>
    <row r="7312" ht="12.75" x14ac:dyDescent="0.2"/>
    <row r="7313" ht="12.75" x14ac:dyDescent="0.2"/>
    <row r="7314" ht="12.75" x14ac:dyDescent="0.2"/>
    <row r="7315" ht="12.75" x14ac:dyDescent="0.2"/>
    <row r="7316" ht="12.75" x14ac:dyDescent="0.2"/>
    <row r="7317" ht="12.75" x14ac:dyDescent="0.2"/>
    <row r="7318" ht="12.75" x14ac:dyDescent="0.2"/>
    <row r="7319" ht="12.75" x14ac:dyDescent="0.2"/>
    <row r="7320" ht="12.75" x14ac:dyDescent="0.2"/>
    <row r="7321" ht="12.75" x14ac:dyDescent="0.2"/>
    <row r="7322" ht="12.75" x14ac:dyDescent="0.2"/>
    <row r="7323" ht="12.75" x14ac:dyDescent="0.2"/>
    <row r="7324" ht="12.75" x14ac:dyDescent="0.2"/>
    <row r="7325" ht="12.75" x14ac:dyDescent="0.2"/>
    <row r="7326" ht="12.75" x14ac:dyDescent="0.2"/>
    <row r="7327" ht="12.75" x14ac:dyDescent="0.2"/>
    <row r="7328" ht="12.75" x14ac:dyDescent="0.2"/>
    <row r="7329" ht="12.75" x14ac:dyDescent="0.2"/>
    <row r="7330" ht="12.75" x14ac:dyDescent="0.2"/>
    <row r="7331" ht="12.75" x14ac:dyDescent="0.2"/>
    <row r="7332" ht="12.75" x14ac:dyDescent="0.2"/>
    <row r="7333" ht="12.75" x14ac:dyDescent="0.2"/>
    <row r="7334" ht="12.75" x14ac:dyDescent="0.2"/>
    <row r="7335" ht="12.75" x14ac:dyDescent="0.2"/>
    <row r="7336" ht="12.75" x14ac:dyDescent="0.2"/>
    <row r="7337" ht="12.75" x14ac:dyDescent="0.2"/>
    <row r="7338" ht="12.75" x14ac:dyDescent="0.2"/>
    <row r="7339" ht="12.75" x14ac:dyDescent="0.2"/>
    <row r="7340" ht="12.75" x14ac:dyDescent="0.2"/>
    <row r="7341" ht="12.75" x14ac:dyDescent="0.2"/>
    <row r="7342" ht="12.75" x14ac:dyDescent="0.2"/>
    <row r="7343" ht="12.75" x14ac:dyDescent="0.2"/>
    <row r="7344" ht="12.75" x14ac:dyDescent="0.2"/>
    <row r="7345" ht="12.75" x14ac:dyDescent="0.2"/>
    <row r="7346" ht="12.75" x14ac:dyDescent="0.2"/>
    <row r="7347" ht="12.75" x14ac:dyDescent="0.2"/>
    <row r="7348" ht="12.75" x14ac:dyDescent="0.2"/>
    <row r="7349" ht="12.75" x14ac:dyDescent="0.2"/>
    <row r="7350" ht="12.75" x14ac:dyDescent="0.2"/>
    <row r="7351" ht="12.75" x14ac:dyDescent="0.2"/>
    <row r="7352" ht="12.75" x14ac:dyDescent="0.2"/>
    <row r="7353" ht="12.75" x14ac:dyDescent="0.2"/>
    <row r="7354" ht="12.75" x14ac:dyDescent="0.2"/>
    <row r="7355" ht="12.75" x14ac:dyDescent="0.2"/>
    <row r="7356" ht="12.75" x14ac:dyDescent="0.2"/>
    <row r="7357" ht="12.75" x14ac:dyDescent="0.2"/>
    <row r="7358" ht="12.75" x14ac:dyDescent="0.2"/>
    <row r="7359" ht="12.75" x14ac:dyDescent="0.2"/>
    <row r="7360" ht="12.75" x14ac:dyDescent="0.2"/>
    <row r="7361" ht="12.75" x14ac:dyDescent="0.2"/>
    <row r="7362" ht="12.75" x14ac:dyDescent="0.2"/>
    <row r="7363" ht="12.75" x14ac:dyDescent="0.2"/>
    <row r="7364" ht="12.75" x14ac:dyDescent="0.2"/>
    <row r="7365" ht="12.75" x14ac:dyDescent="0.2"/>
    <row r="7366" ht="12.75" x14ac:dyDescent="0.2"/>
    <row r="7367" ht="12.75" x14ac:dyDescent="0.2"/>
    <row r="7368" ht="12.75" x14ac:dyDescent="0.2"/>
    <row r="7369" ht="12.75" x14ac:dyDescent="0.2"/>
    <row r="7370" ht="12.75" x14ac:dyDescent="0.2"/>
    <row r="7371" ht="12.75" x14ac:dyDescent="0.2"/>
    <row r="7372" ht="12.75" x14ac:dyDescent="0.2"/>
    <row r="7373" ht="12.75" x14ac:dyDescent="0.2"/>
    <row r="7374" ht="12.75" x14ac:dyDescent="0.2"/>
    <row r="7375" ht="12.75" x14ac:dyDescent="0.2"/>
    <row r="7376" ht="12.75" x14ac:dyDescent="0.2"/>
    <row r="7377" ht="12.75" x14ac:dyDescent="0.2"/>
    <row r="7378" ht="12.75" x14ac:dyDescent="0.2"/>
    <row r="7379" ht="12.75" x14ac:dyDescent="0.2"/>
    <row r="7380" ht="12.75" x14ac:dyDescent="0.2"/>
    <row r="7381" ht="12.75" x14ac:dyDescent="0.2"/>
    <row r="7382" ht="12.75" x14ac:dyDescent="0.2"/>
    <row r="7383" ht="12.75" x14ac:dyDescent="0.2"/>
    <row r="7384" ht="12.75" x14ac:dyDescent="0.2"/>
    <row r="7385" ht="12.75" x14ac:dyDescent="0.2"/>
    <row r="7386" ht="12.75" x14ac:dyDescent="0.2"/>
    <row r="7387" ht="12.75" x14ac:dyDescent="0.2"/>
    <row r="7388" ht="12.75" x14ac:dyDescent="0.2"/>
    <row r="7389" ht="12.75" x14ac:dyDescent="0.2"/>
    <row r="7390" ht="12.75" x14ac:dyDescent="0.2"/>
    <row r="7391" ht="12.75" x14ac:dyDescent="0.2"/>
    <row r="7392" ht="12.75" x14ac:dyDescent="0.2"/>
    <row r="7393" ht="12.75" x14ac:dyDescent="0.2"/>
    <row r="7394" ht="12.75" x14ac:dyDescent="0.2"/>
    <row r="7395" ht="12.75" x14ac:dyDescent="0.2"/>
    <row r="7396" ht="12.75" x14ac:dyDescent="0.2"/>
    <row r="7397" ht="12.75" x14ac:dyDescent="0.2"/>
    <row r="7398" ht="12.75" x14ac:dyDescent="0.2"/>
    <row r="7399" ht="12.75" x14ac:dyDescent="0.2"/>
    <row r="7400" ht="12.75" x14ac:dyDescent="0.2"/>
    <row r="7401" ht="12.75" x14ac:dyDescent="0.2"/>
    <row r="7402" ht="12.75" x14ac:dyDescent="0.2"/>
    <row r="7403" ht="12.75" x14ac:dyDescent="0.2"/>
    <row r="7404" ht="12.75" x14ac:dyDescent="0.2"/>
    <row r="7405" ht="12.75" x14ac:dyDescent="0.2"/>
    <row r="7406" ht="12.75" x14ac:dyDescent="0.2"/>
    <row r="7407" ht="12.75" x14ac:dyDescent="0.2"/>
    <row r="7408" ht="12.75" x14ac:dyDescent="0.2"/>
    <row r="7409" ht="12.75" x14ac:dyDescent="0.2"/>
    <row r="7410" ht="12.75" x14ac:dyDescent="0.2"/>
    <row r="7411" ht="12.75" x14ac:dyDescent="0.2"/>
    <row r="7412" ht="12.75" x14ac:dyDescent="0.2"/>
    <row r="7413" ht="12.75" x14ac:dyDescent="0.2"/>
    <row r="7414" ht="12.75" x14ac:dyDescent="0.2"/>
    <row r="7415" ht="12.75" x14ac:dyDescent="0.2"/>
    <row r="7416" ht="12.75" x14ac:dyDescent="0.2"/>
    <row r="7417" ht="12.75" x14ac:dyDescent="0.2"/>
    <row r="7418" ht="12.75" x14ac:dyDescent="0.2"/>
    <row r="7419" ht="12.75" x14ac:dyDescent="0.2"/>
    <row r="7420" ht="12.75" x14ac:dyDescent="0.2"/>
    <row r="7421" ht="12.75" x14ac:dyDescent="0.2"/>
    <row r="7422" ht="12.75" x14ac:dyDescent="0.2"/>
    <row r="7423" ht="12.75" x14ac:dyDescent="0.2"/>
    <row r="7424" ht="12.75" x14ac:dyDescent="0.2"/>
    <row r="7425" ht="12.75" x14ac:dyDescent="0.2"/>
    <row r="7426" ht="12.75" x14ac:dyDescent="0.2"/>
    <row r="7427" ht="12.75" x14ac:dyDescent="0.2"/>
    <row r="7428" ht="12.75" x14ac:dyDescent="0.2"/>
    <row r="7429" ht="12.75" x14ac:dyDescent="0.2"/>
    <row r="7430" ht="12.75" x14ac:dyDescent="0.2"/>
    <row r="7431" ht="12.75" x14ac:dyDescent="0.2"/>
    <row r="7432" ht="12.75" x14ac:dyDescent="0.2"/>
    <row r="7433" ht="12.75" x14ac:dyDescent="0.2"/>
    <row r="7434" ht="12.75" x14ac:dyDescent="0.2"/>
    <row r="7435" ht="12.75" x14ac:dyDescent="0.2"/>
    <row r="7436" ht="12.75" x14ac:dyDescent="0.2"/>
    <row r="7437" ht="12.75" x14ac:dyDescent="0.2"/>
    <row r="7438" ht="12.75" x14ac:dyDescent="0.2"/>
    <row r="7439" ht="12.75" x14ac:dyDescent="0.2"/>
    <row r="7440" ht="12.75" x14ac:dyDescent="0.2"/>
    <row r="7441" ht="12.75" x14ac:dyDescent="0.2"/>
    <row r="7442" ht="12.75" x14ac:dyDescent="0.2"/>
    <row r="7443" ht="12.75" x14ac:dyDescent="0.2"/>
    <row r="7444" ht="12.75" x14ac:dyDescent="0.2"/>
    <row r="7445" ht="12.75" x14ac:dyDescent="0.2"/>
    <row r="7446" ht="12.75" x14ac:dyDescent="0.2"/>
    <row r="7447" ht="12.75" x14ac:dyDescent="0.2"/>
    <row r="7448" ht="12.75" x14ac:dyDescent="0.2"/>
    <row r="7449" ht="12.75" x14ac:dyDescent="0.2"/>
    <row r="7450" ht="12.75" x14ac:dyDescent="0.2"/>
    <row r="7451" ht="12.75" x14ac:dyDescent="0.2"/>
    <row r="7452" ht="12.75" x14ac:dyDescent="0.2"/>
    <row r="7453" ht="12.75" x14ac:dyDescent="0.2"/>
    <row r="7454" ht="12.75" x14ac:dyDescent="0.2"/>
    <row r="7455" ht="12.75" x14ac:dyDescent="0.2"/>
    <row r="7456" ht="12.75" x14ac:dyDescent="0.2"/>
    <row r="7457" ht="12.75" x14ac:dyDescent="0.2"/>
    <row r="7458" ht="12.75" x14ac:dyDescent="0.2"/>
    <row r="7459" ht="12.75" x14ac:dyDescent="0.2"/>
    <row r="7460" ht="12.75" x14ac:dyDescent="0.2"/>
    <row r="7461" ht="12.75" x14ac:dyDescent="0.2"/>
    <row r="7462" ht="12.75" x14ac:dyDescent="0.2"/>
    <row r="7463" ht="12.75" x14ac:dyDescent="0.2"/>
    <row r="7464" ht="12.75" x14ac:dyDescent="0.2"/>
    <row r="7465" ht="12.75" x14ac:dyDescent="0.2"/>
    <row r="7466" ht="12.75" x14ac:dyDescent="0.2"/>
    <row r="7467" ht="12.75" x14ac:dyDescent="0.2"/>
    <row r="7468" ht="12.75" x14ac:dyDescent="0.2"/>
    <row r="7469" ht="12.75" x14ac:dyDescent="0.2"/>
    <row r="7470" ht="12.75" x14ac:dyDescent="0.2"/>
    <row r="7471" ht="12.75" x14ac:dyDescent="0.2"/>
    <row r="7472" ht="12.75" x14ac:dyDescent="0.2"/>
    <row r="7473" ht="12.75" x14ac:dyDescent="0.2"/>
    <row r="7474" ht="12.75" x14ac:dyDescent="0.2"/>
    <row r="7475" ht="12.75" x14ac:dyDescent="0.2"/>
    <row r="7476" ht="12.75" x14ac:dyDescent="0.2"/>
    <row r="7477" ht="12.75" x14ac:dyDescent="0.2"/>
    <row r="7478" ht="12.75" x14ac:dyDescent="0.2"/>
    <row r="7479" ht="12.75" x14ac:dyDescent="0.2"/>
    <row r="7480" ht="12.75" x14ac:dyDescent="0.2"/>
    <row r="7481" ht="12.75" x14ac:dyDescent="0.2"/>
    <row r="7482" ht="12.75" x14ac:dyDescent="0.2"/>
    <row r="7483" ht="12.75" x14ac:dyDescent="0.2"/>
    <row r="7484" ht="12.75" x14ac:dyDescent="0.2"/>
    <row r="7485" ht="12.75" x14ac:dyDescent="0.2"/>
    <row r="7486" ht="12.75" x14ac:dyDescent="0.2"/>
    <row r="7487" ht="12.75" x14ac:dyDescent="0.2"/>
    <row r="7488" ht="12.75" x14ac:dyDescent="0.2"/>
    <row r="7489" ht="12.75" x14ac:dyDescent="0.2"/>
    <row r="7490" ht="12.75" x14ac:dyDescent="0.2"/>
    <row r="7491" ht="12.75" x14ac:dyDescent="0.2"/>
    <row r="7492" ht="12.75" x14ac:dyDescent="0.2"/>
    <row r="7493" ht="12.75" x14ac:dyDescent="0.2"/>
    <row r="7494" ht="12.75" x14ac:dyDescent="0.2"/>
    <row r="7495" ht="12.75" x14ac:dyDescent="0.2"/>
    <row r="7496" ht="12.75" x14ac:dyDescent="0.2"/>
    <row r="7497" ht="12.75" x14ac:dyDescent="0.2"/>
    <row r="7498" ht="12.75" x14ac:dyDescent="0.2"/>
    <row r="7499" ht="12.75" x14ac:dyDescent="0.2"/>
    <row r="7500" ht="12.75" x14ac:dyDescent="0.2"/>
    <row r="7501" ht="12.75" x14ac:dyDescent="0.2"/>
    <row r="7502" ht="12.75" x14ac:dyDescent="0.2"/>
    <row r="7503" ht="12.75" x14ac:dyDescent="0.2"/>
    <row r="7504" ht="12.75" x14ac:dyDescent="0.2"/>
    <row r="7505" ht="12.75" x14ac:dyDescent="0.2"/>
    <row r="7506" ht="12.75" x14ac:dyDescent="0.2"/>
    <row r="7507" ht="12.75" x14ac:dyDescent="0.2"/>
    <row r="7508" ht="12.75" x14ac:dyDescent="0.2"/>
    <row r="7509" ht="12.75" x14ac:dyDescent="0.2"/>
    <row r="7510" ht="12.75" x14ac:dyDescent="0.2"/>
    <row r="7511" ht="12.75" x14ac:dyDescent="0.2"/>
    <row r="7512" ht="12.75" x14ac:dyDescent="0.2"/>
    <row r="7513" ht="12.75" x14ac:dyDescent="0.2"/>
    <row r="7514" ht="12.75" x14ac:dyDescent="0.2"/>
    <row r="7515" ht="12.75" x14ac:dyDescent="0.2"/>
    <row r="7516" ht="12.75" x14ac:dyDescent="0.2"/>
    <row r="7517" ht="12.75" x14ac:dyDescent="0.2"/>
    <row r="7518" ht="12.75" x14ac:dyDescent="0.2"/>
    <row r="7519" ht="12.75" x14ac:dyDescent="0.2"/>
    <row r="7520" ht="12.75" x14ac:dyDescent="0.2"/>
    <row r="7521" ht="12.75" x14ac:dyDescent="0.2"/>
    <row r="7522" ht="12.75" x14ac:dyDescent="0.2"/>
    <row r="7523" ht="12.75" x14ac:dyDescent="0.2"/>
    <row r="7524" ht="12.75" x14ac:dyDescent="0.2"/>
    <row r="7525" ht="12.75" x14ac:dyDescent="0.2"/>
    <row r="7526" ht="12.75" x14ac:dyDescent="0.2"/>
    <row r="7527" ht="12.75" x14ac:dyDescent="0.2"/>
    <row r="7528" ht="12.75" x14ac:dyDescent="0.2"/>
    <row r="7529" ht="12.75" x14ac:dyDescent="0.2"/>
    <row r="7530" ht="12.75" x14ac:dyDescent="0.2"/>
    <row r="7531" ht="12.75" x14ac:dyDescent="0.2"/>
    <row r="7532" ht="12.75" x14ac:dyDescent="0.2"/>
    <row r="7533" ht="12.75" x14ac:dyDescent="0.2"/>
    <row r="7534" ht="12.75" x14ac:dyDescent="0.2"/>
    <row r="7535" ht="12.75" x14ac:dyDescent="0.2"/>
    <row r="7536" ht="12.75" x14ac:dyDescent="0.2"/>
    <row r="7537" ht="12.75" x14ac:dyDescent="0.2"/>
    <row r="7538" ht="12.75" x14ac:dyDescent="0.2"/>
    <row r="7539" ht="12.75" x14ac:dyDescent="0.2"/>
    <row r="7540" ht="12.75" x14ac:dyDescent="0.2"/>
    <row r="7541" ht="12.75" x14ac:dyDescent="0.2"/>
    <row r="7542" ht="12.75" x14ac:dyDescent="0.2"/>
    <row r="7543" ht="12.75" x14ac:dyDescent="0.2"/>
    <row r="7544" ht="12.75" x14ac:dyDescent="0.2"/>
    <row r="7545" ht="12.75" x14ac:dyDescent="0.2"/>
    <row r="7546" ht="12.75" x14ac:dyDescent="0.2"/>
    <row r="7547" ht="12.75" x14ac:dyDescent="0.2"/>
    <row r="7548" ht="12.75" x14ac:dyDescent="0.2"/>
    <row r="7549" ht="12.75" x14ac:dyDescent="0.2"/>
    <row r="7550" ht="12.75" x14ac:dyDescent="0.2"/>
    <row r="7551" ht="12.75" x14ac:dyDescent="0.2"/>
    <row r="7552" ht="12.75" x14ac:dyDescent="0.2"/>
    <row r="7553" ht="12.75" x14ac:dyDescent="0.2"/>
    <row r="7554" ht="12.75" x14ac:dyDescent="0.2"/>
    <row r="7555" ht="12.75" x14ac:dyDescent="0.2"/>
    <row r="7556" ht="12.75" x14ac:dyDescent="0.2"/>
    <row r="7557" ht="12.75" x14ac:dyDescent="0.2"/>
    <row r="7558" ht="12.75" x14ac:dyDescent="0.2"/>
    <row r="7559" ht="12.75" x14ac:dyDescent="0.2"/>
    <row r="7560" ht="12.75" x14ac:dyDescent="0.2"/>
    <row r="7561" ht="12.75" x14ac:dyDescent="0.2"/>
    <row r="7562" ht="12.75" x14ac:dyDescent="0.2"/>
    <row r="7563" ht="12.75" x14ac:dyDescent="0.2"/>
    <row r="7564" ht="12.75" x14ac:dyDescent="0.2"/>
    <row r="7565" ht="12.75" x14ac:dyDescent="0.2"/>
    <row r="7566" ht="12.75" x14ac:dyDescent="0.2"/>
    <row r="7567" ht="12.75" x14ac:dyDescent="0.2"/>
    <row r="7568" ht="12.75" x14ac:dyDescent="0.2"/>
    <row r="7569" ht="12.75" x14ac:dyDescent="0.2"/>
    <row r="7570" ht="12.75" x14ac:dyDescent="0.2"/>
    <row r="7571" ht="12.75" x14ac:dyDescent="0.2"/>
    <row r="7572" ht="12.75" x14ac:dyDescent="0.2"/>
    <row r="7573" ht="12.75" x14ac:dyDescent="0.2"/>
    <row r="7574" ht="12.75" x14ac:dyDescent="0.2"/>
    <row r="7575" ht="12.75" x14ac:dyDescent="0.2"/>
    <row r="7576" ht="12.75" x14ac:dyDescent="0.2"/>
    <row r="7577" ht="12.75" x14ac:dyDescent="0.2"/>
    <row r="7578" ht="12.75" x14ac:dyDescent="0.2"/>
    <row r="7579" ht="12.75" x14ac:dyDescent="0.2"/>
    <row r="7580" ht="12.75" x14ac:dyDescent="0.2"/>
    <row r="7581" ht="12.75" x14ac:dyDescent="0.2"/>
    <row r="7582" ht="12.75" x14ac:dyDescent="0.2"/>
    <row r="7583" ht="12.75" x14ac:dyDescent="0.2"/>
    <row r="7584" ht="12.75" x14ac:dyDescent="0.2"/>
    <row r="7585" ht="12.75" x14ac:dyDescent="0.2"/>
    <row r="7586" ht="12.75" x14ac:dyDescent="0.2"/>
    <row r="7587" ht="12.75" x14ac:dyDescent="0.2"/>
    <row r="7588" ht="12.75" x14ac:dyDescent="0.2"/>
    <row r="7589" ht="12.75" x14ac:dyDescent="0.2"/>
    <row r="7590" ht="12.75" x14ac:dyDescent="0.2"/>
    <row r="7591" ht="12.75" x14ac:dyDescent="0.2"/>
    <row r="7592" ht="12.75" x14ac:dyDescent="0.2"/>
    <row r="7593" ht="12.75" x14ac:dyDescent="0.2"/>
    <row r="7594" ht="12.75" x14ac:dyDescent="0.2"/>
    <row r="7595" ht="12.75" x14ac:dyDescent="0.2"/>
    <row r="7596" ht="12.75" x14ac:dyDescent="0.2"/>
    <row r="7597" ht="12.75" x14ac:dyDescent="0.2"/>
    <row r="7598" ht="12.75" x14ac:dyDescent="0.2"/>
    <row r="7599" ht="12.75" x14ac:dyDescent="0.2"/>
    <row r="7600" ht="12.75" x14ac:dyDescent="0.2"/>
    <row r="7601" ht="12.75" x14ac:dyDescent="0.2"/>
    <row r="7602" ht="12.75" x14ac:dyDescent="0.2"/>
    <row r="7603" ht="12.75" x14ac:dyDescent="0.2"/>
    <row r="7604" ht="12.75" x14ac:dyDescent="0.2"/>
    <row r="7605" ht="12.75" x14ac:dyDescent="0.2"/>
    <row r="7606" ht="12.75" x14ac:dyDescent="0.2"/>
    <row r="7607" ht="12.75" x14ac:dyDescent="0.2"/>
    <row r="7608" ht="12.75" x14ac:dyDescent="0.2"/>
    <row r="7609" ht="12.75" x14ac:dyDescent="0.2"/>
    <row r="7610" ht="12.75" x14ac:dyDescent="0.2"/>
    <row r="7611" ht="12.75" x14ac:dyDescent="0.2"/>
    <row r="7612" ht="12.75" x14ac:dyDescent="0.2"/>
    <row r="7613" ht="12.75" x14ac:dyDescent="0.2"/>
    <row r="7614" ht="12.75" x14ac:dyDescent="0.2"/>
    <row r="7615" ht="12.75" x14ac:dyDescent="0.2"/>
    <row r="7616" ht="12.75" x14ac:dyDescent="0.2"/>
    <row r="7617" ht="12.75" x14ac:dyDescent="0.2"/>
    <row r="7618" ht="12.75" x14ac:dyDescent="0.2"/>
    <row r="7619" ht="12.75" x14ac:dyDescent="0.2"/>
    <row r="7620" ht="12.75" x14ac:dyDescent="0.2"/>
    <row r="7621" ht="12.75" x14ac:dyDescent="0.2"/>
    <row r="7622" ht="12.75" x14ac:dyDescent="0.2"/>
    <row r="7623" ht="12.75" x14ac:dyDescent="0.2"/>
    <row r="7624" ht="12.75" x14ac:dyDescent="0.2"/>
    <row r="7625" ht="12.75" x14ac:dyDescent="0.2"/>
    <row r="7626" ht="12.75" x14ac:dyDescent="0.2"/>
    <row r="7627" ht="12.75" x14ac:dyDescent="0.2"/>
    <row r="7628" ht="12.75" x14ac:dyDescent="0.2"/>
    <row r="7629" ht="12.75" x14ac:dyDescent="0.2"/>
    <row r="7630" ht="12.75" x14ac:dyDescent="0.2"/>
    <row r="7631" ht="12.75" x14ac:dyDescent="0.2"/>
    <row r="7632" ht="12.75" x14ac:dyDescent="0.2"/>
    <row r="7633" ht="12.75" x14ac:dyDescent="0.2"/>
    <row r="7634" ht="12.75" x14ac:dyDescent="0.2"/>
    <row r="7635" ht="12.75" x14ac:dyDescent="0.2"/>
    <row r="7636" ht="12.75" x14ac:dyDescent="0.2"/>
    <row r="7637" ht="12.75" x14ac:dyDescent="0.2"/>
    <row r="7638" ht="12.75" x14ac:dyDescent="0.2"/>
    <row r="7639" ht="12.75" x14ac:dyDescent="0.2"/>
    <row r="7640" ht="12.75" x14ac:dyDescent="0.2"/>
    <row r="7641" ht="12.75" x14ac:dyDescent="0.2"/>
    <row r="7642" ht="12.75" x14ac:dyDescent="0.2"/>
    <row r="7643" ht="12.75" x14ac:dyDescent="0.2"/>
    <row r="7644" ht="12.75" x14ac:dyDescent="0.2"/>
    <row r="7645" ht="12.75" x14ac:dyDescent="0.2"/>
    <row r="7646" ht="12.75" x14ac:dyDescent="0.2"/>
    <row r="7647" ht="12.75" x14ac:dyDescent="0.2"/>
    <row r="7648" ht="12.75" x14ac:dyDescent="0.2"/>
    <row r="7649" ht="12.75" x14ac:dyDescent="0.2"/>
    <row r="7650" ht="12.75" x14ac:dyDescent="0.2"/>
    <row r="7651" ht="12.75" x14ac:dyDescent="0.2"/>
    <row r="7652" ht="12.75" x14ac:dyDescent="0.2"/>
    <row r="7653" ht="12.75" x14ac:dyDescent="0.2"/>
    <row r="7654" ht="12.75" x14ac:dyDescent="0.2"/>
    <row r="7655" ht="12.75" x14ac:dyDescent="0.2"/>
    <row r="7656" ht="12.75" x14ac:dyDescent="0.2"/>
    <row r="7657" ht="12.75" x14ac:dyDescent="0.2"/>
    <row r="7658" ht="12.75" x14ac:dyDescent="0.2"/>
    <row r="7659" ht="12.75" x14ac:dyDescent="0.2"/>
    <row r="7660" ht="12.75" x14ac:dyDescent="0.2"/>
    <row r="7661" ht="12.75" x14ac:dyDescent="0.2"/>
    <row r="7662" ht="12.75" x14ac:dyDescent="0.2"/>
    <row r="7663" ht="12.75" x14ac:dyDescent="0.2"/>
    <row r="7664" ht="12.75" x14ac:dyDescent="0.2"/>
    <row r="7665" ht="12.75" x14ac:dyDescent="0.2"/>
    <row r="7666" ht="12.75" x14ac:dyDescent="0.2"/>
    <row r="7667" ht="12.75" x14ac:dyDescent="0.2"/>
    <row r="7668" ht="12.75" x14ac:dyDescent="0.2"/>
    <row r="7669" ht="12.75" x14ac:dyDescent="0.2"/>
    <row r="7670" ht="12.75" x14ac:dyDescent="0.2"/>
    <row r="7671" ht="12.75" x14ac:dyDescent="0.2"/>
    <row r="7672" ht="12.75" x14ac:dyDescent="0.2"/>
    <row r="7673" ht="12.75" x14ac:dyDescent="0.2"/>
    <row r="7674" ht="12.75" x14ac:dyDescent="0.2"/>
    <row r="7675" ht="12.75" x14ac:dyDescent="0.2"/>
    <row r="7676" ht="12.75" x14ac:dyDescent="0.2"/>
    <row r="7677" ht="12.75" x14ac:dyDescent="0.2"/>
    <row r="7678" ht="12.75" x14ac:dyDescent="0.2"/>
    <row r="7679" ht="12.75" x14ac:dyDescent="0.2"/>
    <row r="7680" ht="12.75" x14ac:dyDescent="0.2"/>
    <row r="7681" ht="12.75" x14ac:dyDescent="0.2"/>
    <row r="7682" ht="12.75" x14ac:dyDescent="0.2"/>
    <row r="7683" ht="12.75" x14ac:dyDescent="0.2"/>
    <row r="7684" ht="12.75" x14ac:dyDescent="0.2"/>
    <row r="7685" ht="12.75" x14ac:dyDescent="0.2"/>
    <row r="7686" ht="12.75" x14ac:dyDescent="0.2"/>
    <row r="7687" ht="12.75" x14ac:dyDescent="0.2"/>
    <row r="7688" ht="12.75" x14ac:dyDescent="0.2"/>
    <row r="7689" ht="12.75" x14ac:dyDescent="0.2"/>
    <row r="7690" ht="12.75" x14ac:dyDescent="0.2"/>
    <row r="7691" ht="12.75" x14ac:dyDescent="0.2"/>
    <row r="7692" ht="12.75" x14ac:dyDescent="0.2"/>
    <row r="7693" ht="12.75" x14ac:dyDescent="0.2"/>
    <row r="7694" ht="12.75" x14ac:dyDescent="0.2"/>
    <row r="7695" ht="12.75" x14ac:dyDescent="0.2"/>
    <row r="7696" ht="12.75" x14ac:dyDescent="0.2"/>
    <row r="7697" ht="12.75" x14ac:dyDescent="0.2"/>
    <row r="7698" ht="12.75" x14ac:dyDescent="0.2"/>
    <row r="7699" ht="12.75" x14ac:dyDescent="0.2"/>
    <row r="7700" ht="12.75" x14ac:dyDescent="0.2"/>
    <row r="7701" ht="12.75" x14ac:dyDescent="0.2"/>
    <row r="7702" ht="12.75" x14ac:dyDescent="0.2"/>
    <row r="7703" ht="12.75" x14ac:dyDescent="0.2"/>
    <row r="7704" ht="12.75" x14ac:dyDescent="0.2"/>
    <row r="7705" ht="12.75" x14ac:dyDescent="0.2"/>
    <row r="7706" ht="12.75" x14ac:dyDescent="0.2"/>
    <row r="7707" ht="12.75" x14ac:dyDescent="0.2"/>
    <row r="7708" ht="12.75" x14ac:dyDescent="0.2"/>
    <row r="7709" ht="12.75" x14ac:dyDescent="0.2"/>
    <row r="7710" ht="12.75" x14ac:dyDescent="0.2"/>
    <row r="7711" ht="12.75" x14ac:dyDescent="0.2"/>
    <row r="7712" ht="12.75" x14ac:dyDescent="0.2"/>
    <row r="7713" ht="12.75" x14ac:dyDescent="0.2"/>
    <row r="7714" ht="12.75" x14ac:dyDescent="0.2"/>
    <row r="7715" ht="12.75" x14ac:dyDescent="0.2"/>
    <row r="7716" ht="12.75" x14ac:dyDescent="0.2"/>
    <row r="7717" ht="12.75" x14ac:dyDescent="0.2"/>
    <row r="7718" ht="12.75" x14ac:dyDescent="0.2"/>
    <row r="7719" ht="12.75" x14ac:dyDescent="0.2"/>
    <row r="7720" ht="12.75" x14ac:dyDescent="0.2"/>
    <row r="7721" ht="12.75" x14ac:dyDescent="0.2"/>
    <row r="7722" ht="12.75" x14ac:dyDescent="0.2"/>
    <row r="7723" ht="12.75" x14ac:dyDescent="0.2"/>
    <row r="7724" ht="12.75" x14ac:dyDescent="0.2"/>
    <row r="7725" ht="12.75" x14ac:dyDescent="0.2"/>
    <row r="7726" ht="12.75" x14ac:dyDescent="0.2"/>
    <row r="7727" ht="12.75" x14ac:dyDescent="0.2"/>
    <row r="7728" ht="12.75" x14ac:dyDescent="0.2"/>
    <row r="7729" ht="12.75" x14ac:dyDescent="0.2"/>
    <row r="7730" ht="12.75" x14ac:dyDescent="0.2"/>
    <row r="7731" ht="12.75" x14ac:dyDescent="0.2"/>
    <row r="7732" ht="12.75" x14ac:dyDescent="0.2"/>
    <row r="7733" ht="12.75" x14ac:dyDescent="0.2"/>
    <row r="7734" ht="12.75" x14ac:dyDescent="0.2"/>
    <row r="7735" ht="12.75" x14ac:dyDescent="0.2"/>
    <row r="7736" ht="12.75" x14ac:dyDescent="0.2"/>
    <row r="7737" ht="12.75" x14ac:dyDescent="0.2"/>
    <row r="7738" ht="12.75" x14ac:dyDescent="0.2"/>
    <row r="7739" ht="12.75" x14ac:dyDescent="0.2"/>
    <row r="7740" ht="12.75" x14ac:dyDescent="0.2"/>
    <row r="7741" ht="12.75" x14ac:dyDescent="0.2"/>
    <row r="7742" ht="12.75" x14ac:dyDescent="0.2"/>
    <row r="7743" ht="12.75" x14ac:dyDescent="0.2"/>
    <row r="7744" ht="12.75" x14ac:dyDescent="0.2"/>
    <row r="7745" ht="12.75" x14ac:dyDescent="0.2"/>
    <row r="7746" ht="12.75" x14ac:dyDescent="0.2"/>
    <row r="7747" ht="12.75" x14ac:dyDescent="0.2"/>
    <row r="7748" ht="12.75" x14ac:dyDescent="0.2"/>
    <row r="7749" ht="12.75" x14ac:dyDescent="0.2"/>
    <row r="7750" ht="12.75" x14ac:dyDescent="0.2"/>
    <row r="7751" ht="12.75" x14ac:dyDescent="0.2"/>
    <row r="7752" ht="12.75" x14ac:dyDescent="0.2"/>
    <row r="7753" ht="12.75" x14ac:dyDescent="0.2"/>
    <row r="7754" ht="12.75" x14ac:dyDescent="0.2"/>
    <row r="7755" ht="12.75" x14ac:dyDescent="0.2"/>
    <row r="7756" ht="12.75" x14ac:dyDescent="0.2"/>
    <row r="7757" ht="12.75" x14ac:dyDescent="0.2"/>
    <row r="7758" ht="12.75" x14ac:dyDescent="0.2"/>
    <row r="7759" ht="12.75" x14ac:dyDescent="0.2"/>
    <row r="7760" ht="12.75" x14ac:dyDescent="0.2"/>
    <row r="7761" ht="12.75" x14ac:dyDescent="0.2"/>
    <row r="7762" ht="12.75" x14ac:dyDescent="0.2"/>
    <row r="7763" ht="12.75" x14ac:dyDescent="0.2"/>
    <row r="7764" ht="12.75" x14ac:dyDescent="0.2"/>
    <row r="7765" ht="12.75" x14ac:dyDescent="0.2"/>
    <row r="7766" ht="12.75" x14ac:dyDescent="0.2"/>
    <row r="7767" ht="12.75" x14ac:dyDescent="0.2"/>
    <row r="7768" ht="12.75" x14ac:dyDescent="0.2"/>
    <row r="7769" ht="12.75" x14ac:dyDescent="0.2"/>
    <row r="7770" ht="12.75" x14ac:dyDescent="0.2"/>
    <row r="7771" ht="12.75" x14ac:dyDescent="0.2"/>
    <row r="7772" ht="12.75" x14ac:dyDescent="0.2"/>
    <row r="7773" ht="12.75" x14ac:dyDescent="0.2"/>
    <row r="7774" ht="12.75" x14ac:dyDescent="0.2"/>
    <row r="7775" ht="12.75" x14ac:dyDescent="0.2"/>
    <row r="7776" ht="12.75" x14ac:dyDescent="0.2"/>
    <row r="7777" ht="12.75" x14ac:dyDescent="0.2"/>
    <row r="7778" ht="12.75" x14ac:dyDescent="0.2"/>
    <row r="7779" ht="12.75" x14ac:dyDescent="0.2"/>
    <row r="7780" ht="12.75" x14ac:dyDescent="0.2"/>
    <row r="7781" ht="12.75" x14ac:dyDescent="0.2"/>
    <row r="7782" ht="12.75" x14ac:dyDescent="0.2"/>
    <row r="7783" ht="12.75" x14ac:dyDescent="0.2"/>
    <row r="7784" ht="12.75" x14ac:dyDescent="0.2"/>
    <row r="7785" ht="12.75" x14ac:dyDescent="0.2"/>
    <row r="7786" ht="12.75" x14ac:dyDescent="0.2"/>
    <row r="7787" ht="12.75" x14ac:dyDescent="0.2"/>
    <row r="7788" ht="12.75" x14ac:dyDescent="0.2"/>
    <row r="7789" ht="12.75" x14ac:dyDescent="0.2"/>
    <row r="7790" ht="12.75" x14ac:dyDescent="0.2"/>
    <row r="7791" ht="12.75" x14ac:dyDescent="0.2"/>
    <row r="7792" ht="12.75" x14ac:dyDescent="0.2"/>
    <row r="7793" ht="12.75" x14ac:dyDescent="0.2"/>
    <row r="7794" ht="12.75" x14ac:dyDescent="0.2"/>
    <row r="7795" ht="12.75" x14ac:dyDescent="0.2"/>
    <row r="7796" ht="12.75" x14ac:dyDescent="0.2"/>
    <row r="7797" ht="12.75" x14ac:dyDescent="0.2"/>
    <row r="7798" ht="12.75" x14ac:dyDescent="0.2"/>
    <row r="7799" ht="12.75" x14ac:dyDescent="0.2"/>
    <row r="7800" ht="12.75" x14ac:dyDescent="0.2"/>
    <row r="7801" ht="12.75" x14ac:dyDescent="0.2"/>
    <row r="7802" ht="12.75" x14ac:dyDescent="0.2"/>
    <row r="7803" ht="12.75" x14ac:dyDescent="0.2"/>
    <row r="7804" ht="12.75" x14ac:dyDescent="0.2"/>
    <row r="7805" ht="12.75" x14ac:dyDescent="0.2"/>
    <row r="7806" ht="12.75" x14ac:dyDescent="0.2"/>
    <row r="7807" ht="12.75" x14ac:dyDescent="0.2"/>
    <row r="7808" ht="12.75" x14ac:dyDescent="0.2"/>
    <row r="7809" ht="12.75" x14ac:dyDescent="0.2"/>
    <row r="7810" ht="12.75" x14ac:dyDescent="0.2"/>
    <row r="7811" ht="12.75" x14ac:dyDescent="0.2"/>
    <row r="7812" ht="12.75" x14ac:dyDescent="0.2"/>
    <row r="7813" ht="12.75" x14ac:dyDescent="0.2"/>
    <row r="7814" ht="12.75" x14ac:dyDescent="0.2"/>
    <row r="7815" ht="12.75" x14ac:dyDescent="0.2"/>
    <row r="7816" ht="12.75" x14ac:dyDescent="0.2"/>
    <row r="7817" ht="12.75" x14ac:dyDescent="0.2"/>
    <row r="7818" ht="12.75" x14ac:dyDescent="0.2"/>
    <row r="7819" ht="12.75" x14ac:dyDescent="0.2"/>
    <row r="7820" ht="12.75" x14ac:dyDescent="0.2"/>
    <row r="7821" ht="12.75" x14ac:dyDescent="0.2"/>
    <row r="7822" ht="12.75" x14ac:dyDescent="0.2"/>
    <row r="7823" ht="12.75" x14ac:dyDescent="0.2"/>
    <row r="7824" ht="12.75" x14ac:dyDescent="0.2"/>
    <row r="7825" ht="12.75" x14ac:dyDescent="0.2"/>
    <row r="7826" ht="12.75" x14ac:dyDescent="0.2"/>
    <row r="7827" ht="12.75" x14ac:dyDescent="0.2"/>
    <row r="7828" ht="12.75" x14ac:dyDescent="0.2"/>
    <row r="7829" ht="12.75" x14ac:dyDescent="0.2"/>
    <row r="7830" ht="12.75" x14ac:dyDescent="0.2"/>
    <row r="7831" ht="12.75" x14ac:dyDescent="0.2"/>
    <row r="7832" ht="12.75" x14ac:dyDescent="0.2"/>
    <row r="7833" ht="12.75" x14ac:dyDescent="0.2"/>
    <row r="7834" ht="12.75" x14ac:dyDescent="0.2"/>
    <row r="7835" ht="12.75" x14ac:dyDescent="0.2"/>
    <row r="7836" ht="12.75" x14ac:dyDescent="0.2"/>
    <row r="7837" ht="12.75" x14ac:dyDescent="0.2"/>
    <row r="7838" ht="12.75" x14ac:dyDescent="0.2"/>
    <row r="7839" ht="12.75" x14ac:dyDescent="0.2"/>
    <row r="7840" ht="12.75" x14ac:dyDescent="0.2"/>
    <row r="7841" ht="12.75" x14ac:dyDescent="0.2"/>
    <row r="7842" ht="12.75" x14ac:dyDescent="0.2"/>
    <row r="7843" ht="12.75" x14ac:dyDescent="0.2"/>
    <row r="7844" ht="12.75" x14ac:dyDescent="0.2"/>
    <row r="7845" ht="12.75" x14ac:dyDescent="0.2"/>
    <row r="7846" ht="12.75" x14ac:dyDescent="0.2"/>
    <row r="7847" ht="12.75" x14ac:dyDescent="0.2"/>
    <row r="7848" ht="12.75" x14ac:dyDescent="0.2"/>
    <row r="7849" ht="12.75" x14ac:dyDescent="0.2"/>
    <row r="7850" ht="12.75" x14ac:dyDescent="0.2"/>
    <row r="7851" ht="12.75" x14ac:dyDescent="0.2"/>
    <row r="7852" ht="12.75" x14ac:dyDescent="0.2"/>
    <row r="7853" ht="12.75" x14ac:dyDescent="0.2"/>
    <row r="7854" ht="12.75" x14ac:dyDescent="0.2"/>
    <row r="7855" ht="12.75" x14ac:dyDescent="0.2"/>
    <row r="7856" ht="12.75" x14ac:dyDescent="0.2"/>
    <row r="7857" ht="12.75" x14ac:dyDescent="0.2"/>
    <row r="7858" ht="12.75" x14ac:dyDescent="0.2"/>
    <row r="7859" ht="12.75" x14ac:dyDescent="0.2"/>
    <row r="7860" ht="12.75" x14ac:dyDescent="0.2"/>
    <row r="7861" ht="12.75" x14ac:dyDescent="0.2"/>
    <row r="7862" ht="12.75" x14ac:dyDescent="0.2"/>
    <row r="7863" ht="12.75" x14ac:dyDescent="0.2"/>
    <row r="7864" ht="12.75" x14ac:dyDescent="0.2"/>
    <row r="7865" ht="12.75" x14ac:dyDescent="0.2"/>
    <row r="7866" ht="12.75" x14ac:dyDescent="0.2"/>
    <row r="7867" ht="12.75" x14ac:dyDescent="0.2"/>
    <row r="7868" ht="12.75" x14ac:dyDescent="0.2"/>
    <row r="7869" ht="12.75" x14ac:dyDescent="0.2"/>
    <row r="7870" ht="12.75" x14ac:dyDescent="0.2"/>
    <row r="7871" ht="12.75" x14ac:dyDescent="0.2"/>
    <row r="7872" ht="12.75" x14ac:dyDescent="0.2"/>
    <row r="7873" ht="12.75" x14ac:dyDescent="0.2"/>
    <row r="7874" ht="12.75" x14ac:dyDescent="0.2"/>
    <row r="7875" ht="12.75" x14ac:dyDescent="0.2"/>
    <row r="7876" ht="12.75" x14ac:dyDescent="0.2"/>
    <row r="7877" ht="12.75" x14ac:dyDescent="0.2"/>
    <row r="7878" ht="12.75" x14ac:dyDescent="0.2"/>
    <row r="7879" ht="12.75" x14ac:dyDescent="0.2"/>
    <row r="7880" ht="12.75" x14ac:dyDescent="0.2"/>
    <row r="7881" ht="12.75" x14ac:dyDescent="0.2"/>
    <row r="7882" ht="12.75" x14ac:dyDescent="0.2"/>
    <row r="7883" ht="12.75" x14ac:dyDescent="0.2"/>
    <row r="7884" ht="12.75" x14ac:dyDescent="0.2"/>
    <row r="7885" ht="12.75" x14ac:dyDescent="0.2"/>
    <row r="7886" ht="12.75" x14ac:dyDescent="0.2"/>
    <row r="7887" ht="12.75" x14ac:dyDescent="0.2"/>
    <row r="7888" ht="12.75" x14ac:dyDescent="0.2"/>
    <row r="7889" ht="12.75" x14ac:dyDescent="0.2"/>
    <row r="7890" ht="12.75" x14ac:dyDescent="0.2"/>
    <row r="7891" ht="12.75" x14ac:dyDescent="0.2"/>
    <row r="7892" ht="12.75" x14ac:dyDescent="0.2"/>
    <row r="7893" ht="12.75" x14ac:dyDescent="0.2"/>
    <row r="7894" ht="12.75" x14ac:dyDescent="0.2"/>
    <row r="7895" ht="12.75" x14ac:dyDescent="0.2"/>
    <row r="7896" ht="12.75" x14ac:dyDescent="0.2"/>
    <row r="7897" ht="12.75" x14ac:dyDescent="0.2"/>
    <row r="7898" ht="12.75" x14ac:dyDescent="0.2"/>
    <row r="7899" ht="12.75" x14ac:dyDescent="0.2"/>
    <row r="7900" ht="12.75" x14ac:dyDescent="0.2"/>
    <row r="7901" ht="12.75" x14ac:dyDescent="0.2"/>
    <row r="7902" ht="12.75" x14ac:dyDescent="0.2"/>
    <row r="7903" ht="12.75" x14ac:dyDescent="0.2"/>
    <row r="7904" ht="12.75" x14ac:dyDescent="0.2"/>
    <row r="7905" ht="12.75" x14ac:dyDescent="0.2"/>
    <row r="7906" ht="12.75" x14ac:dyDescent="0.2"/>
    <row r="7907" ht="12.75" x14ac:dyDescent="0.2"/>
    <row r="7908" ht="12.75" x14ac:dyDescent="0.2"/>
    <row r="7909" ht="12.75" x14ac:dyDescent="0.2"/>
    <row r="7910" ht="12.75" x14ac:dyDescent="0.2"/>
    <row r="7911" ht="12.75" x14ac:dyDescent="0.2"/>
    <row r="7912" ht="12.75" x14ac:dyDescent="0.2"/>
    <row r="7913" ht="12.75" x14ac:dyDescent="0.2"/>
    <row r="7914" ht="12.75" x14ac:dyDescent="0.2"/>
    <row r="7915" ht="12.75" x14ac:dyDescent="0.2"/>
    <row r="7916" ht="12.75" x14ac:dyDescent="0.2"/>
    <row r="7917" ht="12.75" x14ac:dyDescent="0.2"/>
    <row r="7918" ht="12.75" x14ac:dyDescent="0.2"/>
    <row r="7919" ht="12.75" x14ac:dyDescent="0.2"/>
    <row r="7920" ht="12.75" x14ac:dyDescent="0.2"/>
    <row r="7921" ht="12.75" x14ac:dyDescent="0.2"/>
    <row r="7922" ht="12.75" x14ac:dyDescent="0.2"/>
    <row r="7923" ht="12.75" x14ac:dyDescent="0.2"/>
    <row r="7924" ht="12.75" x14ac:dyDescent="0.2"/>
    <row r="7925" ht="12.75" x14ac:dyDescent="0.2"/>
    <row r="7926" ht="12.75" x14ac:dyDescent="0.2"/>
    <row r="7927" ht="12.75" x14ac:dyDescent="0.2"/>
    <row r="7928" ht="12.75" x14ac:dyDescent="0.2"/>
    <row r="7929" ht="12.75" x14ac:dyDescent="0.2"/>
    <row r="7930" ht="12.75" x14ac:dyDescent="0.2"/>
    <row r="7931" ht="12.75" x14ac:dyDescent="0.2"/>
    <row r="7932" ht="12.75" x14ac:dyDescent="0.2"/>
    <row r="7933" ht="12.75" x14ac:dyDescent="0.2"/>
    <row r="7934" ht="12.75" x14ac:dyDescent="0.2"/>
    <row r="7935" ht="12.75" x14ac:dyDescent="0.2"/>
    <row r="7936" ht="12.75" x14ac:dyDescent="0.2"/>
    <row r="7937" ht="12.75" x14ac:dyDescent="0.2"/>
    <row r="7938" ht="12.75" x14ac:dyDescent="0.2"/>
    <row r="7939" ht="12.75" x14ac:dyDescent="0.2"/>
    <row r="7940" ht="12.75" x14ac:dyDescent="0.2"/>
    <row r="7941" ht="12.75" x14ac:dyDescent="0.2"/>
    <row r="7942" ht="12.75" x14ac:dyDescent="0.2"/>
    <row r="7943" ht="12.75" x14ac:dyDescent="0.2"/>
    <row r="7944" ht="12.75" x14ac:dyDescent="0.2"/>
    <row r="7945" ht="12.75" x14ac:dyDescent="0.2"/>
    <row r="7946" ht="12.75" x14ac:dyDescent="0.2"/>
    <row r="7947" ht="12.75" x14ac:dyDescent="0.2"/>
    <row r="7948" ht="12.75" x14ac:dyDescent="0.2"/>
    <row r="7949" ht="12.75" x14ac:dyDescent="0.2"/>
    <row r="7950" ht="12.75" x14ac:dyDescent="0.2"/>
    <row r="7951" ht="12.75" x14ac:dyDescent="0.2"/>
    <row r="7952" ht="12.75" x14ac:dyDescent="0.2"/>
    <row r="7953" ht="12.75" x14ac:dyDescent="0.2"/>
    <row r="7954" ht="12.75" x14ac:dyDescent="0.2"/>
    <row r="7955" ht="12.75" x14ac:dyDescent="0.2"/>
    <row r="7956" ht="12.75" x14ac:dyDescent="0.2"/>
    <row r="7957" ht="12.75" x14ac:dyDescent="0.2"/>
    <row r="7958" ht="12.75" x14ac:dyDescent="0.2"/>
    <row r="7959" ht="12.75" x14ac:dyDescent="0.2"/>
    <row r="7960" ht="12.75" x14ac:dyDescent="0.2"/>
    <row r="7961" ht="12.75" x14ac:dyDescent="0.2"/>
    <row r="7962" ht="12.75" x14ac:dyDescent="0.2"/>
    <row r="7963" ht="12.75" x14ac:dyDescent="0.2"/>
    <row r="7964" ht="12.75" x14ac:dyDescent="0.2"/>
    <row r="7965" ht="12.75" x14ac:dyDescent="0.2"/>
    <row r="7966" ht="12.75" x14ac:dyDescent="0.2"/>
    <row r="7967" ht="12.75" x14ac:dyDescent="0.2"/>
    <row r="7968" ht="12.75" x14ac:dyDescent="0.2"/>
    <row r="7969" ht="12.75" x14ac:dyDescent="0.2"/>
    <row r="7970" ht="12.75" x14ac:dyDescent="0.2"/>
    <row r="7971" ht="12.75" x14ac:dyDescent="0.2"/>
    <row r="7972" ht="12.75" x14ac:dyDescent="0.2"/>
    <row r="7973" ht="12.75" x14ac:dyDescent="0.2"/>
    <row r="7974" ht="12.75" x14ac:dyDescent="0.2"/>
    <row r="7975" ht="12.75" x14ac:dyDescent="0.2"/>
    <row r="7976" ht="12.75" x14ac:dyDescent="0.2"/>
    <row r="7977" ht="12.75" x14ac:dyDescent="0.2"/>
    <row r="7978" ht="12.75" x14ac:dyDescent="0.2"/>
    <row r="7979" ht="12.75" x14ac:dyDescent="0.2"/>
    <row r="7980" ht="12.75" x14ac:dyDescent="0.2"/>
    <row r="7981" ht="12.75" x14ac:dyDescent="0.2"/>
    <row r="7982" ht="12.75" x14ac:dyDescent="0.2"/>
    <row r="7983" ht="12.75" x14ac:dyDescent="0.2"/>
    <row r="7984" ht="12.75" x14ac:dyDescent="0.2"/>
    <row r="7985" ht="12.75" x14ac:dyDescent="0.2"/>
    <row r="7986" ht="12.75" x14ac:dyDescent="0.2"/>
    <row r="7987" ht="12.75" x14ac:dyDescent="0.2"/>
    <row r="7988" ht="12.75" x14ac:dyDescent="0.2"/>
    <row r="7989" ht="12.75" x14ac:dyDescent="0.2"/>
    <row r="7990" ht="12.75" x14ac:dyDescent="0.2"/>
    <row r="7991" ht="12.75" x14ac:dyDescent="0.2"/>
    <row r="7992" ht="12.75" x14ac:dyDescent="0.2"/>
    <row r="7993" ht="12.75" x14ac:dyDescent="0.2"/>
    <row r="7994" ht="12.75" x14ac:dyDescent="0.2"/>
    <row r="7995" ht="12.75" x14ac:dyDescent="0.2"/>
    <row r="7996" ht="12.75" x14ac:dyDescent="0.2"/>
    <row r="7997" ht="12.75" x14ac:dyDescent="0.2"/>
    <row r="7998" ht="12.75" x14ac:dyDescent="0.2"/>
    <row r="7999" ht="12.75" x14ac:dyDescent="0.2"/>
    <row r="8000" ht="12.75" x14ac:dyDescent="0.2"/>
    <row r="8001" ht="12.75" x14ac:dyDescent="0.2"/>
    <row r="8002" ht="12.75" x14ac:dyDescent="0.2"/>
    <row r="8003" ht="12.75" x14ac:dyDescent="0.2"/>
    <row r="8004" ht="12.75" x14ac:dyDescent="0.2"/>
    <row r="8005" ht="12.75" x14ac:dyDescent="0.2"/>
    <row r="8006" ht="12.75" x14ac:dyDescent="0.2"/>
    <row r="8007" ht="12.75" x14ac:dyDescent="0.2"/>
    <row r="8008" ht="12.75" x14ac:dyDescent="0.2"/>
    <row r="8009" ht="12.75" x14ac:dyDescent="0.2"/>
    <row r="8010" ht="12.75" x14ac:dyDescent="0.2"/>
    <row r="8011" ht="12.75" x14ac:dyDescent="0.2"/>
    <row r="8012" ht="12.75" x14ac:dyDescent="0.2"/>
    <row r="8013" ht="12.75" x14ac:dyDescent="0.2"/>
    <row r="8014" ht="12.75" x14ac:dyDescent="0.2"/>
    <row r="8015" ht="12.75" x14ac:dyDescent="0.2"/>
    <row r="8016" ht="12.75" x14ac:dyDescent="0.2"/>
    <row r="8017" ht="12.75" x14ac:dyDescent="0.2"/>
    <row r="8018" ht="12.75" x14ac:dyDescent="0.2"/>
    <row r="8019" ht="12.75" x14ac:dyDescent="0.2"/>
    <row r="8020" ht="12.75" x14ac:dyDescent="0.2"/>
    <row r="8021" ht="12.75" x14ac:dyDescent="0.2"/>
    <row r="8022" ht="12.75" x14ac:dyDescent="0.2"/>
    <row r="8023" ht="12.75" x14ac:dyDescent="0.2"/>
    <row r="8024" ht="12.75" x14ac:dyDescent="0.2"/>
    <row r="8025" ht="12.75" x14ac:dyDescent="0.2"/>
    <row r="8026" ht="12.75" x14ac:dyDescent="0.2"/>
    <row r="8027" ht="12.75" x14ac:dyDescent="0.2"/>
    <row r="8028" ht="12.75" x14ac:dyDescent="0.2"/>
    <row r="8029" ht="12.75" x14ac:dyDescent="0.2"/>
    <row r="8030" ht="12.75" x14ac:dyDescent="0.2"/>
    <row r="8031" ht="12.75" x14ac:dyDescent="0.2"/>
    <row r="8032" ht="12.75" x14ac:dyDescent="0.2"/>
    <row r="8033" ht="12.75" x14ac:dyDescent="0.2"/>
    <row r="8034" ht="12.75" x14ac:dyDescent="0.2"/>
    <row r="8035" ht="12.75" x14ac:dyDescent="0.2"/>
    <row r="8036" ht="12.75" x14ac:dyDescent="0.2"/>
    <row r="8037" ht="12.75" x14ac:dyDescent="0.2"/>
    <row r="8038" ht="12.75" x14ac:dyDescent="0.2"/>
    <row r="8039" ht="12.75" x14ac:dyDescent="0.2"/>
    <row r="8040" ht="12.75" x14ac:dyDescent="0.2"/>
    <row r="8041" ht="12.75" x14ac:dyDescent="0.2"/>
    <row r="8042" ht="12.75" x14ac:dyDescent="0.2"/>
    <row r="8043" ht="12.75" x14ac:dyDescent="0.2"/>
    <row r="8044" ht="12.75" x14ac:dyDescent="0.2"/>
    <row r="8045" ht="12.75" x14ac:dyDescent="0.2"/>
    <row r="8046" ht="12.75" x14ac:dyDescent="0.2"/>
    <row r="8047" ht="12.75" x14ac:dyDescent="0.2"/>
    <row r="8048" ht="12.75" x14ac:dyDescent="0.2"/>
    <row r="8049" ht="12.75" x14ac:dyDescent="0.2"/>
    <row r="8050" ht="12.75" x14ac:dyDescent="0.2"/>
    <row r="8051" ht="12.75" x14ac:dyDescent="0.2"/>
    <row r="8052" ht="12.75" x14ac:dyDescent="0.2"/>
    <row r="8053" ht="12.75" x14ac:dyDescent="0.2"/>
    <row r="8054" ht="12.75" x14ac:dyDescent="0.2"/>
    <row r="8055" ht="12.75" x14ac:dyDescent="0.2"/>
    <row r="8056" ht="12.75" x14ac:dyDescent="0.2"/>
    <row r="8057" ht="12.75" x14ac:dyDescent="0.2"/>
    <row r="8058" ht="12.75" x14ac:dyDescent="0.2"/>
    <row r="8059" ht="12.75" x14ac:dyDescent="0.2"/>
    <row r="8060" ht="12.75" x14ac:dyDescent="0.2"/>
    <row r="8061" ht="12.75" x14ac:dyDescent="0.2"/>
    <row r="8062" ht="12.75" x14ac:dyDescent="0.2"/>
    <row r="8063" ht="12.75" x14ac:dyDescent="0.2"/>
    <row r="8064" ht="12.75" x14ac:dyDescent="0.2"/>
    <row r="8065" ht="12.75" x14ac:dyDescent="0.2"/>
    <row r="8066" ht="12.75" x14ac:dyDescent="0.2"/>
    <row r="8067" ht="12.75" x14ac:dyDescent="0.2"/>
    <row r="8068" ht="12.75" x14ac:dyDescent="0.2"/>
    <row r="8069" ht="12.75" x14ac:dyDescent="0.2"/>
    <row r="8070" ht="12.75" x14ac:dyDescent="0.2"/>
    <row r="8071" ht="12.75" x14ac:dyDescent="0.2"/>
    <row r="8072" ht="12.75" x14ac:dyDescent="0.2"/>
    <row r="8073" ht="12.75" x14ac:dyDescent="0.2"/>
    <row r="8074" ht="12.75" x14ac:dyDescent="0.2"/>
    <row r="8075" ht="12.75" x14ac:dyDescent="0.2"/>
    <row r="8076" ht="12.75" x14ac:dyDescent="0.2"/>
    <row r="8077" ht="12.75" x14ac:dyDescent="0.2"/>
    <row r="8078" ht="12.75" x14ac:dyDescent="0.2"/>
    <row r="8079" ht="12.75" x14ac:dyDescent="0.2"/>
    <row r="8080" ht="12.75" x14ac:dyDescent="0.2"/>
    <row r="8081" ht="12.75" x14ac:dyDescent="0.2"/>
    <row r="8082" ht="12.75" x14ac:dyDescent="0.2"/>
    <row r="8083" ht="12.75" x14ac:dyDescent="0.2"/>
    <row r="8084" ht="12.75" x14ac:dyDescent="0.2"/>
    <row r="8085" ht="12.75" x14ac:dyDescent="0.2"/>
    <row r="8086" ht="12.75" x14ac:dyDescent="0.2"/>
    <row r="8087" ht="12.75" x14ac:dyDescent="0.2"/>
    <row r="8088" ht="12.75" x14ac:dyDescent="0.2"/>
    <row r="8089" ht="12.75" x14ac:dyDescent="0.2"/>
    <row r="8090" ht="12.75" x14ac:dyDescent="0.2"/>
    <row r="8091" ht="12.75" x14ac:dyDescent="0.2"/>
    <row r="8092" ht="12.75" x14ac:dyDescent="0.2"/>
    <row r="8093" ht="12.75" x14ac:dyDescent="0.2"/>
    <row r="8094" ht="12.75" x14ac:dyDescent="0.2"/>
    <row r="8095" ht="12.75" x14ac:dyDescent="0.2"/>
    <row r="8096" ht="12.75" x14ac:dyDescent="0.2"/>
    <row r="8097" ht="12.75" x14ac:dyDescent="0.2"/>
    <row r="8098" ht="12.75" x14ac:dyDescent="0.2"/>
    <row r="8099" ht="12.75" x14ac:dyDescent="0.2"/>
    <row r="8100" ht="12.75" x14ac:dyDescent="0.2"/>
    <row r="8101" ht="12.75" x14ac:dyDescent="0.2"/>
    <row r="8102" ht="12.75" x14ac:dyDescent="0.2"/>
    <row r="8103" ht="12.75" x14ac:dyDescent="0.2"/>
    <row r="8104" ht="12.75" x14ac:dyDescent="0.2"/>
    <row r="8105" ht="12.75" x14ac:dyDescent="0.2"/>
    <row r="8106" ht="12.75" x14ac:dyDescent="0.2"/>
    <row r="8107" ht="12.75" x14ac:dyDescent="0.2"/>
    <row r="8108" ht="12.75" x14ac:dyDescent="0.2"/>
    <row r="8109" ht="12.75" x14ac:dyDescent="0.2"/>
    <row r="8110" ht="12.75" x14ac:dyDescent="0.2"/>
    <row r="8111" ht="12.75" x14ac:dyDescent="0.2"/>
    <row r="8112" ht="12.75" x14ac:dyDescent="0.2"/>
    <row r="8113" ht="12.75" x14ac:dyDescent="0.2"/>
    <row r="8114" ht="12.75" x14ac:dyDescent="0.2"/>
    <row r="8115" ht="12.75" x14ac:dyDescent="0.2"/>
    <row r="8116" ht="12.75" x14ac:dyDescent="0.2"/>
    <row r="8117" ht="12.75" x14ac:dyDescent="0.2"/>
    <row r="8118" ht="12.75" x14ac:dyDescent="0.2"/>
    <row r="8119" ht="12.75" x14ac:dyDescent="0.2"/>
    <row r="8120" ht="12.75" x14ac:dyDescent="0.2"/>
    <row r="8121" ht="12.75" x14ac:dyDescent="0.2"/>
    <row r="8122" ht="12.75" x14ac:dyDescent="0.2"/>
    <row r="8123" ht="12.75" x14ac:dyDescent="0.2"/>
    <row r="8124" ht="12.75" x14ac:dyDescent="0.2"/>
    <row r="8125" ht="12.75" x14ac:dyDescent="0.2"/>
    <row r="8126" ht="12.75" x14ac:dyDescent="0.2"/>
    <row r="8127" ht="12.75" x14ac:dyDescent="0.2"/>
    <row r="8128" ht="12.75" x14ac:dyDescent="0.2"/>
    <row r="8129" ht="12.75" x14ac:dyDescent="0.2"/>
    <row r="8130" ht="12.75" x14ac:dyDescent="0.2"/>
    <row r="8131" ht="12.75" x14ac:dyDescent="0.2"/>
    <row r="8132" ht="12.75" x14ac:dyDescent="0.2"/>
    <row r="8133" ht="12.75" x14ac:dyDescent="0.2"/>
    <row r="8134" ht="12.75" x14ac:dyDescent="0.2"/>
    <row r="8135" ht="12.75" x14ac:dyDescent="0.2"/>
    <row r="8136" ht="12.75" x14ac:dyDescent="0.2"/>
    <row r="8137" ht="12.75" x14ac:dyDescent="0.2"/>
    <row r="8138" ht="12.75" x14ac:dyDescent="0.2"/>
    <row r="8139" ht="12.75" x14ac:dyDescent="0.2"/>
    <row r="8140" ht="12.75" x14ac:dyDescent="0.2"/>
    <row r="8141" ht="12.75" x14ac:dyDescent="0.2"/>
    <row r="8142" ht="12.75" x14ac:dyDescent="0.2"/>
    <row r="8143" ht="12.75" x14ac:dyDescent="0.2"/>
    <row r="8144" ht="12.75" x14ac:dyDescent="0.2"/>
    <row r="8145" ht="12.75" x14ac:dyDescent="0.2"/>
    <row r="8146" ht="12.75" x14ac:dyDescent="0.2"/>
    <row r="8147" ht="12.75" x14ac:dyDescent="0.2"/>
    <row r="8148" ht="12.75" x14ac:dyDescent="0.2"/>
    <row r="8149" ht="12.75" x14ac:dyDescent="0.2"/>
    <row r="8150" ht="12.75" x14ac:dyDescent="0.2"/>
    <row r="8151" ht="12.75" x14ac:dyDescent="0.2"/>
    <row r="8152" ht="12.75" x14ac:dyDescent="0.2"/>
    <row r="8153" ht="12.75" x14ac:dyDescent="0.2"/>
    <row r="8154" ht="12.75" x14ac:dyDescent="0.2"/>
    <row r="8155" ht="12.75" x14ac:dyDescent="0.2"/>
    <row r="8156" ht="12.75" x14ac:dyDescent="0.2"/>
    <row r="8157" ht="12.75" x14ac:dyDescent="0.2"/>
    <row r="8158" ht="12.75" x14ac:dyDescent="0.2"/>
    <row r="8159" ht="12.75" x14ac:dyDescent="0.2"/>
    <row r="8160" ht="12.75" x14ac:dyDescent="0.2"/>
    <row r="8161" ht="12.75" x14ac:dyDescent="0.2"/>
    <row r="8162" ht="12.75" x14ac:dyDescent="0.2"/>
    <row r="8163" ht="12.75" x14ac:dyDescent="0.2"/>
    <row r="8164" ht="12.75" x14ac:dyDescent="0.2"/>
    <row r="8165" ht="12.75" x14ac:dyDescent="0.2"/>
    <row r="8166" ht="12.75" x14ac:dyDescent="0.2"/>
    <row r="8167" ht="12.75" x14ac:dyDescent="0.2"/>
    <row r="8168" ht="12.75" x14ac:dyDescent="0.2"/>
    <row r="8169" ht="12.75" x14ac:dyDescent="0.2"/>
    <row r="8170" ht="12.75" x14ac:dyDescent="0.2"/>
    <row r="8171" ht="12.75" x14ac:dyDescent="0.2"/>
    <row r="8172" ht="12.75" x14ac:dyDescent="0.2"/>
    <row r="8173" ht="12.75" x14ac:dyDescent="0.2"/>
    <row r="8174" ht="12.75" x14ac:dyDescent="0.2"/>
    <row r="8175" ht="12.75" x14ac:dyDescent="0.2"/>
    <row r="8176" ht="12.75" x14ac:dyDescent="0.2"/>
    <row r="8177" ht="12.75" x14ac:dyDescent="0.2"/>
    <row r="8178" ht="12.75" x14ac:dyDescent="0.2"/>
    <row r="8179" ht="12.75" x14ac:dyDescent="0.2"/>
    <row r="8180" ht="12.75" x14ac:dyDescent="0.2"/>
    <row r="8181" ht="12.75" x14ac:dyDescent="0.2"/>
    <row r="8182" ht="12.75" x14ac:dyDescent="0.2"/>
    <row r="8183" ht="12.75" x14ac:dyDescent="0.2"/>
    <row r="8184" ht="12.75" x14ac:dyDescent="0.2"/>
    <row r="8185" ht="12.75" x14ac:dyDescent="0.2"/>
    <row r="8186" ht="12.75" x14ac:dyDescent="0.2"/>
    <row r="8187" ht="12.75" x14ac:dyDescent="0.2"/>
    <row r="8188" ht="12.75" x14ac:dyDescent="0.2"/>
    <row r="8189" ht="12.75" x14ac:dyDescent="0.2"/>
    <row r="8190" ht="12.75" x14ac:dyDescent="0.2"/>
    <row r="8191" ht="12.75" x14ac:dyDescent="0.2"/>
    <row r="8192" ht="12.75" x14ac:dyDescent="0.2"/>
    <row r="8193" ht="12.75" x14ac:dyDescent="0.2"/>
    <row r="8194" ht="12.75" x14ac:dyDescent="0.2"/>
    <row r="8195" ht="12.75" x14ac:dyDescent="0.2"/>
    <row r="8196" ht="12.75" x14ac:dyDescent="0.2"/>
    <row r="8197" ht="12.75" x14ac:dyDescent="0.2"/>
    <row r="8198" ht="12.75" x14ac:dyDescent="0.2"/>
    <row r="8199" ht="12.75" x14ac:dyDescent="0.2"/>
    <row r="8200" ht="12.75" x14ac:dyDescent="0.2"/>
    <row r="8201" ht="12.75" x14ac:dyDescent="0.2"/>
    <row r="8202" ht="12.75" x14ac:dyDescent="0.2"/>
    <row r="8203" ht="12.75" x14ac:dyDescent="0.2"/>
    <row r="8204" ht="12.75" x14ac:dyDescent="0.2"/>
    <row r="8205" ht="12.75" x14ac:dyDescent="0.2"/>
    <row r="8206" ht="12.75" x14ac:dyDescent="0.2"/>
    <row r="8207" ht="12.75" x14ac:dyDescent="0.2"/>
    <row r="8208" ht="12.75" x14ac:dyDescent="0.2"/>
    <row r="8209" ht="12.75" x14ac:dyDescent="0.2"/>
    <row r="8210" ht="12.75" x14ac:dyDescent="0.2"/>
    <row r="8211" ht="12.75" x14ac:dyDescent="0.2"/>
    <row r="8212" ht="12.75" x14ac:dyDescent="0.2"/>
    <row r="8213" ht="12.75" x14ac:dyDescent="0.2"/>
    <row r="8214" ht="12.75" x14ac:dyDescent="0.2"/>
    <row r="8215" ht="12.75" x14ac:dyDescent="0.2"/>
    <row r="8216" ht="12.75" x14ac:dyDescent="0.2"/>
    <row r="8217" ht="12.75" x14ac:dyDescent="0.2"/>
    <row r="8218" ht="12.75" x14ac:dyDescent="0.2"/>
    <row r="8219" ht="12.75" x14ac:dyDescent="0.2"/>
    <row r="8220" ht="12.75" x14ac:dyDescent="0.2"/>
    <row r="8221" ht="12.75" x14ac:dyDescent="0.2"/>
    <row r="8222" ht="12.75" x14ac:dyDescent="0.2"/>
    <row r="8223" ht="12.75" x14ac:dyDescent="0.2"/>
    <row r="8224" ht="12.75" x14ac:dyDescent="0.2"/>
    <row r="8225" ht="12.75" x14ac:dyDescent="0.2"/>
    <row r="8226" ht="12.75" x14ac:dyDescent="0.2"/>
    <row r="8227" ht="12.75" x14ac:dyDescent="0.2"/>
    <row r="8228" ht="12.75" x14ac:dyDescent="0.2"/>
    <row r="8229" ht="12.75" x14ac:dyDescent="0.2"/>
    <row r="8230" ht="12.75" x14ac:dyDescent="0.2"/>
    <row r="8231" ht="12.75" x14ac:dyDescent="0.2"/>
    <row r="8232" ht="12.75" x14ac:dyDescent="0.2"/>
    <row r="8233" ht="12.75" x14ac:dyDescent="0.2"/>
    <row r="8234" ht="12.75" x14ac:dyDescent="0.2"/>
    <row r="8235" ht="12.75" x14ac:dyDescent="0.2"/>
    <row r="8236" ht="12.75" x14ac:dyDescent="0.2"/>
    <row r="8237" ht="12.75" x14ac:dyDescent="0.2"/>
    <row r="8238" ht="12.75" x14ac:dyDescent="0.2"/>
    <row r="8239" ht="12.75" x14ac:dyDescent="0.2"/>
    <row r="8240" ht="12.75" x14ac:dyDescent="0.2"/>
    <row r="8241" ht="12.75" x14ac:dyDescent="0.2"/>
    <row r="8242" ht="12.75" x14ac:dyDescent="0.2"/>
    <row r="8243" ht="12.75" x14ac:dyDescent="0.2"/>
    <row r="8244" ht="12.75" x14ac:dyDescent="0.2"/>
    <row r="8245" ht="12.75" x14ac:dyDescent="0.2"/>
    <row r="8246" ht="12.75" x14ac:dyDescent="0.2"/>
    <row r="8247" ht="12.75" x14ac:dyDescent="0.2"/>
    <row r="8248" ht="12.75" x14ac:dyDescent="0.2"/>
    <row r="8249" ht="12.75" x14ac:dyDescent="0.2"/>
    <row r="8250" ht="12.75" x14ac:dyDescent="0.2"/>
    <row r="8251" ht="12.75" x14ac:dyDescent="0.2"/>
    <row r="8252" ht="12.75" x14ac:dyDescent="0.2"/>
    <row r="8253" ht="12.75" x14ac:dyDescent="0.2"/>
    <row r="8254" ht="12.75" x14ac:dyDescent="0.2"/>
    <row r="8255" ht="12.75" x14ac:dyDescent="0.2"/>
    <row r="8256" ht="12.75" x14ac:dyDescent="0.2"/>
    <row r="8257" ht="12.75" x14ac:dyDescent="0.2"/>
    <row r="8258" ht="12.75" x14ac:dyDescent="0.2"/>
    <row r="8259" ht="12.75" x14ac:dyDescent="0.2"/>
    <row r="8260" ht="12.75" x14ac:dyDescent="0.2"/>
    <row r="8261" ht="12.75" x14ac:dyDescent="0.2"/>
    <row r="8262" ht="12.75" x14ac:dyDescent="0.2"/>
    <row r="8263" ht="12.75" x14ac:dyDescent="0.2"/>
    <row r="8264" ht="12.75" x14ac:dyDescent="0.2"/>
    <row r="8265" ht="12.75" x14ac:dyDescent="0.2"/>
    <row r="8266" ht="12.75" x14ac:dyDescent="0.2"/>
    <row r="8267" ht="12.75" x14ac:dyDescent="0.2"/>
    <row r="8268" ht="12.75" x14ac:dyDescent="0.2"/>
    <row r="8269" ht="12.75" x14ac:dyDescent="0.2"/>
    <row r="8270" ht="12.75" x14ac:dyDescent="0.2"/>
    <row r="8271" ht="12.75" x14ac:dyDescent="0.2"/>
    <row r="8272" ht="12.75" x14ac:dyDescent="0.2"/>
    <row r="8273" ht="12.75" x14ac:dyDescent="0.2"/>
    <row r="8274" ht="12.75" x14ac:dyDescent="0.2"/>
    <row r="8275" ht="12.75" x14ac:dyDescent="0.2"/>
    <row r="8276" ht="12.75" x14ac:dyDescent="0.2"/>
    <row r="8277" ht="12.75" x14ac:dyDescent="0.2"/>
    <row r="8278" ht="12.75" x14ac:dyDescent="0.2"/>
    <row r="8279" ht="12.75" x14ac:dyDescent="0.2"/>
    <row r="8280" ht="12.75" x14ac:dyDescent="0.2"/>
    <row r="8281" ht="12.75" x14ac:dyDescent="0.2"/>
    <row r="8282" ht="12.75" x14ac:dyDescent="0.2"/>
    <row r="8283" ht="12.75" x14ac:dyDescent="0.2"/>
    <row r="8284" ht="12.75" x14ac:dyDescent="0.2"/>
    <row r="8285" ht="12.75" x14ac:dyDescent="0.2"/>
    <row r="8286" ht="12.75" x14ac:dyDescent="0.2"/>
    <row r="8287" ht="12.75" x14ac:dyDescent="0.2"/>
    <row r="8288" ht="12.75" x14ac:dyDescent="0.2"/>
    <row r="8289" ht="12.75" x14ac:dyDescent="0.2"/>
    <row r="8290" ht="12.75" x14ac:dyDescent="0.2"/>
    <row r="8291" ht="12.75" x14ac:dyDescent="0.2"/>
    <row r="8292" ht="12.75" x14ac:dyDescent="0.2"/>
    <row r="8293" ht="12.75" x14ac:dyDescent="0.2"/>
    <row r="8294" ht="12.75" x14ac:dyDescent="0.2"/>
    <row r="8295" ht="12.75" x14ac:dyDescent="0.2"/>
    <row r="8296" ht="12.75" x14ac:dyDescent="0.2"/>
    <row r="8297" ht="12.75" x14ac:dyDescent="0.2"/>
    <row r="8298" ht="12.75" x14ac:dyDescent="0.2"/>
    <row r="8299" ht="12.75" x14ac:dyDescent="0.2"/>
    <row r="8300" ht="12.75" x14ac:dyDescent="0.2"/>
    <row r="8301" ht="12.75" x14ac:dyDescent="0.2"/>
    <row r="8302" ht="12.75" x14ac:dyDescent="0.2"/>
    <row r="8303" ht="12.75" x14ac:dyDescent="0.2"/>
    <row r="8304" ht="12.75" x14ac:dyDescent="0.2"/>
    <row r="8305" ht="12.75" x14ac:dyDescent="0.2"/>
    <row r="8306" ht="12.75" x14ac:dyDescent="0.2"/>
    <row r="8307" ht="12.75" x14ac:dyDescent="0.2"/>
    <row r="8308" ht="12.75" x14ac:dyDescent="0.2"/>
    <row r="8309" ht="12.75" x14ac:dyDescent="0.2"/>
    <row r="8310" ht="12.75" x14ac:dyDescent="0.2"/>
    <row r="8311" ht="12.75" x14ac:dyDescent="0.2"/>
    <row r="8312" ht="12.75" x14ac:dyDescent="0.2"/>
    <row r="8313" ht="12.75" x14ac:dyDescent="0.2"/>
    <row r="8314" ht="12.75" x14ac:dyDescent="0.2"/>
    <row r="8315" ht="12.75" x14ac:dyDescent="0.2"/>
    <row r="8316" ht="12.75" x14ac:dyDescent="0.2"/>
    <row r="8317" ht="12.75" x14ac:dyDescent="0.2"/>
    <row r="8318" ht="12.75" x14ac:dyDescent="0.2"/>
    <row r="8319" ht="12.75" x14ac:dyDescent="0.2"/>
    <row r="8320" ht="12.75" x14ac:dyDescent="0.2"/>
    <row r="8321" ht="12.75" x14ac:dyDescent="0.2"/>
    <row r="8322" ht="12.75" x14ac:dyDescent="0.2"/>
    <row r="8323" ht="12.75" x14ac:dyDescent="0.2"/>
    <row r="8324" ht="12.75" x14ac:dyDescent="0.2"/>
    <row r="8325" ht="12.75" x14ac:dyDescent="0.2"/>
    <row r="8326" ht="12.75" x14ac:dyDescent="0.2"/>
    <row r="8327" ht="12.75" x14ac:dyDescent="0.2"/>
    <row r="8328" ht="12.75" x14ac:dyDescent="0.2"/>
    <row r="8329" ht="12.75" x14ac:dyDescent="0.2"/>
    <row r="8330" ht="12.75" x14ac:dyDescent="0.2"/>
    <row r="8331" ht="12.75" x14ac:dyDescent="0.2"/>
    <row r="8332" ht="12.75" x14ac:dyDescent="0.2"/>
    <row r="8333" ht="12.75" x14ac:dyDescent="0.2"/>
    <row r="8334" ht="12.75" x14ac:dyDescent="0.2"/>
    <row r="8335" ht="12.75" x14ac:dyDescent="0.2"/>
    <row r="8336" ht="12.75" x14ac:dyDescent="0.2"/>
    <row r="8337" ht="12.75" x14ac:dyDescent="0.2"/>
    <row r="8338" ht="12.75" x14ac:dyDescent="0.2"/>
    <row r="8339" ht="12.75" x14ac:dyDescent="0.2"/>
    <row r="8340" ht="12.75" x14ac:dyDescent="0.2"/>
    <row r="8341" ht="12.75" x14ac:dyDescent="0.2"/>
    <row r="8342" ht="12.75" x14ac:dyDescent="0.2"/>
    <row r="8343" ht="12.75" x14ac:dyDescent="0.2"/>
    <row r="8344" ht="12.75" x14ac:dyDescent="0.2"/>
    <row r="8345" ht="12.75" x14ac:dyDescent="0.2"/>
    <row r="8346" ht="12.75" x14ac:dyDescent="0.2"/>
    <row r="8347" ht="12.75" x14ac:dyDescent="0.2"/>
    <row r="8348" ht="12.75" x14ac:dyDescent="0.2"/>
    <row r="8349" ht="12.75" x14ac:dyDescent="0.2"/>
    <row r="8350" ht="12.75" x14ac:dyDescent="0.2"/>
    <row r="8351" ht="12.75" x14ac:dyDescent="0.2"/>
    <row r="8352" ht="12.75" x14ac:dyDescent="0.2"/>
    <row r="8353" ht="12.75" x14ac:dyDescent="0.2"/>
    <row r="8354" ht="12.75" x14ac:dyDescent="0.2"/>
    <row r="8355" ht="12.75" x14ac:dyDescent="0.2"/>
    <row r="8356" ht="12.75" x14ac:dyDescent="0.2"/>
    <row r="8357" ht="12.75" x14ac:dyDescent="0.2"/>
    <row r="8358" ht="12.75" x14ac:dyDescent="0.2"/>
    <row r="8359" ht="12.75" x14ac:dyDescent="0.2"/>
    <row r="8360" ht="12.75" x14ac:dyDescent="0.2"/>
    <row r="8361" ht="12.75" x14ac:dyDescent="0.2"/>
    <row r="8362" ht="12.75" x14ac:dyDescent="0.2"/>
    <row r="8363" ht="12.75" x14ac:dyDescent="0.2"/>
    <row r="8364" ht="12.75" x14ac:dyDescent="0.2"/>
    <row r="8365" ht="12.75" x14ac:dyDescent="0.2"/>
    <row r="8366" ht="12.75" x14ac:dyDescent="0.2"/>
    <row r="8367" ht="12.75" x14ac:dyDescent="0.2"/>
    <row r="8368" ht="12.75" x14ac:dyDescent="0.2"/>
    <row r="8369" ht="12.75" x14ac:dyDescent="0.2"/>
    <row r="8370" ht="12.75" x14ac:dyDescent="0.2"/>
    <row r="8371" ht="12.75" x14ac:dyDescent="0.2"/>
    <row r="8372" ht="12.75" x14ac:dyDescent="0.2"/>
    <row r="8373" ht="12.75" x14ac:dyDescent="0.2"/>
    <row r="8374" ht="12.75" x14ac:dyDescent="0.2"/>
    <row r="8375" ht="12.75" x14ac:dyDescent="0.2"/>
    <row r="8376" ht="12.75" x14ac:dyDescent="0.2"/>
    <row r="8377" ht="12.75" x14ac:dyDescent="0.2"/>
    <row r="8378" ht="12.75" x14ac:dyDescent="0.2"/>
    <row r="8379" ht="12.75" x14ac:dyDescent="0.2"/>
    <row r="8380" ht="12.75" x14ac:dyDescent="0.2"/>
    <row r="8381" ht="12.75" x14ac:dyDescent="0.2"/>
    <row r="8382" ht="12.75" x14ac:dyDescent="0.2"/>
    <row r="8383" ht="12.75" x14ac:dyDescent="0.2"/>
    <row r="8384" ht="12.75" x14ac:dyDescent="0.2"/>
    <row r="8385" ht="12.75" x14ac:dyDescent="0.2"/>
    <row r="8386" ht="12.75" x14ac:dyDescent="0.2"/>
    <row r="8387" ht="12.75" x14ac:dyDescent="0.2"/>
    <row r="8388" ht="12.75" x14ac:dyDescent="0.2"/>
    <row r="8389" ht="12.75" x14ac:dyDescent="0.2"/>
    <row r="8390" ht="12.75" x14ac:dyDescent="0.2"/>
    <row r="8391" ht="12.75" x14ac:dyDescent="0.2"/>
    <row r="8392" ht="12.75" x14ac:dyDescent="0.2"/>
    <row r="8393" ht="12.75" x14ac:dyDescent="0.2"/>
    <row r="8394" ht="12.75" x14ac:dyDescent="0.2"/>
    <row r="8395" ht="12.75" x14ac:dyDescent="0.2"/>
    <row r="8396" ht="12.75" x14ac:dyDescent="0.2"/>
    <row r="8397" ht="12.75" x14ac:dyDescent="0.2"/>
    <row r="8398" ht="12.75" x14ac:dyDescent="0.2"/>
    <row r="8399" ht="12.75" x14ac:dyDescent="0.2"/>
    <row r="8400" ht="12.75" x14ac:dyDescent="0.2"/>
    <row r="8401" ht="12.75" x14ac:dyDescent="0.2"/>
    <row r="8402" ht="12.75" x14ac:dyDescent="0.2"/>
    <row r="8403" ht="12.75" x14ac:dyDescent="0.2"/>
    <row r="8404" ht="12.75" x14ac:dyDescent="0.2"/>
    <row r="8405" ht="12.75" x14ac:dyDescent="0.2"/>
    <row r="8406" ht="12.75" x14ac:dyDescent="0.2"/>
    <row r="8407" ht="12.75" x14ac:dyDescent="0.2"/>
    <row r="8408" ht="12.75" x14ac:dyDescent="0.2"/>
    <row r="8409" ht="12.75" x14ac:dyDescent="0.2"/>
    <row r="8410" ht="12.75" x14ac:dyDescent="0.2"/>
    <row r="8411" ht="12.75" x14ac:dyDescent="0.2"/>
    <row r="8412" ht="12.75" x14ac:dyDescent="0.2"/>
    <row r="8413" ht="12.75" x14ac:dyDescent="0.2"/>
    <row r="8414" ht="12.75" x14ac:dyDescent="0.2"/>
    <row r="8415" ht="12.75" x14ac:dyDescent="0.2"/>
    <row r="8416" ht="12.75" x14ac:dyDescent="0.2"/>
    <row r="8417" ht="12.75" x14ac:dyDescent="0.2"/>
    <row r="8418" ht="12.75" x14ac:dyDescent="0.2"/>
    <row r="8419" ht="12.75" x14ac:dyDescent="0.2"/>
    <row r="8420" ht="12.75" x14ac:dyDescent="0.2"/>
    <row r="8421" ht="12.75" x14ac:dyDescent="0.2"/>
    <row r="8422" ht="12.75" x14ac:dyDescent="0.2"/>
    <row r="8423" ht="12.75" x14ac:dyDescent="0.2"/>
    <row r="8424" ht="12.75" x14ac:dyDescent="0.2"/>
    <row r="8425" ht="12.75" x14ac:dyDescent="0.2"/>
    <row r="8426" ht="12.75" x14ac:dyDescent="0.2"/>
    <row r="8427" ht="12.75" x14ac:dyDescent="0.2"/>
    <row r="8428" ht="12.75" x14ac:dyDescent="0.2"/>
    <row r="8429" ht="12.75" x14ac:dyDescent="0.2"/>
    <row r="8430" ht="12.75" x14ac:dyDescent="0.2"/>
    <row r="8431" ht="12.75" x14ac:dyDescent="0.2"/>
    <row r="8432" ht="12.75" x14ac:dyDescent="0.2"/>
    <row r="8433" ht="12.75" x14ac:dyDescent="0.2"/>
    <row r="8434" ht="12.75" x14ac:dyDescent="0.2"/>
    <row r="8435" ht="12.75" x14ac:dyDescent="0.2"/>
    <row r="8436" ht="12.75" x14ac:dyDescent="0.2"/>
    <row r="8437" ht="12.75" x14ac:dyDescent="0.2"/>
    <row r="8438" ht="12.75" x14ac:dyDescent="0.2"/>
    <row r="8439" ht="12.75" x14ac:dyDescent="0.2"/>
    <row r="8440" ht="12.75" x14ac:dyDescent="0.2"/>
    <row r="8441" ht="12.75" x14ac:dyDescent="0.2"/>
    <row r="8442" ht="12.75" x14ac:dyDescent="0.2"/>
    <row r="8443" ht="12.75" x14ac:dyDescent="0.2"/>
    <row r="8444" ht="12.75" x14ac:dyDescent="0.2"/>
    <row r="8445" ht="12.75" x14ac:dyDescent="0.2"/>
    <row r="8446" ht="12.75" x14ac:dyDescent="0.2"/>
    <row r="8447" ht="12.75" x14ac:dyDescent="0.2"/>
    <row r="8448" ht="12.75" x14ac:dyDescent="0.2"/>
    <row r="8449" ht="12.75" x14ac:dyDescent="0.2"/>
    <row r="8450" ht="12.75" x14ac:dyDescent="0.2"/>
    <row r="8451" ht="12.75" x14ac:dyDescent="0.2"/>
    <row r="8452" ht="12.75" x14ac:dyDescent="0.2"/>
    <row r="8453" ht="12.75" x14ac:dyDescent="0.2"/>
    <row r="8454" ht="12.75" x14ac:dyDescent="0.2"/>
    <row r="8455" ht="12.75" x14ac:dyDescent="0.2"/>
    <row r="8456" ht="12.75" x14ac:dyDescent="0.2"/>
    <row r="8457" ht="12.75" x14ac:dyDescent="0.2"/>
    <row r="8458" ht="12.75" x14ac:dyDescent="0.2"/>
    <row r="8459" ht="12.75" x14ac:dyDescent="0.2"/>
    <row r="8460" ht="12.75" x14ac:dyDescent="0.2"/>
    <row r="8461" ht="12.75" x14ac:dyDescent="0.2"/>
    <row r="8462" ht="12.75" x14ac:dyDescent="0.2"/>
    <row r="8463" ht="12.75" x14ac:dyDescent="0.2"/>
    <row r="8464" ht="12.75" x14ac:dyDescent="0.2"/>
    <row r="8465" ht="12.75" x14ac:dyDescent="0.2"/>
    <row r="8466" ht="12.75" x14ac:dyDescent="0.2"/>
    <row r="8467" ht="12.75" x14ac:dyDescent="0.2"/>
    <row r="8468" ht="12.75" x14ac:dyDescent="0.2"/>
    <row r="8469" ht="12.75" x14ac:dyDescent="0.2"/>
    <row r="8470" ht="12.75" x14ac:dyDescent="0.2"/>
    <row r="8471" ht="12.75" x14ac:dyDescent="0.2"/>
    <row r="8472" ht="12.75" x14ac:dyDescent="0.2"/>
    <row r="8473" ht="12.75" x14ac:dyDescent="0.2"/>
    <row r="8474" ht="12.75" x14ac:dyDescent="0.2"/>
    <row r="8475" ht="12.75" x14ac:dyDescent="0.2"/>
    <row r="8476" ht="12.75" x14ac:dyDescent="0.2"/>
    <row r="8477" ht="12.75" x14ac:dyDescent="0.2"/>
    <row r="8478" ht="12.75" x14ac:dyDescent="0.2"/>
    <row r="8479" ht="12.75" x14ac:dyDescent="0.2"/>
    <row r="8480" ht="12.75" x14ac:dyDescent="0.2"/>
    <row r="8481" ht="12.75" x14ac:dyDescent="0.2"/>
    <row r="8482" ht="12.75" x14ac:dyDescent="0.2"/>
    <row r="8483" ht="12.75" x14ac:dyDescent="0.2"/>
    <row r="8484" ht="12.75" x14ac:dyDescent="0.2"/>
    <row r="8485" ht="12.75" x14ac:dyDescent="0.2"/>
    <row r="8486" ht="12.75" x14ac:dyDescent="0.2"/>
    <row r="8487" ht="12.75" x14ac:dyDescent="0.2"/>
    <row r="8488" ht="12.75" x14ac:dyDescent="0.2"/>
    <row r="8489" ht="12.75" x14ac:dyDescent="0.2"/>
    <row r="8490" ht="12.75" x14ac:dyDescent="0.2"/>
    <row r="8491" ht="12.75" x14ac:dyDescent="0.2"/>
    <row r="8492" ht="12.75" x14ac:dyDescent="0.2"/>
    <row r="8493" ht="12.75" x14ac:dyDescent="0.2"/>
    <row r="8494" ht="12.75" x14ac:dyDescent="0.2"/>
    <row r="8495" ht="12.75" x14ac:dyDescent="0.2"/>
    <row r="8496" ht="12.75" x14ac:dyDescent="0.2"/>
    <row r="8497" ht="12.75" x14ac:dyDescent="0.2"/>
    <row r="8498" ht="12.75" x14ac:dyDescent="0.2"/>
    <row r="8499" ht="12.75" x14ac:dyDescent="0.2"/>
    <row r="8500" ht="12.75" x14ac:dyDescent="0.2"/>
    <row r="8501" ht="12.75" x14ac:dyDescent="0.2"/>
    <row r="8502" ht="12.75" x14ac:dyDescent="0.2"/>
    <row r="8503" ht="12.75" x14ac:dyDescent="0.2"/>
    <row r="8504" ht="12.75" x14ac:dyDescent="0.2"/>
    <row r="8505" ht="12.75" x14ac:dyDescent="0.2"/>
    <row r="8506" ht="12.75" x14ac:dyDescent="0.2"/>
    <row r="8507" ht="12.75" x14ac:dyDescent="0.2"/>
    <row r="8508" ht="12.75" x14ac:dyDescent="0.2"/>
    <row r="8509" ht="12.75" x14ac:dyDescent="0.2"/>
    <row r="8510" ht="12.75" x14ac:dyDescent="0.2"/>
    <row r="8511" ht="12.75" x14ac:dyDescent="0.2"/>
    <row r="8512" ht="12.75" x14ac:dyDescent="0.2"/>
    <row r="8513" ht="12.75" x14ac:dyDescent="0.2"/>
    <row r="8514" ht="12.75" x14ac:dyDescent="0.2"/>
    <row r="8515" ht="12.75" x14ac:dyDescent="0.2"/>
    <row r="8516" ht="12.75" x14ac:dyDescent="0.2"/>
    <row r="8517" ht="12.75" x14ac:dyDescent="0.2"/>
    <row r="8518" ht="12.75" x14ac:dyDescent="0.2"/>
    <row r="8519" ht="12.75" x14ac:dyDescent="0.2"/>
    <row r="8520" ht="12.75" x14ac:dyDescent="0.2"/>
    <row r="8521" ht="12.75" x14ac:dyDescent="0.2"/>
    <row r="8522" ht="12.75" x14ac:dyDescent="0.2"/>
    <row r="8523" ht="12.75" x14ac:dyDescent="0.2"/>
    <row r="8524" ht="12.75" x14ac:dyDescent="0.2"/>
    <row r="8525" ht="12.75" x14ac:dyDescent="0.2"/>
    <row r="8526" ht="12.75" x14ac:dyDescent="0.2"/>
    <row r="8527" ht="12.75" x14ac:dyDescent="0.2"/>
    <row r="8528" ht="12.75" x14ac:dyDescent="0.2"/>
    <row r="8529" ht="12.75" x14ac:dyDescent="0.2"/>
    <row r="8530" ht="12.75" x14ac:dyDescent="0.2"/>
    <row r="8531" ht="12.75" x14ac:dyDescent="0.2"/>
    <row r="8532" ht="12.75" x14ac:dyDescent="0.2"/>
    <row r="8533" ht="12.75" x14ac:dyDescent="0.2"/>
    <row r="8534" ht="12.75" x14ac:dyDescent="0.2"/>
    <row r="8535" ht="12.75" x14ac:dyDescent="0.2"/>
    <row r="8536" ht="12.75" x14ac:dyDescent="0.2"/>
    <row r="8537" ht="12.75" x14ac:dyDescent="0.2"/>
    <row r="8538" ht="12.75" x14ac:dyDescent="0.2"/>
    <row r="8539" ht="12.75" x14ac:dyDescent="0.2"/>
    <row r="8540" ht="12.75" x14ac:dyDescent="0.2"/>
    <row r="8541" ht="12.75" x14ac:dyDescent="0.2"/>
    <row r="8542" ht="12.75" x14ac:dyDescent="0.2"/>
    <row r="8543" ht="12.75" x14ac:dyDescent="0.2"/>
    <row r="8544" ht="12.75" x14ac:dyDescent="0.2"/>
    <row r="8545" ht="12.75" x14ac:dyDescent="0.2"/>
    <row r="8546" ht="12.75" x14ac:dyDescent="0.2"/>
    <row r="8547" ht="12.75" x14ac:dyDescent="0.2"/>
    <row r="8548" ht="12.75" x14ac:dyDescent="0.2"/>
    <row r="8549" ht="12.75" x14ac:dyDescent="0.2"/>
    <row r="8550" ht="12.75" x14ac:dyDescent="0.2"/>
    <row r="8551" ht="12.75" x14ac:dyDescent="0.2"/>
    <row r="8552" ht="12.75" x14ac:dyDescent="0.2"/>
    <row r="8553" ht="12.75" x14ac:dyDescent="0.2"/>
    <row r="8554" ht="12.75" x14ac:dyDescent="0.2"/>
    <row r="8555" ht="12.75" x14ac:dyDescent="0.2"/>
    <row r="8556" ht="12.75" x14ac:dyDescent="0.2"/>
    <row r="8557" ht="12.75" x14ac:dyDescent="0.2"/>
    <row r="8558" ht="12.75" x14ac:dyDescent="0.2"/>
    <row r="8559" ht="12.75" x14ac:dyDescent="0.2"/>
    <row r="8560" ht="12.75" x14ac:dyDescent="0.2"/>
    <row r="8561" ht="12.75" x14ac:dyDescent="0.2"/>
    <row r="8562" ht="12.75" x14ac:dyDescent="0.2"/>
    <row r="8563" ht="12.75" x14ac:dyDescent="0.2"/>
    <row r="8564" ht="12.75" x14ac:dyDescent="0.2"/>
    <row r="8565" ht="12.75" x14ac:dyDescent="0.2"/>
    <row r="8566" ht="12.75" x14ac:dyDescent="0.2"/>
    <row r="8567" ht="12.75" x14ac:dyDescent="0.2"/>
    <row r="8568" ht="12.75" x14ac:dyDescent="0.2"/>
    <row r="8569" ht="12.75" x14ac:dyDescent="0.2"/>
    <row r="8570" ht="12.75" x14ac:dyDescent="0.2"/>
    <row r="8571" ht="12.75" x14ac:dyDescent="0.2"/>
    <row r="8572" ht="12.75" x14ac:dyDescent="0.2"/>
    <row r="8573" ht="12.75" x14ac:dyDescent="0.2"/>
    <row r="8574" ht="12.75" x14ac:dyDescent="0.2"/>
    <row r="8575" ht="12.75" x14ac:dyDescent="0.2"/>
    <row r="8576" ht="12.75" x14ac:dyDescent="0.2"/>
    <row r="8577" ht="12.75" x14ac:dyDescent="0.2"/>
    <row r="8578" ht="12.75" x14ac:dyDescent="0.2"/>
    <row r="8579" ht="12.75" x14ac:dyDescent="0.2"/>
    <row r="8580" ht="12.75" x14ac:dyDescent="0.2"/>
    <row r="8581" ht="12.75" x14ac:dyDescent="0.2"/>
    <row r="8582" ht="12.75" x14ac:dyDescent="0.2"/>
    <row r="8583" ht="12.75" x14ac:dyDescent="0.2"/>
    <row r="8584" ht="12.75" x14ac:dyDescent="0.2"/>
    <row r="8585" ht="12.75" x14ac:dyDescent="0.2"/>
    <row r="8586" ht="12.75" x14ac:dyDescent="0.2"/>
    <row r="8587" ht="12.75" x14ac:dyDescent="0.2"/>
    <row r="8588" ht="12.75" x14ac:dyDescent="0.2"/>
    <row r="8589" ht="12.75" x14ac:dyDescent="0.2"/>
    <row r="8590" ht="12.75" x14ac:dyDescent="0.2"/>
    <row r="8591" ht="12.75" x14ac:dyDescent="0.2"/>
    <row r="8592" ht="12.75" x14ac:dyDescent="0.2"/>
    <row r="8593" ht="12.75" x14ac:dyDescent="0.2"/>
    <row r="8594" ht="12.75" x14ac:dyDescent="0.2"/>
    <row r="8595" ht="12.75" x14ac:dyDescent="0.2"/>
    <row r="8596" ht="12.75" x14ac:dyDescent="0.2"/>
    <row r="8597" ht="12.75" x14ac:dyDescent="0.2"/>
    <row r="8598" ht="12.75" x14ac:dyDescent="0.2"/>
    <row r="8599" ht="12.75" x14ac:dyDescent="0.2"/>
    <row r="8600" ht="12.75" x14ac:dyDescent="0.2"/>
    <row r="8601" ht="12.75" x14ac:dyDescent="0.2"/>
    <row r="8602" ht="12.75" x14ac:dyDescent="0.2"/>
    <row r="8603" ht="12.75" x14ac:dyDescent="0.2"/>
    <row r="8604" ht="12.75" x14ac:dyDescent="0.2"/>
    <row r="8605" ht="12.75" x14ac:dyDescent="0.2"/>
    <row r="8606" ht="12.75" x14ac:dyDescent="0.2"/>
    <row r="8607" ht="12.75" x14ac:dyDescent="0.2"/>
    <row r="8608" ht="12.75" x14ac:dyDescent="0.2"/>
    <row r="8609" ht="12.75" x14ac:dyDescent="0.2"/>
    <row r="8610" ht="12.75" x14ac:dyDescent="0.2"/>
    <row r="8611" ht="12.75" x14ac:dyDescent="0.2"/>
    <row r="8612" ht="12.75" x14ac:dyDescent="0.2"/>
    <row r="8613" ht="12.75" x14ac:dyDescent="0.2"/>
    <row r="8614" ht="12.75" x14ac:dyDescent="0.2"/>
    <row r="8615" ht="12.75" x14ac:dyDescent="0.2"/>
    <row r="8616" ht="12.75" x14ac:dyDescent="0.2"/>
    <row r="8617" ht="12.75" x14ac:dyDescent="0.2"/>
    <row r="8618" ht="12.75" x14ac:dyDescent="0.2"/>
    <row r="8619" ht="12.75" x14ac:dyDescent="0.2"/>
    <row r="8620" ht="12.75" x14ac:dyDescent="0.2"/>
    <row r="8621" ht="12.75" x14ac:dyDescent="0.2"/>
    <row r="8622" ht="12.75" x14ac:dyDescent="0.2"/>
    <row r="8623" ht="12.75" x14ac:dyDescent="0.2"/>
    <row r="8624" ht="12.75" x14ac:dyDescent="0.2"/>
    <row r="8625" ht="12.75" x14ac:dyDescent="0.2"/>
    <row r="8626" ht="12.75" x14ac:dyDescent="0.2"/>
    <row r="8627" ht="12.75" x14ac:dyDescent="0.2"/>
    <row r="8628" ht="12.75" x14ac:dyDescent="0.2"/>
    <row r="8629" ht="12.75" x14ac:dyDescent="0.2"/>
    <row r="8630" ht="12.75" x14ac:dyDescent="0.2"/>
    <row r="8631" ht="12.75" x14ac:dyDescent="0.2"/>
    <row r="8632" ht="12.75" x14ac:dyDescent="0.2"/>
    <row r="8633" ht="12.75" x14ac:dyDescent="0.2"/>
    <row r="8634" ht="12.75" x14ac:dyDescent="0.2"/>
    <row r="8635" ht="12.75" x14ac:dyDescent="0.2"/>
    <row r="8636" ht="12.75" x14ac:dyDescent="0.2"/>
    <row r="8637" ht="12.75" x14ac:dyDescent="0.2"/>
    <row r="8638" ht="12.75" x14ac:dyDescent="0.2"/>
    <row r="8639" ht="12.75" x14ac:dyDescent="0.2"/>
    <row r="8640" ht="12.75" x14ac:dyDescent="0.2"/>
    <row r="8641" ht="12.75" x14ac:dyDescent="0.2"/>
    <row r="8642" ht="12.75" x14ac:dyDescent="0.2"/>
    <row r="8643" ht="12.75" x14ac:dyDescent="0.2"/>
    <row r="8644" ht="12.75" x14ac:dyDescent="0.2"/>
    <row r="8645" ht="12.75" x14ac:dyDescent="0.2"/>
    <row r="8646" ht="12.75" x14ac:dyDescent="0.2"/>
    <row r="8647" ht="12.75" x14ac:dyDescent="0.2"/>
    <row r="8648" ht="12.75" x14ac:dyDescent="0.2"/>
    <row r="8649" ht="12.75" x14ac:dyDescent="0.2"/>
    <row r="8650" ht="12.75" x14ac:dyDescent="0.2"/>
    <row r="8651" ht="12.75" x14ac:dyDescent="0.2"/>
    <row r="8652" ht="12.75" x14ac:dyDescent="0.2"/>
    <row r="8653" ht="12.75" x14ac:dyDescent="0.2"/>
    <row r="8654" ht="12.75" x14ac:dyDescent="0.2"/>
    <row r="8655" ht="12.75" x14ac:dyDescent="0.2"/>
    <row r="8656" ht="12.75" x14ac:dyDescent="0.2"/>
    <row r="8657" ht="12.75" x14ac:dyDescent="0.2"/>
    <row r="8658" ht="12.75" x14ac:dyDescent="0.2"/>
    <row r="8659" ht="12.75" x14ac:dyDescent="0.2"/>
    <row r="8660" ht="12.75" x14ac:dyDescent="0.2"/>
    <row r="8661" ht="12.75" x14ac:dyDescent="0.2"/>
    <row r="8662" ht="12.75" x14ac:dyDescent="0.2"/>
    <row r="8663" ht="12.75" x14ac:dyDescent="0.2"/>
    <row r="8664" ht="12.75" x14ac:dyDescent="0.2"/>
    <row r="8665" ht="12.75" x14ac:dyDescent="0.2"/>
    <row r="8666" ht="12.75" x14ac:dyDescent="0.2"/>
    <row r="8667" ht="12.75" x14ac:dyDescent="0.2"/>
    <row r="8668" ht="12.75" x14ac:dyDescent="0.2"/>
    <row r="8669" ht="12.75" x14ac:dyDescent="0.2"/>
    <row r="8670" ht="12.75" x14ac:dyDescent="0.2"/>
    <row r="8671" ht="12.75" x14ac:dyDescent="0.2"/>
    <row r="8672" ht="12.75" x14ac:dyDescent="0.2"/>
    <row r="8673" ht="12.75" x14ac:dyDescent="0.2"/>
    <row r="8674" ht="12.75" x14ac:dyDescent="0.2"/>
    <row r="8675" ht="12.75" x14ac:dyDescent="0.2"/>
    <row r="8676" ht="12.75" x14ac:dyDescent="0.2"/>
    <row r="8677" ht="12.75" x14ac:dyDescent="0.2"/>
    <row r="8678" ht="12.75" x14ac:dyDescent="0.2"/>
    <row r="8679" ht="12.75" x14ac:dyDescent="0.2"/>
    <row r="8680" ht="12.75" x14ac:dyDescent="0.2"/>
    <row r="8681" ht="12.75" x14ac:dyDescent="0.2"/>
    <row r="8682" ht="12.75" x14ac:dyDescent="0.2"/>
    <row r="8683" ht="12.75" x14ac:dyDescent="0.2"/>
    <row r="8684" ht="12.75" x14ac:dyDescent="0.2"/>
    <row r="8685" ht="12.75" x14ac:dyDescent="0.2"/>
    <row r="8686" ht="12.75" x14ac:dyDescent="0.2"/>
    <row r="8687" ht="12.75" x14ac:dyDescent="0.2"/>
    <row r="8688" ht="12.75" x14ac:dyDescent="0.2"/>
    <row r="8689" ht="12.75" x14ac:dyDescent="0.2"/>
    <row r="8690" ht="12.75" x14ac:dyDescent="0.2"/>
    <row r="8691" ht="12.75" x14ac:dyDescent="0.2"/>
    <row r="8692" ht="12.75" x14ac:dyDescent="0.2"/>
    <row r="8693" ht="12.75" x14ac:dyDescent="0.2"/>
    <row r="8694" ht="12.75" x14ac:dyDescent="0.2"/>
    <row r="8695" ht="12.75" x14ac:dyDescent="0.2"/>
    <row r="8696" ht="12.75" x14ac:dyDescent="0.2"/>
    <row r="8697" ht="12.75" x14ac:dyDescent="0.2"/>
    <row r="8698" ht="12.75" x14ac:dyDescent="0.2"/>
    <row r="8699" ht="12.75" x14ac:dyDescent="0.2"/>
    <row r="8700" ht="12.75" x14ac:dyDescent="0.2"/>
    <row r="8701" ht="12.75" x14ac:dyDescent="0.2"/>
    <row r="8702" ht="12.75" x14ac:dyDescent="0.2"/>
    <row r="8703" ht="12.75" x14ac:dyDescent="0.2"/>
    <row r="8704" ht="12.75" x14ac:dyDescent="0.2"/>
    <row r="8705" ht="12.75" x14ac:dyDescent="0.2"/>
    <row r="8706" ht="12.75" x14ac:dyDescent="0.2"/>
    <row r="8707" ht="12.75" x14ac:dyDescent="0.2"/>
    <row r="8708" ht="12.75" x14ac:dyDescent="0.2"/>
    <row r="8709" ht="12.75" x14ac:dyDescent="0.2"/>
    <row r="8710" ht="12.75" x14ac:dyDescent="0.2"/>
    <row r="8711" ht="12.75" x14ac:dyDescent="0.2"/>
    <row r="8712" ht="12.75" x14ac:dyDescent="0.2"/>
    <row r="8713" ht="12.75" x14ac:dyDescent="0.2"/>
    <row r="8714" ht="12.75" x14ac:dyDescent="0.2"/>
    <row r="8715" ht="12.75" x14ac:dyDescent="0.2"/>
    <row r="8716" ht="12.75" x14ac:dyDescent="0.2"/>
    <row r="8717" ht="12.75" x14ac:dyDescent="0.2"/>
    <row r="8718" ht="12.75" x14ac:dyDescent="0.2"/>
    <row r="8719" ht="12.75" x14ac:dyDescent="0.2"/>
    <row r="8720" ht="12.75" x14ac:dyDescent="0.2"/>
    <row r="8721" ht="12.75" x14ac:dyDescent="0.2"/>
    <row r="8722" ht="12.75" x14ac:dyDescent="0.2"/>
    <row r="8723" ht="12.75" x14ac:dyDescent="0.2"/>
    <row r="8724" ht="12.75" x14ac:dyDescent="0.2"/>
    <row r="8725" ht="12.75" x14ac:dyDescent="0.2"/>
    <row r="8726" ht="12.75" x14ac:dyDescent="0.2"/>
    <row r="8727" ht="12.75" x14ac:dyDescent="0.2"/>
    <row r="8728" ht="12.75" x14ac:dyDescent="0.2"/>
    <row r="8729" ht="12.75" x14ac:dyDescent="0.2"/>
    <row r="8730" ht="12.75" x14ac:dyDescent="0.2"/>
    <row r="8731" ht="12.75" x14ac:dyDescent="0.2"/>
    <row r="8732" ht="12.75" x14ac:dyDescent="0.2"/>
    <row r="8733" ht="12.75" x14ac:dyDescent="0.2"/>
    <row r="8734" ht="12.75" x14ac:dyDescent="0.2"/>
    <row r="8735" ht="12.75" x14ac:dyDescent="0.2"/>
    <row r="8736" ht="12.75" x14ac:dyDescent="0.2"/>
    <row r="8737" ht="12.75" x14ac:dyDescent="0.2"/>
    <row r="8738" ht="12.75" x14ac:dyDescent="0.2"/>
    <row r="8739" ht="12.75" x14ac:dyDescent="0.2"/>
    <row r="8740" ht="12.75" x14ac:dyDescent="0.2"/>
    <row r="8741" ht="12.75" x14ac:dyDescent="0.2"/>
    <row r="8742" ht="12.75" x14ac:dyDescent="0.2"/>
    <row r="8743" ht="12.75" x14ac:dyDescent="0.2"/>
    <row r="8744" ht="12.75" x14ac:dyDescent="0.2"/>
    <row r="8745" ht="12.75" x14ac:dyDescent="0.2"/>
    <row r="8746" ht="12.75" x14ac:dyDescent="0.2"/>
    <row r="8747" ht="12.75" x14ac:dyDescent="0.2"/>
    <row r="8748" ht="12.75" x14ac:dyDescent="0.2"/>
    <row r="8749" ht="12.75" x14ac:dyDescent="0.2"/>
    <row r="8750" ht="12.75" x14ac:dyDescent="0.2"/>
    <row r="8751" ht="12.75" x14ac:dyDescent="0.2"/>
    <row r="8752" ht="12.75" x14ac:dyDescent="0.2"/>
    <row r="8753" ht="12.75" x14ac:dyDescent="0.2"/>
    <row r="8754" ht="12.75" x14ac:dyDescent="0.2"/>
    <row r="8755" ht="12.75" x14ac:dyDescent="0.2"/>
    <row r="8756" ht="12.75" x14ac:dyDescent="0.2"/>
    <row r="8757" ht="12.75" x14ac:dyDescent="0.2"/>
    <row r="8758" ht="12.75" x14ac:dyDescent="0.2"/>
    <row r="8759" ht="12.75" x14ac:dyDescent="0.2"/>
    <row r="8760" ht="12.75" x14ac:dyDescent="0.2"/>
    <row r="8761" ht="12.75" x14ac:dyDescent="0.2"/>
    <row r="8762" ht="12.75" x14ac:dyDescent="0.2"/>
    <row r="8763" ht="12.75" x14ac:dyDescent="0.2"/>
    <row r="8764" ht="12.75" x14ac:dyDescent="0.2"/>
    <row r="8765" ht="12.75" x14ac:dyDescent="0.2"/>
    <row r="8766" ht="12.75" x14ac:dyDescent="0.2"/>
    <row r="8767" ht="12.75" x14ac:dyDescent="0.2"/>
    <row r="8768" ht="12.75" x14ac:dyDescent="0.2"/>
    <row r="8769" ht="12.75" x14ac:dyDescent="0.2"/>
    <row r="8770" ht="12.75" x14ac:dyDescent="0.2"/>
    <row r="8771" ht="12.75" x14ac:dyDescent="0.2"/>
    <row r="8772" ht="12.75" x14ac:dyDescent="0.2"/>
    <row r="8773" ht="12.75" x14ac:dyDescent="0.2"/>
    <row r="8774" ht="12.75" x14ac:dyDescent="0.2"/>
    <row r="8775" ht="12.75" x14ac:dyDescent="0.2"/>
    <row r="8776" ht="12.75" x14ac:dyDescent="0.2"/>
    <row r="8777" ht="12.75" x14ac:dyDescent="0.2"/>
    <row r="8778" ht="12.75" x14ac:dyDescent="0.2"/>
    <row r="8779" ht="12.75" x14ac:dyDescent="0.2"/>
    <row r="8780" ht="12.75" x14ac:dyDescent="0.2"/>
    <row r="8781" ht="12.75" x14ac:dyDescent="0.2"/>
    <row r="8782" ht="12.75" x14ac:dyDescent="0.2"/>
    <row r="8783" ht="12.75" x14ac:dyDescent="0.2"/>
    <row r="8784" ht="12.75" x14ac:dyDescent="0.2"/>
    <row r="8785" ht="12.75" x14ac:dyDescent="0.2"/>
    <row r="8786" ht="12.75" x14ac:dyDescent="0.2"/>
    <row r="8787" ht="12.75" x14ac:dyDescent="0.2"/>
    <row r="8788" ht="12.75" x14ac:dyDescent="0.2"/>
    <row r="8789" ht="12.75" x14ac:dyDescent="0.2"/>
    <row r="8790" ht="12.75" x14ac:dyDescent="0.2"/>
    <row r="8791" ht="12.75" x14ac:dyDescent="0.2"/>
    <row r="8792" ht="12.75" x14ac:dyDescent="0.2"/>
    <row r="8793" ht="12.75" x14ac:dyDescent="0.2"/>
    <row r="8794" ht="12.75" x14ac:dyDescent="0.2"/>
    <row r="8795" ht="12.75" x14ac:dyDescent="0.2"/>
    <row r="8796" ht="12.75" x14ac:dyDescent="0.2"/>
    <row r="8797" ht="12.75" x14ac:dyDescent="0.2"/>
    <row r="8798" ht="12.75" x14ac:dyDescent="0.2"/>
    <row r="8799" ht="12.75" x14ac:dyDescent="0.2"/>
    <row r="8800" ht="12.75" x14ac:dyDescent="0.2"/>
    <row r="8801" ht="12.75" x14ac:dyDescent="0.2"/>
    <row r="8802" ht="12.75" x14ac:dyDescent="0.2"/>
    <row r="8803" ht="12.75" x14ac:dyDescent="0.2"/>
    <row r="8804" ht="12.75" x14ac:dyDescent="0.2"/>
    <row r="8805" ht="12.75" x14ac:dyDescent="0.2"/>
    <row r="8806" ht="12.75" x14ac:dyDescent="0.2"/>
    <row r="8807" ht="12.75" x14ac:dyDescent="0.2"/>
    <row r="8808" ht="12.75" x14ac:dyDescent="0.2"/>
    <row r="8809" ht="12.75" x14ac:dyDescent="0.2"/>
    <row r="8810" ht="12.75" x14ac:dyDescent="0.2"/>
    <row r="8811" ht="12.75" x14ac:dyDescent="0.2"/>
    <row r="8812" ht="12.75" x14ac:dyDescent="0.2"/>
    <row r="8813" ht="12.75" x14ac:dyDescent="0.2"/>
    <row r="8814" ht="12.75" x14ac:dyDescent="0.2"/>
    <row r="8815" ht="12.75" x14ac:dyDescent="0.2"/>
    <row r="8816" ht="12.75" x14ac:dyDescent="0.2"/>
    <row r="8817" ht="12.75" x14ac:dyDescent="0.2"/>
    <row r="8818" ht="12.75" x14ac:dyDescent="0.2"/>
    <row r="8819" ht="12.75" x14ac:dyDescent="0.2"/>
    <row r="8820" ht="12.75" x14ac:dyDescent="0.2"/>
    <row r="8821" ht="12.75" x14ac:dyDescent="0.2"/>
    <row r="8822" ht="12.75" x14ac:dyDescent="0.2"/>
    <row r="8823" ht="12.75" x14ac:dyDescent="0.2"/>
    <row r="8824" ht="12.75" x14ac:dyDescent="0.2"/>
    <row r="8825" ht="12.75" x14ac:dyDescent="0.2"/>
    <row r="8826" ht="12.75" x14ac:dyDescent="0.2"/>
    <row r="8827" ht="12.75" x14ac:dyDescent="0.2"/>
    <row r="8828" ht="12.75" x14ac:dyDescent="0.2"/>
    <row r="8829" ht="12.75" x14ac:dyDescent="0.2"/>
    <row r="8830" ht="12.75" x14ac:dyDescent="0.2"/>
    <row r="8831" ht="12.75" x14ac:dyDescent="0.2"/>
    <row r="8832" ht="12.75" x14ac:dyDescent="0.2"/>
    <row r="8833" ht="12.75" x14ac:dyDescent="0.2"/>
    <row r="8834" ht="12.75" x14ac:dyDescent="0.2"/>
    <row r="8835" ht="12.75" x14ac:dyDescent="0.2"/>
    <row r="8836" ht="12.75" x14ac:dyDescent="0.2"/>
    <row r="8837" ht="12.75" x14ac:dyDescent="0.2"/>
    <row r="8838" ht="12.75" x14ac:dyDescent="0.2"/>
    <row r="8839" ht="12.75" x14ac:dyDescent="0.2"/>
    <row r="8840" ht="12.75" x14ac:dyDescent="0.2"/>
    <row r="8841" ht="12.75" x14ac:dyDescent="0.2"/>
    <row r="8842" ht="12.75" x14ac:dyDescent="0.2"/>
    <row r="8843" ht="12.75" x14ac:dyDescent="0.2"/>
    <row r="8844" ht="12.75" x14ac:dyDescent="0.2"/>
    <row r="8845" ht="12.75" x14ac:dyDescent="0.2"/>
    <row r="8846" ht="12.75" x14ac:dyDescent="0.2"/>
    <row r="8847" ht="12.75" x14ac:dyDescent="0.2"/>
    <row r="8848" ht="12.75" x14ac:dyDescent="0.2"/>
    <row r="8849" ht="12.75" x14ac:dyDescent="0.2"/>
    <row r="8850" ht="12.75" x14ac:dyDescent="0.2"/>
    <row r="8851" ht="12.75" x14ac:dyDescent="0.2"/>
    <row r="8852" ht="12.75" x14ac:dyDescent="0.2"/>
    <row r="8853" ht="12.75" x14ac:dyDescent="0.2"/>
    <row r="8854" ht="12.75" x14ac:dyDescent="0.2"/>
    <row r="8855" ht="12.75" x14ac:dyDescent="0.2"/>
    <row r="8856" ht="12.75" x14ac:dyDescent="0.2"/>
    <row r="8857" ht="12.75" x14ac:dyDescent="0.2"/>
    <row r="8858" ht="12.75" x14ac:dyDescent="0.2"/>
    <row r="8859" ht="12.75" x14ac:dyDescent="0.2"/>
    <row r="8860" ht="12.75" x14ac:dyDescent="0.2"/>
    <row r="8861" ht="12.75" x14ac:dyDescent="0.2"/>
    <row r="8862" ht="12.75" x14ac:dyDescent="0.2"/>
    <row r="8863" ht="12.75" x14ac:dyDescent="0.2"/>
    <row r="8864" ht="12.75" x14ac:dyDescent="0.2"/>
    <row r="8865" ht="12.75" x14ac:dyDescent="0.2"/>
    <row r="8866" ht="12.75" x14ac:dyDescent="0.2"/>
    <row r="8867" ht="12.75" x14ac:dyDescent="0.2"/>
    <row r="8868" ht="12.75" x14ac:dyDescent="0.2"/>
    <row r="8869" ht="12.75" x14ac:dyDescent="0.2"/>
    <row r="8870" ht="12.75" x14ac:dyDescent="0.2"/>
    <row r="8871" ht="12.75" x14ac:dyDescent="0.2"/>
    <row r="8872" ht="12.75" x14ac:dyDescent="0.2"/>
    <row r="8873" ht="12.75" x14ac:dyDescent="0.2"/>
    <row r="8874" ht="12.75" x14ac:dyDescent="0.2"/>
    <row r="8875" ht="12.75" x14ac:dyDescent="0.2"/>
    <row r="8876" ht="12.75" x14ac:dyDescent="0.2"/>
    <row r="8877" ht="12.75" x14ac:dyDescent="0.2"/>
    <row r="8878" ht="12.75" x14ac:dyDescent="0.2"/>
    <row r="8879" ht="12.75" x14ac:dyDescent="0.2"/>
    <row r="8880" ht="12.75" x14ac:dyDescent="0.2"/>
    <row r="8881" ht="12.75" x14ac:dyDescent="0.2"/>
    <row r="8882" ht="12.75" x14ac:dyDescent="0.2"/>
    <row r="8883" ht="12.75" x14ac:dyDescent="0.2"/>
    <row r="8884" ht="12.75" x14ac:dyDescent="0.2"/>
    <row r="8885" ht="12.75" x14ac:dyDescent="0.2"/>
    <row r="8886" ht="12.75" x14ac:dyDescent="0.2"/>
    <row r="8887" ht="12.75" x14ac:dyDescent="0.2"/>
    <row r="8888" ht="12.75" x14ac:dyDescent="0.2"/>
    <row r="8889" ht="12.75" x14ac:dyDescent="0.2"/>
    <row r="8890" ht="12.75" x14ac:dyDescent="0.2"/>
    <row r="8891" ht="12.75" x14ac:dyDescent="0.2"/>
    <row r="8892" ht="12.75" x14ac:dyDescent="0.2"/>
    <row r="8893" ht="12.75" x14ac:dyDescent="0.2"/>
    <row r="8894" ht="12.75" x14ac:dyDescent="0.2"/>
    <row r="8895" ht="12.75" x14ac:dyDescent="0.2"/>
    <row r="8896" ht="12.75" x14ac:dyDescent="0.2"/>
    <row r="8897" ht="12.75" x14ac:dyDescent="0.2"/>
    <row r="8898" ht="12.75" x14ac:dyDescent="0.2"/>
    <row r="8899" ht="12.75" x14ac:dyDescent="0.2"/>
    <row r="8900" ht="12.75" x14ac:dyDescent="0.2"/>
    <row r="8901" ht="12.75" x14ac:dyDescent="0.2"/>
    <row r="8902" ht="12.75" x14ac:dyDescent="0.2"/>
    <row r="8903" ht="12.75" x14ac:dyDescent="0.2"/>
    <row r="8904" ht="12.75" x14ac:dyDescent="0.2"/>
    <row r="8905" ht="12.75" x14ac:dyDescent="0.2"/>
    <row r="8906" ht="12.75" x14ac:dyDescent="0.2"/>
    <row r="8907" ht="12.75" x14ac:dyDescent="0.2"/>
    <row r="8908" ht="12.75" x14ac:dyDescent="0.2"/>
    <row r="8909" ht="12.75" x14ac:dyDescent="0.2"/>
    <row r="8910" ht="12.75" x14ac:dyDescent="0.2"/>
    <row r="8911" ht="12.75" x14ac:dyDescent="0.2"/>
    <row r="8912" ht="12.75" x14ac:dyDescent="0.2"/>
    <row r="8913" ht="12.75" x14ac:dyDescent="0.2"/>
    <row r="8914" ht="12.75" x14ac:dyDescent="0.2"/>
    <row r="8915" ht="12.75" x14ac:dyDescent="0.2"/>
    <row r="8916" ht="12.75" x14ac:dyDescent="0.2"/>
    <row r="8917" ht="12.75" x14ac:dyDescent="0.2"/>
    <row r="8918" ht="12.75" x14ac:dyDescent="0.2"/>
    <row r="8919" ht="12.75" x14ac:dyDescent="0.2"/>
    <row r="8920" ht="12.75" x14ac:dyDescent="0.2"/>
    <row r="8921" ht="12.75" x14ac:dyDescent="0.2"/>
    <row r="8922" ht="12.75" x14ac:dyDescent="0.2"/>
    <row r="8923" ht="12.75" x14ac:dyDescent="0.2"/>
    <row r="8924" ht="12.75" x14ac:dyDescent="0.2"/>
    <row r="8925" ht="12.75" x14ac:dyDescent="0.2"/>
    <row r="8926" ht="12.75" x14ac:dyDescent="0.2"/>
    <row r="8927" ht="12.75" x14ac:dyDescent="0.2"/>
    <row r="8928" ht="12.75" x14ac:dyDescent="0.2"/>
    <row r="8929" ht="12.75" x14ac:dyDescent="0.2"/>
    <row r="8930" ht="12.75" x14ac:dyDescent="0.2"/>
    <row r="8931" ht="12.75" x14ac:dyDescent="0.2"/>
    <row r="8932" ht="12.75" x14ac:dyDescent="0.2"/>
    <row r="8933" ht="12.75" x14ac:dyDescent="0.2"/>
    <row r="8934" ht="12.75" x14ac:dyDescent="0.2"/>
    <row r="8935" ht="12.75" x14ac:dyDescent="0.2"/>
    <row r="8936" ht="12.75" x14ac:dyDescent="0.2"/>
    <row r="8937" ht="12.75" x14ac:dyDescent="0.2"/>
    <row r="8938" ht="12.75" x14ac:dyDescent="0.2"/>
    <row r="8939" ht="12.75" x14ac:dyDescent="0.2"/>
    <row r="8940" ht="12.75" x14ac:dyDescent="0.2"/>
    <row r="8941" ht="12.75" x14ac:dyDescent="0.2"/>
    <row r="8942" ht="12.75" x14ac:dyDescent="0.2"/>
    <row r="8943" ht="12.75" x14ac:dyDescent="0.2"/>
    <row r="8944" ht="12.75" x14ac:dyDescent="0.2"/>
    <row r="8945" ht="12.75" x14ac:dyDescent="0.2"/>
    <row r="8946" ht="12.75" x14ac:dyDescent="0.2"/>
    <row r="8947" ht="12.75" x14ac:dyDescent="0.2"/>
    <row r="8948" ht="12.75" x14ac:dyDescent="0.2"/>
    <row r="8949" ht="12.75" x14ac:dyDescent="0.2"/>
    <row r="8950" ht="12.75" x14ac:dyDescent="0.2"/>
    <row r="8951" ht="12.75" x14ac:dyDescent="0.2"/>
    <row r="8952" ht="12.75" x14ac:dyDescent="0.2"/>
    <row r="8953" ht="12.75" x14ac:dyDescent="0.2"/>
    <row r="8954" ht="12.75" x14ac:dyDescent="0.2"/>
    <row r="8955" ht="12.75" x14ac:dyDescent="0.2"/>
    <row r="8956" ht="12.75" x14ac:dyDescent="0.2"/>
    <row r="8957" ht="12.75" x14ac:dyDescent="0.2"/>
    <row r="8958" ht="12.75" x14ac:dyDescent="0.2"/>
    <row r="8959" ht="12.75" x14ac:dyDescent="0.2"/>
    <row r="8960" ht="12.75" x14ac:dyDescent="0.2"/>
    <row r="8961" ht="12.75" x14ac:dyDescent="0.2"/>
    <row r="8962" ht="12.75" x14ac:dyDescent="0.2"/>
    <row r="8963" ht="12.75" x14ac:dyDescent="0.2"/>
    <row r="8964" ht="12.75" x14ac:dyDescent="0.2"/>
    <row r="8965" ht="12.75" x14ac:dyDescent="0.2"/>
    <row r="8966" ht="12.75" x14ac:dyDescent="0.2"/>
    <row r="8967" ht="12.75" x14ac:dyDescent="0.2"/>
    <row r="8968" ht="12.75" x14ac:dyDescent="0.2"/>
    <row r="8969" ht="12.75" x14ac:dyDescent="0.2"/>
    <row r="8970" ht="12.75" x14ac:dyDescent="0.2"/>
    <row r="8971" ht="12.75" x14ac:dyDescent="0.2"/>
    <row r="8972" ht="12.75" x14ac:dyDescent="0.2"/>
    <row r="8973" ht="12.75" x14ac:dyDescent="0.2"/>
    <row r="8974" ht="12.75" x14ac:dyDescent="0.2"/>
    <row r="8975" ht="12.75" x14ac:dyDescent="0.2"/>
    <row r="8976" ht="12.75" x14ac:dyDescent="0.2"/>
    <row r="8977" ht="12.75" x14ac:dyDescent="0.2"/>
    <row r="8978" ht="12.75" x14ac:dyDescent="0.2"/>
    <row r="8979" ht="12.75" x14ac:dyDescent="0.2"/>
    <row r="8980" ht="12.75" x14ac:dyDescent="0.2"/>
    <row r="8981" ht="12.75" x14ac:dyDescent="0.2"/>
    <row r="8982" ht="12.75" x14ac:dyDescent="0.2"/>
    <row r="8983" ht="12.75" x14ac:dyDescent="0.2"/>
    <row r="8984" ht="12.75" x14ac:dyDescent="0.2"/>
    <row r="8985" ht="12.75" x14ac:dyDescent="0.2"/>
    <row r="8986" ht="12.75" x14ac:dyDescent="0.2"/>
    <row r="8987" ht="12.75" x14ac:dyDescent="0.2"/>
    <row r="8988" ht="12.75" x14ac:dyDescent="0.2"/>
    <row r="8989" ht="12.75" x14ac:dyDescent="0.2"/>
    <row r="8990" ht="12.75" x14ac:dyDescent="0.2"/>
    <row r="8991" ht="12.75" x14ac:dyDescent="0.2"/>
    <row r="8992" ht="12.75" x14ac:dyDescent="0.2"/>
    <row r="8993" ht="12.75" x14ac:dyDescent="0.2"/>
    <row r="8994" ht="12.75" x14ac:dyDescent="0.2"/>
    <row r="8995" ht="12.75" x14ac:dyDescent="0.2"/>
    <row r="8996" ht="12.75" x14ac:dyDescent="0.2"/>
    <row r="8997" ht="12.75" x14ac:dyDescent="0.2"/>
    <row r="8998" ht="12.75" x14ac:dyDescent="0.2"/>
    <row r="8999" ht="12.75" x14ac:dyDescent="0.2"/>
    <row r="9000" ht="12.75" x14ac:dyDescent="0.2"/>
    <row r="9001" ht="12.75" x14ac:dyDescent="0.2"/>
    <row r="9002" ht="12.75" x14ac:dyDescent="0.2"/>
    <row r="9003" ht="12.75" x14ac:dyDescent="0.2"/>
    <row r="9004" ht="12.75" x14ac:dyDescent="0.2"/>
    <row r="9005" ht="12.75" x14ac:dyDescent="0.2"/>
    <row r="9006" ht="12.75" x14ac:dyDescent="0.2"/>
    <row r="9007" ht="12.75" x14ac:dyDescent="0.2"/>
    <row r="9008" ht="12.75" x14ac:dyDescent="0.2"/>
    <row r="9009" ht="12.75" x14ac:dyDescent="0.2"/>
    <row r="9010" ht="12.75" x14ac:dyDescent="0.2"/>
    <row r="9011" ht="12.75" x14ac:dyDescent="0.2"/>
    <row r="9012" ht="12.75" x14ac:dyDescent="0.2"/>
    <row r="9013" ht="12.75" x14ac:dyDescent="0.2"/>
    <row r="9014" ht="12.75" x14ac:dyDescent="0.2"/>
    <row r="9015" ht="12.75" x14ac:dyDescent="0.2"/>
    <row r="9016" ht="12.75" x14ac:dyDescent="0.2"/>
    <row r="9017" ht="12.75" x14ac:dyDescent="0.2"/>
    <row r="9018" ht="12.75" x14ac:dyDescent="0.2"/>
    <row r="9019" ht="12.75" x14ac:dyDescent="0.2"/>
    <row r="9020" ht="12.75" x14ac:dyDescent="0.2"/>
    <row r="9021" ht="12.75" x14ac:dyDescent="0.2"/>
    <row r="9022" ht="12.75" x14ac:dyDescent="0.2"/>
    <row r="9023" ht="12.75" x14ac:dyDescent="0.2"/>
    <row r="9024" ht="12.75" x14ac:dyDescent="0.2"/>
    <row r="9025" ht="12.75" x14ac:dyDescent="0.2"/>
    <row r="9026" ht="12.75" x14ac:dyDescent="0.2"/>
    <row r="9027" ht="12.75" x14ac:dyDescent="0.2"/>
    <row r="9028" ht="12.75" x14ac:dyDescent="0.2"/>
    <row r="9029" ht="12.75" x14ac:dyDescent="0.2"/>
    <row r="9030" ht="12.75" x14ac:dyDescent="0.2"/>
    <row r="9031" ht="12.75" x14ac:dyDescent="0.2"/>
    <row r="9032" ht="12.75" x14ac:dyDescent="0.2"/>
    <row r="9033" ht="12.75" x14ac:dyDescent="0.2"/>
    <row r="9034" ht="12.75" x14ac:dyDescent="0.2"/>
    <row r="9035" ht="12.75" x14ac:dyDescent="0.2"/>
    <row r="9036" ht="12.75" x14ac:dyDescent="0.2"/>
    <row r="9037" ht="12.75" x14ac:dyDescent="0.2"/>
    <row r="9038" ht="12.75" x14ac:dyDescent="0.2"/>
    <row r="9039" ht="12.75" x14ac:dyDescent="0.2"/>
    <row r="9040" ht="12.75" x14ac:dyDescent="0.2"/>
    <row r="9041" ht="12.75" x14ac:dyDescent="0.2"/>
    <row r="9042" ht="12.75" x14ac:dyDescent="0.2"/>
    <row r="9043" ht="12.75" x14ac:dyDescent="0.2"/>
    <row r="9044" ht="12.75" x14ac:dyDescent="0.2"/>
    <row r="9045" ht="12.75" x14ac:dyDescent="0.2"/>
    <row r="9046" ht="12.75" x14ac:dyDescent="0.2"/>
    <row r="9047" ht="12.75" x14ac:dyDescent="0.2"/>
    <row r="9048" ht="12.75" x14ac:dyDescent="0.2"/>
    <row r="9049" ht="12.75" x14ac:dyDescent="0.2"/>
    <row r="9050" ht="12.75" x14ac:dyDescent="0.2"/>
    <row r="9051" ht="12.75" x14ac:dyDescent="0.2"/>
    <row r="9052" ht="12.75" x14ac:dyDescent="0.2"/>
    <row r="9053" ht="12.75" x14ac:dyDescent="0.2"/>
    <row r="9054" ht="12.75" x14ac:dyDescent="0.2"/>
    <row r="9055" ht="12.75" x14ac:dyDescent="0.2"/>
    <row r="9056" ht="12.75" x14ac:dyDescent="0.2"/>
    <row r="9057" ht="12.75" x14ac:dyDescent="0.2"/>
    <row r="9058" ht="12.75" x14ac:dyDescent="0.2"/>
    <row r="9059" ht="12.75" x14ac:dyDescent="0.2"/>
    <row r="9060" ht="12.75" x14ac:dyDescent="0.2"/>
    <row r="9061" ht="12.75" x14ac:dyDescent="0.2"/>
    <row r="9062" ht="12.75" x14ac:dyDescent="0.2"/>
    <row r="9063" ht="12.75" x14ac:dyDescent="0.2"/>
    <row r="9064" ht="12.75" x14ac:dyDescent="0.2"/>
    <row r="9065" ht="12.75" x14ac:dyDescent="0.2"/>
    <row r="9066" ht="12.75" x14ac:dyDescent="0.2"/>
    <row r="9067" ht="12.75" x14ac:dyDescent="0.2"/>
    <row r="9068" ht="12.75" x14ac:dyDescent="0.2"/>
    <row r="9069" ht="12.75" x14ac:dyDescent="0.2"/>
    <row r="9070" ht="12.75" x14ac:dyDescent="0.2"/>
    <row r="9071" ht="12.75" x14ac:dyDescent="0.2"/>
    <row r="9072" ht="12.75" x14ac:dyDescent="0.2"/>
    <row r="9073" ht="12.75" x14ac:dyDescent="0.2"/>
    <row r="9074" ht="12.75" x14ac:dyDescent="0.2"/>
    <row r="9075" ht="12.75" x14ac:dyDescent="0.2"/>
    <row r="9076" ht="12.75" x14ac:dyDescent="0.2"/>
    <row r="9077" ht="12.75" x14ac:dyDescent="0.2"/>
    <row r="9078" ht="12.75" x14ac:dyDescent="0.2"/>
    <row r="9079" ht="12.75" x14ac:dyDescent="0.2"/>
    <row r="9080" ht="12.75" x14ac:dyDescent="0.2"/>
    <row r="9081" ht="12.75" x14ac:dyDescent="0.2"/>
    <row r="9082" ht="12.75" x14ac:dyDescent="0.2"/>
    <row r="9083" ht="12.75" x14ac:dyDescent="0.2"/>
    <row r="9084" ht="12.75" x14ac:dyDescent="0.2"/>
    <row r="9085" ht="12.75" x14ac:dyDescent="0.2"/>
    <row r="9086" ht="12.75" x14ac:dyDescent="0.2"/>
    <row r="9087" ht="12.75" x14ac:dyDescent="0.2"/>
    <row r="9088" ht="12.75" x14ac:dyDescent="0.2"/>
    <row r="9089" ht="12.75" x14ac:dyDescent="0.2"/>
    <row r="9090" ht="12.75" x14ac:dyDescent="0.2"/>
    <row r="9091" ht="12.75" x14ac:dyDescent="0.2"/>
    <row r="9092" ht="12.75" x14ac:dyDescent="0.2"/>
    <row r="9093" ht="12.75" x14ac:dyDescent="0.2"/>
    <row r="9094" ht="12.75" x14ac:dyDescent="0.2"/>
    <row r="9095" ht="12.75" x14ac:dyDescent="0.2"/>
    <row r="9096" ht="12.75" x14ac:dyDescent="0.2"/>
    <row r="9097" ht="12.75" x14ac:dyDescent="0.2"/>
    <row r="9098" ht="12.75" x14ac:dyDescent="0.2"/>
    <row r="9099" ht="12.75" x14ac:dyDescent="0.2"/>
    <row r="9100" ht="12.75" x14ac:dyDescent="0.2"/>
    <row r="9101" ht="12.75" x14ac:dyDescent="0.2"/>
    <row r="9102" ht="12.75" x14ac:dyDescent="0.2"/>
    <row r="9103" ht="12.75" x14ac:dyDescent="0.2"/>
    <row r="9104" ht="12.75" x14ac:dyDescent="0.2"/>
    <row r="9105" ht="12.75" x14ac:dyDescent="0.2"/>
    <row r="9106" ht="12.75" x14ac:dyDescent="0.2"/>
    <row r="9107" ht="12.75" x14ac:dyDescent="0.2"/>
    <row r="9108" ht="12.75" x14ac:dyDescent="0.2"/>
    <row r="9109" ht="12.75" x14ac:dyDescent="0.2"/>
    <row r="9110" ht="12.75" x14ac:dyDescent="0.2"/>
    <row r="9111" ht="12.75" x14ac:dyDescent="0.2"/>
    <row r="9112" ht="12.75" x14ac:dyDescent="0.2"/>
    <row r="9113" ht="12.75" x14ac:dyDescent="0.2"/>
    <row r="9114" ht="12.75" x14ac:dyDescent="0.2"/>
    <row r="9115" ht="12.75" x14ac:dyDescent="0.2"/>
    <row r="9116" ht="12.75" x14ac:dyDescent="0.2"/>
    <row r="9117" ht="12.75" x14ac:dyDescent="0.2"/>
    <row r="9118" ht="12.75" x14ac:dyDescent="0.2"/>
    <row r="9119" ht="12.75" x14ac:dyDescent="0.2"/>
    <row r="9120" ht="12.75" x14ac:dyDescent="0.2"/>
    <row r="9121" ht="12.75" x14ac:dyDescent="0.2"/>
    <row r="9122" ht="12.75" x14ac:dyDescent="0.2"/>
    <row r="9123" ht="12.75" x14ac:dyDescent="0.2"/>
    <row r="9124" ht="12.75" x14ac:dyDescent="0.2"/>
    <row r="9125" ht="12.75" x14ac:dyDescent="0.2"/>
    <row r="9126" ht="12.75" x14ac:dyDescent="0.2"/>
    <row r="9127" ht="12.75" x14ac:dyDescent="0.2"/>
    <row r="9128" ht="12.75" x14ac:dyDescent="0.2"/>
    <row r="9129" ht="12.75" x14ac:dyDescent="0.2"/>
    <row r="9130" ht="12.75" x14ac:dyDescent="0.2"/>
    <row r="9131" ht="12.75" x14ac:dyDescent="0.2"/>
    <row r="9132" ht="12.75" x14ac:dyDescent="0.2"/>
    <row r="9133" ht="12.75" x14ac:dyDescent="0.2"/>
    <row r="9134" ht="12.75" x14ac:dyDescent="0.2"/>
    <row r="9135" ht="12.75" x14ac:dyDescent="0.2"/>
    <row r="9136" ht="12.75" x14ac:dyDescent="0.2"/>
    <row r="9137" ht="12.75" x14ac:dyDescent="0.2"/>
    <row r="9138" ht="12.75" x14ac:dyDescent="0.2"/>
    <row r="9139" ht="12.75" x14ac:dyDescent="0.2"/>
    <row r="9140" ht="12.75" x14ac:dyDescent="0.2"/>
    <row r="9141" ht="12.75" x14ac:dyDescent="0.2"/>
    <row r="9142" ht="12.75" x14ac:dyDescent="0.2"/>
    <row r="9143" ht="12.75" x14ac:dyDescent="0.2"/>
    <row r="9144" ht="12.75" x14ac:dyDescent="0.2"/>
    <row r="9145" ht="12.75" x14ac:dyDescent="0.2"/>
    <row r="9146" ht="12.75" x14ac:dyDescent="0.2"/>
    <row r="9147" ht="12.75" x14ac:dyDescent="0.2"/>
    <row r="9148" ht="12.75" x14ac:dyDescent="0.2"/>
    <row r="9149" ht="12.75" x14ac:dyDescent="0.2"/>
    <row r="9150" ht="12.75" x14ac:dyDescent="0.2"/>
    <row r="9151" ht="12.75" x14ac:dyDescent="0.2"/>
    <row r="9152" ht="12.75" x14ac:dyDescent="0.2"/>
    <row r="9153" ht="12.75" x14ac:dyDescent="0.2"/>
    <row r="9154" ht="12.75" x14ac:dyDescent="0.2"/>
    <row r="9155" ht="12.75" x14ac:dyDescent="0.2"/>
    <row r="9156" ht="12.75" x14ac:dyDescent="0.2"/>
    <row r="9157" ht="12.75" x14ac:dyDescent="0.2"/>
    <row r="9158" ht="12.75" x14ac:dyDescent="0.2"/>
    <row r="9159" ht="12.75" x14ac:dyDescent="0.2"/>
    <row r="9160" ht="12.75" x14ac:dyDescent="0.2"/>
    <row r="9161" ht="12.75" x14ac:dyDescent="0.2"/>
    <row r="9162" ht="12.75" x14ac:dyDescent="0.2"/>
    <row r="9163" ht="12.75" x14ac:dyDescent="0.2"/>
    <row r="9164" ht="12.75" x14ac:dyDescent="0.2"/>
    <row r="9165" ht="12.75" x14ac:dyDescent="0.2"/>
    <row r="9166" ht="12.75" x14ac:dyDescent="0.2"/>
    <row r="9167" ht="12.75" x14ac:dyDescent="0.2"/>
    <row r="9168" ht="12.75" x14ac:dyDescent="0.2"/>
    <row r="9169" ht="12.75" x14ac:dyDescent="0.2"/>
    <row r="9170" ht="12.75" x14ac:dyDescent="0.2"/>
    <row r="9171" ht="12.75" x14ac:dyDescent="0.2"/>
    <row r="9172" ht="12.75" x14ac:dyDescent="0.2"/>
    <row r="9173" ht="12.75" x14ac:dyDescent="0.2"/>
    <row r="9174" ht="12.75" x14ac:dyDescent="0.2"/>
    <row r="9175" ht="12.75" x14ac:dyDescent="0.2"/>
    <row r="9176" ht="12.75" x14ac:dyDescent="0.2"/>
    <row r="9177" ht="12.75" x14ac:dyDescent="0.2"/>
    <row r="9178" ht="12.75" x14ac:dyDescent="0.2"/>
    <row r="9179" ht="12.75" x14ac:dyDescent="0.2"/>
    <row r="9180" ht="12.75" x14ac:dyDescent="0.2"/>
    <row r="9181" ht="12.75" x14ac:dyDescent="0.2"/>
    <row r="9182" ht="12.75" x14ac:dyDescent="0.2"/>
    <row r="9183" ht="12.75" x14ac:dyDescent="0.2"/>
    <row r="9184" ht="12.75" x14ac:dyDescent="0.2"/>
    <row r="9185" ht="12.75" x14ac:dyDescent="0.2"/>
    <row r="9186" ht="12.75" x14ac:dyDescent="0.2"/>
    <row r="9187" ht="12.75" x14ac:dyDescent="0.2"/>
    <row r="9188" ht="12.75" x14ac:dyDescent="0.2"/>
    <row r="9189" ht="12.75" x14ac:dyDescent="0.2"/>
    <row r="9190" ht="12.75" x14ac:dyDescent="0.2"/>
    <row r="9191" ht="12.75" x14ac:dyDescent="0.2"/>
    <row r="9192" ht="12.75" x14ac:dyDescent="0.2"/>
    <row r="9193" ht="12.75" x14ac:dyDescent="0.2"/>
    <row r="9194" ht="12.75" x14ac:dyDescent="0.2"/>
    <row r="9195" ht="12.75" x14ac:dyDescent="0.2"/>
    <row r="9196" ht="12.75" x14ac:dyDescent="0.2"/>
    <row r="9197" ht="12.75" x14ac:dyDescent="0.2"/>
    <row r="9198" ht="12.75" x14ac:dyDescent="0.2"/>
    <row r="9199" ht="12.75" x14ac:dyDescent="0.2"/>
    <row r="9200" ht="12.75" x14ac:dyDescent="0.2"/>
    <row r="9201" ht="12.75" x14ac:dyDescent="0.2"/>
    <row r="9202" ht="12.75" x14ac:dyDescent="0.2"/>
    <row r="9203" ht="12.75" x14ac:dyDescent="0.2"/>
    <row r="9204" ht="12.75" x14ac:dyDescent="0.2"/>
    <row r="9205" ht="12.75" x14ac:dyDescent="0.2"/>
    <row r="9206" ht="12.75" x14ac:dyDescent="0.2"/>
    <row r="9207" ht="12.75" x14ac:dyDescent="0.2"/>
    <row r="9208" ht="12.75" x14ac:dyDescent="0.2"/>
    <row r="9209" ht="12.75" x14ac:dyDescent="0.2"/>
    <row r="9210" ht="12.75" x14ac:dyDescent="0.2"/>
    <row r="9211" ht="12.75" x14ac:dyDescent="0.2"/>
    <row r="9212" ht="12.75" x14ac:dyDescent="0.2"/>
    <row r="9213" ht="12.75" x14ac:dyDescent="0.2"/>
    <row r="9214" ht="12.75" x14ac:dyDescent="0.2"/>
    <row r="9215" ht="12.75" x14ac:dyDescent="0.2"/>
    <row r="9216" ht="12.75" x14ac:dyDescent="0.2"/>
    <row r="9217" ht="12.75" x14ac:dyDescent="0.2"/>
    <row r="9218" ht="12.75" x14ac:dyDescent="0.2"/>
    <row r="9219" ht="12.75" x14ac:dyDescent="0.2"/>
    <row r="9220" ht="12.75" x14ac:dyDescent="0.2"/>
    <row r="9221" ht="12.75" x14ac:dyDescent="0.2"/>
    <row r="9222" ht="12.75" x14ac:dyDescent="0.2"/>
    <row r="9223" ht="12.75" x14ac:dyDescent="0.2"/>
    <row r="9224" ht="12.75" x14ac:dyDescent="0.2"/>
    <row r="9225" ht="12.75" x14ac:dyDescent="0.2"/>
    <row r="9226" ht="12.75" x14ac:dyDescent="0.2"/>
    <row r="9227" ht="12.75" x14ac:dyDescent="0.2"/>
    <row r="9228" ht="12.75" x14ac:dyDescent="0.2"/>
    <row r="9229" ht="12.75" x14ac:dyDescent="0.2"/>
    <row r="9230" ht="12.75" x14ac:dyDescent="0.2"/>
    <row r="9231" ht="12.75" x14ac:dyDescent="0.2"/>
    <row r="9232" ht="12.75" x14ac:dyDescent="0.2"/>
    <row r="9233" ht="12.75" x14ac:dyDescent="0.2"/>
    <row r="9234" ht="12.75" x14ac:dyDescent="0.2"/>
    <row r="9235" ht="12.75" x14ac:dyDescent="0.2"/>
    <row r="9236" ht="12.75" x14ac:dyDescent="0.2"/>
    <row r="9237" ht="12.75" x14ac:dyDescent="0.2"/>
    <row r="9238" ht="12.75" x14ac:dyDescent="0.2"/>
    <row r="9239" ht="12.75" x14ac:dyDescent="0.2"/>
    <row r="9240" ht="12.75" x14ac:dyDescent="0.2"/>
    <row r="9241" ht="12.75" x14ac:dyDescent="0.2"/>
    <row r="9242" ht="12.75" x14ac:dyDescent="0.2"/>
    <row r="9243" ht="12.75" x14ac:dyDescent="0.2"/>
    <row r="9244" ht="12.75" x14ac:dyDescent="0.2"/>
    <row r="9245" ht="12.75" x14ac:dyDescent="0.2"/>
    <row r="9246" ht="12.75" x14ac:dyDescent="0.2"/>
    <row r="9247" ht="12.75" x14ac:dyDescent="0.2"/>
    <row r="9248" ht="12.75" x14ac:dyDescent="0.2"/>
    <row r="9249" ht="12.75" x14ac:dyDescent="0.2"/>
    <row r="9250" ht="12.75" x14ac:dyDescent="0.2"/>
    <row r="9251" ht="12.75" x14ac:dyDescent="0.2"/>
    <row r="9252" ht="12.75" x14ac:dyDescent="0.2"/>
    <row r="9253" ht="12.75" x14ac:dyDescent="0.2"/>
    <row r="9254" ht="12.75" x14ac:dyDescent="0.2"/>
    <row r="9255" ht="12.75" x14ac:dyDescent="0.2"/>
    <row r="9256" ht="12.75" x14ac:dyDescent="0.2"/>
    <row r="9257" ht="12.75" x14ac:dyDescent="0.2"/>
    <row r="9258" ht="12.75" x14ac:dyDescent="0.2"/>
    <row r="9259" ht="12.75" x14ac:dyDescent="0.2"/>
    <row r="9260" ht="12.75" x14ac:dyDescent="0.2"/>
    <row r="9261" ht="12.75" x14ac:dyDescent="0.2"/>
    <row r="9262" ht="12.75" x14ac:dyDescent="0.2"/>
    <row r="9263" ht="12.75" x14ac:dyDescent="0.2"/>
    <row r="9264" ht="12.75" x14ac:dyDescent="0.2"/>
    <row r="9265" ht="12.75" x14ac:dyDescent="0.2"/>
    <row r="9266" ht="12.75" x14ac:dyDescent="0.2"/>
    <row r="9267" ht="12.75" x14ac:dyDescent="0.2"/>
    <row r="9268" ht="12.75" x14ac:dyDescent="0.2"/>
    <row r="9269" ht="12.75" x14ac:dyDescent="0.2"/>
    <row r="9270" ht="12.75" x14ac:dyDescent="0.2"/>
    <row r="9271" ht="12.75" x14ac:dyDescent="0.2"/>
    <row r="9272" ht="12.75" x14ac:dyDescent="0.2"/>
    <row r="9273" ht="12.75" x14ac:dyDescent="0.2"/>
    <row r="9274" ht="12.75" x14ac:dyDescent="0.2"/>
    <row r="9275" ht="12.75" x14ac:dyDescent="0.2"/>
    <row r="9276" ht="12.75" x14ac:dyDescent="0.2"/>
    <row r="9277" ht="12.75" x14ac:dyDescent="0.2"/>
    <row r="9278" ht="12.75" x14ac:dyDescent="0.2"/>
    <row r="9279" ht="12.75" x14ac:dyDescent="0.2"/>
    <row r="9280" ht="12.75" x14ac:dyDescent="0.2"/>
    <row r="9281" ht="12.75" x14ac:dyDescent="0.2"/>
    <row r="9282" ht="12.75" x14ac:dyDescent="0.2"/>
    <row r="9283" ht="12.75" x14ac:dyDescent="0.2"/>
    <row r="9284" ht="12.75" x14ac:dyDescent="0.2"/>
    <row r="9285" ht="12.75" x14ac:dyDescent="0.2"/>
    <row r="9286" ht="12.75" x14ac:dyDescent="0.2"/>
    <row r="9287" ht="12.75" x14ac:dyDescent="0.2"/>
    <row r="9288" ht="12.75" x14ac:dyDescent="0.2"/>
    <row r="9289" ht="12.75" x14ac:dyDescent="0.2"/>
    <row r="9290" ht="12.75" x14ac:dyDescent="0.2"/>
    <row r="9291" ht="12.75" x14ac:dyDescent="0.2"/>
    <row r="9292" ht="12.75" x14ac:dyDescent="0.2"/>
    <row r="9293" ht="12.75" x14ac:dyDescent="0.2"/>
    <row r="9294" ht="12.75" x14ac:dyDescent="0.2"/>
    <row r="9295" ht="12.75" x14ac:dyDescent="0.2"/>
    <row r="9296" ht="12.75" x14ac:dyDescent="0.2"/>
    <row r="9297" ht="12.75" x14ac:dyDescent="0.2"/>
    <row r="9298" ht="12.75" x14ac:dyDescent="0.2"/>
    <row r="9299" ht="12.75" x14ac:dyDescent="0.2"/>
    <row r="9300" ht="12.75" x14ac:dyDescent="0.2"/>
    <row r="9301" ht="12.75" x14ac:dyDescent="0.2"/>
    <row r="9302" ht="12.75" x14ac:dyDescent="0.2"/>
    <row r="9303" ht="12.75" x14ac:dyDescent="0.2"/>
    <row r="9304" ht="12.75" x14ac:dyDescent="0.2"/>
    <row r="9305" ht="12.75" x14ac:dyDescent="0.2"/>
    <row r="9306" ht="12.75" x14ac:dyDescent="0.2"/>
    <row r="9307" ht="12.75" x14ac:dyDescent="0.2"/>
    <row r="9308" ht="12.75" x14ac:dyDescent="0.2"/>
    <row r="9309" ht="12.75" x14ac:dyDescent="0.2"/>
    <row r="9310" ht="12.75" x14ac:dyDescent="0.2"/>
    <row r="9311" ht="12.75" x14ac:dyDescent="0.2"/>
    <row r="9312" ht="12.75" x14ac:dyDescent="0.2"/>
    <row r="9313" ht="12.75" x14ac:dyDescent="0.2"/>
    <row r="9314" ht="12.75" x14ac:dyDescent="0.2"/>
    <row r="9315" ht="12.75" x14ac:dyDescent="0.2"/>
    <row r="9316" ht="12.75" x14ac:dyDescent="0.2"/>
    <row r="9317" ht="12.75" x14ac:dyDescent="0.2"/>
    <row r="9318" ht="12.75" x14ac:dyDescent="0.2"/>
    <row r="9319" ht="12.75" x14ac:dyDescent="0.2"/>
    <row r="9320" ht="12.75" x14ac:dyDescent="0.2"/>
    <row r="9321" ht="12.75" x14ac:dyDescent="0.2"/>
    <row r="9322" ht="12.75" x14ac:dyDescent="0.2"/>
    <row r="9323" ht="12.75" x14ac:dyDescent="0.2"/>
    <row r="9324" ht="12.75" x14ac:dyDescent="0.2"/>
    <row r="9325" ht="12.75" x14ac:dyDescent="0.2"/>
    <row r="9326" ht="12.75" x14ac:dyDescent="0.2"/>
    <row r="9327" ht="12.75" x14ac:dyDescent="0.2"/>
    <row r="9328" ht="12.75" x14ac:dyDescent="0.2"/>
    <row r="9329" ht="12.75" x14ac:dyDescent="0.2"/>
    <row r="9330" ht="12.75" x14ac:dyDescent="0.2"/>
    <row r="9331" ht="12.75" x14ac:dyDescent="0.2"/>
    <row r="9332" ht="12.75" x14ac:dyDescent="0.2"/>
    <row r="9333" ht="12.75" x14ac:dyDescent="0.2"/>
    <row r="9334" ht="12.75" x14ac:dyDescent="0.2"/>
    <row r="9335" ht="12.75" x14ac:dyDescent="0.2"/>
    <row r="9336" ht="12.75" x14ac:dyDescent="0.2"/>
    <row r="9337" ht="12.75" x14ac:dyDescent="0.2"/>
    <row r="9338" ht="12.75" x14ac:dyDescent="0.2"/>
    <row r="9339" ht="12.75" x14ac:dyDescent="0.2"/>
    <row r="9340" ht="12.75" x14ac:dyDescent="0.2"/>
    <row r="9341" ht="12.75" x14ac:dyDescent="0.2"/>
    <row r="9342" ht="12.75" x14ac:dyDescent="0.2"/>
    <row r="9343" ht="12.75" x14ac:dyDescent="0.2"/>
    <row r="9344" ht="12.75" x14ac:dyDescent="0.2"/>
    <row r="9345" ht="12.75" x14ac:dyDescent="0.2"/>
    <row r="9346" ht="12.75" x14ac:dyDescent="0.2"/>
    <row r="9347" ht="12.75" x14ac:dyDescent="0.2"/>
    <row r="9348" ht="12.75" x14ac:dyDescent="0.2"/>
    <row r="9349" ht="12.75" x14ac:dyDescent="0.2"/>
    <row r="9350" ht="12.75" x14ac:dyDescent="0.2"/>
    <row r="9351" ht="12.75" x14ac:dyDescent="0.2"/>
    <row r="9352" ht="12.75" x14ac:dyDescent="0.2"/>
    <row r="9353" ht="12.75" x14ac:dyDescent="0.2"/>
    <row r="9354" ht="12.75" x14ac:dyDescent="0.2"/>
    <row r="9355" ht="12.75" x14ac:dyDescent="0.2"/>
    <row r="9356" ht="12.75" x14ac:dyDescent="0.2"/>
    <row r="9357" ht="12.75" x14ac:dyDescent="0.2"/>
    <row r="9358" ht="12.75" x14ac:dyDescent="0.2"/>
    <row r="9359" ht="12.75" x14ac:dyDescent="0.2"/>
    <row r="9360" ht="12.75" x14ac:dyDescent="0.2"/>
    <row r="9361" ht="12.75" x14ac:dyDescent="0.2"/>
    <row r="9362" ht="12.75" x14ac:dyDescent="0.2"/>
    <row r="9363" ht="12.75" x14ac:dyDescent="0.2"/>
    <row r="9364" ht="12.75" x14ac:dyDescent="0.2"/>
    <row r="9365" ht="12.75" x14ac:dyDescent="0.2"/>
    <row r="9366" ht="12.75" x14ac:dyDescent="0.2"/>
    <row r="9367" ht="12.75" x14ac:dyDescent="0.2"/>
    <row r="9368" ht="12.75" x14ac:dyDescent="0.2"/>
    <row r="9369" ht="12.75" x14ac:dyDescent="0.2"/>
    <row r="9370" ht="12.75" x14ac:dyDescent="0.2"/>
    <row r="9371" ht="12.75" x14ac:dyDescent="0.2"/>
    <row r="9372" ht="12.75" x14ac:dyDescent="0.2"/>
    <row r="9373" ht="12.75" x14ac:dyDescent="0.2"/>
    <row r="9374" ht="12.75" x14ac:dyDescent="0.2"/>
    <row r="9375" ht="12.75" x14ac:dyDescent="0.2"/>
    <row r="9376" ht="12.75" x14ac:dyDescent="0.2"/>
    <row r="9377" ht="12.75" x14ac:dyDescent="0.2"/>
    <row r="9378" ht="12.75" x14ac:dyDescent="0.2"/>
    <row r="9379" ht="12.75" x14ac:dyDescent="0.2"/>
    <row r="9380" ht="12.75" x14ac:dyDescent="0.2"/>
    <row r="9381" ht="12.75" x14ac:dyDescent="0.2"/>
    <row r="9382" ht="12.75" x14ac:dyDescent="0.2"/>
    <row r="9383" ht="12.75" x14ac:dyDescent="0.2"/>
    <row r="9384" ht="12.75" x14ac:dyDescent="0.2"/>
    <row r="9385" ht="12.75" x14ac:dyDescent="0.2"/>
    <row r="9386" ht="12.75" x14ac:dyDescent="0.2"/>
    <row r="9387" ht="12.75" x14ac:dyDescent="0.2"/>
    <row r="9388" ht="12.75" x14ac:dyDescent="0.2"/>
    <row r="9389" ht="12.75" x14ac:dyDescent="0.2"/>
    <row r="9390" ht="12.75" x14ac:dyDescent="0.2"/>
    <row r="9391" ht="12.75" x14ac:dyDescent="0.2"/>
    <row r="9392" ht="12.75" x14ac:dyDescent="0.2"/>
    <row r="9393" ht="12.75" x14ac:dyDescent="0.2"/>
    <row r="9394" ht="12.75" x14ac:dyDescent="0.2"/>
    <row r="9395" ht="12.75" x14ac:dyDescent="0.2"/>
    <row r="9396" ht="12.75" x14ac:dyDescent="0.2"/>
    <row r="9397" ht="12.75" x14ac:dyDescent="0.2"/>
    <row r="9398" ht="12.75" x14ac:dyDescent="0.2"/>
    <row r="9399" ht="12.75" x14ac:dyDescent="0.2"/>
    <row r="9400" ht="12.75" x14ac:dyDescent="0.2"/>
    <row r="9401" ht="12.75" x14ac:dyDescent="0.2"/>
    <row r="9402" ht="12.75" x14ac:dyDescent="0.2"/>
    <row r="9403" ht="12.75" x14ac:dyDescent="0.2"/>
    <row r="9404" ht="12.75" x14ac:dyDescent="0.2"/>
    <row r="9405" ht="12.75" x14ac:dyDescent="0.2"/>
    <row r="9406" ht="12.75" x14ac:dyDescent="0.2"/>
    <row r="9407" ht="12.75" x14ac:dyDescent="0.2"/>
    <row r="9408" ht="12.75" x14ac:dyDescent="0.2"/>
    <row r="9409" ht="12.75" x14ac:dyDescent="0.2"/>
    <row r="9410" ht="12.75" x14ac:dyDescent="0.2"/>
    <row r="9411" ht="12.75" x14ac:dyDescent="0.2"/>
    <row r="9412" ht="12.75" x14ac:dyDescent="0.2"/>
    <row r="9413" ht="12.75" x14ac:dyDescent="0.2"/>
    <row r="9414" ht="12.75" x14ac:dyDescent="0.2"/>
    <row r="9415" ht="12.75" x14ac:dyDescent="0.2"/>
    <row r="9416" ht="12.75" x14ac:dyDescent="0.2"/>
    <row r="9417" ht="12.75" x14ac:dyDescent="0.2"/>
    <row r="9418" ht="12.75" x14ac:dyDescent="0.2"/>
    <row r="9419" ht="12.75" x14ac:dyDescent="0.2"/>
    <row r="9420" ht="12.75" x14ac:dyDescent="0.2"/>
    <row r="9421" ht="12.75" x14ac:dyDescent="0.2"/>
    <row r="9422" ht="12.75" x14ac:dyDescent="0.2"/>
    <row r="9423" ht="12.75" x14ac:dyDescent="0.2"/>
    <row r="9424" ht="12.75" x14ac:dyDescent="0.2"/>
    <row r="9425" ht="12.75" x14ac:dyDescent="0.2"/>
    <row r="9426" ht="12.75" x14ac:dyDescent="0.2"/>
    <row r="9427" ht="12.75" x14ac:dyDescent="0.2"/>
    <row r="9428" ht="12.75" x14ac:dyDescent="0.2"/>
    <row r="9429" ht="12.75" x14ac:dyDescent="0.2"/>
    <row r="9430" ht="12.75" x14ac:dyDescent="0.2"/>
    <row r="9431" ht="12.75" x14ac:dyDescent="0.2"/>
    <row r="9432" ht="12.75" x14ac:dyDescent="0.2"/>
    <row r="9433" ht="12.75" x14ac:dyDescent="0.2"/>
    <row r="9434" ht="12.75" x14ac:dyDescent="0.2"/>
    <row r="9435" ht="12.75" x14ac:dyDescent="0.2"/>
    <row r="9436" ht="12.75" x14ac:dyDescent="0.2"/>
    <row r="9437" ht="12.75" x14ac:dyDescent="0.2"/>
    <row r="9438" ht="12.75" x14ac:dyDescent="0.2"/>
    <row r="9439" ht="12.75" x14ac:dyDescent="0.2"/>
    <row r="9440" ht="12.75" x14ac:dyDescent="0.2"/>
    <row r="9441" ht="12.75" x14ac:dyDescent="0.2"/>
    <row r="9442" ht="12.75" x14ac:dyDescent="0.2"/>
    <row r="9443" ht="12.75" x14ac:dyDescent="0.2"/>
    <row r="9444" ht="12.75" x14ac:dyDescent="0.2"/>
    <row r="9445" ht="12.75" x14ac:dyDescent="0.2"/>
    <row r="9446" ht="12.75" x14ac:dyDescent="0.2"/>
    <row r="9447" ht="12.75" x14ac:dyDescent="0.2"/>
    <row r="9448" ht="12.75" x14ac:dyDescent="0.2"/>
    <row r="9449" ht="12.75" x14ac:dyDescent="0.2"/>
    <row r="9450" ht="12.75" x14ac:dyDescent="0.2"/>
    <row r="9451" ht="12.75" x14ac:dyDescent="0.2"/>
    <row r="9452" ht="12.75" x14ac:dyDescent="0.2"/>
    <row r="9453" ht="12.75" x14ac:dyDescent="0.2"/>
    <row r="9454" ht="12.75" x14ac:dyDescent="0.2"/>
    <row r="9455" ht="12.75" x14ac:dyDescent="0.2"/>
    <row r="9456" ht="12.75" x14ac:dyDescent="0.2"/>
    <row r="9457" ht="12.75" x14ac:dyDescent="0.2"/>
    <row r="9458" ht="12.75" x14ac:dyDescent="0.2"/>
    <row r="9459" ht="12.75" x14ac:dyDescent="0.2"/>
    <row r="9460" ht="12.75" x14ac:dyDescent="0.2"/>
    <row r="9461" ht="12.75" x14ac:dyDescent="0.2"/>
    <row r="9462" ht="12.75" x14ac:dyDescent="0.2"/>
    <row r="9463" ht="12.75" x14ac:dyDescent="0.2"/>
    <row r="9464" ht="12.75" x14ac:dyDescent="0.2"/>
    <row r="9465" ht="12.75" x14ac:dyDescent="0.2"/>
    <row r="9466" ht="12.75" x14ac:dyDescent="0.2"/>
    <row r="9467" ht="12.75" x14ac:dyDescent="0.2"/>
    <row r="9468" ht="12.75" x14ac:dyDescent="0.2"/>
    <row r="9469" ht="12.75" x14ac:dyDescent="0.2"/>
    <row r="9470" ht="12.75" x14ac:dyDescent="0.2"/>
    <row r="9471" ht="12.75" x14ac:dyDescent="0.2"/>
    <row r="9472" ht="12.75" x14ac:dyDescent="0.2"/>
    <row r="9473" ht="12.75" x14ac:dyDescent="0.2"/>
    <row r="9474" ht="12.75" x14ac:dyDescent="0.2"/>
    <row r="9475" ht="12.75" x14ac:dyDescent="0.2"/>
    <row r="9476" ht="12.75" x14ac:dyDescent="0.2"/>
    <row r="9477" ht="12.75" x14ac:dyDescent="0.2"/>
    <row r="9478" ht="12.75" x14ac:dyDescent="0.2"/>
    <row r="9479" ht="12.75" x14ac:dyDescent="0.2"/>
    <row r="9480" ht="12.75" x14ac:dyDescent="0.2"/>
    <row r="9481" ht="12.75" x14ac:dyDescent="0.2"/>
    <row r="9482" ht="12.75" x14ac:dyDescent="0.2"/>
    <row r="9483" ht="12.75" x14ac:dyDescent="0.2"/>
    <row r="9484" ht="12.75" x14ac:dyDescent="0.2"/>
    <row r="9485" ht="12.75" x14ac:dyDescent="0.2"/>
    <row r="9486" ht="12.75" x14ac:dyDescent="0.2"/>
    <row r="9487" ht="12.75" x14ac:dyDescent="0.2"/>
    <row r="9488" ht="12.75" x14ac:dyDescent="0.2"/>
    <row r="9489" ht="12.75" x14ac:dyDescent="0.2"/>
    <row r="9490" ht="12.75" x14ac:dyDescent="0.2"/>
    <row r="9491" ht="12.75" x14ac:dyDescent="0.2"/>
    <row r="9492" ht="12.75" x14ac:dyDescent="0.2"/>
    <row r="9493" ht="12.75" x14ac:dyDescent="0.2"/>
    <row r="9494" ht="12.75" x14ac:dyDescent="0.2"/>
    <row r="9495" ht="12.75" x14ac:dyDescent="0.2"/>
    <row r="9496" ht="12.75" x14ac:dyDescent="0.2"/>
    <row r="9497" ht="12.75" x14ac:dyDescent="0.2"/>
    <row r="9498" ht="12.75" x14ac:dyDescent="0.2"/>
    <row r="9499" ht="12.75" x14ac:dyDescent="0.2"/>
    <row r="9500" ht="12.75" x14ac:dyDescent="0.2"/>
    <row r="9501" ht="12.75" x14ac:dyDescent="0.2"/>
    <row r="9502" ht="12.75" x14ac:dyDescent="0.2"/>
    <row r="9503" ht="12.75" x14ac:dyDescent="0.2"/>
    <row r="9504" ht="12.75" x14ac:dyDescent="0.2"/>
    <row r="9505" ht="12.75" x14ac:dyDescent="0.2"/>
    <row r="9506" ht="12.75" x14ac:dyDescent="0.2"/>
    <row r="9507" ht="12.75" x14ac:dyDescent="0.2"/>
    <row r="9508" ht="12.75" x14ac:dyDescent="0.2"/>
    <row r="9509" ht="12.75" x14ac:dyDescent="0.2"/>
    <row r="9510" ht="12.75" x14ac:dyDescent="0.2"/>
    <row r="9511" ht="12.75" x14ac:dyDescent="0.2"/>
    <row r="9512" ht="12.75" x14ac:dyDescent="0.2"/>
    <row r="9513" ht="12.75" x14ac:dyDescent="0.2"/>
    <row r="9514" ht="12.75" x14ac:dyDescent="0.2"/>
    <row r="9515" ht="12.75" x14ac:dyDescent="0.2"/>
    <row r="9516" ht="12.75" x14ac:dyDescent="0.2"/>
    <row r="9517" ht="12.75" x14ac:dyDescent="0.2"/>
    <row r="9518" ht="12.75" x14ac:dyDescent="0.2"/>
    <row r="9519" ht="12.75" x14ac:dyDescent="0.2"/>
    <row r="9520" ht="12.75" x14ac:dyDescent="0.2"/>
    <row r="9521" ht="12.75" x14ac:dyDescent="0.2"/>
    <row r="9522" ht="12.75" x14ac:dyDescent="0.2"/>
    <row r="9523" ht="12.75" x14ac:dyDescent="0.2"/>
    <row r="9524" ht="12.75" x14ac:dyDescent="0.2"/>
    <row r="9525" ht="12.75" x14ac:dyDescent="0.2"/>
    <row r="9526" ht="12.75" x14ac:dyDescent="0.2"/>
    <row r="9527" ht="12.75" x14ac:dyDescent="0.2"/>
    <row r="9528" ht="12.75" x14ac:dyDescent="0.2"/>
    <row r="9529" ht="12.75" x14ac:dyDescent="0.2"/>
    <row r="9530" ht="12.75" x14ac:dyDescent="0.2"/>
    <row r="9531" ht="12.75" x14ac:dyDescent="0.2"/>
    <row r="9532" ht="12.75" x14ac:dyDescent="0.2"/>
    <row r="9533" ht="12.75" x14ac:dyDescent="0.2"/>
    <row r="9534" ht="12.75" x14ac:dyDescent="0.2"/>
    <row r="9535" ht="12.75" x14ac:dyDescent="0.2"/>
    <row r="9536" ht="12.75" x14ac:dyDescent="0.2"/>
    <row r="9537" ht="12.75" x14ac:dyDescent="0.2"/>
    <row r="9538" ht="12.75" x14ac:dyDescent="0.2"/>
    <row r="9539" ht="12.75" x14ac:dyDescent="0.2"/>
    <row r="9540" ht="12.75" x14ac:dyDescent="0.2"/>
    <row r="9541" ht="12.75" x14ac:dyDescent="0.2"/>
    <row r="9542" ht="12.75" x14ac:dyDescent="0.2"/>
    <row r="9543" ht="12.75" x14ac:dyDescent="0.2"/>
    <row r="9544" ht="12.75" x14ac:dyDescent="0.2"/>
    <row r="9545" ht="12.75" x14ac:dyDescent="0.2"/>
    <row r="9546" ht="12.75" x14ac:dyDescent="0.2"/>
    <row r="9547" ht="12.75" x14ac:dyDescent="0.2"/>
    <row r="9548" ht="12.75" x14ac:dyDescent="0.2"/>
    <row r="9549" ht="12.75" x14ac:dyDescent="0.2"/>
    <row r="9550" ht="12.75" x14ac:dyDescent="0.2"/>
    <row r="9551" ht="12.75" x14ac:dyDescent="0.2"/>
    <row r="9552" ht="12.75" x14ac:dyDescent="0.2"/>
    <row r="9553" ht="12.75" x14ac:dyDescent="0.2"/>
    <row r="9554" ht="12.75" x14ac:dyDescent="0.2"/>
    <row r="9555" ht="12.75" x14ac:dyDescent="0.2"/>
    <row r="9556" ht="12.75" x14ac:dyDescent="0.2"/>
    <row r="9557" ht="12.75" x14ac:dyDescent="0.2"/>
    <row r="9558" ht="12.75" x14ac:dyDescent="0.2"/>
    <row r="9559" ht="12.75" x14ac:dyDescent="0.2"/>
    <row r="9560" ht="12.75" x14ac:dyDescent="0.2"/>
    <row r="9561" ht="12.75" x14ac:dyDescent="0.2"/>
    <row r="9562" ht="12.75" x14ac:dyDescent="0.2"/>
    <row r="9563" ht="12.75" x14ac:dyDescent="0.2"/>
    <row r="9564" ht="12.75" x14ac:dyDescent="0.2"/>
    <row r="9565" ht="12.75" x14ac:dyDescent="0.2"/>
    <row r="9566" ht="12.75" x14ac:dyDescent="0.2"/>
    <row r="9567" ht="12.75" x14ac:dyDescent="0.2"/>
    <row r="9568" ht="12.75" x14ac:dyDescent="0.2"/>
    <row r="9569" ht="12.75" x14ac:dyDescent="0.2"/>
    <row r="9570" ht="12.75" x14ac:dyDescent="0.2"/>
    <row r="9571" ht="12.75" x14ac:dyDescent="0.2"/>
    <row r="9572" ht="12.75" x14ac:dyDescent="0.2"/>
    <row r="9573" ht="12.75" x14ac:dyDescent="0.2"/>
    <row r="9574" ht="12.75" x14ac:dyDescent="0.2"/>
    <row r="9575" ht="12.75" x14ac:dyDescent="0.2"/>
    <row r="9576" ht="12.75" x14ac:dyDescent="0.2"/>
    <row r="9577" ht="12.75" x14ac:dyDescent="0.2"/>
    <row r="9578" ht="12.75" x14ac:dyDescent="0.2"/>
    <row r="9579" ht="12.75" x14ac:dyDescent="0.2"/>
    <row r="9580" ht="12.75" x14ac:dyDescent="0.2"/>
    <row r="9581" ht="12.75" x14ac:dyDescent="0.2"/>
    <row r="9582" ht="12.75" x14ac:dyDescent="0.2"/>
    <row r="9583" ht="12.75" x14ac:dyDescent="0.2"/>
    <row r="9584" ht="12.75" x14ac:dyDescent="0.2"/>
    <row r="9585" ht="12.75" x14ac:dyDescent="0.2"/>
    <row r="9586" ht="12.75" x14ac:dyDescent="0.2"/>
    <row r="9587" ht="12.75" x14ac:dyDescent="0.2"/>
    <row r="9588" ht="12.75" x14ac:dyDescent="0.2"/>
    <row r="9589" ht="12.75" x14ac:dyDescent="0.2"/>
    <row r="9590" ht="12.75" x14ac:dyDescent="0.2"/>
    <row r="9591" ht="12.75" x14ac:dyDescent="0.2"/>
    <row r="9592" ht="12.75" x14ac:dyDescent="0.2"/>
    <row r="9593" ht="12.75" x14ac:dyDescent="0.2"/>
    <row r="9594" ht="12.75" x14ac:dyDescent="0.2"/>
    <row r="9595" ht="12.75" x14ac:dyDescent="0.2"/>
    <row r="9596" ht="12.75" x14ac:dyDescent="0.2"/>
    <row r="9597" ht="12.75" x14ac:dyDescent="0.2"/>
    <row r="9598" ht="12.75" x14ac:dyDescent="0.2"/>
    <row r="9599" ht="12.75" x14ac:dyDescent="0.2"/>
    <row r="9600" ht="12.75" x14ac:dyDescent="0.2"/>
    <row r="9601" ht="12.75" x14ac:dyDescent="0.2"/>
    <row r="9602" ht="12.75" x14ac:dyDescent="0.2"/>
    <row r="9603" ht="12.75" x14ac:dyDescent="0.2"/>
    <row r="9604" ht="12.75" x14ac:dyDescent="0.2"/>
    <row r="9605" ht="12.75" x14ac:dyDescent="0.2"/>
    <row r="9606" ht="12.75" x14ac:dyDescent="0.2"/>
    <row r="9607" ht="12.75" x14ac:dyDescent="0.2"/>
    <row r="9608" ht="12.75" x14ac:dyDescent="0.2"/>
    <row r="9609" ht="12.75" x14ac:dyDescent="0.2"/>
    <row r="9610" ht="12.75" x14ac:dyDescent="0.2"/>
    <row r="9611" ht="12.75" x14ac:dyDescent="0.2"/>
    <row r="9612" ht="12.75" x14ac:dyDescent="0.2"/>
    <row r="9613" ht="12.75" x14ac:dyDescent="0.2"/>
    <row r="9614" ht="12.75" x14ac:dyDescent="0.2"/>
    <row r="9615" ht="12.75" x14ac:dyDescent="0.2"/>
    <row r="9616" ht="12.75" x14ac:dyDescent="0.2"/>
    <row r="9617" ht="12.75" x14ac:dyDescent="0.2"/>
    <row r="9618" ht="12.75" x14ac:dyDescent="0.2"/>
    <row r="9619" ht="12.75" x14ac:dyDescent="0.2"/>
    <row r="9620" ht="12.75" x14ac:dyDescent="0.2"/>
    <row r="9621" ht="12.75" x14ac:dyDescent="0.2"/>
    <row r="9622" ht="12.75" x14ac:dyDescent="0.2"/>
    <row r="9623" ht="12.75" x14ac:dyDescent="0.2"/>
    <row r="9624" ht="12.75" x14ac:dyDescent="0.2"/>
    <row r="9625" ht="12.75" x14ac:dyDescent="0.2"/>
    <row r="9626" ht="12.75" x14ac:dyDescent="0.2"/>
    <row r="9627" ht="12.75" x14ac:dyDescent="0.2"/>
    <row r="9628" ht="12.75" x14ac:dyDescent="0.2"/>
    <row r="9629" ht="12.75" x14ac:dyDescent="0.2"/>
    <row r="9630" ht="12.75" x14ac:dyDescent="0.2"/>
    <row r="9631" ht="12.75" x14ac:dyDescent="0.2"/>
    <row r="9632" ht="12.75" x14ac:dyDescent="0.2"/>
    <row r="9633" ht="12.75" x14ac:dyDescent="0.2"/>
    <row r="9634" ht="12.75" x14ac:dyDescent="0.2"/>
    <row r="9635" ht="12.75" x14ac:dyDescent="0.2"/>
    <row r="9636" ht="12.75" x14ac:dyDescent="0.2"/>
    <row r="9637" ht="12.75" x14ac:dyDescent="0.2"/>
    <row r="9638" ht="12.75" x14ac:dyDescent="0.2"/>
    <row r="9639" ht="12.75" x14ac:dyDescent="0.2"/>
    <row r="9640" ht="12.75" x14ac:dyDescent="0.2"/>
    <row r="9641" ht="12.75" x14ac:dyDescent="0.2"/>
    <row r="9642" ht="12.75" x14ac:dyDescent="0.2"/>
    <row r="9643" ht="12.75" x14ac:dyDescent="0.2"/>
    <row r="9644" ht="12.75" x14ac:dyDescent="0.2"/>
    <row r="9645" ht="12.75" x14ac:dyDescent="0.2"/>
    <row r="9646" ht="12.75" x14ac:dyDescent="0.2"/>
    <row r="9647" ht="12.75" x14ac:dyDescent="0.2"/>
    <row r="9648" ht="12.75" x14ac:dyDescent="0.2"/>
    <row r="9649" ht="12.75" x14ac:dyDescent="0.2"/>
    <row r="9650" ht="12.75" x14ac:dyDescent="0.2"/>
    <row r="9651" ht="12.75" x14ac:dyDescent="0.2"/>
    <row r="9652" ht="12.75" x14ac:dyDescent="0.2"/>
    <row r="9653" ht="12.75" x14ac:dyDescent="0.2"/>
    <row r="9654" ht="12.75" x14ac:dyDescent="0.2"/>
    <row r="9655" ht="12.75" x14ac:dyDescent="0.2"/>
    <row r="9656" ht="12.75" x14ac:dyDescent="0.2"/>
    <row r="9657" ht="12.75" x14ac:dyDescent="0.2"/>
    <row r="9658" ht="12.75" x14ac:dyDescent="0.2"/>
    <row r="9659" ht="12.75" x14ac:dyDescent="0.2"/>
    <row r="9660" ht="12.75" x14ac:dyDescent="0.2"/>
    <row r="9661" ht="12.75" x14ac:dyDescent="0.2"/>
    <row r="9662" ht="12.75" x14ac:dyDescent="0.2"/>
    <row r="9663" ht="12.75" x14ac:dyDescent="0.2"/>
    <row r="9664" ht="12.75" x14ac:dyDescent="0.2"/>
    <row r="9665" ht="12.75" x14ac:dyDescent="0.2"/>
    <row r="9666" ht="12.75" x14ac:dyDescent="0.2"/>
    <row r="9667" ht="12.75" x14ac:dyDescent="0.2"/>
    <row r="9668" ht="12.75" x14ac:dyDescent="0.2"/>
    <row r="9669" ht="12.75" x14ac:dyDescent="0.2"/>
    <row r="9670" ht="12.75" x14ac:dyDescent="0.2"/>
    <row r="9671" ht="12.75" x14ac:dyDescent="0.2"/>
    <row r="9672" ht="12.75" x14ac:dyDescent="0.2"/>
    <row r="9673" ht="12.75" x14ac:dyDescent="0.2"/>
    <row r="9674" ht="12.75" x14ac:dyDescent="0.2"/>
    <row r="9675" ht="12.75" x14ac:dyDescent="0.2"/>
    <row r="9676" ht="12.75" x14ac:dyDescent="0.2"/>
    <row r="9677" ht="12.75" x14ac:dyDescent="0.2"/>
    <row r="9678" ht="12.75" x14ac:dyDescent="0.2"/>
    <row r="9679" ht="12.75" x14ac:dyDescent="0.2"/>
    <row r="9680" ht="12.75" x14ac:dyDescent="0.2"/>
    <row r="9681" ht="12.75" x14ac:dyDescent="0.2"/>
    <row r="9682" ht="12.75" x14ac:dyDescent="0.2"/>
    <row r="9683" ht="12.75" x14ac:dyDescent="0.2"/>
    <row r="9684" ht="12.75" x14ac:dyDescent="0.2"/>
    <row r="9685" ht="12.75" x14ac:dyDescent="0.2"/>
    <row r="9686" ht="12.75" x14ac:dyDescent="0.2"/>
    <row r="9687" ht="12.75" x14ac:dyDescent="0.2"/>
    <row r="9688" ht="12.75" x14ac:dyDescent="0.2"/>
    <row r="9689" ht="12.75" x14ac:dyDescent="0.2"/>
    <row r="9690" ht="12.75" x14ac:dyDescent="0.2"/>
    <row r="9691" ht="12.75" x14ac:dyDescent="0.2"/>
    <row r="9692" ht="12.75" x14ac:dyDescent="0.2"/>
    <row r="9693" ht="12.75" x14ac:dyDescent="0.2"/>
    <row r="9694" ht="12.75" x14ac:dyDescent="0.2"/>
    <row r="9695" ht="12.75" x14ac:dyDescent="0.2"/>
    <row r="9696" ht="12.75" x14ac:dyDescent="0.2"/>
    <row r="9697" ht="12.75" x14ac:dyDescent="0.2"/>
    <row r="9698" ht="12.75" x14ac:dyDescent="0.2"/>
    <row r="9699" ht="12.75" x14ac:dyDescent="0.2"/>
    <row r="9700" ht="12.75" x14ac:dyDescent="0.2"/>
    <row r="9701" ht="12.75" x14ac:dyDescent="0.2"/>
    <row r="9702" ht="12.75" x14ac:dyDescent="0.2"/>
    <row r="9703" ht="12.75" x14ac:dyDescent="0.2"/>
    <row r="9704" ht="12.75" x14ac:dyDescent="0.2"/>
    <row r="9705" ht="12.75" x14ac:dyDescent="0.2"/>
    <row r="9706" ht="12.75" x14ac:dyDescent="0.2"/>
    <row r="9707" ht="12.75" x14ac:dyDescent="0.2"/>
    <row r="9708" ht="12.75" x14ac:dyDescent="0.2"/>
    <row r="9709" ht="12.75" x14ac:dyDescent="0.2"/>
    <row r="9710" ht="12.75" x14ac:dyDescent="0.2"/>
    <row r="9711" ht="12.75" x14ac:dyDescent="0.2"/>
    <row r="9712" ht="12.75" x14ac:dyDescent="0.2"/>
    <row r="9713" ht="12.75" x14ac:dyDescent="0.2"/>
    <row r="9714" ht="12.75" x14ac:dyDescent="0.2"/>
    <row r="9715" ht="12.75" x14ac:dyDescent="0.2"/>
    <row r="9716" ht="12.75" x14ac:dyDescent="0.2"/>
    <row r="9717" ht="12.75" x14ac:dyDescent="0.2"/>
    <row r="9718" ht="12.75" x14ac:dyDescent="0.2"/>
    <row r="9719" ht="12.75" x14ac:dyDescent="0.2"/>
    <row r="9720" ht="12.75" x14ac:dyDescent="0.2"/>
    <row r="9721" ht="12.75" x14ac:dyDescent="0.2"/>
    <row r="9722" ht="12.75" x14ac:dyDescent="0.2"/>
    <row r="9723" ht="12.75" x14ac:dyDescent="0.2"/>
    <row r="9724" ht="12.75" x14ac:dyDescent="0.2"/>
    <row r="9725" ht="12.75" x14ac:dyDescent="0.2"/>
    <row r="9726" ht="12.75" x14ac:dyDescent="0.2"/>
    <row r="9727" ht="12.75" x14ac:dyDescent="0.2"/>
    <row r="9728" ht="12.75" x14ac:dyDescent="0.2"/>
    <row r="9729" ht="12.75" x14ac:dyDescent="0.2"/>
    <row r="9730" ht="12.75" x14ac:dyDescent="0.2"/>
    <row r="9731" ht="12.75" x14ac:dyDescent="0.2"/>
    <row r="9732" ht="12.75" x14ac:dyDescent="0.2"/>
    <row r="9733" ht="12.75" x14ac:dyDescent="0.2"/>
    <row r="9734" ht="12.75" x14ac:dyDescent="0.2"/>
    <row r="9735" ht="12.75" x14ac:dyDescent="0.2"/>
    <row r="9736" ht="12.75" x14ac:dyDescent="0.2"/>
    <row r="9737" ht="12.75" x14ac:dyDescent="0.2"/>
    <row r="9738" ht="12.75" x14ac:dyDescent="0.2"/>
    <row r="9739" ht="12.75" x14ac:dyDescent="0.2"/>
    <row r="9740" ht="12.75" x14ac:dyDescent="0.2"/>
    <row r="9741" ht="12.75" x14ac:dyDescent="0.2"/>
    <row r="9742" ht="12.75" x14ac:dyDescent="0.2"/>
    <row r="9743" ht="12.75" x14ac:dyDescent="0.2"/>
    <row r="9744" ht="12.75" x14ac:dyDescent="0.2"/>
    <row r="9745" ht="12.75" x14ac:dyDescent="0.2"/>
    <row r="9746" ht="12.75" x14ac:dyDescent="0.2"/>
    <row r="9747" ht="12.75" x14ac:dyDescent="0.2"/>
    <row r="9748" ht="12.75" x14ac:dyDescent="0.2"/>
    <row r="9749" ht="12.75" x14ac:dyDescent="0.2"/>
    <row r="9750" ht="12.75" x14ac:dyDescent="0.2"/>
    <row r="9751" ht="12.75" x14ac:dyDescent="0.2"/>
    <row r="9752" ht="12.75" x14ac:dyDescent="0.2"/>
    <row r="9753" ht="12.75" x14ac:dyDescent="0.2"/>
    <row r="9754" ht="12.75" x14ac:dyDescent="0.2"/>
    <row r="9755" ht="12.75" x14ac:dyDescent="0.2"/>
    <row r="9756" ht="12.75" x14ac:dyDescent="0.2"/>
    <row r="9757" ht="12.75" x14ac:dyDescent="0.2"/>
    <row r="9758" ht="12.75" x14ac:dyDescent="0.2"/>
    <row r="9759" ht="12.75" x14ac:dyDescent="0.2"/>
    <row r="9760" ht="12.75" x14ac:dyDescent="0.2"/>
    <row r="9761" ht="12.75" x14ac:dyDescent="0.2"/>
    <row r="9762" ht="12.75" x14ac:dyDescent="0.2"/>
    <row r="9763" ht="12.75" x14ac:dyDescent="0.2"/>
    <row r="9764" ht="12.75" x14ac:dyDescent="0.2"/>
    <row r="9765" ht="12.75" x14ac:dyDescent="0.2"/>
    <row r="9766" ht="12.75" x14ac:dyDescent="0.2"/>
    <row r="9767" ht="12.75" x14ac:dyDescent="0.2"/>
    <row r="9768" ht="12.75" x14ac:dyDescent="0.2"/>
    <row r="9769" ht="12.75" x14ac:dyDescent="0.2"/>
    <row r="9770" ht="12.75" x14ac:dyDescent="0.2"/>
    <row r="9771" ht="12.75" x14ac:dyDescent="0.2"/>
    <row r="9772" ht="12.75" x14ac:dyDescent="0.2"/>
    <row r="9773" ht="12.75" x14ac:dyDescent="0.2"/>
    <row r="9774" ht="12.75" x14ac:dyDescent="0.2"/>
    <row r="9775" ht="12.75" x14ac:dyDescent="0.2"/>
    <row r="9776" ht="12.75" x14ac:dyDescent="0.2"/>
    <row r="9777" ht="12.75" x14ac:dyDescent="0.2"/>
    <row r="9778" ht="12.75" x14ac:dyDescent="0.2"/>
    <row r="9779" ht="12.75" x14ac:dyDescent="0.2"/>
    <row r="9780" ht="12.75" x14ac:dyDescent="0.2"/>
    <row r="9781" ht="12.75" x14ac:dyDescent="0.2"/>
    <row r="9782" ht="12.75" x14ac:dyDescent="0.2"/>
    <row r="9783" ht="12.75" x14ac:dyDescent="0.2"/>
    <row r="9784" ht="12.75" x14ac:dyDescent="0.2"/>
    <row r="9785" ht="12.75" x14ac:dyDescent="0.2"/>
    <row r="9786" ht="12.75" x14ac:dyDescent="0.2"/>
    <row r="9787" ht="12.75" x14ac:dyDescent="0.2"/>
    <row r="9788" ht="12.75" x14ac:dyDescent="0.2"/>
    <row r="9789" ht="12.75" x14ac:dyDescent="0.2"/>
    <row r="9790" ht="12.75" x14ac:dyDescent="0.2"/>
    <row r="9791" ht="12.75" x14ac:dyDescent="0.2"/>
    <row r="9792" ht="12.75" x14ac:dyDescent="0.2"/>
    <row r="9793" ht="12.75" x14ac:dyDescent="0.2"/>
    <row r="9794" ht="12.75" x14ac:dyDescent="0.2"/>
    <row r="9795" ht="12.75" x14ac:dyDescent="0.2"/>
    <row r="9796" ht="12.75" x14ac:dyDescent="0.2"/>
    <row r="9797" ht="12.75" x14ac:dyDescent="0.2"/>
    <row r="9798" ht="12.75" x14ac:dyDescent="0.2"/>
    <row r="9799" ht="12.75" x14ac:dyDescent="0.2"/>
    <row r="9800" ht="12.75" x14ac:dyDescent="0.2"/>
    <row r="9801" ht="12.75" x14ac:dyDescent="0.2"/>
    <row r="9802" ht="12.75" x14ac:dyDescent="0.2"/>
    <row r="9803" ht="12.75" x14ac:dyDescent="0.2"/>
    <row r="9804" ht="12.75" x14ac:dyDescent="0.2"/>
    <row r="9805" ht="12.75" x14ac:dyDescent="0.2"/>
    <row r="9806" ht="12.75" x14ac:dyDescent="0.2"/>
    <row r="9807" ht="12.75" x14ac:dyDescent="0.2"/>
    <row r="9808" ht="12.75" x14ac:dyDescent="0.2"/>
    <row r="9809" ht="12.75" x14ac:dyDescent="0.2"/>
    <row r="9810" ht="12.75" x14ac:dyDescent="0.2"/>
    <row r="9811" ht="12.75" x14ac:dyDescent="0.2"/>
    <row r="9812" ht="12.75" x14ac:dyDescent="0.2"/>
    <row r="9813" ht="12.75" x14ac:dyDescent="0.2"/>
    <row r="9814" ht="12.75" x14ac:dyDescent="0.2"/>
    <row r="9815" ht="12.75" x14ac:dyDescent="0.2"/>
    <row r="9816" ht="12.75" x14ac:dyDescent="0.2"/>
    <row r="9817" ht="12.75" x14ac:dyDescent="0.2"/>
    <row r="9818" ht="12.75" x14ac:dyDescent="0.2"/>
    <row r="9819" ht="12.75" x14ac:dyDescent="0.2"/>
    <row r="9820" ht="12.75" x14ac:dyDescent="0.2"/>
    <row r="9821" ht="12.75" x14ac:dyDescent="0.2"/>
    <row r="9822" ht="12.75" x14ac:dyDescent="0.2"/>
    <row r="9823" ht="12.75" x14ac:dyDescent="0.2"/>
    <row r="9824" ht="12.75" x14ac:dyDescent="0.2"/>
    <row r="9825" ht="12.75" x14ac:dyDescent="0.2"/>
    <row r="9826" ht="12.75" x14ac:dyDescent="0.2"/>
    <row r="9827" ht="12.75" x14ac:dyDescent="0.2"/>
    <row r="9828" ht="12.75" x14ac:dyDescent="0.2"/>
    <row r="9829" ht="12.75" x14ac:dyDescent="0.2"/>
    <row r="9830" ht="12.75" x14ac:dyDescent="0.2"/>
    <row r="9831" ht="12.75" x14ac:dyDescent="0.2"/>
    <row r="9832" ht="12.75" x14ac:dyDescent="0.2"/>
    <row r="9833" ht="12.75" x14ac:dyDescent="0.2"/>
    <row r="9834" ht="12.75" x14ac:dyDescent="0.2"/>
    <row r="9835" ht="12.75" x14ac:dyDescent="0.2"/>
    <row r="9836" ht="12.75" x14ac:dyDescent="0.2"/>
    <row r="9837" ht="12.75" x14ac:dyDescent="0.2"/>
    <row r="9838" ht="12.75" x14ac:dyDescent="0.2"/>
    <row r="9839" ht="12.75" x14ac:dyDescent="0.2"/>
    <row r="9840" ht="12.75" x14ac:dyDescent="0.2"/>
    <row r="9841" ht="12.75" x14ac:dyDescent="0.2"/>
    <row r="9842" ht="12.75" x14ac:dyDescent="0.2"/>
    <row r="9843" ht="12.75" x14ac:dyDescent="0.2"/>
    <row r="9844" ht="12.75" x14ac:dyDescent="0.2"/>
    <row r="9845" ht="12.75" x14ac:dyDescent="0.2"/>
    <row r="9846" ht="12.75" x14ac:dyDescent="0.2"/>
    <row r="9847" ht="12.75" x14ac:dyDescent="0.2"/>
    <row r="9848" ht="12.75" x14ac:dyDescent="0.2"/>
    <row r="9849" ht="12.75" x14ac:dyDescent="0.2"/>
    <row r="9850" ht="12.75" x14ac:dyDescent="0.2"/>
    <row r="9851" ht="12.75" x14ac:dyDescent="0.2"/>
    <row r="9852" ht="12.75" x14ac:dyDescent="0.2"/>
    <row r="9853" ht="12.75" x14ac:dyDescent="0.2"/>
    <row r="9854" ht="12.75" x14ac:dyDescent="0.2"/>
    <row r="9855" ht="12.75" x14ac:dyDescent="0.2"/>
    <row r="9856" ht="12.75" x14ac:dyDescent="0.2"/>
    <row r="9857" ht="12.75" x14ac:dyDescent="0.2"/>
    <row r="9858" ht="12.75" x14ac:dyDescent="0.2"/>
    <row r="9859" ht="12.75" x14ac:dyDescent="0.2"/>
    <row r="9860" ht="12.75" x14ac:dyDescent="0.2"/>
    <row r="9861" ht="12.75" x14ac:dyDescent="0.2"/>
    <row r="9862" ht="12.75" x14ac:dyDescent="0.2"/>
    <row r="9863" ht="12.75" x14ac:dyDescent="0.2"/>
    <row r="9864" ht="12.75" x14ac:dyDescent="0.2"/>
    <row r="9865" ht="12.75" x14ac:dyDescent="0.2"/>
    <row r="9866" ht="12.75" x14ac:dyDescent="0.2"/>
    <row r="9867" ht="12.75" x14ac:dyDescent="0.2"/>
    <row r="9868" ht="12.75" x14ac:dyDescent="0.2"/>
    <row r="9869" ht="12.75" x14ac:dyDescent="0.2"/>
    <row r="9870" ht="12.75" x14ac:dyDescent="0.2"/>
    <row r="9871" ht="12.75" x14ac:dyDescent="0.2"/>
    <row r="9872" ht="12.75" x14ac:dyDescent="0.2"/>
    <row r="9873" ht="12.75" x14ac:dyDescent="0.2"/>
    <row r="9874" ht="12.75" x14ac:dyDescent="0.2"/>
    <row r="9875" ht="12.75" x14ac:dyDescent="0.2"/>
    <row r="9876" ht="12.75" x14ac:dyDescent="0.2"/>
    <row r="9877" ht="12.75" x14ac:dyDescent="0.2"/>
    <row r="9878" ht="12.75" x14ac:dyDescent="0.2"/>
    <row r="9879" ht="12.75" x14ac:dyDescent="0.2"/>
    <row r="9880" ht="12.75" x14ac:dyDescent="0.2"/>
    <row r="9881" ht="12.75" x14ac:dyDescent="0.2"/>
    <row r="9882" ht="12.75" x14ac:dyDescent="0.2"/>
    <row r="9883" ht="12.75" x14ac:dyDescent="0.2"/>
    <row r="9884" ht="12.75" x14ac:dyDescent="0.2"/>
    <row r="9885" ht="12.75" x14ac:dyDescent="0.2"/>
    <row r="9886" ht="12.75" x14ac:dyDescent="0.2"/>
    <row r="9887" ht="12.75" x14ac:dyDescent="0.2"/>
    <row r="9888" ht="12.75" x14ac:dyDescent="0.2"/>
    <row r="9889" ht="12.75" x14ac:dyDescent="0.2"/>
    <row r="9890" ht="12.75" x14ac:dyDescent="0.2"/>
    <row r="9891" ht="12.75" x14ac:dyDescent="0.2"/>
    <row r="9892" ht="12.75" x14ac:dyDescent="0.2"/>
    <row r="9893" ht="12.75" x14ac:dyDescent="0.2"/>
    <row r="9894" ht="12.75" x14ac:dyDescent="0.2"/>
    <row r="9895" ht="12.75" x14ac:dyDescent="0.2"/>
    <row r="9896" ht="12.75" x14ac:dyDescent="0.2"/>
    <row r="9897" ht="12.75" x14ac:dyDescent="0.2"/>
    <row r="9898" ht="12.75" x14ac:dyDescent="0.2"/>
    <row r="9899" ht="12.75" x14ac:dyDescent="0.2"/>
    <row r="9900" ht="12.75" x14ac:dyDescent="0.2"/>
    <row r="9901" ht="12.75" x14ac:dyDescent="0.2"/>
    <row r="9902" ht="12.75" x14ac:dyDescent="0.2"/>
    <row r="9903" ht="12.75" x14ac:dyDescent="0.2"/>
    <row r="9904" ht="12.75" x14ac:dyDescent="0.2"/>
    <row r="9905" ht="12.75" x14ac:dyDescent="0.2"/>
    <row r="9906" ht="12.75" x14ac:dyDescent="0.2"/>
    <row r="9907" ht="12.75" x14ac:dyDescent="0.2"/>
    <row r="9908" ht="12.75" x14ac:dyDescent="0.2"/>
    <row r="9909" ht="12.75" x14ac:dyDescent="0.2"/>
    <row r="9910" ht="12.75" x14ac:dyDescent="0.2"/>
    <row r="9911" ht="12.75" x14ac:dyDescent="0.2"/>
    <row r="9912" ht="12.75" x14ac:dyDescent="0.2"/>
    <row r="9913" ht="12.75" x14ac:dyDescent="0.2"/>
    <row r="9914" ht="12.75" x14ac:dyDescent="0.2"/>
    <row r="9915" ht="12.75" x14ac:dyDescent="0.2"/>
    <row r="9916" ht="12.75" x14ac:dyDescent="0.2"/>
    <row r="9917" ht="12.75" x14ac:dyDescent="0.2"/>
    <row r="9918" ht="12.75" x14ac:dyDescent="0.2"/>
    <row r="9919" ht="12.75" x14ac:dyDescent="0.2"/>
    <row r="9920" ht="12.75" x14ac:dyDescent="0.2"/>
    <row r="9921" ht="12.75" x14ac:dyDescent="0.2"/>
    <row r="9922" ht="12.75" x14ac:dyDescent="0.2"/>
    <row r="9923" ht="12.75" x14ac:dyDescent="0.2"/>
    <row r="9924" ht="12.75" x14ac:dyDescent="0.2"/>
    <row r="9925" ht="12.75" x14ac:dyDescent="0.2"/>
    <row r="9926" ht="12.75" x14ac:dyDescent="0.2"/>
    <row r="9927" ht="12.75" x14ac:dyDescent="0.2"/>
    <row r="9928" ht="12.75" x14ac:dyDescent="0.2"/>
    <row r="9929" ht="12.75" x14ac:dyDescent="0.2"/>
    <row r="9930" ht="12.75" x14ac:dyDescent="0.2"/>
    <row r="9931" ht="12.75" x14ac:dyDescent="0.2"/>
    <row r="9932" ht="12.75" x14ac:dyDescent="0.2"/>
    <row r="9933" ht="12.75" x14ac:dyDescent="0.2"/>
    <row r="9934" ht="12.75" x14ac:dyDescent="0.2"/>
    <row r="9935" ht="12.75" x14ac:dyDescent="0.2"/>
    <row r="9936" ht="12.75" x14ac:dyDescent="0.2"/>
    <row r="9937" ht="12.75" x14ac:dyDescent="0.2"/>
    <row r="9938" ht="12.75" x14ac:dyDescent="0.2"/>
    <row r="9939" ht="12.75" x14ac:dyDescent="0.2"/>
    <row r="9940" ht="12.75" x14ac:dyDescent="0.2"/>
    <row r="9941" ht="12.75" x14ac:dyDescent="0.2"/>
    <row r="9942" ht="12.75" x14ac:dyDescent="0.2"/>
    <row r="9943" ht="12.75" x14ac:dyDescent="0.2"/>
    <row r="9944" ht="12.75" x14ac:dyDescent="0.2"/>
    <row r="9945" ht="12.75" x14ac:dyDescent="0.2"/>
    <row r="9946" ht="12.75" x14ac:dyDescent="0.2"/>
    <row r="9947" ht="12.75" x14ac:dyDescent="0.2"/>
    <row r="9948" ht="12.75" x14ac:dyDescent="0.2"/>
    <row r="9949" ht="12.75" x14ac:dyDescent="0.2"/>
    <row r="9950" ht="12.75" x14ac:dyDescent="0.2"/>
    <row r="9951" ht="12.75" x14ac:dyDescent="0.2"/>
    <row r="9952" ht="12.75" x14ac:dyDescent="0.2"/>
    <row r="9953" ht="12.75" x14ac:dyDescent="0.2"/>
    <row r="9954" ht="12.75" x14ac:dyDescent="0.2"/>
    <row r="9955" ht="12.75" x14ac:dyDescent="0.2"/>
    <row r="9956" ht="12.75" x14ac:dyDescent="0.2"/>
    <row r="9957" ht="12.75" x14ac:dyDescent="0.2"/>
    <row r="9958" ht="12.75" x14ac:dyDescent="0.2"/>
    <row r="9959" ht="12.75" x14ac:dyDescent="0.2"/>
    <row r="9960" ht="12.75" x14ac:dyDescent="0.2"/>
    <row r="9961" ht="12.75" x14ac:dyDescent="0.2"/>
    <row r="9962" ht="12.75" x14ac:dyDescent="0.2"/>
    <row r="9963" ht="12.75" x14ac:dyDescent="0.2"/>
    <row r="9964" ht="12.75" x14ac:dyDescent="0.2"/>
    <row r="9965" ht="12.75" x14ac:dyDescent="0.2"/>
    <row r="9966" ht="12.75" x14ac:dyDescent="0.2"/>
    <row r="9967" ht="12.75" x14ac:dyDescent="0.2"/>
    <row r="9968" ht="12.75" x14ac:dyDescent="0.2"/>
    <row r="9969" ht="12.75" x14ac:dyDescent="0.2"/>
    <row r="9970" ht="12.75" x14ac:dyDescent="0.2"/>
    <row r="9971" ht="12.75" x14ac:dyDescent="0.2"/>
    <row r="9972" ht="12.75" x14ac:dyDescent="0.2"/>
    <row r="9973" ht="12.75" x14ac:dyDescent="0.2"/>
    <row r="9974" ht="12.75" x14ac:dyDescent="0.2"/>
    <row r="9975" ht="12.75" x14ac:dyDescent="0.2"/>
    <row r="9976" ht="12.75" x14ac:dyDescent="0.2"/>
    <row r="9977" ht="12.75" x14ac:dyDescent="0.2"/>
    <row r="9978" ht="12.75" x14ac:dyDescent="0.2"/>
    <row r="9979" ht="12.75" x14ac:dyDescent="0.2"/>
    <row r="9980" ht="12.75" x14ac:dyDescent="0.2"/>
    <row r="9981" ht="12.75" x14ac:dyDescent="0.2"/>
    <row r="9982" ht="12.75" x14ac:dyDescent="0.2"/>
    <row r="9983" ht="12.75" x14ac:dyDescent="0.2"/>
    <row r="9984" ht="12.75" x14ac:dyDescent="0.2"/>
    <row r="9985" ht="12.75" x14ac:dyDescent="0.2"/>
    <row r="9986" ht="12.75" x14ac:dyDescent="0.2"/>
    <row r="9987" ht="12.75" x14ac:dyDescent="0.2"/>
    <row r="9988" ht="12.75" x14ac:dyDescent="0.2"/>
    <row r="9989" ht="12.75" x14ac:dyDescent="0.2"/>
    <row r="9990" ht="12.75" x14ac:dyDescent="0.2"/>
    <row r="9991" ht="12.75" x14ac:dyDescent="0.2"/>
    <row r="9992" ht="12.75" x14ac:dyDescent="0.2"/>
    <row r="9993" ht="12.75" x14ac:dyDescent="0.2"/>
    <row r="9994" ht="12.75" x14ac:dyDescent="0.2"/>
  </sheetData>
  <sortState ref="A2:K760">
    <sortCondition ref="A2:A760"/>
  </sortState>
  <phoneticPr fontId="2" type="noConversion"/>
  <conditionalFormatting sqref="A2:A759">
    <cfRule type="timePeriod" dxfId="0" priority="1" timePeriod="lastMonth">
      <formula>AND(MONTH(A2)=MONTH(EDATE(TODAY(),0-1)),YEAR(A2)=YEAR(EDATE(TODAY(),0-1)))</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0"/>
  <sheetViews>
    <sheetView workbookViewId="0">
      <selection activeCell="E21" sqref="E21"/>
    </sheetView>
  </sheetViews>
  <sheetFormatPr defaultRowHeight="12.75" x14ac:dyDescent="0.2"/>
  <cols>
    <col min="1" max="1" width="13.85546875" bestFit="1" customWidth="1"/>
    <col min="2" max="2" width="13.140625" bestFit="1" customWidth="1"/>
  </cols>
  <sheetData>
    <row r="3" spans="1:5" x14ac:dyDescent="0.2">
      <c r="A3" s="8" t="s">
        <v>1331</v>
      </c>
      <c r="B3" t="s">
        <v>1334</v>
      </c>
      <c r="D3" t="s">
        <v>1331</v>
      </c>
      <c r="E3" t="s">
        <v>1334</v>
      </c>
    </row>
    <row r="4" spans="1:5" x14ac:dyDescent="0.2">
      <c r="A4" s="9" t="s">
        <v>39</v>
      </c>
      <c r="B4" s="10">
        <v>13569.61</v>
      </c>
      <c r="D4" t="str">
        <f t="shared" ref="D4:D12" si="0">A4</f>
        <v>Phones</v>
      </c>
      <c r="E4">
        <f>GETPIVOTDATA("Sales",$A$3,"Sub-Category","Phones")</f>
        <v>13569.61</v>
      </c>
    </row>
    <row r="5" spans="1:5" x14ac:dyDescent="0.2">
      <c r="A5" s="9" t="s">
        <v>387</v>
      </c>
      <c r="B5" s="10">
        <v>12999.939999999999</v>
      </c>
      <c r="D5" t="str">
        <f t="shared" si="0"/>
        <v>Copiers</v>
      </c>
      <c r="E5">
        <f>GETPIVOTDATA("Sales",$A$3,"Sub-Category","Copiers")</f>
        <v>12999.939999999999</v>
      </c>
    </row>
    <row r="6" spans="1:5" x14ac:dyDescent="0.2">
      <c r="A6" s="9" t="s">
        <v>48</v>
      </c>
      <c r="B6" s="10">
        <v>8530.159999999998</v>
      </c>
      <c r="D6" t="str">
        <f t="shared" si="0"/>
        <v>Accessories</v>
      </c>
      <c r="E6">
        <f>GETPIVOTDATA("Sales",$A$3,"Sub-Category","Accessories")</f>
        <v>8530.159999999998</v>
      </c>
    </row>
    <row r="7" spans="1:5" x14ac:dyDescent="0.2">
      <c r="A7" s="9" t="s">
        <v>117</v>
      </c>
      <c r="B7" s="10">
        <v>7269.3499999999995</v>
      </c>
      <c r="D7" t="str">
        <f t="shared" si="0"/>
        <v>Tables</v>
      </c>
      <c r="E7">
        <f>GETPIVOTDATA("Sales",$A$3,"Sub-Category","Tables")</f>
        <v>7269.3499999999995</v>
      </c>
    </row>
    <row r="8" spans="1:5" x14ac:dyDescent="0.2">
      <c r="A8" s="9" t="s">
        <v>20</v>
      </c>
      <c r="B8" s="10">
        <v>6500.8</v>
      </c>
      <c r="D8" t="str">
        <f t="shared" si="0"/>
        <v>Binders</v>
      </c>
      <c r="E8">
        <f>GETPIVOTDATA("Sales",$A$3,"Sub-Category","Binders")</f>
        <v>6500.8</v>
      </c>
    </row>
    <row r="9" spans="1:5" x14ac:dyDescent="0.2">
      <c r="A9" s="9" t="s">
        <v>34</v>
      </c>
      <c r="B9" s="10">
        <v>5850.17</v>
      </c>
      <c r="D9" t="str">
        <f t="shared" si="0"/>
        <v>Chairs</v>
      </c>
      <c r="E9">
        <f>GETPIVOTDATA("Sales",$A$3,"Sub-Category","Chairs")</f>
        <v>5850.17</v>
      </c>
    </row>
    <row r="10" spans="1:5" x14ac:dyDescent="0.2">
      <c r="A10" s="9" t="s">
        <v>65</v>
      </c>
      <c r="B10" s="10">
        <v>4844.28</v>
      </c>
      <c r="D10" t="str">
        <f t="shared" si="0"/>
        <v>Bookcases</v>
      </c>
      <c r="E10">
        <f>GETPIVOTDATA("Sales",$A$3,"Sub-Category","Bookcases")</f>
        <v>4844.28</v>
      </c>
    </row>
    <row r="11" spans="1:5" x14ac:dyDescent="0.2">
      <c r="A11" s="9" t="s">
        <v>18</v>
      </c>
      <c r="B11" s="10">
        <v>3307.28</v>
      </c>
      <c r="D11" t="str">
        <f t="shared" si="0"/>
        <v>Storage</v>
      </c>
      <c r="E11">
        <f>GETPIVOTDATA("Sales",$A$3,"Sub-Category","Storage")</f>
        <v>3307.28</v>
      </c>
    </row>
    <row r="12" spans="1:5" x14ac:dyDescent="0.2">
      <c r="A12" s="9" t="s">
        <v>80</v>
      </c>
      <c r="B12" s="10">
        <v>2137.19</v>
      </c>
      <c r="D12" t="str">
        <f t="shared" si="0"/>
        <v>Appliances</v>
      </c>
      <c r="E12">
        <f>GETPIVOTDATA("Sales",$A$3,"Sub-Category","Appliances")</f>
        <v>2137.19</v>
      </c>
    </row>
    <row r="13" spans="1:5" x14ac:dyDescent="0.2">
      <c r="A13" s="9" t="s">
        <v>44</v>
      </c>
      <c r="B13" s="10">
        <v>1601.2900000000002</v>
      </c>
      <c r="D13" t="str">
        <f>A12</f>
        <v>Appliances</v>
      </c>
      <c r="E13">
        <f>GETPIVOTDATA("Sales",$A$3,"Sub-Category","Furnishings")</f>
        <v>1601.2900000000002</v>
      </c>
    </row>
    <row r="14" spans="1:5" x14ac:dyDescent="0.2">
      <c r="A14" s="9" t="s">
        <v>213</v>
      </c>
      <c r="B14" s="10">
        <v>1591.61</v>
      </c>
      <c r="D14" t="str">
        <f t="shared" ref="D14:D19" si="1">A14</f>
        <v>Machines</v>
      </c>
      <c r="E14">
        <f>GETPIVOTDATA("Sales",$A$3,"Sub-Category","Machines")</f>
        <v>1591.61</v>
      </c>
    </row>
    <row r="15" spans="1:5" x14ac:dyDescent="0.2">
      <c r="A15" s="9" t="s">
        <v>12</v>
      </c>
      <c r="B15" s="10">
        <v>1513.1099999999997</v>
      </c>
      <c r="D15" t="str">
        <f t="shared" si="1"/>
        <v>Paper</v>
      </c>
      <c r="E15">
        <f>GETPIVOTDATA("Sales",$A$3,"Sub-Category","Paper")</f>
        <v>1513.1099999999997</v>
      </c>
    </row>
    <row r="16" spans="1:5" x14ac:dyDescent="0.2">
      <c r="A16" s="9" t="s">
        <v>24</v>
      </c>
      <c r="B16" s="10">
        <v>463.52</v>
      </c>
      <c r="D16" t="str">
        <f t="shared" si="1"/>
        <v>Art</v>
      </c>
      <c r="E16">
        <f>GETPIVOTDATA("Sales",$A$3,"Sub-Category","Art")</f>
        <v>463.52</v>
      </c>
    </row>
    <row r="17" spans="1:5" x14ac:dyDescent="0.2">
      <c r="A17" s="9" t="s">
        <v>58</v>
      </c>
      <c r="B17" s="10">
        <v>296.2</v>
      </c>
      <c r="D17" t="str">
        <f t="shared" si="1"/>
        <v>Envelopes</v>
      </c>
      <c r="E17">
        <f>GETPIVOTDATA("Sales",$A$3,"Sub-Category","Envelopes")</f>
        <v>296.2</v>
      </c>
    </row>
    <row r="18" spans="1:5" x14ac:dyDescent="0.2">
      <c r="A18" s="9" t="s">
        <v>16</v>
      </c>
      <c r="B18" s="10">
        <v>172.09</v>
      </c>
      <c r="D18" t="str">
        <f t="shared" si="1"/>
        <v>Labels</v>
      </c>
      <c r="E18">
        <f>GETPIVOTDATA("Sales",$A$3,"Sub-Category","Labels")</f>
        <v>172.09</v>
      </c>
    </row>
    <row r="19" spans="1:5" x14ac:dyDescent="0.2">
      <c r="A19" s="9" t="s">
        <v>157</v>
      </c>
      <c r="B19" s="10">
        <v>163.69999999999999</v>
      </c>
      <c r="D19" t="str">
        <f t="shared" si="1"/>
        <v>Supplies</v>
      </c>
      <c r="E19">
        <f>GETPIVOTDATA("Sales",$A$3,"Sub-Category","Supplies")</f>
        <v>163.69999999999999</v>
      </c>
    </row>
    <row r="20" spans="1:5" x14ac:dyDescent="0.2">
      <c r="A20" s="9" t="s">
        <v>42</v>
      </c>
      <c r="B20" s="10">
        <v>21.63</v>
      </c>
      <c r="D20" t="str">
        <f>A20</f>
        <v>Fasteners</v>
      </c>
      <c r="E20">
        <f>GETPIVOTDATA("Sales",$A$3,"Sub-Category","Fasteners")</f>
        <v>21.63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
  <sheetViews>
    <sheetView workbookViewId="0">
      <selection activeCell="N20" sqref="N20"/>
    </sheetView>
  </sheetViews>
  <sheetFormatPr defaultRowHeight="12.75" x14ac:dyDescent="0.2"/>
  <cols>
    <col min="1" max="1" width="13.85546875" bestFit="1" customWidth="1"/>
    <col min="2" max="2" width="17" bestFit="1" customWidth="1"/>
    <col min="3" max="3" width="14.85546875" bestFit="1" customWidth="1"/>
    <col min="4" max="4" width="11.5703125" bestFit="1" customWidth="1"/>
    <col min="5" max="5" width="11.7109375" bestFit="1" customWidth="1"/>
  </cols>
  <sheetData>
    <row r="3" spans="1:5" x14ac:dyDescent="0.2">
      <c r="A3" s="8" t="s">
        <v>1332</v>
      </c>
      <c r="B3" s="8" t="s">
        <v>1335</v>
      </c>
    </row>
    <row r="4" spans="1:5" x14ac:dyDescent="0.2">
      <c r="A4" s="8" t="s">
        <v>1331</v>
      </c>
      <c r="B4" t="s">
        <v>33</v>
      </c>
      <c r="C4" t="s">
        <v>11</v>
      </c>
      <c r="D4" t="s">
        <v>38</v>
      </c>
      <c r="E4" t="s">
        <v>1333</v>
      </c>
    </row>
    <row r="5" spans="1:5" x14ac:dyDescent="0.2">
      <c r="A5" s="9" t="s">
        <v>1349</v>
      </c>
      <c r="B5" s="10">
        <v>-2129.17</v>
      </c>
      <c r="C5" s="10">
        <v>3509.8700000000008</v>
      </c>
      <c r="D5" s="10">
        <v>7956.3799999999983</v>
      </c>
      <c r="E5" s="10">
        <v>9337.0799999999981</v>
      </c>
    </row>
    <row r="6" spans="1:5" x14ac:dyDescent="0.2">
      <c r="A6" s="9" t="s">
        <v>1333</v>
      </c>
      <c r="B6" s="10">
        <v>-2129.17</v>
      </c>
      <c r="C6" s="10">
        <v>3509.8700000000008</v>
      </c>
      <c r="D6" s="10">
        <v>7956.3799999999983</v>
      </c>
      <c r="E6" s="10">
        <v>9337.0799999999981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O19" sqref="O19"/>
    </sheetView>
  </sheetViews>
  <sheetFormatPr defaultRowHeight="12.75" x14ac:dyDescent="0.2"/>
  <cols>
    <col min="1" max="1" width="13.85546875" bestFit="1" customWidth="1"/>
    <col min="2" max="2" width="13.140625" bestFit="1" customWidth="1"/>
  </cols>
  <sheetData>
    <row r="3" spans="1:2" x14ac:dyDescent="0.2">
      <c r="A3" s="8" t="s">
        <v>1331</v>
      </c>
      <c r="B3" t="s">
        <v>1334</v>
      </c>
    </row>
    <row r="4" spans="1:2" x14ac:dyDescent="0.2">
      <c r="A4" s="9" t="s">
        <v>1336</v>
      </c>
      <c r="B4" s="10">
        <v>1480.2</v>
      </c>
    </row>
    <row r="5" spans="1:2" x14ac:dyDescent="0.2">
      <c r="A5" s="9" t="s">
        <v>1337</v>
      </c>
      <c r="B5" s="10">
        <v>3678.4700000000003</v>
      </c>
    </row>
    <row r="6" spans="1:2" x14ac:dyDescent="0.2">
      <c r="A6" s="9" t="s">
        <v>1338</v>
      </c>
      <c r="B6" s="10">
        <v>3803.6400000000008</v>
      </c>
    </row>
    <row r="7" spans="1:2" x14ac:dyDescent="0.2">
      <c r="A7" s="9" t="s">
        <v>1339</v>
      </c>
      <c r="B7" s="10">
        <v>3709.9300000000007</v>
      </c>
    </row>
    <row r="8" spans="1:2" x14ac:dyDescent="0.2">
      <c r="A8" s="9" t="s">
        <v>1340</v>
      </c>
      <c r="B8" s="10">
        <v>13703.749999999998</v>
      </c>
    </row>
    <row r="9" spans="1:2" x14ac:dyDescent="0.2">
      <c r="A9" s="9" t="s">
        <v>1341</v>
      </c>
      <c r="B9" s="10">
        <v>11832.19</v>
      </c>
    </row>
    <row r="10" spans="1:2" x14ac:dyDescent="0.2">
      <c r="A10" s="9" t="s">
        <v>1342</v>
      </c>
      <c r="B10" s="10">
        <v>4593.58</v>
      </c>
    </row>
    <row r="11" spans="1:2" x14ac:dyDescent="0.2">
      <c r="A11" s="9" t="s">
        <v>1343</v>
      </c>
      <c r="B11" s="10">
        <v>7553.9599999999991</v>
      </c>
    </row>
    <row r="12" spans="1:2" x14ac:dyDescent="0.2">
      <c r="A12" s="9" t="s">
        <v>1344</v>
      </c>
      <c r="B12" s="10">
        <v>6215.7799999999988</v>
      </c>
    </row>
    <row r="13" spans="1:2" x14ac:dyDescent="0.2">
      <c r="A13" s="9" t="s">
        <v>1345</v>
      </c>
      <c r="B13" s="10">
        <v>1031.7600000000002</v>
      </c>
    </row>
    <row r="14" spans="1:2" x14ac:dyDescent="0.2">
      <c r="A14" s="9" t="s">
        <v>1346</v>
      </c>
      <c r="B14" s="10">
        <v>7070.98</v>
      </c>
    </row>
    <row r="15" spans="1:2" x14ac:dyDescent="0.2">
      <c r="A15" s="9" t="s">
        <v>1347</v>
      </c>
      <c r="B15" s="10">
        <v>6157.6900000000005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9" sqref="A9"/>
    </sheetView>
  </sheetViews>
  <sheetFormatPr defaultRowHeight="12.75" x14ac:dyDescent="0.2"/>
  <cols>
    <col min="1" max="1" width="15.42578125" bestFit="1" customWidth="1"/>
    <col min="2" max="2" width="12.85546875" bestFit="1" customWidth="1"/>
  </cols>
  <sheetData>
    <row r="3" spans="1:2" x14ac:dyDescent="0.2">
      <c r="A3" s="8" t="s">
        <v>1331</v>
      </c>
      <c r="B3" t="s">
        <v>1332</v>
      </c>
    </row>
    <row r="4" spans="1:2" x14ac:dyDescent="0.2">
      <c r="A4" s="9" t="s">
        <v>750</v>
      </c>
      <c r="B4" s="10">
        <v>3919.99</v>
      </c>
    </row>
    <row r="5" spans="1:2" x14ac:dyDescent="0.2">
      <c r="A5" s="9" t="s">
        <v>445</v>
      </c>
      <c r="B5" s="10">
        <v>1276.49</v>
      </c>
    </row>
    <row r="6" spans="1:2" x14ac:dyDescent="0.2">
      <c r="A6" s="9" t="s">
        <v>697</v>
      </c>
      <c r="B6" s="10">
        <v>762.18</v>
      </c>
    </row>
    <row r="7" spans="1:2" x14ac:dyDescent="0.2">
      <c r="A7" s="9" t="s">
        <v>798</v>
      </c>
      <c r="B7" s="10">
        <v>659.98</v>
      </c>
    </row>
    <row r="8" spans="1:2" x14ac:dyDescent="0.2">
      <c r="A8" s="9" t="s">
        <v>185</v>
      </c>
      <c r="B8" s="10">
        <v>361.3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9"/>
  <sheetViews>
    <sheetView topLeftCell="A3" workbookViewId="0">
      <selection activeCell="S19" sqref="S19"/>
    </sheetView>
  </sheetViews>
  <sheetFormatPr defaultRowHeight="12.75" x14ac:dyDescent="0.2"/>
  <cols>
    <col min="1" max="1" width="14.140625" bestFit="1" customWidth="1"/>
    <col min="2" max="2" width="13.140625" bestFit="1" customWidth="1"/>
  </cols>
  <sheetData>
    <row r="3" spans="1:6" x14ac:dyDescent="0.2">
      <c r="A3" s="8" t="s">
        <v>1331</v>
      </c>
      <c r="B3" t="s">
        <v>1334</v>
      </c>
      <c r="E3" t="s">
        <v>1331</v>
      </c>
      <c r="F3" t="s">
        <v>1334</v>
      </c>
    </row>
    <row r="4" spans="1:6" x14ac:dyDescent="0.2">
      <c r="A4" s="9" t="s">
        <v>319</v>
      </c>
      <c r="B4" s="10">
        <v>1124.8900000000001</v>
      </c>
      <c r="E4" t="s">
        <v>319</v>
      </c>
      <c r="F4">
        <v>1646.3200000000002</v>
      </c>
    </row>
    <row r="5" spans="1:6" x14ac:dyDescent="0.2">
      <c r="A5" s="9" t="s">
        <v>82</v>
      </c>
      <c r="B5" s="10">
        <v>521.51</v>
      </c>
      <c r="E5" t="s">
        <v>82</v>
      </c>
      <c r="F5">
        <v>3328.8399999999997</v>
      </c>
    </row>
    <row r="6" spans="1:6" x14ac:dyDescent="0.2">
      <c r="A6" s="9" t="s">
        <v>86</v>
      </c>
      <c r="B6" s="10">
        <v>699.93</v>
      </c>
      <c r="E6" t="s">
        <v>86</v>
      </c>
      <c r="F6">
        <v>729.92</v>
      </c>
    </row>
    <row r="7" spans="1:6" x14ac:dyDescent="0.2">
      <c r="A7" s="9" t="s">
        <v>27</v>
      </c>
      <c r="B7" s="10">
        <v>13835.97</v>
      </c>
      <c r="E7" t="s">
        <v>27</v>
      </c>
      <c r="F7">
        <v>34184.07</v>
      </c>
    </row>
    <row r="8" spans="1:6" x14ac:dyDescent="0.2">
      <c r="A8" s="9" t="s">
        <v>199</v>
      </c>
      <c r="B8" s="10">
        <v>226.85</v>
      </c>
      <c r="E8" t="s">
        <v>199</v>
      </c>
      <c r="F8">
        <v>2128.04</v>
      </c>
    </row>
    <row r="9" spans="1:6" x14ac:dyDescent="0.2">
      <c r="A9" s="9" t="s">
        <v>54</v>
      </c>
      <c r="B9" s="10">
        <v>502.8</v>
      </c>
      <c r="E9" t="s">
        <v>393</v>
      </c>
      <c r="F9">
        <v>1218.21</v>
      </c>
    </row>
    <row r="10" spans="1:6" x14ac:dyDescent="0.2">
      <c r="A10" s="9" t="s">
        <v>100</v>
      </c>
      <c r="B10" s="10">
        <v>7784</v>
      </c>
      <c r="E10" t="s">
        <v>54</v>
      </c>
      <c r="F10">
        <v>1153.8000000000002</v>
      </c>
    </row>
    <row r="11" spans="1:6" x14ac:dyDescent="0.2">
      <c r="A11" s="9" t="s">
        <v>30</v>
      </c>
      <c r="B11" s="10">
        <v>2245.36</v>
      </c>
      <c r="E11" t="s">
        <v>100</v>
      </c>
      <c r="F11">
        <v>11484.81</v>
      </c>
    </row>
    <row r="12" spans="1:6" x14ac:dyDescent="0.2">
      <c r="A12" s="9" t="s">
        <v>15</v>
      </c>
      <c r="B12" s="10">
        <v>1950.97</v>
      </c>
      <c r="E12" t="s">
        <v>30</v>
      </c>
      <c r="F12">
        <v>4345.8199999999988</v>
      </c>
    </row>
    <row r="13" spans="1:6" x14ac:dyDescent="0.2">
      <c r="A13" s="9" t="s">
        <v>106</v>
      </c>
      <c r="B13" s="10">
        <v>146.62</v>
      </c>
      <c r="E13" t="s">
        <v>333</v>
      </c>
      <c r="F13">
        <v>41.96</v>
      </c>
    </row>
    <row r="14" spans="1:6" x14ac:dyDescent="0.2">
      <c r="A14" s="9" t="s">
        <v>261</v>
      </c>
      <c r="B14" s="10">
        <v>126.82999999999998</v>
      </c>
      <c r="E14" t="s">
        <v>15</v>
      </c>
      <c r="F14">
        <v>9536.3400000000056</v>
      </c>
    </row>
    <row r="15" spans="1:6" x14ac:dyDescent="0.2">
      <c r="A15" s="9" t="s">
        <v>32</v>
      </c>
      <c r="B15" s="10">
        <v>221.83999999999997</v>
      </c>
      <c r="E15" t="s">
        <v>106</v>
      </c>
      <c r="F15">
        <v>388.62</v>
      </c>
    </row>
    <row r="16" spans="1:6" x14ac:dyDescent="0.2">
      <c r="A16" s="9" t="s">
        <v>57</v>
      </c>
      <c r="B16" s="10">
        <v>65.06</v>
      </c>
      <c r="E16" t="s">
        <v>261</v>
      </c>
      <c r="F16">
        <v>151.59</v>
      </c>
    </row>
    <row r="17" spans="1:6" x14ac:dyDescent="0.2">
      <c r="A17" s="9" t="s">
        <v>343</v>
      </c>
      <c r="B17" s="10">
        <v>311.08</v>
      </c>
      <c r="E17" t="s">
        <v>751</v>
      </c>
      <c r="F17">
        <v>273.95999999999998</v>
      </c>
    </row>
    <row r="18" spans="1:6" x14ac:dyDescent="0.2">
      <c r="A18" s="9" t="s">
        <v>286</v>
      </c>
      <c r="B18" s="10">
        <v>106.02000000000001</v>
      </c>
      <c r="E18" t="s">
        <v>32</v>
      </c>
      <c r="F18">
        <v>1924.3500000000001</v>
      </c>
    </row>
    <row r="19" spans="1:6" x14ac:dyDescent="0.2">
      <c r="A19" s="9" t="s">
        <v>93</v>
      </c>
      <c r="B19" s="10">
        <v>478.95999999999992</v>
      </c>
      <c r="E19" t="s">
        <v>57</v>
      </c>
      <c r="F19">
        <v>569.02</v>
      </c>
    </row>
    <row r="20" spans="1:6" x14ac:dyDescent="0.2">
      <c r="A20" s="9" t="s">
        <v>220</v>
      </c>
      <c r="B20" s="10">
        <v>113.77</v>
      </c>
      <c r="E20" t="s">
        <v>343</v>
      </c>
      <c r="F20">
        <v>311.08</v>
      </c>
    </row>
    <row r="21" spans="1:6" x14ac:dyDescent="0.2">
      <c r="A21" s="9" t="s">
        <v>226</v>
      </c>
      <c r="B21" s="10">
        <v>559.63</v>
      </c>
      <c r="E21" t="s">
        <v>286</v>
      </c>
      <c r="F21">
        <v>1658.93</v>
      </c>
    </row>
    <row r="22" spans="1:6" x14ac:dyDescent="0.2">
      <c r="A22" s="9" t="s">
        <v>103</v>
      </c>
      <c r="B22" s="10">
        <v>58.28</v>
      </c>
      <c r="E22" t="s">
        <v>93</v>
      </c>
      <c r="F22">
        <v>7395.2400000000007</v>
      </c>
    </row>
    <row r="23" spans="1:6" x14ac:dyDescent="0.2">
      <c r="A23" s="9" t="s">
        <v>441</v>
      </c>
      <c r="B23" s="10">
        <v>33.28</v>
      </c>
      <c r="E23" t="s">
        <v>220</v>
      </c>
      <c r="F23">
        <v>2469.2499999999995</v>
      </c>
    </row>
    <row r="24" spans="1:6" x14ac:dyDescent="0.2">
      <c r="A24" s="9" t="s">
        <v>141</v>
      </c>
      <c r="B24" s="10">
        <v>306.84000000000003</v>
      </c>
      <c r="E24" t="s">
        <v>226</v>
      </c>
      <c r="F24">
        <v>2356.09</v>
      </c>
    </row>
    <row r="25" spans="1:6" x14ac:dyDescent="0.2">
      <c r="A25" s="9" t="s">
        <v>119</v>
      </c>
      <c r="B25" s="10">
        <v>15469.730000000001</v>
      </c>
      <c r="E25" t="s">
        <v>147</v>
      </c>
      <c r="F25">
        <v>992.43</v>
      </c>
    </row>
    <row r="26" spans="1:6" x14ac:dyDescent="0.2">
      <c r="A26" s="9" t="s">
        <v>186</v>
      </c>
      <c r="B26" s="10">
        <v>881.7600000000001</v>
      </c>
      <c r="E26" t="s">
        <v>336</v>
      </c>
      <c r="F26">
        <v>3525.2599999999998</v>
      </c>
    </row>
    <row r="27" spans="1:6" x14ac:dyDescent="0.2">
      <c r="A27" s="9" t="s">
        <v>68</v>
      </c>
      <c r="B27" s="10">
        <v>1326.21</v>
      </c>
      <c r="E27" t="s">
        <v>615</v>
      </c>
      <c r="F27">
        <v>28.4</v>
      </c>
    </row>
    <row r="28" spans="1:6" x14ac:dyDescent="0.2">
      <c r="A28" s="9" t="s">
        <v>517</v>
      </c>
      <c r="B28" s="10">
        <v>1287.45</v>
      </c>
      <c r="E28" t="s">
        <v>103</v>
      </c>
      <c r="F28">
        <v>192.65</v>
      </c>
    </row>
    <row r="29" spans="1:6" x14ac:dyDescent="0.2">
      <c r="A29" s="9" t="s">
        <v>79</v>
      </c>
      <c r="B29" s="10">
        <v>350.45999999999992</v>
      </c>
      <c r="E29" t="s">
        <v>441</v>
      </c>
      <c r="F29">
        <v>449.11</v>
      </c>
    </row>
    <row r="30" spans="1:6" x14ac:dyDescent="0.2">
      <c r="A30" s="9" t="s">
        <v>23</v>
      </c>
      <c r="B30" s="10">
        <v>6592.4700000000012</v>
      </c>
      <c r="E30" t="s">
        <v>141</v>
      </c>
      <c r="F30">
        <v>664.57000000000016</v>
      </c>
    </row>
    <row r="31" spans="1:6" x14ac:dyDescent="0.2">
      <c r="A31" s="9" t="s">
        <v>862</v>
      </c>
      <c r="B31" s="10">
        <v>49.96</v>
      </c>
      <c r="E31" t="s">
        <v>263</v>
      </c>
      <c r="F31">
        <v>92.52</v>
      </c>
    </row>
    <row r="32" spans="1:6" x14ac:dyDescent="0.2">
      <c r="A32" s="9" t="s">
        <v>63</v>
      </c>
      <c r="B32" s="10">
        <v>369.09999999999997</v>
      </c>
      <c r="E32" t="s">
        <v>119</v>
      </c>
      <c r="F32">
        <v>24564.66</v>
      </c>
    </row>
    <row r="33" spans="1:6" x14ac:dyDescent="0.2">
      <c r="A33" s="9" t="s">
        <v>97</v>
      </c>
      <c r="B33" s="10">
        <v>35.17</v>
      </c>
      <c r="E33" t="s">
        <v>186</v>
      </c>
      <c r="F33">
        <v>17029.989999999998</v>
      </c>
    </row>
    <row r="34" spans="1:6" x14ac:dyDescent="0.2">
      <c r="A34" s="9" t="s">
        <v>10</v>
      </c>
      <c r="B34" s="10">
        <v>3690.3799999999997</v>
      </c>
      <c r="E34" t="s">
        <v>1322</v>
      </c>
      <c r="F34">
        <v>131.94</v>
      </c>
    </row>
    <row r="35" spans="1:6" x14ac:dyDescent="0.2">
      <c r="A35" s="9" t="s">
        <v>210</v>
      </c>
      <c r="B35" s="10">
        <v>1144.5300000000002</v>
      </c>
      <c r="E35" t="s">
        <v>68</v>
      </c>
      <c r="F35">
        <v>4961.4400000000005</v>
      </c>
    </row>
    <row r="36" spans="1:6" x14ac:dyDescent="0.2">
      <c r="A36" s="9" t="s">
        <v>51</v>
      </c>
      <c r="B36" s="10">
        <v>3608.7</v>
      </c>
      <c r="E36" t="s">
        <v>517</v>
      </c>
      <c r="F36">
        <v>3292.73</v>
      </c>
    </row>
    <row r="37" spans="1:6" x14ac:dyDescent="0.2">
      <c r="A37" s="9" t="s">
        <v>133</v>
      </c>
      <c r="B37" s="10">
        <v>2851.42</v>
      </c>
      <c r="E37" t="s">
        <v>79</v>
      </c>
      <c r="F37">
        <v>788.83999999999992</v>
      </c>
    </row>
    <row r="38" spans="1:6" x14ac:dyDescent="0.2">
      <c r="A38" s="9" t="s">
        <v>126</v>
      </c>
      <c r="B38" s="10">
        <v>1754.1</v>
      </c>
      <c r="E38" t="s">
        <v>23</v>
      </c>
      <c r="F38">
        <v>12490.21</v>
      </c>
    </row>
    <row r="39" spans="1:6" x14ac:dyDescent="0.2">
      <c r="A39" s="9" t="s">
        <v>1333</v>
      </c>
      <c r="B39" s="10">
        <v>70831.929999999993</v>
      </c>
      <c r="E39" t="s">
        <v>862</v>
      </c>
      <c r="F39">
        <v>49.96</v>
      </c>
    </row>
    <row r="40" spans="1:6" x14ac:dyDescent="0.2">
      <c r="E40" t="s">
        <v>63</v>
      </c>
      <c r="F40">
        <v>432.00999999999993</v>
      </c>
    </row>
    <row r="41" spans="1:6" x14ac:dyDescent="0.2">
      <c r="E41" t="s">
        <v>112</v>
      </c>
      <c r="F41">
        <v>23.2</v>
      </c>
    </row>
    <row r="42" spans="1:6" x14ac:dyDescent="0.2">
      <c r="E42" t="s">
        <v>97</v>
      </c>
      <c r="F42">
        <v>1087.7199999999998</v>
      </c>
    </row>
    <row r="43" spans="1:6" x14ac:dyDescent="0.2">
      <c r="E43" t="s">
        <v>10</v>
      </c>
      <c r="F43">
        <v>13885.760000000002</v>
      </c>
    </row>
    <row r="44" spans="1:6" x14ac:dyDescent="0.2">
      <c r="E44" t="s">
        <v>210</v>
      </c>
      <c r="F44">
        <v>3269.3</v>
      </c>
    </row>
    <row r="45" spans="1:6" x14ac:dyDescent="0.2">
      <c r="E45" t="s">
        <v>1223</v>
      </c>
      <c r="F45">
        <v>1294.75</v>
      </c>
    </row>
    <row r="46" spans="1:6" x14ac:dyDescent="0.2">
      <c r="E46" t="s">
        <v>51</v>
      </c>
      <c r="F46">
        <v>5764.8500000000013</v>
      </c>
    </row>
    <row r="47" spans="1:6" x14ac:dyDescent="0.2">
      <c r="E47" t="s">
        <v>133</v>
      </c>
      <c r="F47">
        <v>8935</v>
      </c>
    </row>
    <row r="48" spans="1:6" x14ac:dyDescent="0.2">
      <c r="E48" t="s">
        <v>126</v>
      </c>
      <c r="F48">
        <v>9680.18</v>
      </c>
    </row>
    <row r="49" spans="5:6" x14ac:dyDescent="0.2">
      <c r="E49" t="s">
        <v>1333</v>
      </c>
      <c r="F49">
        <v>200923.74000000002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7"/>
  <sheetViews>
    <sheetView workbookViewId="0">
      <selection activeCell="B15" sqref="B15"/>
    </sheetView>
  </sheetViews>
  <sheetFormatPr defaultRowHeight="12.75" x14ac:dyDescent="0.2"/>
  <cols>
    <col min="1" max="1" width="12.85546875" bestFit="1" customWidth="1"/>
    <col min="6" max="6" width="12.28515625" bestFit="1" customWidth="1"/>
  </cols>
  <sheetData>
    <row r="2" spans="1:6" x14ac:dyDescent="0.2">
      <c r="A2" s="12">
        <f>GETPIVOTDATA("Profit",$A$3)</f>
        <v>15220.529999999999</v>
      </c>
    </row>
    <row r="3" spans="1:6" x14ac:dyDescent="0.2">
      <c r="A3" t="s">
        <v>1332</v>
      </c>
      <c r="C3">
        <v>668</v>
      </c>
      <c r="F3" s="15"/>
    </row>
    <row r="4" spans="1:6" x14ac:dyDescent="0.2">
      <c r="A4" s="11">
        <v>15220.529999999999</v>
      </c>
      <c r="C4" t="s">
        <v>1354</v>
      </c>
      <c r="F4" s="15">
        <v>200923.74000000028</v>
      </c>
    </row>
    <row r="5" spans="1:6" x14ac:dyDescent="0.2">
      <c r="C5">
        <v>668</v>
      </c>
      <c r="F5" s="15" t="s">
        <v>1334</v>
      </c>
    </row>
    <row r="6" spans="1:6" x14ac:dyDescent="0.2">
      <c r="F6" s="15">
        <v>200923.74000000028</v>
      </c>
    </row>
    <row r="7" spans="1:6" x14ac:dyDescent="0.2">
      <c r="F7" s="14"/>
    </row>
  </sheetData>
  <pageMargins left="0.7" right="0.7" top="0.75" bottom="0.75" header="0.3" footer="0.3"/>
  <pageSetup orientation="portrait" horizontalDpi="0"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4"/>
  <sheetViews>
    <sheetView workbookViewId="0">
      <selection sqref="A1:A5"/>
    </sheetView>
  </sheetViews>
  <sheetFormatPr defaultRowHeight="12.75" x14ac:dyDescent="0.2"/>
  <cols>
    <col min="1" max="1" width="13.140625" bestFit="1" customWidth="1"/>
    <col min="2" max="2" width="14.140625" bestFit="1" customWidth="1"/>
  </cols>
  <sheetData>
    <row r="2" spans="1:1" x14ac:dyDescent="0.2">
      <c r="A2" s="13">
        <f>GETPIVOTDATA("Sum of Sales",$A$3)</f>
        <v>200923.74000000028</v>
      </c>
    </row>
    <row r="3" spans="1:1" x14ac:dyDescent="0.2">
      <c r="A3" t="s">
        <v>1334</v>
      </c>
    </row>
    <row r="4" spans="1:1" x14ac:dyDescent="0.2">
      <c r="A4" s="11">
        <v>200923.74000000028</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4"/>
  <sheetViews>
    <sheetView workbookViewId="0">
      <selection activeCell="A4" sqref="A4"/>
    </sheetView>
  </sheetViews>
  <sheetFormatPr defaultRowHeight="12.75" x14ac:dyDescent="0.2"/>
  <cols>
    <col min="1" max="1" width="23.85546875" bestFit="1" customWidth="1"/>
  </cols>
  <sheetData>
    <row r="2" spans="1:1" x14ac:dyDescent="0.2">
      <c r="A2">
        <f>GETPIVOTDATA("Customer name",$A$3)</f>
        <v>668</v>
      </c>
    </row>
    <row r="3" spans="1:1" x14ac:dyDescent="0.2">
      <c r="A3" t="s">
        <v>1354</v>
      </c>
    </row>
    <row r="4" spans="1:1" x14ac:dyDescent="0.2">
      <c r="A4" s="10">
        <v>668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69"/>
  <sheetViews>
    <sheetView topLeftCell="A2" workbookViewId="0">
      <selection activeCell="G24" sqref="G24"/>
    </sheetView>
  </sheetViews>
  <sheetFormatPr defaultRowHeight="12.75" x14ac:dyDescent="0.2"/>
  <cols>
    <col min="2" max="2" width="17.42578125" customWidth="1"/>
  </cols>
  <sheetData>
    <row r="1" spans="1:2" x14ac:dyDescent="0.2">
      <c r="A1" t="s">
        <v>1348</v>
      </c>
      <c r="B1" t="s">
        <v>1353</v>
      </c>
    </row>
    <row r="2" spans="1:2" x14ac:dyDescent="0.2">
      <c r="A2" t="s">
        <v>1349</v>
      </c>
      <c r="B2" t="s">
        <v>14</v>
      </c>
    </row>
    <row r="3" spans="1:2" x14ac:dyDescent="0.2">
      <c r="A3" t="s">
        <v>1349</v>
      </c>
      <c r="B3" t="s">
        <v>22</v>
      </c>
    </row>
    <row r="4" spans="1:2" x14ac:dyDescent="0.2">
      <c r="A4" t="s">
        <v>1349</v>
      </c>
      <c r="B4" t="s">
        <v>26</v>
      </c>
    </row>
    <row r="5" spans="1:2" x14ac:dyDescent="0.2">
      <c r="A5" t="s">
        <v>1349</v>
      </c>
      <c r="B5" t="s">
        <v>43</v>
      </c>
    </row>
    <row r="6" spans="1:2" x14ac:dyDescent="0.2">
      <c r="A6" t="s">
        <v>1349</v>
      </c>
      <c r="B6" t="s">
        <v>46</v>
      </c>
    </row>
    <row r="7" spans="1:2" x14ac:dyDescent="0.2">
      <c r="A7" t="s">
        <v>1349</v>
      </c>
      <c r="B7" t="s">
        <v>50</v>
      </c>
    </row>
    <row r="8" spans="1:2" x14ac:dyDescent="0.2">
      <c r="A8" t="s">
        <v>1349</v>
      </c>
      <c r="B8" t="s">
        <v>53</v>
      </c>
    </row>
    <row r="9" spans="1:2" x14ac:dyDescent="0.2">
      <c r="A9" t="s">
        <v>1349</v>
      </c>
      <c r="B9" t="s">
        <v>56</v>
      </c>
    </row>
    <row r="10" spans="1:2" x14ac:dyDescent="0.2">
      <c r="A10" t="s">
        <v>1349</v>
      </c>
      <c r="B10" t="s">
        <v>70</v>
      </c>
    </row>
    <row r="11" spans="1:2" x14ac:dyDescent="0.2">
      <c r="A11" t="s">
        <v>1349</v>
      </c>
      <c r="B11" t="s">
        <v>72</v>
      </c>
    </row>
    <row r="12" spans="1:2" x14ac:dyDescent="0.2">
      <c r="A12" t="s">
        <v>1349</v>
      </c>
      <c r="B12" t="s">
        <v>74</v>
      </c>
    </row>
    <row r="13" spans="1:2" x14ac:dyDescent="0.2">
      <c r="A13" t="s">
        <v>1349</v>
      </c>
      <c r="B13" t="s">
        <v>78</v>
      </c>
    </row>
    <row r="14" spans="1:2" x14ac:dyDescent="0.2">
      <c r="A14" t="s">
        <v>1349</v>
      </c>
      <c r="B14" t="s">
        <v>81</v>
      </c>
    </row>
    <row r="15" spans="1:2" x14ac:dyDescent="0.2">
      <c r="A15" t="s">
        <v>1349</v>
      </c>
      <c r="B15" t="s">
        <v>85</v>
      </c>
    </row>
    <row r="16" spans="1:2" x14ac:dyDescent="0.2">
      <c r="A16" t="s">
        <v>1349</v>
      </c>
      <c r="B16" t="s">
        <v>99</v>
      </c>
    </row>
    <row r="17" spans="1:2" x14ac:dyDescent="0.2">
      <c r="A17" t="s">
        <v>1349</v>
      </c>
      <c r="B17" t="s">
        <v>102</v>
      </c>
    </row>
    <row r="18" spans="1:2" x14ac:dyDescent="0.2">
      <c r="A18" t="s">
        <v>1349</v>
      </c>
      <c r="B18" t="s">
        <v>107</v>
      </c>
    </row>
    <row r="19" spans="1:2" x14ac:dyDescent="0.2">
      <c r="A19" t="s">
        <v>1349</v>
      </c>
      <c r="B19" t="s">
        <v>115</v>
      </c>
    </row>
    <row r="20" spans="1:2" x14ac:dyDescent="0.2">
      <c r="A20" t="s">
        <v>1349</v>
      </c>
      <c r="B20" t="s">
        <v>118</v>
      </c>
    </row>
    <row r="21" spans="1:2" x14ac:dyDescent="0.2">
      <c r="A21" t="s">
        <v>1349</v>
      </c>
      <c r="B21" t="s">
        <v>121</v>
      </c>
    </row>
    <row r="22" spans="1:2" x14ac:dyDescent="0.2">
      <c r="A22" t="s">
        <v>1349</v>
      </c>
      <c r="B22" t="s">
        <v>123</v>
      </c>
    </row>
    <row r="23" spans="1:2" x14ac:dyDescent="0.2">
      <c r="A23" t="s">
        <v>1349</v>
      </c>
      <c r="B23" t="s">
        <v>125</v>
      </c>
    </row>
    <row r="24" spans="1:2" x14ac:dyDescent="0.2">
      <c r="A24" t="s">
        <v>1349</v>
      </c>
      <c r="B24" t="s">
        <v>128</v>
      </c>
    </row>
    <row r="25" spans="1:2" x14ac:dyDescent="0.2">
      <c r="A25" t="s">
        <v>1349</v>
      </c>
      <c r="B25" t="s">
        <v>135</v>
      </c>
    </row>
    <row r="26" spans="1:2" x14ac:dyDescent="0.2">
      <c r="A26" t="s">
        <v>1349</v>
      </c>
      <c r="B26" t="s">
        <v>137</v>
      </c>
    </row>
    <row r="27" spans="1:2" x14ac:dyDescent="0.2">
      <c r="A27" t="s">
        <v>1349</v>
      </c>
      <c r="B27" t="s">
        <v>140</v>
      </c>
    </row>
    <row r="28" spans="1:2" x14ac:dyDescent="0.2">
      <c r="A28" t="s">
        <v>1349</v>
      </c>
      <c r="B28" t="s">
        <v>143</v>
      </c>
    </row>
    <row r="29" spans="1:2" x14ac:dyDescent="0.2">
      <c r="A29" t="s">
        <v>1349</v>
      </c>
      <c r="B29" t="s">
        <v>152</v>
      </c>
    </row>
    <row r="30" spans="1:2" x14ac:dyDescent="0.2">
      <c r="A30" t="s">
        <v>1349</v>
      </c>
      <c r="B30" t="s">
        <v>154</v>
      </c>
    </row>
    <row r="31" spans="1:2" x14ac:dyDescent="0.2">
      <c r="A31" t="s">
        <v>1349</v>
      </c>
      <c r="B31" t="s">
        <v>159</v>
      </c>
    </row>
    <row r="32" spans="1:2" x14ac:dyDescent="0.2">
      <c r="A32" t="s">
        <v>1349</v>
      </c>
      <c r="B32" t="s">
        <v>161</v>
      </c>
    </row>
    <row r="33" spans="1:2" x14ac:dyDescent="0.2">
      <c r="A33" t="s">
        <v>1349</v>
      </c>
      <c r="B33" t="s">
        <v>165</v>
      </c>
    </row>
    <row r="34" spans="1:2" x14ac:dyDescent="0.2">
      <c r="A34" t="s">
        <v>1349</v>
      </c>
      <c r="B34" t="s">
        <v>168</v>
      </c>
    </row>
    <row r="35" spans="1:2" x14ac:dyDescent="0.2">
      <c r="A35" t="s">
        <v>1349</v>
      </c>
      <c r="B35" t="s">
        <v>172</v>
      </c>
    </row>
    <row r="36" spans="1:2" x14ac:dyDescent="0.2">
      <c r="A36" t="s">
        <v>1349</v>
      </c>
      <c r="B36" t="s">
        <v>174</v>
      </c>
    </row>
    <row r="37" spans="1:2" x14ac:dyDescent="0.2">
      <c r="A37" t="s">
        <v>1349</v>
      </c>
      <c r="B37" t="s">
        <v>177</v>
      </c>
    </row>
    <row r="38" spans="1:2" x14ac:dyDescent="0.2">
      <c r="A38" t="s">
        <v>1349</v>
      </c>
      <c r="B38" t="s">
        <v>179</v>
      </c>
    </row>
    <row r="39" spans="1:2" x14ac:dyDescent="0.2">
      <c r="A39" t="s">
        <v>1349</v>
      </c>
      <c r="B39" t="s">
        <v>189</v>
      </c>
    </row>
    <row r="40" spans="1:2" x14ac:dyDescent="0.2">
      <c r="A40" t="s">
        <v>1349</v>
      </c>
      <c r="B40" t="s">
        <v>191</v>
      </c>
    </row>
    <row r="41" spans="1:2" x14ac:dyDescent="0.2">
      <c r="A41" t="s">
        <v>1349</v>
      </c>
      <c r="B41" t="s">
        <v>167</v>
      </c>
    </row>
    <row r="42" spans="1:2" x14ac:dyDescent="0.2">
      <c r="A42" t="s">
        <v>1349</v>
      </c>
      <c r="B42" t="s">
        <v>196</v>
      </c>
    </row>
    <row r="43" spans="1:2" x14ac:dyDescent="0.2">
      <c r="A43" t="s">
        <v>1349</v>
      </c>
      <c r="B43" t="s">
        <v>201</v>
      </c>
    </row>
    <row r="44" spans="1:2" x14ac:dyDescent="0.2">
      <c r="A44" t="s">
        <v>1349</v>
      </c>
      <c r="B44" t="s">
        <v>215</v>
      </c>
    </row>
    <row r="45" spans="1:2" x14ac:dyDescent="0.2">
      <c r="A45" t="s">
        <v>1349</v>
      </c>
      <c r="B45" t="s">
        <v>183</v>
      </c>
    </row>
    <row r="46" spans="1:2" x14ac:dyDescent="0.2">
      <c r="A46" t="s">
        <v>1349</v>
      </c>
      <c r="B46" t="s">
        <v>219</v>
      </c>
    </row>
    <row r="47" spans="1:2" x14ac:dyDescent="0.2">
      <c r="A47" t="s">
        <v>1349</v>
      </c>
      <c r="B47" t="s">
        <v>230</v>
      </c>
    </row>
    <row r="48" spans="1:2" x14ac:dyDescent="0.2">
      <c r="A48" t="s">
        <v>1349</v>
      </c>
      <c r="B48" t="s">
        <v>234</v>
      </c>
    </row>
    <row r="49" spans="1:2" x14ac:dyDescent="0.2">
      <c r="A49" t="s">
        <v>1349</v>
      </c>
      <c r="B49" t="s">
        <v>237</v>
      </c>
    </row>
    <row r="50" spans="1:2" x14ac:dyDescent="0.2">
      <c r="A50" t="s">
        <v>1349</v>
      </c>
      <c r="B50" t="s">
        <v>244</v>
      </c>
    </row>
    <row r="51" spans="1:2" x14ac:dyDescent="0.2">
      <c r="A51" t="s">
        <v>1349</v>
      </c>
      <c r="B51" t="s">
        <v>247</v>
      </c>
    </row>
    <row r="52" spans="1:2" x14ac:dyDescent="0.2">
      <c r="A52" t="s">
        <v>1349</v>
      </c>
      <c r="B52" t="s">
        <v>251</v>
      </c>
    </row>
    <row r="53" spans="1:2" x14ac:dyDescent="0.2">
      <c r="A53" t="s">
        <v>1349</v>
      </c>
      <c r="B53" t="s">
        <v>225</v>
      </c>
    </row>
    <row r="54" spans="1:2" x14ac:dyDescent="0.2">
      <c r="A54" t="s">
        <v>1349</v>
      </c>
      <c r="B54" t="s">
        <v>256</v>
      </c>
    </row>
    <row r="55" spans="1:2" x14ac:dyDescent="0.2">
      <c r="A55" t="s">
        <v>1349</v>
      </c>
      <c r="B55" t="s">
        <v>260</v>
      </c>
    </row>
    <row r="56" spans="1:2" x14ac:dyDescent="0.2">
      <c r="A56" t="s">
        <v>1349</v>
      </c>
      <c r="B56" t="s">
        <v>267</v>
      </c>
    </row>
    <row r="57" spans="1:2" x14ac:dyDescent="0.2">
      <c r="A57" t="s">
        <v>1349</v>
      </c>
      <c r="B57" t="s">
        <v>269</v>
      </c>
    </row>
    <row r="58" spans="1:2" x14ac:dyDescent="0.2">
      <c r="A58" t="s">
        <v>1349</v>
      </c>
      <c r="B58" t="s">
        <v>277</v>
      </c>
    </row>
    <row r="59" spans="1:2" x14ac:dyDescent="0.2">
      <c r="A59" t="s">
        <v>1349</v>
      </c>
      <c r="B59" t="s">
        <v>289</v>
      </c>
    </row>
    <row r="60" spans="1:2" x14ac:dyDescent="0.2">
      <c r="A60" t="s">
        <v>1349</v>
      </c>
      <c r="B60" t="s">
        <v>294</v>
      </c>
    </row>
    <row r="61" spans="1:2" x14ac:dyDescent="0.2">
      <c r="A61" t="s">
        <v>1349</v>
      </c>
      <c r="B61" t="s">
        <v>300</v>
      </c>
    </row>
    <row r="62" spans="1:2" x14ac:dyDescent="0.2">
      <c r="A62" t="s">
        <v>1349</v>
      </c>
      <c r="B62" t="s">
        <v>309</v>
      </c>
    </row>
    <row r="63" spans="1:2" x14ac:dyDescent="0.2">
      <c r="A63" t="s">
        <v>1349</v>
      </c>
      <c r="B63" t="s">
        <v>318</v>
      </c>
    </row>
    <row r="64" spans="1:2" x14ac:dyDescent="0.2">
      <c r="A64" t="s">
        <v>1349</v>
      </c>
      <c r="B64" t="s">
        <v>323</v>
      </c>
    </row>
    <row r="65" spans="1:2" x14ac:dyDescent="0.2">
      <c r="A65" t="s">
        <v>1349</v>
      </c>
      <c r="B65" t="s">
        <v>330</v>
      </c>
    </row>
    <row r="66" spans="1:2" x14ac:dyDescent="0.2">
      <c r="A66" t="s">
        <v>1349</v>
      </c>
      <c r="B66" t="s">
        <v>337</v>
      </c>
    </row>
    <row r="67" spans="1:2" x14ac:dyDescent="0.2">
      <c r="A67" t="s">
        <v>1349</v>
      </c>
      <c r="B67" t="s">
        <v>344</v>
      </c>
    </row>
    <row r="68" spans="1:2" x14ac:dyDescent="0.2">
      <c r="A68" t="s">
        <v>1349</v>
      </c>
      <c r="B68" t="s">
        <v>348</v>
      </c>
    </row>
    <row r="69" spans="1:2" x14ac:dyDescent="0.2">
      <c r="A69" t="s">
        <v>1349</v>
      </c>
      <c r="B69" t="s">
        <v>353</v>
      </c>
    </row>
    <row r="70" spans="1:2" x14ac:dyDescent="0.2">
      <c r="A70" t="s">
        <v>1349</v>
      </c>
      <c r="B70" t="s">
        <v>362</v>
      </c>
    </row>
    <row r="71" spans="1:2" x14ac:dyDescent="0.2">
      <c r="A71" t="s">
        <v>1349</v>
      </c>
      <c r="B71" t="s">
        <v>365</v>
      </c>
    </row>
    <row r="72" spans="1:2" x14ac:dyDescent="0.2">
      <c r="A72" t="s">
        <v>1349</v>
      </c>
      <c r="B72" t="s">
        <v>367</v>
      </c>
    </row>
    <row r="73" spans="1:2" x14ac:dyDescent="0.2">
      <c r="A73" t="s">
        <v>1349</v>
      </c>
      <c r="B73" t="s">
        <v>369</v>
      </c>
    </row>
    <row r="74" spans="1:2" x14ac:dyDescent="0.2">
      <c r="A74" t="s">
        <v>1349</v>
      </c>
      <c r="B74" t="s">
        <v>378</v>
      </c>
    </row>
    <row r="75" spans="1:2" x14ac:dyDescent="0.2">
      <c r="A75" t="s">
        <v>1349</v>
      </c>
      <c r="B75" t="s">
        <v>385</v>
      </c>
    </row>
    <row r="76" spans="1:2" x14ac:dyDescent="0.2">
      <c r="A76" t="s">
        <v>1349</v>
      </c>
      <c r="B76" t="s">
        <v>388</v>
      </c>
    </row>
    <row r="77" spans="1:2" x14ac:dyDescent="0.2">
      <c r="A77" t="s">
        <v>1349</v>
      </c>
      <c r="B77" t="s">
        <v>391</v>
      </c>
    </row>
    <row r="78" spans="1:2" x14ac:dyDescent="0.2">
      <c r="A78" t="s">
        <v>1349</v>
      </c>
      <c r="B78" t="s">
        <v>396</v>
      </c>
    </row>
    <row r="79" spans="1:2" x14ac:dyDescent="0.2">
      <c r="A79" t="s">
        <v>1349</v>
      </c>
      <c r="B79" t="s">
        <v>402</v>
      </c>
    </row>
    <row r="80" spans="1:2" x14ac:dyDescent="0.2">
      <c r="A80" t="s">
        <v>1349</v>
      </c>
      <c r="B80" t="s">
        <v>406</v>
      </c>
    </row>
    <row r="81" spans="1:2" x14ac:dyDescent="0.2">
      <c r="A81" t="s">
        <v>1349</v>
      </c>
      <c r="B81" t="s">
        <v>198</v>
      </c>
    </row>
    <row r="82" spans="1:2" x14ac:dyDescent="0.2">
      <c r="A82" t="s">
        <v>1349</v>
      </c>
      <c r="B82" t="s">
        <v>410</v>
      </c>
    </row>
    <row r="83" spans="1:2" x14ac:dyDescent="0.2">
      <c r="A83" t="s">
        <v>1349</v>
      </c>
      <c r="B83" t="s">
        <v>375</v>
      </c>
    </row>
    <row r="84" spans="1:2" x14ac:dyDescent="0.2">
      <c r="A84" t="s">
        <v>1349</v>
      </c>
      <c r="B84" t="s">
        <v>416</v>
      </c>
    </row>
    <row r="85" spans="1:2" x14ac:dyDescent="0.2">
      <c r="A85" t="s">
        <v>1349</v>
      </c>
      <c r="B85" t="s">
        <v>423</v>
      </c>
    </row>
    <row r="86" spans="1:2" x14ac:dyDescent="0.2">
      <c r="A86" t="s">
        <v>1349</v>
      </c>
      <c r="B86" t="s">
        <v>427</v>
      </c>
    </row>
    <row r="87" spans="1:2" x14ac:dyDescent="0.2">
      <c r="A87" t="s">
        <v>1349</v>
      </c>
      <c r="B87" t="s">
        <v>430</v>
      </c>
    </row>
    <row r="88" spans="1:2" x14ac:dyDescent="0.2">
      <c r="A88" t="s">
        <v>1349</v>
      </c>
      <c r="B88" t="s">
        <v>431</v>
      </c>
    </row>
    <row r="89" spans="1:2" x14ac:dyDescent="0.2">
      <c r="A89" t="s">
        <v>1349</v>
      </c>
      <c r="B89" t="s">
        <v>437</v>
      </c>
    </row>
    <row r="90" spans="1:2" x14ac:dyDescent="0.2">
      <c r="A90" t="s">
        <v>1349</v>
      </c>
      <c r="B90" t="s">
        <v>440</v>
      </c>
    </row>
    <row r="91" spans="1:2" x14ac:dyDescent="0.2">
      <c r="A91" t="s">
        <v>1349</v>
      </c>
      <c r="B91" t="s">
        <v>445</v>
      </c>
    </row>
    <row r="92" spans="1:2" x14ac:dyDescent="0.2">
      <c r="A92" t="s">
        <v>1349</v>
      </c>
      <c r="B92" t="s">
        <v>451</v>
      </c>
    </row>
    <row r="93" spans="1:2" x14ac:dyDescent="0.2">
      <c r="A93" t="s">
        <v>1349</v>
      </c>
      <c r="B93" t="s">
        <v>456</v>
      </c>
    </row>
    <row r="94" spans="1:2" x14ac:dyDescent="0.2">
      <c r="A94" t="s">
        <v>1349</v>
      </c>
      <c r="B94" t="s">
        <v>1082</v>
      </c>
    </row>
    <row r="95" spans="1:2" x14ac:dyDescent="0.2">
      <c r="A95" t="s">
        <v>1349</v>
      </c>
      <c r="B95" t="s">
        <v>831</v>
      </c>
    </row>
    <row r="96" spans="1:2" x14ac:dyDescent="0.2">
      <c r="A96" t="s">
        <v>1349</v>
      </c>
      <c r="B96" t="s">
        <v>436</v>
      </c>
    </row>
    <row r="97" spans="1:2" x14ac:dyDescent="0.2">
      <c r="A97" t="s">
        <v>1349</v>
      </c>
      <c r="B97" t="s">
        <v>758</v>
      </c>
    </row>
    <row r="98" spans="1:2" x14ac:dyDescent="0.2">
      <c r="A98" t="s">
        <v>1349</v>
      </c>
      <c r="B98" t="s">
        <v>840</v>
      </c>
    </row>
    <row r="99" spans="1:2" x14ac:dyDescent="0.2">
      <c r="A99" t="s">
        <v>1349</v>
      </c>
      <c r="B99" t="s">
        <v>580</v>
      </c>
    </row>
    <row r="100" spans="1:2" x14ac:dyDescent="0.2">
      <c r="A100" t="s">
        <v>1349</v>
      </c>
      <c r="B100" t="s">
        <v>560</v>
      </c>
    </row>
    <row r="101" spans="1:2" x14ac:dyDescent="0.2">
      <c r="A101" t="s">
        <v>1349</v>
      </c>
      <c r="B101" t="s">
        <v>259</v>
      </c>
    </row>
    <row r="102" spans="1:2" x14ac:dyDescent="0.2">
      <c r="A102" t="s">
        <v>1349</v>
      </c>
      <c r="B102" t="s">
        <v>523</v>
      </c>
    </row>
    <row r="103" spans="1:2" x14ac:dyDescent="0.2">
      <c r="A103" t="s">
        <v>1349</v>
      </c>
      <c r="B103" t="s">
        <v>1119</v>
      </c>
    </row>
    <row r="104" spans="1:2" x14ac:dyDescent="0.2">
      <c r="A104" t="s">
        <v>1349</v>
      </c>
      <c r="B104" t="s">
        <v>293</v>
      </c>
    </row>
    <row r="105" spans="1:2" x14ac:dyDescent="0.2">
      <c r="A105" t="s">
        <v>1349</v>
      </c>
      <c r="B105" t="s">
        <v>1129</v>
      </c>
    </row>
    <row r="106" spans="1:2" x14ac:dyDescent="0.2">
      <c r="A106" t="s">
        <v>1349</v>
      </c>
      <c r="B106" t="s">
        <v>64</v>
      </c>
    </row>
    <row r="107" spans="1:2" x14ac:dyDescent="0.2">
      <c r="A107" t="s">
        <v>1349</v>
      </c>
      <c r="B107" t="s">
        <v>1138</v>
      </c>
    </row>
    <row r="108" spans="1:2" x14ac:dyDescent="0.2">
      <c r="A108" t="s">
        <v>1349</v>
      </c>
      <c r="B108" t="s">
        <v>380</v>
      </c>
    </row>
    <row r="109" spans="1:2" x14ac:dyDescent="0.2">
      <c r="A109" t="s">
        <v>1349</v>
      </c>
      <c r="B109" t="s">
        <v>997</v>
      </c>
    </row>
    <row r="110" spans="1:2" x14ac:dyDescent="0.2">
      <c r="A110" t="s">
        <v>1349</v>
      </c>
      <c r="B110" t="s">
        <v>552</v>
      </c>
    </row>
    <row r="111" spans="1:2" x14ac:dyDescent="0.2">
      <c r="A111" t="s">
        <v>1349</v>
      </c>
      <c r="B111" t="s">
        <v>1161</v>
      </c>
    </row>
    <row r="112" spans="1:2" x14ac:dyDescent="0.2">
      <c r="A112" t="s">
        <v>1349</v>
      </c>
      <c r="B112" t="s">
        <v>484</v>
      </c>
    </row>
    <row r="113" spans="1:2" x14ac:dyDescent="0.2">
      <c r="A113" t="s">
        <v>1349</v>
      </c>
      <c r="B113" t="s">
        <v>697</v>
      </c>
    </row>
    <row r="114" spans="1:2" x14ac:dyDescent="0.2">
      <c r="A114" t="s">
        <v>1349</v>
      </c>
      <c r="B114" t="s">
        <v>292</v>
      </c>
    </row>
    <row r="115" spans="1:2" x14ac:dyDescent="0.2">
      <c r="A115" t="s">
        <v>1349</v>
      </c>
      <c r="B115" t="s">
        <v>755</v>
      </c>
    </row>
    <row r="116" spans="1:2" x14ac:dyDescent="0.2">
      <c r="A116" t="s">
        <v>1349</v>
      </c>
      <c r="B116" t="s">
        <v>1174</v>
      </c>
    </row>
    <row r="117" spans="1:2" x14ac:dyDescent="0.2">
      <c r="A117" t="s">
        <v>1349</v>
      </c>
      <c r="B117" t="s">
        <v>1176</v>
      </c>
    </row>
    <row r="118" spans="1:2" x14ac:dyDescent="0.2">
      <c r="A118" t="s">
        <v>1349</v>
      </c>
      <c r="B118" t="s">
        <v>439</v>
      </c>
    </row>
    <row r="119" spans="1:2" x14ac:dyDescent="0.2">
      <c r="A119" t="s">
        <v>1349</v>
      </c>
      <c r="B119" t="s">
        <v>680</v>
      </c>
    </row>
    <row r="120" spans="1:2" x14ac:dyDescent="0.2">
      <c r="A120" t="s">
        <v>1349</v>
      </c>
      <c r="B120" t="s">
        <v>839</v>
      </c>
    </row>
    <row r="121" spans="1:2" x14ac:dyDescent="0.2">
      <c r="A121" t="s">
        <v>1349</v>
      </c>
      <c r="B121" t="s">
        <v>399</v>
      </c>
    </row>
    <row r="122" spans="1:2" x14ac:dyDescent="0.2">
      <c r="A122" t="s">
        <v>1349</v>
      </c>
      <c r="B122" t="s">
        <v>1141</v>
      </c>
    </row>
    <row r="123" spans="1:2" x14ac:dyDescent="0.2">
      <c r="A123" t="s">
        <v>1349</v>
      </c>
      <c r="B123" t="s">
        <v>1065</v>
      </c>
    </row>
    <row r="124" spans="1:2" x14ac:dyDescent="0.2">
      <c r="A124" t="s">
        <v>1349</v>
      </c>
      <c r="B124" t="s">
        <v>281</v>
      </c>
    </row>
    <row r="125" spans="1:2" x14ac:dyDescent="0.2">
      <c r="A125" t="s">
        <v>1349</v>
      </c>
      <c r="B125" t="s">
        <v>468</v>
      </c>
    </row>
    <row r="126" spans="1:2" x14ac:dyDescent="0.2">
      <c r="A126" t="s">
        <v>1349</v>
      </c>
      <c r="B126" t="s">
        <v>817</v>
      </c>
    </row>
    <row r="127" spans="1:2" x14ac:dyDescent="0.2">
      <c r="A127" t="s">
        <v>1349</v>
      </c>
      <c r="B127" t="s">
        <v>878</v>
      </c>
    </row>
    <row r="128" spans="1:2" x14ac:dyDescent="0.2">
      <c r="A128" t="s">
        <v>1349</v>
      </c>
      <c r="B128" t="s">
        <v>207</v>
      </c>
    </row>
    <row r="129" spans="1:2" x14ac:dyDescent="0.2">
      <c r="A129" t="s">
        <v>1349</v>
      </c>
      <c r="B129" t="s">
        <v>946</v>
      </c>
    </row>
    <row r="130" spans="1:2" x14ac:dyDescent="0.2">
      <c r="A130" t="s">
        <v>1349</v>
      </c>
      <c r="B130" t="s">
        <v>479</v>
      </c>
    </row>
    <row r="131" spans="1:2" x14ac:dyDescent="0.2">
      <c r="A131" t="s">
        <v>1349</v>
      </c>
      <c r="B131" t="s">
        <v>329</v>
      </c>
    </row>
    <row r="132" spans="1:2" x14ac:dyDescent="0.2">
      <c r="A132" t="s">
        <v>1349</v>
      </c>
      <c r="B132" t="s">
        <v>1191</v>
      </c>
    </row>
    <row r="133" spans="1:2" x14ac:dyDescent="0.2">
      <c r="A133" t="s">
        <v>1349</v>
      </c>
      <c r="B133" t="s">
        <v>463</v>
      </c>
    </row>
    <row r="134" spans="1:2" x14ac:dyDescent="0.2">
      <c r="A134" t="s">
        <v>1349</v>
      </c>
      <c r="B134" t="s">
        <v>1257</v>
      </c>
    </row>
    <row r="135" spans="1:2" x14ac:dyDescent="0.2">
      <c r="A135" t="s">
        <v>1349</v>
      </c>
      <c r="B135" t="s">
        <v>1004</v>
      </c>
    </row>
    <row r="136" spans="1:2" x14ac:dyDescent="0.2">
      <c r="A136" t="s">
        <v>1349</v>
      </c>
      <c r="B136" t="s">
        <v>255</v>
      </c>
    </row>
    <row r="137" spans="1:2" x14ac:dyDescent="0.2">
      <c r="A137" t="s">
        <v>1349</v>
      </c>
      <c r="B137" t="s">
        <v>753</v>
      </c>
    </row>
    <row r="138" spans="1:2" x14ac:dyDescent="0.2">
      <c r="A138" t="s">
        <v>1349</v>
      </c>
      <c r="B138" t="s">
        <v>958</v>
      </c>
    </row>
    <row r="139" spans="1:2" x14ac:dyDescent="0.2">
      <c r="A139" t="s">
        <v>1349</v>
      </c>
      <c r="B139" t="s">
        <v>578</v>
      </c>
    </row>
    <row r="140" spans="1:2" x14ac:dyDescent="0.2">
      <c r="A140" t="s">
        <v>1349</v>
      </c>
      <c r="B140" t="s">
        <v>497</v>
      </c>
    </row>
    <row r="141" spans="1:2" x14ac:dyDescent="0.2">
      <c r="A141" t="s">
        <v>1349</v>
      </c>
      <c r="B141" t="s">
        <v>566</v>
      </c>
    </row>
    <row r="142" spans="1:2" x14ac:dyDescent="0.2">
      <c r="A142" t="s">
        <v>1349</v>
      </c>
      <c r="B142" t="s">
        <v>485</v>
      </c>
    </row>
    <row r="143" spans="1:2" x14ac:dyDescent="0.2">
      <c r="A143" t="s">
        <v>1349</v>
      </c>
      <c r="B143" t="s">
        <v>522</v>
      </c>
    </row>
    <row r="144" spans="1:2" x14ac:dyDescent="0.2">
      <c r="A144" t="s">
        <v>1349</v>
      </c>
      <c r="B144" t="s">
        <v>31</v>
      </c>
    </row>
    <row r="145" spans="1:2" x14ac:dyDescent="0.2">
      <c r="A145" t="s">
        <v>1349</v>
      </c>
      <c r="B145" t="s">
        <v>492</v>
      </c>
    </row>
    <row r="146" spans="1:2" x14ac:dyDescent="0.2">
      <c r="A146" t="s">
        <v>1349</v>
      </c>
      <c r="B146" t="s">
        <v>335</v>
      </c>
    </row>
    <row r="147" spans="1:2" x14ac:dyDescent="0.2">
      <c r="A147" t="s">
        <v>1349</v>
      </c>
      <c r="B147" t="s">
        <v>1193</v>
      </c>
    </row>
    <row r="148" spans="1:2" x14ac:dyDescent="0.2">
      <c r="A148" t="s">
        <v>1349</v>
      </c>
      <c r="B148" t="s">
        <v>1281</v>
      </c>
    </row>
    <row r="149" spans="1:2" x14ac:dyDescent="0.2">
      <c r="A149" t="s">
        <v>1349</v>
      </c>
      <c r="B149" t="s">
        <v>1182</v>
      </c>
    </row>
    <row r="150" spans="1:2" x14ac:dyDescent="0.2">
      <c r="A150" t="s">
        <v>1349</v>
      </c>
      <c r="B150" t="s">
        <v>1267</v>
      </c>
    </row>
    <row r="151" spans="1:2" x14ac:dyDescent="0.2">
      <c r="A151" t="s">
        <v>1349</v>
      </c>
      <c r="B151" t="s">
        <v>987</v>
      </c>
    </row>
    <row r="152" spans="1:2" x14ac:dyDescent="0.2">
      <c r="A152" t="s">
        <v>1349</v>
      </c>
      <c r="B152" t="s">
        <v>404</v>
      </c>
    </row>
    <row r="153" spans="1:2" x14ac:dyDescent="0.2">
      <c r="A153" t="s">
        <v>1349</v>
      </c>
      <c r="B153" t="s">
        <v>467</v>
      </c>
    </row>
    <row r="154" spans="1:2" x14ac:dyDescent="0.2">
      <c r="A154" t="s">
        <v>1349</v>
      </c>
      <c r="B154" t="s">
        <v>974</v>
      </c>
    </row>
    <row r="155" spans="1:2" x14ac:dyDescent="0.2">
      <c r="A155" t="s">
        <v>1349</v>
      </c>
      <c r="B155" t="s">
        <v>1094</v>
      </c>
    </row>
    <row r="156" spans="1:2" x14ac:dyDescent="0.2">
      <c r="A156" t="s">
        <v>1349</v>
      </c>
      <c r="B156" t="s">
        <v>581</v>
      </c>
    </row>
    <row r="157" spans="1:2" x14ac:dyDescent="0.2">
      <c r="A157" t="s">
        <v>1349</v>
      </c>
      <c r="B157" t="s">
        <v>1124</v>
      </c>
    </row>
    <row r="158" spans="1:2" x14ac:dyDescent="0.2">
      <c r="A158" t="s">
        <v>1349</v>
      </c>
      <c r="B158" t="s">
        <v>689</v>
      </c>
    </row>
    <row r="159" spans="1:2" x14ac:dyDescent="0.2">
      <c r="A159" t="s">
        <v>1349</v>
      </c>
      <c r="B159" t="s">
        <v>304</v>
      </c>
    </row>
    <row r="160" spans="1:2" x14ac:dyDescent="0.2">
      <c r="A160" t="s">
        <v>1349</v>
      </c>
      <c r="B160" t="s">
        <v>1212</v>
      </c>
    </row>
    <row r="161" spans="1:2" x14ac:dyDescent="0.2">
      <c r="A161" t="s">
        <v>1349</v>
      </c>
      <c r="B161" t="s">
        <v>995</v>
      </c>
    </row>
    <row r="162" spans="1:2" x14ac:dyDescent="0.2">
      <c r="A162" t="s">
        <v>1349</v>
      </c>
      <c r="B162" t="s">
        <v>358</v>
      </c>
    </row>
    <row r="163" spans="1:2" x14ac:dyDescent="0.2">
      <c r="A163" t="s">
        <v>1349</v>
      </c>
      <c r="B163" t="s">
        <v>913</v>
      </c>
    </row>
    <row r="164" spans="1:2" x14ac:dyDescent="0.2">
      <c r="A164" t="s">
        <v>1349</v>
      </c>
      <c r="B164" t="s">
        <v>1301</v>
      </c>
    </row>
    <row r="165" spans="1:2" x14ac:dyDescent="0.2">
      <c r="A165" t="s">
        <v>1349</v>
      </c>
      <c r="B165" t="s">
        <v>705</v>
      </c>
    </row>
    <row r="166" spans="1:2" x14ac:dyDescent="0.2">
      <c r="A166" t="s">
        <v>1349</v>
      </c>
      <c r="B166" t="s">
        <v>616</v>
      </c>
    </row>
    <row r="167" spans="1:2" x14ac:dyDescent="0.2">
      <c r="A167" t="s">
        <v>1349</v>
      </c>
      <c r="B167" t="s">
        <v>1278</v>
      </c>
    </row>
    <row r="168" spans="1:2" x14ac:dyDescent="0.2">
      <c r="A168" t="s">
        <v>1349</v>
      </c>
      <c r="B168" t="s">
        <v>1241</v>
      </c>
    </row>
    <row r="169" spans="1:2" x14ac:dyDescent="0.2">
      <c r="A169" t="s">
        <v>1349</v>
      </c>
      <c r="B169" t="s">
        <v>1194</v>
      </c>
    </row>
    <row r="170" spans="1:2" x14ac:dyDescent="0.2">
      <c r="A170" t="s">
        <v>1349</v>
      </c>
      <c r="B170" t="s">
        <v>1073</v>
      </c>
    </row>
    <row r="171" spans="1:2" x14ac:dyDescent="0.2">
      <c r="A171" t="s">
        <v>1349</v>
      </c>
      <c r="B171" t="s">
        <v>145</v>
      </c>
    </row>
    <row r="172" spans="1:2" x14ac:dyDescent="0.2">
      <c r="A172" t="s">
        <v>1349</v>
      </c>
      <c r="B172" t="s">
        <v>613</v>
      </c>
    </row>
    <row r="173" spans="1:2" x14ac:dyDescent="0.2">
      <c r="A173" t="s">
        <v>1349</v>
      </c>
      <c r="B173" t="s">
        <v>1169</v>
      </c>
    </row>
    <row r="174" spans="1:2" x14ac:dyDescent="0.2">
      <c r="A174" t="s">
        <v>1349</v>
      </c>
      <c r="B174" t="s">
        <v>1066</v>
      </c>
    </row>
    <row r="175" spans="1:2" x14ac:dyDescent="0.2">
      <c r="A175" t="s">
        <v>1349</v>
      </c>
      <c r="B175" t="s">
        <v>253</v>
      </c>
    </row>
    <row r="176" spans="1:2" x14ac:dyDescent="0.2">
      <c r="A176" t="s">
        <v>1349</v>
      </c>
      <c r="B176" t="s">
        <v>1116</v>
      </c>
    </row>
    <row r="177" spans="1:2" x14ac:dyDescent="0.2">
      <c r="A177" t="s">
        <v>1349</v>
      </c>
      <c r="B177" t="s">
        <v>623</v>
      </c>
    </row>
    <row r="178" spans="1:2" x14ac:dyDescent="0.2">
      <c r="A178" t="s">
        <v>1349</v>
      </c>
      <c r="B178" t="s">
        <v>728</v>
      </c>
    </row>
    <row r="179" spans="1:2" x14ac:dyDescent="0.2">
      <c r="A179" t="s">
        <v>1349</v>
      </c>
      <c r="B179" t="s">
        <v>1312</v>
      </c>
    </row>
    <row r="180" spans="1:2" x14ac:dyDescent="0.2">
      <c r="A180" t="s">
        <v>1349</v>
      </c>
      <c r="B180" t="s">
        <v>811</v>
      </c>
    </row>
    <row r="181" spans="1:2" x14ac:dyDescent="0.2">
      <c r="A181" t="s">
        <v>1349</v>
      </c>
      <c r="B181" t="s">
        <v>978</v>
      </c>
    </row>
    <row r="182" spans="1:2" x14ac:dyDescent="0.2">
      <c r="A182" t="s">
        <v>1349</v>
      </c>
      <c r="B182" t="s">
        <v>509</v>
      </c>
    </row>
    <row r="183" spans="1:2" x14ac:dyDescent="0.2">
      <c r="A183" t="s">
        <v>1349</v>
      </c>
      <c r="B183" t="s">
        <v>571</v>
      </c>
    </row>
    <row r="184" spans="1:2" x14ac:dyDescent="0.2">
      <c r="A184" t="s">
        <v>1349</v>
      </c>
      <c r="B184" t="s">
        <v>635</v>
      </c>
    </row>
    <row r="185" spans="1:2" x14ac:dyDescent="0.2">
      <c r="A185" t="s">
        <v>1349</v>
      </c>
      <c r="B185" t="s">
        <v>185</v>
      </c>
    </row>
    <row r="186" spans="1:2" x14ac:dyDescent="0.2">
      <c r="A186" t="s">
        <v>1349</v>
      </c>
      <c r="B186" t="s">
        <v>894</v>
      </c>
    </row>
    <row r="187" spans="1:2" x14ac:dyDescent="0.2">
      <c r="A187" t="s">
        <v>1349</v>
      </c>
      <c r="B187" t="s">
        <v>567</v>
      </c>
    </row>
    <row r="188" spans="1:2" x14ac:dyDescent="0.2">
      <c r="A188" t="s">
        <v>1349</v>
      </c>
      <c r="B188" t="s">
        <v>605</v>
      </c>
    </row>
    <row r="189" spans="1:2" x14ac:dyDescent="0.2">
      <c r="A189" t="s">
        <v>1349</v>
      </c>
      <c r="B189" t="s">
        <v>377</v>
      </c>
    </row>
    <row r="190" spans="1:2" x14ac:dyDescent="0.2">
      <c r="A190" t="s">
        <v>1349</v>
      </c>
      <c r="B190" t="s">
        <v>258</v>
      </c>
    </row>
    <row r="191" spans="1:2" x14ac:dyDescent="0.2">
      <c r="A191" t="s">
        <v>1349</v>
      </c>
      <c r="B191" t="s">
        <v>1303</v>
      </c>
    </row>
    <row r="192" spans="1:2" x14ac:dyDescent="0.2">
      <c r="A192" t="s">
        <v>1349</v>
      </c>
      <c r="B192" t="s">
        <v>505</v>
      </c>
    </row>
    <row r="193" spans="1:2" x14ac:dyDescent="0.2">
      <c r="A193" t="s">
        <v>1349</v>
      </c>
      <c r="B193" t="s">
        <v>568</v>
      </c>
    </row>
    <row r="194" spans="1:2" x14ac:dyDescent="0.2">
      <c r="A194" t="s">
        <v>1349</v>
      </c>
      <c r="B194" t="s">
        <v>271</v>
      </c>
    </row>
    <row r="195" spans="1:2" x14ac:dyDescent="0.2">
      <c r="A195" t="s">
        <v>1349</v>
      </c>
      <c r="B195" t="s">
        <v>1325</v>
      </c>
    </row>
    <row r="196" spans="1:2" x14ac:dyDescent="0.2">
      <c r="A196" t="s">
        <v>1349</v>
      </c>
      <c r="B196" t="s">
        <v>815</v>
      </c>
    </row>
    <row r="197" spans="1:2" x14ac:dyDescent="0.2">
      <c r="A197" t="s">
        <v>1349</v>
      </c>
      <c r="B197" t="s">
        <v>1326</v>
      </c>
    </row>
    <row r="198" spans="1:2" x14ac:dyDescent="0.2">
      <c r="A198" t="s">
        <v>1349</v>
      </c>
      <c r="B198" t="s">
        <v>798</v>
      </c>
    </row>
    <row r="199" spans="1:2" x14ac:dyDescent="0.2">
      <c r="A199" t="s">
        <v>1349</v>
      </c>
      <c r="B199" t="s">
        <v>870</v>
      </c>
    </row>
    <row r="200" spans="1:2" x14ac:dyDescent="0.2">
      <c r="A200" t="s">
        <v>1349</v>
      </c>
      <c r="B200" t="s">
        <v>146</v>
      </c>
    </row>
    <row r="201" spans="1:2" x14ac:dyDescent="0.2">
      <c r="A201" t="s">
        <v>1349</v>
      </c>
      <c r="B201" t="s">
        <v>562</v>
      </c>
    </row>
    <row r="202" spans="1:2" x14ac:dyDescent="0.2">
      <c r="A202" t="s">
        <v>1349</v>
      </c>
      <c r="B202" t="s">
        <v>754</v>
      </c>
    </row>
    <row r="203" spans="1:2" x14ac:dyDescent="0.2">
      <c r="A203" t="s">
        <v>1349</v>
      </c>
      <c r="B203" t="s">
        <v>640</v>
      </c>
    </row>
    <row r="204" spans="1:2" x14ac:dyDescent="0.2">
      <c r="A204" t="s">
        <v>1349</v>
      </c>
      <c r="B204" t="s">
        <v>866</v>
      </c>
    </row>
    <row r="205" spans="1:2" x14ac:dyDescent="0.2">
      <c r="A205" t="s">
        <v>1349</v>
      </c>
      <c r="B205" t="s">
        <v>939</v>
      </c>
    </row>
    <row r="206" spans="1:2" x14ac:dyDescent="0.2">
      <c r="A206" t="s">
        <v>1349</v>
      </c>
      <c r="B206" t="s">
        <v>750</v>
      </c>
    </row>
    <row r="207" spans="1:2" x14ac:dyDescent="0.2">
      <c r="A207" t="s">
        <v>1349</v>
      </c>
      <c r="B207" t="s">
        <v>683</v>
      </c>
    </row>
    <row r="208" spans="1:2" x14ac:dyDescent="0.2">
      <c r="A208" t="s">
        <v>1349</v>
      </c>
      <c r="B208" t="s">
        <v>1177</v>
      </c>
    </row>
    <row r="209" spans="1:2" x14ac:dyDescent="0.2">
      <c r="A209" t="s">
        <v>1349</v>
      </c>
      <c r="B209" t="s">
        <v>265</v>
      </c>
    </row>
    <row r="210" spans="1:2" x14ac:dyDescent="0.2">
      <c r="A210" t="s">
        <v>1349</v>
      </c>
      <c r="B210" t="s">
        <v>657</v>
      </c>
    </row>
    <row r="211" spans="1:2" x14ac:dyDescent="0.2">
      <c r="A211" t="s">
        <v>1350</v>
      </c>
      <c r="B211" t="s">
        <v>458</v>
      </c>
    </row>
    <row r="212" spans="1:2" x14ac:dyDescent="0.2">
      <c r="A212" t="s">
        <v>1350</v>
      </c>
      <c r="B212" t="s">
        <v>464</v>
      </c>
    </row>
    <row r="213" spans="1:2" x14ac:dyDescent="0.2">
      <c r="A213" t="s">
        <v>1350</v>
      </c>
      <c r="B213" t="s">
        <v>468</v>
      </c>
    </row>
    <row r="214" spans="1:2" x14ac:dyDescent="0.2">
      <c r="A214" t="s">
        <v>1350</v>
      </c>
      <c r="B214" t="s">
        <v>470</v>
      </c>
    </row>
    <row r="215" spans="1:2" x14ac:dyDescent="0.2">
      <c r="A215" t="s">
        <v>1350</v>
      </c>
      <c r="B215" t="s">
        <v>474</v>
      </c>
    </row>
    <row r="216" spans="1:2" x14ac:dyDescent="0.2">
      <c r="A216" t="s">
        <v>1350</v>
      </c>
      <c r="B216" t="s">
        <v>208</v>
      </c>
    </row>
    <row r="217" spans="1:2" x14ac:dyDescent="0.2">
      <c r="A217" t="s">
        <v>1350</v>
      </c>
      <c r="B217" t="s">
        <v>483</v>
      </c>
    </row>
    <row r="218" spans="1:2" x14ac:dyDescent="0.2">
      <c r="A218" t="s">
        <v>1350</v>
      </c>
      <c r="B218" t="s">
        <v>273</v>
      </c>
    </row>
    <row r="219" spans="1:2" x14ac:dyDescent="0.2">
      <c r="A219" t="s">
        <v>1350</v>
      </c>
      <c r="B219" t="s">
        <v>487</v>
      </c>
    </row>
    <row r="220" spans="1:2" x14ac:dyDescent="0.2">
      <c r="A220" t="s">
        <v>1350</v>
      </c>
      <c r="B220" t="s">
        <v>491</v>
      </c>
    </row>
    <row r="221" spans="1:2" x14ac:dyDescent="0.2">
      <c r="A221" t="s">
        <v>1350</v>
      </c>
      <c r="B221" t="s">
        <v>492</v>
      </c>
    </row>
    <row r="222" spans="1:2" x14ac:dyDescent="0.2">
      <c r="A222" t="s">
        <v>1350</v>
      </c>
      <c r="B222" t="s">
        <v>497</v>
      </c>
    </row>
    <row r="223" spans="1:2" x14ac:dyDescent="0.2">
      <c r="A223" t="s">
        <v>1350</v>
      </c>
      <c r="B223" t="s">
        <v>505</v>
      </c>
    </row>
    <row r="224" spans="1:2" x14ac:dyDescent="0.2">
      <c r="A224" t="s">
        <v>1350</v>
      </c>
      <c r="B224" t="s">
        <v>507</v>
      </c>
    </row>
    <row r="225" spans="1:2" x14ac:dyDescent="0.2">
      <c r="A225" t="s">
        <v>1350</v>
      </c>
      <c r="B225" t="s">
        <v>509</v>
      </c>
    </row>
    <row r="226" spans="1:2" x14ac:dyDescent="0.2">
      <c r="A226" t="s">
        <v>1350</v>
      </c>
      <c r="B226" t="s">
        <v>511</v>
      </c>
    </row>
    <row r="227" spans="1:2" x14ac:dyDescent="0.2">
      <c r="A227" t="s">
        <v>1350</v>
      </c>
      <c r="B227" t="s">
        <v>513</v>
      </c>
    </row>
    <row r="228" spans="1:2" x14ac:dyDescent="0.2">
      <c r="A228" t="s">
        <v>1350</v>
      </c>
      <c r="B228" t="s">
        <v>188</v>
      </c>
    </row>
    <row r="229" spans="1:2" x14ac:dyDescent="0.2">
      <c r="A229" t="s">
        <v>1350</v>
      </c>
      <c r="B229" t="s">
        <v>425</v>
      </c>
    </row>
    <row r="230" spans="1:2" x14ac:dyDescent="0.2">
      <c r="A230" t="s">
        <v>1350</v>
      </c>
      <c r="B230" t="s">
        <v>523</v>
      </c>
    </row>
    <row r="231" spans="1:2" x14ac:dyDescent="0.2">
      <c r="A231" t="s">
        <v>1350</v>
      </c>
      <c r="B231" t="s">
        <v>531</v>
      </c>
    </row>
    <row r="232" spans="1:2" x14ac:dyDescent="0.2">
      <c r="A232" t="s">
        <v>1350</v>
      </c>
      <c r="B232" t="s">
        <v>534</v>
      </c>
    </row>
    <row r="233" spans="1:2" x14ac:dyDescent="0.2">
      <c r="A233" t="s">
        <v>1350</v>
      </c>
      <c r="B233" t="s">
        <v>536</v>
      </c>
    </row>
    <row r="234" spans="1:2" x14ac:dyDescent="0.2">
      <c r="A234" t="s">
        <v>1350</v>
      </c>
      <c r="B234" t="s">
        <v>539</v>
      </c>
    </row>
    <row r="235" spans="1:2" x14ac:dyDescent="0.2">
      <c r="A235" t="s">
        <v>1350</v>
      </c>
      <c r="B235" t="s">
        <v>540</v>
      </c>
    </row>
    <row r="236" spans="1:2" x14ac:dyDescent="0.2">
      <c r="A236" t="s">
        <v>1350</v>
      </c>
      <c r="B236" t="s">
        <v>542</v>
      </c>
    </row>
    <row r="237" spans="1:2" x14ac:dyDescent="0.2">
      <c r="A237" t="s">
        <v>1350</v>
      </c>
      <c r="B237" t="s">
        <v>544</v>
      </c>
    </row>
    <row r="238" spans="1:2" x14ac:dyDescent="0.2">
      <c r="A238" t="s">
        <v>1350</v>
      </c>
      <c r="B238" t="s">
        <v>271</v>
      </c>
    </row>
    <row r="239" spans="1:2" x14ac:dyDescent="0.2">
      <c r="A239" t="s">
        <v>1350</v>
      </c>
      <c r="B239" t="s">
        <v>552</v>
      </c>
    </row>
    <row r="240" spans="1:2" x14ac:dyDescent="0.2">
      <c r="A240" t="s">
        <v>1350</v>
      </c>
      <c r="B240" t="s">
        <v>293</v>
      </c>
    </row>
    <row r="241" spans="1:2" x14ac:dyDescent="0.2">
      <c r="A241" t="s">
        <v>1350</v>
      </c>
      <c r="B241" t="s">
        <v>555</v>
      </c>
    </row>
    <row r="242" spans="1:2" x14ac:dyDescent="0.2">
      <c r="A242" t="s">
        <v>1350</v>
      </c>
      <c r="B242" t="s">
        <v>562</v>
      </c>
    </row>
    <row r="243" spans="1:2" x14ac:dyDescent="0.2">
      <c r="A243" t="s">
        <v>1350</v>
      </c>
      <c r="B243" t="s">
        <v>348</v>
      </c>
    </row>
    <row r="244" spans="1:2" x14ac:dyDescent="0.2">
      <c r="A244" t="s">
        <v>1350</v>
      </c>
      <c r="B244" t="s">
        <v>565</v>
      </c>
    </row>
    <row r="245" spans="1:2" x14ac:dyDescent="0.2">
      <c r="A245" t="s">
        <v>1350</v>
      </c>
      <c r="B245" t="s">
        <v>578</v>
      </c>
    </row>
    <row r="246" spans="1:2" x14ac:dyDescent="0.2">
      <c r="A246" t="s">
        <v>1350</v>
      </c>
      <c r="B246" t="s">
        <v>538</v>
      </c>
    </row>
    <row r="247" spans="1:2" x14ac:dyDescent="0.2">
      <c r="A247" t="s">
        <v>1350</v>
      </c>
      <c r="B247" t="s">
        <v>585</v>
      </c>
    </row>
    <row r="248" spans="1:2" x14ac:dyDescent="0.2">
      <c r="A248" t="s">
        <v>1350</v>
      </c>
      <c r="B248" t="s">
        <v>421</v>
      </c>
    </row>
    <row r="249" spans="1:2" x14ac:dyDescent="0.2">
      <c r="A249" t="s">
        <v>1350</v>
      </c>
      <c r="B249" t="s">
        <v>592</v>
      </c>
    </row>
    <row r="250" spans="1:2" x14ac:dyDescent="0.2">
      <c r="A250" t="s">
        <v>1350</v>
      </c>
      <c r="B250" t="s">
        <v>594</v>
      </c>
    </row>
    <row r="251" spans="1:2" x14ac:dyDescent="0.2">
      <c r="A251" t="s">
        <v>1350</v>
      </c>
      <c r="B251" t="s">
        <v>598</v>
      </c>
    </row>
    <row r="252" spans="1:2" x14ac:dyDescent="0.2">
      <c r="A252" t="s">
        <v>1350</v>
      </c>
      <c r="B252" t="s">
        <v>610</v>
      </c>
    </row>
    <row r="253" spans="1:2" x14ac:dyDescent="0.2">
      <c r="A253" t="s">
        <v>1350</v>
      </c>
      <c r="B253" t="s">
        <v>616</v>
      </c>
    </row>
    <row r="254" spans="1:2" x14ac:dyDescent="0.2">
      <c r="A254" t="s">
        <v>1350</v>
      </c>
      <c r="B254" t="s">
        <v>620</v>
      </c>
    </row>
    <row r="255" spans="1:2" x14ac:dyDescent="0.2">
      <c r="A255" t="s">
        <v>1350</v>
      </c>
      <c r="B255" t="s">
        <v>626</v>
      </c>
    </row>
    <row r="256" spans="1:2" x14ac:dyDescent="0.2">
      <c r="A256" t="s">
        <v>1350</v>
      </c>
      <c r="B256" t="s">
        <v>629</v>
      </c>
    </row>
    <row r="257" spans="1:2" x14ac:dyDescent="0.2">
      <c r="A257" t="s">
        <v>1350</v>
      </c>
      <c r="B257" t="s">
        <v>182</v>
      </c>
    </row>
    <row r="258" spans="1:2" x14ac:dyDescent="0.2">
      <c r="A258" t="s">
        <v>1350</v>
      </c>
      <c r="B258" t="s">
        <v>201</v>
      </c>
    </row>
    <row r="259" spans="1:2" x14ac:dyDescent="0.2">
      <c r="A259" t="s">
        <v>1350</v>
      </c>
      <c r="B259" t="s">
        <v>642</v>
      </c>
    </row>
    <row r="260" spans="1:2" x14ac:dyDescent="0.2">
      <c r="A260" t="s">
        <v>1350</v>
      </c>
      <c r="B260" t="s">
        <v>589</v>
      </c>
    </row>
    <row r="261" spans="1:2" x14ac:dyDescent="0.2">
      <c r="A261" t="s">
        <v>1350</v>
      </c>
      <c r="B261" t="s">
        <v>645</v>
      </c>
    </row>
    <row r="262" spans="1:2" x14ac:dyDescent="0.2">
      <c r="A262" t="s">
        <v>1350</v>
      </c>
      <c r="B262" t="s">
        <v>431</v>
      </c>
    </row>
    <row r="263" spans="1:2" x14ac:dyDescent="0.2">
      <c r="A263" t="s">
        <v>1350</v>
      </c>
      <c r="B263" t="s">
        <v>648</v>
      </c>
    </row>
    <row r="264" spans="1:2" x14ac:dyDescent="0.2">
      <c r="A264" t="s">
        <v>1350</v>
      </c>
      <c r="B264" t="s">
        <v>652</v>
      </c>
    </row>
    <row r="265" spans="1:2" x14ac:dyDescent="0.2">
      <c r="A265" t="s">
        <v>1350</v>
      </c>
      <c r="B265" t="s">
        <v>659</v>
      </c>
    </row>
    <row r="266" spans="1:2" x14ac:dyDescent="0.2">
      <c r="A266" t="s">
        <v>1350</v>
      </c>
      <c r="B266" t="s">
        <v>661</v>
      </c>
    </row>
    <row r="267" spans="1:2" x14ac:dyDescent="0.2">
      <c r="A267" t="s">
        <v>1350</v>
      </c>
      <c r="B267" t="s">
        <v>668</v>
      </c>
    </row>
    <row r="268" spans="1:2" x14ac:dyDescent="0.2">
      <c r="A268" t="s">
        <v>1350</v>
      </c>
      <c r="B268" t="s">
        <v>673</v>
      </c>
    </row>
    <row r="269" spans="1:2" x14ac:dyDescent="0.2">
      <c r="A269" t="s">
        <v>1350</v>
      </c>
      <c r="B269" t="s">
        <v>679</v>
      </c>
    </row>
    <row r="270" spans="1:2" x14ac:dyDescent="0.2">
      <c r="A270" t="s">
        <v>1350</v>
      </c>
      <c r="B270" t="s">
        <v>683</v>
      </c>
    </row>
    <row r="271" spans="1:2" x14ac:dyDescent="0.2">
      <c r="A271" t="s">
        <v>1350</v>
      </c>
      <c r="B271" t="s">
        <v>299</v>
      </c>
    </row>
    <row r="272" spans="1:2" x14ac:dyDescent="0.2">
      <c r="A272" t="s">
        <v>1350</v>
      </c>
      <c r="B272" t="s">
        <v>691</v>
      </c>
    </row>
    <row r="273" spans="1:2" x14ac:dyDescent="0.2">
      <c r="A273" t="s">
        <v>1350</v>
      </c>
      <c r="B273" t="s">
        <v>693</v>
      </c>
    </row>
    <row r="274" spans="1:2" x14ac:dyDescent="0.2">
      <c r="A274" t="s">
        <v>1350</v>
      </c>
      <c r="B274" t="s">
        <v>697</v>
      </c>
    </row>
    <row r="275" spans="1:2" x14ac:dyDescent="0.2">
      <c r="A275" t="s">
        <v>1350</v>
      </c>
      <c r="B275" t="s">
        <v>700</v>
      </c>
    </row>
    <row r="276" spans="1:2" x14ac:dyDescent="0.2">
      <c r="A276" t="s">
        <v>1350</v>
      </c>
      <c r="B276" t="s">
        <v>710</v>
      </c>
    </row>
    <row r="277" spans="1:2" x14ac:dyDescent="0.2">
      <c r="A277" t="s">
        <v>1350</v>
      </c>
      <c r="B277" t="s">
        <v>712</v>
      </c>
    </row>
    <row r="278" spans="1:2" x14ac:dyDescent="0.2">
      <c r="A278" t="s">
        <v>1350</v>
      </c>
      <c r="B278" t="s">
        <v>715</v>
      </c>
    </row>
    <row r="279" spans="1:2" x14ac:dyDescent="0.2">
      <c r="A279" t="s">
        <v>1350</v>
      </c>
      <c r="B279" t="s">
        <v>717</v>
      </c>
    </row>
    <row r="280" spans="1:2" x14ac:dyDescent="0.2">
      <c r="A280" t="s">
        <v>1350</v>
      </c>
      <c r="B280" t="s">
        <v>719</v>
      </c>
    </row>
    <row r="281" spans="1:2" x14ac:dyDescent="0.2">
      <c r="A281" t="s">
        <v>1350</v>
      </c>
      <c r="B281" t="s">
        <v>384</v>
      </c>
    </row>
    <row r="282" spans="1:2" x14ac:dyDescent="0.2">
      <c r="A282" t="s">
        <v>1350</v>
      </c>
      <c r="B282" t="s">
        <v>355</v>
      </c>
    </row>
    <row r="283" spans="1:2" x14ac:dyDescent="0.2">
      <c r="A283" t="s">
        <v>1350</v>
      </c>
      <c r="B283" t="s">
        <v>861</v>
      </c>
    </row>
    <row r="284" spans="1:2" x14ac:dyDescent="0.2">
      <c r="A284" t="s">
        <v>1350</v>
      </c>
      <c r="B284" t="s">
        <v>396</v>
      </c>
    </row>
    <row r="285" spans="1:2" x14ac:dyDescent="0.2">
      <c r="A285" t="s">
        <v>1350</v>
      </c>
      <c r="B285" t="s">
        <v>1090</v>
      </c>
    </row>
    <row r="286" spans="1:2" x14ac:dyDescent="0.2">
      <c r="A286" t="s">
        <v>1350</v>
      </c>
      <c r="B286" t="s">
        <v>410</v>
      </c>
    </row>
    <row r="287" spans="1:2" x14ac:dyDescent="0.2">
      <c r="A287" t="s">
        <v>1350</v>
      </c>
      <c r="B287" t="s">
        <v>187</v>
      </c>
    </row>
    <row r="288" spans="1:2" x14ac:dyDescent="0.2">
      <c r="A288" t="s">
        <v>1350</v>
      </c>
      <c r="B288" t="s">
        <v>769</v>
      </c>
    </row>
    <row r="289" spans="1:2" x14ac:dyDescent="0.2">
      <c r="A289" t="s">
        <v>1350</v>
      </c>
      <c r="B289" t="s">
        <v>1105</v>
      </c>
    </row>
    <row r="290" spans="1:2" x14ac:dyDescent="0.2">
      <c r="A290" t="s">
        <v>1350</v>
      </c>
      <c r="B290" t="s">
        <v>300</v>
      </c>
    </row>
    <row r="291" spans="1:2" x14ac:dyDescent="0.2">
      <c r="A291" t="s">
        <v>1350</v>
      </c>
      <c r="B291" t="s">
        <v>774</v>
      </c>
    </row>
    <row r="292" spans="1:2" x14ac:dyDescent="0.2">
      <c r="A292" t="s">
        <v>1350</v>
      </c>
      <c r="B292" t="s">
        <v>619</v>
      </c>
    </row>
    <row r="293" spans="1:2" x14ac:dyDescent="0.2">
      <c r="A293" t="s">
        <v>1350</v>
      </c>
      <c r="B293" t="s">
        <v>1060</v>
      </c>
    </row>
    <row r="294" spans="1:2" x14ac:dyDescent="0.2">
      <c r="A294" t="s">
        <v>1350</v>
      </c>
      <c r="B294" t="s">
        <v>1056</v>
      </c>
    </row>
    <row r="295" spans="1:2" x14ac:dyDescent="0.2">
      <c r="A295" t="s">
        <v>1350</v>
      </c>
      <c r="B295" t="s">
        <v>206</v>
      </c>
    </row>
    <row r="296" spans="1:2" x14ac:dyDescent="0.2">
      <c r="A296" t="s">
        <v>1350</v>
      </c>
      <c r="B296" t="s">
        <v>1151</v>
      </c>
    </row>
    <row r="297" spans="1:2" x14ac:dyDescent="0.2">
      <c r="A297" t="s">
        <v>1350</v>
      </c>
      <c r="B297" t="s">
        <v>62</v>
      </c>
    </row>
    <row r="298" spans="1:2" x14ac:dyDescent="0.2">
      <c r="A298" t="s">
        <v>1350</v>
      </c>
      <c r="B298" t="s">
        <v>547</v>
      </c>
    </row>
    <row r="299" spans="1:2" x14ac:dyDescent="0.2">
      <c r="A299" t="s">
        <v>1350</v>
      </c>
      <c r="B299" t="s">
        <v>994</v>
      </c>
    </row>
    <row r="300" spans="1:2" x14ac:dyDescent="0.2">
      <c r="A300" t="s">
        <v>1350</v>
      </c>
      <c r="B300" t="s">
        <v>1184</v>
      </c>
    </row>
    <row r="301" spans="1:2" x14ac:dyDescent="0.2">
      <c r="A301" t="s">
        <v>1350</v>
      </c>
      <c r="B301" t="s">
        <v>255</v>
      </c>
    </row>
    <row r="302" spans="1:2" x14ac:dyDescent="0.2">
      <c r="A302" t="s">
        <v>1350</v>
      </c>
      <c r="B302" t="s">
        <v>283</v>
      </c>
    </row>
    <row r="303" spans="1:2" x14ac:dyDescent="0.2">
      <c r="A303" t="s">
        <v>1350</v>
      </c>
      <c r="B303" t="s">
        <v>982</v>
      </c>
    </row>
    <row r="304" spans="1:2" x14ac:dyDescent="0.2">
      <c r="A304" t="s">
        <v>1350</v>
      </c>
      <c r="B304" t="s">
        <v>839</v>
      </c>
    </row>
    <row r="305" spans="1:2" x14ac:dyDescent="0.2">
      <c r="A305" t="s">
        <v>1350</v>
      </c>
      <c r="B305" t="s">
        <v>479</v>
      </c>
    </row>
    <row r="306" spans="1:2" x14ac:dyDescent="0.2">
      <c r="A306" t="s">
        <v>1350</v>
      </c>
      <c r="B306" t="s">
        <v>279</v>
      </c>
    </row>
    <row r="307" spans="1:2" x14ac:dyDescent="0.2">
      <c r="A307" t="s">
        <v>1350</v>
      </c>
      <c r="B307" t="s">
        <v>373</v>
      </c>
    </row>
    <row r="308" spans="1:2" x14ac:dyDescent="0.2">
      <c r="A308" t="s">
        <v>1350</v>
      </c>
      <c r="B308" t="s">
        <v>1195</v>
      </c>
    </row>
    <row r="309" spans="1:2" x14ac:dyDescent="0.2">
      <c r="A309" t="s">
        <v>1350</v>
      </c>
      <c r="B309" t="s">
        <v>1168</v>
      </c>
    </row>
    <row r="310" spans="1:2" x14ac:dyDescent="0.2">
      <c r="A310" t="s">
        <v>1350</v>
      </c>
      <c r="B310" t="s">
        <v>1199</v>
      </c>
    </row>
    <row r="311" spans="1:2" x14ac:dyDescent="0.2">
      <c r="A311" t="s">
        <v>1350</v>
      </c>
      <c r="B311" t="s">
        <v>1242</v>
      </c>
    </row>
    <row r="312" spans="1:2" x14ac:dyDescent="0.2">
      <c r="A312" t="s">
        <v>1350</v>
      </c>
      <c r="B312" t="s">
        <v>125</v>
      </c>
    </row>
    <row r="313" spans="1:2" x14ac:dyDescent="0.2">
      <c r="A313" t="s">
        <v>1350</v>
      </c>
      <c r="B313" t="s">
        <v>404</v>
      </c>
    </row>
    <row r="314" spans="1:2" x14ac:dyDescent="0.2">
      <c r="A314" t="s">
        <v>1350</v>
      </c>
      <c r="B314" t="s">
        <v>476</v>
      </c>
    </row>
    <row r="315" spans="1:2" x14ac:dyDescent="0.2">
      <c r="A315" t="s">
        <v>1350</v>
      </c>
      <c r="B315" t="s">
        <v>1183</v>
      </c>
    </row>
    <row r="316" spans="1:2" x14ac:dyDescent="0.2">
      <c r="A316" t="s">
        <v>1350</v>
      </c>
      <c r="B316" t="s">
        <v>233</v>
      </c>
    </row>
    <row r="317" spans="1:2" x14ac:dyDescent="0.2">
      <c r="A317" t="s">
        <v>1350</v>
      </c>
      <c r="B317" t="s">
        <v>1141</v>
      </c>
    </row>
    <row r="318" spans="1:2" x14ac:dyDescent="0.2">
      <c r="A318" t="s">
        <v>1350</v>
      </c>
      <c r="B318" t="s">
        <v>581</v>
      </c>
    </row>
    <row r="319" spans="1:2" x14ac:dyDescent="0.2">
      <c r="A319" t="s">
        <v>1350</v>
      </c>
      <c r="B319" t="s">
        <v>1267</v>
      </c>
    </row>
    <row r="320" spans="1:2" x14ac:dyDescent="0.2">
      <c r="A320" t="s">
        <v>1350</v>
      </c>
      <c r="B320" t="s">
        <v>1270</v>
      </c>
    </row>
    <row r="321" spans="1:2" x14ac:dyDescent="0.2">
      <c r="A321" t="s">
        <v>1350</v>
      </c>
      <c r="B321" t="s">
        <v>738</v>
      </c>
    </row>
    <row r="322" spans="1:2" x14ac:dyDescent="0.2">
      <c r="A322" t="s">
        <v>1350</v>
      </c>
      <c r="B322" t="s">
        <v>377</v>
      </c>
    </row>
    <row r="323" spans="1:2" x14ac:dyDescent="0.2">
      <c r="A323" t="s">
        <v>1350</v>
      </c>
      <c r="B323" t="s">
        <v>322</v>
      </c>
    </row>
    <row r="324" spans="1:2" x14ac:dyDescent="0.2">
      <c r="A324" t="s">
        <v>1350</v>
      </c>
      <c r="B324" t="s">
        <v>1268</v>
      </c>
    </row>
    <row r="325" spans="1:2" x14ac:dyDescent="0.2">
      <c r="A325" t="s">
        <v>1350</v>
      </c>
      <c r="B325" t="s">
        <v>654</v>
      </c>
    </row>
    <row r="326" spans="1:2" x14ac:dyDescent="0.2">
      <c r="A326" t="s">
        <v>1350</v>
      </c>
      <c r="B326" t="s">
        <v>308</v>
      </c>
    </row>
    <row r="327" spans="1:2" x14ac:dyDescent="0.2">
      <c r="A327" t="s">
        <v>1350</v>
      </c>
      <c r="B327" t="s">
        <v>212</v>
      </c>
    </row>
    <row r="328" spans="1:2" x14ac:dyDescent="0.2">
      <c r="A328" t="s">
        <v>1350</v>
      </c>
      <c r="B328" t="s">
        <v>1100</v>
      </c>
    </row>
    <row r="329" spans="1:2" x14ac:dyDescent="0.2">
      <c r="A329" t="s">
        <v>1350</v>
      </c>
      <c r="B329" t="s">
        <v>814</v>
      </c>
    </row>
    <row r="330" spans="1:2" x14ac:dyDescent="0.2">
      <c r="A330" t="s">
        <v>1350</v>
      </c>
      <c r="B330" t="s">
        <v>896</v>
      </c>
    </row>
    <row r="331" spans="1:2" x14ac:dyDescent="0.2">
      <c r="A331" t="s">
        <v>1350</v>
      </c>
      <c r="B331" t="s">
        <v>297</v>
      </c>
    </row>
    <row r="332" spans="1:2" x14ac:dyDescent="0.2">
      <c r="A332" t="s">
        <v>1350</v>
      </c>
      <c r="B332" t="s">
        <v>837</v>
      </c>
    </row>
    <row r="333" spans="1:2" x14ac:dyDescent="0.2">
      <c r="A333" t="s">
        <v>1350</v>
      </c>
      <c r="B333" t="s">
        <v>362</v>
      </c>
    </row>
    <row r="334" spans="1:2" x14ac:dyDescent="0.2">
      <c r="A334" t="s">
        <v>1350</v>
      </c>
      <c r="B334" t="s">
        <v>285</v>
      </c>
    </row>
    <row r="335" spans="1:2" x14ac:dyDescent="0.2">
      <c r="A335" t="s">
        <v>1350</v>
      </c>
      <c r="B335" t="s">
        <v>240</v>
      </c>
    </row>
    <row r="336" spans="1:2" x14ac:dyDescent="0.2">
      <c r="A336" t="s">
        <v>1350</v>
      </c>
      <c r="B336" t="s">
        <v>177</v>
      </c>
    </row>
    <row r="337" spans="1:2" x14ac:dyDescent="0.2">
      <c r="A337" t="s">
        <v>1350</v>
      </c>
      <c r="B337" t="s">
        <v>830</v>
      </c>
    </row>
    <row r="338" spans="1:2" x14ac:dyDescent="0.2">
      <c r="A338" t="s">
        <v>1350</v>
      </c>
      <c r="B338" t="s">
        <v>580</v>
      </c>
    </row>
    <row r="339" spans="1:2" x14ac:dyDescent="0.2">
      <c r="A339" t="s">
        <v>1350</v>
      </c>
      <c r="B339" t="s">
        <v>1070</v>
      </c>
    </row>
    <row r="340" spans="1:2" x14ac:dyDescent="0.2">
      <c r="A340" t="s">
        <v>1350</v>
      </c>
      <c r="B340" t="s">
        <v>302</v>
      </c>
    </row>
    <row r="341" spans="1:2" x14ac:dyDescent="0.2">
      <c r="A341" t="s">
        <v>1350</v>
      </c>
      <c r="B341" t="s">
        <v>223</v>
      </c>
    </row>
    <row r="342" spans="1:2" x14ac:dyDescent="0.2">
      <c r="A342" t="s">
        <v>1350</v>
      </c>
      <c r="B342" t="s">
        <v>793</v>
      </c>
    </row>
    <row r="343" spans="1:2" x14ac:dyDescent="0.2">
      <c r="A343" t="s">
        <v>1350</v>
      </c>
      <c r="B343" t="s">
        <v>1138</v>
      </c>
    </row>
    <row r="344" spans="1:2" x14ac:dyDescent="0.2">
      <c r="A344" t="s">
        <v>1350</v>
      </c>
      <c r="B344" t="s">
        <v>1257</v>
      </c>
    </row>
    <row r="345" spans="1:2" x14ac:dyDescent="0.2">
      <c r="A345" t="s">
        <v>1350</v>
      </c>
      <c r="B345" t="s">
        <v>1208</v>
      </c>
    </row>
    <row r="346" spans="1:2" x14ac:dyDescent="0.2">
      <c r="A346" t="s">
        <v>1350</v>
      </c>
      <c r="B346" t="s">
        <v>1054</v>
      </c>
    </row>
    <row r="347" spans="1:2" x14ac:dyDescent="0.2">
      <c r="A347" t="s">
        <v>1350</v>
      </c>
      <c r="B347" t="s">
        <v>484</v>
      </c>
    </row>
    <row r="348" spans="1:2" x14ac:dyDescent="0.2">
      <c r="A348" t="s">
        <v>1350</v>
      </c>
      <c r="B348" t="s">
        <v>165</v>
      </c>
    </row>
    <row r="349" spans="1:2" x14ac:dyDescent="0.2">
      <c r="A349" t="s">
        <v>1350</v>
      </c>
      <c r="B349" t="s">
        <v>146</v>
      </c>
    </row>
    <row r="350" spans="1:2" x14ac:dyDescent="0.2">
      <c r="A350" t="s">
        <v>1350</v>
      </c>
      <c r="B350" t="s">
        <v>1289</v>
      </c>
    </row>
    <row r="351" spans="1:2" x14ac:dyDescent="0.2">
      <c r="A351" t="s">
        <v>1350</v>
      </c>
      <c r="B351" t="s">
        <v>933</v>
      </c>
    </row>
    <row r="352" spans="1:2" x14ac:dyDescent="0.2">
      <c r="A352" t="s">
        <v>1350</v>
      </c>
      <c r="B352" t="s">
        <v>1075</v>
      </c>
    </row>
    <row r="353" spans="1:2" x14ac:dyDescent="0.2">
      <c r="A353" t="s">
        <v>1350</v>
      </c>
      <c r="B353" t="s">
        <v>871</v>
      </c>
    </row>
    <row r="354" spans="1:2" x14ac:dyDescent="0.2">
      <c r="A354" t="s">
        <v>1350</v>
      </c>
      <c r="B354" t="s">
        <v>1292</v>
      </c>
    </row>
    <row r="355" spans="1:2" x14ac:dyDescent="0.2">
      <c r="A355" t="s">
        <v>1350</v>
      </c>
      <c r="B355" t="s">
        <v>1303</v>
      </c>
    </row>
    <row r="356" spans="1:2" x14ac:dyDescent="0.2">
      <c r="A356" t="s">
        <v>1350</v>
      </c>
      <c r="B356" t="s">
        <v>140</v>
      </c>
    </row>
    <row r="357" spans="1:2" x14ac:dyDescent="0.2">
      <c r="A357" t="s">
        <v>1350</v>
      </c>
      <c r="B357" t="s">
        <v>1203</v>
      </c>
    </row>
    <row r="358" spans="1:2" x14ac:dyDescent="0.2">
      <c r="A358" t="s">
        <v>1350</v>
      </c>
      <c r="B358" t="s">
        <v>1285</v>
      </c>
    </row>
    <row r="359" spans="1:2" x14ac:dyDescent="0.2">
      <c r="A359" t="s">
        <v>1350</v>
      </c>
      <c r="B359" t="s">
        <v>203</v>
      </c>
    </row>
    <row r="360" spans="1:2" x14ac:dyDescent="0.2">
      <c r="A360" t="s">
        <v>1350</v>
      </c>
      <c r="B360" t="s">
        <v>1301</v>
      </c>
    </row>
    <row r="361" spans="1:2" x14ac:dyDescent="0.2">
      <c r="A361" t="s">
        <v>1350</v>
      </c>
      <c r="B361" t="s">
        <v>989</v>
      </c>
    </row>
    <row r="362" spans="1:2" x14ac:dyDescent="0.2">
      <c r="A362" t="s">
        <v>1350</v>
      </c>
      <c r="B362" t="s">
        <v>1283</v>
      </c>
    </row>
    <row r="363" spans="1:2" x14ac:dyDescent="0.2">
      <c r="A363" t="s">
        <v>1350</v>
      </c>
      <c r="B363" t="s">
        <v>557</v>
      </c>
    </row>
    <row r="364" spans="1:2" x14ac:dyDescent="0.2">
      <c r="A364" t="s">
        <v>1350</v>
      </c>
      <c r="B364" t="s">
        <v>1150</v>
      </c>
    </row>
    <row r="365" spans="1:2" x14ac:dyDescent="0.2">
      <c r="A365" t="s">
        <v>1350</v>
      </c>
      <c r="B365" t="s">
        <v>386</v>
      </c>
    </row>
    <row r="366" spans="1:2" x14ac:dyDescent="0.2">
      <c r="A366" t="s">
        <v>1350</v>
      </c>
      <c r="B366" t="s">
        <v>1240</v>
      </c>
    </row>
    <row r="367" spans="1:2" x14ac:dyDescent="0.2">
      <c r="A367" t="s">
        <v>1350</v>
      </c>
      <c r="B367" t="s">
        <v>1156</v>
      </c>
    </row>
    <row r="368" spans="1:2" x14ac:dyDescent="0.2">
      <c r="A368" t="s">
        <v>1350</v>
      </c>
      <c r="B368" t="s">
        <v>815</v>
      </c>
    </row>
    <row r="369" spans="1:2" x14ac:dyDescent="0.2">
      <c r="A369" t="s">
        <v>1350</v>
      </c>
      <c r="B369" t="s">
        <v>105</v>
      </c>
    </row>
    <row r="370" spans="1:2" x14ac:dyDescent="0.2">
      <c r="A370" t="s">
        <v>1350</v>
      </c>
      <c r="B370" t="s">
        <v>53</v>
      </c>
    </row>
    <row r="371" spans="1:2" x14ac:dyDescent="0.2">
      <c r="A371" t="s">
        <v>1350</v>
      </c>
      <c r="B371" t="s">
        <v>864</v>
      </c>
    </row>
    <row r="372" spans="1:2" x14ac:dyDescent="0.2">
      <c r="A372" t="s">
        <v>1350</v>
      </c>
      <c r="B372" t="s">
        <v>805</v>
      </c>
    </row>
    <row r="373" spans="1:2" x14ac:dyDescent="0.2">
      <c r="A373" t="s">
        <v>1350</v>
      </c>
      <c r="B373" t="s">
        <v>1328</v>
      </c>
    </row>
    <row r="374" spans="1:2" x14ac:dyDescent="0.2">
      <c r="A374" t="s">
        <v>1350</v>
      </c>
      <c r="B374" t="s">
        <v>870</v>
      </c>
    </row>
    <row r="375" spans="1:2" x14ac:dyDescent="0.2">
      <c r="A375" t="s">
        <v>1350</v>
      </c>
      <c r="B375" t="s">
        <v>1058</v>
      </c>
    </row>
    <row r="376" spans="1:2" x14ac:dyDescent="0.2">
      <c r="A376" t="s">
        <v>1350</v>
      </c>
      <c r="B376" t="s">
        <v>1134</v>
      </c>
    </row>
    <row r="377" spans="1:2" x14ac:dyDescent="0.2">
      <c r="A377" t="s">
        <v>1350</v>
      </c>
      <c r="B377" t="s">
        <v>433</v>
      </c>
    </row>
    <row r="378" spans="1:2" x14ac:dyDescent="0.2">
      <c r="A378" t="s">
        <v>1350</v>
      </c>
      <c r="B378" t="s">
        <v>671</v>
      </c>
    </row>
    <row r="379" spans="1:2" x14ac:dyDescent="0.2">
      <c r="A379" t="s">
        <v>1350</v>
      </c>
      <c r="B379" t="s">
        <v>1027</v>
      </c>
    </row>
    <row r="380" spans="1:2" x14ac:dyDescent="0.2">
      <c r="A380" t="s">
        <v>1350</v>
      </c>
      <c r="B380" t="s">
        <v>868</v>
      </c>
    </row>
    <row r="381" spans="1:2" x14ac:dyDescent="0.2">
      <c r="A381" t="s">
        <v>1350</v>
      </c>
      <c r="B381" t="s">
        <v>67</v>
      </c>
    </row>
    <row r="382" spans="1:2" x14ac:dyDescent="0.2">
      <c r="A382" t="s">
        <v>1351</v>
      </c>
      <c r="B382" t="s">
        <v>411</v>
      </c>
    </row>
    <row r="383" spans="1:2" x14ac:dyDescent="0.2">
      <c r="A383" t="s">
        <v>1351</v>
      </c>
      <c r="B383" t="s">
        <v>741</v>
      </c>
    </row>
    <row r="384" spans="1:2" x14ac:dyDescent="0.2">
      <c r="A384" t="s">
        <v>1351</v>
      </c>
      <c r="B384" t="s">
        <v>747</v>
      </c>
    </row>
    <row r="385" spans="1:2" x14ac:dyDescent="0.2">
      <c r="A385" t="s">
        <v>1351</v>
      </c>
      <c r="B385" t="s">
        <v>107</v>
      </c>
    </row>
    <row r="386" spans="1:2" x14ac:dyDescent="0.2">
      <c r="A386" t="s">
        <v>1351</v>
      </c>
      <c r="B386" t="s">
        <v>753</v>
      </c>
    </row>
    <row r="387" spans="1:2" x14ac:dyDescent="0.2">
      <c r="A387" t="s">
        <v>1351</v>
      </c>
      <c r="B387" t="s">
        <v>758</v>
      </c>
    </row>
    <row r="388" spans="1:2" x14ac:dyDescent="0.2">
      <c r="A388" t="s">
        <v>1351</v>
      </c>
      <c r="B388" t="s">
        <v>762</v>
      </c>
    </row>
    <row r="389" spans="1:2" x14ac:dyDescent="0.2">
      <c r="A389" t="s">
        <v>1351</v>
      </c>
      <c r="B389" t="s">
        <v>440</v>
      </c>
    </row>
    <row r="390" spans="1:2" x14ac:dyDescent="0.2">
      <c r="A390" t="s">
        <v>1351</v>
      </c>
      <c r="B390" t="s">
        <v>764</v>
      </c>
    </row>
    <row r="391" spans="1:2" x14ac:dyDescent="0.2">
      <c r="A391" t="s">
        <v>1351</v>
      </c>
      <c r="B391" t="s">
        <v>771</v>
      </c>
    </row>
    <row r="392" spans="1:2" x14ac:dyDescent="0.2">
      <c r="A392" t="s">
        <v>1351</v>
      </c>
      <c r="B392" t="s">
        <v>776</v>
      </c>
    </row>
    <row r="393" spans="1:2" x14ac:dyDescent="0.2">
      <c r="A393" t="s">
        <v>1351</v>
      </c>
      <c r="B393" t="s">
        <v>789</v>
      </c>
    </row>
    <row r="394" spans="1:2" x14ac:dyDescent="0.2">
      <c r="A394" t="s">
        <v>1351</v>
      </c>
      <c r="B394" t="s">
        <v>791</v>
      </c>
    </row>
    <row r="395" spans="1:2" x14ac:dyDescent="0.2">
      <c r="A395" t="s">
        <v>1351</v>
      </c>
      <c r="B395" t="s">
        <v>239</v>
      </c>
    </row>
    <row r="396" spans="1:2" x14ac:dyDescent="0.2">
      <c r="A396" t="s">
        <v>1351</v>
      </c>
      <c r="B396" t="s">
        <v>798</v>
      </c>
    </row>
    <row r="397" spans="1:2" x14ac:dyDescent="0.2">
      <c r="A397" t="s">
        <v>1351</v>
      </c>
      <c r="B397" t="s">
        <v>701</v>
      </c>
    </row>
    <row r="398" spans="1:2" x14ac:dyDescent="0.2">
      <c r="A398" t="s">
        <v>1351</v>
      </c>
      <c r="B398" t="s">
        <v>546</v>
      </c>
    </row>
    <row r="399" spans="1:2" x14ac:dyDescent="0.2">
      <c r="A399" t="s">
        <v>1351</v>
      </c>
      <c r="B399" t="s">
        <v>811</v>
      </c>
    </row>
    <row r="400" spans="1:2" x14ac:dyDescent="0.2">
      <c r="A400" t="s">
        <v>1351</v>
      </c>
      <c r="B400" t="s">
        <v>820</v>
      </c>
    </row>
    <row r="401" spans="1:2" x14ac:dyDescent="0.2">
      <c r="A401" t="s">
        <v>1351</v>
      </c>
      <c r="B401" t="s">
        <v>823</v>
      </c>
    </row>
    <row r="402" spans="1:2" x14ac:dyDescent="0.2">
      <c r="A402" t="s">
        <v>1351</v>
      </c>
      <c r="B402" t="s">
        <v>92</v>
      </c>
    </row>
    <row r="403" spans="1:2" x14ac:dyDescent="0.2">
      <c r="A403" t="s">
        <v>1351</v>
      </c>
      <c r="B403" t="s">
        <v>827</v>
      </c>
    </row>
    <row r="404" spans="1:2" x14ac:dyDescent="0.2">
      <c r="A404" t="s">
        <v>1351</v>
      </c>
      <c r="B404" t="s">
        <v>828</v>
      </c>
    </row>
    <row r="405" spans="1:2" x14ac:dyDescent="0.2">
      <c r="A405" t="s">
        <v>1351</v>
      </c>
      <c r="B405" t="s">
        <v>831</v>
      </c>
    </row>
    <row r="406" spans="1:2" x14ac:dyDescent="0.2">
      <c r="A406" t="s">
        <v>1351</v>
      </c>
      <c r="B406" t="s">
        <v>835</v>
      </c>
    </row>
    <row r="407" spans="1:2" x14ac:dyDescent="0.2">
      <c r="A407" t="s">
        <v>1351</v>
      </c>
      <c r="B407" t="s">
        <v>542</v>
      </c>
    </row>
    <row r="408" spans="1:2" x14ac:dyDescent="0.2">
      <c r="A408" t="s">
        <v>1351</v>
      </c>
      <c r="B408" t="s">
        <v>837</v>
      </c>
    </row>
    <row r="409" spans="1:2" x14ac:dyDescent="0.2">
      <c r="A409" t="s">
        <v>1351</v>
      </c>
      <c r="B409" t="s">
        <v>840</v>
      </c>
    </row>
    <row r="410" spans="1:2" x14ac:dyDescent="0.2">
      <c r="A410" t="s">
        <v>1351</v>
      </c>
      <c r="B410" t="s">
        <v>844</v>
      </c>
    </row>
    <row r="411" spans="1:2" x14ac:dyDescent="0.2">
      <c r="A411" t="s">
        <v>1351</v>
      </c>
      <c r="B411" t="s">
        <v>853</v>
      </c>
    </row>
    <row r="412" spans="1:2" x14ac:dyDescent="0.2">
      <c r="A412" t="s">
        <v>1351</v>
      </c>
      <c r="B412" t="s">
        <v>360</v>
      </c>
    </row>
    <row r="413" spans="1:2" x14ac:dyDescent="0.2">
      <c r="A413" t="s">
        <v>1351</v>
      </c>
      <c r="B413" t="s">
        <v>856</v>
      </c>
    </row>
    <row r="414" spans="1:2" x14ac:dyDescent="0.2">
      <c r="A414" t="s">
        <v>1351</v>
      </c>
      <c r="B414" t="s">
        <v>858</v>
      </c>
    </row>
    <row r="415" spans="1:2" x14ac:dyDescent="0.2">
      <c r="A415" t="s">
        <v>1351</v>
      </c>
      <c r="B415" t="s">
        <v>173</v>
      </c>
    </row>
    <row r="416" spans="1:2" x14ac:dyDescent="0.2">
      <c r="A416" t="s">
        <v>1351</v>
      </c>
      <c r="B416" t="s">
        <v>605</v>
      </c>
    </row>
    <row r="417" spans="1:2" x14ac:dyDescent="0.2">
      <c r="A417" t="s">
        <v>1351</v>
      </c>
      <c r="B417" t="s">
        <v>554</v>
      </c>
    </row>
    <row r="418" spans="1:2" x14ac:dyDescent="0.2">
      <c r="A418" t="s">
        <v>1351</v>
      </c>
      <c r="B418" t="s">
        <v>143</v>
      </c>
    </row>
    <row r="419" spans="1:2" x14ac:dyDescent="0.2">
      <c r="A419" t="s">
        <v>1351</v>
      </c>
      <c r="B419" t="s">
        <v>693</v>
      </c>
    </row>
    <row r="420" spans="1:2" x14ac:dyDescent="0.2">
      <c r="A420" t="s">
        <v>1351</v>
      </c>
      <c r="B420" t="s">
        <v>436</v>
      </c>
    </row>
    <row r="421" spans="1:2" x14ac:dyDescent="0.2">
      <c r="A421" t="s">
        <v>1351</v>
      </c>
      <c r="B421" t="s">
        <v>885</v>
      </c>
    </row>
    <row r="422" spans="1:2" x14ac:dyDescent="0.2">
      <c r="A422" t="s">
        <v>1351</v>
      </c>
      <c r="B422" t="s">
        <v>399</v>
      </c>
    </row>
    <row r="423" spans="1:2" x14ac:dyDescent="0.2">
      <c r="A423" t="s">
        <v>1351</v>
      </c>
      <c r="B423" t="s">
        <v>306</v>
      </c>
    </row>
    <row r="424" spans="1:2" x14ac:dyDescent="0.2">
      <c r="A424" t="s">
        <v>1351</v>
      </c>
      <c r="B424" t="s">
        <v>894</v>
      </c>
    </row>
    <row r="425" spans="1:2" x14ac:dyDescent="0.2">
      <c r="A425" t="s">
        <v>1351</v>
      </c>
      <c r="B425" t="s">
        <v>901</v>
      </c>
    </row>
    <row r="426" spans="1:2" x14ac:dyDescent="0.2">
      <c r="A426" t="s">
        <v>1351</v>
      </c>
      <c r="B426" t="s">
        <v>906</v>
      </c>
    </row>
    <row r="427" spans="1:2" x14ac:dyDescent="0.2">
      <c r="A427" t="s">
        <v>1351</v>
      </c>
      <c r="B427" t="s">
        <v>909</v>
      </c>
    </row>
    <row r="428" spans="1:2" x14ac:dyDescent="0.2">
      <c r="A428" t="s">
        <v>1351</v>
      </c>
      <c r="B428" t="s">
        <v>913</v>
      </c>
    </row>
    <row r="429" spans="1:2" x14ac:dyDescent="0.2">
      <c r="A429" t="s">
        <v>1351</v>
      </c>
      <c r="B429" t="s">
        <v>273</v>
      </c>
    </row>
    <row r="430" spans="1:2" x14ac:dyDescent="0.2">
      <c r="A430" t="s">
        <v>1351</v>
      </c>
      <c r="B430" t="s">
        <v>922</v>
      </c>
    </row>
    <row r="431" spans="1:2" x14ac:dyDescent="0.2">
      <c r="A431" t="s">
        <v>1351</v>
      </c>
      <c r="B431" t="s">
        <v>908</v>
      </c>
    </row>
    <row r="432" spans="1:2" x14ac:dyDescent="0.2">
      <c r="A432" t="s">
        <v>1351</v>
      </c>
      <c r="B432" t="s">
        <v>285</v>
      </c>
    </row>
    <row r="433" spans="1:2" x14ac:dyDescent="0.2">
      <c r="A433" t="s">
        <v>1351</v>
      </c>
      <c r="B433" t="s">
        <v>325</v>
      </c>
    </row>
    <row r="434" spans="1:2" x14ac:dyDescent="0.2">
      <c r="A434" t="s">
        <v>1351</v>
      </c>
      <c r="B434" t="s">
        <v>152</v>
      </c>
    </row>
    <row r="435" spans="1:2" x14ac:dyDescent="0.2">
      <c r="A435" t="s">
        <v>1351</v>
      </c>
      <c r="B435" t="s">
        <v>942</v>
      </c>
    </row>
    <row r="436" spans="1:2" x14ac:dyDescent="0.2">
      <c r="A436" t="s">
        <v>1351</v>
      </c>
      <c r="B436" t="s">
        <v>523</v>
      </c>
    </row>
    <row r="437" spans="1:2" x14ac:dyDescent="0.2">
      <c r="A437" t="s">
        <v>1351</v>
      </c>
      <c r="B437" t="s">
        <v>954</v>
      </c>
    </row>
    <row r="438" spans="1:2" x14ac:dyDescent="0.2">
      <c r="A438" t="s">
        <v>1351</v>
      </c>
      <c r="B438" t="s">
        <v>516</v>
      </c>
    </row>
    <row r="439" spans="1:2" x14ac:dyDescent="0.2">
      <c r="A439" t="s">
        <v>1351</v>
      </c>
      <c r="B439" t="s">
        <v>907</v>
      </c>
    </row>
    <row r="440" spans="1:2" x14ac:dyDescent="0.2">
      <c r="A440" t="s">
        <v>1351</v>
      </c>
      <c r="B440" t="s">
        <v>456</v>
      </c>
    </row>
    <row r="441" spans="1:2" x14ac:dyDescent="0.2">
      <c r="A441" t="s">
        <v>1351</v>
      </c>
      <c r="B441" t="s">
        <v>969</v>
      </c>
    </row>
    <row r="442" spans="1:2" x14ac:dyDescent="0.2">
      <c r="A442" t="s">
        <v>1351</v>
      </c>
      <c r="B442" t="s">
        <v>70</v>
      </c>
    </row>
    <row r="443" spans="1:2" x14ac:dyDescent="0.2">
      <c r="A443" t="s">
        <v>1351</v>
      </c>
      <c r="B443" t="s">
        <v>635</v>
      </c>
    </row>
    <row r="444" spans="1:2" x14ac:dyDescent="0.2">
      <c r="A444" t="s">
        <v>1351</v>
      </c>
      <c r="B444" t="s">
        <v>870</v>
      </c>
    </row>
    <row r="445" spans="1:2" x14ac:dyDescent="0.2">
      <c r="A445" t="s">
        <v>1351</v>
      </c>
      <c r="B445" t="s">
        <v>979</v>
      </c>
    </row>
    <row r="446" spans="1:2" x14ac:dyDescent="0.2">
      <c r="A446" t="s">
        <v>1351</v>
      </c>
      <c r="B446" t="s">
        <v>140</v>
      </c>
    </row>
    <row r="447" spans="1:2" x14ac:dyDescent="0.2">
      <c r="A447" t="s">
        <v>1351</v>
      </c>
      <c r="B447" t="s">
        <v>723</v>
      </c>
    </row>
    <row r="448" spans="1:2" x14ac:dyDescent="0.2">
      <c r="A448" t="s">
        <v>1351</v>
      </c>
      <c r="B448" t="s">
        <v>722</v>
      </c>
    </row>
    <row r="449" spans="1:2" x14ac:dyDescent="0.2">
      <c r="A449" t="s">
        <v>1351</v>
      </c>
      <c r="B449" t="s">
        <v>513</v>
      </c>
    </row>
    <row r="450" spans="1:2" x14ac:dyDescent="0.2">
      <c r="A450" t="s">
        <v>1351</v>
      </c>
      <c r="B450" t="s">
        <v>337</v>
      </c>
    </row>
    <row r="451" spans="1:2" x14ac:dyDescent="0.2">
      <c r="A451" t="s">
        <v>1351</v>
      </c>
      <c r="B451" t="s">
        <v>996</v>
      </c>
    </row>
    <row r="452" spans="1:2" x14ac:dyDescent="0.2">
      <c r="A452" t="s">
        <v>1351</v>
      </c>
      <c r="B452" t="s">
        <v>330</v>
      </c>
    </row>
    <row r="453" spans="1:2" x14ac:dyDescent="0.2">
      <c r="A453" t="s">
        <v>1351</v>
      </c>
      <c r="B453" t="s">
        <v>1095</v>
      </c>
    </row>
    <row r="454" spans="1:2" x14ac:dyDescent="0.2">
      <c r="A454" t="s">
        <v>1351</v>
      </c>
      <c r="B454" t="s">
        <v>344</v>
      </c>
    </row>
    <row r="455" spans="1:2" x14ac:dyDescent="0.2">
      <c r="A455" t="s">
        <v>1351</v>
      </c>
      <c r="B455" t="s">
        <v>1032</v>
      </c>
    </row>
    <row r="456" spans="1:2" x14ac:dyDescent="0.2">
      <c r="A456" t="s">
        <v>1351</v>
      </c>
      <c r="B456" t="s">
        <v>292</v>
      </c>
    </row>
    <row r="457" spans="1:2" x14ac:dyDescent="0.2">
      <c r="A457" t="s">
        <v>1351</v>
      </c>
      <c r="B457" t="s">
        <v>633</v>
      </c>
    </row>
    <row r="458" spans="1:2" x14ac:dyDescent="0.2">
      <c r="A458" t="s">
        <v>1351</v>
      </c>
      <c r="B458" t="s">
        <v>1116</v>
      </c>
    </row>
    <row r="459" spans="1:2" x14ac:dyDescent="0.2">
      <c r="A459" t="s">
        <v>1351</v>
      </c>
      <c r="B459" t="s">
        <v>1122</v>
      </c>
    </row>
    <row r="460" spans="1:2" x14ac:dyDescent="0.2">
      <c r="A460" t="s">
        <v>1351</v>
      </c>
      <c r="B460" t="s">
        <v>347</v>
      </c>
    </row>
    <row r="461" spans="1:2" x14ac:dyDescent="0.2">
      <c r="A461" t="s">
        <v>1351</v>
      </c>
      <c r="B461" t="s">
        <v>933</v>
      </c>
    </row>
    <row r="462" spans="1:2" x14ac:dyDescent="0.2">
      <c r="A462" t="s">
        <v>1351</v>
      </c>
      <c r="B462" t="s">
        <v>587</v>
      </c>
    </row>
    <row r="463" spans="1:2" x14ac:dyDescent="0.2">
      <c r="A463" t="s">
        <v>1351</v>
      </c>
      <c r="B463" t="s">
        <v>495</v>
      </c>
    </row>
    <row r="464" spans="1:2" x14ac:dyDescent="0.2">
      <c r="A464" t="s">
        <v>1351</v>
      </c>
      <c r="B464" t="s">
        <v>1147</v>
      </c>
    </row>
    <row r="465" spans="1:2" x14ac:dyDescent="0.2">
      <c r="A465" t="s">
        <v>1351</v>
      </c>
      <c r="B465" t="s">
        <v>1021</v>
      </c>
    </row>
    <row r="466" spans="1:2" x14ac:dyDescent="0.2">
      <c r="A466" t="s">
        <v>1351</v>
      </c>
      <c r="B466" t="s">
        <v>1059</v>
      </c>
    </row>
    <row r="467" spans="1:2" x14ac:dyDescent="0.2">
      <c r="A467" t="s">
        <v>1351</v>
      </c>
      <c r="B467" t="s">
        <v>754</v>
      </c>
    </row>
    <row r="468" spans="1:2" x14ac:dyDescent="0.2">
      <c r="A468" t="s">
        <v>1351</v>
      </c>
      <c r="B468" t="s">
        <v>1163</v>
      </c>
    </row>
    <row r="469" spans="1:2" x14ac:dyDescent="0.2">
      <c r="A469" t="s">
        <v>1351</v>
      </c>
      <c r="B469" t="s">
        <v>410</v>
      </c>
    </row>
    <row r="470" spans="1:2" x14ac:dyDescent="0.2">
      <c r="A470" t="s">
        <v>1351</v>
      </c>
      <c r="B470" t="s">
        <v>327</v>
      </c>
    </row>
    <row r="471" spans="1:2" x14ac:dyDescent="0.2">
      <c r="A471" t="s">
        <v>1351</v>
      </c>
      <c r="B471" t="s">
        <v>788</v>
      </c>
    </row>
    <row r="472" spans="1:2" x14ac:dyDescent="0.2">
      <c r="A472" t="s">
        <v>1351</v>
      </c>
      <c r="B472" t="s">
        <v>1169</v>
      </c>
    </row>
    <row r="473" spans="1:2" x14ac:dyDescent="0.2">
      <c r="A473" t="s">
        <v>1351</v>
      </c>
      <c r="B473" t="s">
        <v>809</v>
      </c>
    </row>
    <row r="474" spans="1:2" x14ac:dyDescent="0.2">
      <c r="A474" t="s">
        <v>1351</v>
      </c>
      <c r="B474" t="s">
        <v>416</v>
      </c>
    </row>
    <row r="475" spans="1:2" x14ac:dyDescent="0.2">
      <c r="A475" t="s">
        <v>1351</v>
      </c>
      <c r="B475" t="s">
        <v>566</v>
      </c>
    </row>
    <row r="476" spans="1:2" x14ac:dyDescent="0.2">
      <c r="A476" t="s">
        <v>1351</v>
      </c>
      <c r="B476" t="s">
        <v>1207</v>
      </c>
    </row>
    <row r="477" spans="1:2" x14ac:dyDescent="0.2">
      <c r="A477" t="s">
        <v>1351</v>
      </c>
      <c r="B477" t="s">
        <v>1214</v>
      </c>
    </row>
    <row r="478" spans="1:2" x14ac:dyDescent="0.2">
      <c r="A478" t="s">
        <v>1351</v>
      </c>
      <c r="B478" t="s">
        <v>972</v>
      </c>
    </row>
    <row r="479" spans="1:2" x14ac:dyDescent="0.2">
      <c r="A479" t="s">
        <v>1351</v>
      </c>
      <c r="B479" t="s">
        <v>1033</v>
      </c>
    </row>
    <row r="480" spans="1:2" x14ac:dyDescent="0.2">
      <c r="A480" t="s">
        <v>1351</v>
      </c>
      <c r="B480" t="s">
        <v>402</v>
      </c>
    </row>
    <row r="481" spans="1:2" x14ac:dyDescent="0.2">
      <c r="A481" t="s">
        <v>1351</v>
      </c>
      <c r="B481" t="s">
        <v>743</v>
      </c>
    </row>
    <row r="482" spans="1:2" x14ac:dyDescent="0.2">
      <c r="A482" t="s">
        <v>1351</v>
      </c>
      <c r="B482" t="s">
        <v>1239</v>
      </c>
    </row>
    <row r="483" spans="1:2" x14ac:dyDescent="0.2">
      <c r="A483" t="s">
        <v>1351</v>
      </c>
      <c r="B483" t="s">
        <v>799</v>
      </c>
    </row>
    <row r="484" spans="1:2" x14ac:dyDescent="0.2">
      <c r="A484" t="s">
        <v>1351</v>
      </c>
      <c r="B484" t="s">
        <v>539</v>
      </c>
    </row>
    <row r="485" spans="1:2" x14ac:dyDescent="0.2">
      <c r="A485" t="s">
        <v>1351</v>
      </c>
      <c r="B485" t="s">
        <v>975</v>
      </c>
    </row>
    <row r="486" spans="1:2" x14ac:dyDescent="0.2">
      <c r="A486" t="s">
        <v>1351</v>
      </c>
      <c r="B486" t="s">
        <v>427</v>
      </c>
    </row>
    <row r="487" spans="1:2" x14ac:dyDescent="0.2">
      <c r="A487" t="s">
        <v>1351</v>
      </c>
      <c r="B487" t="s">
        <v>29</v>
      </c>
    </row>
    <row r="488" spans="1:2" x14ac:dyDescent="0.2">
      <c r="A488" t="s">
        <v>1351</v>
      </c>
      <c r="B488" t="s">
        <v>1222</v>
      </c>
    </row>
    <row r="489" spans="1:2" x14ac:dyDescent="0.2">
      <c r="A489" t="s">
        <v>1351</v>
      </c>
      <c r="B489" t="s">
        <v>123</v>
      </c>
    </row>
    <row r="490" spans="1:2" x14ac:dyDescent="0.2">
      <c r="A490" t="s">
        <v>1351</v>
      </c>
      <c r="B490" t="s">
        <v>329</v>
      </c>
    </row>
    <row r="491" spans="1:2" x14ac:dyDescent="0.2">
      <c r="A491" t="s">
        <v>1351</v>
      </c>
      <c r="B491" t="s">
        <v>960</v>
      </c>
    </row>
    <row r="492" spans="1:2" x14ac:dyDescent="0.2">
      <c r="A492" t="s">
        <v>1351</v>
      </c>
      <c r="B492" t="s">
        <v>1026</v>
      </c>
    </row>
    <row r="493" spans="1:2" x14ac:dyDescent="0.2">
      <c r="A493" t="s">
        <v>1351</v>
      </c>
      <c r="B493" t="s">
        <v>1010</v>
      </c>
    </row>
    <row r="494" spans="1:2" x14ac:dyDescent="0.2">
      <c r="A494" t="s">
        <v>1351</v>
      </c>
      <c r="B494" t="s">
        <v>868</v>
      </c>
    </row>
    <row r="495" spans="1:2" x14ac:dyDescent="0.2">
      <c r="A495" t="s">
        <v>1351</v>
      </c>
      <c r="B495" t="s">
        <v>700</v>
      </c>
    </row>
    <row r="496" spans="1:2" x14ac:dyDescent="0.2">
      <c r="A496" t="s">
        <v>1351</v>
      </c>
      <c r="B496" t="s">
        <v>639</v>
      </c>
    </row>
    <row r="497" spans="1:2" x14ac:dyDescent="0.2">
      <c r="A497" t="s">
        <v>1351</v>
      </c>
      <c r="B497" t="s">
        <v>982</v>
      </c>
    </row>
    <row r="498" spans="1:2" x14ac:dyDescent="0.2">
      <c r="A498" t="s">
        <v>1351</v>
      </c>
      <c r="B498" t="s">
        <v>31</v>
      </c>
    </row>
    <row r="499" spans="1:2" x14ac:dyDescent="0.2">
      <c r="A499" t="s">
        <v>1351</v>
      </c>
      <c r="B499" t="s">
        <v>919</v>
      </c>
    </row>
    <row r="500" spans="1:2" x14ac:dyDescent="0.2">
      <c r="A500" t="s">
        <v>1351</v>
      </c>
      <c r="B500" t="s">
        <v>335</v>
      </c>
    </row>
    <row r="501" spans="1:2" x14ac:dyDescent="0.2">
      <c r="A501" t="s">
        <v>1351</v>
      </c>
      <c r="B501" t="s">
        <v>931</v>
      </c>
    </row>
    <row r="502" spans="1:2" x14ac:dyDescent="0.2">
      <c r="A502" t="s">
        <v>1351</v>
      </c>
      <c r="B502" t="s">
        <v>130</v>
      </c>
    </row>
    <row r="503" spans="1:2" x14ac:dyDescent="0.2">
      <c r="A503" t="s">
        <v>1351</v>
      </c>
      <c r="B503" t="s">
        <v>380</v>
      </c>
    </row>
    <row r="504" spans="1:2" x14ac:dyDescent="0.2">
      <c r="A504" t="s">
        <v>1351</v>
      </c>
      <c r="B504" t="s">
        <v>971</v>
      </c>
    </row>
    <row r="505" spans="1:2" x14ac:dyDescent="0.2">
      <c r="A505" t="s">
        <v>1351</v>
      </c>
      <c r="B505" t="s">
        <v>233</v>
      </c>
    </row>
    <row r="506" spans="1:2" x14ac:dyDescent="0.2">
      <c r="A506" t="s">
        <v>1351</v>
      </c>
      <c r="B506" t="s">
        <v>997</v>
      </c>
    </row>
    <row r="507" spans="1:2" x14ac:dyDescent="0.2">
      <c r="A507" t="s">
        <v>1351</v>
      </c>
      <c r="B507" t="s">
        <v>526</v>
      </c>
    </row>
    <row r="508" spans="1:2" x14ac:dyDescent="0.2">
      <c r="A508" t="s">
        <v>1351</v>
      </c>
      <c r="B508" t="s">
        <v>318</v>
      </c>
    </row>
    <row r="509" spans="1:2" x14ac:dyDescent="0.2">
      <c r="A509" t="s">
        <v>1351</v>
      </c>
      <c r="B509" t="s">
        <v>1028</v>
      </c>
    </row>
    <row r="510" spans="1:2" x14ac:dyDescent="0.2">
      <c r="A510" t="s">
        <v>1351</v>
      </c>
      <c r="B510" t="s">
        <v>1101</v>
      </c>
    </row>
    <row r="511" spans="1:2" x14ac:dyDescent="0.2">
      <c r="A511" t="s">
        <v>1351</v>
      </c>
      <c r="B511" t="s">
        <v>476</v>
      </c>
    </row>
    <row r="512" spans="1:2" x14ac:dyDescent="0.2">
      <c r="A512" t="s">
        <v>1351</v>
      </c>
      <c r="B512" t="s">
        <v>212</v>
      </c>
    </row>
    <row r="513" spans="1:2" x14ac:dyDescent="0.2">
      <c r="A513" t="s">
        <v>1351</v>
      </c>
      <c r="B513" t="s">
        <v>294</v>
      </c>
    </row>
    <row r="514" spans="1:2" x14ac:dyDescent="0.2">
      <c r="A514" t="s">
        <v>1351</v>
      </c>
      <c r="B514" t="s">
        <v>1166</v>
      </c>
    </row>
    <row r="515" spans="1:2" x14ac:dyDescent="0.2">
      <c r="A515" t="s">
        <v>1351</v>
      </c>
      <c r="B515" t="s">
        <v>1206</v>
      </c>
    </row>
    <row r="516" spans="1:2" x14ac:dyDescent="0.2">
      <c r="A516" t="s">
        <v>1351</v>
      </c>
      <c r="B516" t="s">
        <v>509</v>
      </c>
    </row>
    <row r="517" spans="1:2" x14ac:dyDescent="0.2">
      <c r="A517" t="s">
        <v>1351</v>
      </c>
      <c r="B517" t="s">
        <v>1096</v>
      </c>
    </row>
    <row r="518" spans="1:2" x14ac:dyDescent="0.2">
      <c r="A518" t="s">
        <v>1351</v>
      </c>
      <c r="B518" t="s">
        <v>1231</v>
      </c>
    </row>
    <row r="519" spans="1:2" x14ac:dyDescent="0.2">
      <c r="A519" t="s">
        <v>1351</v>
      </c>
      <c r="B519" t="s">
        <v>1131</v>
      </c>
    </row>
    <row r="520" spans="1:2" x14ac:dyDescent="0.2">
      <c r="A520" t="s">
        <v>1351</v>
      </c>
      <c r="B520" t="s">
        <v>1029</v>
      </c>
    </row>
    <row r="521" spans="1:2" x14ac:dyDescent="0.2">
      <c r="A521" t="s">
        <v>1351</v>
      </c>
      <c r="B521" t="s">
        <v>707</v>
      </c>
    </row>
    <row r="522" spans="1:2" x14ac:dyDescent="0.2">
      <c r="A522" t="s">
        <v>1351</v>
      </c>
      <c r="B522" t="s">
        <v>585</v>
      </c>
    </row>
    <row r="523" spans="1:2" x14ac:dyDescent="0.2">
      <c r="A523" t="s">
        <v>1351</v>
      </c>
      <c r="B523" t="s">
        <v>842</v>
      </c>
    </row>
    <row r="524" spans="1:2" x14ac:dyDescent="0.2">
      <c r="A524" t="s">
        <v>1351</v>
      </c>
      <c r="B524" t="s">
        <v>657</v>
      </c>
    </row>
    <row r="525" spans="1:2" x14ac:dyDescent="0.2">
      <c r="A525" t="s">
        <v>1351</v>
      </c>
      <c r="B525" t="s">
        <v>706</v>
      </c>
    </row>
    <row r="526" spans="1:2" x14ac:dyDescent="0.2">
      <c r="A526" t="s">
        <v>1351</v>
      </c>
      <c r="B526" t="s">
        <v>538</v>
      </c>
    </row>
    <row r="527" spans="1:2" x14ac:dyDescent="0.2">
      <c r="A527" t="s">
        <v>1351</v>
      </c>
      <c r="B527" t="s">
        <v>560</v>
      </c>
    </row>
    <row r="528" spans="1:2" x14ac:dyDescent="0.2">
      <c r="A528" t="s">
        <v>1351</v>
      </c>
      <c r="B528" t="s">
        <v>90</v>
      </c>
    </row>
    <row r="529" spans="1:2" x14ac:dyDescent="0.2">
      <c r="A529" t="s">
        <v>1351</v>
      </c>
      <c r="B529" t="s">
        <v>1318</v>
      </c>
    </row>
    <row r="530" spans="1:2" x14ac:dyDescent="0.2">
      <c r="A530" t="s">
        <v>1351</v>
      </c>
      <c r="B530" t="s">
        <v>1256</v>
      </c>
    </row>
    <row r="531" spans="1:2" x14ac:dyDescent="0.2">
      <c r="A531" t="s">
        <v>1351</v>
      </c>
      <c r="B531" t="s">
        <v>242</v>
      </c>
    </row>
    <row r="532" spans="1:2" x14ac:dyDescent="0.2">
      <c r="A532" t="s">
        <v>1351</v>
      </c>
      <c r="B532" t="s">
        <v>382</v>
      </c>
    </row>
    <row r="533" spans="1:2" x14ac:dyDescent="0.2">
      <c r="A533" t="s">
        <v>1351</v>
      </c>
      <c r="B533" t="s">
        <v>930</v>
      </c>
    </row>
    <row r="534" spans="1:2" x14ac:dyDescent="0.2">
      <c r="A534" t="s">
        <v>1351</v>
      </c>
      <c r="B534" t="s">
        <v>577</v>
      </c>
    </row>
    <row r="535" spans="1:2" x14ac:dyDescent="0.2">
      <c r="A535" t="s">
        <v>1351</v>
      </c>
      <c r="B535" t="s">
        <v>948</v>
      </c>
    </row>
    <row r="536" spans="1:2" x14ac:dyDescent="0.2">
      <c r="A536" t="s">
        <v>1351</v>
      </c>
      <c r="B536" t="s">
        <v>219</v>
      </c>
    </row>
    <row r="537" spans="1:2" x14ac:dyDescent="0.2">
      <c r="A537" t="s">
        <v>1351</v>
      </c>
      <c r="B537" t="s">
        <v>168</v>
      </c>
    </row>
    <row r="538" spans="1:2" x14ac:dyDescent="0.2">
      <c r="A538" t="s">
        <v>1351</v>
      </c>
      <c r="B538" t="s">
        <v>697</v>
      </c>
    </row>
    <row r="539" spans="1:2" x14ac:dyDescent="0.2">
      <c r="A539" t="s">
        <v>1351</v>
      </c>
      <c r="B539" t="s">
        <v>645</v>
      </c>
    </row>
    <row r="540" spans="1:2" x14ac:dyDescent="0.2">
      <c r="A540" t="s">
        <v>1351</v>
      </c>
      <c r="B540" t="s">
        <v>373</v>
      </c>
    </row>
    <row r="541" spans="1:2" x14ac:dyDescent="0.2">
      <c r="A541" t="s">
        <v>1351</v>
      </c>
      <c r="B541" t="s">
        <v>1274</v>
      </c>
    </row>
    <row r="542" spans="1:2" x14ac:dyDescent="0.2">
      <c r="A542" t="s">
        <v>1351</v>
      </c>
      <c r="B542" t="s">
        <v>421</v>
      </c>
    </row>
    <row r="543" spans="1:2" x14ac:dyDescent="0.2">
      <c r="A543" t="s">
        <v>1351</v>
      </c>
      <c r="B543" t="s">
        <v>1073</v>
      </c>
    </row>
    <row r="544" spans="1:2" x14ac:dyDescent="0.2">
      <c r="A544" t="s">
        <v>1351</v>
      </c>
      <c r="B544" t="s">
        <v>1217</v>
      </c>
    </row>
    <row r="545" spans="1:2" x14ac:dyDescent="0.2">
      <c r="A545" t="s">
        <v>1351</v>
      </c>
      <c r="B545" t="s">
        <v>240</v>
      </c>
    </row>
    <row r="546" spans="1:2" x14ac:dyDescent="0.2">
      <c r="A546" t="s">
        <v>1352</v>
      </c>
      <c r="B546" t="s">
        <v>242</v>
      </c>
    </row>
    <row r="547" spans="1:2" x14ac:dyDescent="0.2">
      <c r="A547" t="s">
        <v>1352</v>
      </c>
      <c r="B547" t="s">
        <v>1007</v>
      </c>
    </row>
    <row r="548" spans="1:2" x14ac:dyDescent="0.2">
      <c r="A548" t="s">
        <v>1352</v>
      </c>
      <c r="B548" t="s">
        <v>1012</v>
      </c>
    </row>
    <row r="549" spans="1:2" x14ac:dyDescent="0.2">
      <c r="A549" t="s">
        <v>1352</v>
      </c>
      <c r="B549" t="s">
        <v>635</v>
      </c>
    </row>
    <row r="550" spans="1:2" x14ac:dyDescent="0.2">
      <c r="A550" t="s">
        <v>1352</v>
      </c>
      <c r="B550" t="s">
        <v>992</v>
      </c>
    </row>
    <row r="551" spans="1:2" x14ac:dyDescent="0.2">
      <c r="A551" t="s">
        <v>1352</v>
      </c>
      <c r="B551" t="s">
        <v>1024</v>
      </c>
    </row>
    <row r="552" spans="1:2" x14ac:dyDescent="0.2">
      <c r="A552" t="s">
        <v>1352</v>
      </c>
      <c r="B552" t="s">
        <v>1027</v>
      </c>
    </row>
    <row r="553" spans="1:2" x14ac:dyDescent="0.2">
      <c r="A553" t="s">
        <v>1352</v>
      </c>
      <c r="B553" t="s">
        <v>1029</v>
      </c>
    </row>
    <row r="554" spans="1:2" x14ac:dyDescent="0.2">
      <c r="A554" t="s">
        <v>1352</v>
      </c>
      <c r="B554" t="s">
        <v>421</v>
      </c>
    </row>
    <row r="555" spans="1:2" x14ac:dyDescent="0.2">
      <c r="A555" t="s">
        <v>1352</v>
      </c>
      <c r="B555" t="s">
        <v>171</v>
      </c>
    </row>
    <row r="556" spans="1:2" x14ac:dyDescent="0.2">
      <c r="A556" t="s">
        <v>1352</v>
      </c>
      <c r="B556" t="s">
        <v>1036</v>
      </c>
    </row>
    <row r="557" spans="1:2" x14ac:dyDescent="0.2">
      <c r="A557" t="s">
        <v>1352</v>
      </c>
      <c r="B557" t="s">
        <v>587</v>
      </c>
    </row>
    <row r="558" spans="1:2" x14ac:dyDescent="0.2">
      <c r="A558" t="s">
        <v>1352</v>
      </c>
      <c r="B558" t="s">
        <v>388</v>
      </c>
    </row>
    <row r="559" spans="1:2" x14ac:dyDescent="0.2">
      <c r="A559" t="s">
        <v>1352</v>
      </c>
      <c r="B559" t="s">
        <v>501</v>
      </c>
    </row>
    <row r="560" spans="1:2" x14ac:dyDescent="0.2">
      <c r="A560" t="s">
        <v>1352</v>
      </c>
      <c r="B560" t="s">
        <v>967</v>
      </c>
    </row>
    <row r="561" spans="1:2" x14ac:dyDescent="0.2">
      <c r="A561" t="s">
        <v>1352</v>
      </c>
      <c r="B561" t="s">
        <v>53</v>
      </c>
    </row>
    <row r="562" spans="1:2" x14ac:dyDescent="0.2">
      <c r="A562" t="s">
        <v>1352</v>
      </c>
      <c r="B562" t="s">
        <v>671</v>
      </c>
    </row>
    <row r="563" spans="1:2" x14ac:dyDescent="0.2">
      <c r="A563" t="s">
        <v>1352</v>
      </c>
      <c r="B563" t="s">
        <v>695</v>
      </c>
    </row>
    <row r="564" spans="1:2" x14ac:dyDescent="0.2">
      <c r="A564" t="s">
        <v>1352</v>
      </c>
      <c r="B564" t="s">
        <v>708</v>
      </c>
    </row>
    <row r="565" spans="1:2" x14ac:dyDescent="0.2">
      <c r="A565" t="s">
        <v>1352</v>
      </c>
      <c r="B565" t="s">
        <v>358</v>
      </c>
    </row>
    <row r="566" spans="1:2" x14ac:dyDescent="0.2">
      <c r="A566" t="s">
        <v>1352</v>
      </c>
      <c r="B566" t="s">
        <v>258</v>
      </c>
    </row>
    <row r="567" spans="1:2" x14ac:dyDescent="0.2">
      <c r="A567" t="s">
        <v>1352</v>
      </c>
      <c r="B567" t="s">
        <v>733</v>
      </c>
    </row>
    <row r="568" spans="1:2" x14ac:dyDescent="0.2">
      <c r="A568" t="s">
        <v>1352</v>
      </c>
      <c r="B568" t="s">
        <v>547</v>
      </c>
    </row>
    <row r="569" spans="1:2" x14ac:dyDescent="0.2">
      <c r="A569" t="s">
        <v>1352</v>
      </c>
      <c r="B569" t="s">
        <v>972</v>
      </c>
    </row>
    <row r="570" spans="1:2" x14ac:dyDescent="0.2">
      <c r="A570" t="s">
        <v>1352</v>
      </c>
      <c r="B570" t="s">
        <v>308</v>
      </c>
    </row>
    <row r="571" spans="1:2" x14ac:dyDescent="0.2">
      <c r="A571" t="s">
        <v>1352</v>
      </c>
      <c r="B571" t="s">
        <v>925</v>
      </c>
    </row>
    <row r="572" spans="1:2" x14ac:dyDescent="0.2">
      <c r="A572" t="s">
        <v>1352</v>
      </c>
      <c r="B572" t="s">
        <v>539</v>
      </c>
    </row>
    <row r="573" spans="1:2" x14ac:dyDescent="0.2">
      <c r="A573" t="s">
        <v>1352</v>
      </c>
      <c r="B573" t="s">
        <v>1002</v>
      </c>
    </row>
    <row r="574" spans="1:2" x14ac:dyDescent="0.2">
      <c r="A574" t="s">
        <v>1352</v>
      </c>
      <c r="B574" t="s">
        <v>1048</v>
      </c>
    </row>
    <row r="575" spans="1:2" x14ac:dyDescent="0.2">
      <c r="A575" t="s">
        <v>1352</v>
      </c>
      <c r="B575" t="s">
        <v>648</v>
      </c>
    </row>
    <row r="576" spans="1:2" x14ac:dyDescent="0.2">
      <c r="A576" t="s">
        <v>1352</v>
      </c>
      <c r="B576" t="s">
        <v>154</v>
      </c>
    </row>
    <row r="577" spans="1:2" x14ac:dyDescent="0.2">
      <c r="A577" t="s">
        <v>1352</v>
      </c>
      <c r="B577" t="s">
        <v>1053</v>
      </c>
    </row>
    <row r="578" spans="1:2" x14ac:dyDescent="0.2">
      <c r="A578" t="s">
        <v>1352</v>
      </c>
      <c r="B578" t="s">
        <v>619</v>
      </c>
    </row>
    <row r="579" spans="1:2" x14ac:dyDescent="0.2">
      <c r="A579" t="s">
        <v>1352</v>
      </c>
      <c r="B579" t="s">
        <v>596</v>
      </c>
    </row>
    <row r="580" spans="1:2" x14ac:dyDescent="0.2">
      <c r="A580" t="s">
        <v>1352</v>
      </c>
      <c r="B580" t="s">
        <v>536</v>
      </c>
    </row>
    <row r="581" spans="1:2" x14ac:dyDescent="0.2">
      <c r="A581" t="s">
        <v>1352</v>
      </c>
      <c r="B581" t="s">
        <v>81</v>
      </c>
    </row>
    <row r="582" spans="1:2" x14ac:dyDescent="0.2">
      <c r="A582" t="s">
        <v>1352</v>
      </c>
      <c r="B582" t="s">
        <v>1060</v>
      </c>
    </row>
    <row r="583" spans="1:2" x14ac:dyDescent="0.2">
      <c r="A583" t="s">
        <v>1352</v>
      </c>
      <c r="B583" t="s">
        <v>735</v>
      </c>
    </row>
    <row r="584" spans="1:2" x14ac:dyDescent="0.2">
      <c r="A584" t="s">
        <v>1352</v>
      </c>
      <c r="B584" t="s">
        <v>1039</v>
      </c>
    </row>
    <row r="585" spans="1:2" x14ac:dyDescent="0.2">
      <c r="A585" t="s">
        <v>1352</v>
      </c>
      <c r="B585" t="s">
        <v>1062</v>
      </c>
    </row>
    <row r="586" spans="1:2" x14ac:dyDescent="0.2">
      <c r="A586" t="s">
        <v>1352</v>
      </c>
      <c r="B586" t="s">
        <v>943</v>
      </c>
    </row>
    <row r="587" spans="1:2" x14ac:dyDescent="0.2">
      <c r="A587" t="s">
        <v>1352</v>
      </c>
      <c r="B587" t="s">
        <v>1064</v>
      </c>
    </row>
    <row r="588" spans="1:2" x14ac:dyDescent="0.2">
      <c r="A588" t="s">
        <v>1352</v>
      </c>
      <c r="B588" t="s">
        <v>1066</v>
      </c>
    </row>
    <row r="589" spans="1:2" x14ac:dyDescent="0.2">
      <c r="A589" t="s">
        <v>1352</v>
      </c>
      <c r="B589" t="s">
        <v>1068</v>
      </c>
    </row>
    <row r="590" spans="1:2" x14ac:dyDescent="0.2">
      <c r="A590" t="s">
        <v>1352</v>
      </c>
      <c r="B590" t="s">
        <v>1070</v>
      </c>
    </row>
    <row r="591" spans="1:2" x14ac:dyDescent="0.2">
      <c r="A591" t="s">
        <v>1352</v>
      </c>
      <c r="B591" t="s">
        <v>560</v>
      </c>
    </row>
    <row r="592" spans="1:2" x14ac:dyDescent="0.2">
      <c r="A592" t="s">
        <v>1352</v>
      </c>
      <c r="B592" t="s">
        <v>1075</v>
      </c>
    </row>
    <row r="593" spans="1:2" x14ac:dyDescent="0.2">
      <c r="A593" t="s">
        <v>1352</v>
      </c>
      <c r="B593" t="s">
        <v>90</v>
      </c>
    </row>
    <row r="594" spans="1:2" x14ac:dyDescent="0.2">
      <c r="A594" t="s">
        <v>1352</v>
      </c>
      <c r="B594" t="s">
        <v>916</v>
      </c>
    </row>
    <row r="595" spans="1:2" x14ac:dyDescent="0.2">
      <c r="A595" t="s">
        <v>1352</v>
      </c>
      <c r="B595" t="s">
        <v>783</v>
      </c>
    </row>
    <row r="596" spans="1:2" x14ac:dyDescent="0.2">
      <c r="A596" t="s">
        <v>1352</v>
      </c>
      <c r="B596" t="s">
        <v>313</v>
      </c>
    </row>
    <row r="597" spans="1:2" x14ac:dyDescent="0.2">
      <c r="A597" t="s">
        <v>1352</v>
      </c>
      <c r="B597" t="s">
        <v>1088</v>
      </c>
    </row>
    <row r="598" spans="1:2" x14ac:dyDescent="0.2">
      <c r="A598" t="s">
        <v>1352</v>
      </c>
      <c r="B598" t="s">
        <v>546</v>
      </c>
    </row>
    <row r="599" spans="1:2" x14ac:dyDescent="0.2">
      <c r="A599" t="s">
        <v>1352</v>
      </c>
      <c r="B599" t="s">
        <v>860</v>
      </c>
    </row>
    <row r="600" spans="1:2" x14ac:dyDescent="0.2">
      <c r="A600" t="s">
        <v>1352</v>
      </c>
      <c r="B600" t="s">
        <v>987</v>
      </c>
    </row>
    <row r="601" spans="1:2" x14ac:dyDescent="0.2">
      <c r="A601" t="s">
        <v>1352</v>
      </c>
      <c r="B601" t="s">
        <v>1141</v>
      </c>
    </row>
    <row r="602" spans="1:2" x14ac:dyDescent="0.2">
      <c r="A602" t="s">
        <v>1352</v>
      </c>
      <c r="B602" t="s">
        <v>659</v>
      </c>
    </row>
    <row r="603" spans="1:2" x14ac:dyDescent="0.2">
      <c r="A603" t="s">
        <v>1352</v>
      </c>
      <c r="B603" t="s">
        <v>516</v>
      </c>
    </row>
    <row r="604" spans="1:2" x14ac:dyDescent="0.2">
      <c r="A604" t="s">
        <v>1352</v>
      </c>
      <c r="B604" t="s">
        <v>377</v>
      </c>
    </row>
    <row r="605" spans="1:2" x14ac:dyDescent="0.2">
      <c r="A605" t="s">
        <v>1352</v>
      </c>
      <c r="B605" t="s">
        <v>930</v>
      </c>
    </row>
    <row r="606" spans="1:2" x14ac:dyDescent="0.2">
      <c r="A606" t="s">
        <v>1352</v>
      </c>
      <c r="B606" t="s">
        <v>645</v>
      </c>
    </row>
    <row r="607" spans="1:2" x14ac:dyDescent="0.2">
      <c r="A607" t="s">
        <v>1352</v>
      </c>
      <c r="B607" t="s">
        <v>928</v>
      </c>
    </row>
    <row r="608" spans="1:2" x14ac:dyDescent="0.2">
      <c r="A608" t="s">
        <v>1352</v>
      </c>
      <c r="B608" t="s">
        <v>602</v>
      </c>
    </row>
    <row r="609" spans="1:2" x14ac:dyDescent="0.2">
      <c r="A609" t="s">
        <v>1352</v>
      </c>
      <c r="B609" t="s">
        <v>1104</v>
      </c>
    </row>
    <row r="610" spans="1:2" x14ac:dyDescent="0.2">
      <c r="A610" t="s">
        <v>1352</v>
      </c>
      <c r="B610" t="s">
        <v>1195</v>
      </c>
    </row>
    <row r="611" spans="1:2" x14ac:dyDescent="0.2">
      <c r="A611" t="s">
        <v>1352</v>
      </c>
      <c r="B611" t="s">
        <v>1101</v>
      </c>
    </row>
    <row r="612" spans="1:2" x14ac:dyDescent="0.2">
      <c r="A612" t="s">
        <v>1352</v>
      </c>
      <c r="B612" t="s">
        <v>1230</v>
      </c>
    </row>
    <row r="613" spans="1:2" x14ac:dyDescent="0.2">
      <c r="A613" t="s">
        <v>1352</v>
      </c>
      <c r="B613" t="s">
        <v>1159</v>
      </c>
    </row>
    <row r="614" spans="1:2" x14ac:dyDescent="0.2">
      <c r="A614" t="s">
        <v>1352</v>
      </c>
      <c r="B614" t="s">
        <v>852</v>
      </c>
    </row>
    <row r="615" spans="1:2" x14ac:dyDescent="0.2">
      <c r="A615" t="s">
        <v>1352</v>
      </c>
      <c r="B615" t="s">
        <v>917</v>
      </c>
    </row>
    <row r="616" spans="1:2" x14ac:dyDescent="0.2">
      <c r="A616" t="s">
        <v>1352</v>
      </c>
      <c r="B616" t="s">
        <v>299</v>
      </c>
    </row>
    <row r="617" spans="1:2" x14ac:dyDescent="0.2">
      <c r="A617" t="s">
        <v>1352</v>
      </c>
      <c r="B617" t="s">
        <v>1105</v>
      </c>
    </row>
    <row r="618" spans="1:2" x14ac:dyDescent="0.2">
      <c r="A618" t="s">
        <v>1352</v>
      </c>
      <c r="B618" t="s">
        <v>775</v>
      </c>
    </row>
    <row r="619" spans="1:2" x14ac:dyDescent="0.2">
      <c r="A619" t="s">
        <v>1352</v>
      </c>
      <c r="B619" t="s">
        <v>281</v>
      </c>
    </row>
    <row r="620" spans="1:2" x14ac:dyDescent="0.2">
      <c r="A620" t="s">
        <v>1352</v>
      </c>
      <c r="B620" t="s">
        <v>542</v>
      </c>
    </row>
    <row r="621" spans="1:2" x14ac:dyDescent="0.2">
      <c r="A621" t="s">
        <v>1352</v>
      </c>
      <c r="B621" t="s">
        <v>1100</v>
      </c>
    </row>
    <row r="622" spans="1:2" x14ac:dyDescent="0.2">
      <c r="A622" t="s">
        <v>1352</v>
      </c>
      <c r="B622" t="s">
        <v>1110</v>
      </c>
    </row>
    <row r="623" spans="1:2" x14ac:dyDescent="0.2">
      <c r="A623" t="s">
        <v>1352</v>
      </c>
      <c r="B623" t="s">
        <v>1199</v>
      </c>
    </row>
    <row r="624" spans="1:2" x14ac:dyDescent="0.2">
      <c r="A624" t="s">
        <v>1352</v>
      </c>
      <c r="B624" t="s">
        <v>907</v>
      </c>
    </row>
    <row r="625" spans="1:2" x14ac:dyDescent="0.2">
      <c r="A625" t="s">
        <v>1352</v>
      </c>
      <c r="B625" t="s">
        <v>342</v>
      </c>
    </row>
    <row r="626" spans="1:2" x14ac:dyDescent="0.2">
      <c r="A626" t="s">
        <v>1352</v>
      </c>
      <c r="B626" t="s">
        <v>834</v>
      </c>
    </row>
    <row r="627" spans="1:2" x14ac:dyDescent="0.2">
      <c r="A627" t="s">
        <v>1352</v>
      </c>
      <c r="B627" t="s">
        <v>1165</v>
      </c>
    </row>
    <row r="628" spans="1:2" x14ac:dyDescent="0.2">
      <c r="A628" t="s">
        <v>1352</v>
      </c>
      <c r="B628" t="s">
        <v>803</v>
      </c>
    </row>
    <row r="629" spans="1:2" x14ac:dyDescent="0.2">
      <c r="A629" t="s">
        <v>1352</v>
      </c>
      <c r="B629" t="s">
        <v>223</v>
      </c>
    </row>
    <row r="630" spans="1:2" x14ac:dyDescent="0.2">
      <c r="A630" t="s">
        <v>1352</v>
      </c>
      <c r="B630" t="s">
        <v>485</v>
      </c>
    </row>
    <row r="631" spans="1:2" x14ac:dyDescent="0.2">
      <c r="A631" t="s">
        <v>1352</v>
      </c>
      <c r="B631" t="s">
        <v>771</v>
      </c>
    </row>
    <row r="632" spans="1:2" x14ac:dyDescent="0.2">
      <c r="A632" t="s">
        <v>1352</v>
      </c>
      <c r="B632" t="s">
        <v>1291</v>
      </c>
    </row>
    <row r="633" spans="1:2" x14ac:dyDescent="0.2">
      <c r="A633" t="s">
        <v>1352</v>
      </c>
      <c r="B633" t="s">
        <v>1250</v>
      </c>
    </row>
    <row r="634" spans="1:2" x14ac:dyDescent="0.2">
      <c r="A634" t="s">
        <v>1352</v>
      </c>
      <c r="B634" t="s">
        <v>626</v>
      </c>
    </row>
    <row r="635" spans="1:2" x14ac:dyDescent="0.2">
      <c r="A635" t="s">
        <v>1352</v>
      </c>
      <c r="B635" t="s">
        <v>1300</v>
      </c>
    </row>
    <row r="636" spans="1:2" x14ac:dyDescent="0.2">
      <c r="A636" t="s">
        <v>1352</v>
      </c>
      <c r="B636" t="s">
        <v>1204</v>
      </c>
    </row>
    <row r="637" spans="1:2" x14ac:dyDescent="0.2">
      <c r="A637" t="s">
        <v>1352</v>
      </c>
      <c r="B637" t="s">
        <v>870</v>
      </c>
    </row>
    <row r="638" spans="1:2" x14ac:dyDescent="0.2">
      <c r="A638" t="s">
        <v>1352</v>
      </c>
      <c r="B638" t="s">
        <v>1218</v>
      </c>
    </row>
    <row r="639" spans="1:2" x14ac:dyDescent="0.2">
      <c r="A639" t="s">
        <v>1352</v>
      </c>
      <c r="B639" t="s">
        <v>848</v>
      </c>
    </row>
    <row r="640" spans="1:2" x14ac:dyDescent="0.2">
      <c r="A640" t="s">
        <v>1352</v>
      </c>
      <c r="B640" t="s">
        <v>894</v>
      </c>
    </row>
    <row r="641" spans="1:2" x14ac:dyDescent="0.2">
      <c r="A641" t="s">
        <v>1352</v>
      </c>
      <c r="B641" t="s">
        <v>981</v>
      </c>
    </row>
    <row r="642" spans="1:2" x14ac:dyDescent="0.2">
      <c r="A642" t="s">
        <v>1352</v>
      </c>
      <c r="B642" t="s">
        <v>1119</v>
      </c>
    </row>
    <row r="643" spans="1:2" x14ac:dyDescent="0.2">
      <c r="A643" t="s">
        <v>1352</v>
      </c>
      <c r="B643" t="s">
        <v>1209</v>
      </c>
    </row>
    <row r="644" spans="1:2" x14ac:dyDescent="0.2">
      <c r="A644" t="s">
        <v>1352</v>
      </c>
      <c r="B644" t="s">
        <v>1268</v>
      </c>
    </row>
    <row r="645" spans="1:2" x14ac:dyDescent="0.2">
      <c r="A645" t="s">
        <v>1352</v>
      </c>
      <c r="B645" t="s">
        <v>1089</v>
      </c>
    </row>
    <row r="646" spans="1:2" x14ac:dyDescent="0.2">
      <c r="A646" t="s">
        <v>1352</v>
      </c>
      <c r="B646" t="s">
        <v>555</v>
      </c>
    </row>
    <row r="647" spans="1:2" x14ac:dyDescent="0.2">
      <c r="A647" t="s">
        <v>1352</v>
      </c>
      <c r="B647" t="s">
        <v>1015</v>
      </c>
    </row>
    <row r="648" spans="1:2" x14ac:dyDescent="0.2">
      <c r="A648" t="s">
        <v>1352</v>
      </c>
      <c r="B648" t="s">
        <v>639</v>
      </c>
    </row>
    <row r="649" spans="1:2" x14ac:dyDescent="0.2">
      <c r="A649" t="s">
        <v>1352</v>
      </c>
      <c r="B649" t="s">
        <v>655</v>
      </c>
    </row>
    <row r="650" spans="1:2" x14ac:dyDescent="0.2">
      <c r="A650" t="s">
        <v>1352</v>
      </c>
      <c r="B650" t="s">
        <v>1090</v>
      </c>
    </row>
    <row r="651" spans="1:2" x14ac:dyDescent="0.2">
      <c r="A651" t="s">
        <v>1352</v>
      </c>
      <c r="B651" t="s">
        <v>1285</v>
      </c>
    </row>
    <row r="652" spans="1:2" x14ac:dyDescent="0.2">
      <c r="A652" t="s">
        <v>1352</v>
      </c>
      <c r="B652" t="s">
        <v>565</v>
      </c>
    </row>
    <row r="653" spans="1:2" x14ac:dyDescent="0.2">
      <c r="A653" t="s">
        <v>1352</v>
      </c>
      <c r="B653" t="s">
        <v>795</v>
      </c>
    </row>
    <row r="654" spans="1:2" x14ac:dyDescent="0.2">
      <c r="A654" t="s">
        <v>1352</v>
      </c>
      <c r="B654" t="s">
        <v>1126</v>
      </c>
    </row>
    <row r="655" spans="1:2" x14ac:dyDescent="0.2">
      <c r="A655" t="s">
        <v>1352</v>
      </c>
      <c r="B655" t="s">
        <v>1319</v>
      </c>
    </row>
    <row r="656" spans="1:2" x14ac:dyDescent="0.2">
      <c r="A656" t="s">
        <v>1352</v>
      </c>
      <c r="B656" t="s">
        <v>752</v>
      </c>
    </row>
    <row r="657" spans="1:2" x14ac:dyDescent="0.2">
      <c r="A657" t="s">
        <v>1352</v>
      </c>
      <c r="B657" t="s">
        <v>1313</v>
      </c>
    </row>
    <row r="658" spans="1:2" x14ac:dyDescent="0.2">
      <c r="A658" t="s">
        <v>1352</v>
      </c>
      <c r="B658" t="s">
        <v>276</v>
      </c>
    </row>
    <row r="659" spans="1:2" x14ac:dyDescent="0.2">
      <c r="A659" t="s">
        <v>1352</v>
      </c>
      <c r="B659" t="s">
        <v>525</v>
      </c>
    </row>
    <row r="660" spans="1:2" x14ac:dyDescent="0.2">
      <c r="A660" t="s">
        <v>1352</v>
      </c>
      <c r="B660" t="s">
        <v>1096</v>
      </c>
    </row>
    <row r="661" spans="1:2" x14ac:dyDescent="0.2">
      <c r="A661" t="s">
        <v>1352</v>
      </c>
      <c r="B661" t="s">
        <v>1275</v>
      </c>
    </row>
    <row r="662" spans="1:2" x14ac:dyDescent="0.2">
      <c r="A662" t="s">
        <v>1352</v>
      </c>
      <c r="B662" t="s">
        <v>1054</v>
      </c>
    </row>
    <row r="663" spans="1:2" x14ac:dyDescent="0.2">
      <c r="A663" t="s">
        <v>1352</v>
      </c>
      <c r="B663" t="s">
        <v>1128</v>
      </c>
    </row>
    <row r="664" spans="1:2" x14ac:dyDescent="0.2">
      <c r="A664" t="s">
        <v>1352</v>
      </c>
      <c r="B664" t="s">
        <v>1196</v>
      </c>
    </row>
    <row r="665" spans="1:2" x14ac:dyDescent="0.2">
      <c r="A665" t="s">
        <v>1352</v>
      </c>
      <c r="B665" t="s">
        <v>601</v>
      </c>
    </row>
    <row r="666" spans="1:2" x14ac:dyDescent="0.2">
      <c r="A666" t="s">
        <v>1352</v>
      </c>
      <c r="B666" t="s">
        <v>447</v>
      </c>
    </row>
    <row r="667" spans="1:2" x14ac:dyDescent="0.2">
      <c r="A667" t="s">
        <v>1352</v>
      </c>
      <c r="B667" t="s">
        <v>489</v>
      </c>
    </row>
    <row r="668" spans="1:2" x14ac:dyDescent="0.2">
      <c r="A668" t="s">
        <v>1352</v>
      </c>
      <c r="B668" t="s">
        <v>837</v>
      </c>
    </row>
    <row r="669" spans="1:2" x14ac:dyDescent="0.2">
      <c r="A669" t="s">
        <v>1352</v>
      </c>
      <c r="B669" t="s">
        <v>121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abSelected="1" workbookViewId="0">
      <selection activeCell="B9" sqref="B9"/>
    </sheetView>
  </sheetViews>
  <sheetFormatPr defaultRowHeight="12.75" x14ac:dyDescent="0.2"/>
  <cols>
    <col min="1" max="1" width="13.85546875" bestFit="1" customWidth="1"/>
    <col min="2" max="2" width="23.85546875" bestFit="1" customWidth="1"/>
  </cols>
  <sheetData>
    <row r="3" spans="1:2" x14ac:dyDescent="0.2">
      <c r="A3" s="8" t="s">
        <v>1331</v>
      </c>
      <c r="B3" t="s">
        <v>1354</v>
      </c>
    </row>
    <row r="4" spans="1:2" x14ac:dyDescent="0.2">
      <c r="A4" s="9" t="s">
        <v>1349</v>
      </c>
      <c r="B4" s="10">
        <v>209</v>
      </c>
    </row>
    <row r="5" spans="1:2" x14ac:dyDescent="0.2">
      <c r="A5" s="9" t="s">
        <v>1350</v>
      </c>
      <c r="B5" s="10">
        <v>171</v>
      </c>
    </row>
    <row r="6" spans="1:2" x14ac:dyDescent="0.2">
      <c r="A6" s="9" t="s">
        <v>1351</v>
      </c>
      <c r="B6" s="10">
        <v>164</v>
      </c>
    </row>
    <row r="7" spans="1:2" x14ac:dyDescent="0.2">
      <c r="A7" s="9" t="s">
        <v>1352</v>
      </c>
      <c r="B7" s="10">
        <v>124</v>
      </c>
    </row>
    <row r="8" spans="1:2" x14ac:dyDescent="0.2">
      <c r="A8" s="9" t="s">
        <v>1333</v>
      </c>
      <c r="B8" s="10">
        <v>668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D28" zoomScaleNormal="100" workbookViewId="0">
      <selection activeCell="AD42" sqref="AD42"/>
    </sheetView>
  </sheetViews>
  <sheetFormatPr defaultRowHeight="12.75" x14ac:dyDescent="0.2"/>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Excel Capstone Raw Data</vt:lpstr>
      <vt:lpstr>Sum of Sales</vt:lpstr>
      <vt:lpstr>Sum of Profit</vt:lpstr>
      <vt:lpstr> Sum of Sales by Year</vt:lpstr>
      <vt:lpstr>Top 5 Customers</vt:lpstr>
      <vt:lpstr>Customer Sales.</vt:lpstr>
      <vt:lpstr>Kpis</vt:lpstr>
      <vt:lpstr>kpi sales</vt:lpstr>
      <vt:lpstr>kpi customer</vt:lpstr>
      <vt:lpstr>Customer Name by Year</vt:lpstr>
      <vt:lpstr>Customer Count</vt:lpstr>
      <vt:lpstr>Dashboard.</vt:lpstr>
      <vt:lpstr>Year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BROWSER</cp:lastModifiedBy>
  <dcterms:modified xsi:type="dcterms:W3CDTF">2026-09-03T13:38:18Z</dcterms:modified>
</cp:coreProperties>
</file>