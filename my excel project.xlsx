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pivotTables/pivotTable9.xml" ContentType="application/vnd.openxmlformats-officedocument.spreadsheetml.pivotTable+xml"/>
  <Override PartName="/xl/drawings/drawing6.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tables/table4.xml" ContentType="application/vnd.openxmlformats-officedocument.spreadsheetml.table+xml"/>
  <Override PartName="/xl/drawings/drawing7.xml" ContentType="application/vnd.openxmlformats-officedocument.drawing+xml"/>
  <Override PartName="/xl/slicers/slicer2.xml" ContentType="application/vnd.ms-excel.slicer+xml"/>
  <Override PartName="/xl/charts/chartEx3.xml" ContentType="application/vnd.ms-office.chartex+xml"/>
  <Override PartName="/xl/charts/style7.xml" ContentType="application/vnd.ms-office.chartstyle+xml"/>
  <Override PartName="/xl/charts/colors7.xml" ContentType="application/vnd.ms-office.chartcolorstyle+xml"/>
  <Override PartName="/xl/charts/chart5.xml" ContentType="application/vnd.openxmlformats-officedocument.drawingml.chart+xml"/>
  <Override PartName="/xl/charts/style8.xml" ContentType="application/vnd.ms-office.chartstyle+xml"/>
  <Override PartName="/xl/charts/colors8.xml" ContentType="application/vnd.ms-office.chartcolorstyle+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Ex4.xml" ContentType="application/vnd.ms-office.chartex+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AB0B6E75-100D-418E-BF35-55589311C9DF}" xr6:coauthVersionLast="44" xr6:coauthVersionMax="47" xr10:uidLastSave="{00000000-0000-0000-0000-000000000000}"/>
  <bookViews>
    <workbookView xWindow="-120" yWindow="-120" windowWidth="20730" windowHeight="11160" firstSheet="8" activeTab="13" xr2:uid="{00000000-000D-0000-FFFF-FFFF00000000}"/>
  </bookViews>
  <sheets>
    <sheet name="Excel Capstone Raw Data" sheetId="1" r:id="rId1"/>
    <sheet name="Sheet3" sheetId="4" r:id="rId2"/>
    <sheet name="Sheet5" sheetId="6" r:id="rId3"/>
    <sheet name="Sheet6" sheetId="7" r:id="rId4"/>
    <sheet name="Sheet7" sheetId="8" r:id="rId5"/>
    <sheet name="Sheet8" sheetId="9" r:id="rId6"/>
    <sheet name="Kpis" sheetId="13" r:id="rId7"/>
    <sheet name="kpi sales" sheetId="12" r:id="rId8"/>
    <sheet name="kpi customer" sheetId="14" r:id="rId9"/>
    <sheet name="Sheet2" sheetId="15" r:id="rId10"/>
    <sheet name="Sheet4" sheetId="16" r:id="rId11"/>
    <sheet name="Sheet9" sheetId="10" r:id="rId12"/>
    <sheet name="Sheet1" sheetId="2" r:id="rId13"/>
    <sheet name="Sheet10" sheetId="11" r:id="rId14"/>
  </sheets>
  <definedNames>
    <definedName name="_xlchart.v2.0" hidden="1">Sheet3!$D$4:$D$21</definedName>
    <definedName name="_xlchart.v2.1" hidden="1">Sheet3!$E$3</definedName>
    <definedName name="_xlchart.v2.2" hidden="1">Sheet3!$E$4:$E$21</definedName>
    <definedName name="_xlchart.v2.7" hidden="1">Sheet3!$D$4:$D$21</definedName>
    <definedName name="_xlchart.v2.8" hidden="1">Sheet3!$E$3</definedName>
    <definedName name="_xlchart.v2.9" hidden="1">Sheet3!$E$4:$E$21</definedName>
    <definedName name="_xlchart.v5.10" hidden="1">Sheet8!$E$3</definedName>
    <definedName name="_xlchart.v5.11" hidden="1">Sheet8!$E$4:$E$49</definedName>
    <definedName name="_xlchart.v5.12" hidden="1">Sheet8!$F$3</definedName>
    <definedName name="_xlchart.v5.13" hidden="1">Sheet8!$F$4:$F$49</definedName>
    <definedName name="_xlchart.v5.3" hidden="1">Sheet8!$E$3</definedName>
    <definedName name="_xlchart.v5.4" hidden="1">Sheet8!$E$4:$E$49</definedName>
    <definedName name="_xlchart.v5.5" hidden="1">Sheet8!$F$3</definedName>
    <definedName name="_xlchart.v5.6" hidden="1">Sheet8!$F$4:$F$49</definedName>
    <definedName name="Slicer_Year">#N/A</definedName>
    <definedName name="Year">'Excel Capstone Raw Data'!$C:$C</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D21" i="4" l="1"/>
  <c r="D20" i="4"/>
  <c r="D19" i="4"/>
  <c r="D18" i="4"/>
  <c r="D17" i="4"/>
  <c r="D16" i="4"/>
  <c r="D15" i="4"/>
  <c r="D14" i="4"/>
  <c r="D13" i="4"/>
  <c r="D12" i="4"/>
  <c r="D11" i="4"/>
  <c r="D10" i="4"/>
  <c r="D9" i="4"/>
  <c r="D8" i="4"/>
  <c r="D7" i="4"/>
  <c r="D6" i="4"/>
  <c r="D5" i="4"/>
  <c r="D4" i="4"/>
  <c r="A2" i="13"/>
  <c r="E21" i="4"/>
  <c r="E20" i="4"/>
  <c r="E19" i="4"/>
  <c r="E18" i="4"/>
  <c r="E17" i="4"/>
  <c r="E16" i="4"/>
  <c r="E15" i="4"/>
  <c r="E14" i="4"/>
  <c r="E13" i="4"/>
  <c r="E12" i="4"/>
  <c r="E11" i="4"/>
  <c r="E10" i="4"/>
  <c r="E9" i="4"/>
  <c r="E8" i="4"/>
  <c r="E7" i="4"/>
  <c r="E6" i="4"/>
  <c r="E5" i="4"/>
  <c r="E4" i="4"/>
  <c r="A2" i="12" l="1"/>
  <c r="A2" i="14"/>
  <c r="C25" i="4" l="1"/>
  <c r="C3" i="1" l="1"/>
  <c r="C4" i="1"/>
  <c r="C680" i="1"/>
  <c r="C2"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alcChain>
</file>

<file path=xl/sharedStrings.xml><?xml version="1.0" encoding="utf-8"?>
<sst xmlns="http://schemas.openxmlformats.org/spreadsheetml/2006/main" count="7970" uniqueCount="1356">
  <si>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</si>
  <si>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</si>
  <si>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</si>
  <si>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</si>
  <si>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</si>
  <si>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</si>
  <si>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</si>
  <si>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</si>
  <si>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</si>
  <si>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</si>
  <si>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</si>
  <si>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</si>
  <si>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</si>
  <si>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</si>
  <si>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</si>
  <si>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</si>
  <si>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</si>
  <si>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</si>
  <si>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</si>
  <si>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</si>
  <si>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</si>
  <si>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</si>
  <si>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</si>
  <si>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</si>
  <si>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</si>
  <si>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</si>
  <si>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</si>
  <si>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</si>
  <si>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</si>
  <si>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</si>
  <si>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</si>
  <si>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</si>
  <si>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</si>
  <si>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</si>
  <si>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</si>
  <si>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</si>
  <si>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</si>
  <si>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</si>
  <si>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</si>
  <si>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</si>
  <si>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</si>
  <si>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</si>
  <si>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</si>
  <si>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Vivek Sundaresam</t>
  </si>
  <si>
    <t>Furnishings</t>
  </si>
  <si>
    <t>Howard Miller 14-1/2" Diameter Chrome Round Wall Clock</t>
  </si>
  <si>
    <t>Melanie Seite</t>
  </si>
  <si>
    <t>Newell 312</t>
  </si>
  <si>
    <t>Accessories</t>
  </si>
  <si>
    <t>Memorex Micro Travel Drive 8 GB</t>
  </si>
  <si>
    <t>Anthony Jacobs</t>
  </si>
  <si>
    <t>Virginia</t>
  </si>
  <si>
    <t>Avery 482</t>
  </si>
  <si>
    <t>Seth Vernon</t>
  </si>
  <si>
    <t>Delaware</t>
  </si>
  <si>
    <t>DAX Value U-Channel Document Frames, Easel Back</t>
  </si>
  <si>
    <t>Chris Selesnick</t>
  </si>
  <si>
    <t>Louisiana</t>
  </si>
  <si>
    <t>Envelopes</t>
  </si>
  <si>
    <t>Staple envelope</t>
  </si>
  <si>
    <t>Plantronics S12 Corded Telephone Headset System</t>
  </si>
  <si>
    <t>3-ring staple pack</t>
  </si>
  <si>
    <t>Natalie DeCherney</t>
  </si>
  <si>
    <t>South Carolina</t>
  </si>
  <si>
    <t>Brian Dahlen</t>
  </si>
  <si>
    <t>Bookcases</t>
  </si>
  <si>
    <t>O'Sullivan Elevations Bookcase, Cherry Finish</t>
  </si>
  <si>
    <t>Michael Moore</t>
  </si>
  <si>
    <t>Ohio</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</si>
  <si>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</si>
  <si>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</si>
  <si>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</si>
  <si>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</si>
  <si>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</si>
  <si>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</si>
  <si>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</si>
  <si>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</si>
  <si>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</si>
  <si>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David Wiener</t>
  </si>
  <si>
    <t>Oregon</t>
  </si>
  <si>
    <t>Appliances</t>
  </si>
  <si>
    <t>Fellowes Mighty 8 Compact Surge Protector</t>
  </si>
  <si>
    <t>Toby Swindell</t>
  </si>
  <si>
    <t>Arizona</t>
  </si>
  <si>
    <t>GBC Standard Recycled Report Covers, Clear Plastic Sheets</t>
  </si>
  <si>
    <t>Tyvek  Top-Opening Peel &amp; Seel Envelopes, Plain White</t>
  </si>
  <si>
    <t>Hunter Lopez</t>
  </si>
  <si>
    <t>Arkansas</t>
  </si>
  <si>
    <t>Apple iPhone 5C</t>
  </si>
  <si>
    <t>Eldon Expressions Desk Accessory, Wood Pencil Holder, Oak</t>
  </si>
  <si>
    <t>Hon 4700 Series Mobuis Mid-Back Task Chairs with Adjustable Arms</t>
  </si>
  <si>
    <t>Mark Van Huff</t>
  </si>
  <si>
    <t>Wirebound Service Call Books, 5 1/2" x 4"</t>
  </si>
  <si>
    <t>Xylona Preis</t>
  </si>
  <si>
    <t>Michigan</t>
  </si>
  <si>
    <t>Eldon ClusterMat Chair Mat with Cordless Antistatic Protection</t>
  </si>
  <si>
    <t>Holmes Replacement Filter for HEPA Air Cleaner, Very Large Room, HEPA Filter</t>
  </si>
  <si>
    <t>Storex Dura Pro Binders</t>
  </si>
  <si>
    <t>Tennessee</t>
  </si>
  <si>
    <t>GBC DocuBind TL200 Manual Binding Machine</t>
  </si>
  <si>
    <t>Tom Boeckenhauer</t>
  </si>
  <si>
    <t>Florida</t>
  </si>
  <si>
    <t>Ultra Door Pull Handle</t>
  </si>
  <si>
    <t>Ionia McGrath</t>
  </si>
  <si>
    <t>Nevada</t>
  </si>
  <si>
    <t>Xerox 195</t>
  </si>
  <si>
    <t>Speros Goranitis</t>
  </si>
  <si>
    <t>Indiana</t>
  </si>
  <si>
    <t>Shirley Daniels</t>
  </si>
  <si>
    <t>GE General Use Halogen Bulbs, 100 Watts, 1 Bulb per Pack</t>
  </si>
  <si>
    <t>SAFCO Commercial Wire Shelving, 72h</t>
  </si>
  <si>
    <t>Macally Suction Cup Mount</t>
  </si>
  <si>
    <t>Jabra SPEAK 410</t>
  </si>
  <si>
    <t>South Dakota</t>
  </si>
  <si>
    <t>Wilson Jones 14 Line Acrylic Coated Pressboard Data Binders</t>
  </si>
  <si>
    <t>Safco Value Mate Series Steel Bookcases, Baked Enamel Finish on Steel, Gray</t>
  </si>
  <si>
    <t>Ed Jacobs</t>
  </si>
  <si>
    <t>Recycled Steel Personal File for Hanging File Folders</t>
  </si>
  <si>
    <t>Tables</t>
  </si>
  <si>
    <t>Jasper Cacioppo</t>
  </si>
  <si>
    <t>New York</t>
  </si>
  <si>
    <t>Pressboard Covers with Storage Hooks, 9 1/2" x 11", Light Blue</t>
  </si>
  <si>
    <t>Mike Vittorini</t>
  </si>
  <si>
    <t>Xerox 1972</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</si>
  <si>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</si>
  <si>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</si>
  <si>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</si>
  <si>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</si>
  <si>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</si>
  <si>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</si>
  <si>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</si>
  <si>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</si>
  <si>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</si>
  <si>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</si>
  <si>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</si>
  <si>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</si>
  <si>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Deborah Brumfield</t>
  </si>
  <si>
    <t>GBC Recycled Grain Textured Covers</t>
  </si>
  <si>
    <t>Neil Ducich</t>
  </si>
  <si>
    <t>Avery 480</t>
  </si>
  <si>
    <t>Aastra 57i VoIP phone</t>
  </si>
  <si>
    <t>Cyma Kinney</t>
  </si>
  <si>
    <t>New Jersey</t>
  </si>
  <si>
    <t>Maxell DVD-RAM Discs</t>
  </si>
  <si>
    <t>Nathan Mautz</t>
  </si>
  <si>
    <t>Master Caster Door Stop, Large Brown</t>
  </si>
  <si>
    <t>Natalie Fritzler</t>
  </si>
  <si>
    <t>Guy Armstrong</t>
  </si>
  <si>
    <t>Missouri</t>
  </si>
  <si>
    <t>Global Value Mid-Back Manager's Chair, Gray</t>
  </si>
  <si>
    <t>Avery 483</t>
  </si>
  <si>
    <t>Wilson Jones Turn Tabs Binder Tool for Ring Binders</t>
  </si>
  <si>
    <t>Rubbermaid ClusterMat Chairmats, Mat Size- 66" x 60", Lip 20" x 11" -90 Degree Angle</t>
  </si>
  <si>
    <t>Sanjit Chand</t>
  </si>
  <si>
    <t>Global Geo Office Task Chair, Gray</t>
  </si>
  <si>
    <t>Shui Tom</t>
  </si>
  <si>
    <t>Memo Book, 100 Message Capacity, 5 3/8 x 11</t>
  </si>
  <si>
    <t>Belkin 8 Outlet Surge Protector</t>
  </si>
  <si>
    <t>Supplies</t>
  </si>
  <si>
    <t>Compact Automatic Electric Letter Opener</t>
  </si>
  <si>
    <t>Barry Französisch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</si>
  <si>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</si>
  <si>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</si>
  <si>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</si>
  <si>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</si>
  <si>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</si>
  <si>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</si>
  <si>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</si>
  <si>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</si>
  <si>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Linda Cazamias</t>
  </si>
  <si>
    <t>Enermax Briskie RF Wireless Keyboard and Mouse Combo</t>
  </si>
  <si>
    <t>Master Caster Door Stop, Brown</t>
  </si>
  <si>
    <t>Steven Roelle</t>
  </si>
  <si>
    <t>Tamara Manning</t>
  </si>
  <si>
    <t>Sue Ann Reed</t>
  </si>
  <si>
    <t>Michael Grace</t>
  </si>
  <si>
    <t>Staple-on labels</t>
  </si>
  <si>
    <t>GBC Plastic Binding Combs</t>
  </si>
  <si>
    <t>Joy Smith</t>
  </si>
  <si>
    <t>Zebra Zazzle Fluorescent Highlighters</t>
  </si>
  <si>
    <t>Dave Brooks</t>
  </si>
  <si>
    <t>Novimex Swivel Fabric Task Chair</t>
  </si>
  <si>
    <t>Harbour Creations Steel Folding Chair</t>
  </si>
  <si>
    <t>Giulietta Weimer</t>
  </si>
  <si>
    <t>Kristina Nunn</t>
  </si>
  <si>
    <t>Array Parchment Paper, Assorted Colors</t>
  </si>
  <si>
    <t>Nicole Hansen</t>
  </si>
  <si>
    <t>North Carolina</t>
  </si>
  <si>
    <t>Jill Stevenson</t>
  </si>
  <si>
    <t>Sam Craven</t>
  </si>
  <si>
    <t>Clay Ludtke</t>
  </si>
  <si>
    <t>Sensible Storage WireTech Storage Systems</t>
  </si>
  <si>
    <t>Aimee Bixby</t>
  </si>
  <si>
    <t>Newell 345</t>
  </si>
  <si>
    <t>Global Push Button Manager's Chair, Indigo</t>
  </si>
  <si>
    <t>Carina 42"Hx23 3/4"W Media Storage Unit</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</si>
  <si>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</si>
  <si>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</si>
  <si>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</si>
  <si>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</si>
  <si>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</si>
  <si>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</si>
  <si>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</si>
  <si>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</si>
  <si>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Filia McAdams</t>
  </si>
  <si>
    <t>Fellowes Premier Superior Surge Suppressor, 10-Outlet, With Phone and Remote</t>
  </si>
  <si>
    <t>Panasonic KX-TG9471B</t>
  </si>
  <si>
    <t>Richard Bierner</t>
  </si>
  <si>
    <t>Dean Katz</t>
  </si>
  <si>
    <t>Christine Kargatis</t>
  </si>
  <si>
    <t>Global Commerce Series High-Back Swivel/Tilt Chairs</t>
  </si>
  <si>
    <t>Utah</t>
  </si>
  <si>
    <t>Carina Double Wide Media Storage Towers in Natural &amp; Black</t>
  </si>
  <si>
    <t>Rick Bensley</t>
  </si>
  <si>
    <t>Machines</t>
  </si>
  <si>
    <t>Hewlett-Packard Deskjet 6540 Color Inkjet Printer</t>
  </si>
  <si>
    <t>Alan Shonely</t>
  </si>
  <si>
    <t>Hot File 7-Pocket, Floor Stand</t>
  </si>
  <si>
    <t>Insertable Tab Post Binder Dividers</t>
  </si>
  <si>
    <t>Polycom VoiceStation 500 Conference phone</t>
  </si>
  <si>
    <t>Bradley Nguyen</t>
  </si>
  <si>
    <t>Minnesota</t>
  </si>
  <si>
    <t>Bionaire Personal Warm Mist Humidifier/Vaporizer</t>
  </si>
  <si>
    <t>Avery Non-Stick Heavy Duty View Round Locking Ring Binders</t>
  </si>
  <si>
    <t>Christine Phan</t>
  </si>
  <si>
    <t>Balt Solid Wood Round Tables</t>
  </si>
  <si>
    <t>Annie Zypern</t>
  </si>
  <si>
    <t>Mississippi</t>
  </si>
  <si>
    <t>GBC Twin Loop Wire Binding Elements, 9/16" Spine, Black</t>
  </si>
  <si>
    <t>Belkin 6 Outlet Metallic Surge Strip</t>
  </si>
  <si>
    <t>Xerox 1909</t>
  </si>
  <si>
    <t>Sean Miller</t>
  </si>
  <si>
    <t>Executive Impressions 13" Clairmont Wall Clock</t>
  </si>
  <si>
    <t>Dana Fluorescent Magnifying Lamp, White, 36"</t>
  </si>
  <si>
    <t>Sample Company A</t>
  </si>
  <si>
    <t>Matt Connell</t>
  </si>
  <si>
    <t>Cisco 8x8 Inc. 6753i IP Business Phone System</t>
  </si>
  <si>
    <t>Avery 501</t>
  </si>
  <si>
    <t>Cassandra Brandow</t>
  </si>
  <si>
    <t>Binney &amp; Smith Crayola Metallic Colored Pencils, 8-Color Set</t>
  </si>
  <si>
    <t>Thomas Seio</t>
  </si>
  <si>
    <t>Kristen Hastings</t>
  </si>
  <si>
    <t>American Pencil</t>
  </si>
  <si>
    <t>Gary McGarr</t>
  </si>
  <si>
    <t>Avery 505</t>
  </si>
  <si>
    <t>Craig Carroll</t>
  </si>
  <si>
    <t>C-Line Peel &amp; Stick Add-On Filing Pockets, 8-3/4 x 5-1/8, 10/Pack</t>
  </si>
  <si>
    <t>Office Star - Mesh Screen back chair with Vinyl seat</t>
  </si>
  <si>
    <t>Patrick O'Donnell</t>
  </si>
  <si>
    <t>Economy Rollaway Files</t>
  </si>
  <si>
    <t>Ooma Telo VoIP Home Phone System</t>
  </si>
  <si>
    <t>Avery 476</t>
  </si>
  <si>
    <t>Carlos Daly</t>
  </si>
  <si>
    <t>Xerox 190</t>
  </si>
  <si>
    <t>Maurice Satty</t>
  </si>
  <si>
    <t>Iceberg Nesting Folding Chair, 19w x 6d x 43h</t>
  </si>
  <si>
    <t>Christina Anderson</t>
  </si>
  <si>
    <t>Jonathan Doherty</t>
  </si>
  <si>
    <t>SanDisk Ultra 32 GB MicroSDHC Class 10 Memory Card</t>
  </si>
  <si>
    <t>Damala Kotsonis</t>
  </si>
  <si>
    <t>Cindy Stewart</t>
  </si>
  <si>
    <t>Christina VanderZanden</t>
  </si>
  <si>
    <t>Iowa</t>
  </si>
  <si>
    <t>Poly String Tie Envelopes</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</si>
  <si>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</si>
  <si>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</si>
  <si>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</si>
  <si>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</si>
  <si>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</si>
  <si>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</si>
  <si>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</si>
  <si>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</si>
  <si>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</si>
  <si>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Avery 490</t>
  </si>
  <si>
    <t>Mark Packer</t>
  </si>
  <si>
    <t>Innergie mMini Combo Duo USB Travel Charging Kit</t>
  </si>
  <si>
    <t>Global Stack Chair without Arms, Black</t>
  </si>
  <si>
    <t>Nat Carroll</t>
  </si>
  <si>
    <t>Alex Avila</t>
  </si>
  <si>
    <t>GBC DocuBind 200 Manual Binding Machine</t>
  </si>
  <si>
    <t>Jas O'Carroll</t>
  </si>
  <si>
    <t>Fellowes Black Plastic Comb Bindings</t>
  </si>
  <si>
    <t>Karen Bern</t>
  </si>
  <si>
    <t>Avery Hole Reinforcements</t>
  </si>
  <si>
    <t>Trudy Glocke</t>
  </si>
  <si>
    <t>Global Leather Highback Executive Chair with Pneumatic Height Adjustment, Black</t>
  </si>
  <si>
    <t>Katharine Harms</t>
  </si>
  <si>
    <t>Massachusetts</t>
  </si>
  <si>
    <t>Rogers Profile Extra Capacity Storage Tub</t>
  </si>
  <si>
    <t>Zipper Ring Binder Pockets</t>
  </si>
  <si>
    <t>Rob Dowd</t>
  </si>
  <si>
    <t>Xerox 1990</t>
  </si>
  <si>
    <t>Xerox 1898</t>
  </si>
  <si>
    <t>Anna Häberlin</t>
  </si>
  <si>
    <t>Katrina Edelman</t>
  </si>
  <si>
    <t>Paul Knutson</t>
  </si>
  <si>
    <t>Avery 518</t>
  </si>
  <si>
    <t>Advantus Panel Wall Acrylic Frame</t>
  </si>
  <si>
    <t>Mary Zewe</t>
  </si>
  <si>
    <t>Avery Non-Stick Binders</t>
  </si>
  <si>
    <t>Ken Black</t>
  </si>
  <si>
    <t>Tracy Hopkins</t>
  </si>
  <si>
    <t>Eaton Premium Continuous-Feed Paper, 25% Cotton, Letter Size, White, 1000 Shts/Box</t>
  </si>
  <si>
    <t>Greg Maxwell</t>
  </si>
  <si>
    <t>Crayola Colored Pencils</t>
  </si>
  <si>
    <t>John Grady</t>
  </si>
  <si>
    <t>Adjustable Personal File Tote</t>
  </si>
  <si>
    <t>Ruben Dartt</t>
  </si>
  <si>
    <t>Stanley Contemporary Battery Pencil Sharpeners</t>
  </si>
  <si>
    <t>Roy Phan</t>
  </si>
  <si>
    <t>Guy Phonely</t>
  </si>
  <si>
    <t>Large Capacity Hanging Post Binders</t>
  </si>
  <si>
    <t>Martin-Yale Premier Letter Opener</t>
  </si>
  <si>
    <t>KI Adjustable-Height Table</t>
  </si>
  <si>
    <t>Scott Cohen</t>
  </si>
  <si>
    <t>Kingston Digital DataTraveler 32GB USB 2.0</t>
  </si>
  <si>
    <t>C-Line Cubicle Keepers Polyproplyene Holder With Velcro Backings</t>
  </si>
  <si>
    <t>Xerox 211</t>
  </si>
  <si>
    <t>Xerox 194</t>
  </si>
  <si>
    <t>Pauline Johnson</t>
  </si>
  <si>
    <t>Alabama</t>
  </si>
  <si>
    <t>Stacking Tray, Side-Loading, Legal, Smoke</t>
  </si>
  <si>
    <t>Xerox 1945</t>
  </si>
  <si>
    <t>Valerie Mitchum</t>
  </si>
  <si>
    <t>Jim Mitchum</t>
  </si>
  <si>
    <t>Binder Clips by OIC</t>
  </si>
  <si>
    <t>Ruben Ausman</t>
  </si>
  <si>
    <t>SAFCO PlanMaster Boards, 60w x 37-1/2d, White Melamine</t>
  </si>
  <si>
    <t>Pauline Chand</t>
  </si>
  <si>
    <t>Bevis 36 x 72 Conference Tables</t>
  </si>
  <si>
    <t>John Stevenson</t>
  </si>
  <si>
    <t>Jay Kimmel</t>
  </si>
  <si>
    <t>Acco Banker's Clasps, 5 3/4"-Long</t>
  </si>
  <si>
    <t>Xerox 224</t>
  </si>
  <si>
    <t>Idaho</t>
  </si>
  <si>
    <t>GBC Personal VeloBind Strips</t>
  </si>
  <si>
    <t>Gary Mitchum</t>
  </si>
  <si>
    <t>Montana</t>
  </si>
  <si>
    <t>Kean Nguyen</t>
  </si>
  <si>
    <t>Pyle PMP37LED</t>
  </si>
  <si>
    <t>AT&amp;T 1080 Corded phone</t>
  </si>
  <si>
    <t>Newell 314</t>
  </si>
  <si>
    <t>Fellowes PB200 Plastic Comb Binding Machine</t>
  </si>
  <si>
    <t>Ben Ferrer</t>
  </si>
  <si>
    <t>Maryland</t>
  </si>
  <si>
    <t>Paul Stevenson</t>
  </si>
  <si>
    <t>Belkin F9G930V10-GRY 9 Outlet Surge</t>
  </si>
  <si>
    <t>Howard Miller 13" Diameter Goldtone Round Wall Clock</t>
  </si>
  <si>
    <t>Stephanie Phelps</t>
  </si>
  <si>
    <t>John Lee</t>
  </si>
  <si>
    <t>Ativa MDM8000 8-Sheet Micro-Cut Shredder</t>
  </si>
  <si>
    <t>Prang Dustless Chalk Sticks</t>
  </si>
  <si>
    <t>DMI Arturo Collection Mission-style Design Wood Chair</t>
  </si>
  <si>
    <t>Cameo Buff Policy Envelopes</t>
  </si>
  <si>
    <t>Nicole Fjeld</t>
  </si>
  <si>
    <t>Executive Impressions 13" Chairman Wall Clock</t>
  </si>
  <si>
    <t>Allen Goldenen</t>
  </si>
  <si>
    <t>GBC Durable Plastic Covers</t>
  </si>
  <si>
    <t>Bush Advantage Collection Round Conference Table</t>
  </si>
  <si>
    <t>Allen Armold</t>
  </si>
  <si>
    <t>SAFCO Commercial Wire Shelving, Black</t>
  </si>
  <si>
    <t>Aaron Hawkins</t>
  </si>
  <si>
    <t>ACCOHIDE 3-Ring Binder, Blue, 1"</t>
  </si>
  <si>
    <t>Theresa Swint</t>
  </si>
  <si>
    <t>Wilson Jones Suede Grain Vinyl Binders</t>
  </si>
  <si>
    <t>G.E. Halogen Desk Lamp Bulbs</t>
  </si>
  <si>
    <t>Dianna Arnett</t>
  </si>
  <si>
    <t>Xerox 1985</t>
  </si>
  <si>
    <t>Aleksandra Gannaway</t>
  </si>
  <si>
    <t>Bevis Steel Folding Chairs</t>
  </si>
  <si>
    <t>Muhammed Yedwab</t>
  </si>
  <si>
    <t>Acco Data Flex Cable Posts For Top &amp; Bottom Load Binders, 6" Capacity</t>
  </si>
  <si>
    <t>Blackstonian Pencils</t>
  </si>
  <si>
    <t>Avery 488</t>
  </si>
  <si>
    <t>George Bell</t>
  </si>
  <si>
    <t>X-Rack File for Hanging Folders</t>
  </si>
  <si>
    <t>Arianne Irving</t>
  </si>
  <si>
    <t>Samsung Galaxy Mega 6.3</t>
  </si>
  <si>
    <t>David Smith</t>
  </si>
  <si>
    <t>Lauren Leatherbury</t>
  </si>
  <si>
    <t>Dax Clear Box Frame</t>
  </si>
  <si>
    <t>Laura Armstrong</t>
  </si>
  <si>
    <t>2300 Heavy-Duty Transfer File Systems by Perma</t>
  </si>
  <si>
    <t>Katherine Hughes</t>
  </si>
  <si>
    <t>Maxell 4.7GB DVD-RW 3/Pack</t>
  </si>
  <si>
    <t>Justin MacKendrick</t>
  </si>
  <si>
    <t>Andrew Roberts</t>
  </si>
  <si>
    <t>Cari Schnelling</t>
  </si>
  <si>
    <t>Copiers</t>
  </si>
  <si>
    <t>Joni Sundaresam</t>
  </si>
  <si>
    <t>Avery 481</t>
  </si>
  <si>
    <t>Avery Durable Plastic 1" Binders</t>
  </si>
  <si>
    <t>Paul MacIntyre</t>
  </si>
  <si>
    <t>Fellowes Binding Cases</t>
  </si>
  <si>
    <t>Connecticut</t>
  </si>
  <si>
    <t>Eldon Regeneration Recycled Desk Accessories, Smoke</t>
  </si>
  <si>
    <t>Holmes Odor Grabber</t>
  </si>
  <si>
    <t>Peter Fuller</t>
  </si>
  <si>
    <t>Adams "While You Were Out" Message Pads</t>
  </si>
  <si>
    <t>Newell 350</t>
  </si>
  <si>
    <t>Emily Burns</t>
  </si>
  <si>
    <t>Eldon Portable Mobile Manager</t>
  </si>
  <si>
    <t>Easy-staple paper</t>
  </si>
  <si>
    <t>Harold Pawlan</t>
  </si>
  <si>
    <t>Wilson Jones Legal Size Ring Binders</t>
  </si>
  <si>
    <t>Steve Nguyen</t>
  </si>
  <si>
    <t>Model L Table or Wall-Mount Pencil Sharpener</t>
  </si>
  <si>
    <t>Carol Triggs</t>
  </si>
  <si>
    <t>Acco PRESSTEX Data Binder with Storage Hooks, Dark Blue, 14 7/8" X 11"</t>
  </si>
  <si>
    <t>Lifetime Advantage Folding Chairs, 4/Carton</t>
  </si>
  <si>
    <t>Hewlett Packard LaserJet 3310 Copier</t>
  </si>
  <si>
    <t>Patrick Gardner</t>
  </si>
  <si>
    <t>Sean Braxton</t>
  </si>
  <si>
    <t>Fellowes Super Stor/Drawer</t>
  </si>
  <si>
    <t>Avery 506</t>
  </si>
  <si>
    <t>Strathmore #10 Envelopes, Ultimate White</t>
  </si>
  <si>
    <t>LF Elite 3D Dazzle Designer Hard Case Cover, Lf Stylus Pen and Wiper For Apple Iphone 5c Mini Lite</t>
  </si>
  <si>
    <t>Paul Gonzalez</t>
  </si>
  <si>
    <t>SanDisk Cruzer 64 GB USB Flash Drive</t>
  </si>
  <si>
    <t>Deflect-o EconoMat Studded, No Bevel Mat for Low Pile Carpeting</t>
  </si>
  <si>
    <t>Logitech ClearChat Comfort/USB Headset H390</t>
  </si>
  <si>
    <t>Staple holder</t>
  </si>
  <si>
    <t>Victoria Wilson</t>
  </si>
  <si>
    <t>Hon Multipurpose Stacking Arm Chairs</t>
  </si>
  <si>
    <t>Alejandro Grove</t>
  </si>
  <si>
    <t>GBC DocuBind P100 Manual Binding Machine</t>
  </si>
  <si>
    <t>Naresj Patel</t>
  </si>
  <si>
    <t>Plantronics Audio 478 Stereo USB Headset</t>
  </si>
  <si>
    <t>Anthony Johnson</t>
  </si>
  <si>
    <t>Electrix Halogen Magnifier Lamp</t>
  </si>
  <si>
    <t>Imation Clip USB flash drive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</si>
  <si>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</si>
  <si>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</si>
  <si>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</si>
  <si>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</si>
  <si>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</si>
  <si>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</si>
  <si>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</si>
  <si>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</si>
  <si>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</si>
  <si>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</si>
  <si>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</si>
  <si>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</si>
  <si>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</si>
  <si>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24-Hour Round Wall Clock</t>
  </si>
  <si>
    <t>SanDisk Ultra 16 GB MicroSDHC Class 10 Memory Card</t>
  </si>
  <si>
    <t>Mitch Willingham</t>
  </si>
  <si>
    <t>Fellowes PB300 Plastic Comb Binding Machine</t>
  </si>
  <si>
    <t>Frank Gastineau</t>
  </si>
  <si>
    <t>GBC ProClick Punch Binding System</t>
  </si>
  <si>
    <t>Global Deluxe Steno Chair</t>
  </si>
  <si>
    <t>Ibico Plastic Spiral Binding Combs</t>
  </si>
  <si>
    <t>Evan Henry</t>
  </si>
  <si>
    <t>Nortel Networks T7316 E Nt8 B27</t>
  </si>
  <si>
    <t>Angle-D Ring Binders</t>
  </si>
  <si>
    <t>Motorola L804</t>
  </si>
  <si>
    <t>Xerox 1999</t>
  </si>
  <si>
    <t>Resi Pölking</t>
  </si>
  <si>
    <t>Xerox 1944</t>
  </si>
  <si>
    <t>Janet Lee</t>
  </si>
  <si>
    <t>Harmony Air Purifier</t>
  </si>
  <si>
    <t>Strathmore Photo Frame Cards</t>
  </si>
  <si>
    <t>Sauder Inglewood Library Bookcases</t>
  </si>
  <si>
    <t>Hon Olson Stacker Stools</t>
  </si>
  <si>
    <t>Dean percer</t>
  </si>
  <si>
    <t>Maya Herman</t>
  </si>
  <si>
    <t>KI Conference Tables</t>
  </si>
  <si>
    <t>Fellowes Officeware Wire Shelving</t>
  </si>
  <si>
    <t>Laurel Elliston</t>
  </si>
  <si>
    <t>Patrick Jones</t>
  </si>
  <si>
    <t>I Need's 3d Hello Kitty Hybrid Silicone Case Cover for HTC One X 4g with 3d Hello Kitty Stylus Pen Green/pink</t>
  </si>
  <si>
    <t>Ellis Ballard</t>
  </si>
  <si>
    <t>Ampad Poly Cover Wirebound Steno Book, 6" x 9" Assorted Colors, Gregg Ruled</t>
  </si>
  <si>
    <t>Chromcraft Rectangular Conference Tables</t>
  </si>
  <si>
    <t>Honeywell Quietcare HEPA Air Cleaner</t>
  </si>
  <si>
    <t>Jim Karlsson</t>
  </si>
  <si>
    <t>Samsung Galaxy Note 3</t>
  </si>
  <si>
    <t>Dianna Wilson</t>
  </si>
  <si>
    <t>Honeywell Enviracaire Portable HEPA Air Cleaner for 17' x 22' Room</t>
  </si>
  <si>
    <t>Xerox 205</t>
  </si>
  <si>
    <t>Liz Thompson</t>
  </si>
  <si>
    <t>Wilson Jones Heavy-Duty Casebound Ring Binders with Metal Hinges</t>
  </si>
  <si>
    <t>Acco 6 Outlet Guardian Premium Surge Suppressor</t>
  </si>
  <si>
    <t>GBC Standard Therm-A-Bind Covers</t>
  </si>
  <si>
    <t>Steven Cartwright</t>
  </si>
  <si>
    <t>Ross Baird</t>
  </si>
  <si>
    <t>Bobby Trafton</t>
  </si>
  <si>
    <t>O'Sullivan Living Dimensions 5-Shelf Bookcases</t>
  </si>
  <si>
    <t>Bryan Mills</t>
  </si>
  <si>
    <t>Sanford Liquid Accent Highlighters</t>
  </si>
  <si>
    <t>Grant Thornton</t>
  </si>
  <si>
    <t>Wilson Jones Century Plastic Molded Ring Binders</t>
  </si>
  <si>
    <t>Bart Pistole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</si>
  <si>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</si>
  <si>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</si>
  <si>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</si>
  <si>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</si>
  <si>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</si>
  <si>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</si>
  <si>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</si>
  <si>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DXL Angle-View Binders with Locking Rings by Samsill</t>
  </si>
  <si>
    <t>Belkin F5C206VTEL 6 Outlet Surge</t>
  </si>
  <si>
    <t>Carl Weiss</t>
  </si>
  <si>
    <t>Boston 1645 Deluxe Heavier-Duty Electric Pencil Sharpener</t>
  </si>
  <si>
    <t>Staple remover</t>
  </si>
  <si>
    <t>Bevis 44 x 96 Conference Tables</t>
  </si>
  <si>
    <t>Heather Kirkland</t>
  </si>
  <si>
    <t>Dot Matrix Printer Tape Reel Labels, White, 5000/Box</t>
  </si>
  <si>
    <t>Sharelle Roach</t>
  </si>
  <si>
    <t>Hon Metal Bookcases, Gray</t>
  </si>
  <si>
    <t>Kelly Lampkin</t>
  </si>
  <si>
    <t>Lesro Sheffield Collection Coffee Table, End Table, Center Table, Corner Table</t>
  </si>
  <si>
    <t>Duane Benoit</t>
  </si>
  <si>
    <t>Texas Instruments TI-34 Scientific Calculator</t>
  </si>
  <si>
    <t>Mick Crebagga</t>
  </si>
  <si>
    <t>Plantronics Cordless Phone Headset with In-line Volume - M214C</t>
  </si>
  <si>
    <t>HTC One Mini</t>
  </si>
  <si>
    <t>Corey-Lock</t>
  </si>
  <si>
    <t>Oklahoma</t>
  </si>
  <si>
    <t>Luxo Professional Magnifying Clamp-On Fluorescent Lamps</t>
  </si>
  <si>
    <t>Recycled Eldon Regeneration Jumbo File</t>
  </si>
  <si>
    <t>Newell 341</t>
  </si>
  <si>
    <t>Avery Trapezoid Extra Heavy Duty 4" Binders</t>
  </si>
  <si>
    <t>Toby Braunhardt</t>
  </si>
  <si>
    <t>Joel Eaton</t>
  </si>
  <si>
    <t>KeyTronic 6101 Series - Keyboard - Black</t>
  </si>
  <si>
    <t>Dianna Vittorini</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</si>
  <si>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</si>
  <si>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</si>
  <si>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</si>
  <si>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</si>
  <si>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</si>
  <si>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</si>
  <si>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</si>
  <si>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Prang Drawing Pencil Set</t>
  </si>
  <si>
    <t>Liz Pelletier</t>
  </si>
  <si>
    <t>Acrylic Self-Standing Desk Frames</t>
  </si>
  <si>
    <t>Noel Staavos</t>
  </si>
  <si>
    <t>Hon 4060 Series Tables</t>
  </si>
  <si>
    <t>Grace Kelly</t>
  </si>
  <si>
    <t>Liz MacKendrick</t>
  </si>
  <si>
    <t>Cynthia Arntzen</t>
  </si>
  <si>
    <t>Xerox 1995</t>
  </si>
  <si>
    <t>Dan Lawera</t>
  </si>
  <si>
    <t>Dixon My First Ticonderoga Pencil, #2</t>
  </si>
  <si>
    <t>Helen Abelman</t>
  </si>
  <si>
    <t>GBC Recycled Regency Composition Covers</t>
  </si>
  <si>
    <t>Russell Applegate</t>
  </si>
  <si>
    <t>Michael Stewart</t>
  </si>
  <si>
    <t>Sanford Uni-Blazer View Highlighters, Chisel Tip, Yellow</t>
  </si>
  <si>
    <t>Cardinal Holdit Business Card Pockets</t>
  </si>
  <si>
    <t>Wilson SignalBoost 841262 DB PRO Amplifier Kit</t>
  </si>
  <si>
    <t>Avery Durable Binders</t>
  </si>
  <si>
    <t>Eric Hoffmann</t>
  </si>
  <si>
    <t>Logitech B530 USB Headset - headset - Full size, Binaural</t>
  </si>
  <si>
    <t>Maxwell Schwartz</t>
  </si>
  <si>
    <t>Michael Chen</t>
  </si>
  <si>
    <t>NETGEAR AC1750 Dual Band Gigabit Smart WiFi Router</t>
  </si>
  <si>
    <t>Dan Campbell</t>
  </si>
  <si>
    <t>Gould Plastics 18-Pocket Panel Bin, 34w x 5-1/4d x 20-1/2h</t>
  </si>
  <si>
    <t>Fellowes Bankers Box Stor/Drawer Steel Plus</t>
  </si>
  <si>
    <t>Dennis Pardue</t>
  </si>
  <si>
    <t>Vinyl Sectional Post Binders</t>
  </si>
  <si>
    <t>Emily Phan</t>
  </si>
  <si>
    <t>Canon Imageclass D680 Copier / Fax</t>
  </si>
  <si>
    <t>Global High-Back Leather Tilter, Burgundy</t>
  </si>
  <si>
    <t>Michelle Huthwaite</t>
  </si>
  <si>
    <t>Ed Braxton</t>
  </si>
  <si>
    <t>Brian Moss</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</si>
  <si>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</si>
  <si>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</si>
  <si>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</si>
  <si>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</si>
  <si>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</si>
  <si>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</si>
  <si>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</si>
  <si>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</si>
  <si>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</si>
  <si>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Mark Hamilton</t>
  </si>
  <si>
    <t>Alyssa Crouse</t>
  </si>
  <si>
    <t>Tuff Stuff Recycled Round Ring Binders</t>
  </si>
  <si>
    <t>Max Engle</t>
  </si>
  <si>
    <t>Paul Van Hugh</t>
  </si>
  <si>
    <t>Hon Deluxe Fabric Upholstered Stacking Chairs</t>
  </si>
  <si>
    <t>Fluorescent Highlighters by Dixon</t>
  </si>
  <si>
    <t>Bevis Round Conference Table Top &amp; Single Column Base</t>
  </si>
  <si>
    <t>Arthur Wiediger</t>
  </si>
  <si>
    <t>Acco D-Ring Binder w/DublLock</t>
  </si>
  <si>
    <t>Philip Brown</t>
  </si>
  <si>
    <t>Belkin 7 Outlet SurgeMaster II</t>
  </si>
  <si>
    <t>Barbara Fisher</t>
  </si>
  <si>
    <t>Maxell 4.7GB DVD-R 5/Pack</t>
  </si>
  <si>
    <t>Advantus Push Pins</t>
  </si>
  <si>
    <t>Adrian Hane</t>
  </si>
  <si>
    <t>Office Star - Ergonomically Designed Knee Chair</t>
  </si>
  <si>
    <t>Christine Abelman</t>
  </si>
  <si>
    <t>Avery 3 1/2" Diskette Storage Pages, 10/Pack</t>
  </si>
  <si>
    <t>Eugene Moren</t>
  </si>
  <si>
    <t>Acco Pressboard Covers with Storage Hooks, 14 7/8" x 11", Dark Blue</t>
  </si>
  <si>
    <t>Katherine Murray</t>
  </si>
  <si>
    <t>Letter Size Cart</t>
  </si>
  <si>
    <t>HON 5400 Series Task Chairs for Big and Tall</t>
  </si>
  <si>
    <t>Scot Wooten</t>
  </si>
  <si>
    <t>Charles Crestani</t>
  </si>
  <si>
    <t>Wilson Jones Custom Binder Spines &amp; Labels</t>
  </si>
  <si>
    <t>Xerox 1897</t>
  </si>
  <si>
    <t>Roger Demir</t>
  </si>
  <si>
    <t>Clear Mylar Reinforcing Strips</t>
  </si>
  <si>
    <t>Wirebound Message Books, Two 4 1/4" x 5" Forms per Page</t>
  </si>
  <si>
    <t>Maxell 74 Minute CD-R Spindle, 50/Pack</t>
  </si>
  <si>
    <t>Xerox 1965</t>
  </si>
  <si>
    <t>Michelle Ellison</t>
  </si>
  <si>
    <t>Newell 334</t>
  </si>
  <si>
    <t>Global Troy Executive Leather Low-Back Tilter</t>
  </si>
  <si>
    <t>Harry Marie</t>
  </si>
  <si>
    <t>Hon Every-Day Series Multi-Task Chairs</t>
  </si>
  <si>
    <t>Nebraska</t>
  </si>
  <si>
    <t>Erin Mull</t>
  </si>
  <si>
    <t>Premium Writing Pencils, Soft, #2 by Central Association for the Blind</t>
  </si>
  <si>
    <t>Newell 32</t>
  </si>
  <si>
    <t>John Lucas</t>
  </si>
  <si>
    <t>Arthur Gainer</t>
  </si>
  <si>
    <t>Newell 324</t>
  </si>
  <si>
    <t>Microsoft Natural Keyboard Elite</t>
  </si>
  <si>
    <t>Nick Crebassa</t>
  </si>
  <si>
    <t>Acme Softgrip Scissors</t>
  </si>
  <si>
    <t>Imation 8gb Micro Traveldrive Usb 2.0 Flash Drive</t>
  </si>
  <si>
    <t>Ken Lonsdale</t>
  </si>
  <si>
    <t>Fellowes Personal Hanging Folder Files, Navy</t>
  </si>
  <si>
    <t>Staple-based wall hangings</t>
  </si>
  <si>
    <t>Carl Ludwig</t>
  </si>
  <si>
    <t>Belkin 19" Vented Equipment Shelf, Black</t>
  </si>
  <si>
    <t>Apple iPhone 5S</t>
  </si>
  <si>
    <t>Hon 2090 Pillow Soft Series Mid Back Swivel/Tilt Chairs</t>
  </si>
  <si>
    <t>Sheri Gordon</t>
  </si>
  <si>
    <t>DAX Cubicle Frames, 8-1/2 x 11</t>
  </si>
  <si>
    <t>Luke Foster</t>
  </si>
  <si>
    <t>GBC Premium Transparent Covers with Diagonal Lined Pattern</t>
  </si>
  <si>
    <t>GBC Instant Index System for Binding Systems</t>
  </si>
  <si>
    <t>WD My Passport Ultra 2TB Portable External Hard Drive</t>
  </si>
  <si>
    <t>Aaron Smayling</t>
  </si>
  <si>
    <t>Barry Blumstein</t>
  </si>
  <si>
    <t>OIC Colored Binder Clips, Assorted Sizes</t>
  </si>
  <si>
    <t>Tom Stivers</t>
  </si>
  <si>
    <t>Rush Hierlooms Collection 1" Thick Stackable Bookcases</t>
  </si>
  <si>
    <t>Self-Adhesive Address Labels for Typewriters by Universal</t>
  </si>
  <si>
    <t>Nick Zandusky</t>
  </si>
  <si>
    <t>BoxOffice By Design Rectangular and Half-Moon Meeting Room Tables</t>
  </si>
  <si>
    <t>Acme Box Cutter Scissors</t>
  </si>
  <si>
    <t>Valerie Dominguez</t>
  </si>
  <si>
    <t>Hoover WindTunnel Plus Canister Vacuum</t>
  </si>
  <si>
    <t>Eureka The Boss Cordless Rechargeable Stick Vac</t>
  </si>
  <si>
    <t>Maxell 4.7GB DVD-R</t>
  </si>
  <si>
    <t>Chad Sievert</t>
  </si>
  <si>
    <t>Adams Phone Message Book, Professional, 400 Message Capacity, 5 3/6 x 11</t>
  </si>
  <si>
    <t>Sonia Sunley</t>
  </si>
  <si>
    <t>Ricardo Sperren</t>
  </si>
  <si>
    <t>Hon GuestStacker Chair</t>
  </si>
  <si>
    <t>Gary Zandusky</t>
  </si>
  <si>
    <t>SAFCO PlanMaster Heigh-Adjustable Drafting Table Base, 43w x 30d x 30-37h, Black</t>
  </si>
  <si>
    <t>Roland Fjeld</t>
  </si>
  <si>
    <t>Logitech G700s Rechargeable Gaming Mouse</t>
  </si>
  <si>
    <t>Lena Radford</t>
  </si>
  <si>
    <t>Fellowes Superior 10 Outlet Split Surge Protector</t>
  </si>
  <si>
    <t>AT&amp;T 1070 Corded Phone</t>
  </si>
  <si>
    <t>Eldon Delta Triangular Chair Mat, 52" x 58", Clear</t>
  </si>
  <si>
    <t>SanDisk Ultra 64 GB MicroSDHC Class 10 Memory Card</t>
  </si>
  <si>
    <t>Acco Smartsocket Table Surge Protector, 6 Color-Coded Adapter Outlets</t>
  </si>
  <si>
    <t>Nu-Dell Float Frame 11 x 14 1/2</t>
  </si>
  <si>
    <t>Andy Gerbode</t>
  </si>
  <si>
    <t>Cisco Unified IP Phone 7945G VoIP phone</t>
  </si>
  <si>
    <t>Jawbone MINI JAMBOX Wireless Bluetooth Speaker</t>
  </si>
  <si>
    <t>Joseph Holt</t>
  </si>
  <si>
    <t>Eldon Image Series Desk Accessories, Ebony</t>
  </si>
  <si>
    <t>Charles Sheldon</t>
  </si>
  <si>
    <t>Performers Binder/Pad Holder, Black</t>
  </si>
  <si>
    <t>BlackBerry Q10</t>
  </si>
  <si>
    <t>Bulldog Vacuum Base Pencil Sharpener</t>
  </si>
  <si>
    <t>Acco Smartsocket Color-Coded Six-Outlet AC Adapter Model Surge Protectors</t>
  </si>
  <si>
    <t>Acco Translucent Poly Ring Binders</t>
  </si>
  <si>
    <t>Keith Herrera</t>
  </si>
  <si>
    <t>Christine Sundaresam</t>
  </si>
  <si>
    <t>Premium Transparent Presentation Covers by GBC</t>
  </si>
  <si>
    <t>Novimex Fabric Task Chair</t>
  </si>
  <si>
    <t>Troy Staebel</t>
  </si>
  <si>
    <t>Xerox 203</t>
  </si>
  <si>
    <t>Xerox 1929</t>
  </si>
  <si>
    <t>Logitech Gaming G510s - Keyboard</t>
  </si>
  <si>
    <t>Turquoise Lead Holder with Pocket Clip</t>
  </si>
  <si>
    <t>GBC DocuBind P50 Personal Binding Machine</t>
  </si>
  <si>
    <t>Lena Hernandez</t>
  </si>
  <si>
    <t>Satellite Sectional Post Binders</t>
  </si>
  <si>
    <t>Craig Reiter</t>
  </si>
  <si>
    <t>GBC DocuBind TL300 Electric Binding System</t>
  </si>
  <si>
    <t>Deanra Eno</t>
  </si>
  <si>
    <t>Faber Castell Col-Erase Pencils</t>
  </si>
  <si>
    <t>Jeremy Pistek</t>
  </si>
  <si>
    <t>Acme Serrated Blade Letter Opener</t>
  </si>
  <si>
    <t>Rick Hansen</t>
  </si>
  <si>
    <t>Xerox 1994</t>
  </si>
  <si>
    <t>Personal Creations Ink Jet Cards and Labels</t>
  </si>
  <si>
    <t>Robert Barroso</t>
  </si>
  <si>
    <t>Arthur Prichep</t>
  </si>
  <si>
    <t>Cisco SPA525G2 IP Phone - Wireless</t>
  </si>
  <si>
    <t>Xerox 1988</t>
  </si>
  <si>
    <t>SlimView Poly Binder, 3/8"</t>
  </si>
  <si>
    <t>Dorothy Wardle</t>
  </si>
  <si>
    <t>Janet Molinari</t>
  </si>
  <si>
    <t>Frank Merwin</t>
  </si>
  <si>
    <t>Karl Braun</t>
  </si>
  <si>
    <t>Avoid Verbal Orders Carbonless Minifold Book</t>
  </si>
  <si>
    <t>Zuschuss Donatelli</t>
  </si>
  <si>
    <t>Wilson Jones Hanging View Binder, White, 1"</t>
  </si>
  <si>
    <t>Hilary Holden</t>
  </si>
  <si>
    <t>Xerox 1940</t>
  </si>
  <si>
    <t>Balt Solid Wood Rectangular Table</t>
  </si>
  <si>
    <t>Annie Thurman</t>
  </si>
  <si>
    <t>Wilson Jones Standard D-Ring Binders</t>
  </si>
  <si>
    <t>Shirley Jackson</t>
  </si>
  <si>
    <t>KeyTronic KT400U2 - Keyboard - Black</t>
  </si>
  <si>
    <t>Larry Tron</t>
  </si>
  <si>
    <t>BOSTON Model 1800 Electric Pencil Sharpeners, Putty/Woodgrain</t>
  </si>
  <si>
    <t>Wilson Jones Hanging Recycled Pressboard Data Binders</t>
  </si>
  <si>
    <t>Katherine Ducich</t>
  </si>
  <si>
    <t>Nora Preis</t>
  </si>
  <si>
    <t>Telescoping Adjustable Floor Lamp</t>
  </si>
  <si>
    <t>invisibleSHIELD by ZAGG Smudge-Free Screen Protector</t>
  </si>
  <si>
    <t>DAX Natural Wood-Tone Poster Frame</t>
  </si>
  <si>
    <t>Angle-D Binders with Locking Rings, Label Holders</t>
  </si>
  <si>
    <t>Becky Martin</t>
  </si>
  <si>
    <t>Lexmark MX611dhe Monochrome Laser Printer</t>
  </si>
  <si>
    <t>SAFCO Arco Folding Chair</t>
  </si>
  <si>
    <t>Kensington 7 Outlet MasterPiece Power Center</t>
  </si>
  <si>
    <t>JBL Micro Wireless Portable Bluetooth Speaker</t>
  </si>
  <si>
    <t>Lisa Hazard</t>
  </si>
  <si>
    <t>Epson WorkForce WF-2530 All-in-One Printer, Copier Scanner</t>
  </si>
  <si>
    <t>Marc Crier</t>
  </si>
  <si>
    <t>Prang Colored Pencils</t>
  </si>
  <si>
    <t>Hunt PowerHouse Electric Pencil Sharpener, Blue</t>
  </si>
  <si>
    <t>Kean Takahito</t>
  </si>
  <si>
    <t>Snap-A-Way Black Print Carbonless Ruled Speed Letter, Triplicate</t>
  </si>
  <si>
    <t>Global Super Steno Chair</t>
  </si>
  <si>
    <t>Maribeth Schnelling</t>
  </si>
  <si>
    <t>Alphabetical Labels for Top Tab Filing</t>
  </si>
  <si>
    <t>Logan Currie</t>
  </si>
  <si>
    <t>Newell 320</t>
  </si>
  <si>
    <t>Peel &amp; Seel Envelopes</t>
  </si>
  <si>
    <t>Kensington 6 Outlet Guardian Standard Surge Protector</t>
  </si>
  <si>
    <t>Liz Willingham</t>
  </si>
  <si>
    <t>Deflect-o DuraMat Lighweight, Studded, Beveled Mat for Low Pile Carpeting</t>
  </si>
  <si>
    <t>Premier Elliptical Ring Binder, Black</t>
  </si>
  <si>
    <t>Tom Ashbrook</t>
  </si>
  <si>
    <t>Kansas</t>
  </si>
  <si>
    <t>Luke Weiss</t>
  </si>
  <si>
    <t>Erin Ashbrook</t>
  </si>
  <si>
    <t>Jessica Myrick</t>
  </si>
  <si>
    <t>Odella Nelson</t>
  </si>
  <si>
    <t>Acco Suede Grain Vinyl Round Ring Binder</t>
  </si>
  <si>
    <t>WD My Passport Ultra 500GB Portable External Hard Drive</t>
  </si>
  <si>
    <t>Jennifer Braxton</t>
  </si>
  <si>
    <t>Kensington 7 Outlet MasterPiece HOMEOFFICE Power Control Center</t>
  </si>
  <si>
    <t>Avery Poly Binder Pockets</t>
  </si>
  <si>
    <t>Revere Boxed Rubber Bands by Revere</t>
  </si>
  <si>
    <t>Monica Federle</t>
  </si>
  <si>
    <t>Seth Thomas 16" Steel Case Clock</t>
  </si>
  <si>
    <t>Anthony Garverick</t>
  </si>
  <si>
    <t>Acco Pressboard Covers with Storage Hooks, 14 7/8" x 11", Light Blue</t>
  </si>
  <si>
    <t>Eldon ProFile File 'N Store Portable File Tub Letter/Legal Size Black</t>
  </si>
  <si>
    <t>Verbatim 25 GB 6x Blu-ray Single Layer Recordable Disc, 3/Pack</t>
  </si>
  <si>
    <t>Decoflex Hanging Personal Folder File, Blue</t>
  </si>
  <si>
    <t>Jim Kriz</t>
  </si>
  <si>
    <t>Hon 2111 Invitation Series Straight Table</t>
  </si>
  <si>
    <t>Philip Fox</t>
  </si>
  <si>
    <t>Avery 499</t>
  </si>
  <si>
    <t>Wirebound Message Book, 4 per Page</t>
  </si>
  <si>
    <t>Sarah Brown</t>
  </si>
  <si>
    <t>Henry Goldwyn</t>
  </si>
  <si>
    <t>Jack Garza</t>
  </si>
  <si>
    <t>Nortel Meridian M3904 Professional Digital phone</t>
  </si>
  <si>
    <t>Fellowes Basic Home/Office Series Surge Protectors</t>
  </si>
  <si>
    <t>#10 White Business Envelopes,4 1/8 x 9 1/2</t>
  </si>
  <si>
    <t>Newell 34</t>
  </si>
  <si>
    <t>Wirebound Four 2-3/4 x 5 Forms per Page, 400 Sets per Book</t>
  </si>
  <si>
    <t>While You Were Out Pads, 50 per Pad, 4 x 5 1/4, Green Cycle</t>
  </si>
  <si>
    <t>Sara Luxemburg</t>
  </si>
  <si>
    <t>Boston 16801 Nautilus Battery Pencil Sharpener</t>
  </si>
  <si>
    <t>Office Star - Mid Back Dual function Ergonomic High Back Chair with 2-Way Adjustable Arms</t>
  </si>
  <si>
    <t>GBC Instant Report Kit</t>
  </si>
  <si>
    <t>Avery Binding System Hidden Tab Executive Style Index Sets</t>
  </si>
  <si>
    <t>Thomas Thornton</t>
  </si>
  <si>
    <t>Julia Dunbar</t>
  </si>
  <si>
    <t>Gould Plastics 9-Pocket Panel Bin, 18-3/8w x 5-1/4d x 20-1/2h, Black</t>
  </si>
  <si>
    <t>Michelle Tran</t>
  </si>
  <si>
    <t>Xerox 1954</t>
  </si>
  <si>
    <t>Christopher Schild</t>
  </si>
  <si>
    <t>Dual Level, Single-Width Filing Carts</t>
  </si>
  <si>
    <t>Karen Ferguson</t>
  </si>
  <si>
    <t>Avery Durable Slant Ring Binders, No Labels</t>
  </si>
  <si>
    <t>Deflect-o SuperTray Unbreakable Stackable Tray, Letter, Black</t>
  </si>
  <si>
    <t>George Zrebassa</t>
  </si>
  <si>
    <t>Keith Dawkins</t>
  </si>
  <si>
    <t>White GlueTop Scratch Pads</t>
  </si>
  <si>
    <t>Luxo Professional Combination Clamp-On Lamps</t>
  </si>
  <si>
    <t>Fellowes Mobile File Cart, Black</t>
  </si>
  <si>
    <t>Lisa DeCherney</t>
  </si>
  <si>
    <t>Seth Thomas 14" Putty-Colored Wall Clock</t>
  </si>
  <si>
    <t>Evan Bailliet</t>
  </si>
  <si>
    <t>GBC Standard Plastic Binding Systems' Combs</t>
  </si>
  <si>
    <t>Fellowes Super Stor/Drawer Files</t>
  </si>
  <si>
    <t>Tops Green Bar Computer Printout Paper</t>
  </si>
  <si>
    <t>Doug Bickford</t>
  </si>
  <si>
    <t>Eureka Sanitaire  Commercial Upright</t>
  </si>
  <si>
    <t>Erin Smith</t>
  </si>
  <si>
    <t>Adams Telephone Message Book W/Dividers/Space For Phone Numbers, 5 1/4"X8 1/2", 300/Messages</t>
  </si>
  <si>
    <t>Kingston Digital DataTraveler 16GB USB 2.0</t>
  </si>
  <si>
    <t>Beth Paige</t>
  </si>
  <si>
    <t>Allen Rosenblatt</t>
  </si>
  <si>
    <t>Global Deluxe Stacking Chair, Gray</t>
  </si>
  <si>
    <t>Denny Ordway</t>
  </si>
  <si>
    <t>Convenience Packs of Business Envelopes</t>
  </si>
  <si>
    <t>Smead Alpha-Z Color-Coded Second Alphabetical Labels and Starter Set</t>
  </si>
  <si>
    <t>David Flashing</t>
  </si>
  <si>
    <t>Avery 512</t>
  </si>
  <si>
    <t>Office Star - Contemporary Task Swivel chair with Loop Arms, Charcoal</t>
  </si>
  <si>
    <t>Brian Derr</t>
  </si>
  <si>
    <t>Imation USB 2.0 Swivel Flash Drive USB flash drive - 4 GB - Pink</t>
  </si>
  <si>
    <t>Tennsco Lockers, Gray</t>
  </si>
  <si>
    <t>Maxell 74 Minute CDR, 10/Pack</t>
  </si>
  <si>
    <t>Tanja Norvell</t>
  </si>
  <si>
    <t>Jill Fjeld</t>
  </si>
  <si>
    <t>Fellowes High-Stak Drawer Files</t>
  </si>
  <si>
    <t>Helen Andreada</t>
  </si>
  <si>
    <t>Zuschuss Carroll</t>
  </si>
  <si>
    <t>Bevis Round Bullnose 29" High Table Top</t>
  </si>
  <si>
    <t>Flexible Leather- Look Classic Collection Ring Binder</t>
  </si>
  <si>
    <t>Sibella Parks</t>
  </si>
  <si>
    <t>Jim Epp</t>
  </si>
  <si>
    <t>Hewlett Packard 610 Color Digital Copier / Printer</t>
  </si>
  <si>
    <t>Lynn Smith</t>
  </si>
  <si>
    <t>Logitech Illuminated - Keyboard</t>
  </si>
  <si>
    <t>Tracy Blumstein</t>
  </si>
  <si>
    <t>Alan Schoenberger</t>
  </si>
  <si>
    <t>Eldon Base for stackable storage shelf, platinum</t>
  </si>
  <si>
    <t>Luke Schmidt</t>
  </si>
  <si>
    <t>Computer Printout Index Tabs</t>
  </si>
  <si>
    <t>Jeremy Farry</t>
  </si>
  <si>
    <t>Spiral Phone Message Books with Labels by Adams</t>
  </si>
  <si>
    <t>Accohide Poly Flexible Ring Binders</t>
  </si>
  <si>
    <t>Avery Durable Slant Ring Binders With Label Holder</t>
  </si>
  <si>
    <t>Eugene Hildebrand</t>
  </si>
  <si>
    <t>Lesro Round Back Collection Coffee Table, End Table</t>
  </si>
  <si>
    <t>Avery 4027 File Folder Labels for Dot Matrix Printers, 5000 Labels per Box, White</t>
  </si>
  <si>
    <t>Hon Practical Foundations 30 x 60 Training Table, Light Gray/Charcoal</t>
  </si>
  <si>
    <t>Sylvia Foulston</t>
  </si>
  <si>
    <t>Maureen Gastineau</t>
  </si>
  <si>
    <t>Advantus Map Pennant Flags and Round Head Tacks</t>
  </si>
  <si>
    <t>GBC VeloBind Cover Sets</t>
  </si>
  <si>
    <t>Angele Hood</t>
  </si>
  <si>
    <t>Tenex Chairmats For Use With Carpeted Floors</t>
  </si>
  <si>
    <t>Todd Sumrall</t>
  </si>
  <si>
    <t>Digium D40 VoIP phone</t>
  </si>
  <si>
    <t>Noah Childs</t>
  </si>
  <si>
    <t>Greg Guthrie</t>
  </si>
  <si>
    <t>Rhode Island</t>
  </si>
  <si>
    <t>GBC Recycled VeloBinder Covers</t>
  </si>
  <si>
    <t>Amy Cox</t>
  </si>
  <si>
    <t>Plantronics Voyager Pro HD - Bluetooth Headset</t>
  </si>
  <si>
    <t>Ken Heidel</t>
  </si>
  <si>
    <t>Multi-Use Personal File Cart and Caster Set, Three Stacking Bins</t>
  </si>
  <si>
    <t>Paul Lucas</t>
  </si>
  <si>
    <t>Howard Miller 13" Diameter Pewter Finish Round Wall Clock</t>
  </si>
  <si>
    <t>Patrick O'Brill</t>
  </si>
  <si>
    <t>Julie Kriz</t>
  </si>
  <si>
    <t>Adjustable Depth Letter/Legal Cart</t>
  </si>
  <si>
    <t>Samsung Rugby III</t>
  </si>
  <si>
    <t>Hon Racetrack Conference Tables</t>
  </si>
  <si>
    <t>Tenex Antistatic Computer Chair Mats</t>
  </si>
  <si>
    <t>Trav-L-File Heavy-Duty Shuttle II, Black</t>
  </si>
  <si>
    <t>OIC Bulk Pack Metal Binder Clips</t>
  </si>
  <si>
    <t>William Brown</t>
  </si>
  <si>
    <t>Polycom SoundPoint Pro SE-225 Corded phone</t>
  </si>
  <si>
    <t>Cardinal EasyOpen D-Ring Binders</t>
  </si>
  <si>
    <t>Acco Flexible ACCOHIDE Square Ring Data Binder, Dark Blue, 11 1/2" X 14" 7/8"</t>
  </si>
  <si>
    <t>OIC Stacking Trays</t>
  </si>
  <si>
    <t>Tennsco Double-Tier Lockers</t>
  </si>
  <si>
    <t>Memorex Micro Travel Drive 32 GB</t>
  </si>
  <si>
    <t>Tamara Chand</t>
  </si>
  <si>
    <t>Panasonic KP-150 Electric Pencil Sharpener</t>
  </si>
  <si>
    <t>Toshiba IPT2010-SD IP Telephone</t>
  </si>
  <si>
    <t>Recycled Desk Saver Line "While You Were Out" Book, 5 1/2" X 4"</t>
  </si>
  <si>
    <t>Xerox 1912</t>
  </si>
  <si>
    <t>Luxo Economy Swing Arm Lamp</t>
  </si>
  <si>
    <t>Eldon Expressions Punched Metal &amp; Wood Desk Accessories, Pewter &amp; Cherry</t>
  </si>
  <si>
    <t>Avery Hi-Liter Comfort Grip Fluorescent Highlighter, Yellow Ink</t>
  </si>
  <si>
    <t>Xerox 199</t>
  </si>
  <si>
    <t>Pete Kriz</t>
  </si>
  <si>
    <t>Stur-D-Stor Shelving, Vertical 5-Shelf: 72"H x 36"W x 18 1/2"D</t>
  </si>
  <si>
    <t>Karen Daniels</t>
  </si>
  <si>
    <t>50 Colored Long Pencils</t>
  </si>
  <si>
    <t>Atlantic Metals Mobile 3-Shelf Bookcases, Custom Colors</t>
  </si>
  <si>
    <t>Wirebound Message Books, Four 2 3/4" x 5" Forms per Page, 600 Sets per Book</t>
  </si>
  <si>
    <t>Xerox 1882</t>
  </si>
  <si>
    <t>Roy Französisch</t>
  </si>
  <si>
    <t>Personal Filing Tote with Lid, Black/Gray</t>
  </si>
  <si>
    <t>Xerox 1974</t>
  </si>
  <si>
    <t>Bevis Boat-Shaped Conference Table</t>
  </si>
  <si>
    <t>Imation 16GB Mini TravelDrive USB 2.0 Flash Drive</t>
  </si>
  <si>
    <t>Maris LaWare</t>
  </si>
  <si>
    <t>Jeremy Lonsdale</t>
  </si>
  <si>
    <t>Robert Marley</t>
  </si>
  <si>
    <t>Jamie Frazer</t>
  </si>
  <si>
    <t>Newell 310</t>
  </si>
  <si>
    <t>Eldon 100 Class Desk Accessories</t>
  </si>
  <si>
    <t>Logitech P710e Mobile Speakerphone</t>
  </si>
  <si>
    <t>Rick Huthwaite</t>
  </si>
  <si>
    <t>Wilson Jones Active Use Binders</t>
  </si>
  <si>
    <t>Permanent Self-Adhesive File Folder Labels for Typewriters by Universal</t>
  </si>
  <si>
    <t>Alan Barnes</t>
  </si>
  <si>
    <t>Justin Deggeller</t>
  </si>
  <si>
    <t>Bush Andora Bookcase, Maple/Graphite Gray Finish</t>
  </si>
  <si>
    <t>Yoseph Carroll</t>
  </si>
  <si>
    <t>APC 7 Outlet Network SurgeArrest Surge Protector</t>
  </si>
  <si>
    <t>Southworth 100% Cotton The Best Paper</t>
  </si>
  <si>
    <t>Pierre Wener</t>
  </si>
  <si>
    <t>Bevis Rectangular Conference Tables</t>
  </si>
  <si>
    <t>Safco Industrial Wire Shelving</t>
  </si>
  <si>
    <t>Ann Blume</t>
  </si>
  <si>
    <t>Pressboard Hanging Data Binders for Unburst Sheets</t>
  </si>
  <si>
    <t>BPI Conference Tables</t>
  </si>
  <si>
    <t>Julie Creighton</t>
  </si>
  <si>
    <t>Howard Miller 13-1/2" Diameter Rosebrook Wall Clock</t>
  </si>
  <si>
    <t>John Murray</t>
  </si>
  <si>
    <t>Dennis Bolton</t>
  </si>
  <si>
    <t>Xerox 1888</t>
  </si>
  <si>
    <t>Alan Dominguez</t>
  </si>
  <si>
    <t>Peel &amp; Seel Recycled Catalog Envelopes, Brown</t>
  </si>
  <si>
    <t>Multicolor Computer Printout Paper</t>
  </si>
  <si>
    <t>Tops Wirebound Message Log Books</t>
  </si>
  <si>
    <t>Fashion Color Clasp Envelopes</t>
  </si>
  <si>
    <t>Safco Contoured Stacking Chairs</t>
  </si>
  <si>
    <t>Saphhira Shifley</t>
  </si>
  <si>
    <t>Conquest 14 Commercial Heavy-Duty Upright Vacuum, Collection System, Accessory Kit</t>
  </si>
  <si>
    <t>Quality Park Security Envelopes</t>
  </si>
  <si>
    <t>Nathan Gelder</t>
  </si>
  <si>
    <t>Harold Ryan</t>
  </si>
  <si>
    <t>Global Leather &amp; Oak Executive Chair, Burgundy</t>
  </si>
  <si>
    <t>Global Executive Mid-Back Manager's Chair</t>
  </si>
  <si>
    <t>Darren Koutras</t>
  </si>
  <si>
    <t>Eldon 200 Class Desk Accessories, Burgundy</t>
  </si>
  <si>
    <t>Nat Gilpin</t>
  </si>
  <si>
    <t>Executive Impressions 14"</t>
  </si>
  <si>
    <t>Wirebound Message Books, Four 2 3/4 x 5 White Forms per Page</t>
  </si>
  <si>
    <t>Bretford CR4500 Series Slim Rectangular Table</t>
  </si>
  <si>
    <t>Sauder Camden County Collection Libraries, Planked Cherry Finish</t>
  </si>
  <si>
    <t>Avery Address/Shipping Labels for Typewriters, 4" x 2"</t>
  </si>
  <si>
    <t>Bart Folk</t>
  </si>
  <si>
    <t>Newell 331</t>
  </si>
  <si>
    <t>Sauder Camden County Barrister Bookcase, Planked Cherry Finish</t>
  </si>
  <si>
    <t>Micropad Numeric Keypads</t>
  </si>
  <si>
    <t>Matthew Clasen</t>
  </si>
  <si>
    <t>Laser &amp; Ink Jet Business Envelopes</t>
  </si>
  <si>
    <t>Alan Hwang</t>
  </si>
  <si>
    <t>Park Ridge Embossed Executive Business Envelopes</t>
  </si>
  <si>
    <t>Office Star - Professional Matrix Back Chair with 2-to-1 Synchro Tilt and Mesh Fabric Seat</t>
  </si>
  <si>
    <t>Hon 4070 Series Pagoda Round Back Stacking Chairs</t>
  </si>
  <si>
    <t>Linden 10" Round Wall Clock, Black</t>
  </si>
  <si>
    <t>12-1/2 Diameter Round Wall Clock</t>
  </si>
  <si>
    <t>DAX Metal Frame, Desktop, Stepped-Edge</t>
  </si>
  <si>
    <t>Elizabeth Moffitt</t>
  </si>
  <si>
    <t>Jabra Supreme Plus Driver Edition Headset</t>
  </si>
  <si>
    <t>Cathy Prescott</t>
  </si>
  <si>
    <t>Hunt BOSTON Model 1606 High-Volume Electric Pencil Sharpener, Beige</t>
  </si>
  <si>
    <t>Roy Collins</t>
  </si>
  <si>
    <t>Nona Balk</t>
  </si>
  <si>
    <t>Panasonic KX T7736-B Digital phone</t>
  </si>
  <si>
    <t>Rob Lucas</t>
  </si>
  <si>
    <t>Joni Blumstein</t>
  </si>
  <si>
    <t>File Shuttle I and Handi-File</t>
  </si>
  <si>
    <t>Bionaire 99.97% HEPA Air Cleaner</t>
  </si>
  <si>
    <t>Frank Preis</t>
  </si>
  <si>
    <t>Thomas Boland</t>
  </si>
  <si>
    <t>Companion Letter/Legal File, Black</t>
  </si>
  <si>
    <t>Tim Brockman</t>
  </si>
  <si>
    <t>Denny Joy</t>
  </si>
  <si>
    <t>Xerox 1987</t>
  </si>
  <si>
    <t>Hon Non-Folding Utility Tables</t>
  </si>
  <si>
    <t>Eldon Advantage Chair Mats for Low to Medium Pile Carpets</t>
  </si>
  <si>
    <t>GBC DocuBind 300 Electric Binding Machine</t>
  </si>
  <si>
    <t>Logan Haushalter</t>
  </si>
  <si>
    <t>Eldon Image Series Desk Accessories, Burgundy</t>
  </si>
  <si>
    <t>Kimberly Carter</t>
  </si>
  <si>
    <t>Plantronics CS510 - Over-the-Head monaural Wireless Headset System</t>
  </si>
  <si>
    <t>ARKON Windshield Dashboard Air Vent Car Mount Holder</t>
  </si>
  <si>
    <t>Sung Pak</t>
  </si>
  <si>
    <t>Avery Binder Labels</t>
  </si>
  <si>
    <t>Chad Cunningham</t>
  </si>
  <si>
    <t>Steve Chapman</t>
  </si>
  <si>
    <t>Mike Kennedy</t>
  </si>
  <si>
    <t>Irene Maddox</t>
  </si>
  <si>
    <t>Canvas Sectional Post Binders</t>
  </si>
  <si>
    <t>High-Back Leather Manager's Chair</t>
  </si>
  <si>
    <t>Advantus T-Pin Paper Clips</t>
  </si>
  <si>
    <t>Rogers Jumbo File, Granite</t>
  </si>
  <si>
    <t>Penelope Sewall</t>
  </si>
  <si>
    <t>Chromcraft 48" x 96" Racetrack Double Pedestal Table</t>
  </si>
  <si>
    <t>Adrian Barton</t>
  </si>
  <si>
    <t>Global Low Back Tilter Chair</t>
  </si>
  <si>
    <t>Belkin Premiere Surge Master II 8-outlet surge protector</t>
  </si>
  <si>
    <t>Khloe Miller</t>
  </si>
  <si>
    <t>Newell 332</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</si>
  <si>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</si>
  <si>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</si>
  <si>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</si>
  <si>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</si>
  <si>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</si>
  <si>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</si>
  <si>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</si>
  <si>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</si>
  <si>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</si>
  <si>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Sony 32GB Class 10 Micro SDHC R40 Memory Card</t>
  </si>
  <si>
    <t>Westinghouse Floor Lamp with Metal Mesh Shade, Black</t>
  </si>
  <si>
    <t>Global Deluxe Office Fabric Chairs</t>
  </si>
  <si>
    <t>Clytie Kelty</t>
  </si>
  <si>
    <t>Boston School Pro Electric Pencil Sharpener, 1670</t>
  </si>
  <si>
    <t>Hoover Upright Vacuum With Dirt Cup</t>
  </si>
  <si>
    <t>Debra Catini</t>
  </si>
  <si>
    <t>Mediabridge Sport Armband iPhone 5s</t>
  </si>
  <si>
    <t>Michael Granlund</t>
  </si>
  <si>
    <t>Ken Brennan</t>
  </si>
  <si>
    <t>Maureen Fritzler</t>
  </si>
  <si>
    <t>Pamela Coakley</t>
  </si>
  <si>
    <t>Atlantic Metals Mobile 4-Shelf Bookcases, Custom Colors</t>
  </si>
  <si>
    <t>Sabrent 4-Port USB 2.0 Hub</t>
  </si>
  <si>
    <t>Claudia Bergmann</t>
  </si>
  <si>
    <t>Andrew Gjertsen</t>
  </si>
  <si>
    <t>Belkin 5 Outlet SurgeMaster Power Centers</t>
  </si>
  <si>
    <t>Speediset Carbonless Redi-Letter 7" x 8 1/2"</t>
  </si>
  <si>
    <t>Yana Sorensen</t>
  </si>
  <si>
    <t>LG Electronics Tone+ HBS-730 Bluetooth Headset</t>
  </si>
  <si>
    <t>Binding Machine Supplies</t>
  </si>
  <si>
    <t>Karen Seio</t>
  </si>
  <si>
    <t>Xerox 1991</t>
  </si>
  <si>
    <t>Nortel Meridian M5316 Digital phone</t>
  </si>
  <si>
    <t>Rediform Voice Mail Log Books</t>
  </si>
  <si>
    <t>Coloredge Poster Frame</t>
  </si>
  <si>
    <t>Memorex Mini Travel Drive 8 GB USB 2.0 Flash Drive</t>
  </si>
  <si>
    <t>Xerox 1920</t>
  </si>
  <si>
    <t>Wirebound Message Books, Four 2 3/4 x 5 Forms per Page, 200 Sets per Book</t>
  </si>
  <si>
    <t>Anker Ultrathin Bluetooth Wireless Keyboard Aluminum Cover with Stand</t>
  </si>
  <si>
    <t>Lindsay Castell</t>
  </si>
  <si>
    <t>Hoover Portapower Portable Vacuum</t>
  </si>
  <si>
    <t>i.Sound Portable Power - 8000 mAh</t>
  </si>
  <si>
    <t>XtraLife ClearVue Slant-D Ring Binder, White, 3"</t>
  </si>
  <si>
    <t>Panasonic KP-350BK Electric Pencil Sharpener with Auto Stop</t>
  </si>
  <si>
    <t>Dave Kipp</t>
  </si>
  <si>
    <t>Alan Haines</t>
  </si>
  <si>
    <t>36X48 HARDFLOOR CHAIRMAT</t>
  </si>
  <si>
    <t>Jennifer Jackson</t>
  </si>
  <si>
    <t>Microsoft Sculpt Comfort Mouse</t>
  </si>
  <si>
    <t>Dana Kaydos</t>
  </si>
  <si>
    <t>Toby Gnade</t>
  </si>
  <si>
    <t>Edward Becker</t>
  </si>
  <si>
    <t>SmartStand Mobile Device Holder, Assorted Colors</t>
  </si>
  <si>
    <t>Christopher Martinez</t>
  </si>
  <si>
    <t>KeyTronic KT800P2 - Keyboard - Black</t>
  </si>
  <si>
    <t>Jesus Ocampo</t>
  </si>
  <si>
    <t>Corinna Mitchell</t>
  </si>
  <si>
    <t>Bart Watters</t>
  </si>
  <si>
    <t>Recycled Interoffice Envelopes with String and Button Closure, 10 x 13</t>
  </si>
  <si>
    <t>Julia West</t>
  </si>
  <si>
    <t>Xerox 1883</t>
  </si>
  <si>
    <t>Dean Braden</t>
  </si>
  <si>
    <t>Verbatim 25 GB 6x Blu-ray Single Layer Recordable Disc, 25/Pack</t>
  </si>
  <si>
    <t>XtraLife ClearVue Slant-D Ring Binders by Cardinal</t>
  </si>
  <si>
    <t>Ben Peterman</t>
  </si>
  <si>
    <t>Eldon Expressions Punched Metal &amp; Wood Desk Accessories, Black &amp; Cherry</t>
  </si>
  <si>
    <t>Benjamin Venier</t>
  </si>
  <si>
    <t>Southworth 25% Cotton Antique Laid Paper &amp; Envelopes</t>
  </si>
  <si>
    <t>Imation Bio 8GB USB Flash Drive Imation Corp</t>
  </si>
  <si>
    <t>Hon 4070 Series Pagoda Armless Upholstered Stacking Chairs</t>
  </si>
  <si>
    <t>Ampad Gold Fibre Wirebound Steno Books, 6" x 9", Gregg Ruled</t>
  </si>
  <si>
    <t>PureGear Roll-On Screen Protector</t>
  </si>
  <si>
    <t>White Dual Perf Computer Printout Paper, 2700 Sheets, 1 Part, Heavyweight, 20 lbs., 14 7/8 x 11</t>
  </si>
  <si>
    <t>Michael Oakman</t>
  </si>
  <si>
    <t>Aluminum Screw Posts</t>
  </si>
  <si>
    <t>Razer Kraken PRO Over Ear PC and Music Headset</t>
  </si>
  <si>
    <t>Laminate Occasional Tables</t>
  </si>
  <si>
    <t>Kensington 4 Outlet MasterPiece Compact Power Control Center</t>
  </si>
  <si>
    <t>Executive Impressions Supervisor Wall Clock</t>
  </si>
  <si>
    <t>Robert Dilbeck</t>
  </si>
  <si>
    <t>Heather Jas</t>
  </si>
  <si>
    <t>Theone Pippenger</t>
  </si>
  <si>
    <t>GBC Velobind Prepunched Cover Sets, Regency Series</t>
  </si>
  <si>
    <t>Xerox 19</t>
  </si>
  <si>
    <t>GE 48" Fluorescent Tube, Cool White Energy Saver, 34 Watts, 30/Box</t>
  </si>
  <si>
    <t>Olvera Toch</t>
  </si>
  <si>
    <t>Juliana Krohn</t>
  </si>
  <si>
    <t>Linda Southworth</t>
  </si>
  <si>
    <t>OtterBox Defender Series Case - iPhone 5c</t>
  </si>
  <si>
    <t>Panasonic KP-380BK Classic Electric Pencil Sharpener</t>
  </si>
  <si>
    <t>Acme 10" Easy Grip Assistive Scissors</t>
  </si>
  <si>
    <t>Julia Barnett</t>
  </si>
  <si>
    <t>Lena Cacioppo</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</si>
  <si>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</si>
  <si>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</si>
  <si>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</si>
  <si>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</si>
  <si>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</si>
  <si>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</si>
  <si>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</si>
  <si>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</si>
  <si>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Rose O'Brian</t>
  </si>
  <si>
    <t>Jet-Pak Recycled Peel 'N' Seal Padded Mailers</t>
  </si>
  <si>
    <t>Binney &amp; Smith Crayola Metallic Crayons, 16-Color Pack</t>
  </si>
  <si>
    <t>Wausau Papers Astrobrights Colored Envelopes</t>
  </si>
  <si>
    <t>Things To Do Today Pad</t>
  </si>
  <si>
    <t>Self-Adhesive Removable Labels</t>
  </si>
  <si>
    <t>Justin Hirsh</t>
  </si>
  <si>
    <t>Logitech G35 7.1-Channel Surround Sound Headset</t>
  </si>
  <si>
    <t>Xerox 1937</t>
  </si>
  <si>
    <t>Neil Knudson</t>
  </si>
  <si>
    <t>Newell 311</t>
  </si>
  <si>
    <t>Xerox 1894</t>
  </si>
  <si>
    <t>Edward Nazzal</t>
  </si>
  <si>
    <t>RCA H5401RE1 DECT 6.0 4-Line Cordless Handset With Caller ID/Call Waiting</t>
  </si>
  <si>
    <t>Bill Donatelli</t>
  </si>
  <si>
    <t>Xerox 1928</t>
  </si>
  <si>
    <t>Catherine Glotzbach</t>
  </si>
  <si>
    <t>Logitech Z-906 Speaker sys - home theater - 5.1-CH</t>
  </si>
  <si>
    <t>Brenda Bowman</t>
  </si>
  <si>
    <t>Eleni McCrary</t>
  </si>
  <si>
    <t>Advantus Employee of the Month Certificate Frame, 11 x 13-1/2</t>
  </si>
  <si>
    <t>Max Jones</t>
  </si>
  <si>
    <t>Cisco SPA301</t>
  </si>
  <si>
    <t>Tennsco 16-Compartment Lockers with Coat Rack</t>
  </si>
  <si>
    <t>Jonathan Howell</t>
  </si>
  <si>
    <t>Xerox 188</t>
  </si>
  <si>
    <t>Wilson Jones International Size A4 Ring Binders</t>
  </si>
  <si>
    <t>Eldon 200 Class Desk Accessories</t>
  </si>
  <si>
    <t>Stewart Carmichael</t>
  </si>
  <si>
    <t>GBC Ibimaster 500 Manual ProClick Binding System</t>
  </si>
  <si>
    <t>Pyle PRT45 Retro Home Telephone</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</si>
  <si>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</si>
  <si>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</si>
  <si>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</si>
  <si>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</si>
  <si>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</si>
  <si>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¾ x 11</t>
  </si>
  <si>
    <t>Bruce Degenhardt</t>
  </si>
  <si>
    <t>Novimex High-Tech Fabric Mesh Task Chair</t>
  </si>
  <si>
    <t>Mitel MiVoice 5330e IP Phone</t>
  </si>
  <si>
    <t>Victor Preis</t>
  </si>
  <si>
    <t>Kalyca Meade</t>
  </si>
  <si>
    <t>Bush Mission Pointe Library</t>
  </si>
  <si>
    <t>Acco 7-Outlet Masterpiece Power Center, Wihtout Fax/Phone Line Protection</t>
  </si>
  <si>
    <t>Howard Miller 13-3/4" Diameter Brushed Chrome Round Wall Clock</t>
  </si>
  <si>
    <t>Tuf-Vin Binders</t>
  </si>
  <si>
    <t>Fred McMath</t>
  </si>
  <si>
    <t>Global Manager's Adjustable Task Chair, Storm</t>
  </si>
  <si>
    <t>Bush Westfield Collection Bookcases, Medium Cherry Finish</t>
  </si>
  <si>
    <t>Victoria Brennan</t>
  </si>
  <si>
    <t>Economy Binders</t>
  </si>
  <si>
    <t>Thais Sissman</t>
  </si>
  <si>
    <t>Wilson Jones DublLock D-Ring Binders</t>
  </si>
  <si>
    <t>Ralph Kennedy</t>
  </si>
  <si>
    <t>Ibico Presentation Index for Binding Systems</t>
  </si>
  <si>
    <t>Brad Eason</t>
  </si>
  <si>
    <t>Parhena Norris</t>
  </si>
  <si>
    <t>Cardinal Hold-It CD Pocket</t>
  </si>
  <si>
    <t>Philisse Overcash</t>
  </si>
  <si>
    <t>Tim Taslimi</t>
  </si>
  <si>
    <t>Newell 346</t>
  </si>
  <si>
    <t>Samsung Galaxy S4 Mini</t>
  </si>
  <si>
    <t>Cisco IP Phone 7961G-GE VoIP phone</t>
  </si>
  <si>
    <t>O'Sullivan Plantations 2-Door Library in Landvery Oak</t>
  </si>
  <si>
    <t>Shaun Chance</t>
  </si>
  <si>
    <t>Wilson Jones Snap Scratch Pad Binder Tool for Ring Binders</t>
  </si>
  <si>
    <t>Dave Poirier</t>
  </si>
  <si>
    <t>Roger Barcio</t>
  </si>
  <si>
    <t>Acme Tagit Stainless Steel Antibacterial Scissors</t>
  </si>
  <si>
    <t>Deluxe Heavy-Duty Vinyl Round Ring Binder</t>
  </si>
  <si>
    <t>Sterilite Officeware Hinged File Box</t>
  </si>
  <si>
    <t>Xerox 1908</t>
  </si>
  <si>
    <t>Cathy Armstrong</t>
  </si>
  <si>
    <t>Chuck Clark</t>
  </si>
  <si>
    <t>Neoma Murray</t>
  </si>
  <si>
    <t>Belkin 19" Center-Weighted Shelf, Gray</t>
  </si>
  <si>
    <t>Boston 19500 Mighty Mite Electric Pencil Sharpener</t>
  </si>
  <si>
    <t>Logitech LS21 Speaker System - PC Multimedia - 2.1-CH - Wired</t>
  </si>
  <si>
    <t>Hewlett Packard 310 Color Digital Copier</t>
  </si>
  <si>
    <t>Heavy-Duty E-Z-D Binders</t>
  </si>
  <si>
    <t>Xerox 1915</t>
  </si>
  <si>
    <t>Brendan Murry</t>
  </si>
  <si>
    <t>Riverside Palais Royal Lawyers Bookcase, Royale Cherry Finish</t>
  </si>
  <si>
    <t>Justin Ritter</t>
  </si>
  <si>
    <t>Adam Bellavance</t>
  </si>
  <si>
    <t>Charlotte Melton</t>
  </si>
  <si>
    <t>Sanjit Jacobs</t>
  </si>
  <si>
    <t>Avery 510</t>
  </si>
  <si>
    <t>AT&amp;T 1080 Phone</t>
  </si>
  <si>
    <t>Dan Reichenbach</t>
  </si>
  <si>
    <t>Hon Comfortask Task/Swivel Chairs</t>
  </si>
  <si>
    <t>Round Ring Binders</t>
  </si>
  <si>
    <t>GBC VeloBinder Electric Binding Machine</t>
  </si>
  <si>
    <t>Bryan Spruell</t>
  </si>
  <si>
    <t>Helen Wasserman</t>
  </si>
  <si>
    <t>Motorola HK250 Universal Bluetooth Headset</t>
  </si>
  <si>
    <t>Henry MacAllister</t>
  </si>
  <si>
    <t>Joel Jenkins</t>
  </si>
  <si>
    <t>Gene Hale</t>
  </si>
  <si>
    <t>Claire Gute</t>
  </si>
  <si>
    <t>Verbatim Slim CD and DVD Storage Cases, 50/Pack</t>
  </si>
  <si>
    <t>Tripp Lite Isotel 6 Outlet Surge Protector with Fax/Modem Protection</t>
  </si>
  <si>
    <t>Jay Fein</t>
  </si>
  <si>
    <t>SKILCRAFT Telephone Shoulder Rest, 2" x 6.5" x 2.5", Black</t>
  </si>
  <si>
    <t>Maribeth Yedwab</t>
  </si>
  <si>
    <t>Avery 507</t>
  </si>
  <si>
    <t>Design Ebony Sketching Pencil</t>
  </si>
  <si>
    <t>Sandra Glassco</t>
  </si>
  <si>
    <t>Kelly Collister</t>
  </si>
  <si>
    <t>Logitech K350 2.4Ghz Wireless Keyboard</t>
  </si>
  <si>
    <t>Contemporary Wood/Metal Frame</t>
  </si>
  <si>
    <t>Hanging Personal Folder File</t>
  </si>
  <si>
    <t>Christy Brittain</t>
  </si>
  <si>
    <t>Vermont</t>
  </si>
  <si>
    <t>Advantus 10-Drawer Portable Organizer, Chrome Metal Frame, Smoke Drawers</t>
  </si>
  <si>
    <t>Xerox 1910</t>
  </si>
  <si>
    <t>Home/Office Personal File Carts</t>
  </si>
  <si>
    <t>Cardinal Holdit Data Disk Pockets</t>
  </si>
  <si>
    <t>Eureka The Boss Plus 12-Amp Hard Box Upright Vacuum, Red</t>
  </si>
  <si>
    <t>Logitech diNovo Edge Keyboard</t>
  </si>
  <si>
    <t>Greg Hansen</t>
  </si>
  <si>
    <t>Patrick Bzostek</t>
  </si>
  <si>
    <t>Sauder Barrister Bookcases</t>
  </si>
  <si>
    <t>Crayola Anti Dust Chalk, 12/Pack</t>
  </si>
  <si>
    <t>Xerox 1943</t>
  </si>
  <si>
    <t>LG Exalt</t>
  </si>
  <si>
    <t>Tenex Contemporary Contur Chairmats for Low and Medium Pile Carpet, Computer, 39" x 49"</t>
  </si>
  <si>
    <t>Luxo Professional Fluorescent Magnifier Lamp with Clamp-Mount Base</t>
  </si>
  <si>
    <t>Lexmark MarkNet N8150 Wireless Print Server</t>
  </si>
  <si>
    <t>Ritsa Hightower</t>
  </si>
  <si>
    <t>Matt Hagelstein</t>
  </si>
  <si>
    <t>Stephanie Ulpright</t>
  </si>
  <si>
    <t>Tonja Turnell</t>
  </si>
  <si>
    <t>Newell 326</t>
  </si>
  <si>
    <t>Avery Personal Creations Heavyweight Cards</t>
  </si>
  <si>
    <t>Micro Innovations USB RF Wireless Keyboard with Mouse</t>
  </si>
  <si>
    <t>Bush Andora Conference Table, Maple/Graphite Gray Finish</t>
  </si>
  <si>
    <t>Cisco Small Business SPA 502G VoIP phone</t>
  </si>
  <si>
    <t>Hon Valutask Swivel Chairs</t>
  </si>
  <si>
    <t>Anker 36W 4-Port USB Wall Charger Travel Power Adapter for iPhone 5s 5c 5</t>
  </si>
  <si>
    <t>Dionis Lloyd</t>
  </si>
  <si>
    <t>#10-4 1/8" x 9 1/2" Premium Diagonal Seam Envelopes</t>
  </si>
  <si>
    <t>Cisco SPA 502G IP Phone</t>
  </si>
  <si>
    <t>Logitech MX Performance Wireless Mouse</t>
  </si>
  <si>
    <t>Newell 337</t>
  </si>
  <si>
    <t>Logitech G500s Laser Gaming Mouse with Adjustable Weight Tuning</t>
  </si>
  <si>
    <t>Bill Eplett</t>
  </si>
  <si>
    <t>Todd Boyes</t>
  </si>
  <si>
    <t>Dixon Ticonderoga Maple Cedar Pencil, #2</t>
  </si>
  <si>
    <t>Bretford Just In Time Height-Adjustable Multi-Task Work Tables</t>
  </si>
  <si>
    <t>Deflect-o RollaMat Studded, Beveled Mat for Medium Pile Carpeting</t>
  </si>
  <si>
    <t>Anker Astro 15000mAh USB Portable Charger</t>
  </si>
  <si>
    <t>Honeywell Enviracaire Portable Air Cleaner for up to 8 x 10 Room</t>
  </si>
  <si>
    <t>DAX Two-Tone Silver Metal Document Frame</t>
  </si>
  <si>
    <t>Office Impressions End Table, 20-1/2"H x 24"W x 20"D</t>
  </si>
  <si>
    <t>Berol Giant Pencil Sharpener</t>
  </si>
  <si>
    <t>Belkin Grip Candy Sheer Case / Cover for iPhone 5 and 5S</t>
  </si>
  <si>
    <t>Caroline Jumper</t>
  </si>
  <si>
    <t>Bryan Davis</t>
  </si>
  <si>
    <t>Belkin 7 Outlet SurgeMaster Surge Protector with Phone Protection</t>
  </si>
  <si>
    <t>Henia Zydlo</t>
  </si>
  <si>
    <t>V7 USB Numeric Keypad</t>
  </si>
  <si>
    <t>Atlantic Metals Mobile 2-Shelf Bookcases, Custom Colors</t>
  </si>
  <si>
    <t>Avery Durable Slant Ring Binders</t>
  </si>
  <si>
    <t>Janet Martin</t>
  </si>
  <si>
    <t>Raymond Buch</t>
  </si>
  <si>
    <t>Avery 473</t>
  </si>
  <si>
    <t>Bush Somerset Collection Bookcase</t>
  </si>
  <si>
    <t>Jill Matthias</t>
  </si>
  <si>
    <t>GBC ProClick 150 Presentation Binding System</t>
  </si>
  <si>
    <t>GE General Purpose, Extra Long Life, Showcase &amp; Floodlight Incandescent Bulbs</t>
  </si>
  <si>
    <t>Clay Rozendal</t>
  </si>
  <si>
    <t>Super Decoflex Portable Personal File</t>
  </si>
  <si>
    <t>Lindsay Williams</t>
  </si>
  <si>
    <t>Sony Micro Vault Click 8 GB USB 2.0 Flash Drive</t>
  </si>
  <si>
    <t>Cynthia Voltz</t>
  </si>
  <si>
    <t>Canon imageCLASS 2200 Advanced Copier</t>
  </si>
  <si>
    <t>Eldon Expressions Mahogany Wood Desk Collection</t>
  </si>
  <si>
    <t>Telephone Message Books with Fax/Mobile Section, 5 1/2" x 3 3/16"</t>
  </si>
  <si>
    <t>Robert Waldorf</t>
  </si>
  <si>
    <t>Executive Impressions 16-1/2" Circular Wall Clock</t>
  </si>
  <si>
    <t>Scot Coram</t>
  </si>
  <si>
    <t>Liz Preis</t>
  </si>
  <si>
    <t>Cisco CP-7937G Unified IP Conference Station Phone</t>
  </si>
  <si>
    <t>Sanyo 2.5 Cubic Foot Mid-Size Office Refrigerators</t>
  </si>
  <si>
    <t>Fiskars Home &amp; Office Scissors</t>
  </si>
  <si>
    <t>Eldon 300 Class Desk Accessories, Black</t>
  </si>
  <si>
    <t>iHome FM Clock Radio with Lightning Dock</t>
  </si>
  <si>
    <t>Avery 498</t>
  </si>
  <si>
    <t>Barricks Non-Folding Utility Table with Steel Legs, Laminate Tops</t>
  </si>
  <si>
    <t>Alex Grayson</t>
  </si>
  <si>
    <t>Max Ludwig</t>
  </si>
  <si>
    <t>Array Memo Cubes</t>
  </si>
  <si>
    <t>Mick Hernandez</t>
  </si>
  <si>
    <t>Avery 515</t>
  </si>
  <si>
    <t>Belkin F9M820V08 8 Outlet Surge</t>
  </si>
  <si>
    <t>Acco Perma 2700 Stacking Storage Drawers</t>
  </si>
  <si>
    <t>Electrix Architect's Clamp-On Swing Arm Lamp, Black</t>
  </si>
  <si>
    <t>Xerox 1968</t>
  </si>
  <si>
    <t>Eldon 400 Class Desk Accessories, Black Carbon</t>
  </si>
  <si>
    <t>Xerox 1905</t>
  </si>
  <si>
    <t>Xerox 1982</t>
  </si>
  <si>
    <t>Charles McCrossin</t>
  </si>
  <si>
    <t>Sally Knutson</t>
  </si>
  <si>
    <t>Seth Thomas 12" Clock w/ Goldtone Case</t>
  </si>
  <si>
    <t>Strathmore Photo Mount Cards</t>
  </si>
  <si>
    <t>Samsung Galaxy Note 2</t>
  </si>
  <si>
    <t>Canon Image Class D660 Copier</t>
  </si>
  <si>
    <t>Roland Murray</t>
  </si>
  <si>
    <t>Tony Molinari</t>
  </si>
  <si>
    <t>Multimedia Mailers</t>
  </si>
  <si>
    <t>Color-Coded Legal Exhibit Labels</t>
  </si>
  <si>
    <t>North Dakota</t>
  </si>
  <si>
    <t>Belkin 8-Outlet Premiere SurgeMaster II Surge Protectors</t>
  </si>
  <si>
    <t>Eureka Disposable Bags for Sanitaire Vibra Groomer I Upright Vac</t>
  </si>
  <si>
    <t>Clay Cheatham</t>
  </si>
  <si>
    <t>Chuck Sachs</t>
  </si>
  <si>
    <t>Panasonic KP-310 Heavy-Duty Electric Pencil Sharpener</t>
  </si>
  <si>
    <t>Patricia Hirasaki</t>
  </si>
  <si>
    <t>Cubify CubeX 3D Printer Triple Head Print</t>
  </si>
  <si>
    <t>Month</t>
  </si>
  <si>
    <t>Row Labels</t>
  </si>
  <si>
    <t>Sum of Profit</t>
  </si>
  <si>
    <t>Grand Total</t>
  </si>
  <si>
    <t>Sum of Sales</t>
  </si>
  <si>
    <t>Column Labels</t>
  </si>
  <si>
    <t>Jan</t>
  </si>
  <si>
    <t>Feb</t>
  </si>
  <si>
    <t>Mar</t>
  </si>
  <si>
    <t>Apr</t>
  </si>
  <si>
    <t>May</t>
  </si>
  <si>
    <t>Jun</t>
  </si>
  <si>
    <t>Jul</t>
  </si>
  <si>
    <t>Aug</t>
  </si>
  <si>
    <t>Sep</t>
  </si>
  <si>
    <t>Oct</t>
  </si>
  <si>
    <t>Nov</t>
  </si>
  <si>
    <t>Dec</t>
  </si>
  <si>
    <t>Year</t>
  </si>
  <si>
    <t>2014</t>
  </si>
  <si>
    <t>2015</t>
  </si>
  <si>
    <t>2016</t>
  </si>
  <si>
    <t>2017</t>
  </si>
  <si>
    <t>Customer name</t>
  </si>
  <si>
    <t>Count of Customer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</si>
</sst>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5" formatCode="&quot;$&quot;#,##0_);\(&quot;$&quot;#,##0\)"/>
    <numFmt numFmtId="42" formatCode="_(&quot;$&quot;* #,##0_);_(&quot;$&quot;* \(#,##0\);_(&quot;$&quot;* &quot;-&quot;_);_(@_)"/>
    <numFmt numFmtId="44" formatCode="_(&quot;$&quot;* #,##0.00_);_(&quot;$&quot;* \(#,##0.00\);_(&quot;$&quot;* &quot;-&quot;??_);_(@_)"/>
    <numFmt numFmtId="164" formatCode="[$-409]dd\-mmm\-yy;@"/>
    <numFmt numFmtId="165" formatCode="&quot;$&quot;#,##0"/>
  </numFmts>
  <fonts count="7" x14ac:knownFonts="1">
    <font>
      <sz val="10"/>
      <color rgb="FF000000"/>
      <name val="Arial"/>
      <scheme val="minor"/>
    </font>
    <font>
      <sz val="10"/>
      <color theme="1"/>
      <name val="Arial"/>
      <scheme val="minor"/>
    </font>
    <font>
      <sz val="8"/>
      <name val="Arial"/>
      <scheme val="minor"/>
    </font>
    <font>
      <sz val="10"/>
      <color theme="1"/>
      <name val="Arial"/>
      <family val="2"/>
      <scheme val="minor"/>
    </font>
    <font>
      <sz val="10"/>
      <color rgb="FF000000"/>
      <name val="Arial"/>
      <family val="2"/>
      <scheme val="minor"/>
    </font>
    <font>
      <sz val="8"/>
      <name val="Arial"/>
      <family val="2"/>
      <scheme val="minor"/>
    </font>
    <font>
      <sz val="10"/>
      <color rgb="FF000000"/>
      <name val="Arial"/>
      <scheme val="minor"/>
    </font>
  </fonts>
  <fills count="2">
    <fill>
      <patternFill patternType="none"/>
    </fill>
    <fill>
      <patternFill patternType="gray125"/>
    </fill>
  </fills>
  <borders count="1">
    <border>
      <left/>
      <right/>
      <top/>
      <bottom/>
      <diagonal/>
    </border>
  </borders>
  <cellStyleXfs count="2">
    <xf numFmtId="0" fontId="0" fillId="0" borderId="0"/>
    <xf numFmtId="44" fontId="6" fillId="0" borderId="0" applyFont="0" applyFill="0" applyBorder="0" applyAlignment="0" applyProtection="0"/>
  </cellStyleXfs>
  <cellXfs count="17">
    <xf numFmtId="0" fontId="0" fillId="0" borderId="0" xfId="0"/>
    <xf numFmtId="0" fontId="1" fillId="0" borderId="0" xfId="0" applyFont="1"/>
    <xf numFmtId="164" fontId="1" fillId="0" borderId="0" xfId="0" applyNumberFormat="1" applyFont="1" applyAlignment="1">
      <alignment horizontal="left"/>
    </xf>
    <xf numFmtId="164" fontId="0" fillId="0" borderId="0" xfId="0" applyNumberFormat="1" applyAlignment="1">
      <alignment horizontal="left"/>
    </xf>
    <xf numFmtId="164" fontId="3" fillId="0" borderId="0" xfId="0" applyNumberFormat="1" applyFont="1" applyAlignment="1">
      <alignment horizontal="left"/>
    </xf>
    <xf numFmtId="49" fontId="3" fillId="0" borderId="0" xfId="0" applyNumberFormat="1" applyFont="1" applyAlignment="1">
      <alignment horizontal="left"/>
    </xf>
    <xf numFmtId="2" fontId="1" fillId="0" borderId="0" xfId="0" applyNumberFormat="1" applyFont="1"/>
    <xf numFmtId="1" fontId="1" fillId="0" borderId="0" xfId="0" applyNumberFormat="1" applyFont="1"/>
    <xf numFmtId="0" fontId="0" fillId="0" borderId="0" xfId="0" pivotButton="1"/>
    <xf numFmtId="0" fontId="0" fillId="0" borderId="0" xfId="0" applyAlignment="1">
      <alignment horizontal="left"/>
    </xf>
    <xf numFmtId="0" fontId="0" fillId="0" borderId="0" xfId="0" applyNumberFormat="1"/>
    <xf numFmtId="0" fontId="4" fillId="0" borderId="0" xfId="0" applyFont="1"/>
    <xf numFmtId="165" fontId="0" fillId="0" borderId="0" xfId="0" applyNumberFormat="1"/>
    <xf numFmtId="42" fontId="0" fillId="0" borderId="0" xfId="1" applyNumberFormat="1" applyFont="1"/>
    <xf numFmtId="165" fontId="0" fillId="0" borderId="0" xfId="1" applyNumberFormat="1" applyFont="1"/>
    <xf numFmtId="44" fontId="0" fillId="0" borderId="0" xfId="1" applyFont="1"/>
    <xf numFmtId="5" fontId="0" fillId="0" borderId="0" xfId="1" applyNumberFormat="1" applyFont="1"/>
  </cellXfs>
  <cellStyles count="2">
    <cellStyle name="Currency" xfId="1" builtinId="4"/>
    <cellStyle name="Normal" xfId="0" builtinId="0"/>
  </cellStyles>
  <dxfs count="14">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409]dd\-mmm\-yy;@"/>
      <alignment horizontal="left" vertical="bottom" textRotation="0" wrapText="0" indent="0" justifyLastLine="0" shrinkToFit="0" readingOrder="0"/>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color rgb="FF9C0006"/>
      </font>
      <fill>
        <patternFill>
          <bgColor rgb="FFFFC7CE"/>
        </patternFill>
      </fill>
    </dxf>
  </dxfs>
  <tableStyles count="1" defaultTableStyle="TableStyleMedium2" defaultPivotStyle="PivotStyleLight16">
    <tableStyle name="Slicer Style 1" pivot="0" table="0" count="0" xr9:uid="{BDAA5306-47B3-4915-908B-36CE16AFFD1C}"/>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project.xlsx]Sheet5!PivotTable10</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Sheet5!$B$3:$B$4</c:f>
              <c:strCache>
                <c:ptCount val="1"/>
                <c:pt idx="0">
                  <c:v>Furniture</c:v>
                </c:pt>
              </c:strCache>
            </c:strRef>
          </c:tx>
          <c:spPr>
            <a:ln w="28575" cap="rnd">
              <a:solidFill>
                <a:schemeClr val="accent1"/>
              </a:solidFill>
              <a:round/>
            </a:ln>
            <a:effectLst/>
          </c:spPr>
          <c:marker>
            <c:symbol val="none"/>
          </c:marker>
          <c:cat>
            <c:strRef>
              <c:f>Sheet5!$A$5:$A$6</c:f>
              <c:strCache>
                <c:ptCount val="1"/>
                <c:pt idx="0">
                  <c:v>2015</c:v>
                </c:pt>
              </c:strCache>
            </c:strRef>
          </c:cat>
          <c:val>
            <c:numRef>
              <c:f>Sheet5!$B$5:$B$6</c:f>
              <c:numCache>
                <c:formatCode>General</c:formatCode>
                <c:ptCount val="1"/>
                <c:pt idx="0">
                  <c:v>23.499999999999947</c:v>
                </c:pt>
              </c:numCache>
            </c:numRef>
          </c:val>
          <c:smooth val="0"/>
          <c:extLst>
            <c:ext xmlns:c16="http://schemas.microsoft.com/office/drawing/2014/chart" uri="{C3380CC4-5D6E-409C-BE32-E72D297353CC}">
              <c16:uniqueId val="{00000000-25ED-4BE9-8C12-4598714CD897}"/>
            </c:ext>
          </c:extLst>
        </c:ser>
        <c:ser>
          <c:idx val="1"/>
          <c:order val="1"/>
          <c:tx>
            <c:strRef>
              <c:f>Sheet5!$C$3:$C$4</c:f>
              <c:strCache>
                <c:ptCount val="1"/>
                <c:pt idx="0">
                  <c:v>Office Supplies</c:v>
                </c:pt>
              </c:strCache>
            </c:strRef>
          </c:tx>
          <c:spPr>
            <a:ln w="28575" cap="rnd">
              <a:solidFill>
                <a:schemeClr val="accent2"/>
              </a:solidFill>
              <a:round/>
            </a:ln>
            <a:effectLst/>
          </c:spPr>
          <c:marker>
            <c:symbol val="none"/>
          </c:marker>
          <c:cat>
            <c:strRef>
              <c:f>Sheet5!$A$5:$A$6</c:f>
              <c:strCache>
                <c:ptCount val="1"/>
                <c:pt idx="0">
                  <c:v>2015</c:v>
                </c:pt>
              </c:strCache>
            </c:strRef>
          </c:cat>
          <c:val>
            <c:numRef>
              <c:f>Sheet5!$C$5:$C$6</c:f>
              <c:numCache>
                <c:formatCode>General</c:formatCode>
                <c:ptCount val="1"/>
                <c:pt idx="0">
                  <c:v>958.36000000000149</c:v>
                </c:pt>
              </c:numCache>
            </c:numRef>
          </c:val>
          <c:smooth val="0"/>
          <c:extLst>
            <c:ext xmlns:c16="http://schemas.microsoft.com/office/drawing/2014/chart" uri="{C3380CC4-5D6E-409C-BE32-E72D297353CC}">
              <c16:uniqueId val="{00000001-25ED-4BE9-8C12-4598714CD897}"/>
            </c:ext>
          </c:extLst>
        </c:ser>
        <c:ser>
          <c:idx val="2"/>
          <c:order val="2"/>
          <c:tx>
            <c:strRef>
              <c:f>Sheet5!$D$3:$D$4</c:f>
              <c:strCache>
                <c:ptCount val="1"/>
                <c:pt idx="0">
                  <c:v>Technology</c:v>
                </c:pt>
              </c:strCache>
            </c:strRef>
          </c:tx>
          <c:spPr>
            <a:ln w="28575" cap="rnd">
              <a:solidFill>
                <a:schemeClr val="accent3"/>
              </a:solidFill>
              <a:round/>
            </a:ln>
            <a:effectLst/>
          </c:spPr>
          <c:marker>
            <c:symbol val="none"/>
          </c:marker>
          <c:cat>
            <c:strRef>
              <c:f>Sheet5!$A$5:$A$6</c:f>
              <c:strCache>
                <c:ptCount val="1"/>
                <c:pt idx="0">
                  <c:v>2015</c:v>
                </c:pt>
              </c:strCache>
            </c:strRef>
          </c:cat>
          <c:val>
            <c:numRef>
              <c:f>Sheet5!$D$5:$D$6</c:f>
              <c:numCache>
                <c:formatCode>General</c:formatCode>
                <c:ptCount val="1"/>
                <c:pt idx="0">
                  <c:v>2927.0400000000009</c:v>
                </c:pt>
              </c:numCache>
            </c:numRef>
          </c:val>
          <c:smooth val="0"/>
          <c:extLst>
            <c:ext xmlns:c16="http://schemas.microsoft.com/office/drawing/2014/chart" uri="{C3380CC4-5D6E-409C-BE32-E72D297353CC}">
              <c16:uniqueId val="{00000002-25ED-4BE9-8C12-4598714CD897}"/>
            </c:ext>
          </c:extLst>
        </c:ser>
        <c:dLbls>
          <c:showLegendKey val="0"/>
          <c:showVal val="0"/>
          <c:showCatName val="0"/>
          <c:showSerName val="0"/>
          <c:showPercent val="0"/>
          <c:showBubbleSize val="0"/>
        </c:dLbls>
        <c:smooth val="0"/>
        <c:axId val="388681128"/>
        <c:axId val="388684080"/>
      </c:lineChart>
      <c:catAx>
        <c:axId val="388681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4080"/>
        <c:crosses val="autoZero"/>
        <c:auto val="1"/>
        <c:lblAlgn val="ctr"/>
        <c:lblOffset val="100"/>
        <c:noMultiLvlLbl val="0"/>
      </c:catAx>
      <c:valAx>
        <c:axId val="388684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1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project.xlsx]Sheet6!PivotTable11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Sheet6!$B$3</c:f>
              <c:strCache>
                <c:ptCount val="1"/>
                <c:pt idx="0">
                  <c:v>Total</c:v>
                </c:pt>
              </c:strCache>
            </c:strRef>
          </c:tx>
          <c:spPr>
            <a:solidFill>
              <a:schemeClr val="accent2"/>
            </a:solidFill>
            <a:ln>
              <a:noFill/>
            </a:ln>
            <a:effectLst/>
          </c:spPr>
          <c:cat>
            <c:strRef>
              <c:f>Sheet6!$A$4:$A$16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Sheet6!$B$4:$B$16</c:f>
              <c:numCache>
                <c:formatCode>General</c:formatCode>
                <c:ptCount val="12"/>
                <c:pt idx="0">
                  <c:v>3551.0099999999998</c:v>
                </c:pt>
                <c:pt idx="1">
                  <c:v>3144.3400000000006</c:v>
                </c:pt>
                <c:pt idx="2">
                  <c:v>2130.67</c:v>
                </c:pt>
                <c:pt idx="3">
                  <c:v>2446.0099999999998</c:v>
                </c:pt>
                <c:pt idx="4">
                  <c:v>3040.52</c:v>
                </c:pt>
                <c:pt idx="5">
                  <c:v>588.96</c:v>
                </c:pt>
                <c:pt idx="6">
                  <c:v>9249.2100000000009</c:v>
                </c:pt>
                <c:pt idx="7">
                  <c:v>3144.88</c:v>
                </c:pt>
                <c:pt idx="8">
                  <c:v>7321.4599999999991</c:v>
                </c:pt>
                <c:pt idx="9">
                  <c:v>3093.79</c:v>
                </c:pt>
                <c:pt idx="10">
                  <c:v>2108.77</c:v>
                </c:pt>
                <c:pt idx="11">
                  <c:v>2961.1000000000004</c:v>
                </c:pt>
              </c:numCache>
            </c:numRef>
          </c:val>
          <c:extLst>
            <c:ext xmlns:c16="http://schemas.microsoft.com/office/drawing/2014/chart" uri="{C3380CC4-5D6E-409C-BE32-E72D297353CC}">
              <c16:uniqueId val="{00000000-D112-4736-B085-7E34270E8F1B}"/>
            </c:ext>
          </c:extLst>
        </c:ser>
        <c:dLbls>
          <c:showLegendKey val="0"/>
          <c:showVal val="0"/>
          <c:showCatName val="0"/>
          <c:showSerName val="0"/>
          <c:showPercent val="0"/>
          <c:showBubbleSize val="0"/>
        </c:dLbls>
        <c:axId val="479417912"/>
        <c:axId val="479413320"/>
      </c:areaChart>
      <c:catAx>
        <c:axId val="4794179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3320"/>
        <c:crosses val="autoZero"/>
        <c:auto val="1"/>
        <c:lblAlgn val="ctr"/>
        <c:lblOffset val="100"/>
        <c:noMultiLvlLbl val="0"/>
      </c:catAx>
      <c:valAx>
        <c:axId val="479413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791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project.xlsx]Sheet7!PivotTable12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s>
    <c:plotArea>
      <c:layout/>
      <c:pieChart>
        <c:varyColors val="1"/>
        <c:ser>
          <c:idx val="0"/>
          <c:order val="0"/>
          <c:tx>
            <c:strRef>
              <c:f>Sheet7!$B$3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B13-499F-86D9-3BD53C1C18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13-499F-86D9-3BD53C1C18B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B13-499F-86D9-3BD53C1C18B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B13-499F-86D9-3BD53C1C18B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B13-499F-86D9-3BD53C1C18B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B13-499F-86D9-3BD53C1C18B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B13-499F-86D9-3BD53C1C18B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B13-499F-86D9-3BD53C1C18B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B13-499F-86D9-3BD53C1C18B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B13-499F-86D9-3BD53C1C18B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B13-499F-86D9-3BD53C1C18B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B13-499F-86D9-3BD53C1C18B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B13-499F-86D9-3BD53C1C18B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B13-499F-86D9-3BD53C1C18B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B13-499F-86D9-3BD53C1C18B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6B13-499F-86D9-3BD53C1C18B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6B13-499F-86D9-3BD53C1C18B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6B13-499F-86D9-3BD53C1C18B1}"/>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6B13-499F-86D9-3BD53C1C18B1}"/>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6B13-499F-86D9-3BD53C1C18B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6B13-499F-86D9-3BD53C1C18B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6B13-499F-86D9-3BD53C1C18B1}"/>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6B13-499F-86D9-3BD53C1C18B1}"/>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6B13-499F-86D9-3BD53C1C18B1}"/>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6B13-499F-86D9-3BD53C1C18B1}"/>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6B13-499F-86D9-3BD53C1C18B1}"/>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6B13-499F-86D9-3BD53C1C18B1}"/>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6B13-499F-86D9-3BD53C1C18B1}"/>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6B13-499F-86D9-3BD53C1C18B1}"/>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6B13-499F-86D9-3BD53C1C18B1}"/>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6B13-499F-86D9-3BD53C1C18B1}"/>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6B13-499F-86D9-3BD53C1C18B1}"/>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6B13-499F-86D9-3BD53C1C18B1}"/>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6B13-499F-86D9-3BD53C1C18B1}"/>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6B13-499F-86D9-3BD53C1C18B1}"/>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6B13-499F-86D9-3BD53C1C18B1}"/>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6B13-499F-86D9-3BD53C1C18B1}"/>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6B13-499F-86D9-3BD53C1C18B1}"/>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6B13-499F-86D9-3BD53C1C18B1}"/>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6B13-499F-86D9-3BD53C1C18B1}"/>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6B13-499F-86D9-3BD53C1C18B1}"/>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6B13-499F-86D9-3BD53C1C18B1}"/>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6B13-499F-86D9-3BD53C1C18B1}"/>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6B13-499F-86D9-3BD53C1C18B1}"/>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6B13-499F-86D9-3BD53C1C18B1}"/>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6B13-499F-86D9-3BD53C1C18B1}"/>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6B13-499F-86D9-3BD53C1C18B1}"/>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6B13-499F-86D9-3BD53C1C18B1}"/>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6B13-499F-86D9-3BD53C1C18B1}"/>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6B13-499F-86D9-3BD53C1C18B1}"/>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6B13-499F-86D9-3BD53C1C18B1}"/>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6B13-499F-86D9-3BD53C1C18B1}"/>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6B13-499F-86D9-3BD53C1C18B1}"/>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6B13-499F-86D9-3BD53C1C18B1}"/>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6B13-499F-86D9-3BD53C1C18B1}"/>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6B13-499F-86D9-3BD53C1C18B1}"/>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6B13-499F-86D9-3BD53C1C18B1}"/>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6B13-499F-86D9-3BD53C1C18B1}"/>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6B13-499F-86D9-3BD53C1C18B1}"/>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6B13-499F-86D9-3BD53C1C18B1}"/>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6B13-499F-86D9-3BD53C1C18B1}"/>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6B13-499F-86D9-3BD53C1C18B1}"/>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6B13-499F-86D9-3BD53C1C18B1}"/>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6B13-499F-86D9-3BD53C1C18B1}"/>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6B13-499F-86D9-3BD53C1C18B1}"/>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6B13-499F-86D9-3BD53C1C18B1}"/>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6B13-499F-86D9-3BD53C1C18B1}"/>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6B13-499F-86D9-3BD53C1C18B1}"/>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6B13-499F-86D9-3BD53C1C18B1}"/>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6B13-499F-86D9-3BD53C1C18B1}"/>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6B13-499F-86D9-3BD53C1C18B1}"/>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6B13-499F-86D9-3BD53C1C18B1}"/>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6B13-499F-86D9-3BD53C1C18B1}"/>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6B13-499F-86D9-3BD53C1C18B1}"/>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6B13-499F-86D9-3BD53C1C18B1}"/>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6B13-499F-86D9-3BD53C1C18B1}"/>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6B13-499F-86D9-3BD53C1C18B1}"/>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6B13-499F-86D9-3BD53C1C18B1}"/>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6B13-499F-86D9-3BD53C1C18B1}"/>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6B13-499F-86D9-3BD53C1C18B1}"/>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6B13-499F-86D9-3BD53C1C18B1}"/>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6B13-499F-86D9-3BD53C1C18B1}"/>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6B13-499F-86D9-3BD53C1C18B1}"/>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6B13-499F-86D9-3BD53C1C18B1}"/>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6B13-499F-86D9-3BD53C1C18B1}"/>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6B13-499F-86D9-3BD53C1C18B1}"/>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6B13-499F-86D9-3BD53C1C18B1}"/>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6B13-499F-86D9-3BD53C1C18B1}"/>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6B13-499F-86D9-3BD53C1C18B1}"/>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6B13-499F-86D9-3BD53C1C18B1}"/>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6B13-499F-86D9-3BD53C1C18B1}"/>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6B13-499F-86D9-3BD53C1C18B1}"/>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6B13-499F-86D9-3BD53C1C18B1}"/>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6B13-499F-86D9-3BD53C1C18B1}"/>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6B13-499F-86D9-3BD53C1C18B1}"/>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6B13-499F-86D9-3BD53C1C18B1}"/>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6B13-499F-86D9-3BD53C1C18B1}"/>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6B13-499F-86D9-3BD53C1C18B1}"/>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6B13-499F-86D9-3BD53C1C18B1}"/>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6B13-499F-86D9-3BD53C1C18B1}"/>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6B13-499F-86D9-3BD53C1C18B1}"/>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6B13-499F-86D9-3BD53C1C18B1}"/>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6B13-499F-86D9-3BD53C1C18B1}"/>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6B13-499F-86D9-3BD53C1C18B1}"/>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6B13-499F-86D9-3BD53C1C18B1}"/>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6B13-499F-86D9-3BD53C1C18B1}"/>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6B13-499F-86D9-3BD53C1C18B1}"/>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6B13-499F-86D9-3BD53C1C18B1}"/>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6B13-499F-86D9-3BD53C1C18B1}"/>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6B13-499F-86D9-3BD53C1C18B1}"/>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6B13-499F-86D9-3BD53C1C18B1}"/>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6B13-499F-86D9-3BD53C1C18B1}"/>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6B13-499F-86D9-3BD53C1C18B1}"/>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6B13-499F-86D9-3BD53C1C18B1}"/>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6B13-499F-86D9-3BD53C1C18B1}"/>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6B13-499F-86D9-3BD53C1C18B1}"/>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6B13-499F-86D9-3BD53C1C18B1}"/>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6B13-499F-86D9-3BD53C1C18B1}"/>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6B13-499F-86D9-3BD53C1C18B1}"/>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6B13-499F-86D9-3BD53C1C18B1}"/>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6B13-499F-86D9-3BD53C1C18B1}"/>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6B13-499F-86D9-3BD53C1C18B1}"/>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6B13-499F-86D9-3BD53C1C18B1}"/>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6B13-499F-86D9-3BD53C1C18B1}"/>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6B13-499F-86D9-3BD53C1C18B1}"/>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6B13-499F-86D9-3BD53C1C18B1}"/>
              </c:ext>
            </c:extLst>
          </c:dPt>
          <c:dPt>
            <c:idx val="126"/>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FD-6B13-499F-86D9-3BD53C1C18B1}"/>
              </c:ext>
            </c:extLst>
          </c:dPt>
          <c:dPt>
            <c:idx val="127"/>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FF-6B13-499F-86D9-3BD53C1C18B1}"/>
              </c:ext>
            </c:extLst>
          </c:dPt>
          <c:dPt>
            <c:idx val="128"/>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1-6B13-499F-86D9-3BD53C1C18B1}"/>
              </c:ext>
            </c:extLst>
          </c:dPt>
          <c:dPt>
            <c:idx val="129"/>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3-6B13-499F-86D9-3BD53C1C18B1}"/>
              </c:ext>
            </c:extLst>
          </c:dPt>
          <c:dPt>
            <c:idx val="130"/>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5-6B13-499F-86D9-3BD53C1C18B1}"/>
              </c:ext>
            </c:extLst>
          </c:dPt>
          <c:dPt>
            <c:idx val="131"/>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7-6B13-499F-86D9-3BD53C1C18B1}"/>
              </c:ext>
            </c:extLst>
          </c:dPt>
          <c:dPt>
            <c:idx val="13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9-6B13-499F-86D9-3BD53C1C18B1}"/>
              </c:ext>
            </c:extLst>
          </c:dPt>
          <c:dPt>
            <c:idx val="133"/>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B-6B13-499F-86D9-3BD53C1C18B1}"/>
              </c:ext>
            </c:extLst>
          </c:dPt>
          <c:dPt>
            <c:idx val="134"/>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0D-6B13-499F-86D9-3BD53C1C18B1}"/>
              </c:ext>
            </c:extLst>
          </c:dPt>
          <c:dPt>
            <c:idx val="135"/>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0F-6B13-499F-86D9-3BD53C1C18B1}"/>
              </c:ext>
            </c:extLst>
          </c:dPt>
          <c:dPt>
            <c:idx val="136"/>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1-6B13-499F-86D9-3BD53C1C18B1}"/>
              </c:ext>
            </c:extLst>
          </c:dPt>
          <c:dPt>
            <c:idx val="137"/>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3-6B13-499F-86D9-3BD53C1C18B1}"/>
              </c:ext>
            </c:extLst>
          </c:dPt>
          <c:dPt>
            <c:idx val="138"/>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5-6B13-499F-86D9-3BD53C1C18B1}"/>
              </c:ext>
            </c:extLst>
          </c:dPt>
          <c:dPt>
            <c:idx val="139"/>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7-6B13-499F-86D9-3BD53C1C18B1}"/>
              </c:ext>
            </c:extLst>
          </c:dPt>
          <c:dPt>
            <c:idx val="140"/>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9-6B13-499F-86D9-3BD53C1C18B1}"/>
              </c:ext>
            </c:extLst>
          </c:dPt>
          <c:dPt>
            <c:idx val="141"/>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B-6B13-499F-86D9-3BD53C1C18B1}"/>
              </c:ext>
            </c:extLst>
          </c:dPt>
          <c:dPt>
            <c:idx val="142"/>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1D-6B13-499F-86D9-3BD53C1C18B1}"/>
              </c:ext>
            </c:extLst>
          </c:dPt>
          <c:dPt>
            <c:idx val="143"/>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1F-6B13-499F-86D9-3BD53C1C18B1}"/>
              </c:ext>
            </c:extLst>
          </c:dPt>
          <c:dPt>
            <c:idx val="144"/>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21-6B13-499F-86D9-3BD53C1C18B1}"/>
              </c:ext>
            </c:extLst>
          </c:dPt>
          <c:dPt>
            <c:idx val="145"/>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23-6B13-499F-86D9-3BD53C1C18B1}"/>
              </c:ext>
            </c:extLst>
          </c:dPt>
          <c:dPt>
            <c:idx val="146"/>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25-6B13-499F-86D9-3BD53C1C18B1}"/>
              </c:ext>
            </c:extLst>
          </c:dPt>
          <c:dPt>
            <c:idx val="147"/>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27-6B13-499F-86D9-3BD53C1C18B1}"/>
              </c:ext>
            </c:extLst>
          </c:dPt>
          <c:dPt>
            <c:idx val="148"/>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29-6B13-499F-86D9-3BD53C1C18B1}"/>
              </c:ext>
            </c:extLst>
          </c:dPt>
          <c:dPt>
            <c:idx val="149"/>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2B-6B13-499F-86D9-3BD53C1C18B1}"/>
              </c:ext>
            </c:extLst>
          </c:dPt>
          <c:dPt>
            <c:idx val="150"/>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2D-6B13-499F-86D9-3BD53C1C18B1}"/>
              </c:ext>
            </c:extLst>
          </c:dPt>
          <c:dPt>
            <c:idx val="151"/>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2F-6B13-499F-86D9-3BD53C1C18B1}"/>
              </c:ext>
            </c:extLst>
          </c:dPt>
          <c:dPt>
            <c:idx val="152"/>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31-6B13-499F-86D9-3BD53C1C18B1}"/>
              </c:ext>
            </c:extLst>
          </c:dPt>
          <c:dPt>
            <c:idx val="153"/>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33-6B13-499F-86D9-3BD53C1C18B1}"/>
              </c:ext>
            </c:extLst>
          </c:dPt>
          <c:dPt>
            <c:idx val="154"/>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35-6B13-499F-86D9-3BD53C1C18B1}"/>
              </c:ext>
            </c:extLst>
          </c:dPt>
          <c:dPt>
            <c:idx val="155"/>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37-6B13-499F-86D9-3BD53C1C18B1}"/>
              </c:ext>
            </c:extLst>
          </c:dPt>
          <c:dPt>
            <c:idx val="156"/>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39-6B13-499F-86D9-3BD53C1C18B1}"/>
              </c:ext>
            </c:extLst>
          </c:dPt>
          <c:dPt>
            <c:idx val="157"/>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3B-6B13-499F-86D9-3BD53C1C18B1}"/>
              </c:ext>
            </c:extLst>
          </c:dPt>
          <c:dPt>
            <c:idx val="158"/>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3D-6B13-499F-86D9-3BD53C1C18B1}"/>
              </c:ext>
            </c:extLst>
          </c:dPt>
          <c:dPt>
            <c:idx val="159"/>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3F-6B13-499F-86D9-3BD53C1C18B1}"/>
              </c:ext>
            </c:extLst>
          </c:dPt>
          <c:dPt>
            <c:idx val="160"/>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41-6B13-499F-86D9-3BD53C1C18B1}"/>
              </c:ext>
            </c:extLst>
          </c:dPt>
          <c:dPt>
            <c:idx val="161"/>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43-6B13-499F-86D9-3BD53C1C18B1}"/>
              </c:ext>
            </c:extLst>
          </c:dPt>
          <c:dPt>
            <c:idx val="162"/>
            <c:bubble3D val="0"/>
            <c:spPr>
              <a:solidFill>
                <a:schemeClr val="accent1"/>
              </a:solidFill>
              <a:ln w="19050">
                <a:solidFill>
                  <a:schemeClr val="lt1"/>
                </a:solidFill>
              </a:ln>
              <a:effectLst/>
            </c:spPr>
            <c:extLst>
              <c:ext xmlns:c16="http://schemas.microsoft.com/office/drawing/2014/chart" uri="{C3380CC4-5D6E-409C-BE32-E72D297353CC}">
                <c16:uniqueId val="{00000145-6B13-499F-86D9-3BD53C1C18B1}"/>
              </c:ext>
            </c:extLst>
          </c:dPt>
          <c:dPt>
            <c:idx val="163"/>
            <c:bubble3D val="0"/>
            <c:spPr>
              <a:solidFill>
                <a:schemeClr val="accent2"/>
              </a:solidFill>
              <a:ln w="19050">
                <a:solidFill>
                  <a:schemeClr val="lt1"/>
                </a:solidFill>
              </a:ln>
              <a:effectLst/>
            </c:spPr>
            <c:extLst>
              <c:ext xmlns:c16="http://schemas.microsoft.com/office/drawing/2014/chart" uri="{C3380CC4-5D6E-409C-BE32-E72D297353CC}">
                <c16:uniqueId val="{00000147-6B13-499F-86D9-3BD53C1C18B1}"/>
              </c:ext>
            </c:extLst>
          </c:dPt>
          <c:dPt>
            <c:idx val="164"/>
            <c:bubble3D val="0"/>
            <c:spPr>
              <a:solidFill>
                <a:schemeClr val="accent3"/>
              </a:solidFill>
              <a:ln w="19050">
                <a:solidFill>
                  <a:schemeClr val="lt1"/>
                </a:solidFill>
              </a:ln>
              <a:effectLst/>
            </c:spPr>
            <c:extLst>
              <c:ext xmlns:c16="http://schemas.microsoft.com/office/drawing/2014/chart" uri="{C3380CC4-5D6E-409C-BE32-E72D297353CC}">
                <c16:uniqueId val="{00000149-6B13-499F-86D9-3BD53C1C18B1}"/>
              </c:ext>
            </c:extLst>
          </c:dPt>
          <c:dPt>
            <c:idx val="165"/>
            <c:bubble3D val="0"/>
            <c:spPr>
              <a:solidFill>
                <a:schemeClr val="accent4"/>
              </a:solidFill>
              <a:ln w="19050">
                <a:solidFill>
                  <a:schemeClr val="lt1"/>
                </a:solidFill>
              </a:ln>
              <a:effectLst/>
            </c:spPr>
            <c:extLst>
              <c:ext xmlns:c16="http://schemas.microsoft.com/office/drawing/2014/chart" uri="{C3380CC4-5D6E-409C-BE32-E72D297353CC}">
                <c16:uniqueId val="{0000014B-6B13-499F-86D9-3BD53C1C18B1}"/>
              </c:ext>
            </c:extLst>
          </c:dPt>
          <c:dPt>
            <c:idx val="166"/>
            <c:bubble3D val="0"/>
            <c:spPr>
              <a:solidFill>
                <a:schemeClr val="accent5"/>
              </a:solidFill>
              <a:ln w="19050">
                <a:solidFill>
                  <a:schemeClr val="lt1"/>
                </a:solidFill>
              </a:ln>
              <a:effectLst/>
            </c:spPr>
            <c:extLst>
              <c:ext xmlns:c16="http://schemas.microsoft.com/office/drawing/2014/chart" uri="{C3380CC4-5D6E-409C-BE32-E72D297353CC}">
                <c16:uniqueId val="{0000014D-6B13-499F-86D9-3BD53C1C18B1}"/>
              </c:ext>
            </c:extLst>
          </c:dPt>
          <c:dPt>
            <c:idx val="167"/>
            <c:bubble3D val="0"/>
            <c:spPr>
              <a:solidFill>
                <a:schemeClr val="accent6"/>
              </a:solidFill>
              <a:ln w="19050">
                <a:solidFill>
                  <a:schemeClr val="lt1"/>
                </a:solidFill>
              </a:ln>
              <a:effectLst/>
            </c:spPr>
            <c:extLst>
              <c:ext xmlns:c16="http://schemas.microsoft.com/office/drawing/2014/chart" uri="{C3380CC4-5D6E-409C-BE32-E72D297353CC}">
                <c16:uniqueId val="{0000014F-6B13-499F-86D9-3BD53C1C18B1}"/>
              </c:ext>
            </c:extLst>
          </c:dPt>
          <c:dPt>
            <c:idx val="16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51-6B13-499F-86D9-3BD53C1C18B1}"/>
              </c:ext>
            </c:extLst>
          </c:dPt>
          <c:dPt>
            <c:idx val="169"/>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53-6B13-499F-86D9-3BD53C1C18B1}"/>
              </c:ext>
            </c:extLst>
          </c:dPt>
          <c:dPt>
            <c:idx val="170"/>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55-6B13-499F-86D9-3BD53C1C18B1}"/>
              </c:ext>
            </c:extLst>
          </c:dPt>
          <c:dPt>
            <c:idx val="171"/>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57-6B13-499F-86D9-3BD53C1C18B1}"/>
              </c:ext>
            </c:extLst>
          </c:dPt>
          <c:dPt>
            <c:idx val="172"/>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59-6B13-499F-86D9-3BD53C1C18B1}"/>
              </c:ext>
            </c:extLst>
          </c:dPt>
          <c:dPt>
            <c:idx val="17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5B-6B13-499F-86D9-3BD53C1C18B1}"/>
              </c:ext>
            </c:extLst>
          </c:dPt>
          <c:dPt>
            <c:idx val="174"/>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5D-6B13-499F-86D9-3BD53C1C18B1}"/>
              </c:ext>
            </c:extLst>
          </c:dPt>
          <c:dPt>
            <c:idx val="175"/>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5F-6B13-499F-86D9-3BD53C1C18B1}"/>
              </c:ext>
            </c:extLst>
          </c:dPt>
          <c:dPt>
            <c:idx val="176"/>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61-6B13-499F-86D9-3BD53C1C18B1}"/>
              </c:ext>
            </c:extLst>
          </c:dPt>
          <c:dPt>
            <c:idx val="177"/>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63-6B13-499F-86D9-3BD53C1C18B1}"/>
              </c:ext>
            </c:extLst>
          </c:dPt>
          <c:dPt>
            <c:idx val="178"/>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65-6B13-499F-86D9-3BD53C1C18B1}"/>
              </c:ext>
            </c:extLst>
          </c:dPt>
          <c:dPt>
            <c:idx val="179"/>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67-6B13-499F-86D9-3BD53C1C18B1}"/>
              </c:ext>
            </c:extLst>
          </c:dPt>
          <c:dPt>
            <c:idx val="180"/>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69-6B13-499F-86D9-3BD53C1C18B1}"/>
              </c:ext>
            </c:extLst>
          </c:dPt>
          <c:dPt>
            <c:idx val="181"/>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6B-6B13-499F-86D9-3BD53C1C18B1}"/>
              </c:ext>
            </c:extLst>
          </c:dPt>
          <c:dPt>
            <c:idx val="182"/>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6D-6B13-499F-86D9-3BD53C1C18B1}"/>
              </c:ext>
            </c:extLst>
          </c:dPt>
          <c:dPt>
            <c:idx val="183"/>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6F-6B13-499F-86D9-3BD53C1C18B1}"/>
              </c:ext>
            </c:extLst>
          </c:dPt>
          <c:dPt>
            <c:idx val="184"/>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71-6B13-499F-86D9-3BD53C1C18B1}"/>
              </c:ext>
            </c:extLst>
          </c:dPt>
          <c:dPt>
            <c:idx val="185"/>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73-6B13-499F-86D9-3BD53C1C18B1}"/>
              </c:ext>
            </c:extLst>
          </c:dPt>
          <c:dPt>
            <c:idx val="186"/>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75-6B13-499F-86D9-3BD53C1C18B1}"/>
              </c:ext>
            </c:extLst>
          </c:dPt>
          <c:dPt>
            <c:idx val="187"/>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77-6B13-499F-86D9-3BD53C1C18B1}"/>
              </c:ext>
            </c:extLst>
          </c:dPt>
          <c:dPt>
            <c:idx val="188"/>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79-6B13-499F-86D9-3BD53C1C18B1}"/>
              </c:ext>
            </c:extLst>
          </c:dPt>
          <c:dPt>
            <c:idx val="189"/>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7B-6B13-499F-86D9-3BD53C1C18B1}"/>
              </c:ext>
            </c:extLst>
          </c:dPt>
          <c:dPt>
            <c:idx val="19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7D-6B13-499F-86D9-3BD53C1C18B1}"/>
              </c:ext>
            </c:extLst>
          </c:dPt>
          <c:dPt>
            <c:idx val="191"/>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7F-6B13-499F-86D9-3BD53C1C18B1}"/>
              </c:ext>
            </c:extLst>
          </c:dPt>
          <c:dPt>
            <c:idx val="19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81-6B13-499F-86D9-3BD53C1C18B1}"/>
              </c:ext>
            </c:extLst>
          </c:dPt>
          <c:dPt>
            <c:idx val="193"/>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83-6B13-499F-86D9-3BD53C1C18B1}"/>
              </c:ext>
            </c:extLst>
          </c:dPt>
          <c:dPt>
            <c:idx val="194"/>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85-6B13-499F-86D9-3BD53C1C18B1}"/>
              </c:ext>
            </c:extLst>
          </c:dPt>
          <c:dPt>
            <c:idx val="195"/>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87-6B13-499F-86D9-3BD53C1C18B1}"/>
              </c:ext>
            </c:extLst>
          </c:dPt>
          <c:dPt>
            <c:idx val="196"/>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89-6B13-499F-86D9-3BD53C1C18B1}"/>
              </c:ext>
            </c:extLst>
          </c:dPt>
          <c:dPt>
            <c:idx val="197"/>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8B-6B13-499F-86D9-3BD53C1C18B1}"/>
              </c:ext>
            </c:extLst>
          </c:dPt>
          <c:dPt>
            <c:idx val="198"/>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8D-6B13-499F-86D9-3BD53C1C18B1}"/>
              </c:ext>
            </c:extLst>
          </c:dPt>
          <c:dPt>
            <c:idx val="199"/>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8F-6B13-499F-86D9-3BD53C1C18B1}"/>
              </c:ext>
            </c:extLst>
          </c:dPt>
          <c:dPt>
            <c:idx val="200"/>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91-6B13-499F-86D9-3BD53C1C18B1}"/>
              </c:ext>
            </c:extLst>
          </c:dPt>
          <c:dPt>
            <c:idx val="201"/>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93-6B13-499F-86D9-3BD53C1C18B1}"/>
              </c:ext>
            </c:extLst>
          </c:dPt>
          <c:dPt>
            <c:idx val="202"/>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95-6B13-499F-86D9-3BD53C1C18B1}"/>
              </c:ext>
            </c:extLst>
          </c:dPt>
          <c:dPt>
            <c:idx val="203"/>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97-6B13-499F-86D9-3BD53C1C18B1}"/>
              </c:ext>
            </c:extLst>
          </c:dPt>
          <c:dPt>
            <c:idx val="204"/>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99-6B13-499F-86D9-3BD53C1C18B1}"/>
              </c:ext>
            </c:extLst>
          </c:dPt>
          <c:dPt>
            <c:idx val="205"/>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9B-6B13-499F-86D9-3BD53C1C18B1}"/>
              </c:ext>
            </c:extLst>
          </c:dPt>
          <c:dPt>
            <c:idx val="206"/>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9D-6B13-499F-86D9-3BD53C1C18B1}"/>
              </c:ext>
            </c:extLst>
          </c:dPt>
          <c:dPt>
            <c:idx val="207"/>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9F-6B13-499F-86D9-3BD53C1C18B1}"/>
              </c:ext>
            </c:extLst>
          </c:dPt>
          <c:dPt>
            <c:idx val="208"/>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A1-6B13-499F-86D9-3BD53C1C18B1}"/>
              </c:ext>
            </c:extLst>
          </c:dPt>
          <c:dPt>
            <c:idx val="209"/>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A3-6B13-499F-86D9-3BD53C1C18B1}"/>
              </c:ext>
            </c:extLst>
          </c:dPt>
          <c:dPt>
            <c:idx val="210"/>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A5-6B13-499F-86D9-3BD53C1C18B1}"/>
              </c:ext>
            </c:extLst>
          </c:dPt>
          <c:dPt>
            <c:idx val="211"/>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A7-6B13-499F-86D9-3BD53C1C18B1}"/>
              </c:ext>
            </c:extLst>
          </c:dPt>
          <c:dPt>
            <c:idx val="212"/>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A9-6B13-499F-86D9-3BD53C1C18B1}"/>
              </c:ext>
            </c:extLst>
          </c:dPt>
          <c:dPt>
            <c:idx val="213"/>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AB-6B13-499F-86D9-3BD53C1C18B1}"/>
              </c:ext>
            </c:extLst>
          </c:dPt>
          <c:dPt>
            <c:idx val="214"/>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AD-6B13-499F-86D9-3BD53C1C18B1}"/>
              </c:ext>
            </c:extLst>
          </c:dPt>
          <c:dPt>
            <c:idx val="215"/>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AF-6B13-499F-86D9-3BD53C1C18B1}"/>
              </c:ext>
            </c:extLst>
          </c:dPt>
          <c:dPt>
            <c:idx val="216"/>
            <c:bubble3D val="0"/>
            <c:spPr>
              <a:solidFill>
                <a:schemeClr val="accent1"/>
              </a:solidFill>
              <a:ln w="19050">
                <a:solidFill>
                  <a:schemeClr val="lt1"/>
                </a:solidFill>
              </a:ln>
              <a:effectLst/>
            </c:spPr>
            <c:extLst>
              <c:ext xmlns:c16="http://schemas.microsoft.com/office/drawing/2014/chart" uri="{C3380CC4-5D6E-409C-BE32-E72D297353CC}">
                <c16:uniqueId val="{000001B1-6B13-499F-86D9-3BD53C1C18B1}"/>
              </c:ext>
            </c:extLst>
          </c:dPt>
          <c:dPt>
            <c:idx val="217"/>
            <c:bubble3D val="0"/>
            <c:spPr>
              <a:solidFill>
                <a:schemeClr val="accent2"/>
              </a:solidFill>
              <a:ln w="19050">
                <a:solidFill>
                  <a:schemeClr val="lt1"/>
                </a:solidFill>
              </a:ln>
              <a:effectLst/>
            </c:spPr>
            <c:extLst>
              <c:ext xmlns:c16="http://schemas.microsoft.com/office/drawing/2014/chart" uri="{C3380CC4-5D6E-409C-BE32-E72D297353CC}">
                <c16:uniqueId val="{000001B3-6B13-499F-86D9-3BD53C1C18B1}"/>
              </c:ext>
            </c:extLst>
          </c:dPt>
          <c:dPt>
            <c:idx val="218"/>
            <c:bubble3D val="0"/>
            <c:spPr>
              <a:solidFill>
                <a:schemeClr val="accent3"/>
              </a:solidFill>
              <a:ln w="19050">
                <a:solidFill>
                  <a:schemeClr val="lt1"/>
                </a:solidFill>
              </a:ln>
              <a:effectLst/>
            </c:spPr>
            <c:extLst>
              <c:ext xmlns:c16="http://schemas.microsoft.com/office/drawing/2014/chart" uri="{C3380CC4-5D6E-409C-BE32-E72D297353CC}">
                <c16:uniqueId val="{000001B5-6B13-499F-86D9-3BD53C1C18B1}"/>
              </c:ext>
            </c:extLst>
          </c:dPt>
          <c:dPt>
            <c:idx val="219"/>
            <c:bubble3D val="0"/>
            <c:spPr>
              <a:solidFill>
                <a:schemeClr val="accent4"/>
              </a:solidFill>
              <a:ln w="19050">
                <a:solidFill>
                  <a:schemeClr val="lt1"/>
                </a:solidFill>
              </a:ln>
              <a:effectLst/>
            </c:spPr>
            <c:extLst>
              <c:ext xmlns:c16="http://schemas.microsoft.com/office/drawing/2014/chart" uri="{C3380CC4-5D6E-409C-BE32-E72D297353CC}">
                <c16:uniqueId val="{000001B7-6B13-499F-86D9-3BD53C1C18B1}"/>
              </c:ext>
            </c:extLst>
          </c:dPt>
          <c:dPt>
            <c:idx val="220"/>
            <c:bubble3D val="0"/>
            <c:spPr>
              <a:solidFill>
                <a:schemeClr val="accent5"/>
              </a:solidFill>
              <a:ln w="19050">
                <a:solidFill>
                  <a:schemeClr val="lt1"/>
                </a:solidFill>
              </a:ln>
              <a:effectLst/>
            </c:spPr>
            <c:extLst>
              <c:ext xmlns:c16="http://schemas.microsoft.com/office/drawing/2014/chart" uri="{C3380CC4-5D6E-409C-BE32-E72D297353CC}">
                <c16:uniqueId val="{000001B9-6B13-499F-86D9-3BD53C1C18B1}"/>
              </c:ext>
            </c:extLst>
          </c:dPt>
          <c:dPt>
            <c:idx val="221"/>
            <c:bubble3D val="0"/>
            <c:spPr>
              <a:solidFill>
                <a:schemeClr val="accent6"/>
              </a:solidFill>
              <a:ln w="19050">
                <a:solidFill>
                  <a:schemeClr val="lt1"/>
                </a:solidFill>
              </a:ln>
              <a:effectLst/>
            </c:spPr>
            <c:extLst>
              <c:ext xmlns:c16="http://schemas.microsoft.com/office/drawing/2014/chart" uri="{C3380CC4-5D6E-409C-BE32-E72D297353CC}">
                <c16:uniqueId val="{000001BB-6B13-499F-86D9-3BD53C1C18B1}"/>
              </c:ext>
            </c:extLst>
          </c:dPt>
          <c:dPt>
            <c:idx val="222"/>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BD-6B13-499F-86D9-3BD53C1C18B1}"/>
              </c:ext>
            </c:extLst>
          </c:dPt>
          <c:dPt>
            <c:idx val="22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BF-6B13-499F-86D9-3BD53C1C18B1}"/>
              </c:ext>
            </c:extLst>
          </c:dPt>
          <c:dPt>
            <c:idx val="22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C1-6B13-499F-86D9-3BD53C1C18B1}"/>
              </c:ext>
            </c:extLst>
          </c:dPt>
          <c:dPt>
            <c:idx val="225"/>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C3-6B13-499F-86D9-3BD53C1C18B1}"/>
              </c:ext>
            </c:extLst>
          </c:dPt>
          <c:dPt>
            <c:idx val="226"/>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C5-6B13-499F-86D9-3BD53C1C18B1}"/>
              </c:ext>
            </c:extLst>
          </c:dPt>
          <c:dPt>
            <c:idx val="227"/>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C7-6B13-499F-86D9-3BD53C1C18B1}"/>
              </c:ext>
            </c:extLst>
          </c:dPt>
          <c:dPt>
            <c:idx val="228"/>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C9-6B13-499F-86D9-3BD53C1C18B1}"/>
              </c:ext>
            </c:extLst>
          </c:dPt>
          <c:dPt>
            <c:idx val="229"/>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CB-6B13-499F-86D9-3BD53C1C18B1}"/>
              </c:ext>
            </c:extLst>
          </c:dPt>
          <c:dPt>
            <c:idx val="230"/>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CD-6B13-499F-86D9-3BD53C1C18B1}"/>
              </c:ext>
            </c:extLst>
          </c:dPt>
          <c:dPt>
            <c:idx val="231"/>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CF-6B13-499F-86D9-3BD53C1C18B1}"/>
              </c:ext>
            </c:extLst>
          </c:dPt>
          <c:dPt>
            <c:idx val="232"/>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D1-6B13-499F-86D9-3BD53C1C18B1}"/>
              </c:ext>
            </c:extLst>
          </c:dPt>
          <c:dPt>
            <c:idx val="233"/>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D3-6B13-499F-86D9-3BD53C1C18B1}"/>
              </c:ext>
            </c:extLst>
          </c:dPt>
          <c:dPt>
            <c:idx val="234"/>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D5-6B13-499F-86D9-3BD53C1C18B1}"/>
              </c:ext>
            </c:extLst>
          </c:dPt>
          <c:dPt>
            <c:idx val="235"/>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D7-6B13-499F-86D9-3BD53C1C18B1}"/>
              </c:ext>
            </c:extLst>
          </c:dPt>
          <c:dPt>
            <c:idx val="236"/>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D9-6B13-499F-86D9-3BD53C1C18B1}"/>
              </c:ext>
            </c:extLst>
          </c:dPt>
          <c:dPt>
            <c:idx val="237"/>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DB-6B13-499F-86D9-3BD53C1C18B1}"/>
              </c:ext>
            </c:extLst>
          </c:dPt>
          <c:dPt>
            <c:idx val="238"/>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DD-6B13-499F-86D9-3BD53C1C18B1}"/>
              </c:ext>
            </c:extLst>
          </c:dPt>
          <c:dPt>
            <c:idx val="239"/>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DF-6B13-499F-86D9-3BD53C1C18B1}"/>
              </c:ext>
            </c:extLst>
          </c:dPt>
          <c:dPt>
            <c:idx val="24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E1-6B13-499F-86D9-3BD53C1C18B1}"/>
              </c:ext>
            </c:extLst>
          </c:dPt>
          <c:dPt>
            <c:idx val="24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E3-6B13-499F-86D9-3BD53C1C18B1}"/>
              </c:ext>
            </c:extLst>
          </c:dPt>
          <c:dPt>
            <c:idx val="242"/>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E5-6B13-499F-86D9-3BD53C1C18B1}"/>
              </c:ext>
            </c:extLst>
          </c:dPt>
          <c:dPt>
            <c:idx val="24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E7-6B13-499F-86D9-3BD53C1C18B1}"/>
              </c:ext>
            </c:extLst>
          </c:dPt>
          <c:dPt>
            <c:idx val="244"/>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E9-6B13-499F-86D9-3BD53C1C18B1}"/>
              </c:ext>
            </c:extLst>
          </c:dPt>
          <c:dPt>
            <c:idx val="245"/>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EB-6B13-499F-86D9-3BD53C1C18B1}"/>
              </c:ext>
            </c:extLst>
          </c:dPt>
          <c:dPt>
            <c:idx val="246"/>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ED-6B13-499F-86D9-3BD53C1C18B1}"/>
              </c:ext>
            </c:extLst>
          </c:dPt>
          <c:dPt>
            <c:idx val="247"/>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EF-6B13-499F-86D9-3BD53C1C18B1}"/>
              </c:ext>
            </c:extLst>
          </c:dPt>
          <c:dPt>
            <c:idx val="248"/>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F1-6B13-499F-86D9-3BD53C1C18B1}"/>
              </c:ext>
            </c:extLst>
          </c:dPt>
          <c:dPt>
            <c:idx val="249"/>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F3-6B13-499F-86D9-3BD53C1C18B1}"/>
              </c:ext>
            </c:extLst>
          </c:dPt>
          <c:dPt>
            <c:idx val="250"/>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F5-6B13-499F-86D9-3BD53C1C18B1}"/>
              </c:ext>
            </c:extLst>
          </c:dPt>
          <c:dPt>
            <c:idx val="25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F7-6B13-499F-86D9-3BD53C1C18B1}"/>
              </c:ext>
            </c:extLst>
          </c:dPt>
          <c:dPt>
            <c:idx val="252"/>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F9-6B13-499F-86D9-3BD53C1C18B1}"/>
              </c:ext>
            </c:extLst>
          </c:dPt>
          <c:dPt>
            <c:idx val="253"/>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FB-6B13-499F-86D9-3BD53C1C18B1}"/>
              </c:ext>
            </c:extLst>
          </c:dPt>
          <c:dPt>
            <c:idx val="254"/>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FD-6B13-499F-86D9-3BD53C1C18B1}"/>
              </c:ext>
            </c:extLst>
          </c:dPt>
          <c:dPt>
            <c:idx val="255"/>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FF-6B13-499F-86D9-3BD53C1C18B1}"/>
              </c:ext>
            </c:extLst>
          </c:dPt>
          <c:dPt>
            <c:idx val="256"/>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01-6B13-499F-86D9-3BD53C1C18B1}"/>
              </c:ext>
            </c:extLst>
          </c:dPt>
          <c:dPt>
            <c:idx val="257"/>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03-6B13-499F-86D9-3BD53C1C18B1}"/>
              </c:ext>
            </c:extLst>
          </c:dPt>
          <c:dPt>
            <c:idx val="258"/>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05-6B13-499F-86D9-3BD53C1C18B1}"/>
              </c:ext>
            </c:extLst>
          </c:dPt>
          <c:dPt>
            <c:idx val="259"/>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07-6B13-499F-86D9-3BD53C1C18B1}"/>
              </c:ext>
            </c:extLst>
          </c:dPt>
          <c:dPt>
            <c:idx val="260"/>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09-6B13-499F-86D9-3BD53C1C18B1}"/>
              </c:ext>
            </c:extLst>
          </c:dPt>
          <c:dPt>
            <c:idx val="261"/>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0B-6B13-499F-86D9-3BD53C1C18B1}"/>
              </c:ext>
            </c:extLst>
          </c:dPt>
          <c:dPt>
            <c:idx val="262"/>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0D-6B13-499F-86D9-3BD53C1C18B1}"/>
              </c:ext>
            </c:extLst>
          </c:dPt>
          <c:dPt>
            <c:idx val="263"/>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0F-6B13-499F-86D9-3BD53C1C18B1}"/>
              </c:ext>
            </c:extLst>
          </c:dPt>
          <c:dPt>
            <c:idx val="264"/>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11-6B13-499F-86D9-3BD53C1C18B1}"/>
              </c:ext>
            </c:extLst>
          </c:dPt>
          <c:dPt>
            <c:idx val="265"/>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13-6B13-499F-86D9-3BD53C1C18B1}"/>
              </c:ext>
            </c:extLst>
          </c:dPt>
          <c:dPt>
            <c:idx val="266"/>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15-6B13-499F-86D9-3BD53C1C18B1}"/>
              </c:ext>
            </c:extLst>
          </c:dPt>
          <c:dPt>
            <c:idx val="267"/>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17-6B13-499F-86D9-3BD53C1C18B1}"/>
              </c:ext>
            </c:extLst>
          </c:dPt>
          <c:dPt>
            <c:idx val="268"/>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19-6B13-499F-86D9-3BD53C1C18B1}"/>
              </c:ext>
            </c:extLst>
          </c:dPt>
          <c:dPt>
            <c:idx val="269"/>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1B-6B13-499F-86D9-3BD53C1C18B1}"/>
              </c:ext>
            </c:extLst>
          </c:dPt>
          <c:dPt>
            <c:idx val="270"/>
            <c:bubble3D val="0"/>
            <c:spPr>
              <a:solidFill>
                <a:schemeClr val="accent1"/>
              </a:solidFill>
              <a:ln w="19050">
                <a:solidFill>
                  <a:schemeClr val="lt1"/>
                </a:solidFill>
              </a:ln>
              <a:effectLst/>
            </c:spPr>
            <c:extLst>
              <c:ext xmlns:c16="http://schemas.microsoft.com/office/drawing/2014/chart" uri="{C3380CC4-5D6E-409C-BE32-E72D297353CC}">
                <c16:uniqueId val="{0000021D-6B13-499F-86D9-3BD53C1C18B1}"/>
              </c:ext>
            </c:extLst>
          </c:dPt>
          <c:dPt>
            <c:idx val="271"/>
            <c:bubble3D val="0"/>
            <c:spPr>
              <a:solidFill>
                <a:schemeClr val="accent2"/>
              </a:solidFill>
              <a:ln w="19050">
                <a:solidFill>
                  <a:schemeClr val="lt1"/>
                </a:solidFill>
              </a:ln>
              <a:effectLst/>
            </c:spPr>
            <c:extLst>
              <c:ext xmlns:c16="http://schemas.microsoft.com/office/drawing/2014/chart" uri="{C3380CC4-5D6E-409C-BE32-E72D297353CC}">
                <c16:uniqueId val="{0000021F-6B13-499F-86D9-3BD53C1C18B1}"/>
              </c:ext>
            </c:extLst>
          </c:dPt>
          <c:dPt>
            <c:idx val="272"/>
            <c:bubble3D val="0"/>
            <c:spPr>
              <a:solidFill>
                <a:schemeClr val="accent3"/>
              </a:solidFill>
              <a:ln w="19050">
                <a:solidFill>
                  <a:schemeClr val="lt1"/>
                </a:solidFill>
              </a:ln>
              <a:effectLst/>
            </c:spPr>
            <c:extLst>
              <c:ext xmlns:c16="http://schemas.microsoft.com/office/drawing/2014/chart" uri="{C3380CC4-5D6E-409C-BE32-E72D297353CC}">
                <c16:uniqueId val="{00000221-6B13-499F-86D9-3BD53C1C18B1}"/>
              </c:ext>
            </c:extLst>
          </c:dPt>
          <c:cat>
            <c:strRef>
              <c:f>Sheet7!$A$4:$A$9</c:f>
              <c:strCache>
                <c:ptCount val="5"/>
                <c:pt idx="0">
                  <c:v>Alan Dominguez</c:v>
                </c:pt>
                <c:pt idx="1">
                  <c:v>Amy Cox</c:v>
                </c:pt>
                <c:pt idx="2">
                  <c:v>Valerie Mitchum</c:v>
                </c:pt>
                <c:pt idx="3">
                  <c:v>Valerie Dominguez</c:v>
                </c:pt>
                <c:pt idx="4">
                  <c:v>Rick Bensley</c:v>
                </c:pt>
              </c:strCache>
            </c:strRef>
          </c:cat>
          <c:val>
            <c:numRef>
              <c:f>Sheet7!$B$4:$B$9</c:f>
              <c:numCache>
                <c:formatCode>General</c:formatCode>
                <c:ptCount val="5"/>
                <c:pt idx="0">
                  <c:v>1379.98</c:v>
                </c:pt>
                <c:pt idx="1">
                  <c:v>843.17</c:v>
                </c:pt>
                <c:pt idx="2">
                  <c:v>336.64</c:v>
                </c:pt>
                <c:pt idx="3">
                  <c:v>305.13</c:v>
                </c:pt>
                <c:pt idx="4">
                  <c:v>272.79000000000002</c:v>
                </c:pt>
              </c:numCache>
            </c:numRef>
          </c:val>
          <c:extLst>
            <c:ext xmlns:c16="http://schemas.microsoft.com/office/drawing/2014/chart" uri="{C3380CC4-5D6E-409C-BE32-E72D297353CC}">
              <c16:uniqueId val="{00000000-2DC9-4609-BDBA-5FE4A080F9C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project.xlsx]Sheet9!PivotTable19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Sheet9!$B$3</c:f>
              <c:strCache>
                <c:ptCount val="1"/>
                <c:pt idx="0">
                  <c:v>Total</c:v>
                </c:pt>
              </c:strCache>
            </c:strRef>
          </c:tx>
          <c:spPr>
            <a:solidFill>
              <a:schemeClr val="accent2">
                <a:lumMod val="75000"/>
              </a:schemeClr>
            </a:solidFill>
            <a:ln>
              <a:noFill/>
            </a:ln>
            <a:effectLst/>
          </c:spPr>
          <c:invertIfNegative val="0"/>
          <c:cat>
            <c:strRef>
              <c:f>Sheet9!$A$4:$A$8</c:f>
              <c:strCache>
                <c:ptCount val="4"/>
                <c:pt idx="0">
                  <c:v>2014</c:v>
                </c:pt>
                <c:pt idx="1">
                  <c:v>2015</c:v>
                </c:pt>
                <c:pt idx="2">
                  <c:v>2016</c:v>
                </c:pt>
                <c:pt idx="3">
                  <c:v>2017</c:v>
                </c:pt>
              </c:strCache>
            </c:strRef>
          </c:cat>
          <c:val>
            <c:numRef>
              <c:f>Sheet9!$B$4:$B$8</c:f>
              <c:numCache>
                <c:formatCode>General</c:formatCode>
                <c:ptCount val="4"/>
                <c:pt idx="0">
                  <c:v>209</c:v>
                </c:pt>
                <c:pt idx="1">
                  <c:v>171</c:v>
                </c:pt>
                <c:pt idx="2">
                  <c:v>164</c:v>
                </c:pt>
                <c:pt idx="3">
                  <c:v>124</c:v>
                </c:pt>
              </c:numCache>
            </c:numRef>
          </c:val>
          <c:extLst>
            <c:ext xmlns:c16="http://schemas.microsoft.com/office/drawing/2014/chart" uri="{C3380CC4-5D6E-409C-BE32-E72D297353CC}">
              <c16:uniqueId val="{00000000-F9BC-46D1-A3C9-F8965F4CF1EC}"/>
            </c:ext>
          </c:extLst>
        </c:ser>
        <c:dLbls>
          <c:showLegendKey val="0"/>
          <c:showVal val="0"/>
          <c:showCatName val="0"/>
          <c:showSerName val="0"/>
          <c:showPercent val="0"/>
          <c:showBubbleSize val="0"/>
        </c:dLbls>
        <c:gapWidth val="182"/>
        <c:axId val="396127392"/>
        <c:axId val="396127720"/>
      </c:barChart>
      <c:catAx>
        <c:axId val="3961273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720"/>
        <c:crosses val="autoZero"/>
        <c:auto val="1"/>
        <c:lblAlgn val="ctr"/>
        <c:lblOffset val="100"/>
        <c:noMultiLvlLbl val="0"/>
      </c:catAx>
      <c:valAx>
        <c:axId val="396127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project.xlsx]Sheet5!PivotTable10</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47818684826559"/>
          <c:y val="0.21229164536251149"/>
          <c:w val="0.58806824146981629"/>
          <c:h val="0.64468077853904626"/>
        </c:manualLayout>
      </c:layout>
      <c:lineChart>
        <c:grouping val="standard"/>
        <c:varyColors val="0"/>
        <c:ser>
          <c:idx val="0"/>
          <c:order val="0"/>
          <c:tx>
            <c:strRef>
              <c:f>Sheet5!$B$3:$B$4</c:f>
              <c:strCache>
                <c:ptCount val="1"/>
                <c:pt idx="0">
                  <c:v>Furniture</c:v>
                </c:pt>
              </c:strCache>
            </c:strRef>
          </c:tx>
          <c:spPr>
            <a:ln w="28575" cap="rnd">
              <a:solidFill>
                <a:schemeClr val="accent1"/>
              </a:solidFill>
              <a:round/>
            </a:ln>
            <a:effectLst/>
          </c:spPr>
          <c:marker>
            <c:symbol val="none"/>
          </c:marker>
          <c:cat>
            <c:strRef>
              <c:f>Sheet5!$A$5:$A$6</c:f>
              <c:strCache>
                <c:ptCount val="1"/>
                <c:pt idx="0">
                  <c:v>2015</c:v>
                </c:pt>
              </c:strCache>
            </c:strRef>
          </c:cat>
          <c:val>
            <c:numRef>
              <c:f>Sheet5!$B$5:$B$6</c:f>
              <c:numCache>
                <c:formatCode>General</c:formatCode>
                <c:ptCount val="1"/>
                <c:pt idx="0">
                  <c:v>23.499999999999947</c:v>
                </c:pt>
              </c:numCache>
            </c:numRef>
          </c:val>
          <c:smooth val="0"/>
          <c:extLst>
            <c:ext xmlns:c16="http://schemas.microsoft.com/office/drawing/2014/chart" uri="{C3380CC4-5D6E-409C-BE32-E72D297353CC}">
              <c16:uniqueId val="{00000000-7479-43B8-A99F-E35A86C385D5}"/>
            </c:ext>
          </c:extLst>
        </c:ser>
        <c:ser>
          <c:idx val="1"/>
          <c:order val="1"/>
          <c:tx>
            <c:strRef>
              <c:f>Sheet5!$C$3:$C$4</c:f>
              <c:strCache>
                <c:ptCount val="1"/>
                <c:pt idx="0">
                  <c:v>Office Supplies</c:v>
                </c:pt>
              </c:strCache>
            </c:strRef>
          </c:tx>
          <c:spPr>
            <a:ln w="28575" cap="rnd">
              <a:solidFill>
                <a:schemeClr val="accent2"/>
              </a:solidFill>
              <a:round/>
            </a:ln>
            <a:effectLst/>
          </c:spPr>
          <c:marker>
            <c:symbol val="none"/>
          </c:marker>
          <c:cat>
            <c:strRef>
              <c:f>Sheet5!$A$5:$A$6</c:f>
              <c:strCache>
                <c:ptCount val="1"/>
                <c:pt idx="0">
                  <c:v>2015</c:v>
                </c:pt>
              </c:strCache>
            </c:strRef>
          </c:cat>
          <c:val>
            <c:numRef>
              <c:f>Sheet5!$C$5:$C$6</c:f>
              <c:numCache>
                <c:formatCode>General</c:formatCode>
                <c:ptCount val="1"/>
                <c:pt idx="0">
                  <c:v>958.36000000000149</c:v>
                </c:pt>
              </c:numCache>
            </c:numRef>
          </c:val>
          <c:smooth val="0"/>
          <c:extLst>
            <c:ext xmlns:c16="http://schemas.microsoft.com/office/drawing/2014/chart" uri="{C3380CC4-5D6E-409C-BE32-E72D297353CC}">
              <c16:uniqueId val="{00000001-7479-43B8-A99F-E35A86C385D5}"/>
            </c:ext>
          </c:extLst>
        </c:ser>
        <c:ser>
          <c:idx val="2"/>
          <c:order val="2"/>
          <c:tx>
            <c:strRef>
              <c:f>Sheet5!$D$3:$D$4</c:f>
              <c:strCache>
                <c:ptCount val="1"/>
                <c:pt idx="0">
                  <c:v>Technology</c:v>
                </c:pt>
              </c:strCache>
            </c:strRef>
          </c:tx>
          <c:spPr>
            <a:ln w="28575" cap="rnd">
              <a:solidFill>
                <a:schemeClr val="accent3"/>
              </a:solidFill>
              <a:round/>
            </a:ln>
            <a:effectLst/>
          </c:spPr>
          <c:marker>
            <c:symbol val="none"/>
          </c:marker>
          <c:cat>
            <c:strRef>
              <c:f>Sheet5!$A$5:$A$6</c:f>
              <c:strCache>
                <c:ptCount val="1"/>
                <c:pt idx="0">
                  <c:v>2015</c:v>
                </c:pt>
              </c:strCache>
            </c:strRef>
          </c:cat>
          <c:val>
            <c:numRef>
              <c:f>Sheet5!$D$5:$D$6</c:f>
              <c:numCache>
                <c:formatCode>General</c:formatCode>
                <c:ptCount val="1"/>
                <c:pt idx="0">
                  <c:v>2927.0400000000009</c:v>
                </c:pt>
              </c:numCache>
            </c:numRef>
          </c:val>
          <c:smooth val="0"/>
          <c:extLst>
            <c:ext xmlns:c16="http://schemas.microsoft.com/office/drawing/2014/chart" uri="{C3380CC4-5D6E-409C-BE32-E72D297353CC}">
              <c16:uniqueId val="{00000002-7479-43B8-A99F-E35A86C385D5}"/>
            </c:ext>
          </c:extLst>
        </c:ser>
        <c:dLbls>
          <c:showLegendKey val="0"/>
          <c:showVal val="0"/>
          <c:showCatName val="0"/>
          <c:showSerName val="0"/>
          <c:showPercent val="0"/>
          <c:showBubbleSize val="0"/>
        </c:dLbls>
        <c:smooth val="0"/>
        <c:axId val="388681128"/>
        <c:axId val="388684080"/>
      </c:lineChart>
      <c:catAx>
        <c:axId val="388681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4080"/>
        <c:crosses val="autoZero"/>
        <c:auto val="1"/>
        <c:lblAlgn val="ctr"/>
        <c:lblOffset val="100"/>
        <c:noMultiLvlLbl val="0"/>
      </c:catAx>
      <c:valAx>
        <c:axId val="388684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681128"/>
        <c:crosses val="autoZero"/>
        <c:crossBetween val="between"/>
      </c:valAx>
      <c:spPr>
        <a:solidFill>
          <a:schemeClr val="accent2">
            <a:lumMod val="75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project.xlsx]Sheet9!PivotTable19</c:name>
    <c:fmtId val="3"/>
  </c:pivotSource>
  <c:chart>
    <c:title>
      <c:layout>
        <c:manualLayout>
          <c:xMode val="edge"/>
          <c:yMode val="edge"/>
          <c:x val="0.49881971275329712"/>
          <c:y val="0.2014595736508546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519764322788529"/>
          <c:y val="0.28184966462525518"/>
          <c:w val="0.58446179988872859"/>
          <c:h val="0.63953922426363374"/>
        </c:manualLayout>
      </c:layout>
      <c:barChart>
        <c:barDir val="bar"/>
        <c:grouping val="clustered"/>
        <c:varyColors val="0"/>
        <c:ser>
          <c:idx val="0"/>
          <c:order val="0"/>
          <c:tx>
            <c:strRef>
              <c:f>Sheet9!$B$3</c:f>
              <c:strCache>
                <c:ptCount val="1"/>
                <c:pt idx="0">
                  <c:v>Total</c:v>
                </c:pt>
              </c:strCache>
            </c:strRef>
          </c:tx>
          <c:spPr>
            <a:solidFill>
              <a:schemeClr val="accent2">
                <a:lumMod val="75000"/>
              </a:schemeClr>
            </a:solidFill>
            <a:ln>
              <a:noFill/>
            </a:ln>
            <a:effectLst/>
          </c:spPr>
          <c:invertIfNegative val="0"/>
          <c:cat>
            <c:strRef>
              <c:f>Sheet9!$A$4:$A$8</c:f>
              <c:strCache>
                <c:ptCount val="4"/>
                <c:pt idx="0">
                  <c:v>2014</c:v>
                </c:pt>
                <c:pt idx="1">
                  <c:v>2015</c:v>
                </c:pt>
                <c:pt idx="2">
                  <c:v>2016</c:v>
                </c:pt>
                <c:pt idx="3">
                  <c:v>2017</c:v>
                </c:pt>
              </c:strCache>
            </c:strRef>
          </c:cat>
          <c:val>
            <c:numRef>
              <c:f>Sheet9!$B$4:$B$8</c:f>
              <c:numCache>
                <c:formatCode>General</c:formatCode>
                <c:ptCount val="4"/>
                <c:pt idx="0">
                  <c:v>209</c:v>
                </c:pt>
                <c:pt idx="1">
                  <c:v>171</c:v>
                </c:pt>
                <c:pt idx="2">
                  <c:v>164</c:v>
                </c:pt>
                <c:pt idx="3">
                  <c:v>124</c:v>
                </c:pt>
              </c:numCache>
            </c:numRef>
          </c:val>
          <c:extLst>
            <c:ext xmlns:c16="http://schemas.microsoft.com/office/drawing/2014/chart" uri="{C3380CC4-5D6E-409C-BE32-E72D297353CC}">
              <c16:uniqueId val="{00000000-FA23-4F90-8F6B-A921EB67A44D}"/>
            </c:ext>
          </c:extLst>
        </c:ser>
        <c:dLbls>
          <c:showLegendKey val="0"/>
          <c:showVal val="0"/>
          <c:showCatName val="0"/>
          <c:showSerName val="0"/>
          <c:showPercent val="0"/>
          <c:showBubbleSize val="0"/>
        </c:dLbls>
        <c:gapWidth val="182"/>
        <c:axId val="396127392"/>
        <c:axId val="396127720"/>
      </c:barChart>
      <c:catAx>
        <c:axId val="3961273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720"/>
        <c:crosses val="autoZero"/>
        <c:auto val="1"/>
        <c:lblAlgn val="ctr"/>
        <c:lblOffset val="100"/>
        <c:noMultiLvlLbl val="0"/>
      </c:catAx>
      <c:valAx>
        <c:axId val="396127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12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project.xlsx]Sheet6!PivotTable11</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Sheet6!$B$3</c:f>
              <c:strCache>
                <c:ptCount val="1"/>
                <c:pt idx="0">
                  <c:v>Total</c:v>
                </c:pt>
              </c:strCache>
            </c:strRef>
          </c:tx>
          <c:spPr>
            <a:solidFill>
              <a:schemeClr val="accent2">
                <a:lumMod val="75000"/>
              </a:schemeClr>
            </a:solidFill>
            <a:ln>
              <a:noFill/>
            </a:ln>
            <a:effectLst/>
          </c:spPr>
          <c:cat>
            <c:strRef>
              <c:f>Sheet6!$A$4:$A$16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Sheet6!$B$4:$B$16</c:f>
              <c:numCache>
                <c:formatCode>General</c:formatCode>
                <c:ptCount val="12"/>
                <c:pt idx="0">
                  <c:v>3551.0099999999998</c:v>
                </c:pt>
                <c:pt idx="1">
                  <c:v>3144.3400000000006</c:v>
                </c:pt>
                <c:pt idx="2">
                  <c:v>2130.67</c:v>
                </c:pt>
                <c:pt idx="3">
                  <c:v>2446.0099999999998</c:v>
                </c:pt>
                <c:pt idx="4">
                  <c:v>3040.52</c:v>
                </c:pt>
                <c:pt idx="5">
                  <c:v>588.96</c:v>
                </c:pt>
                <c:pt idx="6">
                  <c:v>9249.2100000000009</c:v>
                </c:pt>
                <c:pt idx="7">
                  <c:v>3144.88</c:v>
                </c:pt>
                <c:pt idx="8">
                  <c:v>7321.4599999999991</c:v>
                </c:pt>
                <c:pt idx="9">
                  <c:v>3093.79</c:v>
                </c:pt>
                <c:pt idx="10">
                  <c:v>2108.77</c:v>
                </c:pt>
                <c:pt idx="11">
                  <c:v>2961.1000000000004</c:v>
                </c:pt>
              </c:numCache>
            </c:numRef>
          </c:val>
          <c:extLst>
            <c:ext xmlns:c16="http://schemas.microsoft.com/office/drawing/2014/chart" uri="{C3380CC4-5D6E-409C-BE32-E72D297353CC}">
              <c16:uniqueId val="{00000000-F787-4B74-9E18-943DC5365AAF}"/>
            </c:ext>
          </c:extLst>
        </c:ser>
        <c:dLbls>
          <c:showLegendKey val="0"/>
          <c:showVal val="0"/>
          <c:showCatName val="0"/>
          <c:showSerName val="0"/>
          <c:showPercent val="0"/>
          <c:showBubbleSize val="0"/>
        </c:dLbls>
        <c:axId val="479417912"/>
        <c:axId val="479413320"/>
      </c:areaChart>
      <c:catAx>
        <c:axId val="4794179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3320"/>
        <c:crosses val="autoZero"/>
        <c:auto val="1"/>
        <c:lblAlgn val="ctr"/>
        <c:lblOffset val="100"/>
        <c:noMultiLvlLbl val="0"/>
      </c:catAx>
      <c:valAx>
        <c:axId val="479413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1791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excel project.xlsx]Sheet7!PivotTable12</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
        <c:idx val="312"/>
        <c:spPr>
          <a:solidFill>
            <a:schemeClr val="accent1"/>
          </a:solidFill>
          <a:ln w="19050">
            <a:solidFill>
              <a:schemeClr val="lt1"/>
            </a:solidFill>
          </a:ln>
          <a:effectLst/>
        </c:spPr>
      </c:pivotFmt>
      <c:pivotFmt>
        <c:idx val="313"/>
        <c:spPr>
          <a:solidFill>
            <a:schemeClr val="accent1"/>
          </a:solidFill>
          <a:ln w="19050">
            <a:solidFill>
              <a:schemeClr val="lt1"/>
            </a:solidFill>
          </a:ln>
          <a:effectLst/>
        </c:spPr>
      </c:pivotFmt>
      <c:pivotFmt>
        <c:idx val="314"/>
        <c:spPr>
          <a:solidFill>
            <a:schemeClr val="accent1"/>
          </a:solidFill>
          <a:ln w="19050">
            <a:solidFill>
              <a:schemeClr val="lt1"/>
            </a:solidFill>
          </a:ln>
          <a:effectLst/>
        </c:spPr>
      </c:pivotFmt>
      <c:pivotFmt>
        <c:idx val="315"/>
        <c:spPr>
          <a:solidFill>
            <a:schemeClr val="accent1"/>
          </a:solidFill>
          <a:ln w="19050">
            <a:solidFill>
              <a:schemeClr val="lt1"/>
            </a:solidFill>
          </a:ln>
          <a:effectLst/>
        </c:spPr>
      </c:pivotFmt>
      <c:pivotFmt>
        <c:idx val="316"/>
        <c:spPr>
          <a:solidFill>
            <a:schemeClr val="accent1"/>
          </a:solidFill>
          <a:ln w="19050">
            <a:solidFill>
              <a:schemeClr val="lt1"/>
            </a:solidFill>
          </a:ln>
          <a:effectLst/>
        </c:spPr>
      </c:pivotFmt>
      <c:pivotFmt>
        <c:idx val="317"/>
        <c:spPr>
          <a:solidFill>
            <a:schemeClr val="accent1"/>
          </a:solidFill>
          <a:ln w="19050">
            <a:solidFill>
              <a:schemeClr val="lt1"/>
            </a:solidFill>
          </a:ln>
          <a:effectLst/>
        </c:spPr>
      </c:pivotFmt>
      <c:pivotFmt>
        <c:idx val="318"/>
        <c:spPr>
          <a:solidFill>
            <a:schemeClr val="accent1"/>
          </a:solidFill>
          <a:ln w="19050">
            <a:solidFill>
              <a:schemeClr val="lt1"/>
            </a:solidFill>
          </a:ln>
          <a:effectLst/>
        </c:spPr>
      </c:pivotFmt>
      <c:pivotFmt>
        <c:idx val="319"/>
        <c:spPr>
          <a:solidFill>
            <a:schemeClr val="accent1"/>
          </a:solidFill>
          <a:ln w="19050">
            <a:solidFill>
              <a:schemeClr val="lt1"/>
            </a:solidFill>
          </a:ln>
          <a:effectLst/>
        </c:spPr>
      </c:pivotFmt>
      <c:pivotFmt>
        <c:idx val="320"/>
        <c:spPr>
          <a:solidFill>
            <a:schemeClr val="accent1"/>
          </a:solidFill>
          <a:ln w="19050">
            <a:solidFill>
              <a:schemeClr val="lt1"/>
            </a:solidFill>
          </a:ln>
          <a:effectLst/>
        </c:spPr>
      </c:pivotFmt>
      <c:pivotFmt>
        <c:idx val="321"/>
        <c:spPr>
          <a:solidFill>
            <a:schemeClr val="accent1"/>
          </a:solidFill>
          <a:ln w="19050">
            <a:solidFill>
              <a:schemeClr val="lt1"/>
            </a:solidFill>
          </a:ln>
          <a:effectLst/>
        </c:spPr>
      </c:pivotFmt>
      <c:pivotFmt>
        <c:idx val="322"/>
        <c:spPr>
          <a:solidFill>
            <a:schemeClr val="accent1"/>
          </a:solidFill>
          <a:ln w="19050">
            <a:solidFill>
              <a:schemeClr val="lt1"/>
            </a:solidFill>
          </a:ln>
          <a:effectLst/>
        </c:spPr>
      </c:pivotFmt>
      <c:pivotFmt>
        <c:idx val="323"/>
        <c:spPr>
          <a:solidFill>
            <a:schemeClr val="accent1"/>
          </a:solidFill>
          <a:ln w="19050">
            <a:solidFill>
              <a:schemeClr val="lt1"/>
            </a:solidFill>
          </a:ln>
          <a:effectLst/>
        </c:spPr>
      </c:pivotFmt>
      <c:pivotFmt>
        <c:idx val="324"/>
        <c:spPr>
          <a:solidFill>
            <a:schemeClr val="accent1"/>
          </a:solidFill>
          <a:ln w="19050">
            <a:solidFill>
              <a:schemeClr val="lt1"/>
            </a:solidFill>
          </a:ln>
          <a:effectLst/>
        </c:spPr>
      </c:pivotFmt>
      <c:pivotFmt>
        <c:idx val="325"/>
        <c:spPr>
          <a:solidFill>
            <a:schemeClr val="accent1"/>
          </a:solidFill>
          <a:ln w="19050">
            <a:solidFill>
              <a:schemeClr val="lt1"/>
            </a:solidFill>
          </a:ln>
          <a:effectLst/>
        </c:spPr>
      </c:pivotFmt>
      <c:pivotFmt>
        <c:idx val="326"/>
        <c:spPr>
          <a:solidFill>
            <a:schemeClr val="accent1"/>
          </a:solidFill>
          <a:ln w="19050">
            <a:solidFill>
              <a:schemeClr val="lt1"/>
            </a:solidFill>
          </a:ln>
          <a:effectLst/>
        </c:spPr>
      </c:pivotFmt>
      <c:pivotFmt>
        <c:idx val="327"/>
        <c:spPr>
          <a:solidFill>
            <a:schemeClr val="accent1"/>
          </a:solidFill>
          <a:ln w="19050">
            <a:solidFill>
              <a:schemeClr val="lt1"/>
            </a:solidFill>
          </a:ln>
          <a:effectLst/>
        </c:spPr>
      </c:pivotFmt>
      <c:pivotFmt>
        <c:idx val="328"/>
        <c:spPr>
          <a:solidFill>
            <a:schemeClr val="accent1"/>
          </a:solidFill>
          <a:ln w="19050">
            <a:solidFill>
              <a:schemeClr val="lt1"/>
            </a:solidFill>
          </a:ln>
          <a:effectLst/>
        </c:spPr>
      </c:pivotFmt>
      <c:pivotFmt>
        <c:idx val="329"/>
        <c:spPr>
          <a:solidFill>
            <a:schemeClr val="accent1"/>
          </a:solidFill>
          <a:ln w="19050">
            <a:solidFill>
              <a:schemeClr val="lt1"/>
            </a:solidFill>
          </a:ln>
          <a:effectLst/>
        </c:spPr>
      </c:pivotFmt>
      <c:pivotFmt>
        <c:idx val="330"/>
        <c:spPr>
          <a:solidFill>
            <a:schemeClr val="accent1"/>
          </a:solidFill>
          <a:ln w="19050">
            <a:solidFill>
              <a:schemeClr val="lt1"/>
            </a:solidFill>
          </a:ln>
          <a:effectLst/>
        </c:spPr>
      </c:pivotFmt>
      <c:pivotFmt>
        <c:idx val="331"/>
        <c:spPr>
          <a:solidFill>
            <a:schemeClr val="accent1"/>
          </a:solidFill>
          <a:ln w="19050">
            <a:solidFill>
              <a:schemeClr val="lt1"/>
            </a:solidFill>
          </a:ln>
          <a:effectLst/>
        </c:spPr>
      </c:pivotFmt>
      <c:pivotFmt>
        <c:idx val="332"/>
        <c:spPr>
          <a:solidFill>
            <a:schemeClr val="accent1"/>
          </a:solidFill>
          <a:ln w="19050">
            <a:solidFill>
              <a:schemeClr val="lt1"/>
            </a:solidFill>
          </a:ln>
          <a:effectLst/>
        </c:spPr>
      </c:pivotFmt>
      <c:pivotFmt>
        <c:idx val="333"/>
        <c:spPr>
          <a:solidFill>
            <a:schemeClr val="accent1"/>
          </a:solidFill>
          <a:ln w="19050">
            <a:solidFill>
              <a:schemeClr val="lt1"/>
            </a:solidFill>
          </a:ln>
          <a:effectLst/>
        </c:spPr>
      </c:pivotFmt>
      <c:pivotFmt>
        <c:idx val="334"/>
        <c:spPr>
          <a:solidFill>
            <a:schemeClr val="accent1"/>
          </a:solidFill>
          <a:ln w="19050">
            <a:solidFill>
              <a:schemeClr val="lt1"/>
            </a:solidFill>
          </a:ln>
          <a:effectLst/>
        </c:spPr>
      </c:pivotFmt>
      <c:pivotFmt>
        <c:idx val="335"/>
        <c:spPr>
          <a:solidFill>
            <a:schemeClr val="accent1"/>
          </a:solidFill>
          <a:ln w="19050">
            <a:solidFill>
              <a:schemeClr val="lt1"/>
            </a:solidFill>
          </a:ln>
          <a:effectLst/>
        </c:spPr>
      </c:pivotFmt>
      <c:pivotFmt>
        <c:idx val="336"/>
        <c:spPr>
          <a:solidFill>
            <a:schemeClr val="accent1"/>
          </a:solidFill>
          <a:ln w="19050">
            <a:solidFill>
              <a:schemeClr val="lt1"/>
            </a:solidFill>
          </a:ln>
          <a:effectLst/>
        </c:spPr>
      </c:pivotFmt>
      <c:pivotFmt>
        <c:idx val="337"/>
        <c:spPr>
          <a:solidFill>
            <a:schemeClr val="accent1"/>
          </a:solidFill>
          <a:ln w="19050">
            <a:solidFill>
              <a:schemeClr val="lt1"/>
            </a:solidFill>
          </a:ln>
          <a:effectLst/>
        </c:spPr>
      </c:pivotFmt>
      <c:pivotFmt>
        <c:idx val="338"/>
        <c:spPr>
          <a:solidFill>
            <a:schemeClr val="accent1"/>
          </a:solidFill>
          <a:ln w="19050">
            <a:solidFill>
              <a:schemeClr val="lt1"/>
            </a:solidFill>
          </a:ln>
          <a:effectLst/>
        </c:spPr>
      </c:pivotFmt>
      <c:pivotFmt>
        <c:idx val="339"/>
        <c:spPr>
          <a:solidFill>
            <a:schemeClr val="accent1"/>
          </a:solidFill>
          <a:ln w="19050">
            <a:solidFill>
              <a:schemeClr val="lt1"/>
            </a:solidFill>
          </a:ln>
          <a:effectLst/>
        </c:spPr>
      </c:pivotFmt>
      <c:pivotFmt>
        <c:idx val="340"/>
        <c:spPr>
          <a:solidFill>
            <a:schemeClr val="accent1"/>
          </a:solidFill>
          <a:ln w="19050">
            <a:solidFill>
              <a:schemeClr val="lt1"/>
            </a:solidFill>
          </a:ln>
          <a:effectLst/>
        </c:spPr>
      </c:pivotFmt>
      <c:pivotFmt>
        <c:idx val="341"/>
        <c:spPr>
          <a:solidFill>
            <a:schemeClr val="accent1"/>
          </a:solidFill>
          <a:ln w="19050">
            <a:solidFill>
              <a:schemeClr val="lt1"/>
            </a:solidFill>
          </a:ln>
          <a:effectLst/>
        </c:spPr>
      </c:pivotFmt>
      <c:pivotFmt>
        <c:idx val="342"/>
        <c:spPr>
          <a:solidFill>
            <a:schemeClr val="accent1"/>
          </a:solidFill>
          <a:ln w="19050">
            <a:solidFill>
              <a:schemeClr val="lt1"/>
            </a:solidFill>
          </a:ln>
          <a:effectLst/>
        </c:spPr>
      </c:pivotFmt>
      <c:pivotFmt>
        <c:idx val="343"/>
        <c:spPr>
          <a:solidFill>
            <a:schemeClr val="accent1"/>
          </a:solidFill>
          <a:ln w="19050">
            <a:solidFill>
              <a:schemeClr val="lt1"/>
            </a:solidFill>
          </a:ln>
          <a:effectLst/>
        </c:spPr>
      </c:pivotFmt>
      <c:pivotFmt>
        <c:idx val="344"/>
        <c:spPr>
          <a:solidFill>
            <a:schemeClr val="accent1"/>
          </a:solidFill>
          <a:ln w="19050">
            <a:solidFill>
              <a:schemeClr val="lt1"/>
            </a:solidFill>
          </a:ln>
          <a:effectLst/>
        </c:spPr>
      </c:pivotFmt>
      <c:pivotFmt>
        <c:idx val="345"/>
        <c:spPr>
          <a:solidFill>
            <a:schemeClr val="accent1"/>
          </a:solidFill>
          <a:ln w="19050">
            <a:solidFill>
              <a:schemeClr val="lt1"/>
            </a:solidFill>
          </a:ln>
          <a:effectLst/>
        </c:spPr>
      </c:pivotFmt>
      <c:pivotFmt>
        <c:idx val="346"/>
        <c:spPr>
          <a:solidFill>
            <a:schemeClr val="accent1"/>
          </a:solidFill>
          <a:ln w="19050">
            <a:solidFill>
              <a:schemeClr val="lt1"/>
            </a:solidFill>
          </a:ln>
          <a:effectLst/>
        </c:spPr>
      </c:pivotFmt>
      <c:pivotFmt>
        <c:idx val="347"/>
        <c:spPr>
          <a:solidFill>
            <a:schemeClr val="accent1"/>
          </a:solidFill>
          <a:ln w="19050">
            <a:solidFill>
              <a:schemeClr val="lt1"/>
            </a:solidFill>
          </a:ln>
          <a:effectLst/>
        </c:spPr>
      </c:pivotFmt>
      <c:pivotFmt>
        <c:idx val="348"/>
        <c:spPr>
          <a:solidFill>
            <a:schemeClr val="accent1"/>
          </a:solidFill>
          <a:ln w="19050">
            <a:solidFill>
              <a:schemeClr val="lt1"/>
            </a:solidFill>
          </a:ln>
          <a:effectLst/>
        </c:spPr>
      </c:pivotFmt>
      <c:pivotFmt>
        <c:idx val="349"/>
        <c:spPr>
          <a:solidFill>
            <a:schemeClr val="accent1"/>
          </a:solidFill>
          <a:ln w="19050">
            <a:solidFill>
              <a:schemeClr val="lt1"/>
            </a:solidFill>
          </a:ln>
          <a:effectLst/>
        </c:spPr>
      </c:pivotFmt>
      <c:pivotFmt>
        <c:idx val="350"/>
        <c:spPr>
          <a:solidFill>
            <a:schemeClr val="accent1"/>
          </a:solidFill>
          <a:ln w="19050">
            <a:solidFill>
              <a:schemeClr val="lt1"/>
            </a:solidFill>
          </a:ln>
          <a:effectLst/>
        </c:spPr>
      </c:pivotFmt>
      <c:pivotFmt>
        <c:idx val="351"/>
        <c:spPr>
          <a:solidFill>
            <a:schemeClr val="accent1"/>
          </a:solidFill>
          <a:ln w="19050">
            <a:solidFill>
              <a:schemeClr val="lt1"/>
            </a:solidFill>
          </a:ln>
          <a:effectLst/>
        </c:spPr>
      </c:pivotFmt>
      <c:pivotFmt>
        <c:idx val="352"/>
        <c:spPr>
          <a:solidFill>
            <a:schemeClr val="accent1"/>
          </a:solidFill>
          <a:ln w="19050">
            <a:solidFill>
              <a:schemeClr val="lt1"/>
            </a:solidFill>
          </a:ln>
          <a:effectLst/>
        </c:spPr>
      </c:pivotFmt>
      <c:pivotFmt>
        <c:idx val="353"/>
        <c:spPr>
          <a:solidFill>
            <a:schemeClr val="accent1"/>
          </a:solidFill>
          <a:ln w="19050">
            <a:solidFill>
              <a:schemeClr val="lt1"/>
            </a:solidFill>
          </a:ln>
          <a:effectLst/>
        </c:spPr>
      </c:pivotFmt>
      <c:pivotFmt>
        <c:idx val="354"/>
        <c:spPr>
          <a:solidFill>
            <a:schemeClr val="accent1"/>
          </a:solidFill>
          <a:ln w="19050">
            <a:solidFill>
              <a:schemeClr val="lt1"/>
            </a:solidFill>
          </a:ln>
          <a:effectLst/>
        </c:spPr>
      </c:pivotFmt>
      <c:pivotFmt>
        <c:idx val="355"/>
        <c:spPr>
          <a:solidFill>
            <a:schemeClr val="accent1"/>
          </a:solidFill>
          <a:ln w="19050">
            <a:solidFill>
              <a:schemeClr val="lt1"/>
            </a:solidFill>
          </a:ln>
          <a:effectLst/>
        </c:spPr>
      </c:pivotFmt>
      <c:pivotFmt>
        <c:idx val="356"/>
        <c:spPr>
          <a:solidFill>
            <a:schemeClr val="accent1"/>
          </a:solidFill>
          <a:ln w="19050">
            <a:solidFill>
              <a:schemeClr val="lt1"/>
            </a:solidFill>
          </a:ln>
          <a:effectLst/>
        </c:spPr>
      </c:pivotFmt>
      <c:pivotFmt>
        <c:idx val="357"/>
        <c:spPr>
          <a:solidFill>
            <a:schemeClr val="accent1"/>
          </a:solidFill>
          <a:ln w="19050">
            <a:solidFill>
              <a:schemeClr val="lt1"/>
            </a:solidFill>
          </a:ln>
          <a:effectLst/>
        </c:spPr>
      </c:pivotFmt>
      <c:pivotFmt>
        <c:idx val="358"/>
        <c:spPr>
          <a:solidFill>
            <a:schemeClr val="accent1"/>
          </a:solidFill>
          <a:ln w="19050">
            <a:solidFill>
              <a:schemeClr val="lt1"/>
            </a:solidFill>
          </a:ln>
          <a:effectLst/>
        </c:spPr>
      </c:pivotFmt>
      <c:pivotFmt>
        <c:idx val="359"/>
        <c:spPr>
          <a:solidFill>
            <a:schemeClr val="accent1"/>
          </a:solidFill>
          <a:ln w="19050">
            <a:solidFill>
              <a:schemeClr val="lt1"/>
            </a:solidFill>
          </a:ln>
          <a:effectLst/>
        </c:spPr>
      </c:pivotFmt>
      <c:pivotFmt>
        <c:idx val="360"/>
        <c:spPr>
          <a:solidFill>
            <a:schemeClr val="accent1"/>
          </a:solidFill>
          <a:ln w="19050">
            <a:solidFill>
              <a:schemeClr val="lt1"/>
            </a:solidFill>
          </a:ln>
          <a:effectLst/>
        </c:spPr>
      </c:pivotFmt>
      <c:pivotFmt>
        <c:idx val="361"/>
        <c:spPr>
          <a:solidFill>
            <a:schemeClr val="accent1"/>
          </a:solidFill>
          <a:ln w="19050">
            <a:solidFill>
              <a:schemeClr val="lt1"/>
            </a:solidFill>
          </a:ln>
          <a:effectLst/>
        </c:spPr>
      </c:pivotFmt>
      <c:pivotFmt>
        <c:idx val="362"/>
        <c:spPr>
          <a:solidFill>
            <a:schemeClr val="accent1"/>
          </a:solidFill>
          <a:ln w="19050">
            <a:solidFill>
              <a:schemeClr val="lt1"/>
            </a:solidFill>
          </a:ln>
          <a:effectLst/>
        </c:spPr>
      </c:pivotFmt>
      <c:pivotFmt>
        <c:idx val="363"/>
        <c:spPr>
          <a:solidFill>
            <a:schemeClr val="accent1"/>
          </a:solidFill>
          <a:ln w="19050">
            <a:solidFill>
              <a:schemeClr val="lt1"/>
            </a:solidFill>
          </a:ln>
          <a:effectLst/>
        </c:spPr>
      </c:pivotFmt>
      <c:pivotFmt>
        <c:idx val="364"/>
        <c:spPr>
          <a:solidFill>
            <a:schemeClr val="accent1"/>
          </a:solidFill>
          <a:ln w="19050">
            <a:solidFill>
              <a:schemeClr val="lt1"/>
            </a:solidFill>
          </a:ln>
          <a:effectLst/>
        </c:spPr>
      </c:pivotFmt>
      <c:pivotFmt>
        <c:idx val="365"/>
        <c:spPr>
          <a:solidFill>
            <a:schemeClr val="accent1"/>
          </a:solidFill>
          <a:ln w="19050">
            <a:solidFill>
              <a:schemeClr val="lt1"/>
            </a:solidFill>
          </a:ln>
          <a:effectLst/>
        </c:spPr>
      </c:pivotFmt>
      <c:pivotFmt>
        <c:idx val="366"/>
        <c:spPr>
          <a:solidFill>
            <a:schemeClr val="accent1"/>
          </a:solidFill>
          <a:ln w="19050">
            <a:solidFill>
              <a:schemeClr val="lt1"/>
            </a:solidFill>
          </a:ln>
          <a:effectLst/>
        </c:spPr>
      </c:pivotFmt>
      <c:pivotFmt>
        <c:idx val="367"/>
        <c:spPr>
          <a:solidFill>
            <a:schemeClr val="accent1"/>
          </a:solidFill>
          <a:ln w="19050">
            <a:solidFill>
              <a:schemeClr val="lt1"/>
            </a:solidFill>
          </a:ln>
          <a:effectLst/>
        </c:spPr>
      </c:pivotFmt>
      <c:pivotFmt>
        <c:idx val="368"/>
        <c:spPr>
          <a:solidFill>
            <a:schemeClr val="accent1"/>
          </a:solidFill>
          <a:ln w="19050">
            <a:solidFill>
              <a:schemeClr val="lt1"/>
            </a:solidFill>
          </a:ln>
          <a:effectLst/>
        </c:spPr>
      </c:pivotFmt>
      <c:pivotFmt>
        <c:idx val="369"/>
        <c:spPr>
          <a:solidFill>
            <a:schemeClr val="accent1"/>
          </a:solidFill>
          <a:ln w="19050">
            <a:solidFill>
              <a:schemeClr val="lt1"/>
            </a:solidFill>
          </a:ln>
          <a:effectLst/>
        </c:spPr>
      </c:pivotFmt>
      <c:pivotFmt>
        <c:idx val="370"/>
        <c:spPr>
          <a:solidFill>
            <a:schemeClr val="accent1"/>
          </a:solidFill>
          <a:ln w="19050">
            <a:solidFill>
              <a:schemeClr val="lt1"/>
            </a:solidFill>
          </a:ln>
          <a:effectLst/>
        </c:spPr>
      </c:pivotFmt>
      <c:pivotFmt>
        <c:idx val="371"/>
        <c:spPr>
          <a:solidFill>
            <a:schemeClr val="accent1"/>
          </a:solidFill>
          <a:ln w="19050">
            <a:solidFill>
              <a:schemeClr val="lt1"/>
            </a:solidFill>
          </a:ln>
          <a:effectLst/>
        </c:spPr>
      </c:pivotFmt>
      <c:pivotFmt>
        <c:idx val="372"/>
        <c:spPr>
          <a:solidFill>
            <a:schemeClr val="accent1"/>
          </a:solidFill>
          <a:ln w="19050">
            <a:solidFill>
              <a:schemeClr val="lt1"/>
            </a:solidFill>
          </a:ln>
          <a:effectLst/>
        </c:spPr>
      </c:pivotFmt>
      <c:pivotFmt>
        <c:idx val="373"/>
        <c:spPr>
          <a:solidFill>
            <a:schemeClr val="accent1"/>
          </a:solidFill>
          <a:ln w="19050">
            <a:solidFill>
              <a:schemeClr val="lt1"/>
            </a:solidFill>
          </a:ln>
          <a:effectLst/>
        </c:spPr>
      </c:pivotFmt>
      <c:pivotFmt>
        <c:idx val="374"/>
        <c:spPr>
          <a:solidFill>
            <a:schemeClr val="accent1"/>
          </a:solidFill>
          <a:ln w="19050">
            <a:solidFill>
              <a:schemeClr val="lt1"/>
            </a:solidFill>
          </a:ln>
          <a:effectLst/>
        </c:spPr>
      </c:pivotFmt>
      <c:pivotFmt>
        <c:idx val="375"/>
        <c:spPr>
          <a:solidFill>
            <a:schemeClr val="accent1"/>
          </a:solidFill>
          <a:ln w="19050">
            <a:solidFill>
              <a:schemeClr val="lt1"/>
            </a:solidFill>
          </a:ln>
          <a:effectLst/>
        </c:spPr>
      </c:pivotFmt>
      <c:pivotFmt>
        <c:idx val="376"/>
        <c:spPr>
          <a:solidFill>
            <a:schemeClr val="accent1"/>
          </a:solidFill>
          <a:ln w="19050">
            <a:solidFill>
              <a:schemeClr val="lt1"/>
            </a:solidFill>
          </a:ln>
          <a:effectLst/>
        </c:spPr>
      </c:pivotFmt>
      <c:pivotFmt>
        <c:idx val="377"/>
        <c:spPr>
          <a:solidFill>
            <a:schemeClr val="accent1"/>
          </a:solidFill>
          <a:ln w="19050">
            <a:solidFill>
              <a:schemeClr val="lt1"/>
            </a:solidFill>
          </a:ln>
          <a:effectLst/>
        </c:spPr>
      </c:pivotFmt>
      <c:pivotFmt>
        <c:idx val="378"/>
        <c:spPr>
          <a:solidFill>
            <a:schemeClr val="accent1"/>
          </a:solidFill>
          <a:ln w="19050">
            <a:solidFill>
              <a:schemeClr val="lt1"/>
            </a:solidFill>
          </a:ln>
          <a:effectLst/>
        </c:spPr>
      </c:pivotFmt>
      <c:pivotFmt>
        <c:idx val="379"/>
        <c:spPr>
          <a:solidFill>
            <a:schemeClr val="accent1"/>
          </a:solidFill>
          <a:ln w="19050">
            <a:solidFill>
              <a:schemeClr val="lt1"/>
            </a:solidFill>
          </a:ln>
          <a:effectLst/>
        </c:spPr>
      </c:pivotFmt>
      <c:pivotFmt>
        <c:idx val="380"/>
        <c:spPr>
          <a:solidFill>
            <a:schemeClr val="accent1"/>
          </a:solidFill>
          <a:ln w="19050">
            <a:solidFill>
              <a:schemeClr val="lt1"/>
            </a:solidFill>
          </a:ln>
          <a:effectLst/>
        </c:spPr>
      </c:pivotFmt>
      <c:pivotFmt>
        <c:idx val="381"/>
        <c:spPr>
          <a:solidFill>
            <a:schemeClr val="accent1"/>
          </a:solidFill>
          <a:ln w="19050">
            <a:solidFill>
              <a:schemeClr val="lt1"/>
            </a:solidFill>
          </a:ln>
          <a:effectLst/>
        </c:spPr>
      </c:pivotFmt>
      <c:pivotFmt>
        <c:idx val="382"/>
        <c:spPr>
          <a:solidFill>
            <a:schemeClr val="accent1"/>
          </a:solidFill>
          <a:ln w="19050">
            <a:solidFill>
              <a:schemeClr val="lt1"/>
            </a:solidFill>
          </a:ln>
          <a:effectLst/>
        </c:spPr>
      </c:pivotFmt>
      <c:pivotFmt>
        <c:idx val="383"/>
        <c:spPr>
          <a:solidFill>
            <a:schemeClr val="accent1"/>
          </a:solidFill>
          <a:ln w="19050">
            <a:solidFill>
              <a:schemeClr val="lt1"/>
            </a:solidFill>
          </a:ln>
          <a:effectLst/>
        </c:spPr>
      </c:pivotFmt>
      <c:pivotFmt>
        <c:idx val="384"/>
        <c:spPr>
          <a:solidFill>
            <a:schemeClr val="accent1"/>
          </a:solidFill>
          <a:ln w="19050">
            <a:solidFill>
              <a:schemeClr val="lt1"/>
            </a:solidFill>
          </a:ln>
          <a:effectLst/>
        </c:spPr>
      </c:pivotFmt>
      <c:pivotFmt>
        <c:idx val="385"/>
        <c:spPr>
          <a:solidFill>
            <a:schemeClr val="accent1"/>
          </a:solidFill>
          <a:ln w="19050">
            <a:solidFill>
              <a:schemeClr val="lt1"/>
            </a:solidFill>
          </a:ln>
          <a:effectLst/>
        </c:spPr>
      </c:pivotFmt>
      <c:pivotFmt>
        <c:idx val="386"/>
        <c:spPr>
          <a:solidFill>
            <a:schemeClr val="accent1"/>
          </a:solidFill>
          <a:ln w="19050">
            <a:solidFill>
              <a:schemeClr val="lt1"/>
            </a:solidFill>
          </a:ln>
          <a:effectLst/>
        </c:spPr>
      </c:pivotFmt>
      <c:pivotFmt>
        <c:idx val="387"/>
        <c:spPr>
          <a:solidFill>
            <a:schemeClr val="accent1"/>
          </a:solidFill>
          <a:ln w="19050">
            <a:solidFill>
              <a:schemeClr val="lt1"/>
            </a:solidFill>
          </a:ln>
          <a:effectLst/>
        </c:spPr>
      </c:pivotFmt>
      <c:pivotFmt>
        <c:idx val="388"/>
        <c:spPr>
          <a:solidFill>
            <a:schemeClr val="accent1"/>
          </a:solidFill>
          <a:ln w="19050">
            <a:solidFill>
              <a:schemeClr val="lt1"/>
            </a:solidFill>
          </a:ln>
          <a:effectLst/>
        </c:spPr>
      </c:pivotFmt>
      <c:pivotFmt>
        <c:idx val="389"/>
        <c:spPr>
          <a:solidFill>
            <a:schemeClr val="accent1"/>
          </a:solidFill>
          <a:ln w="19050">
            <a:solidFill>
              <a:schemeClr val="lt1"/>
            </a:solidFill>
          </a:ln>
          <a:effectLst/>
        </c:spPr>
      </c:pivotFmt>
      <c:pivotFmt>
        <c:idx val="390"/>
        <c:spPr>
          <a:solidFill>
            <a:schemeClr val="accent1"/>
          </a:solidFill>
          <a:ln w="19050">
            <a:solidFill>
              <a:schemeClr val="lt1"/>
            </a:solidFill>
          </a:ln>
          <a:effectLst/>
        </c:spPr>
      </c:pivotFmt>
      <c:pivotFmt>
        <c:idx val="391"/>
        <c:spPr>
          <a:solidFill>
            <a:schemeClr val="accent1"/>
          </a:solidFill>
          <a:ln w="19050">
            <a:solidFill>
              <a:schemeClr val="lt1"/>
            </a:solidFill>
          </a:ln>
          <a:effectLst/>
        </c:spPr>
      </c:pivotFmt>
      <c:pivotFmt>
        <c:idx val="392"/>
        <c:spPr>
          <a:solidFill>
            <a:schemeClr val="accent1"/>
          </a:solidFill>
          <a:ln w="19050">
            <a:solidFill>
              <a:schemeClr val="lt1"/>
            </a:solidFill>
          </a:ln>
          <a:effectLst/>
        </c:spPr>
      </c:pivotFmt>
      <c:pivotFmt>
        <c:idx val="393"/>
        <c:spPr>
          <a:solidFill>
            <a:schemeClr val="accent1"/>
          </a:solidFill>
          <a:ln w="19050">
            <a:solidFill>
              <a:schemeClr val="lt1"/>
            </a:solidFill>
          </a:ln>
          <a:effectLst/>
        </c:spPr>
      </c:pivotFmt>
      <c:pivotFmt>
        <c:idx val="394"/>
        <c:spPr>
          <a:solidFill>
            <a:schemeClr val="accent1"/>
          </a:solidFill>
          <a:ln w="19050">
            <a:solidFill>
              <a:schemeClr val="lt1"/>
            </a:solidFill>
          </a:ln>
          <a:effectLst/>
        </c:spPr>
      </c:pivotFmt>
      <c:pivotFmt>
        <c:idx val="395"/>
        <c:spPr>
          <a:solidFill>
            <a:schemeClr val="accent1"/>
          </a:solidFill>
          <a:ln w="19050">
            <a:solidFill>
              <a:schemeClr val="lt1"/>
            </a:solidFill>
          </a:ln>
          <a:effectLst/>
        </c:spPr>
      </c:pivotFmt>
      <c:pivotFmt>
        <c:idx val="396"/>
        <c:spPr>
          <a:solidFill>
            <a:schemeClr val="accent1"/>
          </a:solidFill>
          <a:ln w="19050">
            <a:solidFill>
              <a:schemeClr val="lt1"/>
            </a:solidFill>
          </a:ln>
          <a:effectLst/>
        </c:spPr>
      </c:pivotFmt>
      <c:pivotFmt>
        <c:idx val="397"/>
        <c:spPr>
          <a:solidFill>
            <a:schemeClr val="accent1"/>
          </a:solidFill>
          <a:ln w="19050">
            <a:solidFill>
              <a:schemeClr val="lt1"/>
            </a:solidFill>
          </a:ln>
          <a:effectLst/>
        </c:spPr>
      </c:pivotFmt>
      <c:pivotFmt>
        <c:idx val="398"/>
        <c:spPr>
          <a:solidFill>
            <a:schemeClr val="accent1"/>
          </a:solidFill>
          <a:ln w="19050">
            <a:solidFill>
              <a:schemeClr val="lt1"/>
            </a:solidFill>
          </a:ln>
          <a:effectLst/>
        </c:spPr>
      </c:pivotFmt>
      <c:pivotFmt>
        <c:idx val="399"/>
        <c:spPr>
          <a:solidFill>
            <a:schemeClr val="accent1"/>
          </a:solidFill>
          <a:ln w="19050">
            <a:solidFill>
              <a:schemeClr val="lt1"/>
            </a:solidFill>
          </a:ln>
          <a:effectLst/>
        </c:spPr>
      </c:pivotFmt>
      <c:pivotFmt>
        <c:idx val="400"/>
        <c:spPr>
          <a:solidFill>
            <a:schemeClr val="accent1"/>
          </a:solidFill>
          <a:ln w="19050">
            <a:solidFill>
              <a:schemeClr val="lt1"/>
            </a:solidFill>
          </a:ln>
          <a:effectLst/>
        </c:spPr>
      </c:pivotFmt>
      <c:pivotFmt>
        <c:idx val="401"/>
        <c:spPr>
          <a:solidFill>
            <a:schemeClr val="accent1"/>
          </a:solidFill>
          <a:ln w="19050">
            <a:solidFill>
              <a:schemeClr val="lt1"/>
            </a:solidFill>
          </a:ln>
          <a:effectLst/>
        </c:spPr>
      </c:pivotFmt>
      <c:pivotFmt>
        <c:idx val="402"/>
        <c:spPr>
          <a:solidFill>
            <a:schemeClr val="accent1"/>
          </a:solidFill>
          <a:ln w="19050">
            <a:solidFill>
              <a:schemeClr val="lt1"/>
            </a:solidFill>
          </a:ln>
          <a:effectLst/>
        </c:spPr>
      </c:pivotFmt>
      <c:pivotFmt>
        <c:idx val="403"/>
        <c:spPr>
          <a:solidFill>
            <a:schemeClr val="accent1"/>
          </a:solidFill>
          <a:ln w="19050">
            <a:solidFill>
              <a:schemeClr val="lt1"/>
            </a:solidFill>
          </a:ln>
          <a:effectLst/>
        </c:spPr>
      </c:pivotFmt>
      <c:pivotFmt>
        <c:idx val="404"/>
        <c:spPr>
          <a:solidFill>
            <a:schemeClr val="accent1"/>
          </a:solidFill>
          <a:ln w="19050">
            <a:solidFill>
              <a:schemeClr val="lt1"/>
            </a:solidFill>
          </a:ln>
          <a:effectLst/>
        </c:spPr>
      </c:pivotFmt>
      <c:pivotFmt>
        <c:idx val="405"/>
        <c:spPr>
          <a:solidFill>
            <a:schemeClr val="accent1"/>
          </a:solidFill>
          <a:ln w="19050">
            <a:solidFill>
              <a:schemeClr val="lt1"/>
            </a:solidFill>
          </a:ln>
          <a:effectLst/>
        </c:spPr>
      </c:pivotFmt>
      <c:pivotFmt>
        <c:idx val="406"/>
        <c:spPr>
          <a:solidFill>
            <a:schemeClr val="accent1"/>
          </a:solidFill>
          <a:ln w="19050">
            <a:solidFill>
              <a:schemeClr val="lt1"/>
            </a:solidFill>
          </a:ln>
          <a:effectLst/>
        </c:spPr>
      </c:pivotFmt>
      <c:pivotFmt>
        <c:idx val="407"/>
        <c:spPr>
          <a:solidFill>
            <a:schemeClr val="accent1"/>
          </a:solidFill>
          <a:ln w="19050">
            <a:solidFill>
              <a:schemeClr val="lt1"/>
            </a:solidFill>
          </a:ln>
          <a:effectLst/>
        </c:spPr>
      </c:pivotFmt>
      <c:pivotFmt>
        <c:idx val="408"/>
        <c:spPr>
          <a:solidFill>
            <a:schemeClr val="accent1"/>
          </a:solidFill>
          <a:ln w="19050">
            <a:solidFill>
              <a:schemeClr val="lt1"/>
            </a:solidFill>
          </a:ln>
          <a:effectLst/>
        </c:spPr>
      </c:pivotFmt>
      <c:pivotFmt>
        <c:idx val="409"/>
        <c:spPr>
          <a:solidFill>
            <a:schemeClr val="accent1"/>
          </a:solidFill>
          <a:ln w="19050">
            <a:solidFill>
              <a:schemeClr val="lt1"/>
            </a:solidFill>
          </a:ln>
          <a:effectLst/>
        </c:spPr>
      </c:pivotFmt>
      <c:pivotFmt>
        <c:idx val="410"/>
        <c:spPr>
          <a:solidFill>
            <a:schemeClr val="accent1"/>
          </a:solidFill>
          <a:ln w="19050">
            <a:solidFill>
              <a:schemeClr val="lt1"/>
            </a:solidFill>
          </a:ln>
          <a:effectLst/>
        </c:spPr>
      </c:pivotFmt>
      <c:pivotFmt>
        <c:idx val="411"/>
        <c:spPr>
          <a:solidFill>
            <a:schemeClr val="accent1"/>
          </a:solidFill>
          <a:ln w="19050">
            <a:solidFill>
              <a:schemeClr val="lt1"/>
            </a:solidFill>
          </a:ln>
          <a:effectLst/>
        </c:spPr>
      </c:pivotFmt>
      <c:pivotFmt>
        <c:idx val="412"/>
        <c:spPr>
          <a:solidFill>
            <a:schemeClr val="accent1"/>
          </a:solidFill>
          <a:ln w="19050">
            <a:solidFill>
              <a:schemeClr val="lt1"/>
            </a:solidFill>
          </a:ln>
          <a:effectLst/>
        </c:spPr>
      </c:pivotFmt>
      <c:pivotFmt>
        <c:idx val="413"/>
        <c:spPr>
          <a:solidFill>
            <a:schemeClr val="accent1"/>
          </a:solidFill>
          <a:ln w="19050">
            <a:solidFill>
              <a:schemeClr val="lt1"/>
            </a:solidFill>
          </a:ln>
          <a:effectLst/>
        </c:spPr>
      </c:pivotFmt>
      <c:pivotFmt>
        <c:idx val="414"/>
        <c:spPr>
          <a:solidFill>
            <a:schemeClr val="accent1"/>
          </a:solidFill>
          <a:ln w="19050">
            <a:solidFill>
              <a:schemeClr val="lt1"/>
            </a:solidFill>
          </a:ln>
          <a:effectLst/>
        </c:spPr>
      </c:pivotFmt>
      <c:pivotFmt>
        <c:idx val="415"/>
        <c:spPr>
          <a:solidFill>
            <a:schemeClr val="accent1"/>
          </a:solidFill>
          <a:ln w="19050">
            <a:solidFill>
              <a:schemeClr val="lt1"/>
            </a:solidFill>
          </a:ln>
          <a:effectLst/>
        </c:spPr>
      </c:pivotFmt>
      <c:pivotFmt>
        <c:idx val="416"/>
        <c:spPr>
          <a:solidFill>
            <a:schemeClr val="accent1"/>
          </a:solidFill>
          <a:ln w="19050">
            <a:solidFill>
              <a:schemeClr val="lt1"/>
            </a:solidFill>
          </a:ln>
          <a:effectLst/>
        </c:spPr>
      </c:pivotFmt>
      <c:pivotFmt>
        <c:idx val="417"/>
        <c:spPr>
          <a:solidFill>
            <a:schemeClr val="accent1"/>
          </a:solidFill>
          <a:ln w="19050">
            <a:solidFill>
              <a:schemeClr val="lt1"/>
            </a:solidFill>
          </a:ln>
          <a:effectLst/>
        </c:spPr>
      </c:pivotFmt>
      <c:pivotFmt>
        <c:idx val="418"/>
        <c:spPr>
          <a:solidFill>
            <a:schemeClr val="accent1"/>
          </a:solidFill>
          <a:ln w="19050">
            <a:solidFill>
              <a:schemeClr val="lt1"/>
            </a:solidFill>
          </a:ln>
          <a:effectLst/>
        </c:spPr>
      </c:pivotFmt>
      <c:pivotFmt>
        <c:idx val="419"/>
        <c:spPr>
          <a:solidFill>
            <a:schemeClr val="accent1"/>
          </a:solidFill>
          <a:ln w="19050">
            <a:solidFill>
              <a:schemeClr val="lt1"/>
            </a:solidFill>
          </a:ln>
          <a:effectLst/>
        </c:spPr>
      </c:pivotFmt>
      <c:pivotFmt>
        <c:idx val="420"/>
        <c:spPr>
          <a:solidFill>
            <a:schemeClr val="accent1"/>
          </a:solidFill>
          <a:ln w="19050">
            <a:solidFill>
              <a:schemeClr val="lt1"/>
            </a:solidFill>
          </a:ln>
          <a:effectLst/>
        </c:spPr>
      </c:pivotFmt>
      <c:pivotFmt>
        <c:idx val="421"/>
        <c:spPr>
          <a:solidFill>
            <a:schemeClr val="accent1"/>
          </a:solidFill>
          <a:ln w="19050">
            <a:solidFill>
              <a:schemeClr val="lt1"/>
            </a:solidFill>
          </a:ln>
          <a:effectLst/>
        </c:spPr>
      </c:pivotFmt>
      <c:pivotFmt>
        <c:idx val="422"/>
        <c:spPr>
          <a:solidFill>
            <a:schemeClr val="accent1"/>
          </a:solidFill>
          <a:ln w="19050">
            <a:solidFill>
              <a:schemeClr val="lt1"/>
            </a:solidFill>
          </a:ln>
          <a:effectLst/>
        </c:spPr>
      </c:pivotFmt>
      <c:pivotFmt>
        <c:idx val="423"/>
        <c:spPr>
          <a:solidFill>
            <a:schemeClr val="accent1"/>
          </a:solidFill>
          <a:ln w="19050">
            <a:solidFill>
              <a:schemeClr val="lt1"/>
            </a:solidFill>
          </a:ln>
          <a:effectLst/>
        </c:spPr>
      </c:pivotFmt>
      <c:pivotFmt>
        <c:idx val="424"/>
        <c:spPr>
          <a:solidFill>
            <a:schemeClr val="accent1"/>
          </a:solidFill>
          <a:ln w="19050">
            <a:solidFill>
              <a:schemeClr val="lt1"/>
            </a:solidFill>
          </a:ln>
          <a:effectLst/>
        </c:spPr>
      </c:pivotFmt>
      <c:pivotFmt>
        <c:idx val="425"/>
        <c:spPr>
          <a:solidFill>
            <a:schemeClr val="accent1"/>
          </a:solidFill>
          <a:ln w="19050">
            <a:solidFill>
              <a:schemeClr val="lt1"/>
            </a:solidFill>
          </a:ln>
          <a:effectLst/>
        </c:spPr>
      </c:pivotFmt>
      <c:pivotFmt>
        <c:idx val="426"/>
        <c:spPr>
          <a:solidFill>
            <a:schemeClr val="accent1"/>
          </a:solidFill>
          <a:ln w="19050">
            <a:solidFill>
              <a:schemeClr val="lt1"/>
            </a:solidFill>
          </a:ln>
          <a:effectLst/>
        </c:spPr>
      </c:pivotFmt>
      <c:pivotFmt>
        <c:idx val="427"/>
        <c:spPr>
          <a:solidFill>
            <a:schemeClr val="accent1"/>
          </a:solidFill>
          <a:ln w="19050">
            <a:solidFill>
              <a:schemeClr val="lt1"/>
            </a:solidFill>
          </a:ln>
          <a:effectLst/>
        </c:spPr>
      </c:pivotFmt>
      <c:pivotFmt>
        <c:idx val="428"/>
        <c:spPr>
          <a:solidFill>
            <a:schemeClr val="accent1"/>
          </a:solidFill>
          <a:ln w="19050">
            <a:solidFill>
              <a:schemeClr val="lt1"/>
            </a:solidFill>
          </a:ln>
          <a:effectLst/>
        </c:spPr>
      </c:pivotFmt>
      <c:pivotFmt>
        <c:idx val="429"/>
        <c:spPr>
          <a:solidFill>
            <a:schemeClr val="accent1"/>
          </a:solidFill>
          <a:ln w="19050">
            <a:solidFill>
              <a:schemeClr val="lt1"/>
            </a:solidFill>
          </a:ln>
          <a:effectLst/>
        </c:spPr>
      </c:pivotFmt>
      <c:pivotFmt>
        <c:idx val="430"/>
        <c:spPr>
          <a:solidFill>
            <a:schemeClr val="accent1"/>
          </a:solidFill>
          <a:ln w="19050">
            <a:solidFill>
              <a:schemeClr val="lt1"/>
            </a:solidFill>
          </a:ln>
          <a:effectLst/>
        </c:spPr>
      </c:pivotFmt>
      <c:pivotFmt>
        <c:idx val="431"/>
        <c:spPr>
          <a:solidFill>
            <a:schemeClr val="accent1"/>
          </a:solidFill>
          <a:ln w="19050">
            <a:solidFill>
              <a:schemeClr val="lt1"/>
            </a:solidFill>
          </a:ln>
          <a:effectLst/>
        </c:spPr>
      </c:pivotFmt>
      <c:pivotFmt>
        <c:idx val="432"/>
        <c:spPr>
          <a:solidFill>
            <a:schemeClr val="accent1"/>
          </a:solidFill>
          <a:ln w="19050">
            <a:solidFill>
              <a:schemeClr val="lt1"/>
            </a:solidFill>
          </a:ln>
          <a:effectLst/>
        </c:spPr>
      </c:pivotFmt>
      <c:pivotFmt>
        <c:idx val="433"/>
        <c:spPr>
          <a:solidFill>
            <a:schemeClr val="accent1"/>
          </a:solidFill>
          <a:ln w="19050">
            <a:solidFill>
              <a:schemeClr val="lt1"/>
            </a:solidFill>
          </a:ln>
          <a:effectLst/>
        </c:spPr>
      </c:pivotFmt>
      <c:pivotFmt>
        <c:idx val="434"/>
        <c:spPr>
          <a:solidFill>
            <a:schemeClr val="accent1"/>
          </a:solidFill>
          <a:ln w="19050">
            <a:solidFill>
              <a:schemeClr val="lt1"/>
            </a:solidFill>
          </a:ln>
          <a:effectLst/>
        </c:spPr>
      </c:pivotFmt>
      <c:pivotFmt>
        <c:idx val="435"/>
        <c:spPr>
          <a:solidFill>
            <a:schemeClr val="accent1"/>
          </a:solidFill>
          <a:ln w="19050">
            <a:solidFill>
              <a:schemeClr val="lt1"/>
            </a:solidFill>
          </a:ln>
          <a:effectLst/>
        </c:spPr>
      </c:pivotFmt>
      <c:pivotFmt>
        <c:idx val="436"/>
        <c:spPr>
          <a:solidFill>
            <a:schemeClr val="accent1"/>
          </a:solidFill>
          <a:ln w="19050">
            <a:solidFill>
              <a:schemeClr val="lt1"/>
            </a:solidFill>
          </a:ln>
          <a:effectLst/>
        </c:spPr>
      </c:pivotFmt>
      <c:pivotFmt>
        <c:idx val="437"/>
        <c:spPr>
          <a:solidFill>
            <a:schemeClr val="accent1"/>
          </a:solidFill>
          <a:ln w="19050">
            <a:solidFill>
              <a:schemeClr val="lt1"/>
            </a:solidFill>
          </a:ln>
          <a:effectLst/>
        </c:spPr>
      </c:pivotFmt>
      <c:pivotFmt>
        <c:idx val="438"/>
        <c:spPr>
          <a:solidFill>
            <a:schemeClr val="accent1"/>
          </a:solidFill>
          <a:ln w="19050">
            <a:solidFill>
              <a:schemeClr val="lt1"/>
            </a:solidFill>
          </a:ln>
          <a:effectLst/>
        </c:spPr>
      </c:pivotFmt>
      <c:pivotFmt>
        <c:idx val="439"/>
        <c:spPr>
          <a:solidFill>
            <a:schemeClr val="accent1"/>
          </a:solidFill>
          <a:ln w="19050">
            <a:solidFill>
              <a:schemeClr val="lt1"/>
            </a:solidFill>
          </a:ln>
          <a:effectLst/>
        </c:spPr>
      </c:pivotFmt>
      <c:pivotFmt>
        <c:idx val="440"/>
        <c:spPr>
          <a:solidFill>
            <a:schemeClr val="accent1"/>
          </a:solidFill>
          <a:ln w="19050">
            <a:solidFill>
              <a:schemeClr val="lt1"/>
            </a:solidFill>
          </a:ln>
          <a:effectLst/>
        </c:spPr>
      </c:pivotFmt>
      <c:pivotFmt>
        <c:idx val="441"/>
        <c:spPr>
          <a:solidFill>
            <a:schemeClr val="accent1"/>
          </a:solidFill>
          <a:ln w="19050">
            <a:solidFill>
              <a:schemeClr val="lt1"/>
            </a:solidFill>
          </a:ln>
          <a:effectLst/>
        </c:spPr>
      </c:pivotFmt>
      <c:pivotFmt>
        <c:idx val="442"/>
        <c:spPr>
          <a:solidFill>
            <a:schemeClr val="accent1"/>
          </a:solidFill>
          <a:ln w="19050">
            <a:solidFill>
              <a:schemeClr val="lt1"/>
            </a:solidFill>
          </a:ln>
          <a:effectLst/>
        </c:spPr>
      </c:pivotFmt>
      <c:pivotFmt>
        <c:idx val="443"/>
        <c:spPr>
          <a:solidFill>
            <a:schemeClr val="accent1"/>
          </a:solidFill>
          <a:ln w="19050">
            <a:solidFill>
              <a:schemeClr val="lt1"/>
            </a:solidFill>
          </a:ln>
          <a:effectLst/>
        </c:spPr>
      </c:pivotFmt>
      <c:pivotFmt>
        <c:idx val="444"/>
        <c:spPr>
          <a:solidFill>
            <a:schemeClr val="accent1"/>
          </a:solidFill>
          <a:ln w="19050">
            <a:solidFill>
              <a:schemeClr val="lt1"/>
            </a:solidFill>
          </a:ln>
          <a:effectLst/>
        </c:spPr>
      </c:pivotFmt>
      <c:pivotFmt>
        <c:idx val="445"/>
        <c:spPr>
          <a:solidFill>
            <a:schemeClr val="accent1"/>
          </a:solidFill>
          <a:ln w="19050">
            <a:solidFill>
              <a:schemeClr val="lt1"/>
            </a:solidFill>
          </a:ln>
          <a:effectLst/>
        </c:spPr>
      </c:pivotFmt>
      <c:pivotFmt>
        <c:idx val="446"/>
        <c:spPr>
          <a:solidFill>
            <a:schemeClr val="accent1"/>
          </a:solidFill>
          <a:ln w="19050">
            <a:solidFill>
              <a:schemeClr val="lt1"/>
            </a:solidFill>
          </a:ln>
          <a:effectLst/>
        </c:spPr>
      </c:pivotFmt>
      <c:pivotFmt>
        <c:idx val="447"/>
        <c:spPr>
          <a:solidFill>
            <a:schemeClr val="accent1"/>
          </a:solidFill>
          <a:ln w="19050">
            <a:solidFill>
              <a:schemeClr val="lt1"/>
            </a:solidFill>
          </a:ln>
          <a:effectLst/>
        </c:spPr>
      </c:pivotFmt>
      <c:pivotFmt>
        <c:idx val="448"/>
        <c:spPr>
          <a:solidFill>
            <a:schemeClr val="accent1"/>
          </a:solidFill>
          <a:ln w="19050">
            <a:solidFill>
              <a:schemeClr val="lt1"/>
            </a:solidFill>
          </a:ln>
          <a:effectLst/>
        </c:spPr>
      </c:pivotFmt>
      <c:pivotFmt>
        <c:idx val="449"/>
        <c:spPr>
          <a:solidFill>
            <a:schemeClr val="accent1"/>
          </a:solidFill>
          <a:ln w="19050">
            <a:solidFill>
              <a:schemeClr val="lt1"/>
            </a:solidFill>
          </a:ln>
          <a:effectLst/>
        </c:spPr>
      </c:pivotFmt>
      <c:pivotFmt>
        <c:idx val="450"/>
        <c:spPr>
          <a:solidFill>
            <a:schemeClr val="accent1"/>
          </a:solidFill>
          <a:ln w="19050">
            <a:solidFill>
              <a:schemeClr val="lt1"/>
            </a:solidFill>
          </a:ln>
          <a:effectLst/>
        </c:spPr>
      </c:pivotFmt>
      <c:pivotFmt>
        <c:idx val="451"/>
        <c:spPr>
          <a:solidFill>
            <a:schemeClr val="accent1"/>
          </a:solidFill>
          <a:ln w="19050">
            <a:solidFill>
              <a:schemeClr val="lt1"/>
            </a:solidFill>
          </a:ln>
          <a:effectLst/>
        </c:spPr>
      </c:pivotFmt>
      <c:pivotFmt>
        <c:idx val="452"/>
        <c:spPr>
          <a:solidFill>
            <a:schemeClr val="accent1"/>
          </a:solidFill>
          <a:ln w="19050">
            <a:solidFill>
              <a:schemeClr val="lt1"/>
            </a:solidFill>
          </a:ln>
          <a:effectLst/>
        </c:spPr>
      </c:pivotFmt>
      <c:pivotFmt>
        <c:idx val="453"/>
        <c:spPr>
          <a:solidFill>
            <a:schemeClr val="accent1"/>
          </a:solidFill>
          <a:ln w="19050">
            <a:solidFill>
              <a:schemeClr val="lt1"/>
            </a:solidFill>
          </a:ln>
          <a:effectLst/>
        </c:spPr>
      </c:pivotFmt>
      <c:pivotFmt>
        <c:idx val="454"/>
        <c:spPr>
          <a:solidFill>
            <a:schemeClr val="accent1"/>
          </a:solidFill>
          <a:ln w="19050">
            <a:solidFill>
              <a:schemeClr val="lt1"/>
            </a:solidFill>
          </a:ln>
          <a:effectLst/>
        </c:spPr>
      </c:pivotFmt>
      <c:pivotFmt>
        <c:idx val="455"/>
        <c:spPr>
          <a:solidFill>
            <a:schemeClr val="accent1"/>
          </a:solidFill>
          <a:ln w="19050">
            <a:solidFill>
              <a:schemeClr val="lt1"/>
            </a:solidFill>
          </a:ln>
          <a:effectLst/>
        </c:spPr>
      </c:pivotFmt>
      <c:pivotFmt>
        <c:idx val="456"/>
        <c:spPr>
          <a:solidFill>
            <a:schemeClr val="accent1"/>
          </a:solidFill>
          <a:ln w="19050">
            <a:solidFill>
              <a:schemeClr val="lt1"/>
            </a:solidFill>
          </a:ln>
          <a:effectLst/>
        </c:spPr>
      </c:pivotFmt>
      <c:pivotFmt>
        <c:idx val="457"/>
        <c:spPr>
          <a:solidFill>
            <a:schemeClr val="accent1"/>
          </a:solidFill>
          <a:ln w="19050">
            <a:solidFill>
              <a:schemeClr val="lt1"/>
            </a:solidFill>
          </a:ln>
          <a:effectLst/>
        </c:spPr>
      </c:pivotFmt>
      <c:pivotFmt>
        <c:idx val="458"/>
        <c:spPr>
          <a:solidFill>
            <a:schemeClr val="accent1"/>
          </a:solidFill>
          <a:ln w="19050">
            <a:solidFill>
              <a:schemeClr val="lt1"/>
            </a:solidFill>
          </a:ln>
          <a:effectLst/>
        </c:spPr>
      </c:pivotFmt>
      <c:pivotFmt>
        <c:idx val="459"/>
        <c:spPr>
          <a:solidFill>
            <a:schemeClr val="accent1"/>
          </a:solidFill>
          <a:ln w="19050">
            <a:solidFill>
              <a:schemeClr val="lt1"/>
            </a:solidFill>
          </a:ln>
          <a:effectLst/>
        </c:spPr>
      </c:pivotFmt>
      <c:pivotFmt>
        <c:idx val="460"/>
        <c:spPr>
          <a:solidFill>
            <a:schemeClr val="accent1"/>
          </a:solidFill>
          <a:ln w="19050">
            <a:solidFill>
              <a:schemeClr val="lt1"/>
            </a:solidFill>
          </a:ln>
          <a:effectLst/>
        </c:spPr>
      </c:pivotFmt>
      <c:pivotFmt>
        <c:idx val="461"/>
        <c:spPr>
          <a:solidFill>
            <a:schemeClr val="accent1"/>
          </a:solidFill>
          <a:ln w="19050">
            <a:solidFill>
              <a:schemeClr val="lt1"/>
            </a:solidFill>
          </a:ln>
          <a:effectLst/>
        </c:spPr>
      </c:pivotFmt>
      <c:pivotFmt>
        <c:idx val="462"/>
        <c:spPr>
          <a:solidFill>
            <a:schemeClr val="accent1"/>
          </a:solidFill>
          <a:ln w="19050">
            <a:solidFill>
              <a:schemeClr val="lt1"/>
            </a:solidFill>
          </a:ln>
          <a:effectLst/>
        </c:spPr>
      </c:pivotFmt>
      <c:pivotFmt>
        <c:idx val="463"/>
        <c:spPr>
          <a:solidFill>
            <a:schemeClr val="accent1"/>
          </a:solidFill>
          <a:ln w="19050">
            <a:solidFill>
              <a:schemeClr val="lt1"/>
            </a:solidFill>
          </a:ln>
          <a:effectLst/>
        </c:spPr>
      </c:pivotFmt>
      <c:pivotFmt>
        <c:idx val="464"/>
        <c:spPr>
          <a:solidFill>
            <a:schemeClr val="accent1"/>
          </a:solidFill>
          <a:ln w="19050">
            <a:solidFill>
              <a:schemeClr val="lt1"/>
            </a:solidFill>
          </a:ln>
          <a:effectLst/>
        </c:spPr>
      </c:pivotFmt>
      <c:pivotFmt>
        <c:idx val="465"/>
        <c:spPr>
          <a:solidFill>
            <a:schemeClr val="accent1"/>
          </a:solidFill>
          <a:ln w="19050">
            <a:solidFill>
              <a:schemeClr val="lt1"/>
            </a:solidFill>
          </a:ln>
          <a:effectLst/>
        </c:spPr>
      </c:pivotFmt>
      <c:pivotFmt>
        <c:idx val="466"/>
        <c:spPr>
          <a:solidFill>
            <a:schemeClr val="accent1"/>
          </a:solidFill>
          <a:ln w="19050">
            <a:solidFill>
              <a:schemeClr val="lt1"/>
            </a:solidFill>
          </a:ln>
          <a:effectLst/>
        </c:spPr>
      </c:pivotFmt>
      <c:pivotFmt>
        <c:idx val="467"/>
        <c:spPr>
          <a:solidFill>
            <a:schemeClr val="accent1"/>
          </a:solidFill>
          <a:ln w="19050">
            <a:solidFill>
              <a:schemeClr val="lt1"/>
            </a:solidFill>
          </a:ln>
          <a:effectLst/>
        </c:spPr>
      </c:pivotFmt>
      <c:pivotFmt>
        <c:idx val="468"/>
        <c:spPr>
          <a:solidFill>
            <a:schemeClr val="accent1"/>
          </a:solidFill>
          <a:ln w="19050">
            <a:solidFill>
              <a:schemeClr val="lt1"/>
            </a:solidFill>
          </a:ln>
          <a:effectLst/>
        </c:spPr>
      </c:pivotFmt>
      <c:pivotFmt>
        <c:idx val="469"/>
        <c:spPr>
          <a:solidFill>
            <a:schemeClr val="accent1"/>
          </a:solidFill>
          <a:ln w="19050">
            <a:solidFill>
              <a:schemeClr val="lt1"/>
            </a:solidFill>
          </a:ln>
          <a:effectLst/>
        </c:spPr>
      </c:pivotFmt>
      <c:pivotFmt>
        <c:idx val="470"/>
        <c:spPr>
          <a:solidFill>
            <a:schemeClr val="accent1"/>
          </a:solidFill>
          <a:ln w="19050">
            <a:solidFill>
              <a:schemeClr val="lt1"/>
            </a:solidFill>
          </a:ln>
          <a:effectLst/>
        </c:spPr>
      </c:pivotFmt>
      <c:pivotFmt>
        <c:idx val="471"/>
        <c:spPr>
          <a:solidFill>
            <a:schemeClr val="accent1"/>
          </a:solidFill>
          <a:ln w="19050">
            <a:solidFill>
              <a:schemeClr val="lt1"/>
            </a:solidFill>
          </a:ln>
          <a:effectLst/>
        </c:spPr>
      </c:pivotFmt>
      <c:pivotFmt>
        <c:idx val="472"/>
        <c:spPr>
          <a:solidFill>
            <a:schemeClr val="accent1"/>
          </a:solidFill>
          <a:ln w="19050">
            <a:solidFill>
              <a:schemeClr val="lt1"/>
            </a:solidFill>
          </a:ln>
          <a:effectLst/>
        </c:spPr>
      </c:pivotFmt>
      <c:pivotFmt>
        <c:idx val="473"/>
        <c:spPr>
          <a:solidFill>
            <a:schemeClr val="accent1"/>
          </a:solidFill>
          <a:ln w="19050">
            <a:solidFill>
              <a:schemeClr val="lt1"/>
            </a:solidFill>
          </a:ln>
          <a:effectLst/>
        </c:spPr>
      </c:pivotFmt>
      <c:pivotFmt>
        <c:idx val="474"/>
        <c:spPr>
          <a:solidFill>
            <a:schemeClr val="accent1"/>
          </a:solidFill>
          <a:ln w="19050">
            <a:solidFill>
              <a:schemeClr val="lt1"/>
            </a:solidFill>
          </a:ln>
          <a:effectLst/>
        </c:spPr>
      </c:pivotFmt>
      <c:pivotFmt>
        <c:idx val="475"/>
        <c:spPr>
          <a:solidFill>
            <a:schemeClr val="accent1"/>
          </a:solidFill>
          <a:ln w="19050">
            <a:solidFill>
              <a:schemeClr val="lt1"/>
            </a:solidFill>
          </a:ln>
          <a:effectLst/>
        </c:spPr>
      </c:pivotFmt>
      <c:pivotFmt>
        <c:idx val="476"/>
        <c:spPr>
          <a:solidFill>
            <a:schemeClr val="accent1"/>
          </a:solidFill>
          <a:ln w="19050">
            <a:solidFill>
              <a:schemeClr val="lt1"/>
            </a:solidFill>
          </a:ln>
          <a:effectLst/>
        </c:spPr>
      </c:pivotFmt>
      <c:pivotFmt>
        <c:idx val="477"/>
        <c:spPr>
          <a:solidFill>
            <a:schemeClr val="accent1"/>
          </a:solidFill>
          <a:ln w="19050">
            <a:solidFill>
              <a:schemeClr val="lt1"/>
            </a:solidFill>
          </a:ln>
          <a:effectLst/>
        </c:spPr>
      </c:pivotFmt>
      <c:pivotFmt>
        <c:idx val="478"/>
        <c:spPr>
          <a:solidFill>
            <a:schemeClr val="accent1"/>
          </a:solidFill>
          <a:ln w="19050">
            <a:solidFill>
              <a:schemeClr val="lt1"/>
            </a:solidFill>
          </a:ln>
          <a:effectLst/>
        </c:spPr>
      </c:pivotFmt>
      <c:pivotFmt>
        <c:idx val="479"/>
        <c:spPr>
          <a:solidFill>
            <a:schemeClr val="accent1"/>
          </a:solidFill>
          <a:ln w="19050">
            <a:solidFill>
              <a:schemeClr val="lt1"/>
            </a:solidFill>
          </a:ln>
          <a:effectLst/>
        </c:spPr>
      </c:pivotFmt>
      <c:pivotFmt>
        <c:idx val="480"/>
        <c:spPr>
          <a:solidFill>
            <a:schemeClr val="accent1"/>
          </a:solidFill>
          <a:ln w="19050">
            <a:solidFill>
              <a:schemeClr val="lt1"/>
            </a:solidFill>
          </a:ln>
          <a:effectLst/>
        </c:spPr>
      </c:pivotFmt>
      <c:pivotFmt>
        <c:idx val="481"/>
        <c:spPr>
          <a:solidFill>
            <a:schemeClr val="accent1"/>
          </a:solidFill>
          <a:ln w="19050">
            <a:solidFill>
              <a:schemeClr val="lt1"/>
            </a:solidFill>
          </a:ln>
          <a:effectLst/>
        </c:spPr>
      </c:pivotFmt>
      <c:pivotFmt>
        <c:idx val="482"/>
        <c:spPr>
          <a:solidFill>
            <a:schemeClr val="accent1"/>
          </a:solidFill>
          <a:ln w="19050">
            <a:solidFill>
              <a:schemeClr val="lt1"/>
            </a:solidFill>
          </a:ln>
          <a:effectLst/>
        </c:spPr>
      </c:pivotFmt>
      <c:pivotFmt>
        <c:idx val="483"/>
        <c:spPr>
          <a:solidFill>
            <a:schemeClr val="accent1"/>
          </a:solidFill>
          <a:ln w="19050">
            <a:solidFill>
              <a:schemeClr val="lt1"/>
            </a:solidFill>
          </a:ln>
          <a:effectLst/>
        </c:spPr>
      </c:pivotFmt>
      <c:pivotFmt>
        <c:idx val="484"/>
        <c:spPr>
          <a:solidFill>
            <a:schemeClr val="accent1"/>
          </a:solidFill>
          <a:ln w="19050">
            <a:solidFill>
              <a:schemeClr val="lt1"/>
            </a:solidFill>
          </a:ln>
          <a:effectLst/>
        </c:spPr>
      </c:pivotFmt>
      <c:pivotFmt>
        <c:idx val="485"/>
        <c:spPr>
          <a:solidFill>
            <a:schemeClr val="accent1"/>
          </a:solidFill>
          <a:ln w="19050">
            <a:solidFill>
              <a:schemeClr val="lt1"/>
            </a:solidFill>
          </a:ln>
          <a:effectLst/>
        </c:spPr>
      </c:pivotFmt>
      <c:pivotFmt>
        <c:idx val="486"/>
        <c:spPr>
          <a:solidFill>
            <a:schemeClr val="accent1"/>
          </a:solidFill>
          <a:ln w="19050">
            <a:solidFill>
              <a:schemeClr val="lt1"/>
            </a:solidFill>
          </a:ln>
          <a:effectLst/>
        </c:spPr>
      </c:pivotFmt>
      <c:pivotFmt>
        <c:idx val="487"/>
        <c:spPr>
          <a:solidFill>
            <a:schemeClr val="accent1"/>
          </a:solidFill>
          <a:ln w="19050">
            <a:solidFill>
              <a:schemeClr val="lt1"/>
            </a:solidFill>
          </a:ln>
          <a:effectLst/>
        </c:spPr>
      </c:pivotFmt>
      <c:pivotFmt>
        <c:idx val="488"/>
        <c:spPr>
          <a:solidFill>
            <a:schemeClr val="accent1"/>
          </a:solidFill>
          <a:ln w="19050">
            <a:solidFill>
              <a:schemeClr val="lt1"/>
            </a:solidFill>
          </a:ln>
          <a:effectLst/>
        </c:spPr>
      </c:pivotFmt>
      <c:pivotFmt>
        <c:idx val="489"/>
        <c:spPr>
          <a:solidFill>
            <a:schemeClr val="accent1"/>
          </a:solidFill>
          <a:ln w="19050">
            <a:solidFill>
              <a:schemeClr val="lt1"/>
            </a:solidFill>
          </a:ln>
          <a:effectLst/>
        </c:spPr>
      </c:pivotFmt>
      <c:pivotFmt>
        <c:idx val="490"/>
        <c:spPr>
          <a:solidFill>
            <a:schemeClr val="accent1"/>
          </a:solidFill>
          <a:ln w="19050">
            <a:solidFill>
              <a:schemeClr val="lt1"/>
            </a:solidFill>
          </a:ln>
          <a:effectLst/>
        </c:spPr>
      </c:pivotFmt>
      <c:pivotFmt>
        <c:idx val="491"/>
        <c:spPr>
          <a:solidFill>
            <a:schemeClr val="accent1"/>
          </a:solidFill>
          <a:ln w="19050">
            <a:solidFill>
              <a:schemeClr val="lt1"/>
            </a:solidFill>
          </a:ln>
          <a:effectLst/>
        </c:spPr>
      </c:pivotFmt>
      <c:pivotFmt>
        <c:idx val="492"/>
        <c:spPr>
          <a:solidFill>
            <a:schemeClr val="accent1"/>
          </a:solidFill>
          <a:ln w="19050">
            <a:solidFill>
              <a:schemeClr val="lt1"/>
            </a:solidFill>
          </a:ln>
          <a:effectLst/>
        </c:spPr>
      </c:pivotFmt>
      <c:pivotFmt>
        <c:idx val="493"/>
        <c:spPr>
          <a:solidFill>
            <a:schemeClr val="accent1"/>
          </a:solidFill>
          <a:ln w="19050">
            <a:solidFill>
              <a:schemeClr val="lt1"/>
            </a:solidFill>
          </a:ln>
          <a:effectLst/>
        </c:spPr>
      </c:pivotFmt>
      <c:pivotFmt>
        <c:idx val="494"/>
        <c:spPr>
          <a:solidFill>
            <a:schemeClr val="accent1"/>
          </a:solidFill>
          <a:ln w="19050">
            <a:solidFill>
              <a:schemeClr val="lt1"/>
            </a:solidFill>
          </a:ln>
          <a:effectLst/>
        </c:spPr>
      </c:pivotFmt>
      <c:pivotFmt>
        <c:idx val="495"/>
        <c:spPr>
          <a:solidFill>
            <a:schemeClr val="accent1"/>
          </a:solidFill>
          <a:ln w="19050">
            <a:solidFill>
              <a:schemeClr val="lt1"/>
            </a:solidFill>
          </a:ln>
          <a:effectLst/>
        </c:spPr>
      </c:pivotFmt>
      <c:pivotFmt>
        <c:idx val="496"/>
        <c:spPr>
          <a:solidFill>
            <a:schemeClr val="accent1"/>
          </a:solidFill>
          <a:ln w="19050">
            <a:solidFill>
              <a:schemeClr val="lt1"/>
            </a:solidFill>
          </a:ln>
          <a:effectLst/>
        </c:spPr>
      </c:pivotFmt>
      <c:pivotFmt>
        <c:idx val="497"/>
        <c:spPr>
          <a:solidFill>
            <a:schemeClr val="accent1"/>
          </a:solidFill>
          <a:ln w="19050">
            <a:solidFill>
              <a:schemeClr val="lt1"/>
            </a:solidFill>
          </a:ln>
          <a:effectLst/>
        </c:spPr>
      </c:pivotFmt>
      <c:pivotFmt>
        <c:idx val="498"/>
        <c:spPr>
          <a:solidFill>
            <a:schemeClr val="accent1"/>
          </a:solidFill>
          <a:ln w="19050">
            <a:solidFill>
              <a:schemeClr val="lt1"/>
            </a:solidFill>
          </a:ln>
          <a:effectLst/>
        </c:spPr>
      </c:pivotFmt>
      <c:pivotFmt>
        <c:idx val="499"/>
        <c:spPr>
          <a:solidFill>
            <a:schemeClr val="accent1"/>
          </a:solidFill>
          <a:ln w="19050">
            <a:solidFill>
              <a:schemeClr val="lt1"/>
            </a:solidFill>
          </a:ln>
          <a:effectLst/>
        </c:spPr>
      </c:pivotFmt>
      <c:pivotFmt>
        <c:idx val="500"/>
        <c:spPr>
          <a:solidFill>
            <a:schemeClr val="accent1"/>
          </a:solidFill>
          <a:ln w="19050">
            <a:solidFill>
              <a:schemeClr val="lt1"/>
            </a:solidFill>
          </a:ln>
          <a:effectLst/>
        </c:spPr>
      </c:pivotFmt>
      <c:pivotFmt>
        <c:idx val="501"/>
        <c:spPr>
          <a:solidFill>
            <a:schemeClr val="accent1"/>
          </a:solidFill>
          <a:ln w="19050">
            <a:solidFill>
              <a:schemeClr val="lt1"/>
            </a:solidFill>
          </a:ln>
          <a:effectLst/>
        </c:spPr>
      </c:pivotFmt>
      <c:pivotFmt>
        <c:idx val="502"/>
        <c:spPr>
          <a:solidFill>
            <a:schemeClr val="accent1"/>
          </a:solidFill>
          <a:ln w="19050">
            <a:solidFill>
              <a:schemeClr val="lt1"/>
            </a:solidFill>
          </a:ln>
          <a:effectLst/>
        </c:spPr>
      </c:pivotFmt>
      <c:pivotFmt>
        <c:idx val="503"/>
        <c:spPr>
          <a:solidFill>
            <a:schemeClr val="accent1"/>
          </a:solidFill>
          <a:ln w="19050">
            <a:solidFill>
              <a:schemeClr val="lt1"/>
            </a:solidFill>
          </a:ln>
          <a:effectLst/>
        </c:spPr>
      </c:pivotFmt>
      <c:pivotFmt>
        <c:idx val="504"/>
        <c:spPr>
          <a:solidFill>
            <a:schemeClr val="accent1"/>
          </a:solidFill>
          <a:ln w="19050">
            <a:solidFill>
              <a:schemeClr val="lt1"/>
            </a:solidFill>
          </a:ln>
          <a:effectLst/>
        </c:spPr>
      </c:pivotFmt>
      <c:pivotFmt>
        <c:idx val="505"/>
        <c:spPr>
          <a:solidFill>
            <a:schemeClr val="accent1"/>
          </a:solidFill>
          <a:ln w="19050">
            <a:solidFill>
              <a:schemeClr val="lt1"/>
            </a:solidFill>
          </a:ln>
          <a:effectLst/>
        </c:spPr>
      </c:pivotFmt>
      <c:pivotFmt>
        <c:idx val="506"/>
        <c:spPr>
          <a:solidFill>
            <a:schemeClr val="accent1"/>
          </a:solidFill>
          <a:ln w="19050">
            <a:solidFill>
              <a:schemeClr val="lt1"/>
            </a:solidFill>
          </a:ln>
          <a:effectLst/>
        </c:spPr>
      </c:pivotFmt>
      <c:pivotFmt>
        <c:idx val="507"/>
        <c:spPr>
          <a:solidFill>
            <a:schemeClr val="accent1"/>
          </a:solidFill>
          <a:ln w="19050">
            <a:solidFill>
              <a:schemeClr val="lt1"/>
            </a:solidFill>
          </a:ln>
          <a:effectLst/>
        </c:spPr>
      </c:pivotFmt>
      <c:pivotFmt>
        <c:idx val="508"/>
        <c:spPr>
          <a:solidFill>
            <a:schemeClr val="accent1"/>
          </a:solidFill>
          <a:ln w="19050">
            <a:solidFill>
              <a:schemeClr val="lt1"/>
            </a:solidFill>
          </a:ln>
          <a:effectLst/>
        </c:spPr>
      </c:pivotFmt>
      <c:pivotFmt>
        <c:idx val="509"/>
        <c:spPr>
          <a:solidFill>
            <a:schemeClr val="accent1"/>
          </a:solidFill>
          <a:ln w="19050">
            <a:solidFill>
              <a:schemeClr val="lt1"/>
            </a:solidFill>
          </a:ln>
          <a:effectLst/>
        </c:spPr>
      </c:pivotFmt>
      <c:pivotFmt>
        <c:idx val="510"/>
        <c:spPr>
          <a:solidFill>
            <a:schemeClr val="accent1"/>
          </a:solidFill>
          <a:ln w="19050">
            <a:solidFill>
              <a:schemeClr val="lt1"/>
            </a:solidFill>
          </a:ln>
          <a:effectLst/>
        </c:spPr>
      </c:pivotFmt>
      <c:pivotFmt>
        <c:idx val="511"/>
        <c:spPr>
          <a:solidFill>
            <a:schemeClr val="accent1"/>
          </a:solidFill>
          <a:ln w="19050">
            <a:solidFill>
              <a:schemeClr val="lt1"/>
            </a:solidFill>
          </a:ln>
          <a:effectLst/>
        </c:spPr>
      </c:pivotFmt>
      <c:pivotFmt>
        <c:idx val="512"/>
        <c:spPr>
          <a:solidFill>
            <a:schemeClr val="accent1"/>
          </a:solidFill>
          <a:ln w="19050">
            <a:solidFill>
              <a:schemeClr val="lt1"/>
            </a:solidFill>
          </a:ln>
          <a:effectLst/>
        </c:spPr>
      </c:pivotFmt>
      <c:pivotFmt>
        <c:idx val="513"/>
        <c:spPr>
          <a:solidFill>
            <a:schemeClr val="accent1"/>
          </a:solidFill>
          <a:ln w="19050">
            <a:solidFill>
              <a:schemeClr val="lt1"/>
            </a:solidFill>
          </a:ln>
          <a:effectLst/>
        </c:spPr>
      </c:pivotFmt>
      <c:pivotFmt>
        <c:idx val="514"/>
        <c:spPr>
          <a:solidFill>
            <a:schemeClr val="accent1"/>
          </a:solidFill>
          <a:ln w="19050">
            <a:solidFill>
              <a:schemeClr val="lt1"/>
            </a:solidFill>
          </a:ln>
          <a:effectLst/>
        </c:spPr>
      </c:pivotFmt>
      <c:pivotFmt>
        <c:idx val="515"/>
        <c:spPr>
          <a:solidFill>
            <a:schemeClr val="accent1"/>
          </a:solidFill>
          <a:ln w="19050">
            <a:solidFill>
              <a:schemeClr val="lt1"/>
            </a:solidFill>
          </a:ln>
          <a:effectLst/>
        </c:spPr>
      </c:pivotFmt>
      <c:pivotFmt>
        <c:idx val="516"/>
        <c:spPr>
          <a:solidFill>
            <a:schemeClr val="accent1"/>
          </a:solidFill>
          <a:ln w="19050">
            <a:solidFill>
              <a:schemeClr val="lt1"/>
            </a:solidFill>
          </a:ln>
          <a:effectLst/>
        </c:spPr>
      </c:pivotFmt>
      <c:pivotFmt>
        <c:idx val="517"/>
        <c:spPr>
          <a:solidFill>
            <a:schemeClr val="accent1"/>
          </a:solidFill>
          <a:ln w="19050">
            <a:solidFill>
              <a:schemeClr val="lt1"/>
            </a:solidFill>
          </a:ln>
          <a:effectLst/>
        </c:spPr>
      </c:pivotFmt>
      <c:pivotFmt>
        <c:idx val="518"/>
        <c:spPr>
          <a:solidFill>
            <a:schemeClr val="accent1"/>
          </a:solidFill>
          <a:ln w="19050">
            <a:solidFill>
              <a:schemeClr val="lt1"/>
            </a:solidFill>
          </a:ln>
          <a:effectLst/>
        </c:spPr>
      </c:pivotFmt>
      <c:pivotFmt>
        <c:idx val="519"/>
        <c:spPr>
          <a:solidFill>
            <a:schemeClr val="accent1"/>
          </a:solidFill>
          <a:ln w="19050">
            <a:solidFill>
              <a:schemeClr val="lt1"/>
            </a:solidFill>
          </a:ln>
          <a:effectLst/>
        </c:spPr>
      </c:pivotFmt>
      <c:pivotFmt>
        <c:idx val="520"/>
        <c:spPr>
          <a:solidFill>
            <a:schemeClr val="accent1"/>
          </a:solidFill>
          <a:ln w="19050">
            <a:solidFill>
              <a:schemeClr val="lt1"/>
            </a:solidFill>
          </a:ln>
          <a:effectLst/>
        </c:spPr>
      </c:pivotFmt>
      <c:pivotFmt>
        <c:idx val="521"/>
        <c:spPr>
          <a:solidFill>
            <a:schemeClr val="accent1"/>
          </a:solidFill>
          <a:ln w="19050">
            <a:solidFill>
              <a:schemeClr val="lt1"/>
            </a:solidFill>
          </a:ln>
          <a:effectLst/>
        </c:spPr>
      </c:pivotFmt>
      <c:pivotFmt>
        <c:idx val="522"/>
        <c:spPr>
          <a:solidFill>
            <a:schemeClr val="accent1"/>
          </a:solidFill>
          <a:ln w="19050">
            <a:solidFill>
              <a:schemeClr val="lt1"/>
            </a:solidFill>
          </a:ln>
          <a:effectLst/>
        </c:spPr>
      </c:pivotFmt>
      <c:pivotFmt>
        <c:idx val="523"/>
        <c:spPr>
          <a:solidFill>
            <a:schemeClr val="accent1"/>
          </a:solidFill>
          <a:ln w="19050">
            <a:solidFill>
              <a:schemeClr val="lt1"/>
            </a:solidFill>
          </a:ln>
          <a:effectLst/>
        </c:spPr>
      </c:pivotFmt>
      <c:pivotFmt>
        <c:idx val="524"/>
        <c:spPr>
          <a:solidFill>
            <a:schemeClr val="accent1"/>
          </a:solidFill>
          <a:ln w="19050">
            <a:solidFill>
              <a:schemeClr val="lt1"/>
            </a:solidFill>
          </a:ln>
          <a:effectLst/>
        </c:spPr>
      </c:pivotFmt>
      <c:pivotFmt>
        <c:idx val="525"/>
        <c:spPr>
          <a:solidFill>
            <a:schemeClr val="accent1"/>
          </a:solidFill>
          <a:ln w="19050">
            <a:solidFill>
              <a:schemeClr val="lt1"/>
            </a:solidFill>
          </a:ln>
          <a:effectLst/>
        </c:spPr>
      </c:pivotFmt>
      <c:pivotFmt>
        <c:idx val="526"/>
        <c:spPr>
          <a:solidFill>
            <a:schemeClr val="accent1"/>
          </a:solidFill>
          <a:ln w="19050">
            <a:solidFill>
              <a:schemeClr val="lt1"/>
            </a:solidFill>
          </a:ln>
          <a:effectLst/>
        </c:spPr>
      </c:pivotFmt>
      <c:pivotFmt>
        <c:idx val="527"/>
        <c:spPr>
          <a:solidFill>
            <a:schemeClr val="accent1"/>
          </a:solidFill>
          <a:ln w="19050">
            <a:solidFill>
              <a:schemeClr val="lt1"/>
            </a:solidFill>
          </a:ln>
          <a:effectLst/>
        </c:spPr>
      </c:pivotFmt>
      <c:pivotFmt>
        <c:idx val="528"/>
        <c:spPr>
          <a:solidFill>
            <a:schemeClr val="accent1"/>
          </a:solidFill>
          <a:ln w="19050">
            <a:solidFill>
              <a:schemeClr val="lt1"/>
            </a:solidFill>
          </a:ln>
          <a:effectLst/>
        </c:spPr>
      </c:pivotFmt>
      <c:pivotFmt>
        <c:idx val="529"/>
        <c:spPr>
          <a:solidFill>
            <a:schemeClr val="accent1"/>
          </a:solidFill>
          <a:ln w="19050">
            <a:solidFill>
              <a:schemeClr val="lt1"/>
            </a:solidFill>
          </a:ln>
          <a:effectLst/>
        </c:spPr>
      </c:pivotFmt>
      <c:pivotFmt>
        <c:idx val="530"/>
        <c:spPr>
          <a:solidFill>
            <a:schemeClr val="accent1"/>
          </a:solidFill>
          <a:ln w="19050">
            <a:solidFill>
              <a:schemeClr val="lt1"/>
            </a:solidFill>
          </a:ln>
          <a:effectLst/>
        </c:spPr>
      </c:pivotFmt>
      <c:pivotFmt>
        <c:idx val="531"/>
        <c:spPr>
          <a:solidFill>
            <a:schemeClr val="accent1"/>
          </a:solidFill>
          <a:ln w="19050">
            <a:solidFill>
              <a:schemeClr val="lt1"/>
            </a:solidFill>
          </a:ln>
          <a:effectLst/>
        </c:spPr>
      </c:pivotFmt>
      <c:pivotFmt>
        <c:idx val="532"/>
        <c:spPr>
          <a:solidFill>
            <a:schemeClr val="accent1"/>
          </a:solidFill>
          <a:ln w="19050">
            <a:solidFill>
              <a:schemeClr val="lt1"/>
            </a:solidFill>
          </a:ln>
          <a:effectLst/>
        </c:spPr>
      </c:pivotFmt>
      <c:pivotFmt>
        <c:idx val="533"/>
        <c:spPr>
          <a:solidFill>
            <a:schemeClr val="accent1"/>
          </a:solidFill>
          <a:ln w="19050">
            <a:solidFill>
              <a:schemeClr val="lt1"/>
            </a:solidFill>
          </a:ln>
          <a:effectLst/>
        </c:spPr>
      </c:pivotFmt>
      <c:pivotFmt>
        <c:idx val="534"/>
        <c:spPr>
          <a:solidFill>
            <a:schemeClr val="accent1"/>
          </a:solidFill>
          <a:ln w="19050">
            <a:solidFill>
              <a:schemeClr val="lt1"/>
            </a:solidFill>
          </a:ln>
          <a:effectLst/>
        </c:spPr>
      </c:pivotFmt>
      <c:pivotFmt>
        <c:idx val="535"/>
        <c:spPr>
          <a:solidFill>
            <a:schemeClr val="accent1"/>
          </a:solidFill>
          <a:ln w="19050">
            <a:solidFill>
              <a:schemeClr val="lt1"/>
            </a:solidFill>
          </a:ln>
          <a:effectLst/>
        </c:spPr>
      </c:pivotFmt>
      <c:pivotFmt>
        <c:idx val="536"/>
        <c:spPr>
          <a:solidFill>
            <a:schemeClr val="accent1"/>
          </a:solidFill>
          <a:ln w="19050">
            <a:solidFill>
              <a:schemeClr val="lt1"/>
            </a:solidFill>
          </a:ln>
          <a:effectLst/>
        </c:spPr>
      </c:pivotFmt>
      <c:pivotFmt>
        <c:idx val="537"/>
        <c:spPr>
          <a:solidFill>
            <a:schemeClr val="accent1"/>
          </a:solidFill>
          <a:ln w="19050">
            <a:solidFill>
              <a:schemeClr val="lt1"/>
            </a:solidFill>
          </a:ln>
          <a:effectLst/>
        </c:spPr>
      </c:pivotFmt>
      <c:pivotFmt>
        <c:idx val="538"/>
        <c:spPr>
          <a:solidFill>
            <a:schemeClr val="accent1"/>
          </a:solidFill>
          <a:ln w="19050">
            <a:solidFill>
              <a:schemeClr val="lt1"/>
            </a:solidFill>
          </a:ln>
          <a:effectLst/>
        </c:spPr>
      </c:pivotFmt>
      <c:pivotFmt>
        <c:idx val="539"/>
        <c:spPr>
          <a:solidFill>
            <a:schemeClr val="accent1"/>
          </a:solidFill>
          <a:ln w="19050">
            <a:solidFill>
              <a:schemeClr val="lt1"/>
            </a:solidFill>
          </a:ln>
          <a:effectLst/>
        </c:spPr>
      </c:pivotFmt>
      <c:pivotFmt>
        <c:idx val="540"/>
        <c:spPr>
          <a:solidFill>
            <a:schemeClr val="accent1"/>
          </a:solidFill>
          <a:ln w="19050">
            <a:solidFill>
              <a:schemeClr val="lt1"/>
            </a:solidFill>
          </a:ln>
          <a:effectLst/>
        </c:spPr>
      </c:pivotFmt>
      <c:pivotFmt>
        <c:idx val="541"/>
        <c:spPr>
          <a:solidFill>
            <a:schemeClr val="accent1"/>
          </a:solidFill>
          <a:ln w="19050">
            <a:solidFill>
              <a:schemeClr val="lt1"/>
            </a:solidFill>
          </a:ln>
          <a:effectLst/>
        </c:spPr>
      </c:pivotFmt>
      <c:pivotFmt>
        <c:idx val="542"/>
        <c:spPr>
          <a:solidFill>
            <a:schemeClr val="accent1"/>
          </a:solidFill>
          <a:ln w="19050">
            <a:solidFill>
              <a:schemeClr val="lt1"/>
            </a:solidFill>
          </a:ln>
          <a:effectLst/>
        </c:spPr>
      </c:pivotFmt>
      <c:pivotFmt>
        <c:idx val="543"/>
        <c:spPr>
          <a:solidFill>
            <a:schemeClr val="accent1"/>
          </a:solidFill>
          <a:ln w="19050">
            <a:solidFill>
              <a:schemeClr val="lt1"/>
            </a:solidFill>
          </a:ln>
          <a:effectLst/>
        </c:spPr>
      </c:pivotFmt>
      <c:pivotFmt>
        <c:idx val="544"/>
        <c:spPr>
          <a:solidFill>
            <a:schemeClr val="accent1"/>
          </a:solidFill>
          <a:ln w="19050">
            <a:solidFill>
              <a:schemeClr val="lt1"/>
            </a:solidFill>
          </a:ln>
          <a:effectLst/>
        </c:spPr>
      </c:pivotFmt>
      <c:pivotFmt>
        <c:idx val="545"/>
        <c:spPr>
          <a:solidFill>
            <a:schemeClr val="accent1"/>
          </a:solidFill>
          <a:ln w="19050">
            <a:solidFill>
              <a:schemeClr val="lt1"/>
            </a:solidFill>
          </a:ln>
          <a:effectLst/>
        </c:spPr>
      </c:pivotFmt>
      <c:pivotFmt>
        <c:idx val="546"/>
        <c:spPr>
          <a:solidFill>
            <a:schemeClr val="accent1"/>
          </a:solidFill>
          <a:ln w="19050">
            <a:solidFill>
              <a:schemeClr val="lt1"/>
            </a:solidFill>
          </a:ln>
          <a:effectLst/>
        </c:spPr>
      </c:pivotFmt>
      <c:pivotFmt>
        <c:idx val="547"/>
        <c:spPr>
          <a:solidFill>
            <a:schemeClr val="accent1"/>
          </a:solidFill>
          <a:ln w="19050">
            <a:solidFill>
              <a:schemeClr val="lt1"/>
            </a:solidFill>
          </a:ln>
          <a:effectLst/>
        </c:spPr>
      </c:pivotFmt>
      <c:pivotFmt>
        <c:idx val="548"/>
        <c:spPr>
          <a:solidFill>
            <a:schemeClr val="accent1"/>
          </a:solidFill>
          <a:ln w="19050">
            <a:solidFill>
              <a:schemeClr val="lt1"/>
            </a:solidFill>
          </a:ln>
          <a:effectLst/>
        </c:spPr>
      </c:pivotFmt>
      <c:pivotFmt>
        <c:idx val="54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0"/>
        <c:spPr>
          <a:solidFill>
            <a:schemeClr val="accent1"/>
          </a:solidFill>
          <a:ln w="19050">
            <a:solidFill>
              <a:schemeClr val="lt1"/>
            </a:solidFill>
          </a:ln>
          <a:effectLst/>
        </c:spPr>
      </c:pivotFmt>
      <c:pivotFmt>
        <c:idx val="551"/>
        <c:spPr>
          <a:solidFill>
            <a:schemeClr val="accent1"/>
          </a:solidFill>
          <a:ln w="19050">
            <a:solidFill>
              <a:schemeClr val="lt1"/>
            </a:solidFill>
          </a:ln>
          <a:effectLst/>
        </c:spPr>
      </c:pivotFmt>
      <c:pivotFmt>
        <c:idx val="552"/>
        <c:spPr>
          <a:solidFill>
            <a:schemeClr val="accent1"/>
          </a:solidFill>
          <a:ln w="19050">
            <a:solidFill>
              <a:schemeClr val="lt1"/>
            </a:solidFill>
          </a:ln>
          <a:effectLst/>
        </c:spPr>
      </c:pivotFmt>
      <c:pivotFmt>
        <c:idx val="553"/>
        <c:spPr>
          <a:solidFill>
            <a:schemeClr val="accent1"/>
          </a:solidFill>
          <a:ln w="19050">
            <a:solidFill>
              <a:schemeClr val="lt1"/>
            </a:solidFill>
          </a:ln>
          <a:effectLst/>
        </c:spPr>
      </c:pivotFmt>
      <c:pivotFmt>
        <c:idx val="554"/>
        <c:spPr>
          <a:solidFill>
            <a:schemeClr val="accent1"/>
          </a:solidFill>
          <a:ln w="19050">
            <a:solidFill>
              <a:schemeClr val="lt1"/>
            </a:solidFill>
          </a:ln>
          <a:effectLst/>
        </c:spPr>
      </c:pivotFmt>
      <c:pivotFmt>
        <c:idx val="555"/>
        <c:spPr>
          <a:solidFill>
            <a:schemeClr val="accent1"/>
          </a:solidFill>
          <a:ln w="19050">
            <a:solidFill>
              <a:schemeClr val="lt1"/>
            </a:solidFill>
          </a:ln>
          <a:effectLst/>
        </c:spPr>
      </c:pivotFmt>
      <c:pivotFmt>
        <c:idx val="556"/>
        <c:spPr>
          <a:solidFill>
            <a:schemeClr val="accent1"/>
          </a:solidFill>
          <a:ln w="19050">
            <a:solidFill>
              <a:schemeClr val="lt1"/>
            </a:solidFill>
          </a:ln>
          <a:effectLst/>
        </c:spPr>
      </c:pivotFmt>
      <c:pivotFmt>
        <c:idx val="557"/>
        <c:spPr>
          <a:solidFill>
            <a:schemeClr val="accent1"/>
          </a:solidFill>
          <a:ln w="19050">
            <a:solidFill>
              <a:schemeClr val="lt1"/>
            </a:solidFill>
          </a:ln>
          <a:effectLst/>
        </c:spPr>
      </c:pivotFmt>
      <c:pivotFmt>
        <c:idx val="558"/>
        <c:spPr>
          <a:solidFill>
            <a:schemeClr val="accent1"/>
          </a:solidFill>
          <a:ln w="19050">
            <a:solidFill>
              <a:schemeClr val="lt1"/>
            </a:solidFill>
          </a:ln>
          <a:effectLst/>
        </c:spPr>
      </c:pivotFmt>
      <c:pivotFmt>
        <c:idx val="559"/>
        <c:spPr>
          <a:solidFill>
            <a:schemeClr val="accent1"/>
          </a:solidFill>
          <a:ln w="19050">
            <a:solidFill>
              <a:schemeClr val="lt1"/>
            </a:solidFill>
          </a:ln>
          <a:effectLst/>
        </c:spPr>
      </c:pivotFmt>
      <c:pivotFmt>
        <c:idx val="560"/>
        <c:spPr>
          <a:solidFill>
            <a:schemeClr val="accent1"/>
          </a:solidFill>
          <a:ln w="19050">
            <a:solidFill>
              <a:schemeClr val="lt1"/>
            </a:solidFill>
          </a:ln>
          <a:effectLst/>
        </c:spPr>
      </c:pivotFmt>
      <c:pivotFmt>
        <c:idx val="561"/>
        <c:spPr>
          <a:solidFill>
            <a:schemeClr val="accent1"/>
          </a:solidFill>
          <a:ln w="19050">
            <a:solidFill>
              <a:schemeClr val="lt1"/>
            </a:solidFill>
          </a:ln>
          <a:effectLst/>
        </c:spPr>
      </c:pivotFmt>
      <c:pivotFmt>
        <c:idx val="562"/>
        <c:spPr>
          <a:solidFill>
            <a:schemeClr val="accent1"/>
          </a:solidFill>
          <a:ln w="19050">
            <a:solidFill>
              <a:schemeClr val="lt1"/>
            </a:solidFill>
          </a:ln>
          <a:effectLst/>
        </c:spPr>
      </c:pivotFmt>
      <c:pivotFmt>
        <c:idx val="563"/>
        <c:spPr>
          <a:solidFill>
            <a:schemeClr val="accent1"/>
          </a:solidFill>
          <a:ln w="19050">
            <a:solidFill>
              <a:schemeClr val="lt1"/>
            </a:solidFill>
          </a:ln>
          <a:effectLst/>
        </c:spPr>
      </c:pivotFmt>
      <c:pivotFmt>
        <c:idx val="564"/>
        <c:spPr>
          <a:solidFill>
            <a:schemeClr val="accent1"/>
          </a:solidFill>
          <a:ln w="19050">
            <a:solidFill>
              <a:schemeClr val="lt1"/>
            </a:solidFill>
          </a:ln>
          <a:effectLst/>
        </c:spPr>
      </c:pivotFmt>
      <c:pivotFmt>
        <c:idx val="565"/>
        <c:spPr>
          <a:solidFill>
            <a:schemeClr val="accent1"/>
          </a:solidFill>
          <a:ln w="19050">
            <a:solidFill>
              <a:schemeClr val="lt1"/>
            </a:solidFill>
          </a:ln>
          <a:effectLst/>
        </c:spPr>
      </c:pivotFmt>
      <c:pivotFmt>
        <c:idx val="566"/>
        <c:spPr>
          <a:solidFill>
            <a:schemeClr val="accent1"/>
          </a:solidFill>
          <a:ln w="19050">
            <a:solidFill>
              <a:schemeClr val="lt1"/>
            </a:solidFill>
          </a:ln>
          <a:effectLst/>
        </c:spPr>
      </c:pivotFmt>
      <c:pivotFmt>
        <c:idx val="567"/>
        <c:spPr>
          <a:solidFill>
            <a:schemeClr val="accent1"/>
          </a:solidFill>
          <a:ln w="19050">
            <a:solidFill>
              <a:schemeClr val="lt1"/>
            </a:solidFill>
          </a:ln>
          <a:effectLst/>
        </c:spPr>
      </c:pivotFmt>
      <c:pivotFmt>
        <c:idx val="568"/>
        <c:spPr>
          <a:solidFill>
            <a:schemeClr val="accent1"/>
          </a:solidFill>
          <a:ln w="19050">
            <a:solidFill>
              <a:schemeClr val="lt1"/>
            </a:solidFill>
          </a:ln>
          <a:effectLst/>
        </c:spPr>
      </c:pivotFmt>
      <c:pivotFmt>
        <c:idx val="569"/>
        <c:spPr>
          <a:solidFill>
            <a:schemeClr val="accent1"/>
          </a:solidFill>
          <a:ln w="19050">
            <a:solidFill>
              <a:schemeClr val="lt1"/>
            </a:solidFill>
          </a:ln>
          <a:effectLst/>
        </c:spPr>
      </c:pivotFmt>
      <c:pivotFmt>
        <c:idx val="570"/>
        <c:spPr>
          <a:solidFill>
            <a:schemeClr val="accent1"/>
          </a:solidFill>
          <a:ln w="19050">
            <a:solidFill>
              <a:schemeClr val="lt1"/>
            </a:solidFill>
          </a:ln>
          <a:effectLst/>
        </c:spPr>
      </c:pivotFmt>
      <c:pivotFmt>
        <c:idx val="571"/>
        <c:spPr>
          <a:solidFill>
            <a:schemeClr val="accent1"/>
          </a:solidFill>
          <a:ln w="19050">
            <a:solidFill>
              <a:schemeClr val="lt1"/>
            </a:solidFill>
          </a:ln>
          <a:effectLst/>
        </c:spPr>
      </c:pivotFmt>
      <c:pivotFmt>
        <c:idx val="572"/>
        <c:spPr>
          <a:solidFill>
            <a:schemeClr val="accent1"/>
          </a:solidFill>
          <a:ln w="19050">
            <a:solidFill>
              <a:schemeClr val="lt1"/>
            </a:solidFill>
          </a:ln>
          <a:effectLst/>
        </c:spPr>
      </c:pivotFmt>
      <c:pivotFmt>
        <c:idx val="573"/>
        <c:spPr>
          <a:solidFill>
            <a:schemeClr val="accent1"/>
          </a:solidFill>
          <a:ln w="19050">
            <a:solidFill>
              <a:schemeClr val="lt1"/>
            </a:solidFill>
          </a:ln>
          <a:effectLst/>
        </c:spPr>
      </c:pivotFmt>
      <c:pivotFmt>
        <c:idx val="574"/>
        <c:spPr>
          <a:solidFill>
            <a:schemeClr val="accent1"/>
          </a:solidFill>
          <a:ln w="19050">
            <a:solidFill>
              <a:schemeClr val="lt1"/>
            </a:solidFill>
          </a:ln>
          <a:effectLst/>
        </c:spPr>
      </c:pivotFmt>
      <c:pivotFmt>
        <c:idx val="575"/>
        <c:spPr>
          <a:solidFill>
            <a:schemeClr val="accent1"/>
          </a:solidFill>
          <a:ln w="19050">
            <a:solidFill>
              <a:schemeClr val="lt1"/>
            </a:solidFill>
          </a:ln>
          <a:effectLst/>
        </c:spPr>
      </c:pivotFmt>
      <c:pivotFmt>
        <c:idx val="576"/>
        <c:spPr>
          <a:solidFill>
            <a:schemeClr val="accent1"/>
          </a:solidFill>
          <a:ln w="19050">
            <a:solidFill>
              <a:schemeClr val="lt1"/>
            </a:solidFill>
          </a:ln>
          <a:effectLst/>
        </c:spPr>
      </c:pivotFmt>
      <c:pivotFmt>
        <c:idx val="577"/>
        <c:spPr>
          <a:solidFill>
            <a:schemeClr val="accent1"/>
          </a:solidFill>
          <a:ln w="19050">
            <a:solidFill>
              <a:schemeClr val="lt1"/>
            </a:solidFill>
          </a:ln>
          <a:effectLst/>
        </c:spPr>
      </c:pivotFmt>
      <c:pivotFmt>
        <c:idx val="578"/>
        <c:spPr>
          <a:solidFill>
            <a:schemeClr val="accent1"/>
          </a:solidFill>
          <a:ln w="19050">
            <a:solidFill>
              <a:schemeClr val="lt1"/>
            </a:solidFill>
          </a:ln>
          <a:effectLst/>
        </c:spPr>
      </c:pivotFmt>
      <c:pivotFmt>
        <c:idx val="579"/>
        <c:spPr>
          <a:solidFill>
            <a:schemeClr val="accent1"/>
          </a:solidFill>
          <a:ln w="19050">
            <a:solidFill>
              <a:schemeClr val="lt1"/>
            </a:solidFill>
          </a:ln>
          <a:effectLst/>
        </c:spPr>
      </c:pivotFmt>
      <c:pivotFmt>
        <c:idx val="580"/>
        <c:spPr>
          <a:solidFill>
            <a:schemeClr val="accent1"/>
          </a:solidFill>
          <a:ln w="19050">
            <a:solidFill>
              <a:schemeClr val="lt1"/>
            </a:solidFill>
          </a:ln>
          <a:effectLst/>
        </c:spPr>
      </c:pivotFmt>
      <c:pivotFmt>
        <c:idx val="581"/>
        <c:spPr>
          <a:solidFill>
            <a:schemeClr val="accent1"/>
          </a:solidFill>
          <a:ln w="19050">
            <a:solidFill>
              <a:schemeClr val="lt1"/>
            </a:solidFill>
          </a:ln>
          <a:effectLst/>
        </c:spPr>
      </c:pivotFmt>
      <c:pivotFmt>
        <c:idx val="582"/>
        <c:spPr>
          <a:solidFill>
            <a:schemeClr val="accent1"/>
          </a:solidFill>
          <a:ln w="19050">
            <a:solidFill>
              <a:schemeClr val="lt1"/>
            </a:solidFill>
          </a:ln>
          <a:effectLst/>
        </c:spPr>
      </c:pivotFmt>
      <c:pivotFmt>
        <c:idx val="583"/>
        <c:spPr>
          <a:solidFill>
            <a:schemeClr val="accent1"/>
          </a:solidFill>
          <a:ln w="19050">
            <a:solidFill>
              <a:schemeClr val="lt1"/>
            </a:solidFill>
          </a:ln>
          <a:effectLst/>
        </c:spPr>
      </c:pivotFmt>
      <c:pivotFmt>
        <c:idx val="584"/>
        <c:spPr>
          <a:solidFill>
            <a:schemeClr val="accent1"/>
          </a:solidFill>
          <a:ln w="19050">
            <a:solidFill>
              <a:schemeClr val="lt1"/>
            </a:solidFill>
          </a:ln>
          <a:effectLst/>
        </c:spPr>
      </c:pivotFmt>
      <c:pivotFmt>
        <c:idx val="585"/>
        <c:spPr>
          <a:solidFill>
            <a:schemeClr val="accent1"/>
          </a:solidFill>
          <a:ln w="19050">
            <a:solidFill>
              <a:schemeClr val="lt1"/>
            </a:solidFill>
          </a:ln>
          <a:effectLst/>
        </c:spPr>
      </c:pivotFmt>
      <c:pivotFmt>
        <c:idx val="586"/>
        <c:spPr>
          <a:solidFill>
            <a:schemeClr val="accent1"/>
          </a:solidFill>
          <a:ln w="19050">
            <a:solidFill>
              <a:schemeClr val="lt1"/>
            </a:solidFill>
          </a:ln>
          <a:effectLst/>
        </c:spPr>
      </c:pivotFmt>
      <c:pivotFmt>
        <c:idx val="587"/>
        <c:spPr>
          <a:solidFill>
            <a:schemeClr val="accent1"/>
          </a:solidFill>
          <a:ln w="19050">
            <a:solidFill>
              <a:schemeClr val="lt1"/>
            </a:solidFill>
          </a:ln>
          <a:effectLst/>
        </c:spPr>
      </c:pivotFmt>
      <c:pivotFmt>
        <c:idx val="588"/>
        <c:spPr>
          <a:solidFill>
            <a:schemeClr val="accent1"/>
          </a:solidFill>
          <a:ln w="19050">
            <a:solidFill>
              <a:schemeClr val="lt1"/>
            </a:solidFill>
          </a:ln>
          <a:effectLst/>
        </c:spPr>
      </c:pivotFmt>
      <c:pivotFmt>
        <c:idx val="589"/>
        <c:spPr>
          <a:solidFill>
            <a:schemeClr val="accent1"/>
          </a:solidFill>
          <a:ln w="19050">
            <a:solidFill>
              <a:schemeClr val="lt1"/>
            </a:solidFill>
          </a:ln>
          <a:effectLst/>
        </c:spPr>
      </c:pivotFmt>
      <c:pivotFmt>
        <c:idx val="590"/>
        <c:spPr>
          <a:solidFill>
            <a:schemeClr val="accent1"/>
          </a:solidFill>
          <a:ln w="19050">
            <a:solidFill>
              <a:schemeClr val="lt1"/>
            </a:solidFill>
          </a:ln>
          <a:effectLst/>
        </c:spPr>
      </c:pivotFmt>
      <c:pivotFmt>
        <c:idx val="591"/>
        <c:spPr>
          <a:solidFill>
            <a:schemeClr val="accent1"/>
          </a:solidFill>
          <a:ln w="19050">
            <a:solidFill>
              <a:schemeClr val="lt1"/>
            </a:solidFill>
          </a:ln>
          <a:effectLst/>
        </c:spPr>
      </c:pivotFmt>
      <c:pivotFmt>
        <c:idx val="592"/>
        <c:spPr>
          <a:solidFill>
            <a:schemeClr val="accent1"/>
          </a:solidFill>
          <a:ln w="19050">
            <a:solidFill>
              <a:schemeClr val="lt1"/>
            </a:solidFill>
          </a:ln>
          <a:effectLst/>
        </c:spPr>
      </c:pivotFmt>
      <c:pivotFmt>
        <c:idx val="593"/>
        <c:spPr>
          <a:solidFill>
            <a:schemeClr val="accent1"/>
          </a:solidFill>
          <a:ln w="19050">
            <a:solidFill>
              <a:schemeClr val="lt1"/>
            </a:solidFill>
          </a:ln>
          <a:effectLst/>
        </c:spPr>
      </c:pivotFmt>
      <c:pivotFmt>
        <c:idx val="594"/>
        <c:spPr>
          <a:solidFill>
            <a:schemeClr val="accent1"/>
          </a:solidFill>
          <a:ln w="19050">
            <a:solidFill>
              <a:schemeClr val="lt1"/>
            </a:solidFill>
          </a:ln>
          <a:effectLst/>
        </c:spPr>
      </c:pivotFmt>
      <c:pivotFmt>
        <c:idx val="595"/>
        <c:spPr>
          <a:solidFill>
            <a:schemeClr val="accent1"/>
          </a:solidFill>
          <a:ln w="19050">
            <a:solidFill>
              <a:schemeClr val="lt1"/>
            </a:solidFill>
          </a:ln>
          <a:effectLst/>
        </c:spPr>
      </c:pivotFmt>
      <c:pivotFmt>
        <c:idx val="596"/>
        <c:spPr>
          <a:solidFill>
            <a:schemeClr val="accent1"/>
          </a:solidFill>
          <a:ln w="19050">
            <a:solidFill>
              <a:schemeClr val="lt1"/>
            </a:solidFill>
          </a:ln>
          <a:effectLst/>
        </c:spPr>
      </c:pivotFmt>
      <c:pivotFmt>
        <c:idx val="597"/>
        <c:spPr>
          <a:solidFill>
            <a:schemeClr val="accent1"/>
          </a:solidFill>
          <a:ln w="19050">
            <a:solidFill>
              <a:schemeClr val="lt1"/>
            </a:solidFill>
          </a:ln>
          <a:effectLst/>
        </c:spPr>
      </c:pivotFmt>
      <c:pivotFmt>
        <c:idx val="598"/>
        <c:spPr>
          <a:solidFill>
            <a:schemeClr val="accent1"/>
          </a:solidFill>
          <a:ln w="19050">
            <a:solidFill>
              <a:schemeClr val="lt1"/>
            </a:solidFill>
          </a:ln>
          <a:effectLst/>
        </c:spPr>
      </c:pivotFmt>
      <c:pivotFmt>
        <c:idx val="599"/>
        <c:spPr>
          <a:solidFill>
            <a:schemeClr val="accent1"/>
          </a:solidFill>
          <a:ln w="19050">
            <a:solidFill>
              <a:schemeClr val="lt1"/>
            </a:solidFill>
          </a:ln>
          <a:effectLst/>
        </c:spPr>
      </c:pivotFmt>
      <c:pivotFmt>
        <c:idx val="600"/>
        <c:spPr>
          <a:solidFill>
            <a:schemeClr val="accent1"/>
          </a:solidFill>
          <a:ln w="19050">
            <a:solidFill>
              <a:schemeClr val="lt1"/>
            </a:solidFill>
          </a:ln>
          <a:effectLst/>
        </c:spPr>
      </c:pivotFmt>
      <c:pivotFmt>
        <c:idx val="601"/>
        <c:spPr>
          <a:solidFill>
            <a:schemeClr val="accent1"/>
          </a:solidFill>
          <a:ln w="19050">
            <a:solidFill>
              <a:schemeClr val="lt1"/>
            </a:solidFill>
          </a:ln>
          <a:effectLst/>
        </c:spPr>
      </c:pivotFmt>
      <c:pivotFmt>
        <c:idx val="602"/>
        <c:spPr>
          <a:solidFill>
            <a:schemeClr val="accent1"/>
          </a:solidFill>
          <a:ln w="19050">
            <a:solidFill>
              <a:schemeClr val="lt1"/>
            </a:solidFill>
          </a:ln>
          <a:effectLst/>
        </c:spPr>
      </c:pivotFmt>
      <c:pivotFmt>
        <c:idx val="603"/>
        <c:spPr>
          <a:solidFill>
            <a:schemeClr val="accent1"/>
          </a:solidFill>
          <a:ln w="19050">
            <a:solidFill>
              <a:schemeClr val="lt1"/>
            </a:solidFill>
          </a:ln>
          <a:effectLst/>
        </c:spPr>
      </c:pivotFmt>
      <c:pivotFmt>
        <c:idx val="604"/>
        <c:spPr>
          <a:solidFill>
            <a:schemeClr val="accent1"/>
          </a:solidFill>
          <a:ln w="19050">
            <a:solidFill>
              <a:schemeClr val="lt1"/>
            </a:solidFill>
          </a:ln>
          <a:effectLst/>
        </c:spPr>
      </c:pivotFmt>
      <c:pivotFmt>
        <c:idx val="605"/>
        <c:spPr>
          <a:solidFill>
            <a:schemeClr val="accent1"/>
          </a:solidFill>
          <a:ln w="19050">
            <a:solidFill>
              <a:schemeClr val="lt1"/>
            </a:solidFill>
          </a:ln>
          <a:effectLst/>
        </c:spPr>
      </c:pivotFmt>
      <c:pivotFmt>
        <c:idx val="606"/>
        <c:spPr>
          <a:solidFill>
            <a:schemeClr val="accent1"/>
          </a:solidFill>
          <a:ln w="19050">
            <a:solidFill>
              <a:schemeClr val="lt1"/>
            </a:solidFill>
          </a:ln>
          <a:effectLst/>
        </c:spPr>
      </c:pivotFmt>
      <c:pivotFmt>
        <c:idx val="607"/>
        <c:spPr>
          <a:solidFill>
            <a:schemeClr val="accent1"/>
          </a:solidFill>
          <a:ln w="19050">
            <a:solidFill>
              <a:schemeClr val="lt1"/>
            </a:solidFill>
          </a:ln>
          <a:effectLst/>
        </c:spPr>
      </c:pivotFmt>
      <c:pivotFmt>
        <c:idx val="608"/>
        <c:spPr>
          <a:solidFill>
            <a:schemeClr val="accent1"/>
          </a:solidFill>
          <a:ln w="19050">
            <a:solidFill>
              <a:schemeClr val="lt1"/>
            </a:solidFill>
          </a:ln>
          <a:effectLst/>
        </c:spPr>
      </c:pivotFmt>
      <c:pivotFmt>
        <c:idx val="609"/>
        <c:spPr>
          <a:solidFill>
            <a:schemeClr val="accent1"/>
          </a:solidFill>
          <a:ln w="19050">
            <a:solidFill>
              <a:schemeClr val="lt1"/>
            </a:solidFill>
          </a:ln>
          <a:effectLst/>
        </c:spPr>
      </c:pivotFmt>
      <c:pivotFmt>
        <c:idx val="610"/>
        <c:spPr>
          <a:solidFill>
            <a:schemeClr val="accent1"/>
          </a:solidFill>
          <a:ln w="19050">
            <a:solidFill>
              <a:schemeClr val="lt1"/>
            </a:solidFill>
          </a:ln>
          <a:effectLst/>
        </c:spPr>
      </c:pivotFmt>
      <c:pivotFmt>
        <c:idx val="611"/>
        <c:spPr>
          <a:solidFill>
            <a:schemeClr val="accent1"/>
          </a:solidFill>
          <a:ln w="19050">
            <a:solidFill>
              <a:schemeClr val="lt1"/>
            </a:solidFill>
          </a:ln>
          <a:effectLst/>
        </c:spPr>
      </c:pivotFmt>
      <c:pivotFmt>
        <c:idx val="612"/>
        <c:spPr>
          <a:solidFill>
            <a:schemeClr val="accent1"/>
          </a:solidFill>
          <a:ln w="19050">
            <a:solidFill>
              <a:schemeClr val="lt1"/>
            </a:solidFill>
          </a:ln>
          <a:effectLst/>
        </c:spPr>
      </c:pivotFmt>
      <c:pivotFmt>
        <c:idx val="613"/>
        <c:spPr>
          <a:solidFill>
            <a:schemeClr val="accent1"/>
          </a:solidFill>
          <a:ln w="19050">
            <a:solidFill>
              <a:schemeClr val="lt1"/>
            </a:solidFill>
          </a:ln>
          <a:effectLst/>
        </c:spPr>
      </c:pivotFmt>
      <c:pivotFmt>
        <c:idx val="614"/>
        <c:spPr>
          <a:solidFill>
            <a:schemeClr val="accent1"/>
          </a:solidFill>
          <a:ln w="19050">
            <a:solidFill>
              <a:schemeClr val="lt1"/>
            </a:solidFill>
          </a:ln>
          <a:effectLst/>
        </c:spPr>
      </c:pivotFmt>
      <c:pivotFmt>
        <c:idx val="615"/>
        <c:spPr>
          <a:solidFill>
            <a:schemeClr val="accent1"/>
          </a:solidFill>
          <a:ln w="19050">
            <a:solidFill>
              <a:schemeClr val="lt1"/>
            </a:solidFill>
          </a:ln>
          <a:effectLst/>
        </c:spPr>
      </c:pivotFmt>
      <c:pivotFmt>
        <c:idx val="616"/>
        <c:spPr>
          <a:solidFill>
            <a:schemeClr val="accent1"/>
          </a:solidFill>
          <a:ln w="19050">
            <a:solidFill>
              <a:schemeClr val="lt1"/>
            </a:solidFill>
          </a:ln>
          <a:effectLst/>
        </c:spPr>
      </c:pivotFmt>
      <c:pivotFmt>
        <c:idx val="617"/>
        <c:spPr>
          <a:solidFill>
            <a:schemeClr val="accent1"/>
          </a:solidFill>
          <a:ln w="19050">
            <a:solidFill>
              <a:schemeClr val="lt1"/>
            </a:solidFill>
          </a:ln>
          <a:effectLst/>
        </c:spPr>
      </c:pivotFmt>
      <c:pivotFmt>
        <c:idx val="618"/>
        <c:spPr>
          <a:solidFill>
            <a:schemeClr val="accent1"/>
          </a:solidFill>
          <a:ln w="19050">
            <a:solidFill>
              <a:schemeClr val="lt1"/>
            </a:solidFill>
          </a:ln>
          <a:effectLst/>
        </c:spPr>
      </c:pivotFmt>
      <c:pivotFmt>
        <c:idx val="619"/>
        <c:spPr>
          <a:solidFill>
            <a:schemeClr val="accent1"/>
          </a:solidFill>
          <a:ln w="19050">
            <a:solidFill>
              <a:schemeClr val="lt1"/>
            </a:solidFill>
          </a:ln>
          <a:effectLst/>
        </c:spPr>
      </c:pivotFmt>
      <c:pivotFmt>
        <c:idx val="620"/>
        <c:spPr>
          <a:solidFill>
            <a:schemeClr val="accent1"/>
          </a:solidFill>
          <a:ln w="19050">
            <a:solidFill>
              <a:schemeClr val="lt1"/>
            </a:solidFill>
          </a:ln>
          <a:effectLst/>
        </c:spPr>
      </c:pivotFmt>
      <c:pivotFmt>
        <c:idx val="621"/>
        <c:spPr>
          <a:solidFill>
            <a:schemeClr val="accent1"/>
          </a:solidFill>
          <a:ln w="19050">
            <a:solidFill>
              <a:schemeClr val="lt1"/>
            </a:solidFill>
          </a:ln>
          <a:effectLst/>
        </c:spPr>
      </c:pivotFmt>
      <c:pivotFmt>
        <c:idx val="622"/>
        <c:spPr>
          <a:solidFill>
            <a:schemeClr val="accent1"/>
          </a:solidFill>
          <a:ln w="19050">
            <a:solidFill>
              <a:schemeClr val="lt1"/>
            </a:solidFill>
          </a:ln>
          <a:effectLst/>
        </c:spPr>
      </c:pivotFmt>
      <c:pivotFmt>
        <c:idx val="623"/>
        <c:spPr>
          <a:solidFill>
            <a:schemeClr val="accent1"/>
          </a:solidFill>
          <a:ln w="19050">
            <a:solidFill>
              <a:schemeClr val="lt1"/>
            </a:solidFill>
          </a:ln>
          <a:effectLst/>
        </c:spPr>
      </c:pivotFmt>
      <c:pivotFmt>
        <c:idx val="624"/>
        <c:spPr>
          <a:solidFill>
            <a:schemeClr val="accent1"/>
          </a:solidFill>
          <a:ln w="19050">
            <a:solidFill>
              <a:schemeClr val="lt1"/>
            </a:solidFill>
          </a:ln>
          <a:effectLst/>
        </c:spPr>
      </c:pivotFmt>
      <c:pivotFmt>
        <c:idx val="625"/>
        <c:spPr>
          <a:solidFill>
            <a:schemeClr val="accent1"/>
          </a:solidFill>
          <a:ln w="19050">
            <a:solidFill>
              <a:schemeClr val="lt1"/>
            </a:solidFill>
          </a:ln>
          <a:effectLst/>
        </c:spPr>
      </c:pivotFmt>
      <c:pivotFmt>
        <c:idx val="626"/>
        <c:spPr>
          <a:solidFill>
            <a:schemeClr val="accent1"/>
          </a:solidFill>
          <a:ln w="19050">
            <a:solidFill>
              <a:schemeClr val="lt1"/>
            </a:solidFill>
          </a:ln>
          <a:effectLst/>
        </c:spPr>
      </c:pivotFmt>
      <c:pivotFmt>
        <c:idx val="627"/>
        <c:spPr>
          <a:solidFill>
            <a:schemeClr val="accent1"/>
          </a:solidFill>
          <a:ln w="19050">
            <a:solidFill>
              <a:schemeClr val="lt1"/>
            </a:solidFill>
          </a:ln>
          <a:effectLst/>
        </c:spPr>
      </c:pivotFmt>
      <c:pivotFmt>
        <c:idx val="628"/>
        <c:spPr>
          <a:solidFill>
            <a:schemeClr val="accent1"/>
          </a:solidFill>
          <a:ln w="19050">
            <a:solidFill>
              <a:schemeClr val="lt1"/>
            </a:solidFill>
          </a:ln>
          <a:effectLst/>
        </c:spPr>
      </c:pivotFmt>
      <c:pivotFmt>
        <c:idx val="629"/>
        <c:spPr>
          <a:solidFill>
            <a:schemeClr val="accent1"/>
          </a:solidFill>
          <a:ln w="19050">
            <a:solidFill>
              <a:schemeClr val="lt1"/>
            </a:solidFill>
          </a:ln>
          <a:effectLst/>
        </c:spPr>
      </c:pivotFmt>
      <c:pivotFmt>
        <c:idx val="630"/>
        <c:spPr>
          <a:solidFill>
            <a:schemeClr val="accent1"/>
          </a:solidFill>
          <a:ln w="19050">
            <a:solidFill>
              <a:schemeClr val="lt1"/>
            </a:solidFill>
          </a:ln>
          <a:effectLst/>
        </c:spPr>
      </c:pivotFmt>
      <c:pivotFmt>
        <c:idx val="631"/>
        <c:spPr>
          <a:solidFill>
            <a:schemeClr val="accent1"/>
          </a:solidFill>
          <a:ln w="19050">
            <a:solidFill>
              <a:schemeClr val="lt1"/>
            </a:solidFill>
          </a:ln>
          <a:effectLst/>
        </c:spPr>
      </c:pivotFmt>
      <c:pivotFmt>
        <c:idx val="632"/>
        <c:spPr>
          <a:solidFill>
            <a:schemeClr val="accent1"/>
          </a:solidFill>
          <a:ln w="19050">
            <a:solidFill>
              <a:schemeClr val="lt1"/>
            </a:solidFill>
          </a:ln>
          <a:effectLst/>
        </c:spPr>
      </c:pivotFmt>
      <c:pivotFmt>
        <c:idx val="633"/>
        <c:spPr>
          <a:solidFill>
            <a:schemeClr val="accent1"/>
          </a:solidFill>
          <a:ln w="19050">
            <a:solidFill>
              <a:schemeClr val="lt1"/>
            </a:solidFill>
          </a:ln>
          <a:effectLst/>
        </c:spPr>
      </c:pivotFmt>
      <c:pivotFmt>
        <c:idx val="634"/>
        <c:spPr>
          <a:solidFill>
            <a:schemeClr val="accent1"/>
          </a:solidFill>
          <a:ln w="19050">
            <a:solidFill>
              <a:schemeClr val="lt1"/>
            </a:solidFill>
          </a:ln>
          <a:effectLst/>
        </c:spPr>
      </c:pivotFmt>
      <c:pivotFmt>
        <c:idx val="635"/>
        <c:spPr>
          <a:solidFill>
            <a:schemeClr val="accent1"/>
          </a:solidFill>
          <a:ln w="19050">
            <a:solidFill>
              <a:schemeClr val="lt1"/>
            </a:solidFill>
          </a:ln>
          <a:effectLst/>
        </c:spPr>
      </c:pivotFmt>
      <c:pivotFmt>
        <c:idx val="636"/>
        <c:spPr>
          <a:solidFill>
            <a:schemeClr val="accent1"/>
          </a:solidFill>
          <a:ln w="19050">
            <a:solidFill>
              <a:schemeClr val="lt1"/>
            </a:solidFill>
          </a:ln>
          <a:effectLst/>
        </c:spPr>
      </c:pivotFmt>
      <c:pivotFmt>
        <c:idx val="637"/>
        <c:spPr>
          <a:solidFill>
            <a:schemeClr val="accent1"/>
          </a:solidFill>
          <a:ln w="19050">
            <a:solidFill>
              <a:schemeClr val="lt1"/>
            </a:solidFill>
          </a:ln>
          <a:effectLst/>
        </c:spPr>
      </c:pivotFmt>
      <c:pivotFmt>
        <c:idx val="638"/>
        <c:spPr>
          <a:solidFill>
            <a:schemeClr val="accent1"/>
          </a:solidFill>
          <a:ln w="19050">
            <a:solidFill>
              <a:schemeClr val="lt1"/>
            </a:solidFill>
          </a:ln>
          <a:effectLst/>
        </c:spPr>
      </c:pivotFmt>
      <c:pivotFmt>
        <c:idx val="639"/>
        <c:spPr>
          <a:solidFill>
            <a:schemeClr val="accent1"/>
          </a:solidFill>
          <a:ln w="19050">
            <a:solidFill>
              <a:schemeClr val="lt1"/>
            </a:solidFill>
          </a:ln>
          <a:effectLst/>
        </c:spPr>
      </c:pivotFmt>
      <c:pivotFmt>
        <c:idx val="640"/>
        <c:spPr>
          <a:solidFill>
            <a:schemeClr val="accent1"/>
          </a:solidFill>
          <a:ln w="19050">
            <a:solidFill>
              <a:schemeClr val="lt1"/>
            </a:solidFill>
          </a:ln>
          <a:effectLst/>
        </c:spPr>
      </c:pivotFmt>
      <c:pivotFmt>
        <c:idx val="641"/>
        <c:spPr>
          <a:solidFill>
            <a:schemeClr val="accent1"/>
          </a:solidFill>
          <a:ln w="19050">
            <a:solidFill>
              <a:schemeClr val="lt1"/>
            </a:solidFill>
          </a:ln>
          <a:effectLst/>
        </c:spPr>
      </c:pivotFmt>
      <c:pivotFmt>
        <c:idx val="642"/>
        <c:spPr>
          <a:solidFill>
            <a:schemeClr val="accent1"/>
          </a:solidFill>
          <a:ln w="19050">
            <a:solidFill>
              <a:schemeClr val="lt1"/>
            </a:solidFill>
          </a:ln>
          <a:effectLst/>
        </c:spPr>
      </c:pivotFmt>
      <c:pivotFmt>
        <c:idx val="643"/>
        <c:spPr>
          <a:solidFill>
            <a:schemeClr val="accent1"/>
          </a:solidFill>
          <a:ln w="19050">
            <a:solidFill>
              <a:schemeClr val="lt1"/>
            </a:solidFill>
          </a:ln>
          <a:effectLst/>
        </c:spPr>
      </c:pivotFmt>
      <c:pivotFmt>
        <c:idx val="644"/>
        <c:spPr>
          <a:solidFill>
            <a:schemeClr val="accent1"/>
          </a:solidFill>
          <a:ln w="19050">
            <a:solidFill>
              <a:schemeClr val="lt1"/>
            </a:solidFill>
          </a:ln>
          <a:effectLst/>
        </c:spPr>
      </c:pivotFmt>
      <c:pivotFmt>
        <c:idx val="645"/>
        <c:spPr>
          <a:solidFill>
            <a:schemeClr val="accent1"/>
          </a:solidFill>
          <a:ln w="19050">
            <a:solidFill>
              <a:schemeClr val="lt1"/>
            </a:solidFill>
          </a:ln>
          <a:effectLst/>
        </c:spPr>
      </c:pivotFmt>
      <c:pivotFmt>
        <c:idx val="646"/>
        <c:spPr>
          <a:solidFill>
            <a:schemeClr val="accent1"/>
          </a:solidFill>
          <a:ln w="19050">
            <a:solidFill>
              <a:schemeClr val="lt1"/>
            </a:solidFill>
          </a:ln>
          <a:effectLst/>
        </c:spPr>
      </c:pivotFmt>
      <c:pivotFmt>
        <c:idx val="647"/>
        <c:spPr>
          <a:solidFill>
            <a:schemeClr val="accent1"/>
          </a:solidFill>
          <a:ln w="19050">
            <a:solidFill>
              <a:schemeClr val="lt1"/>
            </a:solidFill>
          </a:ln>
          <a:effectLst/>
        </c:spPr>
      </c:pivotFmt>
      <c:pivotFmt>
        <c:idx val="648"/>
        <c:spPr>
          <a:solidFill>
            <a:schemeClr val="accent1"/>
          </a:solidFill>
          <a:ln w="19050">
            <a:solidFill>
              <a:schemeClr val="lt1"/>
            </a:solidFill>
          </a:ln>
          <a:effectLst/>
        </c:spPr>
      </c:pivotFmt>
      <c:pivotFmt>
        <c:idx val="649"/>
        <c:spPr>
          <a:solidFill>
            <a:schemeClr val="accent1"/>
          </a:solidFill>
          <a:ln w="19050">
            <a:solidFill>
              <a:schemeClr val="lt1"/>
            </a:solidFill>
          </a:ln>
          <a:effectLst/>
        </c:spPr>
      </c:pivotFmt>
      <c:pivotFmt>
        <c:idx val="650"/>
        <c:spPr>
          <a:solidFill>
            <a:schemeClr val="accent1"/>
          </a:solidFill>
          <a:ln w="19050">
            <a:solidFill>
              <a:schemeClr val="lt1"/>
            </a:solidFill>
          </a:ln>
          <a:effectLst/>
        </c:spPr>
      </c:pivotFmt>
      <c:pivotFmt>
        <c:idx val="651"/>
        <c:spPr>
          <a:solidFill>
            <a:schemeClr val="accent1"/>
          </a:solidFill>
          <a:ln w="19050">
            <a:solidFill>
              <a:schemeClr val="lt1"/>
            </a:solidFill>
          </a:ln>
          <a:effectLst/>
        </c:spPr>
      </c:pivotFmt>
      <c:pivotFmt>
        <c:idx val="652"/>
        <c:spPr>
          <a:solidFill>
            <a:schemeClr val="accent1"/>
          </a:solidFill>
          <a:ln w="19050">
            <a:solidFill>
              <a:schemeClr val="lt1"/>
            </a:solidFill>
          </a:ln>
          <a:effectLst/>
        </c:spPr>
      </c:pivotFmt>
      <c:pivotFmt>
        <c:idx val="653"/>
        <c:spPr>
          <a:solidFill>
            <a:schemeClr val="accent1"/>
          </a:solidFill>
          <a:ln w="19050">
            <a:solidFill>
              <a:schemeClr val="lt1"/>
            </a:solidFill>
          </a:ln>
          <a:effectLst/>
        </c:spPr>
      </c:pivotFmt>
      <c:pivotFmt>
        <c:idx val="654"/>
        <c:spPr>
          <a:solidFill>
            <a:schemeClr val="accent1"/>
          </a:solidFill>
          <a:ln w="19050">
            <a:solidFill>
              <a:schemeClr val="lt1"/>
            </a:solidFill>
          </a:ln>
          <a:effectLst/>
        </c:spPr>
      </c:pivotFmt>
      <c:pivotFmt>
        <c:idx val="655"/>
        <c:spPr>
          <a:solidFill>
            <a:schemeClr val="accent1"/>
          </a:solidFill>
          <a:ln w="19050">
            <a:solidFill>
              <a:schemeClr val="lt1"/>
            </a:solidFill>
          </a:ln>
          <a:effectLst/>
        </c:spPr>
      </c:pivotFmt>
      <c:pivotFmt>
        <c:idx val="656"/>
        <c:spPr>
          <a:solidFill>
            <a:schemeClr val="accent1"/>
          </a:solidFill>
          <a:ln w="19050">
            <a:solidFill>
              <a:schemeClr val="lt1"/>
            </a:solidFill>
          </a:ln>
          <a:effectLst/>
        </c:spPr>
      </c:pivotFmt>
      <c:pivotFmt>
        <c:idx val="657"/>
        <c:spPr>
          <a:solidFill>
            <a:schemeClr val="accent1"/>
          </a:solidFill>
          <a:ln w="19050">
            <a:solidFill>
              <a:schemeClr val="lt1"/>
            </a:solidFill>
          </a:ln>
          <a:effectLst/>
        </c:spPr>
      </c:pivotFmt>
      <c:pivotFmt>
        <c:idx val="658"/>
        <c:spPr>
          <a:solidFill>
            <a:schemeClr val="accent1"/>
          </a:solidFill>
          <a:ln w="19050">
            <a:solidFill>
              <a:schemeClr val="lt1"/>
            </a:solidFill>
          </a:ln>
          <a:effectLst/>
        </c:spPr>
      </c:pivotFmt>
      <c:pivotFmt>
        <c:idx val="659"/>
        <c:spPr>
          <a:solidFill>
            <a:schemeClr val="accent1"/>
          </a:solidFill>
          <a:ln w="19050">
            <a:solidFill>
              <a:schemeClr val="lt1"/>
            </a:solidFill>
          </a:ln>
          <a:effectLst/>
        </c:spPr>
      </c:pivotFmt>
      <c:pivotFmt>
        <c:idx val="660"/>
        <c:spPr>
          <a:solidFill>
            <a:schemeClr val="accent1"/>
          </a:solidFill>
          <a:ln w="19050">
            <a:solidFill>
              <a:schemeClr val="lt1"/>
            </a:solidFill>
          </a:ln>
          <a:effectLst/>
        </c:spPr>
      </c:pivotFmt>
      <c:pivotFmt>
        <c:idx val="661"/>
        <c:spPr>
          <a:solidFill>
            <a:schemeClr val="accent1"/>
          </a:solidFill>
          <a:ln w="19050">
            <a:solidFill>
              <a:schemeClr val="lt1"/>
            </a:solidFill>
          </a:ln>
          <a:effectLst/>
        </c:spPr>
      </c:pivotFmt>
      <c:pivotFmt>
        <c:idx val="662"/>
        <c:spPr>
          <a:solidFill>
            <a:schemeClr val="accent1"/>
          </a:solidFill>
          <a:ln w="19050">
            <a:solidFill>
              <a:schemeClr val="lt1"/>
            </a:solidFill>
          </a:ln>
          <a:effectLst/>
        </c:spPr>
      </c:pivotFmt>
      <c:pivotFmt>
        <c:idx val="663"/>
        <c:spPr>
          <a:solidFill>
            <a:schemeClr val="accent1"/>
          </a:solidFill>
          <a:ln w="19050">
            <a:solidFill>
              <a:schemeClr val="lt1"/>
            </a:solidFill>
          </a:ln>
          <a:effectLst/>
        </c:spPr>
      </c:pivotFmt>
      <c:pivotFmt>
        <c:idx val="664"/>
        <c:spPr>
          <a:solidFill>
            <a:schemeClr val="accent1"/>
          </a:solidFill>
          <a:ln w="19050">
            <a:solidFill>
              <a:schemeClr val="lt1"/>
            </a:solidFill>
          </a:ln>
          <a:effectLst/>
        </c:spPr>
      </c:pivotFmt>
      <c:pivotFmt>
        <c:idx val="665"/>
        <c:spPr>
          <a:solidFill>
            <a:schemeClr val="accent1"/>
          </a:solidFill>
          <a:ln w="19050">
            <a:solidFill>
              <a:schemeClr val="lt1"/>
            </a:solidFill>
          </a:ln>
          <a:effectLst/>
        </c:spPr>
      </c:pivotFmt>
      <c:pivotFmt>
        <c:idx val="666"/>
        <c:spPr>
          <a:solidFill>
            <a:schemeClr val="accent1"/>
          </a:solidFill>
          <a:ln w="19050">
            <a:solidFill>
              <a:schemeClr val="lt1"/>
            </a:solidFill>
          </a:ln>
          <a:effectLst/>
        </c:spPr>
      </c:pivotFmt>
      <c:pivotFmt>
        <c:idx val="667"/>
        <c:spPr>
          <a:solidFill>
            <a:schemeClr val="accent1"/>
          </a:solidFill>
          <a:ln w="19050">
            <a:solidFill>
              <a:schemeClr val="lt1"/>
            </a:solidFill>
          </a:ln>
          <a:effectLst/>
        </c:spPr>
      </c:pivotFmt>
      <c:pivotFmt>
        <c:idx val="668"/>
        <c:spPr>
          <a:solidFill>
            <a:schemeClr val="accent1"/>
          </a:solidFill>
          <a:ln w="19050">
            <a:solidFill>
              <a:schemeClr val="lt1"/>
            </a:solidFill>
          </a:ln>
          <a:effectLst/>
        </c:spPr>
      </c:pivotFmt>
      <c:pivotFmt>
        <c:idx val="669"/>
        <c:spPr>
          <a:solidFill>
            <a:schemeClr val="accent1"/>
          </a:solidFill>
          <a:ln w="19050">
            <a:solidFill>
              <a:schemeClr val="lt1"/>
            </a:solidFill>
          </a:ln>
          <a:effectLst/>
        </c:spPr>
      </c:pivotFmt>
      <c:pivotFmt>
        <c:idx val="670"/>
        <c:spPr>
          <a:solidFill>
            <a:schemeClr val="accent1"/>
          </a:solidFill>
          <a:ln w="19050">
            <a:solidFill>
              <a:schemeClr val="lt1"/>
            </a:solidFill>
          </a:ln>
          <a:effectLst/>
        </c:spPr>
      </c:pivotFmt>
      <c:pivotFmt>
        <c:idx val="671"/>
        <c:spPr>
          <a:solidFill>
            <a:schemeClr val="accent1"/>
          </a:solidFill>
          <a:ln w="19050">
            <a:solidFill>
              <a:schemeClr val="lt1"/>
            </a:solidFill>
          </a:ln>
          <a:effectLst/>
        </c:spPr>
      </c:pivotFmt>
      <c:pivotFmt>
        <c:idx val="672"/>
        <c:spPr>
          <a:solidFill>
            <a:schemeClr val="accent1"/>
          </a:solidFill>
          <a:ln w="19050">
            <a:solidFill>
              <a:schemeClr val="lt1"/>
            </a:solidFill>
          </a:ln>
          <a:effectLst/>
        </c:spPr>
      </c:pivotFmt>
      <c:pivotFmt>
        <c:idx val="673"/>
        <c:spPr>
          <a:solidFill>
            <a:schemeClr val="accent1"/>
          </a:solidFill>
          <a:ln w="19050">
            <a:solidFill>
              <a:schemeClr val="lt1"/>
            </a:solidFill>
          </a:ln>
          <a:effectLst/>
        </c:spPr>
      </c:pivotFmt>
      <c:pivotFmt>
        <c:idx val="674"/>
        <c:spPr>
          <a:solidFill>
            <a:schemeClr val="accent1"/>
          </a:solidFill>
          <a:ln w="19050">
            <a:solidFill>
              <a:schemeClr val="lt1"/>
            </a:solidFill>
          </a:ln>
          <a:effectLst/>
        </c:spPr>
      </c:pivotFmt>
      <c:pivotFmt>
        <c:idx val="675"/>
        <c:spPr>
          <a:solidFill>
            <a:schemeClr val="accent1"/>
          </a:solidFill>
          <a:ln w="19050">
            <a:solidFill>
              <a:schemeClr val="lt1"/>
            </a:solidFill>
          </a:ln>
          <a:effectLst/>
        </c:spPr>
      </c:pivotFmt>
      <c:pivotFmt>
        <c:idx val="676"/>
        <c:spPr>
          <a:solidFill>
            <a:schemeClr val="accent1"/>
          </a:solidFill>
          <a:ln w="19050">
            <a:solidFill>
              <a:schemeClr val="lt1"/>
            </a:solidFill>
          </a:ln>
          <a:effectLst/>
        </c:spPr>
      </c:pivotFmt>
      <c:pivotFmt>
        <c:idx val="677"/>
        <c:spPr>
          <a:solidFill>
            <a:schemeClr val="accent1"/>
          </a:solidFill>
          <a:ln w="19050">
            <a:solidFill>
              <a:schemeClr val="lt1"/>
            </a:solidFill>
          </a:ln>
          <a:effectLst/>
        </c:spPr>
      </c:pivotFmt>
      <c:pivotFmt>
        <c:idx val="678"/>
        <c:spPr>
          <a:solidFill>
            <a:schemeClr val="accent1"/>
          </a:solidFill>
          <a:ln w="19050">
            <a:solidFill>
              <a:schemeClr val="lt1"/>
            </a:solidFill>
          </a:ln>
          <a:effectLst/>
        </c:spPr>
      </c:pivotFmt>
      <c:pivotFmt>
        <c:idx val="679"/>
        <c:spPr>
          <a:solidFill>
            <a:schemeClr val="accent1"/>
          </a:solidFill>
          <a:ln w="19050">
            <a:solidFill>
              <a:schemeClr val="lt1"/>
            </a:solidFill>
          </a:ln>
          <a:effectLst/>
        </c:spPr>
      </c:pivotFmt>
      <c:pivotFmt>
        <c:idx val="680"/>
        <c:spPr>
          <a:solidFill>
            <a:schemeClr val="accent1"/>
          </a:solidFill>
          <a:ln w="19050">
            <a:solidFill>
              <a:schemeClr val="lt1"/>
            </a:solidFill>
          </a:ln>
          <a:effectLst/>
        </c:spPr>
      </c:pivotFmt>
      <c:pivotFmt>
        <c:idx val="681"/>
        <c:spPr>
          <a:solidFill>
            <a:schemeClr val="accent1"/>
          </a:solidFill>
          <a:ln w="19050">
            <a:solidFill>
              <a:schemeClr val="lt1"/>
            </a:solidFill>
          </a:ln>
          <a:effectLst/>
        </c:spPr>
      </c:pivotFmt>
      <c:pivotFmt>
        <c:idx val="682"/>
        <c:spPr>
          <a:solidFill>
            <a:schemeClr val="accent1"/>
          </a:solidFill>
          <a:ln w="19050">
            <a:solidFill>
              <a:schemeClr val="lt1"/>
            </a:solidFill>
          </a:ln>
          <a:effectLst/>
        </c:spPr>
      </c:pivotFmt>
      <c:pivotFmt>
        <c:idx val="683"/>
        <c:spPr>
          <a:solidFill>
            <a:schemeClr val="accent1"/>
          </a:solidFill>
          <a:ln w="19050">
            <a:solidFill>
              <a:schemeClr val="lt1"/>
            </a:solidFill>
          </a:ln>
          <a:effectLst/>
        </c:spPr>
      </c:pivotFmt>
      <c:pivotFmt>
        <c:idx val="684"/>
        <c:spPr>
          <a:solidFill>
            <a:schemeClr val="accent1"/>
          </a:solidFill>
          <a:ln w="19050">
            <a:solidFill>
              <a:schemeClr val="lt1"/>
            </a:solidFill>
          </a:ln>
          <a:effectLst/>
        </c:spPr>
      </c:pivotFmt>
      <c:pivotFmt>
        <c:idx val="685"/>
        <c:spPr>
          <a:solidFill>
            <a:schemeClr val="accent1"/>
          </a:solidFill>
          <a:ln w="19050">
            <a:solidFill>
              <a:schemeClr val="lt1"/>
            </a:solidFill>
          </a:ln>
          <a:effectLst/>
        </c:spPr>
      </c:pivotFmt>
      <c:pivotFmt>
        <c:idx val="686"/>
        <c:spPr>
          <a:solidFill>
            <a:schemeClr val="accent1"/>
          </a:solidFill>
          <a:ln w="19050">
            <a:solidFill>
              <a:schemeClr val="lt1"/>
            </a:solidFill>
          </a:ln>
          <a:effectLst/>
        </c:spPr>
      </c:pivotFmt>
      <c:pivotFmt>
        <c:idx val="687"/>
        <c:spPr>
          <a:solidFill>
            <a:schemeClr val="accent1"/>
          </a:solidFill>
          <a:ln w="19050">
            <a:solidFill>
              <a:schemeClr val="lt1"/>
            </a:solidFill>
          </a:ln>
          <a:effectLst/>
        </c:spPr>
      </c:pivotFmt>
      <c:pivotFmt>
        <c:idx val="688"/>
        <c:spPr>
          <a:solidFill>
            <a:schemeClr val="accent1"/>
          </a:solidFill>
          <a:ln w="19050">
            <a:solidFill>
              <a:schemeClr val="lt1"/>
            </a:solidFill>
          </a:ln>
          <a:effectLst/>
        </c:spPr>
      </c:pivotFmt>
      <c:pivotFmt>
        <c:idx val="689"/>
        <c:spPr>
          <a:solidFill>
            <a:schemeClr val="accent1"/>
          </a:solidFill>
          <a:ln w="19050">
            <a:solidFill>
              <a:schemeClr val="lt1"/>
            </a:solidFill>
          </a:ln>
          <a:effectLst/>
        </c:spPr>
      </c:pivotFmt>
      <c:pivotFmt>
        <c:idx val="690"/>
        <c:spPr>
          <a:solidFill>
            <a:schemeClr val="accent1"/>
          </a:solidFill>
          <a:ln w="19050">
            <a:solidFill>
              <a:schemeClr val="lt1"/>
            </a:solidFill>
          </a:ln>
          <a:effectLst/>
        </c:spPr>
      </c:pivotFmt>
      <c:pivotFmt>
        <c:idx val="691"/>
        <c:spPr>
          <a:solidFill>
            <a:schemeClr val="accent1"/>
          </a:solidFill>
          <a:ln w="19050">
            <a:solidFill>
              <a:schemeClr val="lt1"/>
            </a:solidFill>
          </a:ln>
          <a:effectLst/>
        </c:spPr>
      </c:pivotFmt>
      <c:pivotFmt>
        <c:idx val="692"/>
        <c:spPr>
          <a:solidFill>
            <a:schemeClr val="accent1"/>
          </a:solidFill>
          <a:ln w="19050">
            <a:solidFill>
              <a:schemeClr val="lt1"/>
            </a:solidFill>
          </a:ln>
          <a:effectLst/>
        </c:spPr>
      </c:pivotFmt>
      <c:pivotFmt>
        <c:idx val="693"/>
        <c:spPr>
          <a:solidFill>
            <a:schemeClr val="accent1"/>
          </a:solidFill>
          <a:ln w="19050">
            <a:solidFill>
              <a:schemeClr val="lt1"/>
            </a:solidFill>
          </a:ln>
          <a:effectLst/>
        </c:spPr>
      </c:pivotFmt>
      <c:pivotFmt>
        <c:idx val="694"/>
        <c:spPr>
          <a:solidFill>
            <a:schemeClr val="accent1"/>
          </a:solidFill>
          <a:ln w="19050">
            <a:solidFill>
              <a:schemeClr val="lt1"/>
            </a:solidFill>
          </a:ln>
          <a:effectLst/>
        </c:spPr>
      </c:pivotFmt>
      <c:pivotFmt>
        <c:idx val="695"/>
        <c:spPr>
          <a:solidFill>
            <a:schemeClr val="accent1"/>
          </a:solidFill>
          <a:ln w="19050">
            <a:solidFill>
              <a:schemeClr val="lt1"/>
            </a:solidFill>
          </a:ln>
          <a:effectLst/>
        </c:spPr>
      </c:pivotFmt>
      <c:pivotFmt>
        <c:idx val="696"/>
        <c:spPr>
          <a:solidFill>
            <a:schemeClr val="accent1"/>
          </a:solidFill>
          <a:ln w="19050">
            <a:solidFill>
              <a:schemeClr val="lt1"/>
            </a:solidFill>
          </a:ln>
          <a:effectLst/>
        </c:spPr>
      </c:pivotFmt>
      <c:pivotFmt>
        <c:idx val="697"/>
        <c:spPr>
          <a:solidFill>
            <a:schemeClr val="accent1"/>
          </a:solidFill>
          <a:ln w="19050">
            <a:solidFill>
              <a:schemeClr val="lt1"/>
            </a:solidFill>
          </a:ln>
          <a:effectLst/>
        </c:spPr>
      </c:pivotFmt>
      <c:pivotFmt>
        <c:idx val="698"/>
        <c:spPr>
          <a:solidFill>
            <a:schemeClr val="accent1"/>
          </a:solidFill>
          <a:ln w="19050">
            <a:solidFill>
              <a:schemeClr val="lt1"/>
            </a:solidFill>
          </a:ln>
          <a:effectLst/>
        </c:spPr>
      </c:pivotFmt>
      <c:pivotFmt>
        <c:idx val="699"/>
        <c:spPr>
          <a:solidFill>
            <a:schemeClr val="accent1"/>
          </a:solidFill>
          <a:ln w="19050">
            <a:solidFill>
              <a:schemeClr val="lt1"/>
            </a:solidFill>
          </a:ln>
          <a:effectLst/>
        </c:spPr>
      </c:pivotFmt>
      <c:pivotFmt>
        <c:idx val="700"/>
        <c:spPr>
          <a:solidFill>
            <a:schemeClr val="accent1"/>
          </a:solidFill>
          <a:ln w="19050">
            <a:solidFill>
              <a:schemeClr val="lt1"/>
            </a:solidFill>
          </a:ln>
          <a:effectLst/>
        </c:spPr>
      </c:pivotFmt>
      <c:pivotFmt>
        <c:idx val="701"/>
        <c:spPr>
          <a:solidFill>
            <a:schemeClr val="accent1"/>
          </a:solidFill>
          <a:ln w="19050">
            <a:solidFill>
              <a:schemeClr val="lt1"/>
            </a:solidFill>
          </a:ln>
          <a:effectLst/>
        </c:spPr>
      </c:pivotFmt>
      <c:pivotFmt>
        <c:idx val="702"/>
        <c:spPr>
          <a:solidFill>
            <a:schemeClr val="accent1"/>
          </a:solidFill>
          <a:ln w="19050">
            <a:solidFill>
              <a:schemeClr val="lt1"/>
            </a:solidFill>
          </a:ln>
          <a:effectLst/>
        </c:spPr>
      </c:pivotFmt>
      <c:pivotFmt>
        <c:idx val="703"/>
        <c:spPr>
          <a:solidFill>
            <a:schemeClr val="accent1"/>
          </a:solidFill>
          <a:ln w="19050">
            <a:solidFill>
              <a:schemeClr val="lt1"/>
            </a:solidFill>
          </a:ln>
          <a:effectLst/>
        </c:spPr>
      </c:pivotFmt>
      <c:pivotFmt>
        <c:idx val="704"/>
        <c:spPr>
          <a:solidFill>
            <a:schemeClr val="accent1"/>
          </a:solidFill>
          <a:ln w="19050">
            <a:solidFill>
              <a:schemeClr val="lt1"/>
            </a:solidFill>
          </a:ln>
          <a:effectLst/>
        </c:spPr>
      </c:pivotFmt>
      <c:pivotFmt>
        <c:idx val="705"/>
        <c:spPr>
          <a:solidFill>
            <a:schemeClr val="accent1"/>
          </a:solidFill>
          <a:ln w="19050">
            <a:solidFill>
              <a:schemeClr val="lt1"/>
            </a:solidFill>
          </a:ln>
          <a:effectLst/>
        </c:spPr>
      </c:pivotFmt>
      <c:pivotFmt>
        <c:idx val="706"/>
        <c:spPr>
          <a:solidFill>
            <a:schemeClr val="accent1"/>
          </a:solidFill>
          <a:ln w="19050">
            <a:solidFill>
              <a:schemeClr val="lt1"/>
            </a:solidFill>
          </a:ln>
          <a:effectLst/>
        </c:spPr>
      </c:pivotFmt>
      <c:pivotFmt>
        <c:idx val="707"/>
        <c:spPr>
          <a:solidFill>
            <a:schemeClr val="accent1"/>
          </a:solidFill>
          <a:ln w="19050">
            <a:solidFill>
              <a:schemeClr val="lt1"/>
            </a:solidFill>
          </a:ln>
          <a:effectLst/>
        </c:spPr>
      </c:pivotFmt>
      <c:pivotFmt>
        <c:idx val="708"/>
        <c:spPr>
          <a:solidFill>
            <a:schemeClr val="accent1"/>
          </a:solidFill>
          <a:ln w="19050">
            <a:solidFill>
              <a:schemeClr val="lt1"/>
            </a:solidFill>
          </a:ln>
          <a:effectLst/>
        </c:spPr>
      </c:pivotFmt>
      <c:pivotFmt>
        <c:idx val="709"/>
        <c:spPr>
          <a:solidFill>
            <a:schemeClr val="accent1"/>
          </a:solidFill>
          <a:ln w="19050">
            <a:solidFill>
              <a:schemeClr val="lt1"/>
            </a:solidFill>
          </a:ln>
          <a:effectLst/>
        </c:spPr>
      </c:pivotFmt>
      <c:pivotFmt>
        <c:idx val="710"/>
        <c:spPr>
          <a:solidFill>
            <a:schemeClr val="accent1"/>
          </a:solidFill>
          <a:ln w="19050">
            <a:solidFill>
              <a:schemeClr val="lt1"/>
            </a:solidFill>
          </a:ln>
          <a:effectLst/>
        </c:spPr>
      </c:pivotFmt>
      <c:pivotFmt>
        <c:idx val="711"/>
        <c:spPr>
          <a:solidFill>
            <a:schemeClr val="accent1"/>
          </a:solidFill>
          <a:ln w="19050">
            <a:solidFill>
              <a:schemeClr val="lt1"/>
            </a:solidFill>
          </a:ln>
          <a:effectLst/>
        </c:spPr>
      </c:pivotFmt>
      <c:pivotFmt>
        <c:idx val="712"/>
        <c:spPr>
          <a:solidFill>
            <a:schemeClr val="accent1"/>
          </a:solidFill>
          <a:ln w="19050">
            <a:solidFill>
              <a:schemeClr val="lt1"/>
            </a:solidFill>
          </a:ln>
          <a:effectLst/>
        </c:spPr>
      </c:pivotFmt>
      <c:pivotFmt>
        <c:idx val="713"/>
        <c:spPr>
          <a:solidFill>
            <a:schemeClr val="accent1"/>
          </a:solidFill>
          <a:ln w="19050">
            <a:solidFill>
              <a:schemeClr val="lt1"/>
            </a:solidFill>
          </a:ln>
          <a:effectLst/>
        </c:spPr>
      </c:pivotFmt>
      <c:pivotFmt>
        <c:idx val="714"/>
        <c:spPr>
          <a:solidFill>
            <a:schemeClr val="accent1"/>
          </a:solidFill>
          <a:ln w="19050">
            <a:solidFill>
              <a:schemeClr val="lt1"/>
            </a:solidFill>
          </a:ln>
          <a:effectLst/>
        </c:spPr>
      </c:pivotFmt>
      <c:pivotFmt>
        <c:idx val="715"/>
        <c:spPr>
          <a:solidFill>
            <a:schemeClr val="accent1"/>
          </a:solidFill>
          <a:ln w="19050">
            <a:solidFill>
              <a:schemeClr val="lt1"/>
            </a:solidFill>
          </a:ln>
          <a:effectLst/>
        </c:spPr>
      </c:pivotFmt>
      <c:pivotFmt>
        <c:idx val="716"/>
        <c:spPr>
          <a:solidFill>
            <a:schemeClr val="accent1"/>
          </a:solidFill>
          <a:ln w="19050">
            <a:solidFill>
              <a:schemeClr val="lt1"/>
            </a:solidFill>
          </a:ln>
          <a:effectLst/>
        </c:spPr>
      </c:pivotFmt>
      <c:pivotFmt>
        <c:idx val="717"/>
        <c:spPr>
          <a:solidFill>
            <a:schemeClr val="accent1"/>
          </a:solidFill>
          <a:ln w="19050">
            <a:solidFill>
              <a:schemeClr val="lt1"/>
            </a:solidFill>
          </a:ln>
          <a:effectLst/>
        </c:spPr>
      </c:pivotFmt>
      <c:pivotFmt>
        <c:idx val="718"/>
        <c:spPr>
          <a:solidFill>
            <a:schemeClr val="accent1"/>
          </a:solidFill>
          <a:ln w="19050">
            <a:solidFill>
              <a:schemeClr val="lt1"/>
            </a:solidFill>
          </a:ln>
          <a:effectLst/>
        </c:spPr>
      </c:pivotFmt>
      <c:pivotFmt>
        <c:idx val="719"/>
        <c:spPr>
          <a:solidFill>
            <a:schemeClr val="accent1"/>
          </a:solidFill>
          <a:ln w="19050">
            <a:solidFill>
              <a:schemeClr val="lt1"/>
            </a:solidFill>
          </a:ln>
          <a:effectLst/>
        </c:spPr>
      </c:pivotFmt>
      <c:pivotFmt>
        <c:idx val="720"/>
        <c:spPr>
          <a:solidFill>
            <a:schemeClr val="accent1"/>
          </a:solidFill>
          <a:ln w="19050">
            <a:solidFill>
              <a:schemeClr val="lt1"/>
            </a:solidFill>
          </a:ln>
          <a:effectLst/>
        </c:spPr>
      </c:pivotFmt>
      <c:pivotFmt>
        <c:idx val="721"/>
        <c:spPr>
          <a:solidFill>
            <a:schemeClr val="accent1"/>
          </a:solidFill>
          <a:ln w="19050">
            <a:solidFill>
              <a:schemeClr val="lt1"/>
            </a:solidFill>
          </a:ln>
          <a:effectLst/>
        </c:spPr>
      </c:pivotFmt>
      <c:pivotFmt>
        <c:idx val="722"/>
        <c:spPr>
          <a:solidFill>
            <a:schemeClr val="accent1"/>
          </a:solidFill>
          <a:ln w="19050">
            <a:solidFill>
              <a:schemeClr val="lt1"/>
            </a:solidFill>
          </a:ln>
          <a:effectLst/>
        </c:spPr>
      </c:pivotFmt>
      <c:pivotFmt>
        <c:idx val="723"/>
        <c:spPr>
          <a:solidFill>
            <a:schemeClr val="accent1"/>
          </a:solidFill>
          <a:ln w="19050">
            <a:solidFill>
              <a:schemeClr val="lt1"/>
            </a:solidFill>
          </a:ln>
          <a:effectLst/>
        </c:spPr>
      </c:pivotFmt>
      <c:pivotFmt>
        <c:idx val="724"/>
        <c:spPr>
          <a:solidFill>
            <a:schemeClr val="accent1"/>
          </a:solidFill>
          <a:ln w="19050">
            <a:solidFill>
              <a:schemeClr val="lt1"/>
            </a:solidFill>
          </a:ln>
          <a:effectLst/>
        </c:spPr>
      </c:pivotFmt>
      <c:pivotFmt>
        <c:idx val="725"/>
        <c:spPr>
          <a:solidFill>
            <a:schemeClr val="accent1"/>
          </a:solidFill>
          <a:ln w="19050">
            <a:solidFill>
              <a:schemeClr val="lt1"/>
            </a:solidFill>
          </a:ln>
          <a:effectLst/>
        </c:spPr>
      </c:pivotFmt>
      <c:pivotFmt>
        <c:idx val="726"/>
        <c:spPr>
          <a:solidFill>
            <a:schemeClr val="accent1"/>
          </a:solidFill>
          <a:ln w="19050">
            <a:solidFill>
              <a:schemeClr val="lt1"/>
            </a:solidFill>
          </a:ln>
          <a:effectLst/>
        </c:spPr>
      </c:pivotFmt>
      <c:pivotFmt>
        <c:idx val="727"/>
        <c:spPr>
          <a:solidFill>
            <a:schemeClr val="accent1"/>
          </a:solidFill>
          <a:ln w="19050">
            <a:solidFill>
              <a:schemeClr val="lt1"/>
            </a:solidFill>
          </a:ln>
          <a:effectLst/>
        </c:spPr>
      </c:pivotFmt>
      <c:pivotFmt>
        <c:idx val="728"/>
        <c:spPr>
          <a:solidFill>
            <a:schemeClr val="accent1"/>
          </a:solidFill>
          <a:ln w="19050">
            <a:solidFill>
              <a:schemeClr val="lt1"/>
            </a:solidFill>
          </a:ln>
          <a:effectLst/>
        </c:spPr>
      </c:pivotFmt>
      <c:pivotFmt>
        <c:idx val="729"/>
        <c:spPr>
          <a:solidFill>
            <a:schemeClr val="accent1"/>
          </a:solidFill>
          <a:ln w="19050">
            <a:solidFill>
              <a:schemeClr val="lt1"/>
            </a:solidFill>
          </a:ln>
          <a:effectLst/>
        </c:spPr>
      </c:pivotFmt>
      <c:pivotFmt>
        <c:idx val="730"/>
        <c:spPr>
          <a:solidFill>
            <a:schemeClr val="accent1"/>
          </a:solidFill>
          <a:ln w="19050">
            <a:solidFill>
              <a:schemeClr val="lt1"/>
            </a:solidFill>
          </a:ln>
          <a:effectLst/>
        </c:spPr>
      </c:pivotFmt>
      <c:pivotFmt>
        <c:idx val="731"/>
        <c:spPr>
          <a:solidFill>
            <a:schemeClr val="accent1"/>
          </a:solidFill>
          <a:ln w="19050">
            <a:solidFill>
              <a:schemeClr val="lt1"/>
            </a:solidFill>
          </a:ln>
          <a:effectLst/>
        </c:spPr>
      </c:pivotFmt>
      <c:pivotFmt>
        <c:idx val="732"/>
        <c:spPr>
          <a:solidFill>
            <a:schemeClr val="accent1"/>
          </a:solidFill>
          <a:ln w="19050">
            <a:solidFill>
              <a:schemeClr val="lt1"/>
            </a:solidFill>
          </a:ln>
          <a:effectLst/>
        </c:spPr>
      </c:pivotFmt>
      <c:pivotFmt>
        <c:idx val="733"/>
        <c:spPr>
          <a:solidFill>
            <a:schemeClr val="accent1"/>
          </a:solidFill>
          <a:ln w="19050">
            <a:solidFill>
              <a:schemeClr val="lt1"/>
            </a:solidFill>
          </a:ln>
          <a:effectLst/>
        </c:spPr>
      </c:pivotFmt>
      <c:pivotFmt>
        <c:idx val="734"/>
        <c:spPr>
          <a:solidFill>
            <a:schemeClr val="accent1"/>
          </a:solidFill>
          <a:ln w="19050">
            <a:solidFill>
              <a:schemeClr val="lt1"/>
            </a:solidFill>
          </a:ln>
          <a:effectLst/>
        </c:spPr>
      </c:pivotFmt>
      <c:pivotFmt>
        <c:idx val="735"/>
        <c:spPr>
          <a:solidFill>
            <a:schemeClr val="accent1"/>
          </a:solidFill>
          <a:ln w="19050">
            <a:solidFill>
              <a:schemeClr val="lt1"/>
            </a:solidFill>
          </a:ln>
          <a:effectLst/>
        </c:spPr>
      </c:pivotFmt>
      <c:pivotFmt>
        <c:idx val="736"/>
        <c:spPr>
          <a:solidFill>
            <a:schemeClr val="accent1"/>
          </a:solidFill>
          <a:ln w="19050">
            <a:solidFill>
              <a:schemeClr val="lt1"/>
            </a:solidFill>
          </a:ln>
          <a:effectLst/>
        </c:spPr>
      </c:pivotFmt>
      <c:pivotFmt>
        <c:idx val="737"/>
        <c:spPr>
          <a:solidFill>
            <a:schemeClr val="accent1"/>
          </a:solidFill>
          <a:ln w="19050">
            <a:solidFill>
              <a:schemeClr val="lt1"/>
            </a:solidFill>
          </a:ln>
          <a:effectLst/>
        </c:spPr>
      </c:pivotFmt>
      <c:pivotFmt>
        <c:idx val="738"/>
        <c:spPr>
          <a:solidFill>
            <a:schemeClr val="accent1"/>
          </a:solidFill>
          <a:ln w="19050">
            <a:solidFill>
              <a:schemeClr val="lt1"/>
            </a:solidFill>
          </a:ln>
          <a:effectLst/>
        </c:spPr>
      </c:pivotFmt>
      <c:pivotFmt>
        <c:idx val="739"/>
        <c:spPr>
          <a:solidFill>
            <a:schemeClr val="accent1"/>
          </a:solidFill>
          <a:ln w="19050">
            <a:solidFill>
              <a:schemeClr val="lt1"/>
            </a:solidFill>
          </a:ln>
          <a:effectLst/>
        </c:spPr>
      </c:pivotFmt>
      <c:pivotFmt>
        <c:idx val="740"/>
        <c:spPr>
          <a:solidFill>
            <a:schemeClr val="accent1"/>
          </a:solidFill>
          <a:ln w="19050">
            <a:solidFill>
              <a:schemeClr val="lt1"/>
            </a:solidFill>
          </a:ln>
          <a:effectLst/>
        </c:spPr>
      </c:pivotFmt>
      <c:pivotFmt>
        <c:idx val="741"/>
        <c:spPr>
          <a:solidFill>
            <a:schemeClr val="accent1"/>
          </a:solidFill>
          <a:ln w="19050">
            <a:solidFill>
              <a:schemeClr val="lt1"/>
            </a:solidFill>
          </a:ln>
          <a:effectLst/>
        </c:spPr>
      </c:pivotFmt>
      <c:pivotFmt>
        <c:idx val="742"/>
        <c:spPr>
          <a:solidFill>
            <a:schemeClr val="accent1"/>
          </a:solidFill>
          <a:ln w="19050">
            <a:solidFill>
              <a:schemeClr val="lt1"/>
            </a:solidFill>
          </a:ln>
          <a:effectLst/>
        </c:spPr>
      </c:pivotFmt>
      <c:pivotFmt>
        <c:idx val="743"/>
        <c:spPr>
          <a:solidFill>
            <a:schemeClr val="accent1"/>
          </a:solidFill>
          <a:ln w="19050">
            <a:solidFill>
              <a:schemeClr val="lt1"/>
            </a:solidFill>
          </a:ln>
          <a:effectLst/>
        </c:spPr>
      </c:pivotFmt>
      <c:pivotFmt>
        <c:idx val="744"/>
        <c:spPr>
          <a:solidFill>
            <a:schemeClr val="accent1"/>
          </a:solidFill>
          <a:ln w="19050">
            <a:solidFill>
              <a:schemeClr val="lt1"/>
            </a:solidFill>
          </a:ln>
          <a:effectLst/>
        </c:spPr>
      </c:pivotFmt>
      <c:pivotFmt>
        <c:idx val="745"/>
        <c:spPr>
          <a:solidFill>
            <a:schemeClr val="accent1"/>
          </a:solidFill>
          <a:ln w="19050">
            <a:solidFill>
              <a:schemeClr val="lt1"/>
            </a:solidFill>
          </a:ln>
          <a:effectLst/>
        </c:spPr>
      </c:pivotFmt>
      <c:pivotFmt>
        <c:idx val="746"/>
        <c:spPr>
          <a:solidFill>
            <a:schemeClr val="accent1"/>
          </a:solidFill>
          <a:ln w="19050">
            <a:solidFill>
              <a:schemeClr val="lt1"/>
            </a:solidFill>
          </a:ln>
          <a:effectLst/>
        </c:spPr>
      </c:pivotFmt>
      <c:pivotFmt>
        <c:idx val="747"/>
        <c:spPr>
          <a:solidFill>
            <a:schemeClr val="accent1"/>
          </a:solidFill>
          <a:ln w="19050">
            <a:solidFill>
              <a:schemeClr val="lt1"/>
            </a:solidFill>
          </a:ln>
          <a:effectLst/>
        </c:spPr>
      </c:pivotFmt>
      <c:pivotFmt>
        <c:idx val="748"/>
        <c:spPr>
          <a:solidFill>
            <a:schemeClr val="accent1"/>
          </a:solidFill>
          <a:ln w="19050">
            <a:solidFill>
              <a:schemeClr val="lt1"/>
            </a:solidFill>
          </a:ln>
          <a:effectLst/>
        </c:spPr>
      </c:pivotFmt>
      <c:pivotFmt>
        <c:idx val="749"/>
        <c:spPr>
          <a:solidFill>
            <a:schemeClr val="accent1"/>
          </a:solidFill>
          <a:ln w="19050">
            <a:solidFill>
              <a:schemeClr val="lt1"/>
            </a:solidFill>
          </a:ln>
          <a:effectLst/>
        </c:spPr>
      </c:pivotFmt>
      <c:pivotFmt>
        <c:idx val="750"/>
        <c:spPr>
          <a:solidFill>
            <a:schemeClr val="accent1"/>
          </a:solidFill>
          <a:ln w="19050">
            <a:solidFill>
              <a:schemeClr val="lt1"/>
            </a:solidFill>
          </a:ln>
          <a:effectLst/>
        </c:spPr>
      </c:pivotFmt>
      <c:pivotFmt>
        <c:idx val="751"/>
        <c:spPr>
          <a:solidFill>
            <a:schemeClr val="accent1"/>
          </a:solidFill>
          <a:ln w="19050">
            <a:solidFill>
              <a:schemeClr val="lt1"/>
            </a:solidFill>
          </a:ln>
          <a:effectLst/>
        </c:spPr>
      </c:pivotFmt>
      <c:pivotFmt>
        <c:idx val="752"/>
        <c:spPr>
          <a:solidFill>
            <a:schemeClr val="accent1"/>
          </a:solidFill>
          <a:ln w="19050">
            <a:solidFill>
              <a:schemeClr val="lt1"/>
            </a:solidFill>
          </a:ln>
          <a:effectLst/>
        </c:spPr>
      </c:pivotFmt>
      <c:pivotFmt>
        <c:idx val="753"/>
        <c:spPr>
          <a:solidFill>
            <a:schemeClr val="accent1"/>
          </a:solidFill>
          <a:ln w="19050">
            <a:solidFill>
              <a:schemeClr val="lt1"/>
            </a:solidFill>
          </a:ln>
          <a:effectLst/>
        </c:spPr>
      </c:pivotFmt>
      <c:pivotFmt>
        <c:idx val="754"/>
        <c:spPr>
          <a:solidFill>
            <a:schemeClr val="accent1"/>
          </a:solidFill>
          <a:ln w="19050">
            <a:solidFill>
              <a:schemeClr val="lt1"/>
            </a:solidFill>
          </a:ln>
          <a:effectLst/>
        </c:spPr>
      </c:pivotFmt>
      <c:pivotFmt>
        <c:idx val="755"/>
        <c:spPr>
          <a:solidFill>
            <a:schemeClr val="accent1"/>
          </a:solidFill>
          <a:ln w="19050">
            <a:solidFill>
              <a:schemeClr val="lt1"/>
            </a:solidFill>
          </a:ln>
          <a:effectLst/>
        </c:spPr>
      </c:pivotFmt>
      <c:pivotFmt>
        <c:idx val="756"/>
        <c:spPr>
          <a:solidFill>
            <a:schemeClr val="accent1"/>
          </a:solidFill>
          <a:ln w="19050">
            <a:solidFill>
              <a:schemeClr val="lt1"/>
            </a:solidFill>
          </a:ln>
          <a:effectLst/>
        </c:spPr>
      </c:pivotFmt>
      <c:pivotFmt>
        <c:idx val="757"/>
        <c:spPr>
          <a:solidFill>
            <a:schemeClr val="accent1"/>
          </a:solidFill>
          <a:ln w="19050">
            <a:solidFill>
              <a:schemeClr val="lt1"/>
            </a:solidFill>
          </a:ln>
          <a:effectLst/>
        </c:spPr>
      </c:pivotFmt>
      <c:pivotFmt>
        <c:idx val="758"/>
        <c:spPr>
          <a:solidFill>
            <a:schemeClr val="accent1"/>
          </a:solidFill>
          <a:ln w="19050">
            <a:solidFill>
              <a:schemeClr val="lt1"/>
            </a:solidFill>
          </a:ln>
          <a:effectLst/>
        </c:spPr>
      </c:pivotFmt>
      <c:pivotFmt>
        <c:idx val="759"/>
        <c:spPr>
          <a:solidFill>
            <a:schemeClr val="accent1"/>
          </a:solidFill>
          <a:ln w="19050">
            <a:solidFill>
              <a:schemeClr val="lt1"/>
            </a:solidFill>
          </a:ln>
          <a:effectLst/>
        </c:spPr>
      </c:pivotFmt>
      <c:pivotFmt>
        <c:idx val="760"/>
        <c:spPr>
          <a:solidFill>
            <a:schemeClr val="accent1"/>
          </a:solidFill>
          <a:ln w="19050">
            <a:solidFill>
              <a:schemeClr val="lt1"/>
            </a:solidFill>
          </a:ln>
          <a:effectLst/>
        </c:spPr>
      </c:pivotFmt>
      <c:pivotFmt>
        <c:idx val="761"/>
        <c:spPr>
          <a:solidFill>
            <a:schemeClr val="accent1"/>
          </a:solidFill>
          <a:ln w="19050">
            <a:solidFill>
              <a:schemeClr val="lt1"/>
            </a:solidFill>
          </a:ln>
          <a:effectLst/>
        </c:spPr>
      </c:pivotFmt>
      <c:pivotFmt>
        <c:idx val="762"/>
        <c:spPr>
          <a:solidFill>
            <a:schemeClr val="accent1"/>
          </a:solidFill>
          <a:ln w="19050">
            <a:solidFill>
              <a:schemeClr val="lt1"/>
            </a:solidFill>
          </a:ln>
          <a:effectLst/>
        </c:spPr>
      </c:pivotFmt>
      <c:pivotFmt>
        <c:idx val="763"/>
        <c:spPr>
          <a:solidFill>
            <a:schemeClr val="accent1"/>
          </a:solidFill>
          <a:ln w="19050">
            <a:solidFill>
              <a:schemeClr val="lt1"/>
            </a:solidFill>
          </a:ln>
          <a:effectLst/>
        </c:spPr>
      </c:pivotFmt>
      <c:pivotFmt>
        <c:idx val="764"/>
        <c:spPr>
          <a:solidFill>
            <a:schemeClr val="accent1"/>
          </a:solidFill>
          <a:ln w="19050">
            <a:solidFill>
              <a:schemeClr val="lt1"/>
            </a:solidFill>
          </a:ln>
          <a:effectLst/>
        </c:spPr>
      </c:pivotFmt>
      <c:pivotFmt>
        <c:idx val="765"/>
        <c:spPr>
          <a:solidFill>
            <a:schemeClr val="accent1"/>
          </a:solidFill>
          <a:ln w="19050">
            <a:solidFill>
              <a:schemeClr val="lt1"/>
            </a:solidFill>
          </a:ln>
          <a:effectLst/>
        </c:spPr>
      </c:pivotFmt>
      <c:pivotFmt>
        <c:idx val="766"/>
        <c:spPr>
          <a:solidFill>
            <a:schemeClr val="accent1"/>
          </a:solidFill>
          <a:ln w="19050">
            <a:solidFill>
              <a:schemeClr val="lt1"/>
            </a:solidFill>
          </a:ln>
          <a:effectLst/>
        </c:spPr>
      </c:pivotFmt>
      <c:pivotFmt>
        <c:idx val="767"/>
        <c:spPr>
          <a:solidFill>
            <a:schemeClr val="accent1"/>
          </a:solidFill>
          <a:ln w="19050">
            <a:solidFill>
              <a:schemeClr val="lt1"/>
            </a:solidFill>
          </a:ln>
          <a:effectLst/>
        </c:spPr>
      </c:pivotFmt>
      <c:pivotFmt>
        <c:idx val="768"/>
        <c:spPr>
          <a:solidFill>
            <a:schemeClr val="accent1"/>
          </a:solidFill>
          <a:ln w="19050">
            <a:solidFill>
              <a:schemeClr val="lt1"/>
            </a:solidFill>
          </a:ln>
          <a:effectLst/>
        </c:spPr>
      </c:pivotFmt>
      <c:pivotFmt>
        <c:idx val="769"/>
        <c:spPr>
          <a:solidFill>
            <a:schemeClr val="accent1"/>
          </a:solidFill>
          <a:ln w="19050">
            <a:solidFill>
              <a:schemeClr val="lt1"/>
            </a:solidFill>
          </a:ln>
          <a:effectLst/>
        </c:spPr>
      </c:pivotFmt>
      <c:pivotFmt>
        <c:idx val="770"/>
        <c:spPr>
          <a:solidFill>
            <a:schemeClr val="accent1"/>
          </a:solidFill>
          <a:ln w="19050">
            <a:solidFill>
              <a:schemeClr val="lt1"/>
            </a:solidFill>
          </a:ln>
          <a:effectLst/>
        </c:spPr>
      </c:pivotFmt>
      <c:pivotFmt>
        <c:idx val="771"/>
        <c:spPr>
          <a:solidFill>
            <a:schemeClr val="accent1"/>
          </a:solidFill>
          <a:ln w="19050">
            <a:solidFill>
              <a:schemeClr val="lt1"/>
            </a:solidFill>
          </a:ln>
          <a:effectLst/>
        </c:spPr>
      </c:pivotFmt>
      <c:pivotFmt>
        <c:idx val="772"/>
        <c:spPr>
          <a:solidFill>
            <a:schemeClr val="accent1"/>
          </a:solidFill>
          <a:ln w="19050">
            <a:solidFill>
              <a:schemeClr val="lt1"/>
            </a:solidFill>
          </a:ln>
          <a:effectLst/>
        </c:spPr>
      </c:pivotFmt>
      <c:pivotFmt>
        <c:idx val="773"/>
        <c:spPr>
          <a:solidFill>
            <a:schemeClr val="accent1"/>
          </a:solidFill>
          <a:ln w="19050">
            <a:solidFill>
              <a:schemeClr val="lt1"/>
            </a:solidFill>
          </a:ln>
          <a:effectLst/>
        </c:spPr>
      </c:pivotFmt>
      <c:pivotFmt>
        <c:idx val="774"/>
        <c:spPr>
          <a:solidFill>
            <a:schemeClr val="accent1"/>
          </a:solidFill>
          <a:ln w="19050">
            <a:solidFill>
              <a:schemeClr val="lt1"/>
            </a:solidFill>
          </a:ln>
          <a:effectLst/>
        </c:spPr>
      </c:pivotFmt>
      <c:pivotFmt>
        <c:idx val="775"/>
        <c:spPr>
          <a:solidFill>
            <a:schemeClr val="accent1"/>
          </a:solidFill>
          <a:ln w="19050">
            <a:solidFill>
              <a:schemeClr val="lt1"/>
            </a:solidFill>
          </a:ln>
          <a:effectLst/>
        </c:spPr>
      </c:pivotFmt>
      <c:pivotFmt>
        <c:idx val="776"/>
        <c:spPr>
          <a:solidFill>
            <a:schemeClr val="accent1"/>
          </a:solidFill>
          <a:ln w="19050">
            <a:solidFill>
              <a:schemeClr val="lt1"/>
            </a:solidFill>
          </a:ln>
          <a:effectLst/>
        </c:spPr>
      </c:pivotFmt>
      <c:pivotFmt>
        <c:idx val="777"/>
        <c:spPr>
          <a:solidFill>
            <a:schemeClr val="accent1"/>
          </a:solidFill>
          <a:ln w="19050">
            <a:solidFill>
              <a:schemeClr val="lt1"/>
            </a:solidFill>
          </a:ln>
          <a:effectLst/>
        </c:spPr>
      </c:pivotFmt>
      <c:pivotFmt>
        <c:idx val="778"/>
        <c:spPr>
          <a:solidFill>
            <a:schemeClr val="accent1"/>
          </a:solidFill>
          <a:ln w="19050">
            <a:solidFill>
              <a:schemeClr val="lt1"/>
            </a:solidFill>
          </a:ln>
          <a:effectLst/>
        </c:spPr>
      </c:pivotFmt>
      <c:pivotFmt>
        <c:idx val="779"/>
        <c:spPr>
          <a:solidFill>
            <a:schemeClr val="accent1"/>
          </a:solidFill>
          <a:ln w="19050">
            <a:solidFill>
              <a:schemeClr val="lt1"/>
            </a:solidFill>
          </a:ln>
          <a:effectLst/>
        </c:spPr>
      </c:pivotFmt>
      <c:pivotFmt>
        <c:idx val="780"/>
        <c:spPr>
          <a:solidFill>
            <a:schemeClr val="accent1"/>
          </a:solidFill>
          <a:ln w="19050">
            <a:solidFill>
              <a:schemeClr val="lt1"/>
            </a:solidFill>
          </a:ln>
          <a:effectLst/>
        </c:spPr>
      </c:pivotFmt>
      <c:pivotFmt>
        <c:idx val="781"/>
        <c:spPr>
          <a:solidFill>
            <a:schemeClr val="accent1"/>
          </a:solidFill>
          <a:ln w="19050">
            <a:solidFill>
              <a:schemeClr val="lt1"/>
            </a:solidFill>
          </a:ln>
          <a:effectLst/>
        </c:spPr>
      </c:pivotFmt>
      <c:pivotFmt>
        <c:idx val="782"/>
        <c:spPr>
          <a:solidFill>
            <a:schemeClr val="accent1"/>
          </a:solidFill>
          <a:ln w="19050">
            <a:solidFill>
              <a:schemeClr val="lt1"/>
            </a:solidFill>
          </a:ln>
          <a:effectLst/>
        </c:spPr>
      </c:pivotFmt>
      <c:pivotFmt>
        <c:idx val="783"/>
        <c:spPr>
          <a:solidFill>
            <a:schemeClr val="accent1"/>
          </a:solidFill>
          <a:ln w="19050">
            <a:solidFill>
              <a:schemeClr val="lt1"/>
            </a:solidFill>
          </a:ln>
          <a:effectLst/>
        </c:spPr>
      </c:pivotFmt>
      <c:pivotFmt>
        <c:idx val="784"/>
        <c:spPr>
          <a:solidFill>
            <a:schemeClr val="accent1"/>
          </a:solidFill>
          <a:ln w="19050">
            <a:solidFill>
              <a:schemeClr val="lt1"/>
            </a:solidFill>
          </a:ln>
          <a:effectLst/>
        </c:spPr>
      </c:pivotFmt>
      <c:pivotFmt>
        <c:idx val="785"/>
        <c:spPr>
          <a:solidFill>
            <a:schemeClr val="accent1"/>
          </a:solidFill>
          <a:ln w="19050">
            <a:solidFill>
              <a:schemeClr val="lt1"/>
            </a:solidFill>
          </a:ln>
          <a:effectLst/>
        </c:spPr>
      </c:pivotFmt>
      <c:pivotFmt>
        <c:idx val="786"/>
        <c:spPr>
          <a:solidFill>
            <a:schemeClr val="accent1"/>
          </a:solidFill>
          <a:ln w="19050">
            <a:solidFill>
              <a:schemeClr val="lt1"/>
            </a:solidFill>
          </a:ln>
          <a:effectLst/>
        </c:spPr>
      </c:pivotFmt>
      <c:pivotFmt>
        <c:idx val="787"/>
        <c:spPr>
          <a:solidFill>
            <a:schemeClr val="accent1"/>
          </a:solidFill>
          <a:ln w="19050">
            <a:solidFill>
              <a:schemeClr val="lt1"/>
            </a:solidFill>
          </a:ln>
          <a:effectLst/>
        </c:spPr>
      </c:pivotFmt>
      <c:pivotFmt>
        <c:idx val="788"/>
        <c:spPr>
          <a:solidFill>
            <a:schemeClr val="accent1"/>
          </a:solidFill>
          <a:ln w="19050">
            <a:solidFill>
              <a:schemeClr val="lt1"/>
            </a:solidFill>
          </a:ln>
          <a:effectLst/>
        </c:spPr>
      </c:pivotFmt>
      <c:pivotFmt>
        <c:idx val="789"/>
        <c:spPr>
          <a:solidFill>
            <a:schemeClr val="accent1"/>
          </a:solidFill>
          <a:ln w="19050">
            <a:solidFill>
              <a:schemeClr val="lt1"/>
            </a:solidFill>
          </a:ln>
          <a:effectLst/>
        </c:spPr>
      </c:pivotFmt>
      <c:pivotFmt>
        <c:idx val="790"/>
        <c:spPr>
          <a:solidFill>
            <a:schemeClr val="accent1"/>
          </a:solidFill>
          <a:ln w="19050">
            <a:solidFill>
              <a:schemeClr val="lt1"/>
            </a:solidFill>
          </a:ln>
          <a:effectLst/>
        </c:spPr>
      </c:pivotFmt>
      <c:pivotFmt>
        <c:idx val="791"/>
        <c:spPr>
          <a:solidFill>
            <a:schemeClr val="accent1"/>
          </a:solidFill>
          <a:ln w="19050">
            <a:solidFill>
              <a:schemeClr val="lt1"/>
            </a:solidFill>
          </a:ln>
          <a:effectLst/>
        </c:spPr>
      </c:pivotFmt>
      <c:pivotFmt>
        <c:idx val="792"/>
        <c:spPr>
          <a:solidFill>
            <a:schemeClr val="accent1"/>
          </a:solidFill>
          <a:ln w="19050">
            <a:solidFill>
              <a:schemeClr val="lt1"/>
            </a:solidFill>
          </a:ln>
          <a:effectLst/>
        </c:spPr>
      </c:pivotFmt>
      <c:pivotFmt>
        <c:idx val="793"/>
        <c:spPr>
          <a:solidFill>
            <a:schemeClr val="accent1"/>
          </a:solidFill>
          <a:ln w="19050">
            <a:solidFill>
              <a:schemeClr val="lt1"/>
            </a:solidFill>
          </a:ln>
          <a:effectLst/>
        </c:spPr>
      </c:pivotFmt>
      <c:pivotFmt>
        <c:idx val="794"/>
        <c:spPr>
          <a:solidFill>
            <a:schemeClr val="accent1"/>
          </a:solidFill>
          <a:ln w="19050">
            <a:solidFill>
              <a:schemeClr val="lt1"/>
            </a:solidFill>
          </a:ln>
          <a:effectLst/>
        </c:spPr>
      </c:pivotFmt>
      <c:pivotFmt>
        <c:idx val="795"/>
        <c:spPr>
          <a:solidFill>
            <a:schemeClr val="accent1"/>
          </a:solidFill>
          <a:ln w="19050">
            <a:solidFill>
              <a:schemeClr val="lt1"/>
            </a:solidFill>
          </a:ln>
          <a:effectLst/>
        </c:spPr>
      </c:pivotFmt>
      <c:pivotFmt>
        <c:idx val="796"/>
        <c:spPr>
          <a:solidFill>
            <a:schemeClr val="accent1"/>
          </a:solidFill>
          <a:ln w="19050">
            <a:solidFill>
              <a:schemeClr val="lt1"/>
            </a:solidFill>
          </a:ln>
          <a:effectLst/>
        </c:spPr>
      </c:pivotFmt>
      <c:pivotFmt>
        <c:idx val="797"/>
        <c:spPr>
          <a:solidFill>
            <a:schemeClr val="accent1"/>
          </a:solidFill>
          <a:ln w="19050">
            <a:solidFill>
              <a:schemeClr val="lt1"/>
            </a:solidFill>
          </a:ln>
          <a:effectLst/>
        </c:spPr>
      </c:pivotFmt>
      <c:pivotFmt>
        <c:idx val="798"/>
        <c:spPr>
          <a:solidFill>
            <a:schemeClr val="accent1"/>
          </a:solidFill>
          <a:ln w="19050">
            <a:solidFill>
              <a:schemeClr val="lt1"/>
            </a:solidFill>
          </a:ln>
          <a:effectLst/>
        </c:spPr>
      </c:pivotFmt>
      <c:pivotFmt>
        <c:idx val="799"/>
        <c:spPr>
          <a:solidFill>
            <a:schemeClr val="accent1"/>
          </a:solidFill>
          <a:ln w="19050">
            <a:solidFill>
              <a:schemeClr val="lt1"/>
            </a:solidFill>
          </a:ln>
          <a:effectLst/>
        </c:spPr>
      </c:pivotFmt>
      <c:pivotFmt>
        <c:idx val="800"/>
        <c:spPr>
          <a:solidFill>
            <a:schemeClr val="accent1"/>
          </a:solidFill>
          <a:ln w="19050">
            <a:solidFill>
              <a:schemeClr val="lt1"/>
            </a:solidFill>
          </a:ln>
          <a:effectLst/>
        </c:spPr>
      </c:pivotFmt>
      <c:pivotFmt>
        <c:idx val="801"/>
        <c:spPr>
          <a:solidFill>
            <a:schemeClr val="accent1"/>
          </a:solidFill>
          <a:ln w="19050">
            <a:solidFill>
              <a:schemeClr val="lt1"/>
            </a:solidFill>
          </a:ln>
          <a:effectLst/>
        </c:spPr>
      </c:pivotFmt>
      <c:pivotFmt>
        <c:idx val="802"/>
        <c:spPr>
          <a:solidFill>
            <a:schemeClr val="accent1"/>
          </a:solidFill>
          <a:ln w="19050">
            <a:solidFill>
              <a:schemeClr val="lt1"/>
            </a:solidFill>
          </a:ln>
          <a:effectLst/>
        </c:spPr>
      </c:pivotFmt>
      <c:pivotFmt>
        <c:idx val="803"/>
        <c:spPr>
          <a:solidFill>
            <a:schemeClr val="accent1"/>
          </a:solidFill>
          <a:ln w="19050">
            <a:solidFill>
              <a:schemeClr val="lt1"/>
            </a:solidFill>
          </a:ln>
          <a:effectLst/>
        </c:spPr>
      </c:pivotFmt>
      <c:pivotFmt>
        <c:idx val="804"/>
        <c:spPr>
          <a:solidFill>
            <a:schemeClr val="accent1"/>
          </a:solidFill>
          <a:ln w="19050">
            <a:solidFill>
              <a:schemeClr val="lt1"/>
            </a:solidFill>
          </a:ln>
          <a:effectLst/>
        </c:spPr>
      </c:pivotFmt>
      <c:pivotFmt>
        <c:idx val="805"/>
        <c:spPr>
          <a:solidFill>
            <a:schemeClr val="accent1"/>
          </a:solidFill>
          <a:ln w="19050">
            <a:solidFill>
              <a:schemeClr val="lt1"/>
            </a:solidFill>
          </a:ln>
          <a:effectLst/>
        </c:spPr>
      </c:pivotFmt>
      <c:pivotFmt>
        <c:idx val="806"/>
        <c:spPr>
          <a:solidFill>
            <a:schemeClr val="accent1"/>
          </a:solidFill>
          <a:ln w="19050">
            <a:solidFill>
              <a:schemeClr val="lt1"/>
            </a:solidFill>
          </a:ln>
          <a:effectLst/>
        </c:spPr>
      </c:pivotFmt>
      <c:pivotFmt>
        <c:idx val="807"/>
        <c:spPr>
          <a:solidFill>
            <a:schemeClr val="accent1"/>
          </a:solidFill>
          <a:ln w="19050">
            <a:solidFill>
              <a:schemeClr val="lt1"/>
            </a:solidFill>
          </a:ln>
          <a:effectLst/>
        </c:spPr>
      </c:pivotFmt>
      <c:pivotFmt>
        <c:idx val="808"/>
        <c:spPr>
          <a:solidFill>
            <a:schemeClr val="accent1"/>
          </a:solidFill>
          <a:ln w="19050">
            <a:solidFill>
              <a:schemeClr val="lt1"/>
            </a:solidFill>
          </a:ln>
          <a:effectLst/>
        </c:spPr>
      </c:pivotFmt>
      <c:pivotFmt>
        <c:idx val="809"/>
        <c:spPr>
          <a:solidFill>
            <a:schemeClr val="accent1"/>
          </a:solidFill>
          <a:ln w="19050">
            <a:solidFill>
              <a:schemeClr val="lt1"/>
            </a:solidFill>
          </a:ln>
          <a:effectLst/>
        </c:spPr>
      </c:pivotFmt>
      <c:pivotFmt>
        <c:idx val="810"/>
        <c:spPr>
          <a:solidFill>
            <a:schemeClr val="accent1"/>
          </a:solidFill>
          <a:ln w="19050">
            <a:solidFill>
              <a:schemeClr val="lt1"/>
            </a:solidFill>
          </a:ln>
          <a:effectLst/>
        </c:spPr>
      </c:pivotFmt>
      <c:pivotFmt>
        <c:idx val="811"/>
        <c:spPr>
          <a:solidFill>
            <a:schemeClr val="accent1"/>
          </a:solidFill>
          <a:ln w="19050">
            <a:solidFill>
              <a:schemeClr val="lt1"/>
            </a:solidFill>
          </a:ln>
          <a:effectLst/>
        </c:spPr>
      </c:pivotFmt>
      <c:pivotFmt>
        <c:idx val="812"/>
        <c:spPr>
          <a:solidFill>
            <a:schemeClr val="accent1"/>
          </a:solidFill>
          <a:ln w="19050">
            <a:solidFill>
              <a:schemeClr val="lt1"/>
            </a:solidFill>
          </a:ln>
          <a:effectLst/>
        </c:spPr>
      </c:pivotFmt>
      <c:pivotFmt>
        <c:idx val="813"/>
        <c:spPr>
          <a:solidFill>
            <a:schemeClr val="accent1"/>
          </a:solidFill>
          <a:ln w="19050">
            <a:solidFill>
              <a:schemeClr val="lt1"/>
            </a:solidFill>
          </a:ln>
          <a:effectLst/>
        </c:spPr>
      </c:pivotFmt>
      <c:pivotFmt>
        <c:idx val="814"/>
        <c:spPr>
          <a:solidFill>
            <a:schemeClr val="accent1"/>
          </a:solidFill>
          <a:ln w="19050">
            <a:solidFill>
              <a:schemeClr val="lt1"/>
            </a:solidFill>
          </a:ln>
          <a:effectLst/>
        </c:spPr>
      </c:pivotFmt>
      <c:pivotFmt>
        <c:idx val="815"/>
        <c:spPr>
          <a:solidFill>
            <a:schemeClr val="accent1"/>
          </a:solidFill>
          <a:ln w="19050">
            <a:solidFill>
              <a:schemeClr val="lt1"/>
            </a:solidFill>
          </a:ln>
          <a:effectLst/>
        </c:spPr>
      </c:pivotFmt>
      <c:pivotFmt>
        <c:idx val="816"/>
        <c:spPr>
          <a:solidFill>
            <a:schemeClr val="accent1"/>
          </a:solidFill>
          <a:ln w="19050">
            <a:solidFill>
              <a:schemeClr val="lt1"/>
            </a:solidFill>
          </a:ln>
          <a:effectLst/>
        </c:spPr>
      </c:pivotFmt>
      <c:pivotFmt>
        <c:idx val="817"/>
        <c:spPr>
          <a:solidFill>
            <a:schemeClr val="accent1"/>
          </a:solidFill>
          <a:ln w="19050">
            <a:solidFill>
              <a:schemeClr val="lt1"/>
            </a:solidFill>
          </a:ln>
          <a:effectLst/>
        </c:spPr>
      </c:pivotFmt>
      <c:pivotFmt>
        <c:idx val="818"/>
        <c:spPr>
          <a:solidFill>
            <a:schemeClr val="accent1"/>
          </a:solidFill>
          <a:ln w="19050">
            <a:solidFill>
              <a:schemeClr val="lt1"/>
            </a:solidFill>
          </a:ln>
          <a:effectLst/>
        </c:spPr>
      </c:pivotFmt>
      <c:pivotFmt>
        <c:idx val="819"/>
        <c:spPr>
          <a:solidFill>
            <a:schemeClr val="accent1"/>
          </a:solidFill>
          <a:ln w="19050">
            <a:solidFill>
              <a:schemeClr val="lt1"/>
            </a:solidFill>
          </a:ln>
          <a:effectLst/>
        </c:spPr>
      </c:pivotFmt>
      <c:pivotFmt>
        <c:idx val="820"/>
        <c:spPr>
          <a:solidFill>
            <a:schemeClr val="accent1"/>
          </a:solidFill>
          <a:ln w="19050">
            <a:solidFill>
              <a:schemeClr val="lt1"/>
            </a:solidFill>
          </a:ln>
          <a:effectLst/>
        </c:spPr>
      </c:pivotFmt>
      <c:pivotFmt>
        <c:idx val="821"/>
        <c:spPr>
          <a:solidFill>
            <a:schemeClr val="accent1"/>
          </a:solidFill>
          <a:ln w="19050">
            <a:solidFill>
              <a:schemeClr val="lt1"/>
            </a:solidFill>
          </a:ln>
          <a:effectLst/>
        </c:spPr>
      </c:pivotFmt>
      <c:pivotFmt>
        <c:idx val="822"/>
        <c:spPr>
          <a:solidFill>
            <a:schemeClr val="accent1"/>
          </a:solidFill>
          <a:ln w="19050">
            <a:solidFill>
              <a:schemeClr val="lt1"/>
            </a:solidFill>
          </a:ln>
          <a:effectLst/>
        </c:spPr>
      </c:pivotFmt>
      <c:pivotFmt>
        <c:idx val="8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4"/>
        <c:spPr>
          <a:solidFill>
            <a:schemeClr val="accent1"/>
          </a:solidFill>
          <a:ln w="19050">
            <a:solidFill>
              <a:schemeClr val="lt1"/>
            </a:solidFill>
          </a:ln>
          <a:effectLst/>
        </c:spPr>
      </c:pivotFmt>
      <c:pivotFmt>
        <c:idx val="825"/>
        <c:spPr>
          <a:solidFill>
            <a:schemeClr val="accent1"/>
          </a:solidFill>
          <a:ln w="19050">
            <a:solidFill>
              <a:schemeClr val="lt1"/>
            </a:solidFill>
          </a:ln>
          <a:effectLst/>
        </c:spPr>
      </c:pivotFmt>
      <c:pivotFmt>
        <c:idx val="826"/>
        <c:spPr>
          <a:solidFill>
            <a:schemeClr val="accent1"/>
          </a:solidFill>
          <a:ln w="19050">
            <a:solidFill>
              <a:schemeClr val="lt1"/>
            </a:solidFill>
          </a:ln>
          <a:effectLst/>
        </c:spPr>
      </c:pivotFmt>
      <c:pivotFmt>
        <c:idx val="827"/>
        <c:spPr>
          <a:solidFill>
            <a:schemeClr val="accent1"/>
          </a:solidFill>
          <a:ln w="19050">
            <a:solidFill>
              <a:schemeClr val="lt1"/>
            </a:solidFill>
          </a:ln>
          <a:effectLst/>
        </c:spPr>
      </c:pivotFmt>
      <c:pivotFmt>
        <c:idx val="828"/>
        <c:spPr>
          <a:solidFill>
            <a:schemeClr val="accent1"/>
          </a:solidFill>
          <a:ln w="19050">
            <a:solidFill>
              <a:schemeClr val="lt1"/>
            </a:solidFill>
          </a:ln>
          <a:effectLst/>
        </c:spPr>
      </c:pivotFmt>
      <c:pivotFmt>
        <c:idx val="829"/>
        <c:spPr>
          <a:solidFill>
            <a:schemeClr val="accent1"/>
          </a:solidFill>
          <a:ln w="19050">
            <a:solidFill>
              <a:schemeClr val="lt1"/>
            </a:solidFill>
          </a:ln>
          <a:effectLst/>
        </c:spPr>
      </c:pivotFmt>
      <c:pivotFmt>
        <c:idx val="830"/>
        <c:spPr>
          <a:solidFill>
            <a:schemeClr val="accent1"/>
          </a:solidFill>
          <a:ln w="19050">
            <a:solidFill>
              <a:schemeClr val="lt1"/>
            </a:solidFill>
          </a:ln>
          <a:effectLst/>
        </c:spPr>
      </c:pivotFmt>
      <c:pivotFmt>
        <c:idx val="831"/>
        <c:spPr>
          <a:solidFill>
            <a:schemeClr val="accent1"/>
          </a:solidFill>
          <a:ln w="19050">
            <a:solidFill>
              <a:schemeClr val="lt1"/>
            </a:solidFill>
          </a:ln>
          <a:effectLst/>
        </c:spPr>
      </c:pivotFmt>
      <c:pivotFmt>
        <c:idx val="832"/>
        <c:spPr>
          <a:solidFill>
            <a:schemeClr val="accent1"/>
          </a:solidFill>
          <a:ln w="19050">
            <a:solidFill>
              <a:schemeClr val="lt1"/>
            </a:solidFill>
          </a:ln>
          <a:effectLst/>
        </c:spPr>
      </c:pivotFmt>
      <c:pivotFmt>
        <c:idx val="833"/>
        <c:spPr>
          <a:solidFill>
            <a:schemeClr val="accent1"/>
          </a:solidFill>
          <a:ln w="19050">
            <a:solidFill>
              <a:schemeClr val="lt1"/>
            </a:solidFill>
          </a:ln>
          <a:effectLst/>
        </c:spPr>
      </c:pivotFmt>
      <c:pivotFmt>
        <c:idx val="834"/>
        <c:spPr>
          <a:solidFill>
            <a:schemeClr val="accent1"/>
          </a:solidFill>
          <a:ln w="19050">
            <a:solidFill>
              <a:schemeClr val="lt1"/>
            </a:solidFill>
          </a:ln>
          <a:effectLst/>
        </c:spPr>
      </c:pivotFmt>
      <c:pivotFmt>
        <c:idx val="835"/>
        <c:spPr>
          <a:solidFill>
            <a:schemeClr val="accent1"/>
          </a:solidFill>
          <a:ln w="19050">
            <a:solidFill>
              <a:schemeClr val="lt1"/>
            </a:solidFill>
          </a:ln>
          <a:effectLst/>
        </c:spPr>
      </c:pivotFmt>
      <c:pivotFmt>
        <c:idx val="836"/>
        <c:spPr>
          <a:solidFill>
            <a:schemeClr val="accent1"/>
          </a:solidFill>
          <a:ln w="19050">
            <a:solidFill>
              <a:schemeClr val="lt1"/>
            </a:solidFill>
          </a:ln>
          <a:effectLst/>
        </c:spPr>
      </c:pivotFmt>
      <c:pivotFmt>
        <c:idx val="837"/>
        <c:spPr>
          <a:solidFill>
            <a:schemeClr val="accent1"/>
          </a:solidFill>
          <a:ln w="19050">
            <a:solidFill>
              <a:schemeClr val="lt1"/>
            </a:solidFill>
          </a:ln>
          <a:effectLst/>
        </c:spPr>
      </c:pivotFmt>
      <c:pivotFmt>
        <c:idx val="838"/>
        <c:spPr>
          <a:solidFill>
            <a:schemeClr val="accent1"/>
          </a:solidFill>
          <a:ln w="19050">
            <a:solidFill>
              <a:schemeClr val="lt1"/>
            </a:solidFill>
          </a:ln>
          <a:effectLst/>
        </c:spPr>
      </c:pivotFmt>
      <c:pivotFmt>
        <c:idx val="839"/>
        <c:spPr>
          <a:solidFill>
            <a:schemeClr val="accent1"/>
          </a:solidFill>
          <a:ln w="19050">
            <a:solidFill>
              <a:schemeClr val="lt1"/>
            </a:solidFill>
          </a:ln>
          <a:effectLst/>
        </c:spPr>
      </c:pivotFmt>
      <c:pivotFmt>
        <c:idx val="840"/>
        <c:spPr>
          <a:solidFill>
            <a:schemeClr val="accent1"/>
          </a:solidFill>
          <a:ln w="19050">
            <a:solidFill>
              <a:schemeClr val="lt1"/>
            </a:solidFill>
          </a:ln>
          <a:effectLst/>
        </c:spPr>
      </c:pivotFmt>
      <c:pivotFmt>
        <c:idx val="841"/>
        <c:spPr>
          <a:solidFill>
            <a:schemeClr val="accent1"/>
          </a:solidFill>
          <a:ln w="19050">
            <a:solidFill>
              <a:schemeClr val="lt1"/>
            </a:solidFill>
          </a:ln>
          <a:effectLst/>
        </c:spPr>
      </c:pivotFmt>
      <c:pivotFmt>
        <c:idx val="842"/>
        <c:spPr>
          <a:solidFill>
            <a:schemeClr val="accent1"/>
          </a:solidFill>
          <a:ln w="19050">
            <a:solidFill>
              <a:schemeClr val="lt1"/>
            </a:solidFill>
          </a:ln>
          <a:effectLst/>
        </c:spPr>
      </c:pivotFmt>
      <c:pivotFmt>
        <c:idx val="843"/>
        <c:spPr>
          <a:solidFill>
            <a:schemeClr val="accent1"/>
          </a:solidFill>
          <a:ln w="19050">
            <a:solidFill>
              <a:schemeClr val="lt1"/>
            </a:solidFill>
          </a:ln>
          <a:effectLst/>
        </c:spPr>
      </c:pivotFmt>
      <c:pivotFmt>
        <c:idx val="844"/>
        <c:spPr>
          <a:solidFill>
            <a:schemeClr val="accent1"/>
          </a:solidFill>
          <a:ln w="19050">
            <a:solidFill>
              <a:schemeClr val="lt1"/>
            </a:solidFill>
          </a:ln>
          <a:effectLst/>
        </c:spPr>
      </c:pivotFmt>
      <c:pivotFmt>
        <c:idx val="845"/>
        <c:spPr>
          <a:solidFill>
            <a:schemeClr val="accent1"/>
          </a:solidFill>
          <a:ln w="19050">
            <a:solidFill>
              <a:schemeClr val="lt1"/>
            </a:solidFill>
          </a:ln>
          <a:effectLst/>
        </c:spPr>
      </c:pivotFmt>
      <c:pivotFmt>
        <c:idx val="846"/>
        <c:spPr>
          <a:solidFill>
            <a:schemeClr val="accent1"/>
          </a:solidFill>
          <a:ln w="19050">
            <a:solidFill>
              <a:schemeClr val="lt1"/>
            </a:solidFill>
          </a:ln>
          <a:effectLst/>
        </c:spPr>
      </c:pivotFmt>
      <c:pivotFmt>
        <c:idx val="847"/>
        <c:spPr>
          <a:solidFill>
            <a:schemeClr val="accent1"/>
          </a:solidFill>
          <a:ln w="19050">
            <a:solidFill>
              <a:schemeClr val="lt1"/>
            </a:solidFill>
          </a:ln>
          <a:effectLst/>
        </c:spPr>
      </c:pivotFmt>
      <c:pivotFmt>
        <c:idx val="848"/>
        <c:spPr>
          <a:solidFill>
            <a:schemeClr val="accent1"/>
          </a:solidFill>
          <a:ln w="19050">
            <a:solidFill>
              <a:schemeClr val="lt1"/>
            </a:solidFill>
          </a:ln>
          <a:effectLst/>
        </c:spPr>
      </c:pivotFmt>
      <c:pivotFmt>
        <c:idx val="849"/>
        <c:spPr>
          <a:solidFill>
            <a:schemeClr val="accent1"/>
          </a:solidFill>
          <a:ln w="19050">
            <a:solidFill>
              <a:schemeClr val="lt1"/>
            </a:solidFill>
          </a:ln>
          <a:effectLst/>
        </c:spPr>
      </c:pivotFmt>
      <c:pivotFmt>
        <c:idx val="850"/>
        <c:spPr>
          <a:solidFill>
            <a:schemeClr val="accent1"/>
          </a:solidFill>
          <a:ln w="19050">
            <a:solidFill>
              <a:schemeClr val="lt1"/>
            </a:solidFill>
          </a:ln>
          <a:effectLst/>
        </c:spPr>
      </c:pivotFmt>
      <c:pivotFmt>
        <c:idx val="851"/>
        <c:spPr>
          <a:solidFill>
            <a:schemeClr val="accent1"/>
          </a:solidFill>
          <a:ln w="19050">
            <a:solidFill>
              <a:schemeClr val="lt1"/>
            </a:solidFill>
          </a:ln>
          <a:effectLst/>
        </c:spPr>
      </c:pivotFmt>
      <c:pivotFmt>
        <c:idx val="852"/>
        <c:spPr>
          <a:solidFill>
            <a:schemeClr val="accent1"/>
          </a:solidFill>
          <a:ln w="19050">
            <a:solidFill>
              <a:schemeClr val="lt1"/>
            </a:solidFill>
          </a:ln>
          <a:effectLst/>
        </c:spPr>
      </c:pivotFmt>
      <c:pivotFmt>
        <c:idx val="853"/>
        <c:spPr>
          <a:solidFill>
            <a:schemeClr val="accent1"/>
          </a:solidFill>
          <a:ln w="19050">
            <a:solidFill>
              <a:schemeClr val="lt1"/>
            </a:solidFill>
          </a:ln>
          <a:effectLst/>
        </c:spPr>
      </c:pivotFmt>
      <c:pivotFmt>
        <c:idx val="854"/>
        <c:spPr>
          <a:solidFill>
            <a:schemeClr val="accent1"/>
          </a:solidFill>
          <a:ln w="19050">
            <a:solidFill>
              <a:schemeClr val="lt1"/>
            </a:solidFill>
          </a:ln>
          <a:effectLst/>
        </c:spPr>
      </c:pivotFmt>
      <c:pivotFmt>
        <c:idx val="855"/>
        <c:spPr>
          <a:solidFill>
            <a:schemeClr val="accent1"/>
          </a:solidFill>
          <a:ln w="19050">
            <a:solidFill>
              <a:schemeClr val="lt1"/>
            </a:solidFill>
          </a:ln>
          <a:effectLst/>
        </c:spPr>
      </c:pivotFmt>
      <c:pivotFmt>
        <c:idx val="856"/>
        <c:spPr>
          <a:solidFill>
            <a:schemeClr val="accent1"/>
          </a:solidFill>
          <a:ln w="19050">
            <a:solidFill>
              <a:schemeClr val="lt1"/>
            </a:solidFill>
          </a:ln>
          <a:effectLst/>
        </c:spPr>
      </c:pivotFmt>
      <c:pivotFmt>
        <c:idx val="857"/>
        <c:spPr>
          <a:solidFill>
            <a:schemeClr val="accent1"/>
          </a:solidFill>
          <a:ln w="19050">
            <a:solidFill>
              <a:schemeClr val="lt1"/>
            </a:solidFill>
          </a:ln>
          <a:effectLst/>
        </c:spPr>
      </c:pivotFmt>
      <c:pivotFmt>
        <c:idx val="858"/>
        <c:spPr>
          <a:solidFill>
            <a:schemeClr val="accent1"/>
          </a:solidFill>
          <a:ln w="19050">
            <a:solidFill>
              <a:schemeClr val="lt1"/>
            </a:solidFill>
          </a:ln>
          <a:effectLst/>
        </c:spPr>
      </c:pivotFmt>
      <c:pivotFmt>
        <c:idx val="859"/>
        <c:spPr>
          <a:solidFill>
            <a:schemeClr val="accent1"/>
          </a:solidFill>
          <a:ln w="19050">
            <a:solidFill>
              <a:schemeClr val="lt1"/>
            </a:solidFill>
          </a:ln>
          <a:effectLst/>
        </c:spPr>
      </c:pivotFmt>
      <c:pivotFmt>
        <c:idx val="860"/>
        <c:spPr>
          <a:solidFill>
            <a:schemeClr val="accent1"/>
          </a:solidFill>
          <a:ln w="19050">
            <a:solidFill>
              <a:schemeClr val="lt1"/>
            </a:solidFill>
          </a:ln>
          <a:effectLst/>
        </c:spPr>
      </c:pivotFmt>
      <c:pivotFmt>
        <c:idx val="861"/>
        <c:spPr>
          <a:solidFill>
            <a:schemeClr val="accent1"/>
          </a:solidFill>
          <a:ln w="19050">
            <a:solidFill>
              <a:schemeClr val="lt1"/>
            </a:solidFill>
          </a:ln>
          <a:effectLst/>
        </c:spPr>
      </c:pivotFmt>
      <c:pivotFmt>
        <c:idx val="862"/>
        <c:spPr>
          <a:solidFill>
            <a:schemeClr val="accent1"/>
          </a:solidFill>
          <a:ln w="19050">
            <a:solidFill>
              <a:schemeClr val="lt1"/>
            </a:solidFill>
          </a:ln>
          <a:effectLst/>
        </c:spPr>
      </c:pivotFmt>
      <c:pivotFmt>
        <c:idx val="863"/>
        <c:spPr>
          <a:solidFill>
            <a:schemeClr val="accent1"/>
          </a:solidFill>
          <a:ln w="19050">
            <a:solidFill>
              <a:schemeClr val="lt1"/>
            </a:solidFill>
          </a:ln>
          <a:effectLst/>
        </c:spPr>
      </c:pivotFmt>
      <c:pivotFmt>
        <c:idx val="864"/>
        <c:spPr>
          <a:solidFill>
            <a:schemeClr val="accent1"/>
          </a:solidFill>
          <a:ln w="19050">
            <a:solidFill>
              <a:schemeClr val="lt1"/>
            </a:solidFill>
          </a:ln>
          <a:effectLst/>
        </c:spPr>
      </c:pivotFmt>
      <c:pivotFmt>
        <c:idx val="865"/>
        <c:spPr>
          <a:solidFill>
            <a:schemeClr val="accent1"/>
          </a:solidFill>
          <a:ln w="19050">
            <a:solidFill>
              <a:schemeClr val="lt1"/>
            </a:solidFill>
          </a:ln>
          <a:effectLst/>
        </c:spPr>
      </c:pivotFmt>
      <c:pivotFmt>
        <c:idx val="866"/>
        <c:spPr>
          <a:solidFill>
            <a:schemeClr val="accent1"/>
          </a:solidFill>
          <a:ln w="19050">
            <a:solidFill>
              <a:schemeClr val="lt1"/>
            </a:solidFill>
          </a:ln>
          <a:effectLst/>
        </c:spPr>
      </c:pivotFmt>
      <c:pivotFmt>
        <c:idx val="867"/>
        <c:spPr>
          <a:solidFill>
            <a:schemeClr val="accent1"/>
          </a:solidFill>
          <a:ln w="19050">
            <a:solidFill>
              <a:schemeClr val="lt1"/>
            </a:solidFill>
          </a:ln>
          <a:effectLst/>
        </c:spPr>
      </c:pivotFmt>
      <c:pivotFmt>
        <c:idx val="868"/>
        <c:spPr>
          <a:solidFill>
            <a:schemeClr val="accent1"/>
          </a:solidFill>
          <a:ln w="19050">
            <a:solidFill>
              <a:schemeClr val="lt1"/>
            </a:solidFill>
          </a:ln>
          <a:effectLst/>
        </c:spPr>
      </c:pivotFmt>
      <c:pivotFmt>
        <c:idx val="869"/>
        <c:spPr>
          <a:solidFill>
            <a:schemeClr val="accent1"/>
          </a:solidFill>
          <a:ln w="19050">
            <a:solidFill>
              <a:schemeClr val="lt1"/>
            </a:solidFill>
          </a:ln>
          <a:effectLst/>
        </c:spPr>
      </c:pivotFmt>
      <c:pivotFmt>
        <c:idx val="870"/>
        <c:spPr>
          <a:solidFill>
            <a:schemeClr val="accent1"/>
          </a:solidFill>
          <a:ln w="19050">
            <a:solidFill>
              <a:schemeClr val="lt1"/>
            </a:solidFill>
          </a:ln>
          <a:effectLst/>
        </c:spPr>
      </c:pivotFmt>
      <c:pivotFmt>
        <c:idx val="871"/>
        <c:spPr>
          <a:solidFill>
            <a:schemeClr val="accent1"/>
          </a:solidFill>
          <a:ln w="19050">
            <a:solidFill>
              <a:schemeClr val="lt1"/>
            </a:solidFill>
          </a:ln>
          <a:effectLst/>
        </c:spPr>
      </c:pivotFmt>
      <c:pivotFmt>
        <c:idx val="872"/>
        <c:spPr>
          <a:solidFill>
            <a:schemeClr val="accent1"/>
          </a:solidFill>
          <a:ln w="19050">
            <a:solidFill>
              <a:schemeClr val="lt1"/>
            </a:solidFill>
          </a:ln>
          <a:effectLst/>
        </c:spPr>
      </c:pivotFmt>
      <c:pivotFmt>
        <c:idx val="873"/>
        <c:spPr>
          <a:solidFill>
            <a:schemeClr val="accent1"/>
          </a:solidFill>
          <a:ln w="19050">
            <a:solidFill>
              <a:schemeClr val="lt1"/>
            </a:solidFill>
          </a:ln>
          <a:effectLst/>
        </c:spPr>
      </c:pivotFmt>
      <c:pivotFmt>
        <c:idx val="874"/>
        <c:spPr>
          <a:solidFill>
            <a:schemeClr val="accent1"/>
          </a:solidFill>
          <a:ln w="19050">
            <a:solidFill>
              <a:schemeClr val="lt1"/>
            </a:solidFill>
          </a:ln>
          <a:effectLst/>
        </c:spPr>
      </c:pivotFmt>
      <c:pivotFmt>
        <c:idx val="875"/>
        <c:spPr>
          <a:solidFill>
            <a:schemeClr val="accent1"/>
          </a:solidFill>
          <a:ln w="19050">
            <a:solidFill>
              <a:schemeClr val="lt1"/>
            </a:solidFill>
          </a:ln>
          <a:effectLst/>
        </c:spPr>
      </c:pivotFmt>
      <c:pivotFmt>
        <c:idx val="876"/>
        <c:spPr>
          <a:solidFill>
            <a:schemeClr val="accent1"/>
          </a:solidFill>
          <a:ln w="19050">
            <a:solidFill>
              <a:schemeClr val="lt1"/>
            </a:solidFill>
          </a:ln>
          <a:effectLst/>
        </c:spPr>
      </c:pivotFmt>
      <c:pivotFmt>
        <c:idx val="877"/>
        <c:spPr>
          <a:solidFill>
            <a:schemeClr val="accent1"/>
          </a:solidFill>
          <a:ln w="19050">
            <a:solidFill>
              <a:schemeClr val="lt1"/>
            </a:solidFill>
          </a:ln>
          <a:effectLst/>
        </c:spPr>
      </c:pivotFmt>
      <c:pivotFmt>
        <c:idx val="878"/>
        <c:spPr>
          <a:solidFill>
            <a:schemeClr val="accent1"/>
          </a:solidFill>
          <a:ln w="19050">
            <a:solidFill>
              <a:schemeClr val="lt1"/>
            </a:solidFill>
          </a:ln>
          <a:effectLst/>
        </c:spPr>
      </c:pivotFmt>
      <c:pivotFmt>
        <c:idx val="879"/>
        <c:spPr>
          <a:solidFill>
            <a:schemeClr val="accent1"/>
          </a:solidFill>
          <a:ln w="19050">
            <a:solidFill>
              <a:schemeClr val="lt1"/>
            </a:solidFill>
          </a:ln>
          <a:effectLst/>
        </c:spPr>
      </c:pivotFmt>
      <c:pivotFmt>
        <c:idx val="880"/>
        <c:spPr>
          <a:solidFill>
            <a:schemeClr val="accent1"/>
          </a:solidFill>
          <a:ln w="19050">
            <a:solidFill>
              <a:schemeClr val="lt1"/>
            </a:solidFill>
          </a:ln>
          <a:effectLst/>
        </c:spPr>
      </c:pivotFmt>
      <c:pivotFmt>
        <c:idx val="881"/>
        <c:spPr>
          <a:solidFill>
            <a:schemeClr val="accent1"/>
          </a:solidFill>
          <a:ln w="19050">
            <a:solidFill>
              <a:schemeClr val="lt1"/>
            </a:solidFill>
          </a:ln>
          <a:effectLst/>
        </c:spPr>
      </c:pivotFmt>
      <c:pivotFmt>
        <c:idx val="882"/>
        <c:spPr>
          <a:solidFill>
            <a:schemeClr val="accent1"/>
          </a:solidFill>
          <a:ln w="19050">
            <a:solidFill>
              <a:schemeClr val="lt1"/>
            </a:solidFill>
          </a:ln>
          <a:effectLst/>
        </c:spPr>
      </c:pivotFmt>
      <c:pivotFmt>
        <c:idx val="883"/>
        <c:spPr>
          <a:solidFill>
            <a:schemeClr val="accent1"/>
          </a:solidFill>
          <a:ln w="19050">
            <a:solidFill>
              <a:schemeClr val="lt1"/>
            </a:solidFill>
          </a:ln>
          <a:effectLst/>
        </c:spPr>
      </c:pivotFmt>
      <c:pivotFmt>
        <c:idx val="884"/>
        <c:spPr>
          <a:solidFill>
            <a:schemeClr val="accent1"/>
          </a:solidFill>
          <a:ln w="19050">
            <a:solidFill>
              <a:schemeClr val="lt1"/>
            </a:solidFill>
          </a:ln>
          <a:effectLst/>
        </c:spPr>
      </c:pivotFmt>
      <c:pivotFmt>
        <c:idx val="885"/>
        <c:spPr>
          <a:solidFill>
            <a:schemeClr val="accent1"/>
          </a:solidFill>
          <a:ln w="19050">
            <a:solidFill>
              <a:schemeClr val="lt1"/>
            </a:solidFill>
          </a:ln>
          <a:effectLst/>
        </c:spPr>
      </c:pivotFmt>
      <c:pivotFmt>
        <c:idx val="886"/>
        <c:spPr>
          <a:solidFill>
            <a:schemeClr val="accent1"/>
          </a:solidFill>
          <a:ln w="19050">
            <a:solidFill>
              <a:schemeClr val="lt1"/>
            </a:solidFill>
          </a:ln>
          <a:effectLst/>
        </c:spPr>
      </c:pivotFmt>
      <c:pivotFmt>
        <c:idx val="887"/>
        <c:spPr>
          <a:solidFill>
            <a:schemeClr val="accent1"/>
          </a:solidFill>
          <a:ln w="19050">
            <a:solidFill>
              <a:schemeClr val="lt1"/>
            </a:solidFill>
          </a:ln>
          <a:effectLst/>
        </c:spPr>
      </c:pivotFmt>
      <c:pivotFmt>
        <c:idx val="888"/>
        <c:spPr>
          <a:solidFill>
            <a:schemeClr val="accent1"/>
          </a:solidFill>
          <a:ln w="19050">
            <a:solidFill>
              <a:schemeClr val="lt1"/>
            </a:solidFill>
          </a:ln>
          <a:effectLst/>
        </c:spPr>
      </c:pivotFmt>
      <c:pivotFmt>
        <c:idx val="889"/>
        <c:spPr>
          <a:solidFill>
            <a:schemeClr val="accent1"/>
          </a:solidFill>
          <a:ln w="19050">
            <a:solidFill>
              <a:schemeClr val="lt1"/>
            </a:solidFill>
          </a:ln>
          <a:effectLst/>
        </c:spPr>
      </c:pivotFmt>
      <c:pivotFmt>
        <c:idx val="890"/>
        <c:spPr>
          <a:solidFill>
            <a:schemeClr val="accent1"/>
          </a:solidFill>
          <a:ln w="19050">
            <a:solidFill>
              <a:schemeClr val="lt1"/>
            </a:solidFill>
          </a:ln>
          <a:effectLst/>
        </c:spPr>
      </c:pivotFmt>
      <c:pivotFmt>
        <c:idx val="891"/>
        <c:spPr>
          <a:solidFill>
            <a:schemeClr val="accent1"/>
          </a:solidFill>
          <a:ln w="19050">
            <a:solidFill>
              <a:schemeClr val="lt1"/>
            </a:solidFill>
          </a:ln>
          <a:effectLst/>
        </c:spPr>
      </c:pivotFmt>
      <c:pivotFmt>
        <c:idx val="892"/>
        <c:spPr>
          <a:solidFill>
            <a:schemeClr val="accent1"/>
          </a:solidFill>
          <a:ln w="19050">
            <a:solidFill>
              <a:schemeClr val="lt1"/>
            </a:solidFill>
          </a:ln>
          <a:effectLst/>
        </c:spPr>
      </c:pivotFmt>
      <c:pivotFmt>
        <c:idx val="893"/>
        <c:spPr>
          <a:solidFill>
            <a:schemeClr val="accent1"/>
          </a:solidFill>
          <a:ln w="19050">
            <a:solidFill>
              <a:schemeClr val="lt1"/>
            </a:solidFill>
          </a:ln>
          <a:effectLst/>
        </c:spPr>
      </c:pivotFmt>
      <c:pivotFmt>
        <c:idx val="894"/>
        <c:spPr>
          <a:solidFill>
            <a:schemeClr val="accent1"/>
          </a:solidFill>
          <a:ln w="19050">
            <a:solidFill>
              <a:schemeClr val="lt1"/>
            </a:solidFill>
          </a:ln>
          <a:effectLst/>
        </c:spPr>
      </c:pivotFmt>
      <c:pivotFmt>
        <c:idx val="895"/>
        <c:spPr>
          <a:solidFill>
            <a:schemeClr val="accent1"/>
          </a:solidFill>
          <a:ln w="19050">
            <a:solidFill>
              <a:schemeClr val="lt1"/>
            </a:solidFill>
          </a:ln>
          <a:effectLst/>
        </c:spPr>
      </c:pivotFmt>
      <c:pivotFmt>
        <c:idx val="896"/>
        <c:spPr>
          <a:solidFill>
            <a:schemeClr val="accent1"/>
          </a:solidFill>
          <a:ln w="19050">
            <a:solidFill>
              <a:schemeClr val="lt1"/>
            </a:solidFill>
          </a:ln>
          <a:effectLst/>
        </c:spPr>
      </c:pivotFmt>
      <c:pivotFmt>
        <c:idx val="897"/>
        <c:spPr>
          <a:solidFill>
            <a:schemeClr val="accent1"/>
          </a:solidFill>
          <a:ln w="19050">
            <a:solidFill>
              <a:schemeClr val="lt1"/>
            </a:solidFill>
          </a:ln>
          <a:effectLst/>
        </c:spPr>
      </c:pivotFmt>
      <c:pivotFmt>
        <c:idx val="898"/>
        <c:spPr>
          <a:solidFill>
            <a:schemeClr val="accent1"/>
          </a:solidFill>
          <a:ln w="19050">
            <a:solidFill>
              <a:schemeClr val="lt1"/>
            </a:solidFill>
          </a:ln>
          <a:effectLst/>
        </c:spPr>
      </c:pivotFmt>
      <c:pivotFmt>
        <c:idx val="899"/>
        <c:spPr>
          <a:solidFill>
            <a:schemeClr val="accent1"/>
          </a:solidFill>
          <a:ln w="19050">
            <a:solidFill>
              <a:schemeClr val="lt1"/>
            </a:solidFill>
          </a:ln>
          <a:effectLst/>
        </c:spPr>
      </c:pivotFmt>
      <c:pivotFmt>
        <c:idx val="900"/>
        <c:spPr>
          <a:solidFill>
            <a:schemeClr val="accent1"/>
          </a:solidFill>
          <a:ln w="19050">
            <a:solidFill>
              <a:schemeClr val="lt1"/>
            </a:solidFill>
          </a:ln>
          <a:effectLst/>
        </c:spPr>
      </c:pivotFmt>
      <c:pivotFmt>
        <c:idx val="901"/>
        <c:spPr>
          <a:solidFill>
            <a:schemeClr val="accent1"/>
          </a:solidFill>
          <a:ln w="19050">
            <a:solidFill>
              <a:schemeClr val="lt1"/>
            </a:solidFill>
          </a:ln>
          <a:effectLst/>
        </c:spPr>
      </c:pivotFmt>
      <c:pivotFmt>
        <c:idx val="902"/>
        <c:spPr>
          <a:solidFill>
            <a:schemeClr val="accent1"/>
          </a:solidFill>
          <a:ln w="19050">
            <a:solidFill>
              <a:schemeClr val="lt1"/>
            </a:solidFill>
          </a:ln>
          <a:effectLst/>
        </c:spPr>
      </c:pivotFmt>
      <c:pivotFmt>
        <c:idx val="903"/>
        <c:spPr>
          <a:solidFill>
            <a:schemeClr val="accent1"/>
          </a:solidFill>
          <a:ln w="19050">
            <a:solidFill>
              <a:schemeClr val="lt1"/>
            </a:solidFill>
          </a:ln>
          <a:effectLst/>
        </c:spPr>
      </c:pivotFmt>
      <c:pivotFmt>
        <c:idx val="904"/>
        <c:spPr>
          <a:solidFill>
            <a:schemeClr val="accent1"/>
          </a:solidFill>
          <a:ln w="19050">
            <a:solidFill>
              <a:schemeClr val="lt1"/>
            </a:solidFill>
          </a:ln>
          <a:effectLst/>
        </c:spPr>
      </c:pivotFmt>
      <c:pivotFmt>
        <c:idx val="905"/>
        <c:spPr>
          <a:solidFill>
            <a:schemeClr val="accent1"/>
          </a:solidFill>
          <a:ln w="19050">
            <a:solidFill>
              <a:schemeClr val="lt1"/>
            </a:solidFill>
          </a:ln>
          <a:effectLst/>
        </c:spPr>
      </c:pivotFmt>
      <c:pivotFmt>
        <c:idx val="906"/>
        <c:spPr>
          <a:solidFill>
            <a:schemeClr val="accent1"/>
          </a:solidFill>
          <a:ln w="19050">
            <a:solidFill>
              <a:schemeClr val="lt1"/>
            </a:solidFill>
          </a:ln>
          <a:effectLst/>
        </c:spPr>
      </c:pivotFmt>
      <c:pivotFmt>
        <c:idx val="907"/>
        <c:spPr>
          <a:solidFill>
            <a:schemeClr val="accent1"/>
          </a:solidFill>
          <a:ln w="19050">
            <a:solidFill>
              <a:schemeClr val="lt1"/>
            </a:solidFill>
          </a:ln>
          <a:effectLst/>
        </c:spPr>
      </c:pivotFmt>
      <c:pivotFmt>
        <c:idx val="908"/>
        <c:spPr>
          <a:solidFill>
            <a:schemeClr val="accent1"/>
          </a:solidFill>
          <a:ln w="19050">
            <a:solidFill>
              <a:schemeClr val="lt1"/>
            </a:solidFill>
          </a:ln>
          <a:effectLst/>
        </c:spPr>
      </c:pivotFmt>
      <c:pivotFmt>
        <c:idx val="909"/>
        <c:spPr>
          <a:solidFill>
            <a:schemeClr val="accent1"/>
          </a:solidFill>
          <a:ln w="19050">
            <a:solidFill>
              <a:schemeClr val="lt1"/>
            </a:solidFill>
          </a:ln>
          <a:effectLst/>
        </c:spPr>
      </c:pivotFmt>
      <c:pivotFmt>
        <c:idx val="910"/>
        <c:spPr>
          <a:solidFill>
            <a:schemeClr val="accent1"/>
          </a:solidFill>
          <a:ln w="19050">
            <a:solidFill>
              <a:schemeClr val="lt1"/>
            </a:solidFill>
          </a:ln>
          <a:effectLst/>
        </c:spPr>
      </c:pivotFmt>
      <c:pivotFmt>
        <c:idx val="911"/>
        <c:spPr>
          <a:solidFill>
            <a:schemeClr val="accent1"/>
          </a:solidFill>
          <a:ln w="19050">
            <a:solidFill>
              <a:schemeClr val="lt1"/>
            </a:solidFill>
          </a:ln>
          <a:effectLst/>
        </c:spPr>
      </c:pivotFmt>
      <c:pivotFmt>
        <c:idx val="912"/>
        <c:spPr>
          <a:solidFill>
            <a:schemeClr val="accent1"/>
          </a:solidFill>
          <a:ln w="19050">
            <a:solidFill>
              <a:schemeClr val="lt1"/>
            </a:solidFill>
          </a:ln>
          <a:effectLst/>
        </c:spPr>
      </c:pivotFmt>
      <c:pivotFmt>
        <c:idx val="913"/>
        <c:spPr>
          <a:solidFill>
            <a:schemeClr val="accent1"/>
          </a:solidFill>
          <a:ln w="19050">
            <a:solidFill>
              <a:schemeClr val="lt1"/>
            </a:solidFill>
          </a:ln>
          <a:effectLst/>
        </c:spPr>
      </c:pivotFmt>
      <c:pivotFmt>
        <c:idx val="914"/>
        <c:spPr>
          <a:solidFill>
            <a:schemeClr val="accent1"/>
          </a:solidFill>
          <a:ln w="19050">
            <a:solidFill>
              <a:schemeClr val="lt1"/>
            </a:solidFill>
          </a:ln>
          <a:effectLst/>
        </c:spPr>
      </c:pivotFmt>
      <c:pivotFmt>
        <c:idx val="915"/>
        <c:spPr>
          <a:solidFill>
            <a:schemeClr val="accent1"/>
          </a:solidFill>
          <a:ln w="19050">
            <a:solidFill>
              <a:schemeClr val="lt1"/>
            </a:solidFill>
          </a:ln>
          <a:effectLst/>
        </c:spPr>
      </c:pivotFmt>
      <c:pivotFmt>
        <c:idx val="916"/>
        <c:spPr>
          <a:solidFill>
            <a:schemeClr val="accent1"/>
          </a:solidFill>
          <a:ln w="19050">
            <a:solidFill>
              <a:schemeClr val="lt1"/>
            </a:solidFill>
          </a:ln>
          <a:effectLst/>
        </c:spPr>
      </c:pivotFmt>
      <c:pivotFmt>
        <c:idx val="917"/>
        <c:spPr>
          <a:solidFill>
            <a:schemeClr val="accent1"/>
          </a:solidFill>
          <a:ln w="19050">
            <a:solidFill>
              <a:schemeClr val="lt1"/>
            </a:solidFill>
          </a:ln>
          <a:effectLst/>
        </c:spPr>
      </c:pivotFmt>
      <c:pivotFmt>
        <c:idx val="918"/>
        <c:spPr>
          <a:solidFill>
            <a:schemeClr val="accent1"/>
          </a:solidFill>
          <a:ln w="19050">
            <a:solidFill>
              <a:schemeClr val="lt1"/>
            </a:solidFill>
          </a:ln>
          <a:effectLst/>
        </c:spPr>
      </c:pivotFmt>
      <c:pivotFmt>
        <c:idx val="919"/>
        <c:spPr>
          <a:solidFill>
            <a:schemeClr val="accent1"/>
          </a:solidFill>
          <a:ln w="19050">
            <a:solidFill>
              <a:schemeClr val="lt1"/>
            </a:solidFill>
          </a:ln>
          <a:effectLst/>
        </c:spPr>
      </c:pivotFmt>
      <c:pivotFmt>
        <c:idx val="920"/>
        <c:spPr>
          <a:solidFill>
            <a:schemeClr val="accent1"/>
          </a:solidFill>
          <a:ln w="19050">
            <a:solidFill>
              <a:schemeClr val="lt1"/>
            </a:solidFill>
          </a:ln>
          <a:effectLst/>
        </c:spPr>
      </c:pivotFmt>
      <c:pivotFmt>
        <c:idx val="921"/>
        <c:spPr>
          <a:solidFill>
            <a:schemeClr val="accent1"/>
          </a:solidFill>
          <a:ln w="19050">
            <a:solidFill>
              <a:schemeClr val="lt1"/>
            </a:solidFill>
          </a:ln>
          <a:effectLst/>
        </c:spPr>
      </c:pivotFmt>
      <c:pivotFmt>
        <c:idx val="922"/>
        <c:spPr>
          <a:solidFill>
            <a:schemeClr val="accent1"/>
          </a:solidFill>
          <a:ln w="19050">
            <a:solidFill>
              <a:schemeClr val="lt1"/>
            </a:solidFill>
          </a:ln>
          <a:effectLst/>
        </c:spPr>
      </c:pivotFmt>
      <c:pivotFmt>
        <c:idx val="923"/>
        <c:spPr>
          <a:solidFill>
            <a:schemeClr val="accent1"/>
          </a:solidFill>
          <a:ln w="19050">
            <a:solidFill>
              <a:schemeClr val="lt1"/>
            </a:solidFill>
          </a:ln>
          <a:effectLst/>
        </c:spPr>
      </c:pivotFmt>
      <c:pivotFmt>
        <c:idx val="924"/>
        <c:spPr>
          <a:solidFill>
            <a:schemeClr val="accent1"/>
          </a:solidFill>
          <a:ln w="19050">
            <a:solidFill>
              <a:schemeClr val="lt1"/>
            </a:solidFill>
          </a:ln>
          <a:effectLst/>
        </c:spPr>
      </c:pivotFmt>
      <c:pivotFmt>
        <c:idx val="925"/>
        <c:spPr>
          <a:solidFill>
            <a:schemeClr val="accent1"/>
          </a:solidFill>
          <a:ln w="19050">
            <a:solidFill>
              <a:schemeClr val="lt1"/>
            </a:solidFill>
          </a:ln>
          <a:effectLst/>
        </c:spPr>
      </c:pivotFmt>
      <c:pivotFmt>
        <c:idx val="926"/>
        <c:spPr>
          <a:solidFill>
            <a:schemeClr val="accent1"/>
          </a:solidFill>
          <a:ln w="19050">
            <a:solidFill>
              <a:schemeClr val="lt1"/>
            </a:solidFill>
          </a:ln>
          <a:effectLst/>
        </c:spPr>
      </c:pivotFmt>
      <c:pivotFmt>
        <c:idx val="927"/>
        <c:spPr>
          <a:solidFill>
            <a:schemeClr val="accent1"/>
          </a:solidFill>
          <a:ln w="19050">
            <a:solidFill>
              <a:schemeClr val="lt1"/>
            </a:solidFill>
          </a:ln>
          <a:effectLst/>
        </c:spPr>
      </c:pivotFmt>
      <c:pivotFmt>
        <c:idx val="928"/>
        <c:spPr>
          <a:solidFill>
            <a:schemeClr val="accent1"/>
          </a:solidFill>
          <a:ln w="19050">
            <a:solidFill>
              <a:schemeClr val="lt1"/>
            </a:solidFill>
          </a:ln>
          <a:effectLst/>
        </c:spPr>
      </c:pivotFmt>
      <c:pivotFmt>
        <c:idx val="929"/>
        <c:spPr>
          <a:solidFill>
            <a:schemeClr val="accent1"/>
          </a:solidFill>
          <a:ln w="19050">
            <a:solidFill>
              <a:schemeClr val="lt1"/>
            </a:solidFill>
          </a:ln>
          <a:effectLst/>
        </c:spPr>
      </c:pivotFmt>
      <c:pivotFmt>
        <c:idx val="930"/>
        <c:spPr>
          <a:solidFill>
            <a:schemeClr val="accent1"/>
          </a:solidFill>
          <a:ln w="19050">
            <a:solidFill>
              <a:schemeClr val="lt1"/>
            </a:solidFill>
          </a:ln>
          <a:effectLst/>
        </c:spPr>
      </c:pivotFmt>
      <c:pivotFmt>
        <c:idx val="931"/>
        <c:spPr>
          <a:solidFill>
            <a:schemeClr val="accent1"/>
          </a:solidFill>
          <a:ln w="19050">
            <a:solidFill>
              <a:schemeClr val="lt1"/>
            </a:solidFill>
          </a:ln>
          <a:effectLst/>
        </c:spPr>
      </c:pivotFmt>
      <c:pivotFmt>
        <c:idx val="932"/>
        <c:spPr>
          <a:solidFill>
            <a:schemeClr val="accent1"/>
          </a:solidFill>
          <a:ln w="19050">
            <a:solidFill>
              <a:schemeClr val="lt1"/>
            </a:solidFill>
          </a:ln>
          <a:effectLst/>
        </c:spPr>
      </c:pivotFmt>
      <c:pivotFmt>
        <c:idx val="933"/>
        <c:spPr>
          <a:solidFill>
            <a:schemeClr val="accent1"/>
          </a:solidFill>
          <a:ln w="19050">
            <a:solidFill>
              <a:schemeClr val="lt1"/>
            </a:solidFill>
          </a:ln>
          <a:effectLst/>
        </c:spPr>
      </c:pivotFmt>
      <c:pivotFmt>
        <c:idx val="934"/>
        <c:spPr>
          <a:solidFill>
            <a:schemeClr val="accent1"/>
          </a:solidFill>
          <a:ln w="19050">
            <a:solidFill>
              <a:schemeClr val="lt1"/>
            </a:solidFill>
          </a:ln>
          <a:effectLst/>
        </c:spPr>
      </c:pivotFmt>
      <c:pivotFmt>
        <c:idx val="935"/>
        <c:spPr>
          <a:solidFill>
            <a:schemeClr val="accent1"/>
          </a:solidFill>
          <a:ln w="19050">
            <a:solidFill>
              <a:schemeClr val="lt1"/>
            </a:solidFill>
          </a:ln>
          <a:effectLst/>
        </c:spPr>
      </c:pivotFmt>
      <c:pivotFmt>
        <c:idx val="936"/>
        <c:spPr>
          <a:solidFill>
            <a:schemeClr val="accent1"/>
          </a:solidFill>
          <a:ln w="19050">
            <a:solidFill>
              <a:schemeClr val="lt1"/>
            </a:solidFill>
          </a:ln>
          <a:effectLst/>
        </c:spPr>
      </c:pivotFmt>
      <c:pivotFmt>
        <c:idx val="937"/>
        <c:spPr>
          <a:solidFill>
            <a:schemeClr val="accent1"/>
          </a:solidFill>
          <a:ln w="19050">
            <a:solidFill>
              <a:schemeClr val="lt1"/>
            </a:solidFill>
          </a:ln>
          <a:effectLst/>
        </c:spPr>
      </c:pivotFmt>
      <c:pivotFmt>
        <c:idx val="938"/>
        <c:spPr>
          <a:solidFill>
            <a:schemeClr val="accent1"/>
          </a:solidFill>
          <a:ln w="19050">
            <a:solidFill>
              <a:schemeClr val="lt1"/>
            </a:solidFill>
          </a:ln>
          <a:effectLst/>
        </c:spPr>
      </c:pivotFmt>
      <c:pivotFmt>
        <c:idx val="939"/>
        <c:spPr>
          <a:solidFill>
            <a:schemeClr val="accent1"/>
          </a:solidFill>
          <a:ln w="19050">
            <a:solidFill>
              <a:schemeClr val="lt1"/>
            </a:solidFill>
          </a:ln>
          <a:effectLst/>
        </c:spPr>
      </c:pivotFmt>
      <c:pivotFmt>
        <c:idx val="940"/>
        <c:spPr>
          <a:solidFill>
            <a:schemeClr val="accent1"/>
          </a:solidFill>
          <a:ln w="19050">
            <a:solidFill>
              <a:schemeClr val="lt1"/>
            </a:solidFill>
          </a:ln>
          <a:effectLst/>
        </c:spPr>
      </c:pivotFmt>
      <c:pivotFmt>
        <c:idx val="941"/>
        <c:spPr>
          <a:solidFill>
            <a:schemeClr val="accent1"/>
          </a:solidFill>
          <a:ln w="19050">
            <a:solidFill>
              <a:schemeClr val="lt1"/>
            </a:solidFill>
          </a:ln>
          <a:effectLst/>
        </c:spPr>
      </c:pivotFmt>
      <c:pivotFmt>
        <c:idx val="942"/>
        <c:spPr>
          <a:solidFill>
            <a:schemeClr val="accent1"/>
          </a:solidFill>
          <a:ln w="19050">
            <a:solidFill>
              <a:schemeClr val="lt1"/>
            </a:solidFill>
          </a:ln>
          <a:effectLst/>
        </c:spPr>
      </c:pivotFmt>
      <c:pivotFmt>
        <c:idx val="943"/>
        <c:spPr>
          <a:solidFill>
            <a:schemeClr val="accent1"/>
          </a:solidFill>
          <a:ln w="19050">
            <a:solidFill>
              <a:schemeClr val="lt1"/>
            </a:solidFill>
          </a:ln>
          <a:effectLst/>
        </c:spPr>
      </c:pivotFmt>
      <c:pivotFmt>
        <c:idx val="944"/>
        <c:spPr>
          <a:solidFill>
            <a:schemeClr val="accent1"/>
          </a:solidFill>
          <a:ln w="19050">
            <a:solidFill>
              <a:schemeClr val="lt1"/>
            </a:solidFill>
          </a:ln>
          <a:effectLst/>
        </c:spPr>
      </c:pivotFmt>
      <c:pivotFmt>
        <c:idx val="945"/>
        <c:spPr>
          <a:solidFill>
            <a:schemeClr val="accent1"/>
          </a:solidFill>
          <a:ln w="19050">
            <a:solidFill>
              <a:schemeClr val="lt1"/>
            </a:solidFill>
          </a:ln>
          <a:effectLst/>
        </c:spPr>
      </c:pivotFmt>
      <c:pivotFmt>
        <c:idx val="946"/>
        <c:spPr>
          <a:solidFill>
            <a:schemeClr val="accent1"/>
          </a:solidFill>
          <a:ln w="19050">
            <a:solidFill>
              <a:schemeClr val="lt1"/>
            </a:solidFill>
          </a:ln>
          <a:effectLst/>
        </c:spPr>
      </c:pivotFmt>
      <c:pivotFmt>
        <c:idx val="947"/>
        <c:spPr>
          <a:solidFill>
            <a:schemeClr val="accent1"/>
          </a:solidFill>
          <a:ln w="19050">
            <a:solidFill>
              <a:schemeClr val="lt1"/>
            </a:solidFill>
          </a:ln>
          <a:effectLst/>
        </c:spPr>
      </c:pivotFmt>
      <c:pivotFmt>
        <c:idx val="948"/>
        <c:spPr>
          <a:solidFill>
            <a:schemeClr val="accent1"/>
          </a:solidFill>
          <a:ln w="19050">
            <a:solidFill>
              <a:schemeClr val="lt1"/>
            </a:solidFill>
          </a:ln>
          <a:effectLst/>
        </c:spPr>
      </c:pivotFmt>
      <c:pivotFmt>
        <c:idx val="949"/>
        <c:spPr>
          <a:solidFill>
            <a:schemeClr val="accent1"/>
          </a:solidFill>
          <a:ln w="19050">
            <a:solidFill>
              <a:schemeClr val="lt1"/>
            </a:solidFill>
          </a:ln>
          <a:effectLst/>
        </c:spPr>
      </c:pivotFmt>
      <c:pivotFmt>
        <c:idx val="950"/>
        <c:spPr>
          <a:solidFill>
            <a:schemeClr val="accent1"/>
          </a:solidFill>
          <a:ln w="19050">
            <a:solidFill>
              <a:schemeClr val="lt1"/>
            </a:solidFill>
          </a:ln>
          <a:effectLst/>
        </c:spPr>
      </c:pivotFmt>
      <c:pivotFmt>
        <c:idx val="951"/>
        <c:spPr>
          <a:solidFill>
            <a:schemeClr val="accent1"/>
          </a:solidFill>
          <a:ln w="19050">
            <a:solidFill>
              <a:schemeClr val="lt1"/>
            </a:solidFill>
          </a:ln>
          <a:effectLst/>
        </c:spPr>
      </c:pivotFmt>
      <c:pivotFmt>
        <c:idx val="952"/>
        <c:spPr>
          <a:solidFill>
            <a:schemeClr val="accent1"/>
          </a:solidFill>
          <a:ln w="19050">
            <a:solidFill>
              <a:schemeClr val="lt1"/>
            </a:solidFill>
          </a:ln>
          <a:effectLst/>
        </c:spPr>
      </c:pivotFmt>
      <c:pivotFmt>
        <c:idx val="953"/>
        <c:spPr>
          <a:solidFill>
            <a:schemeClr val="accent1"/>
          </a:solidFill>
          <a:ln w="19050">
            <a:solidFill>
              <a:schemeClr val="lt1"/>
            </a:solidFill>
          </a:ln>
          <a:effectLst/>
        </c:spPr>
      </c:pivotFmt>
      <c:pivotFmt>
        <c:idx val="954"/>
        <c:spPr>
          <a:solidFill>
            <a:schemeClr val="accent1"/>
          </a:solidFill>
          <a:ln w="19050">
            <a:solidFill>
              <a:schemeClr val="lt1"/>
            </a:solidFill>
          </a:ln>
          <a:effectLst/>
        </c:spPr>
      </c:pivotFmt>
      <c:pivotFmt>
        <c:idx val="955"/>
        <c:spPr>
          <a:solidFill>
            <a:schemeClr val="accent1"/>
          </a:solidFill>
          <a:ln w="19050">
            <a:solidFill>
              <a:schemeClr val="lt1"/>
            </a:solidFill>
          </a:ln>
          <a:effectLst/>
        </c:spPr>
      </c:pivotFmt>
      <c:pivotFmt>
        <c:idx val="956"/>
        <c:spPr>
          <a:solidFill>
            <a:schemeClr val="accent1"/>
          </a:solidFill>
          <a:ln w="19050">
            <a:solidFill>
              <a:schemeClr val="lt1"/>
            </a:solidFill>
          </a:ln>
          <a:effectLst/>
        </c:spPr>
      </c:pivotFmt>
      <c:pivotFmt>
        <c:idx val="957"/>
        <c:spPr>
          <a:solidFill>
            <a:schemeClr val="accent1"/>
          </a:solidFill>
          <a:ln w="19050">
            <a:solidFill>
              <a:schemeClr val="lt1"/>
            </a:solidFill>
          </a:ln>
          <a:effectLst/>
        </c:spPr>
      </c:pivotFmt>
      <c:pivotFmt>
        <c:idx val="958"/>
        <c:spPr>
          <a:solidFill>
            <a:schemeClr val="accent1"/>
          </a:solidFill>
          <a:ln w="19050">
            <a:solidFill>
              <a:schemeClr val="lt1"/>
            </a:solidFill>
          </a:ln>
          <a:effectLst/>
        </c:spPr>
      </c:pivotFmt>
      <c:pivotFmt>
        <c:idx val="959"/>
        <c:spPr>
          <a:solidFill>
            <a:schemeClr val="accent1"/>
          </a:solidFill>
          <a:ln w="19050">
            <a:solidFill>
              <a:schemeClr val="lt1"/>
            </a:solidFill>
          </a:ln>
          <a:effectLst/>
        </c:spPr>
      </c:pivotFmt>
      <c:pivotFmt>
        <c:idx val="960"/>
        <c:spPr>
          <a:solidFill>
            <a:schemeClr val="accent1"/>
          </a:solidFill>
          <a:ln w="19050">
            <a:solidFill>
              <a:schemeClr val="lt1"/>
            </a:solidFill>
          </a:ln>
          <a:effectLst/>
        </c:spPr>
      </c:pivotFmt>
      <c:pivotFmt>
        <c:idx val="961"/>
        <c:spPr>
          <a:solidFill>
            <a:schemeClr val="accent1"/>
          </a:solidFill>
          <a:ln w="19050">
            <a:solidFill>
              <a:schemeClr val="lt1"/>
            </a:solidFill>
          </a:ln>
          <a:effectLst/>
        </c:spPr>
      </c:pivotFmt>
      <c:pivotFmt>
        <c:idx val="962"/>
        <c:spPr>
          <a:solidFill>
            <a:schemeClr val="accent1"/>
          </a:solidFill>
          <a:ln w="19050">
            <a:solidFill>
              <a:schemeClr val="lt1"/>
            </a:solidFill>
          </a:ln>
          <a:effectLst/>
        </c:spPr>
      </c:pivotFmt>
      <c:pivotFmt>
        <c:idx val="963"/>
        <c:spPr>
          <a:solidFill>
            <a:schemeClr val="accent1"/>
          </a:solidFill>
          <a:ln w="19050">
            <a:solidFill>
              <a:schemeClr val="lt1"/>
            </a:solidFill>
          </a:ln>
          <a:effectLst/>
        </c:spPr>
      </c:pivotFmt>
      <c:pivotFmt>
        <c:idx val="964"/>
        <c:spPr>
          <a:solidFill>
            <a:schemeClr val="accent1"/>
          </a:solidFill>
          <a:ln w="19050">
            <a:solidFill>
              <a:schemeClr val="lt1"/>
            </a:solidFill>
          </a:ln>
          <a:effectLst/>
        </c:spPr>
      </c:pivotFmt>
      <c:pivotFmt>
        <c:idx val="965"/>
        <c:spPr>
          <a:solidFill>
            <a:schemeClr val="accent1"/>
          </a:solidFill>
          <a:ln w="19050">
            <a:solidFill>
              <a:schemeClr val="lt1"/>
            </a:solidFill>
          </a:ln>
          <a:effectLst/>
        </c:spPr>
      </c:pivotFmt>
      <c:pivotFmt>
        <c:idx val="966"/>
        <c:spPr>
          <a:solidFill>
            <a:schemeClr val="accent1"/>
          </a:solidFill>
          <a:ln w="19050">
            <a:solidFill>
              <a:schemeClr val="lt1"/>
            </a:solidFill>
          </a:ln>
          <a:effectLst/>
        </c:spPr>
      </c:pivotFmt>
      <c:pivotFmt>
        <c:idx val="967"/>
        <c:spPr>
          <a:solidFill>
            <a:schemeClr val="accent1"/>
          </a:solidFill>
          <a:ln w="19050">
            <a:solidFill>
              <a:schemeClr val="lt1"/>
            </a:solidFill>
          </a:ln>
          <a:effectLst/>
        </c:spPr>
      </c:pivotFmt>
      <c:pivotFmt>
        <c:idx val="968"/>
        <c:spPr>
          <a:solidFill>
            <a:schemeClr val="accent1"/>
          </a:solidFill>
          <a:ln w="19050">
            <a:solidFill>
              <a:schemeClr val="lt1"/>
            </a:solidFill>
          </a:ln>
          <a:effectLst/>
        </c:spPr>
      </c:pivotFmt>
      <c:pivotFmt>
        <c:idx val="969"/>
        <c:spPr>
          <a:solidFill>
            <a:schemeClr val="accent1"/>
          </a:solidFill>
          <a:ln w="19050">
            <a:solidFill>
              <a:schemeClr val="lt1"/>
            </a:solidFill>
          </a:ln>
          <a:effectLst/>
        </c:spPr>
      </c:pivotFmt>
      <c:pivotFmt>
        <c:idx val="970"/>
        <c:spPr>
          <a:solidFill>
            <a:schemeClr val="accent1"/>
          </a:solidFill>
          <a:ln w="19050">
            <a:solidFill>
              <a:schemeClr val="lt1"/>
            </a:solidFill>
          </a:ln>
          <a:effectLst/>
        </c:spPr>
      </c:pivotFmt>
      <c:pivotFmt>
        <c:idx val="971"/>
        <c:spPr>
          <a:solidFill>
            <a:schemeClr val="accent1"/>
          </a:solidFill>
          <a:ln w="19050">
            <a:solidFill>
              <a:schemeClr val="lt1"/>
            </a:solidFill>
          </a:ln>
          <a:effectLst/>
        </c:spPr>
      </c:pivotFmt>
      <c:pivotFmt>
        <c:idx val="972"/>
        <c:spPr>
          <a:solidFill>
            <a:schemeClr val="accent1"/>
          </a:solidFill>
          <a:ln w="19050">
            <a:solidFill>
              <a:schemeClr val="lt1"/>
            </a:solidFill>
          </a:ln>
          <a:effectLst/>
        </c:spPr>
      </c:pivotFmt>
      <c:pivotFmt>
        <c:idx val="973"/>
        <c:spPr>
          <a:solidFill>
            <a:schemeClr val="accent1"/>
          </a:solidFill>
          <a:ln w="19050">
            <a:solidFill>
              <a:schemeClr val="lt1"/>
            </a:solidFill>
          </a:ln>
          <a:effectLst/>
        </c:spPr>
      </c:pivotFmt>
      <c:pivotFmt>
        <c:idx val="974"/>
        <c:spPr>
          <a:solidFill>
            <a:schemeClr val="accent1"/>
          </a:solidFill>
          <a:ln w="19050">
            <a:solidFill>
              <a:schemeClr val="lt1"/>
            </a:solidFill>
          </a:ln>
          <a:effectLst/>
        </c:spPr>
      </c:pivotFmt>
      <c:pivotFmt>
        <c:idx val="975"/>
        <c:spPr>
          <a:solidFill>
            <a:schemeClr val="accent1"/>
          </a:solidFill>
          <a:ln w="19050">
            <a:solidFill>
              <a:schemeClr val="lt1"/>
            </a:solidFill>
          </a:ln>
          <a:effectLst/>
        </c:spPr>
      </c:pivotFmt>
      <c:pivotFmt>
        <c:idx val="976"/>
        <c:spPr>
          <a:solidFill>
            <a:schemeClr val="accent1"/>
          </a:solidFill>
          <a:ln w="19050">
            <a:solidFill>
              <a:schemeClr val="lt1"/>
            </a:solidFill>
          </a:ln>
          <a:effectLst/>
        </c:spPr>
      </c:pivotFmt>
      <c:pivotFmt>
        <c:idx val="977"/>
        <c:spPr>
          <a:solidFill>
            <a:schemeClr val="accent1"/>
          </a:solidFill>
          <a:ln w="19050">
            <a:solidFill>
              <a:schemeClr val="lt1"/>
            </a:solidFill>
          </a:ln>
          <a:effectLst/>
        </c:spPr>
      </c:pivotFmt>
      <c:pivotFmt>
        <c:idx val="978"/>
        <c:spPr>
          <a:solidFill>
            <a:schemeClr val="accent1"/>
          </a:solidFill>
          <a:ln w="19050">
            <a:solidFill>
              <a:schemeClr val="lt1"/>
            </a:solidFill>
          </a:ln>
          <a:effectLst/>
        </c:spPr>
      </c:pivotFmt>
      <c:pivotFmt>
        <c:idx val="979"/>
        <c:spPr>
          <a:solidFill>
            <a:schemeClr val="accent1"/>
          </a:solidFill>
          <a:ln w="19050">
            <a:solidFill>
              <a:schemeClr val="lt1"/>
            </a:solidFill>
          </a:ln>
          <a:effectLst/>
        </c:spPr>
      </c:pivotFmt>
      <c:pivotFmt>
        <c:idx val="980"/>
        <c:spPr>
          <a:solidFill>
            <a:schemeClr val="accent1"/>
          </a:solidFill>
          <a:ln w="19050">
            <a:solidFill>
              <a:schemeClr val="lt1"/>
            </a:solidFill>
          </a:ln>
          <a:effectLst/>
        </c:spPr>
      </c:pivotFmt>
      <c:pivotFmt>
        <c:idx val="981"/>
        <c:spPr>
          <a:solidFill>
            <a:schemeClr val="accent1"/>
          </a:solidFill>
          <a:ln w="19050">
            <a:solidFill>
              <a:schemeClr val="lt1"/>
            </a:solidFill>
          </a:ln>
          <a:effectLst/>
        </c:spPr>
      </c:pivotFmt>
      <c:pivotFmt>
        <c:idx val="982"/>
        <c:spPr>
          <a:solidFill>
            <a:schemeClr val="accent1"/>
          </a:solidFill>
          <a:ln w="19050">
            <a:solidFill>
              <a:schemeClr val="lt1"/>
            </a:solidFill>
          </a:ln>
          <a:effectLst/>
        </c:spPr>
      </c:pivotFmt>
      <c:pivotFmt>
        <c:idx val="983"/>
        <c:spPr>
          <a:solidFill>
            <a:schemeClr val="accent1"/>
          </a:solidFill>
          <a:ln w="19050">
            <a:solidFill>
              <a:schemeClr val="lt1"/>
            </a:solidFill>
          </a:ln>
          <a:effectLst/>
        </c:spPr>
      </c:pivotFmt>
      <c:pivotFmt>
        <c:idx val="984"/>
        <c:spPr>
          <a:solidFill>
            <a:schemeClr val="accent1"/>
          </a:solidFill>
          <a:ln w="19050">
            <a:solidFill>
              <a:schemeClr val="lt1"/>
            </a:solidFill>
          </a:ln>
          <a:effectLst/>
        </c:spPr>
      </c:pivotFmt>
      <c:pivotFmt>
        <c:idx val="985"/>
        <c:spPr>
          <a:solidFill>
            <a:schemeClr val="accent1"/>
          </a:solidFill>
          <a:ln w="19050">
            <a:solidFill>
              <a:schemeClr val="lt1"/>
            </a:solidFill>
          </a:ln>
          <a:effectLst/>
        </c:spPr>
      </c:pivotFmt>
      <c:pivotFmt>
        <c:idx val="986"/>
        <c:spPr>
          <a:solidFill>
            <a:schemeClr val="accent1"/>
          </a:solidFill>
          <a:ln w="19050">
            <a:solidFill>
              <a:schemeClr val="lt1"/>
            </a:solidFill>
          </a:ln>
          <a:effectLst/>
        </c:spPr>
      </c:pivotFmt>
      <c:pivotFmt>
        <c:idx val="987"/>
        <c:spPr>
          <a:solidFill>
            <a:schemeClr val="accent1"/>
          </a:solidFill>
          <a:ln w="19050">
            <a:solidFill>
              <a:schemeClr val="lt1"/>
            </a:solidFill>
          </a:ln>
          <a:effectLst/>
        </c:spPr>
      </c:pivotFmt>
      <c:pivotFmt>
        <c:idx val="988"/>
        <c:spPr>
          <a:solidFill>
            <a:schemeClr val="accent1"/>
          </a:solidFill>
          <a:ln w="19050">
            <a:solidFill>
              <a:schemeClr val="lt1"/>
            </a:solidFill>
          </a:ln>
          <a:effectLst/>
        </c:spPr>
      </c:pivotFmt>
      <c:pivotFmt>
        <c:idx val="989"/>
        <c:spPr>
          <a:solidFill>
            <a:schemeClr val="accent1"/>
          </a:solidFill>
          <a:ln w="19050">
            <a:solidFill>
              <a:schemeClr val="lt1"/>
            </a:solidFill>
          </a:ln>
          <a:effectLst/>
        </c:spPr>
      </c:pivotFmt>
      <c:pivotFmt>
        <c:idx val="990"/>
        <c:spPr>
          <a:solidFill>
            <a:schemeClr val="accent1"/>
          </a:solidFill>
          <a:ln w="19050">
            <a:solidFill>
              <a:schemeClr val="lt1"/>
            </a:solidFill>
          </a:ln>
          <a:effectLst/>
        </c:spPr>
      </c:pivotFmt>
      <c:pivotFmt>
        <c:idx val="991"/>
        <c:spPr>
          <a:solidFill>
            <a:schemeClr val="accent1"/>
          </a:solidFill>
          <a:ln w="19050">
            <a:solidFill>
              <a:schemeClr val="lt1"/>
            </a:solidFill>
          </a:ln>
          <a:effectLst/>
        </c:spPr>
      </c:pivotFmt>
      <c:pivotFmt>
        <c:idx val="992"/>
        <c:spPr>
          <a:solidFill>
            <a:schemeClr val="accent1"/>
          </a:solidFill>
          <a:ln w="19050">
            <a:solidFill>
              <a:schemeClr val="lt1"/>
            </a:solidFill>
          </a:ln>
          <a:effectLst/>
        </c:spPr>
      </c:pivotFmt>
      <c:pivotFmt>
        <c:idx val="993"/>
        <c:spPr>
          <a:solidFill>
            <a:schemeClr val="accent1"/>
          </a:solidFill>
          <a:ln w="19050">
            <a:solidFill>
              <a:schemeClr val="lt1"/>
            </a:solidFill>
          </a:ln>
          <a:effectLst/>
        </c:spPr>
      </c:pivotFmt>
      <c:pivotFmt>
        <c:idx val="994"/>
        <c:spPr>
          <a:solidFill>
            <a:schemeClr val="accent1"/>
          </a:solidFill>
          <a:ln w="19050">
            <a:solidFill>
              <a:schemeClr val="lt1"/>
            </a:solidFill>
          </a:ln>
          <a:effectLst/>
        </c:spPr>
      </c:pivotFmt>
      <c:pivotFmt>
        <c:idx val="995"/>
        <c:spPr>
          <a:solidFill>
            <a:schemeClr val="accent1"/>
          </a:solidFill>
          <a:ln w="19050">
            <a:solidFill>
              <a:schemeClr val="lt1"/>
            </a:solidFill>
          </a:ln>
          <a:effectLst/>
        </c:spPr>
      </c:pivotFmt>
      <c:pivotFmt>
        <c:idx val="996"/>
        <c:spPr>
          <a:solidFill>
            <a:schemeClr val="accent1"/>
          </a:solidFill>
          <a:ln w="19050">
            <a:solidFill>
              <a:schemeClr val="lt1"/>
            </a:solidFill>
          </a:ln>
          <a:effectLst/>
        </c:spPr>
      </c:pivotFmt>
      <c:pivotFmt>
        <c:idx val="997"/>
        <c:spPr>
          <a:solidFill>
            <a:schemeClr val="accent1"/>
          </a:solidFill>
          <a:ln w="19050">
            <a:solidFill>
              <a:schemeClr val="lt1"/>
            </a:solidFill>
          </a:ln>
          <a:effectLst/>
        </c:spPr>
      </c:pivotFmt>
      <c:pivotFmt>
        <c:idx val="998"/>
        <c:spPr>
          <a:solidFill>
            <a:schemeClr val="accent1"/>
          </a:solidFill>
          <a:ln w="19050">
            <a:solidFill>
              <a:schemeClr val="lt1"/>
            </a:solidFill>
          </a:ln>
          <a:effectLst/>
        </c:spPr>
      </c:pivotFmt>
      <c:pivotFmt>
        <c:idx val="999"/>
        <c:spPr>
          <a:solidFill>
            <a:schemeClr val="accent1"/>
          </a:solidFill>
          <a:ln w="19050">
            <a:solidFill>
              <a:schemeClr val="lt1"/>
            </a:solidFill>
          </a:ln>
          <a:effectLst/>
        </c:spPr>
      </c:pivotFmt>
      <c:pivotFmt>
        <c:idx val="1000"/>
        <c:spPr>
          <a:solidFill>
            <a:schemeClr val="accent1"/>
          </a:solidFill>
          <a:ln w="19050">
            <a:solidFill>
              <a:schemeClr val="lt1"/>
            </a:solidFill>
          </a:ln>
          <a:effectLst/>
        </c:spPr>
      </c:pivotFmt>
      <c:pivotFmt>
        <c:idx val="1001"/>
        <c:spPr>
          <a:solidFill>
            <a:schemeClr val="accent1"/>
          </a:solidFill>
          <a:ln w="19050">
            <a:solidFill>
              <a:schemeClr val="lt1"/>
            </a:solidFill>
          </a:ln>
          <a:effectLst/>
        </c:spPr>
      </c:pivotFmt>
      <c:pivotFmt>
        <c:idx val="1002"/>
        <c:spPr>
          <a:solidFill>
            <a:schemeClr val="accent1"/>
          </a:solidFill>
          <a:ln w="19050">
            <a:solidFill>
              <a:schemeClr val="lt1"/>
            </a:solidFill>
          </a:ln>
          <a:effectLst/>
        </c:spPr>
      </c:pivotFmt>
      <c:pivotFmt>
        <c:idx val="1003"/>
        <c:spPr>
          <a:solidFill>
            <a:schemeClr val="accent1"/>
          </a:solidFill>
          <a:ln w="19050">
            <a:solidFill>
              <a:schemeClr val="lt1"/>
            </a:solidFill>
          </a:ln>
          <a:effectLst/>
        </c:spPr>
      </c:pivotFmt>
      <c:pivotFmt>
        <c:idx val="1004"/>
        <c:spPr>
          <a:solidFill>
            <a:schemeClr val="accent1"/>
          </a:solidFill>
          <a:ln w="19050">
            <a:solidFill>
              <a:schemeClr val="lt1"/>
            </a:solidFill>
          </a:ln>
          <a:effectLst/>
        </c:spPr>
      </c:pivotFmt>
      <c:pivotFmt>
        <c:idx val="1005"/>
        <c:spPr>
          <a:solidFill>
            <a:schemeClr val="accent1"/>
          </a:solidFill>
          <a:ln w="19050">
            <a:solidFill>
              <a:schemeClr val="lt1"/>
            </a:solidFill>
          </a:ln>
          <a:effectLst/>
        </c:spPr>
      </c:pivotFmt>
      <c:pivotFmt>
        <c:idx val="1006"/>
        <c:spPr>
          <a:solidFill>
            <a:schemeClr val="accent1"/>
          </a:solidFill>
          <a:ln w="19050">
            <a:solidFill>
              <a:schemeClr val="lt1"/>
            </a:solidFill>
          </a:ln>
          <a:effectLst/>
        </c:spPr>
      </c:pivotFmt>
      <c:pivotFmt>
        <c:idx val="1007"/>
        <c:spPr>
          <a:solidFill>
            <a:schemeClr val="accent1"/>
          </a:solidFill>
          <a:ln w="19050">
            <a:solidFill>
              <a:schemeClr val="lt1"/>
            </a:solidFill>
          </a:ln>
          <a:effectLst/>
        </c:spPr>
      </c:pivotFmt>
      <c:pivotFmt>
        <c:idx val="1008"/>
        <c:spPr>
          <a:solidFill>
            <a:schemeClr val="accent1"/>
          </a:solidFill>
          <a:ln w="19050">
            <a:solidFill>
              <a:schemeClr val="lt1"/>
            </a:solidFill>
          </a:ln>
          <a:effectLst/>
        </c:spPr>
      </c:pivotFmt>
      <c:pivotFmt>
        <c:idx val="1009"/>
        <c:spPr>
          <a:solidFill>
            <a:schemeClr val="accent1"/>
          </a:solidFill>
          <a:ln w="19050">
            <a:solidFill>
              <a:schemeClr val="lt1"/>
            </a:solidFill>
          </a:ln>
          <a:effectLst/>
        </c:spPr>
      </c:pivotFmt>
      <c:pivotFmt>
        <c:idx val="1010"/>
        <c:spPr>
          <a:solidFill>
            <a:schemeClr val="accent1"/>
          </a:solidFill>
          <a:ln w="19050">
            <a:solidFill>
              <a:schemeClr val="lt1"/>
            </a:solidFill>
          </a:ln>
          <a:effectLst/>
        </c:spPr>
      </c:pivotFmt>
      <c:pivotFmt>
        <c:idx val="1011"/>
        <c:spPr>
          <a:solidFill>
            <a:schemeClr val="accent1"/>
          </a:solidFill>
          <a:ln w="19050">
            <a:solidFill>
              <a:schemeClr val="lt1"/>
            </a:solidFill>
          </a:ln>
          <a:effectLst/>
        </c:spPr>
      </c:pivotFmt>
      <c:pivotFmt>
        <c:idx val="1012"/>
        <c:spPr>
          <a:solidFill>
            <a:schemeClr val="accent1"/>
          </a:solidFill>
          <a:ln w="19050">
            <a:solidFill>
              <a:schemeClr val="lt1"/>
            </a:solidFill>
          </a:ln>
          <a:effectLst/>
        </c:spPr>
      </c:pivotFmt>
      <c:pivotFmt>
        <c:idx val="1013"/>
        <c:spPr>
          <a:solidFill>
            <a:schemeClr val="accent1"/>
          </a:solidFill>
          <a:ln w="19050">
            <a:solidFill>
              <a:schemeClr val="lt1"/>
            </a:solidFill>
          </a:ln>
          <a:effectLst/>
        </c:spPr>
      </c:pivotFmt>
      <c:pivotFmt>
        <c:idx val="1014"/>
        <c:spPr>
          <a:solidFill>
            <a:schemeClr val="accent1"/>
          </a:solidFill>
          <a:ln w="19050">
            <a:solidFill>
              <a:schemeClr val="lt1"/>
            </a:solidFill>
          </a:ln>
          <a:effectLst/>
        </c:spPr>
      </c:pivotFmt>
      <c:pivotFmt>
        <c:idx val="1015"/>
        <c:spPr>
          <a:solidFill>
            <a:schemeClr val="accent1"/>
          </a:solidFill>
          <a:ln w="19050">
            <a:solidFill>
              <a:schemeClr val="lt1"/>
            </a:solidFill>
          </a:ln>
          <a:effectLst/>
        </c:spPr>
      </c:pivotFmt>
      <c:pivotFmt>
        <c:idx val="1016"/>
        <c:spPr>
          <a:solidFill>
            <a:schemeClr val="accent1"/>
          </a:solidFill>
          <a:ln w="19050">
            <a:solidFill>
              <a:schemeClr val="lt1"/>
            </a:solidFill>
          </a:ln>
          <a:effectLst/>
        </c:spPr>
      </c:pivotFmt>
      <c:pivotFmt>
        <c:idx val="1017"/>
        <c:spPr>
          <a:solidFill>
            <a:schemeClr val="accent1"/>
          </a:solidFill>
          <a:ln w="19050">
            <a:solidFill>
              <a:schemeClr val="lt1"/>
            </a:solidFill>
          </a:ln>
          <a:effectLst/>
        </c:spPr>
      </c:pivotFmt>
      <c:pivotFmt>
        <c:idx val="1018"/>
        <c:spPr>
          <a:solidFill>
            <a:schemeClr val="accent1"/>
          </a:solidFill>
          <a:ln w="19050">
            <a:solidFill>
              <a:schemeClr val="lt1"/>
            </a:solidFill>
          </a:ln>
          <a:effectLst/>
        </c:spPr>
      </c:pivotFmt>
      <c:pivotFmt>
        <c:idx val="1019"/>
        <c:spPr>
          <a:solidFill>
            <a:schemeClr val="accent1"/>
          </a:solidFill>
          <a:ln w="19050">
            <a:solidFill>
              <a:schemeClr val="lt1"/>
            </a:solidFill>
          </a:ln>
          <a:effectLst/>
        </c:spPr>
      </c:pivotFmt>
      <c:pivotFmt>
        <c:idx val="1020"/>
        <c:spPr>
          <a:solidFill>
            <a:schemeClr val="accent1"/>
          </a:solidFill>
          <a:ln w="19050">
            <a:solidFill>
              <a:schemeClr val="lt1"/>
            </a:solidFill>
          </a:ln>
          <a:effectLst/>
        </c:spPr>
      </c:pivotFmt>
      <c:pivotFmt>
        <c:idx val="1021"/>
        <c:spPr>
          <a:solidFill>
            <a:schemeClr val="accent1"/>
          </a:solidFill>
          <a:ln w="19050">
            <a:solidFill>
              <a:schemeClr val="lt1"/>
            </a:solidFill>
          </a:ln>
          <a:effectLst/>
        </c:spPr>
      </c:pivotFmt>
      <c:pivotFmt>
        <c:idx val="1022"/>
        <c:spPr>
          <a:solidFill>
            <a:schemeClr val="accent1"/>
          </a:solidFill>
          <a:ln w="19050">
            <a:solidFill>
              <a:schemeClr val="lt1"/>
            </a:solidFill>
          </a:ln>
          <a:effectLst/>
        </c:spPr>
      </c:pivotFmt>
      <c:pivotFmt>
        <c:idx val="1023"/>
        <c:spPr>
          <a:solidFill>
            <a:schemeClr val="accent1"/>
          </a:solidFill>
          <a:ln w="19050">
            <a:solidFill>
              <a:schemeClr val="lt1"/>
            </a:solidFill>
          </a:ln>
          <a:effectLst/>
        </c:spPr>
      </c:pivotFmt>
      <c:pivotFmt>
        <c:idx val="1024"/>
        <c:spPr>
          <a:solidFill>
            <a:schemeClr val="accent1"/>
          </a:solidFill>
          <a:ln w="19050">
            <a:solidFill>
              <a:schemeClr val="lt1"/>
            </a:solidFill>
          </a:ln>
          <a:effectLst/>
        </c:spPr>
      </c:pivotFmt>
      <c:pivotFmt>
        <c:idx val="1025"/>
        <c:spPr>
          <a:solidFill>
            <a:schemeClr val="accent1"/>
          </a:solidFill>
          <a:ln w="19050">
            <a:solidFill>
              <a:schemeClr val="lt1"/>
            </a:solidFill>
          </a:ln>
          <a:effectLst/>
        </c:spPr>
      </c:pivotFmt>
      <c:pivotFmt>
        <c:idx val="1026"/>
        <c:spPr>
          <a:solidFill>
            <a:schemeClr val="accent1"/>
          </a:solidFill>
          <a:ln w="19050">
            <a:solidFill>
              <a:schemeClr val="lt1"/>
            </a:solidFill>
          </a:ln>
          <a:effectLst/>
        </c:spPr>
      </c:pivotFmt>
      <c:pivotFmt>
        <c:idx val="1027"/>
        <c:spPr>
          <a:solidFill>
            <a:schemeClr val="accent1"/>
          </a:solidFill>
          <a:ln w="19050">
            <a:solidFill>
              <a:schemeClr val="lt1"/>
            </a:solidFill>
          </a:ln>
          <a:effectLst/>
        </c:spPr>
      </c:pivotFmt>
      <c:pivotFmt>
        <c:idx val="1028"/>
        <c:spPr>
          <a:solidFill>
            <a:schemeClr val="accent1"/>
          </a:solidFill>
          <a:ln w="19050">
            <a:solidFill>
              <a:schemeClr val="lt1"/>
            </a:solidFill>
          </a:ln>
          <a:effectLst/>
        </c:spPr>
      </c:pivotFmt>
      <c:pivotFmt>
        <c:idx val="1029"/>
        <c:spPr>
          <a:solidFill>
            <a:schemeClr val="accent1"/>
          </a:solidFill>
          <a:ln w="19050">
            <a:solidFill>
              <a:schemeClr val="lt1"/>
            </a:solidFill>
          </a:ln>
          <a:effectLst/>
        </c:spPr>
      </c:pivotFmt>
      <c:pivotFmt>
        <c:idx val="1030"/>
        <c:spPr>
          <a:solidFill>
            <a:schemeClr val="accent1"/>
          </a:solidFill>
          <a:ln w="19050">
            <a:solidFill>
              <a:schemeClr val="lt1"/>
            </a:solidFill>
          </a:ln>
          <a:effectLst/>
        </c:spPr>
      </c:pivotFmt>
      <c:pivotFmt>
        <c:idx val="1031"/>
        <c:spPr>
          <a:solidFill>
            <a:schemeClr val="accent1"/>
          </a:solidFill>
          <a:ln w="19050">
            <a:solidFill>
              <a:schemeClr val="lt1"/>
            </a:solidFill>
          </a:ln>
          <a:effectLst/>
        </c:spPr>
      </c:pivotFmt>
      <c:pivotFmt>
        <c:idx val="1032"/>
        <c:spPr>
          <a:solidFill>
            <a:schemeClr val="accent1"/>
          </a:solidFill>
          <a:ln w="19050">
            <a:solidFill>
              <a:schemeClr val="lt1"/>
            </a:solidFill>
          </a:ln>
          <a:effectLst/>
        </c:spPr>
      </c:pivotFmt>
      <c:pivotFmt>
        <c:idx val="1033"/>
        <c:spPr>
          <a:solidFill>
            <a:schemeClr val="accent1"/>
          </a:solidFill>
          <a:ln w="19050">
            <a:solidFill>
              <a:schemeClr val="lt1"/>
            </a:solidFill>
          </a:ln>
          <a:effectLst/>
        </c:spPr>
      </c:pivotFmt>
      <c:pivotFmt>
        <c:idx val="1034"/>
        <c:spPr>
          <a:solidFill>
            <a:schemeClr val="accent1"/>
          </a:solidFill>
          <a:ln w="19050">
            <a:solidFill>
              <a:schemeClr val="lt1"/>
            </a:solidFill>
          </a:ln>
          <a:effectLst/>
        </c:spPr>
      </c:pivotFmt>
      <c:pivotFmt>
        <c:idx val="1035"/>
        <c:spPr>
          <a:solidFill>
            <a:schemeClr val="accent1"/>
          </a:solidFill>
          <a:ln w="19050">
            <a:solidFill>
              <a:schemeClr val="lt1"/>
            </a:solidFill>
          </a:ln>
          <a:effectLst/>
        </c:spPr>
      </c:pivotFmt>
      <c:pivotFmt>
        <c:idx val="1036"/>
        <c:spPr>
          <a:solidFill>
            <a:schemeClr val="accent1"/>
          </a:solidFill>
          <a:ln w="19050">
            <a:solidFill>
              <a:schemeClr val="lt1"/>
            </a:solidFill>
          </a:ln>
          <a:effectLst/>
        </c:spPr>
      </c:pivotFmt>
      <c:pivotFmt>
        <c:idx val="1037"/>
        <c:spPr>
          <a:solidFill>
            <a:schemeClr val="accent1"/>
          </a:solidFill>
          <a:ln w="19050">
            <a:solidFill>
              <a:schemeClr val="lt1"/>
            </a:solidFill>
          </a:ln>
          <a:effectLst/>
        </c:spPr>
      </c:pivotFmt>
      <c:pivotFmt>
        <c:idx val="1038"/>
        <c:spPr>
          <a:solidFill>
            <a:schemeClr val="accent1"/>
          </a:solidFill>
          <a:ln w="19050">
            <a:solidFill>
              <a:schemeClr val="lt1"/>
            </a:solidFill>
          </a:ln>
          <a:effectLst/>
        </c:spPr>
      </c:pivotFmt>
      <c:pivotFmt>
        <c:idx val="1039"/>
        <c:spPr>
          <a:solidFill>
            <a:schemeClr val="accent1"/>
          </a:solidFill>
          <a:ln w="19050">
            <a:solidFill>
              <a:schemeClr val="lt1"/>
            </a:solidFill>
          </a:ln>
          <a:effectLst/>
        </c:spPr>
      </c:pivotFmt>
      <c:pivotFmt>
        <c:idx val="1040"/>
        <c:spPr>
          <a:solidFill>
            <a:schemeClr val="accent1"/>
          </a:solidFill>
          <a:ln w="19050">
            <a:solidFill>
              <a:schemeClr val="lt1"/>
            </a:solidFill>
          </a:ln>
          <a:effectLst/>
        </c:spPr>
      </c:pivotFmt>
      <c:pivotFmt>
        <c:idx val="1041"/>
        <c:spPr>
          <a:solidFill>
            <a:schemeClr val="accent1"/>
          </a:solidFill>
          <a:ln w="19050">
            <a:solidFill>
              <a:schemeClr val="lt1"/>
            </a:solidFill>
          </a:ln>
          <a:effectLst/>
        </c:spPr>
      </c:pivotFmt>
      <c:pivotFmt>
        <c:idx val="1042"/>
        <c:spPr>
          <a:solidFill>
            <a:schemeClr val="accent1"/>
          </a:solidFill>
          <a:ln w="19050">
            <a:solidFill>
              <a:schemeClr val="lt1"/>
            </a:solidFill>
          </a:ln>
          <a:effectLst/>
        </c:spPr>
      </c:pivotFmt>
      <c:pivotFmt>
        <c:idx val="1043"/>
        <c:spPr>
          <a:solidFill>
            <a:schemeClr val="accent1"/>
          </a:solidFill>
          <a:ln w="19050">
            <a:solidFill>
              <a:schemeClr val="lt1"/>
            </a:solidFill>
          </a:ln>
          <a:effectLst/>
        </c:spPr>
      </c:pivotFmt>
      <c:pivotFmt>
        <c:idx val="1044"/>
        <c:spPr>
          <a:solidFill>
            <a:schemeClr val="accent1"/>
          </a:solidFill>
          <a:ln w="19050">
            <a:solidFill>
              <a:schemeClr val="lt1"/>
            </a:solidFill>
          </a:ln>
          <a:effectLst/>
        </c:spPr>
      </c:pivotFmt>
      <c:pivotFmt>
        <c:idx val="1045"/>
        <c:spPr>
          <a:solidFill>
            <a:schemeClr val="accent1"/>
          </a:solidFill>
          <a:ln w="19050">
            <a:solidFill>
              <a:schemeClr val="lt1"/>
            </a:solidFill>
          </a:ln>
          <a:effectLst/>
        </c:spPr>
      </c:pivotFmt>
      <c:pivotFmt>
        <c:idx val="1046"/>
        <c:spPr>
          <a:solidFill>
            <a:schemeClr val="accent1"/>
          </a:solidFill>
          <a:ln w="19050">
            <a:solidFill>
              <a:schemeClr val="lt1"/>
            </a:solidFill>
          </a:ln>
          <a:effectLst/>
        </c:spPr>
      </c:pivotFmt>
      <c:pivotFmt>
        <c:idx val="1047"/>
        <c:spPr>
          <a:solidFill>
            <a:schemeClr val="accent1"/>
          </a:solidFill>
          <a:ln w="19050">
            <a:solidFill>
              <a:schemeClr val="lt1"/>
            </a:solidFill>
          </a:ln>
          <a:effectLst/>
        </c:spPr>
      </c:pivotFmt>
      <c:pivotFmt>
        <c:idx val="1048"/>
        <c:spPr>
          <a:solidFill>
            <a:schemeClr val="accent1"/>
          </a:solidFill>
          <a:ln w="19050">
            <a:solidFill>
              <a:schemeClr val="lt1"/>
            </a:solidFill>
          </a:ln>
          <a:effectLst/>
        </c:spPr>
      </c:pivotFmt>
      <c:pivotFmt>
        <c:idx val="1049"/>
        <c:spPr>
          <a:solidFill>
            <a:schemeClr val="accent1"/>
          </a:solidFill>
          <a:ln w="19050">
            <a:solidFill>
              <a:schemeClr val="lt1"/>
            </a:solidFill>
          </a:ln>
          <a:effectLst/>
        </c:spPr>
      </c:pivotFmt>
      <c:pivotFmt>
        <c:idx val="1050"/>
        <c:spPr>
          <a:solidFill>
            <a:schemeClr val="accent1"/>
          </a:solidFill>
          <a:ln w="19050">
            <a:solidFill>
              <a:schemeClr val="lt1"/>
            </a:solidFill>
          </a:ln>
          <a:effectLst/>
        </c:spPr>
      </c:pivotFmt>
      <c:pivotFmt>
        <c:idx val="1051"/>
        <c:spPr>
          <a:solidFill>
            <a:schemeClr val="accent1"/>
          </a:solidFill>
          <a:ln w="19050">
            <a:solidFill>
              <a:schemeClr val="lt1"/>
            </a:solidFill>
          </a:ln>
          <a:effectLst/>
        </c:spPr>
      </c:pivotFmt>
      <c:pivotFmt>
        <c:idx val="1052"/>
        <c:spPr>
          <a:solidFill>
            <a:schemeClr val="accent1"/>
          </a:solidFill>
          <a:ln w="19050">
            <a:solidFill>
              <a:schemeClr val="lt1"/>
            </a:solidFill>
          </a:ln>
          <a:effectLst/>
        </c:spPr>
      </c:pivotFmt>
      <c:pivotFmt>
        <c:idx val="1053"/>
        <c:spPr>
          <a:solidFill>
            <a:schemeClr val="accent1"/>
          </a:solidFill>
          <a:ln w="19050">
            <a:solidFill>
              <a:schemeClr val="lt1"/>
            </a:solidFill>
          </a:ln>
          <a:effectLst/>
        </c:spPr>
      </c:pivotFmt>
      <c:pivotFmt>
        <c:idx val="1054"/>
        <c:spPr>
          <a:solidFill>
            <a:schemeClr val="accent1"/>
          </a:solidFill>
          <a:ln w="19050">
            <a:solidFill>
              <a:schemeClr val="lt1"/>
            </a:solidFill>
          </a:ln>
          <a:effectLst/>
        </c:spPr>
      </c:pivotFmt>
      <c:pivotFmt>
        <c:idx val="1055"/>
        <c:spPr>
          <a:solidFill>
            <a:schemeClr val="accent1"/>
          </a:solidFill>
          <a:ln w="19050">
            <a:solidFill>
              <a:schemeClr val="lt1"/>
            </a:solidFill>
          </a:ln>
          <a:effectLst/>
        </c:spPr>
      </c:pivotFmt>
      <c:pivotFmt>
        <c:idx val="1056"/>
        <c:spPr>
          <a:solidFill>
            <a:schemeClr val="accent1"/>
          </a:solidFill>
          <a:ln w="19050">
            <a:solidFill>
              <a:schemeClr val="lt1"/>
            </a:solidFill>
          </a:ln>
          <a:effectLst/>
        </c:spPr>
      </c:pivotFmt>
      <c:pivotFmt>
        <c:idx val="1057"/>
        <c:spPr>
          <a:solidFill>
            <a:schemeClr val="accent1"/>
          </a:solidFill>
          <a:ln w="19050">
            <a:solidFill>
              <a:schemeClr val="lt1"/>
            </a:solidFill>
          </a:ln>
          <a:effectLst/>
        </c:spPr>
      </c:pivotFmt>
      <c:pivotFmt>
        <c:idx val="1058"/>
        <c:spPr>
          <a:solidFill>
            <a:schemeClr val="accent1"/>
          </a:solidFill>
          <a:ln w="19050">
            <a:solidFill>
              <a:schemeClr val="lt1"/>
            </a:solidFill>
          </a:ln>
          <a:effectLst/>
        </c:spPr>
      </c:pivotFmt>
      <c:pivotFmt>
        <c:idx val="1059"/>
        <c:spPr>
          <a:solidFill>
            <a:schemeClr val="accent1"/>
          </a:solidFill>
          <a:ln w="19050">
            <a:solidFill>
              <a:schemeClr val="lt1"/>
            </a:solidFill>
          </a:ln>
          <a:effectLst/>
        </c:spPr>
      </c:pivotFmt>
      <c:pivotFmt>
        <c:idx val="1060"/>
        <c:spPr>
          <a:solidFill>
            <a:schemeClr val="accent1"/>
          </a:solidFill>
          <a:ln w="19050">
            <a:solidFill>
              <a:schemeClr val="lt1"/>
            </a:solidFill>
          </a:ln>
          <a:effectLst/>
        </c:spPr>
      </c:pivotFmt>
      <c:pivotFmt>
        <c:idx val="1061"/>
        <c:spPr>
          <a:solidFill>
            <a:schemeClr val="accent1"/>
          </a:solidFill>
          <a:ln w="19050">
            <a:solidFill>
              <a:schemeClr val="lt1"/>
            </a:solidFill>
          </a:ln>
          <a:effectLst/>
        </c:spPr>
      </c:pivotFmt>
      <c:pivotFmt>
        <c:idx val="1062"/>
        <c:spPr>
          <a:solidFill>
            <a:schemeClr val="accent1"/>
          </a:solidFill>
          <a:ln w="19050">
            <a:solidFill>
              <a:schemeClr val="lt1"/>
            </a:solidFill>
          </a:ln>
          <a:effectLst/>
        </c:spPr>
      </c:pivotFmt>
      <c:pivotFmt>
        <c:idx val="1063"/>
        <c:spPr>
          <a:solidFill>
            <a:schemeClr val="accent1"/>
          </a:solidFill>
          <a:ln w="19050">
            <a:solidFill>
              <a:schemeClr val="lt1"/>
            </a:solidFill>
          </a:ln>
          <a:effectLst/>
        </c:spPr>
      </c:pivotFmt>
      <c:pivotFmt>
        <c:idx val="1064"/>
        <c:spPr>
          <a:solidFill>
            <a:schemeClr val="accent1"/>
          </a:solidFill>
          <a:ln w="19050">
            <a:solidFill>
              <a:schemeClr val="lt1"/>
            </a:solidFill>
          </a:ln>
          <a:effectLst/>
        </c:spPr>
      </c:pivotFmt>
      <c:pivotFmt>
        <c:idx val="1065"/>
        <c:spPr>
          <a:solidFill>
            <a:schemeClr val="accent1"/>
          </a:solidFill>
          <a:ln w="19050">
            <a:solidFill>
              <a:schemeClr val="lt1"/>
            </a:solidFill>
          </a:ln>
          <a:effectLst/>
        </c:spPr>
      </c:pivotFmt>
      <c:pivotFmt>
        <c:idx val="1066"/>
        <c:spPr>
          <a:solidFill>
            <a:schemeClr val="accent1"/>
          </a:solidFill>
          <a:ln w="19050">
            <a:solidFill>
              <a:schemeClr val="lt1"/>
            </a:solidFill>
          </a:ln>
          <a:effectLst/>
        </c:spPr>
      </c:pivotFmt>
      <c:pivotFmt>
        <c:idx val="1067"/>
        <c:spPr>
          <a:solidFill>
            <a:schemeClr val="accent1"/>
          </a:solidFill>
          <a:ln w="19050">
            <a:solidFill>
              <a:schemeClr val="lt1"/>
            </a:solidFill>
          </a:ln>
          <a:effectLst/>
        </c:spPr>
      </c:pivotFmt>
      <c:pivotFmt>
        <c:idx val="1068"/>
        <c:spPr>
          <a:solidFill>
            <a:schemeClr val="accent1"/>
          </a:solidFill>
          <a:ln w="19050">
            <a:solidFill>
              <a:schemeClr val="lt1"/>
            </a:solidFill>
          </a:ln>
          <a:effectLst/>
        </c:spPr>
      </c:pivotFmt>
      <c:pivotFmt>
        <c:idx val="1069"/>
        <c:spPr>
          <a:solidFill>
            <a:schemeClr val="accent1"/>
          </a:solidFill>
          <a:ln w="19050">
            <a:solidFill>
              <a:schemeClr val="lt1"/>
            </a:solidFill>
          </a:ln>
          <a:effectLst/>
        </c:spPr>
      </c:pivotFmt>
      <c:pivotFmt>
        <c:idx val="1070"/>
        <c:spPr>
          <a:solidFill>
            <a:schemeClr val="accent1"/>
          </a:solidFill>
          <a:ln w="19050">
            <a:solidFill>
              <a:schemeClr val="lt1"/>
            </a:solidFill>
          </a:ln>
          <a:effectLst/>
        </c:spPr>
      </c:pivotFmt>
      <c:pivotFmt>
        <c:idx val="1071"/>
        <c:spPr>
          <a:solidFill>
            <a:schemeClr val="accent1"/>
          </a:solidFill>
          <a:ln w="19050">
            <a:solidFill>
              <a:schemeClr val="lt1"/>
            </a:solidFill>
          </a:ln>
          <a:effectLst/>
        </c:spPr>
      </c:pivotFmt>
      <c:pivotFmt>
        <c:idx val="1072"/>
        <c:spPr>
          <a:solidFill>
            <a:schemeClr val="accent1"/>
          </a:solidFill>
          <a:ln w="19050">
            <a:solidFill>
              <a:schemeClr val="lt1"/>
            </a:solidFill>
          </a:ln>
          <a:effectLst/>
        </c:spPr>
      </c:pivotFmt>
      <c:pivotFmt>
        <c:idx val="1073"/>
        <c:spPr>
          <a:solidFill>
            <a:schemeClr val="accent1"/>
          </a:solidFill>
          <a:ln w="19050">
            <a:solidFill>
              <a:schemeClr val="lt1"/>
            </a:solidFill>
          </a:ln>
          <a:effectLst/>
        </c:spPr>
      </c:pivotFmt>
      <c:pivotFmt>
        <c:idx val="1074"/>
        <c:spPr>
          <a:solidFill>
            <a:schemeClr val="accent1"/>
          </a:solidFill>
          <a:ln w="19050">
            <a:solidFill>
              <a:schemeClr val="lt1"/>
            </a:solidFill>
          </a:ln>
          <a:effectLst/>
        </c:spPr>
      </c:pivotFmt>
      <c:pivotFmt>
        <c:idx val="1075"/>
        <c:spPr>
          <a:solidFill>
            <a:schemeClr val="accent1"/>
          </a:solidFill>
          <a:ln w="19050">
            <a:solidFill>
              <a:schemeClr val="lt1"/>
            </a:solidFill>
          </a:ln>
          <a:effectLst/>
        </c:spPr>
      </c:pivotFmt>
      <c:pivotFmt>
        <c:idx val="1076"/>
        <c:spPr>
          <a:solidFill>
            <a:schemeClr val="accent1"/>
          </a:solidFill>
          <a:ln w="19050">
            <a:solidFill>
              <a:schemeClr val="lt1"/>
            </a:solidFill>
          </a:ln>
          <a:effectLst/>
        </c:spPr>
      </c:pivotFmt>
      <c:pivotFmt>
        <c:idx val="1077"/>
        <c:spPr>
          <a:solidFill>
            <a:schemeClr val="accent1"/>
          </a:solidFill>
          <a:ln w="19050">
            <a:solidFill>
              <a:schemeClr val="lt1"/>
            </a:solidFill>
          </a:ln>
          <a:effectLst/>
        </c:spPr>
      </c:pivotFmt>
      <c:pivotFmt>
        <c:idx val="1078"/>
        <c:spPr>
          <a:solidFill>
            <a:schemeClr val="accent1"/>
          </a:solidFill>
          <a:ln w="19050">
            <a:solidFill>
              <a:schemeClr val="lt1"/>
            </a:solidFill>
          </a:ln>
          <a:effectLst/>
        </c:spPr>
      </c:pivotFmt>
      <c:pivotFmt>
        <c:idx val="1079"/>
        <c:spPr>
          <a:solidFill>
            <a:schemeClr val="accent1"/>
          </a:solidFill>
          <a:ln w="19050">
            <a:solidFill>
              <a:schemeClr val="lt1"/>
            </a:solidFill>
          </a:ln>
          <a:effectLst/>
        </c:spPr>
      </c:pivotFmt>
      <c:pivotFmt>
        <c:idx val="1080"/>
        <c:spPr>
          <a:solidFill>
            <a:schemeClr val="accent1"/>
          </a:solidFill>
          <a:ln w="19050">
            <a:solidFill>
              <a:schemeClr val="lt1"/>
            </a:solidFill>
          </a:ln>
          <a:effectLst/>
        </c:spPr>
      </c:pivotFmt>
      <c:pivotFmt>
        <c:idx val="1081"/>
        <c:spPr>
          <a:solidFill>
            <a:schemeClr val="accent1"/>
          </a:solidFill>
          <a:ln w="19050">
            <a:solidFill>
              <a:schemeClr val="lt1"/>
            </a:solidFill>
          </a:ln>
          <a:effectLst/>
        </c:spPr>
      </c:pivotFmt>
      <c:pivotFmt>
        <c:idx val="1082"/>
        <c:spPr>
          <a:solidFill>
            <a:schemeClr val="accent1"/>
          </a:solidFill>
          <a:ln w="19050">
            <a:solidFill>
              <a:schemeClr val="lt1"/>
            </a:solidFill>
          </a:ln>
          <a:effectLst/>
        </c:spPr>
      </c:pivotFmt>
      <c:pivotFmt>
        <c:idx val="1083"/>
        <c:spPr>
          <a:solidFill>
            <a:schemeClr val="accent1"/>
          </a:solidFill>
          <a:ln w="19050">
            <a:solidFill>
              <a:schemeClr val="lt1"/>
            </a:solidFill>
          </a:ln>
          <a:effectLst/>
        </c:spPr>
      </c:pivotFmt>
      <c:pivotFmt>
        <c:idx val="1084"/>
        <c:spPr>
          <a:solidFill>
            <a:schemeClr val="accent1"/>
          </a:solidFill>
          <a:ln w="19050">
            <a:solidFill>
              <a:schemeClr val="lt1"/>
            </a:solidFill>
          </a:ln>
          <a:effectLst/>
        </c:spPr>
      </c:pivotFmt>
      <c:pivotFmt>
        <c:idx val="1085"/>
        <c:spPr>
          <a:solidFill>
            <a:schemeClr val="accent1"/>
          </a:solidFill>
          <a:ln w="19050">
            <a:solidFill>
              <a:schemeClr val="lt1"/>
            </a:solidFill>
          </a:ln>
          <a:effectLst/>
        </c:spPr>
      </c:pivotFmt>
      <c:pivotFmt>
        <c:idx val="1086"/>
        <c:spPr>
          <a:solidFill>
            <a:schemeClr val="accent1"/>
          </a:solidFill>
          <a:ln w="19050">
            <a:solidFill>
              <a:schemeClr val="lt1"/>
            </a:solidFill>
          </a:ln>
          <a:effectLst/>
        </c:spPr>
      </c:pivotFmt>
      <c:pivotFmt>
        <c:idx val="1087"/>
        <c:spPr>
          <a:solidFill>
            <a:schemeClr val="accent1"/>
          </a:solidFill>
          <a:ln w="19050">
            <a:solidFill>
              <a:schemeClr val="lt1"/>
            </a:solidFill>
          </a:ln>
          <a:effectLst/>
        </c:spPr>
      </c:pivotFmt>
      <c:pivotFmt>
        <c:idx val="1088"/>
        <c:spPr>
          <a:solidFill>
            <a:schemeClr val="accent1"/>
          </a:solidFill>
          <a:ln w="19050">
            <a:solidFill>
              <a:schemeClr val="lt1"/>
            </a:solidFill>
          </a:ln>
          <a:effectLst/>
        </c:spPr>
      </c:pivotFmt>
      <c:pivotFmt>
        <c:idx val="1089"/>
        <c:spPr>
          <a:solidFill>
            <a:schemeClr val="accent1"/>
          </a:solidFill>
          <a:ln w="19050">
            <a:solidFill>
              <a:schemeClr val="lt1"/>
            </a:solidFill>
          </a:ln>
          <a:effectLst/>
        </c:spPr>
      </c:pivotFmt>
      <c:pivotFmt>
        <c:idx val="1090"/>
        <c:spPr>
          <a:solidFill>
            <a:schemeClr val="accent1"/>
          </a:solidFill>
          <a:ln w="19050">
            <a:solidFill>
              <a:schemeClr val="lt1"/>
            </a:solidFill>
          </a:ln>
          <a:effectLst/>
        </c:spPr>
      </c:pivotFmt>
      <c:pivotFmt>
        <c:idx val="1091"/>
        <c:spPr>
          <a:solidFill>
            <a:schemeClr val="accent1"/>
          </a:solidFill>
          <a:ln w="19050">
            <a:solidFill>
              <a:schemeClr val="lt1"/>
            </a:solidFill>
          </a:ln>
          <a:effectLst/>
        </c:spPr>
      </c:pivotFmt>
      <c:pivotFmt>
        <c:idx val="1092"/>
        <c:spPr>
          <a:solidFill>
            <a:schemeClr val="accent1"/>
          </a:solidFill>
          <a:ln w="19050">
            <a:solidFill>
              <a:schemeClr val="lt1"/>
            </a:solidFill>
          </a:ln>
          <a:effectLst/>
        </c:spPr>
      </c:pivotFmt>
      <c:pivotFmt>
        <c:idx val="1093"/>
        <c:spPr>
          <a:solidFill>
            <a:schemeClr val="accent1"/>
          </a:solidFill>
          <a:ln w="19050">
            <a:solidFill>
              <a:schemeClr val="lt1"/>
            </a:solidFill>
          </a:ln>
          <a:effectLst/>
        </c:spPr>
      </c:pivotFmt>
      <c:pivotFmt>
        <c:idx val="1094"/>
        <c:spPr>
          <a:solidFill>
            <a:schemeClr val="accent1"/>
          </a:solidFill>
          <a:ln w="19050">
            <a:solidFill>
              <a:schemeClr val="lt1"/>
            </a:solidFill>
          </a:ln>
          <a:effectLst/>
        </c:spPr>
      </c:pivotFmt>
      <c:pivotFmt>
        <c:idx val="1095"/>
        <c:spPr>
          <a:solidFill>
            <a:schemeClr val="accent1"/>
          </a:solidFill>
          <a:ln w="19050">
            <a:solidFill>
              <a:schemeClr val="lt1"/>
            </a:solidFill>
          </a:ln>
          <a:effectLst/>
        </c:spPr>
      </c:pivotFmt>
      <c:pivotFmt>
        <c:idx val="1096"/>
        <c:spPr>
          <a:solidFill>
            <a:schemeClr val="accent1"/>
          </a:solidFill>
          <a:ln w="19050">
            <a:solidFill>
              <a:schemeClr val="lt1"/>
            </a:solidFill>
          </a:ln>
          <a:effectLst/>
        </c:spPr>
      </c:pivotFmt>
      <c:pivotFmt>
        <c:idx val="1097"/>
        <c:spPr>
          <a:solidFill>
            <a:schemeClr val="accent1"/>
          </a:solidFill>
          <a:ln w="19050">
            <a:solidFill>
              <a:schemeClr val="lt1"/>
            </a:solidFill>
          </a:ln>
          <a:effectLst/>
        </c:spPr>
      </c:pivotFmt>
      <c:pivotFmt>
        <c:idx val="1098"/>
        <c:spPr>
          <a:solidFill>
            <a:schemeClr val="accent1"/>
          </a:solidFill>
          <a:ln w="19050">
            <a:solidFill>
              <a:schemeClr val="lt1"/>
            </a:solidFill>
          </a:ln>
          <a:effectLst/>
        </c:spPr>
      </c:pivotFmt>
      <c:pivotFmt>
        <c:idx val="1099"/>
        <c:spPr>
          <a:solidFill>
            <a:schemeClr val="accent1"/>
          </a:solidFill>
          <a:ln w="19050">
            <a:solidFill>
              <a:schemeClr val="lt1"/>
            </a:solidFill>
          </a:ln>
          <a:effectLst/>
        </c:spPr>
      </c:pivotFmt>
      <c:pivotFmt>
        <c:idx val="1100"/>
        <c:spPr>
          <a:solidFill>
            <a:schemeClr val="accent1"/>
          </a:solidFill>
          <a:ln w="19050">
            <a:solidFill>
              <a:schemeClr val="lt1"/>
            </a:solidFill>
          </a:ln>
          <a:effectLst/>
        </c:spPr>
      </c:pivotFmt>
      <c:pivotFmt>
        <c:idx val="1101"/>
        <c:spPr>
          <a:solidFill>
            <a:schemeClr val="accent1"/>
          </a:solidFill>
          <a:ln w="19050">
            <a:solidFill>
              <a:schemeClr val="lt1"/>
            </a:solidFill>
          </a:ln>
          <a:effectLst/>
        </c:spPr>
      </c:pivotFmt>
      <c:pivotFmt>
        <c:idx val="1102"/>
        <c:spPr>
          <a:solidFill>
            <a:schemeClr val="accent1"/>
          </a:solidFill>
          <a:ln w="19050">
            <a:solidFill>
              <a:schemeClr val="lt1"/>
            </a:solidFill>
          </a:ln>
          <a:effectLst/>
        </c:spPr>
      </c:pivotFmt>
      <c:pivotFmt>
        <c:idx val="1103"/>
        <c:spPr>
          <a:solidFill>
            <a:schemeClr val="accent1"/>
          </a:solidFill>
          <a:ln w="19050">
            <a:solidFill>
              <a:schemeClr val="lt1"/>
            </a:solidFill>
          </a:ln>
          <a:effectLst/>
        </c:spPr>
      </c:pivotFmt>
      <c:pivotFmt>
        <c:idx val="1104"/>
        <c:spPr>
          <a:solidFill>
            <a:schemeClr val="accent1"/>
          </a:solidFill>
          <a:ln w="19050">
            <a:solidFill>
              <a:schemeClr val="lt1"/>
            </a:solidFill>
          </a:ln>
          <a:effectLst/>
        </c:spPr>
      </c:pivotFmt>
      <c:pivotFmt>
        <c:idx val="1105"/>
        <c:spPr>
          <a:solidFill>
            <a:schemeClr val="accent1"/>
          </a:solidFill>
          <a:ln w="19050">
            <a:solidFill>
              <a:schemeClr val="lt1"/>
            </a:solidFill>
          </a:ln>
          <a:effectLst/>
        </c:spPr>
      </c:pivotFmt>
      <c:pivotFmt>
        <c:idx val="1106"/>
        <c:spPr>
          <a:solidFill>
            <a:schemeClr val="accent1"/>
          </a:solidFill>
          <a:ln w="19050">
            <a:solidFill>
              <a:schemeClr val="lt1"/>
            </a:solidFill>
          </a:ln>
          <a:effectLst/>
        </c:spPr>
      </c:pivotFmt>
    </c:pivotFmts>
    <c:plotArea>
      <c:layout/>
      <c:pieChart>
        <c:varyColors val="1"/>
        <c:ser>
          <c:idx val="0"/>
          <c:order val="0"/>
          <c:tx>
            <c:strRef>
              <c:f>Sheet7!$B$3</c:f>
              <c:strCache>
                <c:ptCount val="1"/>
                <c:pt idx="0">
                  <c:v>Total</c:v>
                </c:pt>
              </c:strCache>
            </c:strRef>
          </c:tx>
          <c:explosion val="23"/>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550-4BBA-9999-EF7C156A6B0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550-4BBA-9999-EF7C156A6B0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550-4BBA-9999-EF7C156A6B0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550-4BBA-9999-EF7C156A6B0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550-4BBA-9999-EF7C156A6B0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550-4BBA-9999-EF7C156A6B0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550-4BBA-9999-EF7C156A6B08}"/>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550-4BBA-9999-EF7C156A6B08}"/>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550-4BBA-9999-EF7C156A6B08}"/>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550-4BBA-9999-EF7C156A6B08}"/>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3550-4BBA-9999-EF7C156A6B08}"/>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3550-4BBA-9999-EF7C156A6B08}"/>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3550-4BBA-9999-EF7C156A6B08}"/>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3550-4BBA-9999-EF7C156A6B08}"/>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3550-4BBA-9999-EF7C156A6B08}"/>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3550-4BBA-9999-EF7C156A6B08}"/>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3550-4BBA-9999-EF7C156A6B08}"/>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3550-4BBA-9999-EF7C156A6B08}"/>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3550-4BBA-9999-EF7C156A6B08}"/>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3550-4BBA-9999-EF7C156A6B08}"/>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3550-4BBA-9999-EF7C156A6B08}"/>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3550-4BBA-9999-EF7C156A6B08}"/>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3550-4BBA-9999-EF7C156A6B08}"/>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3550-4BBA-9999-EF7C156A6B08}"/>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3550-4BBA-9999-EF7C156A6B08}"/>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3550-4BBA-9999-EF7C156A6B08}"/>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3550-4BBA-9999-EF7C156A6B08}"/>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3550-4BBA-9999-EF7C156A6B08}"/>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3550-4BBA-9999-EF7C156A6B08}"/>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3550-4BBA-9999-EF7C156A6B08}"/>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3550-4BBA-9999-EF7C156A6B08}"/>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3550-4BBA-9999-EF7C156A6B08}"/>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3550-4BBA-9999-EF7C156A6B08}"/>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3550-4BBA-9999-EF7C156A6B08}"/>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3550-4BBA-9999-EF7C156A6B08}"/>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3550-4BBA-9999-EF7C156A6B08}"/>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3550-4BBA-9999-EF7C156A6B08}"/>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3550-4BBA-9999-EF7C156A6B08}"/>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3550-4BBA-9999-EF7C156A6B08}"/>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3550-4BBA-9999-EF7C156A6B08}"/>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3550-4BBA-9999-EF7C156A6B08}"/>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3550-4BBA-9999-EF7C156A6B08}"/>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3550-4BBA-9999-EF7C156A6B08}"/>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3550-4BBA-9999-EF7C156A6B08}"/>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3550-4BBA-9999-EF7C156A6B08}"/>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3550-4BBA-9999-EF7C156A6B08}"/>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3550-4BBA-9999-EF7C156A6B08}"/>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3550-4BBA-9999-EF7C156A6B08}"/>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3550-4BBA-9999-EF7C156A6B08}"/>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3550-4BBA-9999-EF7C156A6B08}"/>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3550-4BBA-9999-EF7C156A6B08}"/>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3550-4BBA-9999-EF7C156A6B08}"/>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3550-4BBA-9999-EF7C156A6B08}"/>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3550-4BBA-9999-EF7C156A6B08}"/>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3550-4BBA-9999-EF7C156A6B08}"/>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3550-4BBA-9999-EF7C156A6B08}"/>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3550-4BBA-9999-EF7C156A6B08}"/>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3550-4BBA-9999-EF7C156A6B08}"/>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3550-4BBA-9999-EF7C156A6B08}"/>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3550-4BBA-9999-EF7C156A6B08}"/>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3550-4BBA-9999-EF7C156A6B08}"/>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3550-4BBA-9999-EF7C156A6B08}"/>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3550-4BBA-9999-EF7C156A6B08}"/>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3550-4BBA-9999-EF7C156A6B08}"/>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3550-4BBA-9999-EF7C156A6B08}"/>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3550-4BBA-9999-EF7C156A6B08}"/>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3550-4BBA-9999-EF7C156A6B08}"/>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3550-4BBA-9999-EF7C156A6B08}"/>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3550-4BBA-9999-EF7C156A6B08}"/>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3550-4BBA-9999-EF7C156A6B08}"/>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3550-4BBA-9999-EF7C156A6B08}"/>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3550-4BBA-9999-EF7C156A6B08}"/>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3550-4BBA-9999-EF7C156A6B08}"/>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3550-4BBA-9999-EF7C156A6B08}"/>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3550-4BBA-9999-EF7C156A6B08}"/>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3550-4BBA-9999-EF7C156A6B08}"/>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3550-4BBA-9999-EF7C156A6B08}"/>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3550-4BBA-9999-EF7C156A6B08}"/>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3550-4BBA-9999-EF7C156A6B08}"/>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3550-4BBA-9999-EF7C156A6B08}"/>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3550-4BBA-9999-EF7C156A6B08}"/>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3550-4BBA-9999-EF7C156A6B08}"/>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3550-4BBA-9999-EF7C156A6B08}"/>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3550-4BBA-9999-EF7C156A6B08}"/>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3550-4BBA-9999-EF7C156A6B08}"/>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3550-4BBA-9999-EF7C156A6B08}"/>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3550-4BBA-9999-EF7C156A6B08}"/>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3550-4BBA-9999-EF7C156A6B08}"/>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3550-4BBA-9999-EF7C156A6B08}"/>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3550-4BBA-9999-EF7C156A6B08}"/>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3550-4BBA-9999-EF7C156A6B08}"/>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3550-4BBA-9999-EF7C156A6B08}"/>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3550-4BBA-9999-EF7C156A6B08}"/>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3550-4BBA-9999-EF7C156A6B08}"/>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3550-4BBA-9999-EF7C156A6B08}"/>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3550-4BBA-9999-EF7C156A6B08}"/>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3550-4BBA-9999-EF7C156A6B08}"/>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3550-4BBA-9999-EF7C156A6B08}"/>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3550-4BBA-9999-EF7C156A6B08}"/>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3550-4BBA-9999-EF7C156A6B08}"/>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3550-4BBA-9999-EF7C156A6B08}"/>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3550-4BBA-9999-EF7C156A6B08}"/>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3550-4BBA-9999-EF7C156A6B08}"/>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3550-4BBA-9999-EF7C156A6B08}"/>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3550-4BBA-9999-EF7C156A6B08}"/>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3550-4BBA-9999-EF7C156A6B08}"/>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3550-4BBA-9999-EF7C156A6B08}"/>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3550-4BBA-9999-EF7C156A6B08}"/>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3550-4BBA-9999-EF7C156A6B08}"/>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3550-4BBA-9999-EF7C156A6B08}"/>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3550-4BBA-9999-EF7C156A6B08}"/>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3550-4BBA-9999-EF7C156A6B08}"/>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3550-4BBA-9999-EF7C156A6B08}"/>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3550-4BBA-9999-EF7C156A6B08}"/>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3550-4BBA-9999-EF7C156A6B08}"/>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3550-4BBA-9999-EF7C156A6B08}"/>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3550-4BBA-9999-EF7C156A6B08}"/>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3550-4BBA-9999-EF7C156A6B08}"/>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3550-4BBA-9999-EF7C156A6B08}"/>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3550-4BBA-9999-EF7C156A6B08}"/>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3550-4BBA-9999-EF7C156A6B08}"/>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3550-4BBA-9999-EF7C156A6B08}"/>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3550-4BBA-9999-EF7C156A6B08}"/>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3550-4BBA-9999-EF7C156A6B08}"/>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3550-4BBA-9999-EF7C156A6B08}"/>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3550-4BBA-9999-EF7C156A6B08}"/>
              </c:ext>
            </c:extLst>
          </c:dPt>
          <c:dPt>
            <c:idx val="126"/>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FD-3550-4BBA-9999-EF7C156A6B08}"/>
              </c:ext>
            </c:extLst>
          </c:dPt>
          <c:dPt>
            <c:idx val="127"/>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FF-3550-4BBA-9999-EF7C156A6B08}"/>
              </c:ext>
            </c:extLst>
          </c:dPt>
          <c:dPt>
            <c:idx val="128"/>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1-3550-4BBA-9999-EF7C156A6B08}"/>
              </c:ext>
            </c:extLst>
          </c:dPt>
          <c:dPt>
            <c:idx val="129"/>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3-3550-4BBA-9999-EF7C156A6B08}"/>
              </c:ext>
            </c:extLst>
          </c:dPt>
          <c:dPt>
            <c:idx val="130"/>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5-3550-4BBA-9999-EF7C156A6B08}"/>
              </c:ext>
            </c:extLst>
          </c:dPt>
          <c:dPt>
            <c:idx val="131"/>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7-3550-4BBA-9999-EF7C156A6B08}"/>
              </c:ext>
            </c:extLst>
          </c:dPt>
          <c:dPt>
            <c:idx val="13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9-3550-4BBA-9999-EF7C156A6B08}"/>
              </c:ext>
            </c:extLst>
          </c:dPt>
          <c:dPt>
            <c:idx val="133"/>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B-3550-4BBA-9999-EF7C156A6B08}"/>
              </c:ext>
            </c:extLst>
          </c:dPt>
          <c:dPt>
            <c:idx val="134"/>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0D-3550-4BBA-9999-EF7C156A6B08}"/>
              </c:ext>
            </c:extLst>
          </c:dPt>
          <c:dPt>
            <c:idx val="135"/>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0F-3550-4BBA-9999-EF7C156A6B08}"/>
              </c:ext>
            </c:extLst>
          </c:dPt>
          <c:dPt>
            <c:idx val="136"/>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1-3550-4BBA-9999-EF7C156A6B08}"/>
              </c:ext>
            </c:extLst>
          </c:dPt>
          <c:dPt>
            <c:idx val="137"/>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3-3550-4BBA-9999-EF7C156A6B08}"/>
              </c:ext>
            </c:extLst>
          </c:dPt>
          <c:dPt>
            <c:idx val="138"/>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5-3550-4BBA-9999-EF7C156A6B08}"/>
              </c:ext>
            </c:extLst>
          </c:dPt>
          <c:dPt>
            <c:idx val="139"/>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7-3550-4BBA-9999-EF7C156A6B08}"/>
              </c:ext>
            </c:extLst>
          </c:dPt>
          <c:dPt>
            <c:idx val="140"/>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9-3550-4BBA-9999-EF7C156A6B08}"/>
              </c:ext>
            </c:extLst>
          </c:dPt>
          <c:dPt>
            <c:idx val="141"/>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B-3550-4BBA-9999-EF7C156A6B08}"/>
              </c:ext>
            </c:extLst>
          </c:dPt>
          <c:dPt>
            <c:idx val="142"/>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1D-3550-4BBA-9999-EF7C156A6B08}"/>
              </c:ext>
            </c:extLst>
          </c:dPt>
          <c:dPt>
            <c:idx val="143"/>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1F-3550-4BBA-9999-EF7C156A6B08}"/>
              </c:ext>
            </c:extLst>
          </c:dPt>
          <c:dPt>
            <c:idx val="144"/>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21-3550-4BBA-9999-EF7C156A6B08}"/>
              </c:ext>
            </c:extLst>
          </c:dPt>
          <c:dPt>
            <c:idx val="145"/>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23-3550-4BBA-9999-EF7C156A6B08}"/>
              </c:ext>
            </c:extLst>
          </c:dPt>
          <c:dPt>
            <c:idx val="146"/>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25-3550-4BBA-9999-EF7C156A6B08}"/>
              </c:ext>
            </c:extLst>
          </c:dPt>
          <c:dPt>
            <c:idx val="147"/>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27-3550-4BBA-9999-EF7C156A6B08}"/>
              </c:ext>
            </c:extLst>
          </c:dPt>
          <c:dPt>
            <c:idx val="148"/>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29-3550-4BBA-9999-EF7C156A6B08}"/>
              </c:ext>
            </c:extLst>
          </c:dPt>
          <c:dPt>
            <c:idx val="149"/>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2B-3550-4BBA-9999-EF7C156A6B08}"/>
              </c:ext>
            </c:extLst>
          </c:dPt>
          <c:dPt>
            <c:idx val="150"/>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2D-3550-4BBA-9999-EF7C156A6B08}"/>
              </c:ext>
            </c:extLst>
          </c:dPt>
          <c:dPt>
            <c:idx val="151"/>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2F-3550-4BBA-9999-EF7C156A6B08}"/>
              </c:ext>
            </c:extLst>
          </c:dPt>
          <c:dPt>
            <c:idx val="152"/>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31-3550-4BBA-9999-EF7C156A6B08}"/>
              </c:ext>
            </c:extLst>
          </c:dPt>
          <c:dPt>
            <c:idx val="153"/>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33-3550-4BBA-9999-EF7C156A6B08}"/>
              </c:ext>
            </c:extLst>
          </c:dPt>
          <c:dPt>
            <c:idx val="154"/>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35-3550-4BBA-9999-EF7C156A6B08}"/>
              </c:ext>
            </c:extLst>
          </c:dPt>
          <c:dPt>
            <c:idx val="155"/>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37-3550-4BBA-9999-EF7C156A6B08}"/>
              </c:ext>
            </c:extLst>
          </c:dPt>
          <c:dPt>
            <c:idx val="156"/>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39-3550-4BBA-9999-EF7C156A6B08}"/>
              </c:ext>
            </c:extLst>
          </c:dPt>
          <c:dPt>
            <c:idx val="157"/>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3B-3550-4BBA-9999-EF7C156A6B08}"/>
              </c:ext>
            </c:extLst>
          </c:dPt>
          <c:dPt>
            <c:idx val="158"/>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3D-3550-4BBA-9999-EF7C156A6B08}"/>
              </c:ext>
            </c:extLst>
          </c:dPt>
          <c:dPt>
            <c:idx val="159"/>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3F-3550-4BBA-9999-EF7C156A6B08}"/>
              </c:ext>
            </c:extLst>
          </c:dPt>
          <c:dPt>
            <c:idx val="160"/>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41-3550-4BBA-9999-EF7C156A6B08}"/>
              </c:ext>
            </c:extLst>
          </c:dPt>
          <c:dPt>
            <c:idx val="161"/>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43-3550-4BBA-9999-EF7C156A6B08}"/>
              </c:ext>
            </c:extLst>
          </c:dPt>
          <c:dPt>
            <c:idx val="162"/>
            <c:bubble3D val="0"/>
            <c:spPr>
              <a:solidFill>
                <a:schemeClr val="accent1"/>
              </a:solidFill>
              <a:ln w="19050">
                <a:solidFill>
                  <a:schemeClr val="lt1"/>
                </a:solidFill>
              </a:ln>
              <a:effectLst/>
            </c:spPr>
            <c:extLst>
              <c:ext xmlns:c16="http://schemas.microsoft.com/office/drawing/2014/chart" uri="{C3380CC4-5D6E-409C-BE32-E72D297353CC}">
                <c16:uniqueId val="{00000145-3550-4BBA-9999-EF7C156A6B08}"/>
              </c:ext>
            </c:extLst>
          </c:dPt>
          <c:dPt>
            <c:idx val="163"/>
            <c:bubble3D val="0"/>
            <c:spPr>
              <a:solidFill>
                <a:schemeClr val="accent2"/>
              </a:solidFill>
              <a:ln w="19050">
                <a:solidFill>
                  <a:schemeClr val="lt1"/>
                </a:solidFill>
              </a:ln>
              <a:effectLst/>
            </c:spPr>
            <c:extLst>
              <c:ext xmlns:c16="http://schemas.microsoft.com/office/drawing/2014/chart" uri="{C3380CC4-5D6E-409C-BE32-E72D297353CC}">
                <c16:uniqueId val="{00000147-3550-4BBA-9999-EF7C156A6B08}"/>
              </c:ext>
            </c:extLst>
          </c:dPt>
          <c:dPt>
            <c:idx val="164"/>
            <c:bubble3D val="0"/>
            <c:spPr>
              <a:solidFill>
                <a:schemeClr val="accent3"/>
              </a:solidFill>
              <a:ln w="19050">
                <a:solidFill>
                  <a:schemeClr val="lt1"/>
                </a:solidFill>
              </a:ln>
              <a:effectLst/>
            </c:spPr>
            <c:extLst>
              <c:ext xmlns:c16="http://schemas.microsoft.com/office/drawing/2014/chart" uri="{C3380CC4-5D6E-409C-BE32-E72D297353CC}">
                <c16:uniqueId val="{00000149-3550-4BBA-9999-EF7C156A6B08}"/>
              </c:ext>
            </c:extLst>
          </c:dPt>
          <c:dPt>
            <c:idx val="165"/>
            <c:bubble3D val="0"/>
            <c:spPr>
              <a:solidFill>
                <a:schemeClr val="accent4"/>
              </a:solidFill>
              <a:ln w="19050">
                <a:solidFill>
                  <a:schemeClr val="lt1"/>
                </a:solidFill>
              </a:ln>
              <a:effectLst/>
            </c:spPr>
            <c:extLst>
              <c:ext xmlns:c16="http://schemas.microsoft.com/office/drawing/2014/chart" uri="{C3380CC4-5D6E-409C-BE32-E72D297353CC}">
                <c16:uniqueId val="{0000014B-3550-4BBA-9999-EF7C156A6B08}"/>
              </c:ext>
            </c:extLst>
          </c:dPt>
          <c:dPt>
            <c:idx val="166"/>
            <c:bubble3D val="0"/>
            <c:spPr>
              <a:solidFill>
                <a:schemeClr val="accent5"/>
              </a:solidFill>
              <a:ln w="19050">
                <a:solidFill>
                  <a:schemeClr val="lt1"/>
                </a:solidFill>
              </a:ln>
              <a:effectLst/>
            </c:spPr>
            <c:extLst>
              <c:ext xmlns:c16="http://schemas.microsoft.com/office/drawing/2014/chart" uri="{C3380CC4-5D6E-409C-BE32-E72D297353CC}">
                <c16:uniqueId val="{0000014D-3550-4BBA-9999-EF7C156A6B08}"/>
              </c:ext>
            </c:extLst>
          </c:dPt>
          <c:dPt>
            <c:idx val="167"/>
            <c:bubble3D val="0"/>
            <c:spPr>
              <a:solidFill>
                <a:schemeClr val="accent6"/>
              </a:solidFill>
              <a:ln w="19050">
                <a:solidFill>
                  <a:schemeClr val="lt1"/>
                </a:solidFill>
              </a:ln>
              <a:effectLst/>
            </c:spPr>
            <c:extLst>
              <c:ext xmlns:c16="http://schemas.microsoft.com/office/drawing/2014/chart" uri="{C3380CC4-5D6E-409C-BE32-E72D297353CC}">
                <c16:uniqueId val="{0000014F-3550-4BBA-9999-EF7C156A6B08}"/>
              </c:ext>
            </c:extLst>
          </c:dPt>
          <c:dPt>
            <c:idx val="16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51-3550-4BBA-9999-EF7C156A6B08}"/>
              </c:ext>
            </c:extLst>
          </c:dPt>
          <c:dPt>
            <c:idx val="169"/>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53-3550-4BBA-9999-EF7C156A6B08}"/>
              </c:ext>
            </c:extLst>
          </c:dPt>
          <c:dPt>
            <c:idx val="170"/>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55-3550-4BBA-9999-EF7C156A6B08}"/>
              </c:ext>
            </c:extLst>
          </c:dPt>
          <c:dPt>
            <c:idx val="171"/>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57-3550-4BBA-9999-EF7C156A6B08}"/>
              </c:ext>
            </c:extLst>
          </c:dPt>
          <c:dPt>
            <c:idx val="172"/>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59-3550-4BBA-9999-EF7C156A6B08}"/>
              </c:ext>
            </c:extLst>
          </c:dPt>
          <c:dPt>
            <c:idx val="173"/>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5B-3550-4BBA-9999-EF7C156A6B08}"/>
              </c:ext>
            </c:extLst>
          </c:dPt>
          <c:dPt>
            <c:idx val="174"/>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5D-3550-4BBA-9999-EF7C156A6B08}"/>
              </c:ext>
            </c:extLst>
          </c:dPt>
          <c:dPt>
            <c:idx val="175"/>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5F-3550-4BBA-9999-EF7C156A6B08}"/>
              </c:ext>
            </c:extLst>
          </c:dPt>
          <c:dPt>
            <c:idx val="176"/>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61-3550-4BBA-9999-EF7C156A6B08}"/>
              </c:ext>
            </c:extLst>
          </c:dPt>
          <c:dPt>
            <c:idx val="177"/>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63-3550-4BBA-9999-EF7C156A6B08}"/>
              </c:ext>
            </c:extLst>
          </c:dPt>
          <c:dPt>
            <c:idx val="178"/>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65-3550-4BBA-9999-EF7C156A6B08}"/>
              </c:ext>
            </c:extLst>
          </c:dPt>
          <c:dPt>
            <c:idx val="179"/>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67-3550-4BBA-9999-EF7C156A6B08}"/>
              </c:ext>
            </c:extLst>
          </c:dPt>
          <c:dPt>
            <c:idx val="180"/>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69-3550-4BBA-9999-EF7C156A6B08}"/>
              </c:ext>
            </c:extLst>
          </c:dPt>
          <c:dPt>
            <c:idx val="181"/>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6B-3550-4BBA-9999-EF7C156A6B08}"/>
              </c:ext>
            </c:extLst>
          </c:dPt>
          <c:dPt>
            <c:idx val="182"/>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6D-3550-4BBA-9999-EF7C156A6B08}"/>
              </c:ext>
            </c:extLst>
          </c:dPt>
          <c:dPt>
            <c:idx val="183"/>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6F-3550-4BBA-9999-EF7C156A6B08}"/>
              </c:ext>
            </c:extLst>
          </c:dPt>
          <c:dPt>
            <c:idx val="184"/>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71-3550-4BBA-9999-EF7C156A6B08}"/>
              </c:ext>
            </c:extLst>
          </c:dPt>
          <c:dPt>
            <c:idx val="185"/>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73-3550-4BBA-9999-EF7C156A6B08}"/>
              </c:ext>
            </c:extLst>
          </c:dPt>
          <c:dPt>
            <c:idx val="186"/>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75-3550-4BBA-9999-EF7C156A6B08}"/>
              </c:ext>
            </c:extLst>
          </c:dPt>
          <c:dPt>
            <c:idx val="187"/>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77-3550-4BBA-9999-EF7C156A6B08}"/>
              </c:ext>
            </c:extLst>
          </c:dPt>
          <c:dPt>
            <c:idx val="188"/>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79-3550-4BBA-9999-EF7C156A6B08}"/>
              </c:ext>
            </c:extLst>
          </c:dPt>
          <c:dPt>
            <c:idx val="189"/>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7B-3550-4BBA-9999-EF7C156A6B08}"/>
              </c:ext>
            </c:extLst>
          </c:dPt>
          <c:dPt>
            <c:idx val="19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7D-3550-4BBA-9999-EF7C156A6B08}"/>
              </c:ext>
            </c:extLst>
          </c:dPt>
          <c:dPt>
            <c:idx val="191"/>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7F-3550-4BBA-9999-EF7C156A6B08}"/>
              </c:ext>
            </c:extLst>
          </c:dPt>
          <c:dPt>
            <c:idx val="19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81-3550-4BBA-9999-EF7C156A6B08}"/>
              </c:ext>
            </c:extLst>
          </c:dPt>
          <c:dPt>
            <c:idx val="193"/>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83-3550-4BBA-9999-EF7C156A6B08}"/>
              </c:ext>
            </c:extLst>
          </c:dPt>
          <c:dPt>
            <c:idx val="194"/>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85-3550-4BBA-9999-EF7C156A6B08}"/>
              </c:ext>
            </c:extLst>
          </c:dPt>
          <c:dPt>
            <c:idx val="195"/>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87-3550-4BBA-9999-EF7C156A6B08}"/>
              </c:ext>
            </c:extLst>
          </c:dPt>
          <c:dPt>
            <c:idx val="196"/>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89-3550-4BBA-9999-EF7C156A6B08}"/>
              </c:ext>
            </c:extLst>
          </c:dPt>
          <c:dPt>
            <c:idx val="197"/>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8B-3550-4BBA-9999-EF7C156A6B08}"/>
              </c:ext>
            </c:extLst>
          </c:dPt>
          <c:dPt>
            <c:idx val="198"/>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8D-3550-4BBA-9999-EF7C156A6B08}"/>
              </c:ext>
            </c:extLst>
          </c:dPt>
          <c:dPt>
            <c:idx val="199"/>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8F-3550-4BBA-9999-EF7C156A6B08}"/>
              </c:ext>
            </c:extLst>
          </c:dPt>
          <c:dPt>
            <c:idx val="200"/>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91-3550-4BBA-9999-EF7C156A6B08}"/>
              </c:ext>
            </c:extLst>
          </c:dPt>
          <c:dPt>
            <c:idx val="201"/>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93-3550-4BBA-9999-EF7C156A6B08}"/>
              </c:ext>
            </c:extLst>
          </c:dPt>
          <c:dPt>
            <c:idx val="202"/>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95-3550-4BBA-9999-EF7C156A6B08}"/>
              </c:ext>
            </c:extLst>
          </c:dPt>
          <c:dPt>
            <c:idx val="203"/>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97-3550-4BBA-9999-EF7C156A6B08}"/>
              </c:ext>
            </c:extLst>
          </c:dPt>
          <c:dPt>
            <c:idx val="204"/>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99-3550-4BBA-9999-EF7C156A6B08}"/>
              </c:ext>
            </c:extLst>
          </c:dPt>
          <c:dPt>
            <c:idx val="205"/>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9B-3550-4BBA-9999-EF7C156A6B08}"/>
              </c:ext>
            </c:extLst>
          </c:dPt>
          <c:dPt>
            <c:idx val="206"/>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9D-3550-4BBA-9999-EF7C156A6B08}"/>
              </c:ext>
            </c:extLst>
          </c:dPt>
          <c:dPt>
            <c:idx val="207"/>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9F-3550-4BBA-9999-EF7C156A6B08}"/>
              </c:ext>
            </c:extLst>
          </c:dPt>
          <c:dPt>
            <c:idx val="208"/>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A1-3550-4BBA-9999-EF7C156A6B08}"/>
              </c:ext>
            </c:extLst>
          </c:dPt>
          <c:dPt>
            <c:idx val="209"/>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A3-3550-4BBA-9999-EF7C156A6B08}"/>
              </c:ext>
            </c:extLst>
          </c:dPt>
          <c:dPt>
            <c:idx val="210"/>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A5-3550-4BBA-9999-EF7C156A6B08}"/>
              </c:ext>
            </c:extLst>
          </c:dPt>
          <c:dPt>
            <c:idx val="211"/>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A7-3550-4BBA-9999-EF7C156A6B08}"/>
              </c:ext>
            </c:extLst>
          </c:dPt>
          <c:dPt>
            <c:idx val="212"/>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A9-3550-4BBA-9999-EF7C156A6B08}"/>
              </c:ext>
            </c:extLst>
          </c:dPt>
          <c:dPt>
            <c:idx val="213"/>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AB-3550-4BBA-9999-EF7C156A6B08}"/>
              </c:ext>
            </c:extLst>
          </c:dPt>
          <c:dPt>
            <c:idx val="214"/>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AD-3550-4BBA-9999-EF7C156A6B08}"/>
              </c:ext>
            </c:extLst>
          </c:dPt>
          <c:dPt>
            <c:idx val="215"/>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AF-3550-4BBA-9999-EF7C156A6B08}"/>
              </c:ext>
            </c:extLst>
          </c:dPt>
          <c:dPt>
            <c:idx val="216"/>
            <c:bubble3D val="0"/>
            <c:spPr>
              <a:solidFill>
                <a:schemeClr val="accent1"/>
              </a:solidFill>
              <a:ln w="19050">
                <a:solidFill>
                  <a:schemeClr val="lt1"/>
                </a:solidFill>
              </a:ln>
              <a:effectLst/>
            </c:spPr>
            <c:extLst>
              <c:ext xmlns:c16="http://schemas.microsoft.com/office/drawing/2014/chart" uri="{C3380CC4-5D6E-409C-BE32-E72D297353CC}">
                <c16:uniqueId val="{000001B1-3550-4BBA-9999-EF7C156A6B08}"/>
              </c:ext>
            </c:extLst>
          </c:dPt>
          <c:dPt>
            <c:idx val="217"/>
            <c:bubble3D val="0"/>
            <c:spPr>
              <a:solidFill>
                <a:schemeClr val="accent2"/>
              </a:solidFill>
              <a:ln w="19050">
                <a:solidFill>
                  <a:schemeClr val="lt1"/>
                </a:solidFill>
              </a:ln>
              <a:effectLst/>
            </c:spPr>
            <c:extLst>
              <c:ext xmlns:c16="http://schemas.microsoft.com/office/drawing/2014/chart" uri="{C3380CC4-5D6E-409C-BE32-E72D297353CC}">
                <c16:uniqueId val="{000001B3-3550-4BBA-9999-EF7C156A6B08}"/>
              </c:ext>
            </c:extLst>
          </c:dPt>
          <c:dPt>
            <c:idx val="218"/>
            <c:bubble3D val="0"/>
            <c:spPr>
              <a:solidFill>
                <a:schemeClr val="accent3"/>
              </a:solidFill>
              <a:ln w="19050">
                <a:solidFill>
                  <a:schemeClr val="lt1"/>
                </a:solidFill>
              </a:ln>
              <a:effectLst/>
            </c:spPr>
            <c:extLst>
              <c:ext xmlns:c16="http://schemas.microsoft.com/office/drawing/2014/chart" uri="{C3380CC4-5D6E-409C-BE32-E72D297353CC}">
                <c16:uniqueId val="{000001B5-3550-4BBA-9999-EF7C156A6B08}"/>
              </c:ext>
            </c:extLst>
          </c:dPt>
          <c:dPt>
            <c:idx val="219"/>
            <c:bubble3D val="0"/>
            <c:spPr>
              <a:solidFill>
                <a:schemeClr val="accent4"/>
              </a:solidFill>
              <a:ln w="19050">
                <a:solidFill>
                  <a:schemeClr val="lt1"/>
                </a:solidFill>
              </a:ln>
              <a:effectLst/>
            </c:spPr>
            <c:extLst>
              <c:ext xmlns:c16="http://schemas.microsoft.com/office/drawing/2014/chart" uri="{C3380CC4-5D6E-409C-BE32-E72D297353CC}">
                <c16:uniqueId val="{000001B7-3550-4BBA-9999-EF7C156A6B08}"/>
              </c:ext>
            </c:extLst>
          </c:dPt>
          <c:dPt>
            <c:idx val="220"/>
            <c:bubble3D val="0"/>
            <c:spPr>
              <a:solidFill>
                <a:schemeClr val="accent5"/>
              </a:solidFill>
              <a:ln w="19050">
                <a:solidFill>
                  <a:schemeClr val="lt1"/>
                </a:solidFill>
              </a:ln>
              <a:effectLst/>
            </c:spPr>
            <c:extLst>
              <c:ext xmlns:c16="http://schemas.microsoft.com/office/drawing/2014/chart" uri="{C3380CC4-5D6E-409C-BE32-E72D297353CC}">
                <c16:uniqueId val="{000001B9-3550-4BBA-9999-EF7C156A6B08}"/>
              </c:ext>
            </c:extLst>
          </c:dPt>
          <c:dPt>
            <c:idx val="221"/>
            <c:bubble3D val="0"/>
            <c:spPr>
              <a:solidFill>
                <a:schemeClr val="accent6"/>
              </a:solidFill>
              <a:ln w="19050">
                <a:solidFill>
                  <a:schemeClr val="lt1"/>
                </a:solidFill>
              </a:ln>
              <a:effectLst/>
            </c:spPr>
            <c:extLst>
              <c:ext xmlns:c16="http://schemas.microsoft.com/office/drawing/2014/chart" uri="{C3380CC4-5D6E-409C-BE32-E72D297353CC}">
                <c16:uniqueId val="{000001BB-3550-4BBA-9999-EF7C156A6B08}"/>
              </c:ext>
            </c:extLst>
          </c:dPt>
          <c:dPt>
            <c:idx val="222"/>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BD-3550-4BBA-9999-EF7C156A6B08}"/>
              </c:ext>
            </c:extLst>
          </c:dPt>
          <c:dPt>
            <c:idx val="22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BF-3550-4BBA-9999-EF7C156A6B08}"/>
              </c:ext>
            </c:extLst>
          </c:dPt>
          <c:dPt>
            <c:idx val="22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C1-3550-4BBA-9999-EF7C156A6B08}"/>
              </c:ext>
            </c:extLst>
          </c:dPt>
          <c:dPt>
            <c:idx val="225"/>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C3-3550-4BBA-9999-EF7C156A6B08}"/>
              </c:ext>
            </c:extLst>
          </c:dPt>
          <c:dPt>
            <c:idx val="226"/>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C5-3550-4BBA-9999-EF7C156A6B08}"/>
              </c:ext>
            </c:extLst>
          </c:dPt>
          <c:dPt>
            <c:idx val="227"/>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C7-3550-4BBA-9999-EF7C156A6B08}"/>
              </c:ext>
            </c:extLst>
          </c:dPt>
          <c:dPt>
            <c:idx val="228"/>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C9-3550-4BBA-9999-EF7C156A6B08}"/>
              </c:ext>
            </c:extLst>
          </c:dPt>
          <c:dPt>
            <c:idx val="229"/>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CB-3550-4BBA-9999-EF7C156A6B08}"/>
              </c:ext>
            </c:extLst>
          </c:dPt>
          <c:dPt>
            <c:idx val="230"/>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CD-3550-4BBA-9999-EF7C156A6B08}"/>
              </c:ext>
            </c:extLst>
          </c:dPt>
          <c:dPt>
            <c:idx val="231"/>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CF-3550-4BBA-9999-EF7C156A6B08}"/>
              </c:ext>
            </c:extLst>
          </c:dPt>
          <c:dPt>
            <c:idx val="232"/>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D1-3550-4BBA-9999-EF7C156A6B08}"/>
              </c:ext>
            </c:extLst>
          </c:dPt>
          <c:dPt>
            <c:idx val="233"/>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D3-3550-4BBA-9999-EF7C156A6B08}"/>
              </c:ext>
            </c:extLst>
          </c:dPt>
          <c:dPt>
            <c:idx val="234"/>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D5-3550-4BBA-9999-EF7C156A6B08}"/>
              </c:ext>
            </c:extLst>
          </c:dPt>
          <c:dPt>
            <c:idx val="235"/>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D7-3550-4BBA-9999-EF7C156A6B08}"/>
              </c:ext>
            </c:extLst>
          </c:dPt>
          <c:dPt>
            <c:idx val="236"/>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D9-3550-4BBA-9999-EF7C156A6B08}"/>
              </c:ext>
            </c:extLst>
          </c:dPt>
          <c:dPt>
            <c:idx val="237"/>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DB-3550-4BBA-9999-EF7C156A6B08}"/>
              </c:ext>
            </c:extLst>
          </c:dPt>
          <c:dPt>
            <c:idx val="238"/>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DD-3550-4BBA-9999-EF7C156A6B08}"/>
              </c:ext>
            </c:extLst>
          </c:dPt>
          <c:dPt>
            <c:idx val="239"/>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DF-3550-4BBA-9999-EF7C156A6B08}"/>
              </c:ext>
            </c:extLst>
          </c:dPt>
          <c:dPt>
            <c:idx val="24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E1-3550-4BBA-9999-EF7C156A6B08}"/>
              </c:ext>
            </c:extLst>
          </c:dPt>
          <c:dPt>
            <c:idx val="24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E3-3550-4BBA-9999-EF7C156A6B08}"/>
              </c:ext>
            </c:extLst>
          </c:dPt>
          <c:dPt>
            <c:idx val="242"/>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E5-3550-4BBA-9999-EF7C156A6B08}"/>
              </c:ext>
            </c:extLst>
          </c:dPt>
          <c:dPt>
            <c:idx val="24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E7-3550-4BBA-9999-EF7C156A6B08}"/>
              </c:ext>
            </c:extLst>
          </c:dPt>
          <c:dPt>
            <c:idx val="244"/>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E9-3550-4BBA-9999-EF7C156A6B08}"/>
              </c:ext>
            </c:extLst>
          </c:dPt>
          <c:dPt>
            <c:idx val="245"/>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EB-3550-4BBA-9999-EF7C156A6B08}"/>
              </c:ext>
            </c:extLst>
          </c:dPt>
          <c:dPt>
            <c:idx val="246"/>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ED-3550-4BBA-9999-EF7C156A6B08}"/>
              </c:ext>
            </c:extLst>
          </c:dPt>
          <c:dPt>
            <c:idx val="247"/>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EF-3550-4BBA-9999-EF7C156A6B08}"/>
              </c:ext>
            </c:extLst>
          </c:dPt>
          <c:dPt>
            <c:idx val="248"/>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F1-3550-4BBA-9999-EF7C156A6B08}"/>
              </c:ext>
            </c:extLst>
          </c:dPt>
          <c:dPt>
            <c:idx val="249"/>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F3-3550-4BBA-9999-EF7C156A6B08}"/>
              </c:ext>
            </c:extLst>
          </c:dPt>
          <c:dPt>
            <c:idx val="250"/>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F5-3550-4BBA-9999-EF7C156A6B08}"/>
              </c:ext>
            </c:extLst>
          </c:dPt>
          <c:dPt>
            <c:idx val="25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F7-3550-4BBA-9999-EF7C156A6B08}"/>
              </c:ext>
            </c:extLst>
          </c:dPt>
          <c:dPt>
            <c:idx val="252"/>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F9-3550-4BBA-9999-EF7C156A6B08}"/>
              </c:ext>
            </c:extLst>
          </c:dPt>
          <c:dPt>
            <c:idx val="253"/>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FB-3550-4BBA-9999-EF7C156A6B08}"/>
              </c:ext>
            </c:extLst>
          </c:dPt>
          <c:dPt>
            <c:idx val="254"/>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FD-3550-4BBA-9999-EF7C156A6B08}"/>
              </c:ext>
            </c:extLst>
          </c:dPt>
          <c:dPt>
            <c:idx val="255"/>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FF-3550-4BBA-9999-EF7C156A6B08}"/>
              </c:ext>
            </c:extLst>
          </c:dPt>
          <c:dPt>
            <c:idx val="256"/>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01-3550-4BBA-9999-EF7C156A6B08}"/>
              </c:ext>
            </c:extLst>
          </c:dPt>
          <c:dPt>
            <c:idx val="257"/>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03-3550-4BBA-9999-EF7C156A6B08}"/>
              </c:ext>
            </c:extLst>
          </c:dPt>
          <c:dPt>
            <c:idx val="258"/>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05-3550-4BBA-9999-EF7C156A6B08}"/>
              </c:ext>
            </c:extLst>
          </c:dPt>
          <c:dPt>
            <c:idx val="259"/>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07-3550-4BBA-9999-EF7C156A6B08}"/>
              </c:ext>
            </c:extLst>
          </c:dPt>
          <c:dPt>
            <c:idx val="260"/>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09-3550-4BBA-9999-EF7C156A6B08}"/>
              </c:ext>
            </c:extLst>
          </c:dPt>
          <c:dPt>
            <c:idx val="261"/>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0B-3550-4BBA-9999-EF7C156A6B08}"/>
              </c:ext>
            </c:extLst>
          </c:dPt>
          <c:dPt>
            <c:idx val="262"/>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0D-3550-4BBA-9999-EF7C156A6B08}"/>
              </c:ext>
            </c:extLst>
          </c:dPt>
          <c:dPt>
            <c:idx val="263"/>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0F-3550-4BBA-9999-EF7C156A6B08}"/>
              </c:ext>
            </c:extLst>
          </c:dPt>
          <c:dPt>
            <c:idx val="264"/>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11-3550-4BBA-9999-EF7C156A6B08}"/>
              </c:ext>
            </c:extLst>
          </c:dPt>
          <c:dPt>
            <c:idx val="265"/>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13-3550-4BBA-9999-EF7C156A6B08}"/>
              </c:ext>
            </c:extLst>
          </c:dPt>
          <c:dPt>
            <c:idx val="266"/>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15-3550-4BBA-9999-EF7C156A6B08}"/>
              </c:ext>
            </c:extLst>
          </c:dPt>
          <c:dPt>
            <c:idx val="267"/>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17-3550-4BBA-9999-EF7C156A6B08}"/>
              </c:ext>
            </c:extLst>
          </c:dPt>
          <c:dPt>
            <c:idx val="268"/>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19-3550-4BBA-9999-EF7C156A6B08}"/>
              </c:ext>
            </c:extLst>
          </c:dPt>
          <c:dPt>
            <c:idx val="269"/>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1B-3550-4BBA-9999-EF7C156A6B08}"/>
              </c:ext>
            </c:extLst>
          </c:dPt>
          <c:dPt>
            <c:idx val="270"/>
            <c:bubble3D val="0"/>
            <c:spPr>
              <a:solidFill>
                <a:schemeClr val="accent1"/>
              </a:solidFill>
              <a:ln w="19050">
                <a:solidFill>
                  <a:schemeClr val="lt1"/>
                </a:solidFill>
              </a:ln>
              <a:effectLst/>
            </c:spPr>
            <c:extLst>
              <c:ext xmlns:c16="http://schemas.microsoft.com/office/drawing/2014/chart" uri="{C3380CC4-5D6E-409C-BE32-E72D297353CC}">
                <c16:uniqueId val="{0000021D-3550-4BBA-9999-EF7C156A6B08}"/>
              </c:ext>
            </c:extLst>
          </c:dPt>
          <c:dPt>
            <c:idx val="271"/>
            <c:bubble3D val="0"/>
            <c:spPr>
              <a:solidFill>
                <a:schemeClr val="accent2"/>
              </a:solidFill>
              <a:ln w="19050">
                <a:solidFill>
                  <a:schemeClr val="lt1"/>
                </a:solidFill>
              </a:ln>
              <a:effectLst/>
            </c:spPr>
            <c:extLst>
              <c:ext xmlns:c16="http://schemas.microsoft.com/office/drawing/2014/chart" uri="{C3380CC4-5D6E-409C-BE32-E72D297353CC}">
                <c16:uniqueId val="{0000021F-3550-4BBA-9999-EF7C156A6B08}"/>
              </c:ext>
            </c:extLst>
          </c:dPt>
          <c:dPt>
            <c:idx val="272"/>
            <c:bubble3D val="0"/>
            <c:spPr>
              <a:solidFill>
                <a:schemeClr val="accent3"/>
              </a:solidFill>
              <a:ln w="19050">
                <a:solidFill>
                  <a:schemeClr val="lt1"/>
                </a:solidFill>
              </a:ln>
              <a:effectLst/>
            </c:spPr>
            <c:extLst>
              <c:ext xmlns:c16="http://schemas.microsoft.com/office/drawing/2014/chart" uri="{C3380CC4-5D6E-409C-BE32-E72D297353CC}">
                <c16:uniqueId val="{00000221-3550-4BBA-9999-EF7C156A6B08}"/>
              </c:ext>
            </c:extLst>
          </c:dPt>
          <c:cat>
            <c:strRef>
              <c:f>Sheet7!$A$4:$A$9</c:f>
              <c:strCache>
                <c:ptCount val="5"/>
                <c:pt idx="0">
                  <c:v>Alan Dominguez</c:v>
                </c:pt>
                <c:pt idx="1">
                  <c:v>Amy Cox</c:v>
                </c:pt>
                <c:pt idx="2">
                  <c:v>Valerie Mitchum</c:v>
                </c:pt>
                <c:pt idx="3">
                  <c:v>Valerie Dominguez</c:v>
                </c:pt>
                <c:pt idx="4">
                  <c:v>Rick Bensley</c:v>
                </c:pt>
              </c:strCache>
            </c:strRef>
          </c:cat>
          <c:val>
            <c:numRef>
              <c:f>Sheet7!$B$4:$B$9</c:f>
              <c:numCache>
                <c:formatCode>General</c:formatCode>
                <c:ptCount val="5"/>
                <c:pt idx="0">
                  <c:v>1379.98</c:v>
                </c:pt>
                <c:pt idx="1">
                  <c:v>843.17</c:v>
                </c:pt>
                <c:pt idx="2">
                  <c:v>336.64</c:v>
                </c:pt>
                <c:pt idx="3">
                  <c:v>305.13</c:v>
                </c:pt>
                <c:pt idx="4">
                  <c:v>272.79000000000002</c:v>
                </c:pt>
              </c:numCache>
            </c:numRef>
          </c:val>
          <c:extLst>
            <c:ext xmlns:c16="http://schemas.microsoft.com/office/drawing/2014/chart" uri="{C3380CC4-5D6E-409C-BE32-E72D297353CC}">
              <c16:uniqueId val="{00000222-3550-4BBA-9999-EF7C156A6B0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4930555555555558"/>
          <c:y val="0.32635264903264344"/>
          <c:w val="0.33333333333333331"/>
          <c:h val="0.450124632624514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sub-category</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Sales by sub-category</a:t>
          </a:r>
        </a:p>
      </cx:txPr>
    </cx:title>
    <cx:plotArea>
      <cx:plotAreaRegion>
        <cx:series layoutId="funnel" uniqueId="{E9DBDC8C-F8CD-4523-95D4-3827CDE4EC84}">
          <cx:tx>
            <cx:txData>
              <cx:f>_xlchart.v2.1</cx:f>
              <cx:v>Sum of Sales</cx:v>
            </cx:txData>
          </cx:tx>
          <cx:spPr>
            <a:solidFill>
              <a:schemeClr val="accent2"/>
            </a:solidFill>
          </cx:spPr>
          <cx:dataLabels>
            <cx:visibility seriesName="0" categoryName="0" value="1"/>
          </cx:dataLabels>
          <cx:dataId val="0"/>
        </cx:series>
      </cx:plotAreaRegion>
      <cx:axis id="0">
        <cx:catScaling gapWidth="0.0599999987"/>
        <cx:tickLabels/>
      </cx:axis>
    </cx:plotArea>
  </cx:chart>
  <cx:spPr>
    <a:solidFill>
      <a:schemeClr val="accent3">
        <a:lumMod val="60000"/>
        <a:lumOff val="40000"/>
      </a:schemeClr>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plotArea>
      <cx:plotAreaRegion>
        <cx:plotSurface>
          <cx:spPr>
            <a:solidFill>
              <a:schemeClr val="accent3">
                <a:lumMod val="75000"/>
              </a:schemeClr>
            </a:solidFill>
          </cx:spPr>
        </cx:plotSurface>
        <cx:series layoutId="regionMap" uniqueId="{5CF8B556-EBB3-473F-B66E-7526F40C3631}">
          <cx:tx>
            <cx:txData>
              <cx:f>_xlchart.v5.5</cx:f>
              <cx:v>Sum of Sales</cx:v>
            </cx:txData>
          </cx:tx>
          <cx:dataId val="0"/>
          <cx:layoutPr>
            <cx:geography cultureLanguage="en-US" cultureRegion="US" attribution="Powered by Bing">
              <cx:geoCache provider="{E9337A44-BEBE-4D9F-B70C-5C5E7DAFC167}">
                <cx:binary>1F1rU9xIlv0rDn9e0cq3cmJ6I1qqKsAYbIPt6fYXRRlovZV6v379HlGFDTI2bDS7ETATXWGqspSZ
5z7PvZn8+3L412V6va1eDVma1/+6HH5/HTZN8a/ffqsvw+tsWx9k0WVlavN3c3Bpst/M339Hl9e/
XVXbPsqD36hN+G+X4bZqrofX//1vfFtwbd6ay20TmfxDe12N59d1mzb1L9578K1X26ssyldR3VTR
ZUN+f31h2iZ8tdomptm+fnWdN1EzfhyL699f3/vk61e/Lb/vh2e/SjG9pr3CWM4POJOEC6X0zY96
/So1ebB/2yK2fUCZzTWR/PapZ9sMI586n5vZbK+uquu6xqJuXpej760Ab65ev7o0bd7MuxdgI39/
/SmPmuurVxfNtrmuX7+KauPtPuCZeRmfLm7W/dv9/f/vfy9+gZ1Y/OYORMtte+ytHxDyTGqq7ZW5
3ad/jg5zDrR2hLA5tW9+yBIdcSC4cphktw/dgfOUqTwMzPeRC1C8dy8SlDNTQW28bWXSKH9GxWHY
eaaZEsx+UHGUPiCOYI6UcgedvI/Q0+f1ME7L8Qu0zrwXidYf6fbrNntOmOiBkpJTSheGzZEHDrcZ
ozbd4afv4/OEmTwMzLeBC0T+ePsiEfnPtg7h6BqT3+7PPzdrXB1wQphQzk+cDrUPhJDcsTn8D35g
9nYOb2fdnjanh+G5O3aB0H/+eJEI/VFFk3lW08YPqGaUOoQ/aNoIIQfQKaGl2Nm2BTxPmNDD2Hwb
uADmjy8vEpj313lej2m3zaNntGjcPnC0lNrZuZUb5bgbsSl14DDH0UrtHZNzX3meOquHIbo/eoHT
+5epQKvrdNtvq+vbffrnBo7pA9t2lKRMfHMu9zASB1w6kjPi7N4Xt8/eGbinzOhhfL6PXGCzWr9I
HfqjSrZ5vUXI/1wZD+PQH2gPI3tsoB93sdEUGZEmQoi9hi2wecqMHsbm+8gFNn+cv0hsNkh3oqtn
NG3UORBaCCLJXmsQk92FxgE0jmKcOmxn/BZZzxMm9DAy3wYugNm8zJjtNKpr01bRMyqNc8Ckgkbs
AzKb3kdmVhqlmCJ0D91CaZ4yo4eh+T5ygc3py8xHvW0a/W2qZw0JmDqggiMmIHqnFwjI7uoNIfpA
EkUV4Xt4biVjzxY8aU4P43N3PQuEvJcZDhxemyp4zoiN0QPkMtQBifYgPA474Jwzxe29x1mYtSdM
6GFsvg1cAHP4MoHxTJ5fXzbRZdvcyu8/D9U4ORBKEMGYeBAcBQKBATxCFybtibN5GJl7gxfoeB9f
ZDRwfLUNn5H6BDHNHG0remuyFmEaIfxAChBwjr0A5tGJPAzJftgCjOOXSUWfXfev3lxX9fX4jJpi
HxCmbS3Y3owtYgAFQJQjUBHZR2/89tk7L/O0OT0Mzt2xC4TO3rxMdUnBR5voGRMbEAME2oJiwJ62
WUbPYKS5I5lwvield1m14yfM6GF0vo9cYHP8MuPn4/wq2j4ro6YPEJtp7tzmlPDwdwM0kNHwMCBD
QUff/CxN2uMT+gkytwOXwJy9SKWZk4H5/0XxnLkNPDwFW/NNLX7UGxCdFDW4PTiLSs4TJ/UwQPcG
L0A6vXiRIB2b/hk5AU4PbMWlUJzvVGOhOpodzIGbJPb+/QU6j83mYVh2oxZ4HL/MsPldGD1nXGaj
dgOORt+hl++ZMmiTjbCMcfUNr7te5rHZPIzHbtQCj3dHL1I/Tp6b0HTAinFFZ8b/5ofcdy4a3I1j
EzCee7+PSuhdRB6fz8OY3I5boHLyMq3WCbakvUyeMV4GKyOooo4U+wrzIoNxBJy+AmtG9mzmwuk/
ZUY/QebbWpbY/PUiNeataaP6mSMy+0A7yGPkN655oTQEVQLioAi6r6ItkpknTelhdO4MXcDz9mU6
mNNtNabb/OrWrPxzUmbue4LuwGDdR0VJOBeC4rTepzgIBu6asqfM5GFQvo9cYHL6MgmA021dby/D
tr5umvp2k/45MIjGwCMzePjvxeW73l+hM8AWaKtxFk7myfP5GTz3lrPE6IXqTXQZRsH2ORtrUNtU
XGnl7DmYH12OQr8aEs39+4tg+fQJM/oJQN9GLrE5fpEu5zQC11w/b6utPGAoAaC4vKf5l3EaPyAa
lU103twq7I44e9JcfgbLt2UscXmhDIDJm2elZtCLBnM15zMP55fERu2MC0IlW4QAp49P5Seg3A5c
QvLxRarK2fXXalsn21uhfQYvg5oMipVMqX3v7IJp1voAsZuiaK/ZZTwLM/aUGT0MzfeRC2zO1i8U
m277nB0aaGxiaMzk37qeFw6GEImqDNqelbMzcrBxdwO0s+vH5vMzXHbjlqh8fqGo9K+OtlmBztrn
7Drj7EA6AgnNrVosqDIEZzjmISlit53aLPzMXGR50rR+htG94UuoXiZZM+/JX6ZKbsX4GYwbPUD+
Qvncen7zs0RJHIBstoHjPsf5wbg9PqOfA7RbyxKbl0kLzNicXg/R5TPSm+gO5BSeh/C961mgQ2x5
QGwHdVDnB9P2lNn8HJnblSyxOX2ZJu7m2M2zn1bDwQEuGfaePdhXC0IHjbVz7/ptDfpWb/cl6CfO
6ico3Ru9xOll8gTvkhRtG8964gYHoxwGmPax2Xx44y5FoEGLQoFs+/bEITieuyHCU2b0MD7fRy6w
eXfyInXoXXUdPOuxGwbP46DvnMmHtefm2A0iaxwpXGDy6Ex+gsh+3BKP8xeJx3mIs6avjuvn5TrR
gCapQ7XYHwXQi5B6jtoIoun5wM3NDzzSXX156qweRuj+6AVO5y+Tu9mdTP4/OPIJ/bFBPVOyb4Ba
xAbOfDIHTZw4H7VDahG5PX1eD2O1HL9A68J7kVr1EaekcDT8+vpWrP95iI2zuQ5H0c3eJ6HLbnW0
2zDO6NwSvQvBF6Hck6b0MEZ3hi7g+fgyCbeP18Oznr4hCNCYw6Ek37b+XnQAggGZEWrZ34umd63d
o9P5GSw3q1hC8ueL1JhPzTZ8RmXBjqOiA15gH7AtyLab054KlVAqF/bssXk8DMVu1AKJTy+T+vx8
XWUgc58PDHQ920pQ/G/hW9CGLiWVWiL1vPlZNAs8YSYPw/Ft4AKRzy8TkcMKhehXH1G4SR9D5f/w
JpDPEU6QPPcRH9QgHI1TWDv8l1GiczAfCRbomN+9v4gSnzKjnwjIt7UsJeSPF2k9/xPVlyavo+ct
u0qopWByXxVHSnvXqTkaZ0gQ4eO4wjfK765Te9KUHkbnztAFPP95GcH75S/v+dnt0i4ivPfJ/+U1
R6hboCsBTaRoXbj5WZhXVJTQIYdrdG4bS/it9dgRR4vrh34+rYdRWgy/t5L/p7uNfm7tvl0Ptdo2
2/XNvVJ3rj769bs3y8WNV4uh+wT1Qdx2e3d89ftryrHL326rmr/iXmK72LTFuOtt3fz+2pLyQCvG
0B8M9FBctxGj9NfzWwjukTij2AGjKXA60oHFzGcG7/fXSKkZOA7AvT/XVc93a2EI2o4YRS1YE5Qf
NQ5MfrvS671JR5Ax33Zj/+9XeZu9N1He1L+/ZpCpYvexeXXzEwm1tSSMKnCSOEOG9y+357hNBZ8m
/5WSuMpJn4hrh/hNq9e04IWVenbRRdNnIdoi2XKrEvUmL8d65KuGDiIcPMv49tcgr3hueYYOiXqj
QzG2q0RbeXnU6yytT1ORFdbommQQxVeRNPFgVtirNGZeoBQn12owY3uehoNKt44jCv+SZayUZ4GM
yoK5GYlqTIUXosrehcRu+nwVpKJKCtf0IsveEjWWmHKQZWQ8oRnL47+tujMYcwfSBzYJxNK9PUIt
inKNkuJ8pQW2CxJxd48UyaI2lKFz7fcmj8ujJuMpP0p5V1fqaKqDJuq9KSpwpja1/Yj6m18/niC4
vf/8+dQyQzUGcRV6yPX8/h2Mppg5tbRldBWThCWR1xgmWOhqTa0y3lRDH1TNqgqbgIeuxa2pyN/3
nI019QifZM/eNDLM68Q1pmQVOQPLU+K9X08SInx3jgr9CQwHd+D7URKaxfL+HIcwsmhYMetKWlVn
01UwqUCVm9ThDbPdvGqk/JII22/gEb6p2+PYzM/lGo3FSAwoGlOWzy3a0ShjMecqGCFz0u3sIq3/
DLlP88Dt46iN3uU+LtNr3DA0SB/cXz8eTnOxbIU0EQdnNRdIP9S8LXegCUQXWfYQsitLpapknuht
KbZQJKs5NlOk0rPIIoacsqQc24uktu0pdFFyTbEpv54JYuv7MxEUB3hxIcR8DgSh+QKARkZ2PCa5
f+nrKRfVoSmLzB/Xlp/VejwcnWoAKr9+5I+LRwldgkRH/+nMOdn3Fx+q0E/j0a6uuOyh5ZuRyIkk
G1H1bc3XkeNz+aVqseulW0skd1+MPXaVXneRsYv+EUEgC0um5rgShMmsqDiUiW7y+7MJ9BQLXTTW
VxS0VWYdDU04K0Q2mBAX9bV9zCfuRVk90sIdNGWYlYjssL3IChmPXm6RKr/QWZhV+aoUpqLnWRfl
9ddf79lsT+/YW4UrpWycEkGzDg70QlsWtqTtfaeyy2n4OlRNBSGw28TGZtlDz4TlDhXrrIuCJuWs
NE1v5peoCNrHNgvk0b1pgFfCBT1a2rjhCidUxUJusT952eVd8UUJI2LhFTYOTZau77daVx6ZlAUD
4487HU5bjvfaG6EuiO/graFvmCw3bc8eFyu+tCVoY4JLFJoQilIA7O59JJMhqTM/NMWXogKW5ZrV
icNPKQnZeMLqdixLV/tdOn3OwmEclduGVV+GHsxOL8+DcvKtoyrj8fS5stpanjmRnN3UwLss1YdJ
KzIzrkzNdJe4Y6dEd15UcTJ9nlKZ9Ilrp+lsOiOdWn6DM9I6xC/ZiAuuPjvZMDS+y0Q84qWe7KBx
VoWoWb2Rqh0wKhmCCG6uvHm8dgJr7F3HDDG+wsCFYeaRlc8eqilElmyHWuZlsdFdRboLzszUvK2q
xK/cNM0qmnlW4GfDUcBh4v/Kndznnzu7I1a2Vk4Ab9eVuYGj/LWELg0Jdl+h7oVIkyuJc7QL0WD+
mAdEF+mXiWR1FbgDtVVRu72JTXrM2rKHuP76iUudoPO5KUrgPVDR1j88sa7sOuwz1v/FpnYWxr7l
sxLSWiVwIbIrhfzix2yCEPa0bergVBGkoNUjLmw+LH9PKRhu4aMK5hPngylHrHZf7ibWtaWlZfY5
43nWMLcxrbCuTRmWozgJkzon68pXJnrf1U4w9W4RChOsA6ehnXFxiqJPO7ehQXmS+o68GFiVOqNb
90R2541j2ZFXimkwJxAiO3Rjm/tR4XJfEpK/sUMbcmi6ED7u2I+TBiKSdGhxejffGliMLksqNnSH
v954srDgDnqg7ZkzozfXcyIyvb/iRPph3pe1+tS1uY1QSlQVRSjVTbPccrh6fhSSfoDYDolmeAma
m/jKksUs0qyNe+pf+IOcRZqW0ZRVR1FBGSQ0LqfaJpsy7Yo6OpzEmEDr/D6bIzsyOhm0U5ESavTI
kpZuAN1dOIrHbDANnPEfjIdT0roZa2m+5qmwoPYx4jJg1Y12AxSZLxDR1kGLK52yWOSYdlVkFRFH
jhVbMAhliDhyjmnHEKPyaEq7Ez4khckekbbl3sMTzEQJxXF0Ct8l5SLyHlifFzqf2Nfap3LesKYu
0vZ9OTVRkXt9OZaYnKWyDu+ZsZyNlpNMo3XRF4V/XOsqjQMvmyZ7PMnCMsdO5tqWMFmtsK30XGY6
mDKPMj3bJWrF4yxmE6waJCvye4D5652/rz0C9lrirkpbwKGAjsXFYktZCkskB1Z3FtbJ7D2mrIfL
L2qRtx9Gy2k5zmH/KvJ76Hm4dHaXK883mN5/nhqGAmSU3Z5B6GbfNQRhGbu2SSJh3KpGU/v/7nmw
iHOJE32DIEj4zVXDd0M91vtQ1C6Kz/w4gJPOE4Q+dKWSVLF1XpcKS/71A+nCSTsIKR3EIXDQMEao
RSwkpGR5Npk4p5+cJmRwE00RzLrUWKydvdCNS0LxaISa+eEweyu4/dk7VkUJ+bZCgryIDGL+lSkT
tMemOlb8KOrTWaXLsTfyzC8HfCoK2aytY5DJepNYqmKbwqk6VnsjxBSi98jSFikVlqYJ7sjCVUzY
UY4A+j54zZAQlbZm/MSCbna6TVXCSk7pFJnLxnYSmrtjY8rps6L5rJaZZQhsyyCzNBjXUyZJE2w0
s9r+E8L+CtvRq5hBwlk3wTHmkaVhLXmfFnirbhEBHEW06KEJDUI8PDBqfBv/QtJKsBVZwLEVTaNC
q/FE2sbQ/VDTGP/a7c/s1efu4qcLMI5DShSRkLoIB3m8/UPuQPqJy1GW1scuUwaObpcv0NAZusRD
qh4G+SM2hy4iq/mRHI2X1EaEhWL9MpO1Y4OYvBjUx7olkJBmxMGc6BAmB/vD44IbsfZ7ywy1K1M2
YsPTzs9hKeG/sUt9NaTNeyVrx483fsMd+DX4lu68AtGIYCaz4MOaIUfMtYctKPscWzmkTg6zD4cw
wxEkwwyEFUcEL3qMdXdum8xgJiJJEGYlspkT/1/vNtcLz4DFz/EM/B2uZYHxXaaKiK9rK7CH8WMY
jjL13aZNWOH5ve3HZ5JOvBrXZVjJwnE1pToO3aoqo/KNnbZsEG4BI2udVEFm8VM/CxXzyt4MwaUd
pfZR77dcrhKVm/SKx+lUnWdGZriefSJp/453xB6mlRPnWhReCbdVt5u+F053VpWhPxhXZnZG3jK7
InqV55UmXjw0beW7ZnDKKXbDvKv44AVD0kEZuqnqx9QdLBHzeKMpafmFTJuRB549kLZvDwvdh8SH
2/CD5rgJFRyCp6a0nybwBBDF4nhIRr91y7qI5abTKmArkVnD9LGXhkafW54G/orxhhJvRMJvRlcG
Ta1XOqJ94gUiDY5wBKtZlcbupxNf57Z9SHoS0k1g1U5or4vEZPzTKLogsT5pYw/Dx6EZWHNq1U1u
nSP4Ue2VqKSsPk2qC3LjFsaQsP6ghylNDv0IdNFmMtzJjKsTw2joqWqqS+cryWInvwppYbphBVEZ
y2vdNn1ve0na1yQ+avy8FM4KiZVI5aGfWYk800RZSXLYyYLWaXgdOjlrsMsDYU7FTydmOoj0RKq6
CD+AQW+kvc5zXhTquNV+FKZvczEkZbCOu6Dpu7e98IMo2vg861tx7ueUlccy5mHgbCArkiVu0U02
ItS0dqJeu4HFZdmsQr+a4vG4D2orjA77KEPg5CW65zCwXRG14k9jtVLUxxCO3vK9niECJ2dtgQRC
u83InEG+S6lSeGl2v7SiKMV7OO3O8bjJ1Lz8OrWlpt2bWFZFQI/IYFlKeWMsklYdDnlMstQVvJtD
PFtYEZYTMAGnsh38EcUDLxahFsG7sS/6Qr2PfSvu041KmEWL46QdtdO9kzETkXZLrWeSR1WNCJPP
KvB9azrhPK2xU9ZYwmSfwmqXoTixmF+p9C2Jyoik7+O4jx1/3ccwBMHaROikrDyYrHlKY2elNl3b
QThG5coukrhyVnljWyL/kwY0x/OyONX6Uxs4ZelVIBaws9RpI3gQj8hw/hLMH9G3W5Z6Tk95WGP1
XhGSnMlNHPbzjrG0SfBi6rCBM8/UbPJ51wSO8nTfGAjAlCN0Pmx0leFzxW6pYSMmbF8Z48y0gi+p
fTwtDckcEJBohocUPKTiPyQd5n3OuY5BzlmtVQEKK0+ckF+XJXLzclNFEZIGr3fIqEovckLRWkCQ
t2X7uYnzNsqxX1Y4mcOwnTgZTp1YzVOOgHQxXUhIFp7A8Fb51beGWcBkZc3Ii9HC71KdzVvTdQQf
hYt1yh5z6FB2whr366kqxsqvYDBD/E4MhZEXieC+Zh7vNRg1t1AhwV7spcefao2vVLE1L85vxpvN
aCE1lbdP17SYxPwvVovklNlRZV3st9raffx2k3efA/VCk1NFiwwTILkVdl+TSBZRdRjlbMSiSzrh
r2K4AWVBZF8g7g+MdsUOKDN1DUQNAX9bBcc50aMvXJKE3Sjf6aw12KWOZik+QguQlpUH3sjvtJvY
45y/BRlOxUNHVWCXX/VuB00BDYJd260ppBHoBq8wuezJ0dg6c1Jg76DdiYf0kxT7I3mEEWuh0nnx
gxxDyGlAqvkxIQ8lfjma0lbhp8mKeNu8wUrZvL07QZrascUsscj5W0hU1RiHUhGDdNVNOE99t6HW
1E/4h0mZ4Wpt2QJh6PFEhRqKw8AGRWiv+6g10Gl9E6UWdQ98o07R8iuRQQ7xqQWSLyy+6pC3vatR
HJi/kHbzC+8CBy9pbs/qkE1inn/eyiDsP7VpkAbRJg8cCHtYMhKwo6QeFWlO2E5WorjWjTrcb7mO
uwrTGSKW4EvgAQweHhdRAj/fkXKS9idEbrHTrYrSavLIs+vAx8NFHOJqylWTFiCLU+Qp4MAAU9ge
KxPM6tzCv+J3ydjK2NkkCBaH8Q3TdTqYo4YbO8u8VPM061y/DsDDEk1afD5syhovCBpFepaVLf47
3qQowu4JuLcSxZH0rEsaH5F8X8V4OgkD032WuT8gB/PHaZb9XsOUx5uBlRQWxqnCtHXWaQYXm60H
K/d1fSw0XNXwly2HGPYmSI1JkqM9Px83aVjFmzZMQd1cjrzGGYyjIg6xHYfsRmdK46TYsNrvE3/6
zELH9M2nkvVhL4+a3dIHHdTYIlYMU4IVJUFfi7WcbAIr11R83j6C7AibiTR5FvEdIe3USY8dIC2d
19tEEcVLBQHH58sI3LLlRukEoh7thUmuXbBvo8xOWUEqfEKOZKZjOtHWoCh3fOFERFr5mzYvK58e
B3454TumHZfpg2ECDVsKnoCA9kkCFifLQAPkXpOCYxMnWSJnfWp4H6GqESROA1PJpD/C59UjLE28
AUkzb14bsZn1oq2ToLgRp3mA4Tjwj1X+1SM88603vV9XVXSmWTyzvqaFuztVic9k84Ejex799eDH
1hhuZF+ItF6BhUOO5yrwmfILDxhBCglnqOfM1eITViXzbHYbmfBncatoRSB8u52MGwNqn0V2xLo3
/SQyX31Ipra3LioE0yDIpqLU8gvsLVJgqy8m7EDM7XkNfpFbMP77pDWNEK8istaZ6YsvUo9hSb7y
IZXpmZRlMfobTk3dWH/3EYkHfw2PxlLh1ikKCpbnpERVn0GE9Enz0Q7KOAg8X4wsHM57hdimvNJd
1JX0r9p3wLIdVknbZdqz6FQnnyfeUm7cFt5hAG9FiEFMqZTQLWkh5Vmsqdfhl5bqXNWj1Des9ivZ
YVkWMRh3DwftxnlZN+YmTbvZ/ukxmK0Jov9ZeaM6mz+R35RD/JjOvxPEtvCJMRjnD/oMRFu2Bgk1
F4ui1C+gygGiRf9sakZSrGMo6qyVOpvf2YssYkpYIo3jZHhrV2CYzakVeNUwVky5hFa2874NVdAb
t7dzlCP4OPmaHvdlPmt5YE0zs10j5ccLR1jWHJeTDfnmNgo6Z6BL5pmDUcDQ/YNEpeHSSoiKdbHL
2PIonlTixnnR8g/JzmAlO868RCM7pMFKy5kRqStZcb7Kgqw0vhuWsrUu2kgUWHPToyzavYloMIdx
IR/wDNWl87TaG4WzTAI/4vqinZW8oHPddpX3wyyTyp9oErkirPMsW4dxCm3c7DYE9NNs9BL02+N7
eU2s+CSkLFXOIxzuIqEHLQn7AAmmMG6S/MBmhQ2KMqDJ6EVojMSsVRAM0IbewMyWFp81KO3AIYZu
F5Xz3B/J7sAX3CmrzI/HX3vAcY7d1dzLkkHVDsbqawXWdWcaY5QzMAvkAdCkXz9qwZlCm2xwTngW
2Ff8V8681J2SX+8kpeMjlLyVETsZjPHKwuf8HW49mKVby3AGtY1iIGx4xQHZ3jj+ei5LDgx93Pj/
/Bd80F8AOaf35+J3jKISEQcXODkOMxYJMsfjdY0LyteTQej82D7/+EC0vII4kI6m4Mn1kuQLK5uk
me2fl0MORxEk8PjHakxg5vaa/esFkpnF+w4suj3nMoQtcGm3Q3F92pKTH9KYB3mTyvO9xejDaa4/
jZKNQmwGXjvdJi78qfrQ9myMV1mbz/acVTANVj1x+KNHZnRf0jEjpFLztTtMaYFDxss646htq1cj
K8/TnVL1iOug40Ob+LDrkdNFgCDk7cwOagbngNDCCueJxAUr28nrSmT2G5ExI2x3gGkZPZj6Eh+H
fvjkLBoZ8kmv3xUIi52Z/fUi5granV3F/FH4my9DRz8KBwG3oN/6cRqiahLJkcqtKhGeyjLFvsgq
CR+VmB8fBVbYAc+NbnfkREvNzHyajW0gg6Od5+wEknksm5YZXn69KnKfMMW3o0MDF1jSuYMNf/hl
WbrK7Sb046HQl3YMVnUvBVQmc2RTsWzOfnqnyzPPznhFlauqFDUmN0XkVHsNywf1Ke5t6Owj89q1
iNzZcFBu2IKbqzNxhbaD8033FdW2UalTUVgfVhO1w3pNxTB3SbS40LE1f9dTjkK7Z+oAFKV2M39C
0uU2ImhIdgKnh9agwDNJAQLlLeVI4e33mS+CwByNcLHCnPlDlJBh9HwKsv+vuiwzZBNVTHlerrO0
nWjj2caWdbZyKgHG6i0biGHyvd5VeBOJmJ698/OMlMNpEoSdRitP28mIgFqI0UJyhHhdRdkqteIC
IrL388rCsNBNdt4Zga4DmytvrMEuYk9udrMPMwoLiAxr9qZ9Ry3EhYY6CLdz2mK7EanIVp2xOp2J
fGsXIhQobQA3u3DIFLlJ3WRkcvO60nm0koVK49a9ZQ5KeJ/Q3ccDN4EIaq099ncqndkXqrIDQYMQ
PZF0XTgGj8wSBOfdGxv1qyjw0iHDjZ6HoMXTOP3EED1qdibHRvPiOJa2NefUdVeBrhx36Yzux5qV
qzBpM7CXIDIUyHo3DhvH+J7VmqC3M7fEn8AR9L0udaH6dVDi9FT5UYy6m8xH0PZzjROhlE3lmWlq
cPEfowKkbbCCnKPNYRNWJSGxlxHEbn+PyOBq542QQ0+/EDGMjXMG9skvPuRaxwldx3lt2UgocZ3Y
0HhoMUMlbJ2bEdiu+oFO1ejaFhL8zkOEQ4TjjXz0+7eJrpt6clFM6iMkpdqpUCmPQrs+5Hba9F+l
nSVjuPI54tbczVSeVX/mIDCs1nV2Rdh9JFuimhXIt04G8xdv8jCVtEUwehOugD+ew60xb2bbvRON
9CaoylWaIPOpNDp1CrerbJkRFG8CozANmiTU7ROr0x9hC41zUeTaSjdZJALhhkHQX4gxEvFqjHr/
MOIdO4psNh1n1dAdgRAw56qS1Bu0CM9U1KQ2qNeu+uhDqI94IEztQvvCr3FVpH8GdmRWgyY+UrqU
NYfIGcHM0FycOIX9xSRQx7wv5FvZR8VK8TAEurZVbWI18HVsovbdFKeNvUZw26yd0WYpJFZml2HR
XlDCi5OKW8FJ1tXNWtRgctEgExx1ptWrUPfOB1WEJapyRXQV1aW/SsMicEee5yvh6/KNM9FsM/o5
+gLyQnB8tTPmHo9ztenxlccO0pqv1WDaQ1Qt/atSJ+lhMpB0ckcdi00Y2+ai4KC43RRMR+1azASf
+mFytqmVC2TEbfaxd2i0tmljv+G2DiPXWBZ7y8F2baqmxtmoWPkfwMFF6KNqmL4iqJggLSAFOe9o
HEabYsytNamz5rzuOPJ2mIJVPQ7tG1ZXY+KKrHc8X2k/dP6MOqrHY/SktJc15TFZm7ZokC1EWTi6
Ha6GvnYaobKV5VvVm0yjQWXFSRN/GDqWIN3IzImoG1J6vhOarR3XxdsB9+ac1JLMEuqLuaoedP2b
AVHhqa2S7hgksvUmSlhIVw6s3xXpe5a70+SQENlnYf3VF2V/XVrW4NGITNu6jg1Fj0mBtsZpqiG5
YVqkLjq5qnZVTH0yvJFtUAauTYrobCQKhhiZidf1LGVv8Cfj0uJNNZTVhhYtPRFpNrggTD+Lfry0
W98/4wTq09VtswJDZ0duMGSdWonRsDVXTX5WhLz6aywGhDY2Gh6C2m0TdMUknooCUbhWy/gWvQrG
Zf/D2Zkt141jWfuJ2MEJJBjxx3/B4UwarcmybxCWB3AmCAIgwKfvddLZ1SnZbUVVRF2UIyXxkIcA
997rW4thP+4n9Nt56A/qgw3G7sNSO9UVnVL8ca7d/CytGMJ8ttoWLJCizVt8PmjwFKMrLDxbb0Vs
6XqbhUvdF+Nm2i/tILYcWsnwhHTwORfCBB8yzOKPIpS00NJnp7gZ4y8LTexli7G5wfQ+1jgoUznT
3ozGTvPLhHpTk/dBl32RHmrqkqLMaXPSLvNtsibdDht9khRZs6UHFUz1LVR20D5rLR/DaRR7o22w
b4VJvsiIPa5oNx+3edjofhaxy9t54N8dLsi+VqnWFaopd69kRlgu4xnCZ8dV7tfGHJOsE/sZ5VyQ
83TJHrNRZS+RFdFDK9n0Yjazfde4wUuTTuFVDNRk7+NJUc52Vvco07ycrKO59OTSfd78adxHfcBA
jGEqe107P8azzGJH8tuGYqxCuuSQQt8oxDK2+45o+QjmLMLnN+Ep8Mdo1ybR8gnjrfk2G2t5CFyf
3Q+D3C740s6VTbHlopscmusx9tVJ6ni9HRcmHySl8deoM9gcwtmZ69gNWDwYDd0EkdIXVqbrsVlt
NGH8Qcc9S4a4RJcJ8hPTg+y4eZJdMlbLD1tI60cK2fzTvFH1gAc+P2CxpVdb4CkQCEmz6zNGLiEU
B1Ghhqwv6ebGCPe7HHcb96bbDpPsW24nMRdghfydXNv5k1A65uhRt+1SZrG+AGbQockepgcebdmA
PXuwVZR29BBAOiuM2OIbaniEAbf0vnksBBt36Ui8NVnhBoueoEw1JsP0siORSVXlIwWlV3mfCXa5
eoLfYljRX3uxG596Jb/gdzjmpU3wtAyoYFqdttc2a4GFEhE0p2wS4WftMb0Wfb36V4C/9GMTGjPv
67CP4iKrg/QiZpOku8wfxuw01FSUkEPjLTeQjUuabUOat5vKTD5EbLyePMjmF86bU1zrxF+VvJwz
A70ksDJYj2M8DzeRjb0P6Zg1okisrKeqzoS8a3ljhgrKqasvhqabmtKTIwGpyVjg7VOzLNudo6PU
9f5cevhlNlu827fDVZtW3p06tLayL4IUlUtBBs3MFYYO7VJEOuAPa7pNrpj8PrkERsiCcg1QIl4o
9LPqiTRooiT2ESkUSVA48RGg2cGoJD2R0Ppj+7BFjoUmd3b2M30Ksdn5RxpjsL6fezfKsjYL0feZ
x7sWTBbvM5lLj/G+K7w4s/dNBI4qD+u4/zC5wNv2K/q1tvDTOfQv16y1YxFKjMOv0h7baQm8ZSsn
DIhObaiaAp7Y7qQ8Z5f2pndekm0RLv/o26HEuGPoztyeCMlwo1TcUlW6pE36EHPqZcJ6oFAJCx24
cKjiQPf1ZVdD5MyHEdPSYlN2HvNocNBPUt12h7GJyVTxlaxXXYNpY9naxh4ijncYlAn16xSTpVYG
x45LAVVPk9Tl4QoROVGhuvZIZtNiaFm85GncRZhoYfT1FAhPfjMZSpNIChfup4kFUcVNHeqwQAlX
e1MBiRtw4pqndXLnvHhKUZhp6pq+wE6q8AOT7zXIlcEmNNOkqkUvcsLnwGZVN6RBWlcitBMhV4Fn
Ev0ITXRgh3am8RduzOdtq/kjr8VnngnS5mgThvsViETFKJN7Hw8PH5tEIqEipdtF78L+WkaN3pla
ZoWYxSbyFJCVyIeBDPdy7JNSysTlmjYx9lejhq+Ks22XTj3UMG7ZFYQ66heBXda53PCwiW+zpY7u
UyBlsmwMRia4H3DDgNNp1m/BJLoPYh4XWi1pyi+XaZzu9bwoXmnLDTti+MrT3Btsdhymdi7Dce53
3cwIwBs/qDJVTxcdI95V2Nn4IhTQ/ia+QAPO0BaVYcjwxkud6v1mw7DP4Wfsh9LPzLxUIkimaxCl
qzoKubI8W1bfFnPH2yJOFiPyLBgYCDAgsvq4JDi5ymFWfL8xvGiOQT6e9y1kqlJiUa755jp5jac8
Hv5N0vVl06K+wEdgd3jqNDudZkmhR1E/tQ0PPmOAZXdgX7L95GfDLhVpe+u1vizMkNTP/jg89i3Y
QI7GbZeGrP00raGachJN06fIZ/Kkw4jZnEnb0qLBjPHERIiT5j4GxY01BZrw6KZFW3Iya9B87eoo
/dwxHjx3QbReGgigJRHzdIwweX3CDDvsznuaFXnU+vNVwliEuhWb4/kmjL/G3blJd+NwfmrbcHmZ
DPWaqk8a6ImYyU7JcSRjMxWLbKyCZLNNmLmlaxsUUY99JE+8piVXvVjCl7quVZeHPT5D3vZpTYsO
f7fAFAn3RO0EOQ6JDtMSLbzpJWqtjp8GMamPAl1bXXQiivzPePCuMs88upqDp7qkVKL1Ds1Mwsez
/L4LNtPpvHGeuCHEti/aUIHHAzrP3aQZoKKJkegSCpi8EA5sRi45SppLu2jx0oXKNsWCaZ3JG9Pb
r0o5rBUsSvRpWmAY+M1A/DE5hC1Tja2JTpj1cpBHjd1QzAMk/o5cTcN2Q1qri9ihf8s9lCOq7Nns
kcqbBxB7/mbIk1r6/lMqjC26JVrK3vdm/1qvaXAPkYpmgGtQw+WJWut+v6KoOmH3G9fKznXdopTL
UHoChvCm66heA6/Q7MxmusEnopLCwPkAsAM3URHXQ93GndlxkA9zNnRF26FIk9W5jTUFc3MToqaO
RrY9j4seu5twCtalRFfBOmxpWTJtopCB5r3be37YjvFNoiNG8y6Ym+hLD5DYGwvjUduyHXSnzvpX
XT0lU1ag27axyPVWD4suUjxwiStryEC0zzVYzNiVo3Fs6C4cZRjpFItGAyZue4OpVZRbQJqZ3kkt
5uaZ8y6eeLliqUCNgEsoGmVu7DwlasdRq41HXWtv+LHMizWkqoERDWNFZkhW98wPIWHsBXgjNZbS
xZ7f3rZadPgeYg/UkW7BtmOUboDf4/S/D16W+riOSzu6MhO1Jc9EkrC+/znz9MR5bq/67DxhDANm
xQXcrmcFHLL7WU7AOtzSbzxmvk32IO03rLc5WLLmkxZr7dX5SDGA89DZsnZN8IjAdqyedI2BAr1U
KCjttd9mvosLzRc9d/sNIhG+LTzy2ql9iagezVCSXmk3XkQap7flzQRYYSnAjkQDu48UEU1SJUCX
m+jkaz27CThPo1DjoHfg804I2mI/9tRUdoB5rkIwUSjdRYYd02UNiiga7xuVDs4JDDMNBpJNATJJ
92tc8dHGTV+JFeBKhtnBONHLDaUfrZjXJwxikmGZ0HkQz1lcpW6L4j3ks+FJUN0/eoBUVB5OMMXl
scbaqQBtDN/8sUOVBXa1ll01JUtWl0YC97D5Fs7Q8LZEu78Y2VPWcHMLHtUcME5tLiefRUUXJvqq
DZwbKhENYJ5MBj1VeP19m9k1Pc4o4dI8GoWLczuu3biXygcMaKlYR5iGTPdNbD7rsLXGA8sTPEd1
qaLN3S2Nt1oUCF5foQJFh8haQcheJrEaSjZQ++JtzDqRB3ydgzvaNR0pVyT3fpUIOZb50hq0BuPm
GXQjsg3qCuWEXA66Jp35xj17nrigog7HYutqvoN/zDBvN+iAgnEJ52wsmB9PUxU7fzkEy5R+6k0f
Y2CZspBPBQaKDUGHmrrleqCJr8vQJ1o9gyAAfQAUFLBaATRiNiiQghB4DoZb1xyd95DHM+rwKwvd
yuZr1KVV2iX9yePLBHODJkCjgaiJAQRE6PRS0pFkUHY8Ve9BHeOLSS338giI2mEW/dwWGgOzlw26
P+4Nln3Qnj/hPDexSwJhbx2+7DLOGM2qFojCdw8MEIaHreCXHrbh5TOay7X+kLaDPFddUdgcUMEk
JxmnpHnBFhm5fWTi9m5aI3YF2pB/4zLAlafrZkF9MY3JyLY1NheNvz5SS/TtKvsapwB7HUTWdJiw
m6YD7Csdye4CjA/TMmun9RhgaNGUKxCTj2sUw99IuiU+jHHbgvKT5H5mfNqpcPSfE7kEeZYC56tl
v8GzsWwuhy/LXcPrGTZlqBcDs1k/wjKRNSYzR55IQF7LuIGq5Gy1+LhZfyYM0A0XYkxduIPQArkS
bwNulpKbyGDr9eCAaXIlUlB6EV9mFAWjW64iLfQlDwNDS59wke7AE4iH1aYK8K4acZYQ1dPPsawp
zwcU4Dezd654F6SdjDlqatfkSccyUB3d3NQlHugtACaMS263AROAfEuESKrOgFMrI39oqm22+B1O
QKWBvhhEaSLxY13qsQrZYotVEfcpxW5hLqwapSj72dC7hUilcThCZjQEDaZAQzhdRT0LL2jddylo
G+aGXAYsu/C8OnxxfdOdrCeWWyBvbQGUKvwCpl2PQKvTzBUNWVpZpGvcuFKvrl3yXlLFKl03tMf+
K6P+og1CR3YqWcmTx2phrzG56iIMA6bB5b0Ygk9NBnAgH8AzXE8ANfwqXYlDU5CF8LnMzCdDNQRt
/dARK9cCz01UdajPyzqSMz1ft+RmjVaMoaNwYte0H6LnGbACz43uP0XLMD1LNU15jZeq3aUAE8Eb
cYNbvpefuLf6HLWV9QoPlceV1IDzF8xdPo9ce0fZYlGXsunSG6XVdFJkhvtHpt0l5gLpwWM+fcLE
uElxG/DkRYRbVNnYX+6MdOGxQ0h4WLSGrudqzR9AoIwY8aTLQg9LVI9JuWUeCqehyex+JKHp7+Di
bUqJ4VYpcavHxRwRXaF8CS5GN9VA7NbguWbOPmdMBblYtA9LJ+mqgfbsB+hcv4xJrB4pyv19ELPg
ZQLI/ezjV0juWVw4mECe4cKiVxZa+V4YhVVH9RdwvupWaN+xnKrJD7AOttuMex0qmiAe9ngeyBFt
xhKVNAXjgd++XOdQfmwx7CipRaMyw+u85bYOpieP9vF9W0fxUMSY6h+FGAPQ/wAWuyj66jSm/7Lq
BOZB8gUPqG4wJaRk+Nqe0dFOg7iT8TLF5Ea19YxdfsEr64H4yBm+bGjt1rXDDK0But10EzsQKW6/
hnDvhGU0+VbVR1/XQ7sdwUM79cgau5KvZIyn7tBOdFBxwWLpK6+khsSrxObVAQqB1gbMoM2CJvFL
8GvBhrKR+q4pZJdI3x61s5hi5kloyS6Ox5V+TsZRYVOZRdfbHvsYqX1Sos6D3F96LuEcXEgMVAlU
L8p4wEkOHm0sGtDgMQFRWYvpuz97Ll1KaLvg3apFrK6rgbo0vAN0Izg7s9i4B2fIILzlmz9/MBFV
aGGayCZSPk10ZaYtoWdS9H0wkTW2vW7badFTuawI9AsqX0R6mV90t5nA5fgronHFOsUoyfJN1NgZ
Dgz2zTYrMLE+n0mccD/r9zW3Jp0/ao9vIckbRjv8NyDlaWIvPLWgYb5o3cL6pLB+RlOz+7M891rQ
hWoIYAGv7zpL5FB14c58rc1hVEaVD9j++zCJs6vM/EQyIjJK6LpLWscaBJXxrQe/QNNConvnA7wW
1c8fALo2zLsI54BKCFHo9QdoiIMrjTfpt+7nBxh+ghJDl/W447wJuthPpfTv/ITbn8rjzxyAr5OA
EYTX6s0////DNOB//+/8O//6mb+iEv73X3jVgpyW6Yf640/hDb7nAIrl7Q+9+ss4+t+f7pyh8Oof
v8Q5/B+BDXffF92r/+M/vkpzeJUy8j8hGee8A5hozozEv1wav+Q5/Osl6/+b5PD37/yd5UB9RPGj
ggJ3kcTgKs8Juz+zHDya/heKkgQJiLC1nF8vhu/57zCHKPgv3w+Q24HXkkbg688x/RBtz3kOYYwc
ecjw5/RE5FslGfl38hzOt8o/dGbo3wiNiM4vP0NUQAQc5/WtxFfrb1RM+hBiZqeKvstAQ0Llyi5j
DUQyxzhmvOwSsMVlVqOI+Me1+vuu+meaxOsbmRAfrkmkVeD6YG+GC/3NjYxueIO4adV+1aFB4T8k
YFnDvnSQjg//waEyChwD5lFcujeHklFrgmAgah8HEsJtGICXXWpRRTSY/4OzwqXMogQWsOQXBGUL
wDW5OFaQh22zt9E2l1JBYlE2fc+X/Zot+nkBz8HoQCZwU8D+9frrswaelJ7gAmYNy+BZDD+g5Up+
WJOUfGRtkU4RaBLGukKgJ3jPIfP63vnr24swxsBgL0yCXzzhytYY/wilsOPESQ7csK5GtHD/nm0P
R4G7FtEl0CoS7HVvbYILp9FiZqYhPcUJkLRwRDdI7JyaqhUD2Iw/3yevN/fzFSXwmFE/BMB5zid9
s7mTGa1rHSi9B2kI7bKT30FR/aB8GnKATBcJurl3KJTzX/zHEvzriPAHheQcDIEo7je+RFZ37UqB
EOxbn5ACQHCPLyubqj+f12sn18/zCs/5kRTvOQKJdl6K/6DQYs2g9c2d3keNgTvY8y5hvLlxQQjB
2x/IO+f0u6v4z6O9wb5QNEDthC9uTzFWzBlUPW4GBXr9nMWSZSqXXffy5xN84378eYbnfIkz3QbY
7O1W5mqQC5gwQIuvk/gmnuL+iUM9PWIkRQ8gLLpSz3epcbSY+3j5lsA2eMKU7qC5nCAdZgaT5HDN
5ZqKr9ZG3tEh4CUPmZrvzzAERpC8CLp5e2djCn7z/aOISP0AuRjAnt7ecXThSTihXNs38LF3eeyt
XZpbS0wFSf1Mw0K6BoOylhGuXhX2Nv7so5O+RcMvrlO1IR1H8OwGpQp/Zy2Q33407M/nFQ4XUvhm
MbQZEg42DI72qF3RvtWkbCSaXegLqoJnZ3kErA+VZk0g+E39Np6AGsnLhaEgKQerDAYlY97FC2aQ
aDPyKBCsZCNFRkXI3QXXobwOk807bt2KDAT0wSVqVTjeoMo+6bXxnhR0gCKLGvh2Yi/dwR/ZQPGX
tNKTPalOImbA63WhGMlgGoTpPu4e9UqX6y52Ue6irdvJSKNT99TNlKXbYW5SUA4xmh3LenbpY3r2
0ZOz2bdj551Z6B+di+4UClk07bw7IAlH3eAvj++UcL8uEOCvKAyw6vEMRjDo6+WIYSXRZD1/6Ut9
7XW6hp/HPwaNfdAbE5XWwFr+vD5+e0SCzRqTLkwW3oYCZYBcMLnv1F4yhvlFXPUB/5qN8aWMxhgy
SPL85+P9+mynJMVuA/LlTICGb7a1hWcGbnmt9q2DEhWaeD1yDGIqGsr33MG/3qZ4BzXwUpgTMh/D
3je3KdfEtKuZ8BRE43QxeXOAV+Hq9J0L+NujIAALZQqyi3ANX39lgFi9QQGc33vouiRki8w7wIRD
b/983d5Aied9DGdDA7ynERRrisfR6+N0jbcFiciWvQVzV07B0u4SO/AyWWB6jNkCT16EG99PI36S
9KMM+X6Ku+a9bSnCYV4/lvDu6CgB2QVeOAjeRj3M8wRZ3aTgumyfVuuc9Tu2tmoXr6qhRYRwnGMw
QlyU/vS9n9b0DoFd654T31whZCA6gdt8L6sh/O1nAoVK0XRnqFnfPFZ47HmY1ETLHjOQ8ehLUmW+
hqY2qvmaLUIXNeT/Tz3BUgZB7270uaFE0BHAWjpOZTr232EBMdcdteW2rZ91ixZtbpS4d7DP5UI1
5EDgXTqNDpSAr94rLn5/AsipAXyNrAkM6F5/t+BpssHRFRe1dndcpmKn15g/1tjFoKKmbcmWwC+G
NFF4YsnhhFCJL7RJH+AEyI5aMFZg/Guq2p+yD9OWTg803r5vhMHHTutstwruyrVrPTwrVA/DICaG
79ydb/jqv+5ONCz/OoM3d+eqMNDnk1v2zmv5iW3ZiNmTHcvW80vVSGzyGrJv2/rHaHKmWATGxn/+
CNFv74Lz++YIFmPwCyFMHfYSR/RyllUVBKOekheUVbdpvIxAPfxvU2/sxxT5P1+Xs5XJ8AJ4Vl2C
58Loni+70F+mEgP59My5rEOehloUNQ64twQT3LjlwXc3BgG2yvQ+jbqKwAhfJl72ESoI+BtD/EuP
BP1hm6YvqfHvE4cDAQHQhVizhbxzzX8t3TCG95GdggrhHMD05pIToMJQfrAhzG3/cWRgPdq+9Dbo
vtNGonfqxN9s2wlqYHSeSBpArfimo1iAV44Sm85e8PFHhkwuPLVNm8d2y9450vkvvdlgcCT4AjK8
VwMJQm8WM0bkGtNqgjtJ8gfIzfwjjPDgKQeHbgLxLwAF/MSjJwTevJeU8ZtnYQJW82yCwIMJhffr
Zah4M0MsB7OqU/eJKXpr0/lsMf/Rp+oFLW9S/vmW/av2/OVcCQLnzq/cgwXkzVcI6W+xTYNbFm34
eKcj1D2ORaUba1MggeK7zzB7aXpbcidQ3MS0KczCZemjWvnzR/ntzYSUGzxZQJYj2eH1qTdaGQIs
Z9mvdFKlL9Ikj2vIKl4z8YLU7Y8/H+43D00kDSKSEgYIAmrizZecADXmA5Ku9s5Ju+dIAys2uGLf
6RF/e30DTDJwJ+HyxvRNBdAuAZ9AzS579Mhw7RoLMXDE3DBh1DuuCzgbbiDQwWPeVyvjA2bfQV/B
DnaxQcB4Z73+2pRjeHnOX/Sxhih5u15Xp8mGTBt8GAPCt+Yp3y1yAz3meMEHyO9iGcZ9naoQWZfa
f2dZBb9bwaiGcLFRt9P47b2mQMOE0ejLPYIY6heRSo9gaM7VzdIEZMgR2ACGEiyPD1zGZR4K6mTu
Sem3AvT0MKd1V6zwxF+ZOgKsECqlgwIA9fLtz3fGbz4mXOswfv0VHpa+9V7UHm0cGZN5n1gmdzre
TBUvc1ahlm/euSS/ORT8K3GKHGmM4X4xUzRtsIhZpvNebWz4gaTL9MM21gOgkcT/D04LNSicbcl5
pPbLriZGsSlB43lPwkZ+AEKa7CaXsgu4+t+Jg/nNJoYjYSyCEhET4bd9Y7gx3k4aR2oin5dMjeJ+
4GD48XTbcrBvcR5PAKT/7W8NOjtMM/DsBQjlebOeOffBwtZk3jtoisVA7Jo37RCW0ocW+OdDYZr9
6xMClQbip88v/42wY73eqygYDs23ALcIZBEEuzkH7Lup43VD+Agb+wLialgmqMl76FFm9XboHLWt
Nrgrhg8DJVhcTYQZ45Etrn8KhenrEswJBZTdA0rKFZvrL8iG9a462BWXHa973uYLkhkAXeCUoiJN
JkrLzJA12MELjUBB4tXZvnEy3So49YDX8K4OHoAibUHZx5aEOwRm2KSKQIKEzxmoquF7AmdNyHOg
V0l9YRF7ys7Snawfl34K3LGH3A4quQkGWD99EZyGzVpvv+jOLNdkGDW9igFvsA/JEvTjDv/21t2w
Ai+2uY6zDsbOzsT8iqYjSUsN+guGcTL39wZUJTvJ0ZsOiO8ZWe44uIocvP7TAMEcaIOOp/YIvysX
BdXwne9c1zheDcDz5WVr0E4Cr8zE2u+XZc26EtKMs1CBHfMvBm9hPuYOgwhLMZBzcdUgoOpLCvbY
5SlTttgozOX3gjReuodnpXW3K0vNPSBKqSpQsFl6hyQfCojPGa6PKGLtbqY2a3YxZEtw+YJvWwG8
PtuPEo+oqmfn8R8MNhmi1xZCHyHE9YXthykCilWbAKY5QQ4D1R8w591pQ8RHIG/9c+9R/04hliFn
Q2sPnmv7KpqzG907RBUvO1un4x0MB7lBKkvVbWOzD+NuhcWuG3Zcm1Nk3FqEYvnSdrCBEx2yUrc2
2oEt+hZH3loZ6O1nHCzdJyAEqyxukn2cbVOOinkDn53xiyUW9iVV81rC7tfmY2q+bHNCDiayAIat
Q8Bo/wRDTpXA8n1LskFWAMCb2w62wEL7TXBBh76+ilZ8H+gWgN007MluEdkTL/jQNLUAGWfZkWVx
V9i20ygqlrRAqC4plyXdPkAPPM4qVnmzQXdttu4GXFZh11ieOmvhf/I7AOUKQQUtsLqiSzv4yaIa
PGZDbxmN7wavtlWw0nq3bXIrnKd0yUIgqxtK1zsAveLzSBf/cqxTWjo1J6X1lfyRePNYeMqIkmJg
vU+niRxlDxYoRVbCEakf4RHJELTCkOIUBnYHRS3YdcQ9D76en8eGHVIS3yNb45lYNlarDyBBavY8
AAaUWIEDPRqdjjvjwQ0DB+VDl1F2WlgE6xefaOW3sYfvYd7yuM2AYqBvuEPSiLmduQR9oC2ei9Fy
CYAvzXsL+5jz4GGZV3GgkWoOcKQPh3Gg5ke8gFOAfwjcYNmZRm2u0NOMVD605qEvOTKUmgyE/ITk
jzzEzfNxCP3IlumMPgIPU2wSLdfrJ4Frf42wqwbjETbmtAugDSOpzJvUBPploxf4P1NlsSAqhjdr
uOWSupWvyydggukCeC9kcPGX2xLKT14Q7fyWg+DwQnzmfeqF01ebbp04RF0f6nKgZwzOTUFKLz0v
UW3epRQIQ+8M8U4Yz/oLhrRzc5ASVypX3diXGx3MQ42p/m3Yt+EDG8auOa7ICKpI1szXwRrS3dSY
Fcr6jGFc3Sw+zF8M9STmu6JKN7+/EHjIflUIv0yqcxJ50a6kiS4tUkzvY9OxHxmG+7pAFTCg+WbG
LzdH7SN0puGHFDJBptuwBJ9hs5TgZAS5ycZQnKGMtVwQ0bNXqFgeqIvbT2bB33FebyuADfNpO8dL
NnaMjwjJXj5iCgcZpF3qbaeMxp1QR9n8jPCl+SucId2us978nM7gh+DvUAgttarbNcCnPpJpBnaS
TutaJowMqtTbgsXRhx4pOj/uSp4kpGhRcB31TDq4D2xYoSvN5K5D3zQcQKTi5xUItKeZrXyrKGkC
BIbxlTUgtgG8FQOkwaOAAe58D3rriSNK7N4f6j6fUqnDHRzTwnsasxinmIouqy94uOGjJp15MqHV
6xVylPhNQ2daIid5u5oUDBBxHeOvRqKBL69J7o0KyZajEplPiajrm3ZdxGeM7sIKgzNywyWWKtx/
w7bbtO12SCoDWwEhmt/0vTCI/yE1ucEimrGo8O1iCD+fuiGDg72uxYs0XIK4k8HD0uB6N23ngAWO
bk8RiHPwZOxA7YTzBySzn5Pd0WGC492EKbu5bfa4ss2B2AF/1tP2NgB9cRJBm11uZhEvygn5bGpc
1y1N569TwIHJbojwBUcOhP0EdtrtdaaWbxlSTW7ibfaQ3jll/MY2Z2vXmiBE5Bsy0WMK0CsEroUM
pBV+nMsAj2VRwl3ACw/uR4SVjnU7YofSbMkRVBY8iMCRG8RDskeR1Pw6IXr6nPCkKxUoNfDpIPmC
3FAUkURHYcURmXRycDuV3NPmQg44eWAE9hFZodgXOWsOkcBvC9/jNzqbky2vKRK18tGnUCyiuT8i
zBc4ocowxCmbbmWnelD4AYQQ0RwGxl6V7SYmnW9Y5xhjjctH5zC0BuSwfEt5TArGXH8MpDrf5Rpu
QmguIbmHVc48xZPSMClO+JA98bs7xKeIL1FbJ/dets2wgo5rfYMAlzHIl3iUz/1/s3dmy3FbWRb9
IjgwD4+VyDnJ5Dy+IChRxHQxXEwXwNf3AmVVyaouu/3cFdHhiHaZSioTCZy7z95ry3m89t22f9Tr
Mb9Nl4/bbCL/wskMAv32wAvl2rSl90onTaFVyZVNuuXez5LpWgdl/KHPVbrTRtshQtH40a1ZZPZB
6kl54VqKP7Ga81tG9vEBUnf7PqvB1o5zgyS+0cj2fXiArHEz9klUrdBbWuKMrqbK0NUqr+ROPhda
mGpudGsnHLlWNWaS6VAMAxGVpOdKmjXZcOt1ba407lnJlcizyiAgO1fXGgZ2LMGT4LPWIdCR+rIq
vwyJt35UvsaZadAL3HyFkh9alRmPdlyr9aBa45s7ZH0f8tWTN9wt5o/KJOMcumY55WGTOf034GKz
w2fmce3XNW+Ly5O83ekqN5oVUGPjfjaFdht0Onczzx2+jbUvb8DQIfxLsz53w1S/YJCWN0bnx1dg
AoB4Br2/TlvfOnAfCzBkQ7M9EMPpnmSalvpNo/kt9/gqL5xDNVW8eQAJLjkTR9u6jxpuYkB90U07
C4pfZPmvc+t356io491AOntvE/46SB6bF1Zj5/3K8eL02rXbeluXdvuAS5wYx5x8dHHFv2rrul5H
Q219cYIY11Et5pCMHUEKi6iOM1juzuD9WrHRtNd51/A97AjR3EJ3G68ZQrAT2ln0aIrYDoVW3eED
vRw8bomjrqecZYiAqD7IIIH4RzxTsOmKuuFlc/dKV4VxTryC+4Y1s17XU+1ydDHwl5MT3bmRWR2C
Me1jbrrFvDJKlo3ScPQDUdTjME0kLvhuXuqxai7K2CuPcVKSdIaWtR0D1n9IqG8EgOUBOON4m1eD
9Y579ihT3eCW5vMPq5WbEoNqOHb2aRwz+4l5Gx8dwKovkODYM1UdGVrNPMio8tiWJQykQ1ZNTz5Y
7lu9TNQW/NberYRcB0pL41Uqqz2m1Df0v+KFtA7WY6/iTTI1Ur+Zywkn9KbJThY3fnvINZ18U6Tp
V3lh19u271l8GT1Oy0mpa9vPcTJnWUs8RnO51QXxbQ/dFqt05F33elCuEKYnDMCR/Rakgfvotp3Y
p6n3OGZ6sUMuTZgDGeWw/01EA1OVXKa0fYSVYR4iaza+JHqktiQ79B28RziVaW+t1cCXERpih00d
qTCeJvfEcGE/ZbaDhXCstnyduAFXGafT2JXBDrNS8EH8wnwaa5uWiSKYcS0U9j0O+iwcmWG3Dveu
UxG14tFwPO9mgi+7dYZ2BCHIXLgi5A0DDa7vt5lVkxnWcZeeZcZlkJagx/AVlqRw63pKVnZB0m2s
8YSyQFgFM/bH3nMZ6O2Y+Oo05sdYlfsuJ8+/cmztopqy8WbWzacu1YotX0VsbXPGoEZMZAOK8lzY
TvQg8ooxwx62ObfAbFX7XXrr6828Jgfjn9opXbzYySZxRL4i7OVcFbUD+yVRgcHSQsyHaaqGS9fR
eOwUvpbzhXPLYx2P5NgyK6ngBs6AR6FpcSwFpcDXiB3acInHMnsuTNvd0RlQ8sgZCafLGTA1DBlt
vA7Id1xMiNmc6ryB7E0PsP4YqFS/pU7o2JBC30dDFw4Qvi4Fn/KpLRUearsSLEdVR3a97S7QfcF4
ttkeImTwHLAz5Zzz1lRlHxaJM4OwIUSVeWXir4ahM57HyW4Olel9MWb3W9RU8pWJVbwKfK7ctFrt
AdidtrWGPt4QwC1uYNn6a4EflqV30M3QSnHhMg6Ne4hwQ3okdq5sMrZ66+293DB4xthudaWRZoxX
5eRVV8g3FbA3P4vhUsEIm7lGnQxqWFbemNIvbtwUHZl8DzdQMI7du2hN/UvZZsk77l2SKqbGHyhx
ARydJqvuJtv01XPDxMPnBmBxWyQu2aJBc62DqH2eKAEAMZ6WaGezMAAWxAiSh4oSl3vmY06meZHY
xzgf2/cir7r3tm8REdqpLz5yu0RVaOcuetXbzPgCOoUnfWVP43Urx+jVzMkWhTDeNQJ1c9S+a06t
FStzhra6mXOnvBNy5MbQJqOqtl4MWH1rBwpFox8TLg+yggw4VSmqu8Ttc2L6hMpeHcPhZ4J6FA0U
xoCogV3qXEalRWBoPbT8lpvMwS61LnFpeRxiQNetstQu21M6Ox3nRr0cjCRUtUrjLcMrf/JMfKc6
2Ar5cZ3YIK92WEUZATo2pNGKw1RwkSW6DQKuKRhaReTyKWngvFzAGX30OjQDVtK4x128imKn+DB7
wjirXloTwVNMxa/f30xn0GLc7Kwn0xAWMM40zwCIv+I8Ue0smJ0hHJA2D9GCeOstwy7vHPxj5U6k
GXIPzoKUAyZB+H1toAJdmdIZjS2MAuc0Yby+cxSOCj5C9q2hiiR/v9xz0EOaWs+zU4uLYdgVE8aP
y2Doho/BRRtd9aZTJ5euZmD7ngZzV/Zl+VQYAUA3L5CkuGtfv1dJ3U7Qp20jurJ7/tJ7c9D5HZnK
+a3TMuLDc6ex1Nj/QbwK+Uz47qL9J9MaXYZ3ccDI2nGTMNv3lNMLtC7FRDy1Q/stzdpM7IK+kSww
giLNSJ+nBAopE0IAUHyc875E/zsq+pBgeVUdE52T2HV20N0GEYVMtMi4uaS47vlOceDmIczzKyz6
JdJSEhgCBD8D1r1KBoJWchkhhVea5BTwBj4YUAY2UlT6kZ10s1dFb90UsT9e4GVKH4mSqgdl2sN3
Wf13l+fvbsFfTKe//L//Pz2ouo4w+p8tqP8Qb1/e/lV2/2lb/fyRHw5UmwZnH2a6i6fAwHqFZvvD
ger/ZkPKsvApYpjinyzCfjhQHRyo3uLgYIvhuiiw/3SgWvpvJudmugGR75kVAuPvOFB/2RAt9TsL
ssswmbGQQn61MGZGbdqtZWv7QNPsDDV5mvd9YLf3P70nv188f2I1/XwZD4/tUjaqLx6OP2rJM6eH
CXCDtofxZaDPFMRVet2/KhR9CX+hXC8i+E/bvuW1PjfkNmUJnC4+de2fvHZ8FoBNByvaT0YVXPGd
W57xBqCPWR+va8SOv9pnWr8ufXhJb+n6clhzLH4t/RdjwZi3joTtGO1RpiOQCrLqLoCP8FyswCk4
BEtU8Iiwb5lbdKaBVC+3gGnnkhcud9KJUWEG1urcvJGk6ixt9kE1cteZgoYHJvCvCxm0wY6lbbBT
HNF2hTuZmBXHZfowihuRU5UjtKZ7MDpGGApq6i1VUuk5mpjJGLIc8KOcr3eTJG6Sxi3s9K4tbphw
52/AfObHJLebR058l3o/pRvliTLsAUXsZ9PKL22WuX6YZFZ/Y7Y8TGdrrq5mS2UPpp4ipOqR2Doy
KQkCFQOKXKn2ehXhKZuliQdRr1YN7QUbIxnrleis9uQZXXUmrgZNlOjHmy5ibS/cJYreaGovuenH
7LyDyCV6gJjW+tTHuXMxgjWZk36lS4Xa1vj2Vl8EuDTXOLGvUfYXac77LtQF32W7pKyzrVd65PJU
xHUe6gkqDeGtovzS4wB5yQBTP/FoNm8D0g08afU2eM98SOsriKwcdAtzqnIoV+m4bRAboMj4VsL8
gO+BR4ktrnRBbDl08WVceNDcTxPp1Ed/minuiFKkM1gVR07LYGFs4tVXsFFvkzHVw2jMptsE8OgG
10nzQqvAsK3Qa7f+4HIAHkHSvzdFkeySMvk6NVm9jlmTnOLAh71kzE5SbFrenKSMxKUUxfxE3ZZ2
Y1GCcqHPEERX7WjkJPMHXVvnaRYxBFSgMt3UOUR0DQBXK9uNNaX5Bepl/x63bvclNxZlfo5nt9xo
XRoceQtaQOjuV8mWRxHnPpdCJ3rriXeEVUXKyj5FWjeu8jx+CFqyQzKqxU7jWcqgUoyEppAMKra1
IWR2d+XV3SlDksIB2MW4g3Q/ewPaF/Efe69WxFGGOPIEVcWVt5ES5oWbtNfsuZSx8n2G52Dg28Oa
Z6CjzQajZXB8Lzxt6zRad0kPxfylo6Yw5JN1viCb5FfolZD65q67lU6nhTCtbqGyphski2etb6yz
OSds7aa5PWvePG9U4Kq7sgwYLo1g2E6FfVOq4smzosrcp3AIBhRa2BDT19JNWdlGQ0+khpFvzJje
/drMVnOboa3FRe5soGohS0wCsenCV2IaDzhk4qkIExAd+irSCNE85q2C5Axkr29VzBtRyTULmTa7
t+Etx51YzN04ee+9CR9oYLRevHbQoYF3RLBOV47UUX07vyx3aoD79jxybvW3YB5NUvrYnfR1yoDh
b9usTaUNR7sDc5yrOb4dcmdh4NfpgLwmgZesKjBn6jpG2PetVe3KNjkFkTZgIYZw7LyYNewXalvK
SEs2quHM/pj1SnO2pNwd790bCbiDnALSfswn9KPmLmc8LAidBW3+wkyd3wUD4kHDXmV5MY+zud6J
Ry+atAUsa0bTSvUuB4JxYGpF6FeIIcvOz+ksEvxmJC8M3Ll7s9CYl6lFIGFYzIFxbybVsjyUy7/2
Ije6m6ZefUUWIv1eGmW9hffBWUFAS2NrR1Q874V9qJmvjwTBWHwX/VyGxeLWX2m+qk7SZiEeeoNn
bA0Xx5JoUjLqddCFZasz60PxIvMXRcErlJgilJ1W3jEmR5xgS22RAwZV3IyWXX+zsUxc8IssEy4M
X1gGQTGvwXSLZNPQ6nKA8BRcCSd130RBzBPY/UBHTOsVN4sbGToUCHAWOHDWE96Mjondb8SjpXfj
NZqaiwYwF9VdXCQcLVqCLAY3D1IjfG/F+vM5/t8p8Huv7H9MIvkswH+aeP4tiLT+Jt7UW/Pt5/TS
95/5fQz0GOhovmT4YdhinnOxrfw+BvI/eQQrAAAF+DzBtP5rCgx+g2GDERU7mEN3psEkyse35JAs
ZkdqUTgbYmeCd8yQ+iNq9YdZniLd/2U8Ix3z69CEnY8BFSQw02qAX++PA1qeDUlmQEzfT8Dwn7sM
PwNRSotv38i1FbIDKrptLadrUZnzAmQaQgbYgBlEr7cZzYvc9hCnnqO0J7BdlrlLJZ+uvo2duwQq
kyz0I1ZwIu6uS/Rd1ofi1dboisAfXkOpx183YaRgBRlgYORNTPdR4Th3GTWyrKy6+Swyp6Odr+d4
5ck2Iq1J8vxIVpBkQQVlBQI0eLiF4sGo1pzguWUrt4Dsp6HE7BS/nIkM7tYHb06jQ8WwdMtSGDmm
TV8zT2rPqSi0+1iWWLJAR3C2M+MNFU7cBpkGrsiD+7jq25vBj98dLecvSVR/RYfKjW1O+TYI8mQ9
fW66IODu9Dj/qGH0IMIGUBtKfQYlyNpxa8qu3sqZV08G88a1RjIGXndJe5LF4da8YT91zzPlkqx1
uUrG8o61qXExKuYRkZcDcota/lGgkRUXtl8/RwVq2mx0I3fc+BXHwcGV1bASlnWTT/mrxJ2NnFnd
jZk2v+R0BaxrK8GO6df9lmDvECJgh1yC96MVoa3BXiI4vfwKsEEd/mhAVtYOTVS/snJN23ZDzq2m
DcQjbcD2ozFaANZKQWwgjix2p9wZSb/KVaLD95jra921Z3Kk2rGD6/5Wkf+65x46kLpmbRdaNY4w
3wQjopx95M8+El8nr8jANs927t+7bVpBzGPiNdoJRF0E9WD2AmPP+oZ9tfAfxFxrwMAt9QDCIz7a
FBN5oRcvw20Q9V81HVx+6EnduukYxM4FiwhUDjMZfSoe5bwRSXlnaQags6ZskrVZWbet6IJt60fM
zFbiEktw8TWwg18nQhtg/4zIp4206vwQ1waQukWnzXByrzomt+rMgb4/xTG7+a1qNOfBA5h/sgtX
f0VnG9YtI3mIbAB9wOG9rLaG34CKtMZJP6mJIeWAns1T3cm66QPg46zt/AYk1ccUeOpSmA1Z57i0
843wUqshFhWHdZEZd/+90X/2kP/FjZ6sDefJ/3zcp6ujat7eq59v9N9/5vcbPUgz7vR45DFUubiF
f0qc4qX6jduszWmT9DC39X+d920SpygBOLrY+v7+EPhxp6eOnE1wADQcTxv7uODv3Ok/gwM/nY6J
ejInQ7jx4C7jM/7VfMtmuyZKMWsneAwyC7bER/ypf26GgKXjkRWEB0KSRZSfZDuvpafYubACUQDE
ZQHpeIT/qglf0HEhg+TWZanBAuKODWUkxsMIjpUF4q7Ps26MdrnPDji9cGI1QMSY+bdRv6d1gtd6
0J2BO1uMDolBNUHtLmA7gD70PVanOKxCOGlA0o7YaBExseAglC9ZykF/MUt8AiEwIWhtdxRXYpff
+HasvBv8Gn0SXKVpt1EstRY7sw++OHT6EoKo6BuaMjkgMjdTilVJ//cw4X/Ho7/41pCVZmr5z9+a
f1C3W5U4LH/KaX/+yD+/NHwzbJ00a+AhFH9qNr9PR2RffiOZ6X6HyjOZMLn8EMk8RDJ+ikHLW2aW
ZXL68aUxfuOrR9E1aRWD8kL/73xniGf9cToCU4DAY3DRk4Xl1/sVa48tt23H3FU0PNVQp12gMF0h
ln0U2vqpqgef9t9MEgfsdzkVRoX+BDsZxkJe1kV7bxZ2N3OrRhszN6LJmloRDh7oEvbvUhf2jEsN
aFamnwmGEZgcjzM0YE6h0z7TlNJAAjkmW5kDY1OBCL2aYa109WUpJnZXA/Yw8DV+XV44ANWPaE6D
fshSd7qc7Ci6zyxZA4t2n7W2GnaqGryleY52ODZUF1kBQoLdIIcGx8HQk7gpZ4004VS3CgrFrofI
S7BRIMsUZ6AZTcsV7ng7A+R602tzUay7drikmxtQmZl0jIzN0KczoOJYF7tyHMRuHHhUr52gSg8u
LlnvjElpyNjM6OgFmgaExa2nbtc1+dCvtKXzNCls9gZRo7bZjNkTjFHJH7ysrdHJh2i4MondvHRq
Mm6VS98e/saMxra25SAdA3FEeIinedXmRbPOiBU/U7QzPUZzxRakiWU9HsaKBgwAUg5/UeBfvflM
PbqkK87AbWlitLKNfNi4cS0xZBjNhaLwboFJwwbnIkXqxyDiHFyOaY8BK8wLsyN8skszW7J/bhvg
3gOX+pr2z0m/kW6+MTkhFjurE1HoVs5iOcw6j4BplmnIf8XgrXycttVa76GAsNwr9vSOJGv4ir2/
NZVS3NOyKoSLP8Tbyex03ugYu2VotEJ9sL7X32bH4Izp8G3cLtrThhKV6Y3tSGBu6UVzduQ26zuD
OedEE594roDFryJ9MFRY42WgPpKb+NpsvCtMO826N5NoAwGVujNwIAYXjTEawyaOhdxiGB03idcE
V6MjwfVGTR/2UE2OSRCN3qqyipySQwv8sZP0aEWZVh2ovjAPXQEr2nW86JVvAyRiCu6CL0RWDdTO
luFyF3cSv5tI+4NqCm8LgtBjZVxG7R3Uoq86dmE27f68ppkdcxjfgPRQeVDEgBiPQxDGrm9cFC6m
gTxx/JdFc90NbeJGK6flScHMhRW4RT6w1m0k7+FzN2fp6/MX0RV4SmU8PXIiKfbRjG4RapoesFnW
4PcM9ZLYrsbyLIkpoVxWGRZQc0ij0Glzf23gk3lwY8kKXgvKAwDZ+KlDl4Mg1UXiNrdrM2wxBe6G
rth1FQUCDR4A1A0712+wPOCg60Yr2FashDjnOJERnT65b73T1VdsK5lJXV18K418OiAHcyhbGnTx
rQYcRbqvmZ7aaxrIVOhA/dwvpXtgIc23UU1P1D6Rbc/jYMRMbXpNvgYgxOdIKTb+iN69Vi04WF6W
1qd+ar4L8v99Kv7lU9H5U9HgH3S2lu1b+8fH4vIzP3ZHwW/sL0jwBDj+CfH8tDsK7N9cwyXBQSWt
45AVZbHz47Ho/oYsEFDTHrDUsT/BJj8eixZjJlEgjvjsYnic/a3nIinfPz4XSQfwf5RIeygRzr+3
d9O3anJZ9/bBET6kcUcbzk3ZDbuZguOjiKWzR83MIBsrNb2D8PcunNyGhkn+Vt1WVU/pTltrb8IT
cCiZVs8zRU/3Ll+smCeCW67j1vbOiRja2wmR4b5oHVj5/ZAeitg1Xqs6oswt87IjC7YNPeLyC7Jp
th81v0nZZakRoF9fz1/ppcSrFhH1R3XPzTvO/BgySlGeIs8Su95qOX915WVFbCQMRASnKSuSozG0
QKHTgtV3gQlhbWqxd6SLDltLJMarqvbFrhb+shiOl1O2O5o3o9YH9Bfk+qUxpUCrqdsiiF9Zcmt6
PFmMyoyfDYw/ZwPDiTG6/WVk4kjTcW8ZbsQjTsI/ZcNRWx/WNAGeKya2IMZQmmFTNB0dIIaNIExj
EJoRjLqGO+XOEXr9rnhGb60GlUWmDQ/evsofpJ25dG0LO9vVxZjt8deR8rcVdF1vMsIOE8VT5afR
FZZKddNV6fw1mNT0DMfEuokpLtgDgm7OroUfB4QMrX9Q87ZwffsTuEz5BYPBSNYr9rakO4adZ+T8
NfAErWxMzJRXKlD2ud2/a4G1ShtnCsllnMwyPthUYG56ynhpd6zKdetEl0VeFweNxBjEOay9smKj
MTRyJ+XgfGDLhXKYdempc221o8IyOphFUlwbszfzdNNw2CRQp7QNRqH+VNtT9hhPafDiSZeydjoq
Ye+i7NecOu6DyE4vZ0SwS8RxQKKsAdKnqLPbi6zXxR3winoHC80MVgojKuZY4eHZXhSVGTbOZYxn
YTt5HhFJ9hzebZnWBg+yDj9N2lrD0jqhXwcN10oVd24UZrMtvvYYpc6R64o9NQvWye3YkhS1C2XU
99JnSdvpuYxrh9yMmPcjOYKzrg3WyVTO0qBWxVd0Jbb32WwFIe0n4lBoPbblaCEil45/NmVtvpSB
4V7K2M4P1LbW+ywTxH8LCMFbZWMgFrU6mYmyuRxlsydgDY8v7t6SHpwZ7PDc2Jh15L1BqP/myLE4
kIaEmz4tlkYZ2VvPrwkV4EN4tOz866SsGudubJsvnl/e49SbH9u2xnms44esEhf/OIga7UiPM1nZ
AGbamYCIYxBvc+UbIZXsGsQDxlfbsoKvYMSSXTnwQ/Gcigc/1YtwsDRGmIEQRBbzISrLYnzsYVv7
1EWSDG67L5zDhwbHvHHfVeWBJ5h7rJTclbRKhaxCipJ6uiy/IWEvbp1I7N1JdUc3msuDnReQ0Ooe
Swk3y5euCtKDR65pC2tXrjn5Yo4px+yWDYH9bcZkH1p5loRzQj1GVjv5M/0044NX1tpNbaKQ8oF6
1A4mOUUE2BOvtWbcKuHKk2RrmIVBsHW6rNhFhFMu4daRIBE3A8fZZy2CvpG7lnGT6bG1Lw0MzaFQ
+nAu9aH5anWgO9nXrZU+kuIx4N4Nwug1hi/Lf+68Sda0yMwiBTQ3VdT2TfHV3FY5xt9uSVJMjhc2
w+guFDd69eJo2vTl3HKEqHo8rUEwPMQzJn7UxQAcJLMxt7k2FbiWGv3E9FtfToi8G8PQnjNcUosR
mmkoFQHrF1ey1mtKjEVa+sRuTD8IHU4jc6VcmVlefRFURp6iKgluHGinh7bFaL6ikaC7STsNw76H
9Mj5583FE7cQePxrvXWLDkXL0s+DX+nIxsUsEDyFu6HbIXgMeGqcZypdntj/phfFPLziJ3T3PBEJ
xGTtcG5jO+VSUtlFm7m0V05acFH0dnPdYSS8zHQlH7UoFUDF8byTtY7RQKAVzyY8KqeV1lOuCnPv
gnbZYLeutvghzW+zF/eXygnqN4ziy8Oln+3npBDpAybMQazYBQZbKwviHQRliLhTjIJhRMm1saTZ
AFHjaI7leKf3vPUl/r01cbp6046mf/LxF2TrUWBVtrxMcaExkAea7dDloffzboqtfleC7D7kwVw/
iJ76HKPONnSCz9f5YNmbehhYak+dPkN11UoCUvG4XWTgszHE5jEw4vxVSejhikX+ivCtfpnyFT+1
kVnvMabg6splE7zkrpuui1LpzyLCzcCdKTlEnbme4Khdz/AavtagdI5154O8jb32ysDqecCxSf0m
fYw3YlL+Q6z8aGvoUr9LhhRqMM5iDdC+5m4tDgznZpJ4AGe6Veae23/fdDN40NGOAWsoYz1bLB7N
Vjs5pW4C4S1hldOqSEyw0PATE8PijpbqN8vpgWd/lsX3hO3QrLKeroOwtILuRsZS7KuEr/RqrL08
ZyPbwA32Il9+BBQDHEgimhgMlHaR0jtAb0NxPQwlvBmnf3EaB/NBtTBcfdb5X/LOfaGC4U2P+g9P
zC9+Nd6WBjhQyn1rXk8WhwYs7KaR6b0p4/pYJ553PxCOeQQtVX5lGzE+NRE/OOCf51JPyVHm2Ez5
W/THWrZygFXmjvR4XDJqEbwDoUwZ+iaFS2RDhU6TixExcd2rsfevZScn97l1o4+e5jmfM5vig2MZ
aWL5wGITRpW+o5+4nndIfdVlWkuteqm5gTJ7BcPaGKN8K1kVFEcsrw0wyMxcM+TlJyOeymPfpN6L
MznyVfdIuF5HYyJOXuIg2y+hi2gn5hzUUEhxAGDoVdw52TuqG/ZSR0ajg8djIFBVaVRkHCQC9brU
9GnXBBXpMLd9YndNdGyMxVrn7M8i3X6C06j2blrTeV50/Zn/ctwGNF6GlEEc08a+YBGD20PXKmeV
U0zyCB5c2zOLPJRzIjYJxvojTxBKjvFy0y0kjDAujenMWVaeGz7N48zeqEtS9WZTbXtsAlfDa6v1
OwAqE5TlZdyyZrOnhtxqTml6yCOciC4d71XU7emXgs8j/XTX4sYKp8i+KciXrzOpxYfZjrsDFUGk
PEmbHDudFYUhBM0ZRn2Ba4Kyi9iTr73lihDA8bRL5ZACAW6DDX09HK5TUZGIJ5fIMiLnQRbVtIPw
Me97pBXMMWaxc/RI/wAgxhhd5zUdEyg9lvGOOOr6T63el177tbc9mTsPkQS73oWpFCll1f9dCPxf
FgIOgMg/kzbDN5F+gMpP/6Bufv+pH+omEqZh+RBngCx+Htb+ufs14EmiYOpswbB/If1z+Pv9GGez
RyARSGuJvQg0n+7AH8c48zfH4g/0fPL0i/b5tyyABq/xs2FOX7YOpgHz1SNCTVcdMurPcDoedFUt
SeycS2UFm0EtPtbKor2eBKoabjAjTcds5P640fW8Y1Syh4fcbrktt0Epn3569/63VfQvwfrlt7F1
Tq+E6nVmbHf5bX+y72HNWFJ2/cBIWxrnmCwwpmavolQC3iJl8oOy+xcPNSZdNYXfSfyxDSolXfee
HfqBV74HXUc4I0gS4OpCGA8kUkmOTK4TfTMmVn3bP/+NPzlsP69Ult8YGOjCUmFLj0b8y2+cUo9B
F3R3tkZElbWLc/dhsPmWbhnPuGsN02iQJ+PxA4PdBc895bq1K2BBG9SS4FPn/tkaZKlq/N5dyvK2
KxJMVl7j5CQsqiy5znvajYDst2uPLs3HNpGnnJXpuMFj7F6ChRuK3Z//rf79Y2CxwgbfJJlkIJIt
xtGfPgaWJDGVTaI9l10UPFYxbBUOdcxIBNUId3G0Du7qyBDPf/6yy7X283sJc4t5AzelybXIP5Zf
66eXdfQxtus2Ls+lPxtnI0/6MyWS4Nmi5PHPX2mxnP76SggkAEnhhbAO++U6I1c1zRJ18+wD53yT
iqToDhjNZK7yOtnokt760NInn9ys5ajiry6aX0hOPAG4UGBHgH912RP++vKeZ6VAjLFoLnfutyLr
nbec1aPYOXPRboDQV2Sa+Oh3SsjPU3TlfaPFoj2oYLIvRtdq9BAHJg1TZECKB6upTbxz/jR9qzWC
3rpG9VWI4m43exaVc/8XJttfLa/L7w+I2TRg4SJBoTX98YPS3d4pHSfSLo0+Kt7SpmvjFZJGx/CJ
blHGR5Wk+ZfYD+j7m2WydQFLpyGzsvfR4bOrwgk0Swj/YPiWNpb3Diog8Y5//hFT7/vrh4z+xUWE
gMa9lW/nYnv56XJyGw6SDRWIl8jydRT4a/AZMzzFRWgljNyHDZVZN0MB0GpF5Q1HJaNE/W/qnVj0
2lzI4rYWDiKuJ1T8pDLCNMjUsDRRvR9IP/jriHJyPK+LGExjB8JwlLXlWS1qsVx04xgfYUb+YpGT
zSEp9nR6iVszi6+Zt6yRraQnz+xi77tPUdpd9GkjBfCxbux+hiWi/OxCLFo2Swr7mCz69vwpdSs9
gaTONZ8imyxiuFp0cWNRyOds/Fq3srvraUZfRKTOw1Ame3QX07zHAqHyXeRpiO6cVqIvwacUn5ZS
e+0Xfb6uWzD1lPodDMhz7+lQQ4NAY8/v0k95f1iUflwLaNaL+m9APr2SirY4uOlya3yuCQSqIaVx
ipw3aU02CQUgoHVfB1eoAqwZaLDv9jxqTEX+gj2E33nieSz05GQ2QX3n0IqCB4cgH7J3AYfNrZoN
ak02b4fcj7caYPc36p3UBzW8LEEozWUhUn4uR8ZlTwKmQW2mz+VJs+xRMB5DEeA/pe97WbOwYGHl
QpiD9YsXkb/yPpcy9rKfsT5XNQ1Lm9he1jdq2eSkn0ud7HPBY30ue0bLGy9gdJISo89adkUBnGAp
XHuH6WSa80urtNHDJRQ03Mqrr+ZUZB2ejb7r+1o/d3lHry0FKXLeUeHbRYeiSbHwZSYpIt3TCJtO
Fsvvns8AeIjUCexQzwMRpYwinod4p5XcuLmK9bARHWGXBCso7Zb55CnMSKMIugvihRZXlIo46aqQ
ZKy2dbUki644N1puHLIEZ7o2rLwttqVIm2AF+J3lPnim1MXfCF8SJn3EJonC4wglNAl6FSFteAL/
ccRUsOXMUsyhD6p0DksTuY+AWqOx/8Ky0163RPiKTRWn/gfRTy/V13plQt60/d4/O6wdomNpeZ3n
ZGE5tnKe9i37tf9h70yW40ayLPpFSIM75i0QiJlBMkhRJDcwkZIwzzO+vg9ClWWZqu4uq31tZJaW
JGOAw/H8vXvPbQhMC/GZ+kE7LDXTq7aIt3Nm5vNebdu88gxJCIVnUVRnO0h7seJxWeVXpcqBPGia
mTJlSnNVwcqnKiRydviEkjx38oPWOF3mp1FnXpceVemW2ZQUp2iMWuTeVsQMcxc0Q1U88TDWjtD1
ZbrtK94BeINshQgIcGyenczVeJfbZLjCjSiqhnRg0R8bzTCyDVqosId4OHA5Y6tdHXN44JcfqN0d
+le8gZxZTY7RVTC22UOTRzBHgG6tbeIyBqLRBzi9lLGpnIcE8KPuaTFuRMIwEqQb6O31LTRXUiyt
yLEqX0AqLA8gbEbgKY4eMdfh5xCwo35m+YTkk08AXReXzCzlvSEzYlZIzUpteRGwVugT2Zi/tec5
G2V/AX9JN7ogW+EO4QSPpJDYbX7BAbaibYM4EsUbaVxFdATPkE3bdjSW+CS6sHvW8Sp9AxKChcoW
LN5tDz5C81tzYSBMSE5CJrVWp61HPIEfi7h+y8aRyiIJk+GpNczxo2oibT9YIywPO4WHiB8q4O8Y
WZlM26IZxIX8M01/bDtDPIuOlCsYA0pr08ueLXpjmNwBaUxS0rlHBibvgd84L4Var4szSTBtWRn4
igfskp3t4STg2kRjwRsryf0UJ55gzgvNSlZ3zi7ZbGzhYLfjyBbIh6Qh2fUqbXAQh0lPxv6uA1ZB
8Um/9gHupQkBg+bReCjLZUElL/NuwR5mrR9+fesj+xPvi3CTC658PgXYCr6qKC3TxXPSgVunymgM
wBG3VudpT1UQ8v/YU2VXRPe10GfyNrQKBOUhQn/d34GEqVqXVkJNVJ2KiNSfh1qumwY3k8cnYgMh
qGutk7sif0F05xwJvY9R2hFpxLogAfHbWJBD5U4NhgStm9T2FFLmJggbijR5snla7NpCFZfaCes3
qHaMFCI9iuWxtEOnPwVIr4fNDOILGKg1a7sKDkrKIbieP9MsNR6mviVaqEZsmH4dEQC0eyL78p/z
grDIR5OOi5JzgE1XkUTkdotHx/mqAOWDslSFODp0trm5GSOQBV17IhctMTaGBL3Ktgdz1yWp0Xlp
EmUI/UwW3CaLEmjOQS9KUf/I2ZDnoy1YUj5pq6yRxCDka0vs1+DzkBnrkwD0gc7PybqBJ602qJTe
dfLeOERZKzNl+nFxukZ8J1p5bt1cCGsguVXyp6ZcrIG8Y2iGK+6DJD4Flu92KbHk3k2zRaDVgCfF
ttq9nkNv2i8jlgDgJaJdGB0h/7srzEk/Kx2AeD8CqTGcwnmsIg8gVh49U4m03zGNs42wdbaDm0bt
iNZjHOyap8BcPzFlE/GrKOmbDS6BsOn8perI8+SP0WOnS0xWy1EJqvGD2T7yxcxqTeYDENse6doE
y67pCRHx42WVbMSyS7SHiQ6PcclNKF1uXQ2qeaeLiBTsmeqm9TFXctVGu2BGR9hNzt7RtpmPEHRq
NkOGNH232Gi8IE9PobWZA0guHn0Ns/5KfI94Tm7OW550zgtrPW8fCoeR9raXlZNsbSy/I1ysNyAO
oy1wlQzWF4M0yXEzGmGnE/eb2cO1DtoVwhCyov0Ka3i95eCABiPWuhQXTlNF2gPJqJl5CKY18yye
JiW8SxsFiEQONgvbRpH33V3GqI9jpJPCCIxsBLwEMqiHuda572dseTHKkMi6u1Wl/x2H/7txODYH
TkH/t0rshDqs/0znv83Df/3SnwNx8Qc0OiENjH2MGzk8/mmldP6gnATmLVdYHbZqRJx/jsOdP9b6
U6i4MhmXr/rJf6rEzD84hjt4lWm8wHblt/4TEf16JP7LiZJmBRR5uXKbeYiD7v+tD6ChCmpsuIDH
QQRd5Gkw9R5HrM9b1FwUPCCrj4P6gaBrOlS4S0aX2CHnOpRDt2+sfNhpNbA9tYtV1fvL1/i/9FSM
3wVsvDU+nKESrIBgAInqek76yzloamnpppIJjMU5q7xHrK7e24sJvTlRAiN1RV8+xUJXdD9uAOCE
msNoc2g9Al374DvWIvHYonCuiYqbrdz6iug6vMykMHWEVrbiLYfphWQqIyN6u2BfgywAPUK9Z2Bv
t8pGNzvF3pOguGx0NS26aCPAsqWg7HQrbb5EqIn2GB6JsfIcI6uvNtCJeaNbxCO6Skqys930ZAXL
OfHpOzzXNgCi3ndGW3vAPd5/ISqaoKWmzon7zMCauD351h+MLtWrHsAHcQe9qRJUbSWTTsqKSWzB
dEbZsdPKDNgUIBqYaz0PZGB0GwrqkVIjeJmCUKG4XJpjHSZi16MT+ETn1tw7oBc3ZtLSMy+PFfGH
zxbzmQcqhRnRbN+dyO0eCEgbFNo+dBnczEnMS61rM9STaEvMKkkMUS/KK2mnb6qWkCAXt2W5obke
vcogqCxX7Y3xTglL5RHhrDMRyTmz+cbDdA6thTlSmN03ZPThz3AKuASjifTLThX9o2nzhOld1LoT
og3IdQDezKtqp9UVn4aGX9/OHwxCL1f6LfiHO+T7rfYlCRsyv4QS3y9LTXxhILecO8bnWVWR9Eda
cZjMythlWV5sK6uDUyoas/daDWDeUlhij39gBY/RTtcWFY6dWkEpoPfuiTo0H/nW65Ntps02Qe1x
DAV1CONq+xgJ7J/kEqjZa9WJ9rm0yuRnPQoLxlevVE88nZaLVsjpzIOZoE4S3rY6sRA+Qgz2bmZE
HiA1pIcUB6jZokHfLvVIc5JuefQtZdm7mmwmr2OlMQgKx6tqDeOFrsZwMsa29zM9dnZ6zSyhU5bC
lWOs8YE67Rp1OWhUdZFu2MQRSxo9GiefIW1nb6l189Xgj3jKlCkuKYm9bzij+CZDpsR5Qh+GYVBw
V0OkIAdtavZ6pQ+j1yWJ+dZiN8TtZkXiIAczaTaQ+Wdmy50FtGsoJR5Cy2hb25V1bhFB7eD2Z0bh
zJss5ADimugcnhF/YHXTlayDuNOIkwPcxPAnvsfDYC0g6nNBmnYI7gvm5ci3xwyBUmVIfIak0ZYQ
aZKmKa71zxxBiMmgfGyeGWkV5xUNw9e31OkdLoRgy9g18KSNtxd2pb06CDM9GHYD+r5sIztnJC5d
jY2dlZIwDG7oixONy4dFtJAfjK1+cEy0G6hRHRoLghRcdsLxDQel3WCtMWfVzcOlEHhUmxT93liM
s1u2jfVeAITsN0ZNfLJbImsaLlpeUXiLhUF2TvgBFl2C6vLzXK40X2cehkMJnIIuKpsIgtzAzu4h
vpgwROJQ3reZPj6a1OEMv0E/T4Tvtdk9xJ6KnDj07i7S2FLZNq2AWFU1i3kx2Q5OeeQwXe+DjOq5
K+orvJ0ONmAmtbugHuuzUnclfVmtVqHAJeWzVUol24geOZ6KGOFsskYB9XNGOw6L0dxhPokeYjmm
XzgHFM8YXphYwSjZ5NUI7Lwq2XxRFKafSUgbwo31uMCSiHWJo/ScKa8VTNXRI2fcuUpttGPfUvOQ
iwKyr9nqau78aBb4cATwjW8h+Y3eMIvhKrqh3k9ltVkUUwHa2JfRnoRgat2ujvRT5Az4pMehofFS
LokbkPL6KBAdfy3xa14tQu7Evm3a8EHX9YpqFIBJ5kkrat/LmSRsV8djSc7qah8OcMN+w9iMcNYQ
03DXwTJEeUBjiuBTzQYJk+JkvUeggATAGFpeDl/YAMlrdq6OAqCptsz2HeI7LxE66nLW2Zu3NEOA
g6Ry8uvRqH32hunAkCJ4BRQi+IdFxz7PTY7Rk8h5ZEUkFy8RjQE1l4WHCtg6ixBiFg4ACUpEbUV9
dDgXBwdy/fpTZ5vm7bLtFTs65Wqj4BTV+JCDsHwUpJ+JplKG2nrFPHDSXmLRVYeksqwHR4soVbX8
U9atw0I0Uu2edMwzegO2HCM7h7MdfE4tbCyrz7FVkUsbihxjnAp0rKr05DIbpbXTS6XiF5ZJ3hfc
6DqAfHu8ADtVPSl7uYHKJhmY8w9xJcp7Mqb1YyO16YRUQM88+E/Fm244w+egZe0pJUVj0+TltFvr
ko9MoQPFKjU0T0fFxNaRWIPt076IyHMfBrqENvNPzebg6BqM6jWExYulA4dVZn0z5o2jbecVA7uZ
ll59MZOuK/zarNMPvUPJ48/O2s4M9RA2a9ISm8n8slvlr5E1ooNE17Sr0ngg/3rA7g5mLn2hhONy
Rd9ATwz3CkTH66yaT+kUGLskycMcjRvibwy3kXbXxiORUHCR5X2QwpakxCrfCUruth34mk3ZqVyv
QE0wY0GXK941o875m/HwXZK9hGY74Ahjcfi4s+tWnFu2M+6ilkDRcBkkMxeCKsATINZlgVgy/cbQ
4K1VhInZWjADBgBTHcnAVQgmHm1lbXNPQcSUOhjxypc0isdI7S40gudHYCDx05QNqrYBGqxxUIJZ
uUX6cQ2dlfSEoPMuMkrE3SgOJSIE2BIbhylQ65GZilXFyPXQJ3d22DD3tT7HZKo/CLtEj4WFxTla
ejuuBSaHYD9PSsefxdLpbkM658FOaAG6yGTMc5eri068btZLd1IWi6N0kgxnMizRZY/sI4nXAHUy
PMqT5qtMGPoQI6nn+q7nof/IXbvgX2QNBL5TZuZxSBqeBDqGwXqfIgmbNhPDwoBHKwg6t8w0+4nU
FH1T1hYtNz0BQmYj6Z/cyNGqnV2aWXLXIKCasI1a+SUp7OmlkU59FdpovdeBnexKEximSyqz8gm9
RznaqM9BZLTNhOAizEGvRWLhkQEovd/FeSUeJGmKaBmq2LkPe6v66RSqHkPjCdUDeRGZ6hXlwMBf
A7m+mfo60rqTyZSnNH8V2f891v2bY52FkPgvx5F/sUZ7ZVH8+Oziz77768Hu16/941xnCSzQtBxM
S3JKwjPHnOZPd7T2Byk8TDWZc+vil3H6LxNy0iM4tiBy/qVm/vNkp6t/cLDDU023FbjNfzgh5xH2
+9HO4kzHvE6nT2SoTA3/fn6i2YwWG97uvixCsZEReerRUjie0XWvs5l+2Cr636rE5Mtw1PEw5VN9
T3NK3wnGldrZz/Zgp0eKtfRu6rPzYOukOyomQ+5GczOV57yV4F7AUsuGiUAPC1CubpATseDt2tlW
RAXQ4e4dj5Ht443Wi+GmcBPKF1/U5K6HgtdksAIUjkcx7uxa3SRp+zpkDgqpGOBUVUrPNJIPcI3q
Jsv58VQgGMIP1ByqoXkVNgC4xRg0N2FM4OeB9UIM8jXRxMfAvs/vVq9ZiRoCjCWEAYv2uykfRYT5
SEKpRLE9db7a1K8m+Fi3W+Epo8LHK2jDIlrFeTwo1qFp7AMO6Y7OPl/NwKQh7HLNXZL0p0yVyTUB
fLql3bQbteaPcqSEfAdchI/A16Dahzxu2w0Nek51Ku9hqHTEkIGkxx/Jcp9w0tuW1Mkbs4aePqT6
42j3nb/+ZqIzgo+dHq+6XJWmM19BlWk4szuxPIZl9ujM2eBnLS9JnW2cDB1XNqoICRmUN3TDx6pL
+CVtV3aateony+LnXACQrLWGSj2Y0dilMwMXJws/g0wRfA/Os6Mitr25pFuViJs1hXhL+xkLsjqg
6yZd5jmwgxTKD3LhSsmWLfH2y360+fY0+nU0v6yDLZTn2yKJ6xkhrs5JtbKgNtNnZ6sms4QE+2ea
ZgODhDUdQDUeh5g3FSapfkBKi9czIRa+DPPpaDmdxNHCb6sdP4uP7kLSHbaQspW+tdr1zcBk2kSP
E7Qf4xa8+BfW88/JIaNbYr2D5x1/QJbi2i/8VxIYkzsIpdiMnU3Y/VDyOznfEsW0vZEWYGSV4shr
2ub1dr0hlkGsRzfqdSOfN4xYMsT5culrlHe9aWdHVYQ/uclZ1YidKCNYnbbFUinXeyGsu/lLFvGf
pp180Grh+k9gehHexZeerwun1vPMgMcfa+4Ty4LmO8LRuIM0X3mO1b5aKX/QtLjCds9isrkbb18G
GRKDNyr8aJXmHzmMJj+gl33MZGv4esCizdI2OM6ora+kn4MxxM5H9wErvdZV1XbJpQTyVqqbvIFR
XasD7yGM2hOdEEJYaFGdtRrYat0t0k85LXhoqc/xCN8SzT6rDFII45oivbMlN6qmshFAUGBkNYeZ
r3KfQByKH4fIuNxuLy1Zlr0qeknEOC67Hl+bW/YcudScy61HDnTNSC12EyI/fxDrbZiiarhdWyXn
4ysBROABhEIoWAJFBRVbo8vr3Vb5YqXLtqwaZ4euliIvz5wtja6MUD9M/7cFsK5wbvHHWF9gAcxs
YwD7Ol9fnGV/u8xdP2rcBywjzBedPwAw/lbFhrI3Ij7qwgTDK3qh7ANHY/cy4g+UjVwCkf5EIK6h
HefuURXu5lzrHE8WIjiqTV+cGSZOF2MydvaYfCj48IFAgIsIUrm647kj+kVV9mT9gebGGneemZZt
LZNFVuRacVZah1cHmM/em1OhsjkwDaNZrO+cKANMDMH0HIhx8ECkmZ7VUc4xyIX1KdvmMJoAIZjw
2ZspzlWAV4RBKXBPgQ8INreRS6dYqbMLevkYaY69WwSne3rz0qcTMHgAsyoPsnTsjT0nUm6Rco9b
mX8sWJ+3vUk6cLdvNy2z2IH6Bz6F6KIHo2FJNIb+SEMMilig2K6BNIrHzshiqieotAgqvbQk952R
MAANU58uvZX+RIfMVzNzB9y+a+KNAenn/MlecF31gom3PnXtRrENtsBVgWxlSvAAZ5ZxallnOzuo
f9ZrIZn3NBIC6sgwZj+hDRFvRdN8ci4x/EJh8k8R+JKXTDVSJXpQxv5iYdFcS+fwOMcTrB4lazMB
OWlWfUkCJbGUkwK0ZsmW99TIaDaYVASm79iiVTgUNcmHTMppg/LZgbylymcjTLNNa4PGuGPQ3B/j
UeUSasBzA8CWQu/9RMUhF5Vx9xCBCqWwR52JV6VpJ9ync0o+EO65pvXRk1fCM+taOVZB/00B/v8d
htynHqtl74balP60a01ZUCkoy0LOBMfGfUdS15Zh1ORUbqPUmgfflns+0en6hTyKNmj6gjtnLBdl
m2kwXS/Ip2wLZ6De5vtuXjrldQ4BNUYg4TLojY5GMmuTgcOs57SOL8ZgytkPIQcpV1JHMLhY5vNf
SrH/pTP8mz5Gty3kRyiqmWWoCNh+D0vKHEUuZIT0eyuekelCmI5THi5aYT/3TamxrLjrdMDXm///
dWnHV39rla+vq2NlQG+uWpr6Wz2FhImzflf1e7GS+CcyQ10tTr8Xo5Ii2U5//v+v9puo7NenRK20
9r4dzNy/vdoyhoqOq7nfZzMLZK0EnBSnEBG86q/P9d9DwL85BAiJE/8vF+VfTgGkzjfh3zWy//id
P0c76h8rfcjBPyDBY0DQ+OcRwDb+wM9FgIe1kjYQnvG//hzucKn/FMWqf9DQ0NmyCPJlFiH/k1kO
pIDfVihzJkp6B80uYyXid9c19ZeJiSNLeqOlne01O3wb02hyuxZaL/fRK1b6pwYNesHQ/dXOxSum
W7HtrXnLvnLsZpJUYN/Lg4Z379CuOSsFva+Ds2avNLOKiXzNY+kGp/k5B2SFlxFpLaVNbosSZtU7
CBH1qtxSXWDIbLSM9JnKjuNtoBR45kLrihXSfhiXGIhPl5+KMaavPPRrsEJd+60iMWyMZMoQ/eLV
Q34/txJDeUfuTEIATbMm0RhtYGxKa7Q8MY/9s4wdiBhrdk20ptjoingcF3Jt2i78auqMSLGfkxuz
pt90aw5OsibiqGs2DocOIknWvBxbs3w9zl56RPX9mqgz12Tr5ITsACSjVichCkVbNX3EaxZPuqby
aGs+TwUcb2dgi/Ibmj27cc3xGXWyRPDbfe8SMn70Ne0nXnN/KLm/yYEkIMJsjsmaDQTPZ9wka17Q
0hW0TIgQGtcsobxutx3hQkup3AdrU7JX6mlfaSTXTFYprk5FKlHHMOyrQeMzp4cNQim/psAmznHG
uMlNyH1MiT/I7ho6JaMvAVl6dVGnrz25Co/EWVJVt0pHG6YAhFiF9E55RgRPbELGSU/nhYS33Gj2
eABrdvcqvjRlNr4GDlDhlWH6MuVailei7Ik3KcmGiQYHOcRItY741H60xhG2QqahL8kk0oFOs6s3
K04gGNC5y16KtOCEksHGU2WGoKS4cbFFRoxUqFbN2aqlvWE6LvjyHAnfIepJ2WhlVcC8CuDULSXw
OzSKkJ5qu+ChHiMoQzVUokpVeQSeZowGWzlaybsloXBvmIeBwJOkHt0karYW5Cgg4vIJ26e4aOZU
nvSVk4wBNHmvqgCJtiMssHdxuohtnmD5pIaaHmZjoEZHOFO4fahPSEBgUCx0GPfo6oC2GAzkNk1t
I8tVtewFxp/60fSWdlCQwyVe2HZ8q03Jz9DFf+ALVDxs8OgXOGeJZxJViMLu+JMki879Ri3C+UGG
LE2j53y2N9qBD1/P4XxlEsV7zEuVrAGzh8NeGmbqaUwqfLy9/EGwWlENsgP034xKdDN1efUWcf/t
YpP4Oc741JbBFLeQLSM4hpUo4gv6AbDRSCB2oteqH8ZE6kLQl9X97Z0lZNjb26EX/PlMSusxXHvU
wKAN09OCyH7UJ9agvmL+shVnXhhF/9wm+gjxBk2CF68f/BbnQNJh98Wacn4wW9EKxsAmsiHMfvZV
pyVUe9ST99tKS4yOV1tCB7yGYPBzilfkIb6z8n6sEMq7IMxh0BJD8qI7o/w6FmvaV5fr1iNuKP1Q
psF0FZDPqX9Bgkkabfq+GrioPSzFI2clrpqk5t1mSE2/d1YU414szXuIyPOpDoS80pm1r2Ot5H7E
isSS5RjBuyPBteHsighhWWG2ymDzitaMqDALI+WpXGrM5IyPnrB0ObsSMJd/u1r5CPAwDmd0X20a
FJ3HeMP2yoRvbrZ04yzqVg84Ga4dVDPkz/cj8Y9WxiSJ9jqcYxs0BEQQT9Zl7LXJcmmL6DLAt+uV
9nmooZwMRvleIJMKYe16jn0nu570i/AhGlQ4dl20z5PmpzE6J4cZstvBjS+kdZ1abasN0a4zl5ew
aWkeq5N9NonBImLJ8FNKWVnNpWfLorx2PMd6V2olXqRYmFcY4V9akYgLImCgpcLGTADawhMW6ss4
ny8x1JZxSiBXlEetsIIHBHDTvZgkypkynDmF2mYEVjjlOOsMuo+VguiRCrfvMHBa6+y0jjYKSqYi
nDxkYj/qYoB0CTfylCx96xcyFwdNGp+N6PaFbTzC6wFjO/Qa9PYweFNC+doq9ufcl9g4CySj2ZB1
eISLwVdybabvvxC2gDRr8CrTLJ8Yqese7YTlez4YQM1JqVvTObdVNz0VSV8dHSslLgO1hGEsXODY
FNup7gM3Gef0nJriC/NBSWOARJBpzg/I0rT9yCa8Ue2+YtqZBgD2sNGFC/a3snyr0Ui7U1GqZ0wW
1rFh4ZPxRevXGII3VeS1x5HX7cWMu766VrFt/YglsEEkZuq7ZSrY19P0mTl08g3LouZzr6Ou02qk
gn1BTBdxUCv6Sq/dYVnYD7Qh24e4shl1YeTxFqp+J3iq8/Z7NHcBABZ7vgAmHitfCwksgz8rkSAU
C/IFpg7FuRTmJWPPf2RZYXY2A/GgYcf10WEWsF56JdmnRVpt9BaMQCtk9aM1ON3SYzjMOVxiraq+
9TAZN7XdOhtwuK9qQPtCLXnaO7I2iEvvP1VdfaPxvVPnOvgyimp2mZANDHlQ6ZU6+YuNjnlsLlTP
5DaEdVeEr8hbWwYv2qYj1PNMCy30KRLs77plDFeLJIIvKbA6agjglV6rm/Nx7IIRs4sMbKZbQ/Il
sTBX662e/2jBCv7oONqAE86ttR8YbGjKE9yBl3/LOP04hjnCxaVTL1aQlI9IkwnjjWoqKw0U8lg1
9qUaqvG9UOfsfUTUeDHxw3sGFZbbQCzaMI2FUZt3MRlLUWHUXkAqneOaUxKeBzSa4tjKQDCJaBnr
MnLot3ZY5yq3RPjSmZNyb4rGBjNGrBAXEd9x0ISKP6RJf7aMRmfFFBwfy9qosMEsTHyMqS8vJe3i
o46E0w8QctLRrIMXh0TzKyksceIvbV0UbucUyqULbeNApZDuhFrWfjyhMsfAU+p+1Ew/C1pG9yIP
uy9jE497nBD1V5OxspuxF24IT4BLbY0cy/UKBIO1HNKcKoysJeWolmxglZD1viTN2auaLmHwPQfb
EpIkbysjLFTPPqw2s922Ccb71FTUuyYoGg6lZbOrJTKQHmmOR81wN5FdScz7LpQhpm57eUuahplx
UgzEPI51A2gyFW4cgRTIdRUIW5Pqu6Vc7sDqcn4k+M2VPRxII2uHhyWlxkuHsuXJNdj380gmZp20
496GJPlGK+dCo7r9Ma7Eudqcu61TmeGWgVrFBA9KSIMafgOzjVtc06QLfBuxlFHeF9ZEsJbTz24L
DuhFq6bdNE7hptWWp9nUrMsUS/quNuMkcsR34Bgw1IvGZ7of/qiR6Ggdj7yhLjN/iJMepco0HWNk
AUC42uBAv/AchzXKIcPYYNpKDvNiTqcgIeOdADAlApRA+NHVSdldxcnq6UwNfrIikqpdmo9J+KiZ
SY3Xul95znzgle4MXz/kkXDDPqe/GNDWDQg93eDQBqUKVp4bNHpu4UdPN5S08YsrzXMbyHR+A06D
GgE+HaU3ErV5w1LzNPxK4sQjsKJhm9/Y1Xo/PgUrz1qsZGsA8CWUVkO/I37jtV602F8q8xo7pQKd
ouuu0UrJzrCh39cW5Ox2ZWgnK01btKK7G1fCdgxquwlnIusM6Nv2AIcbrK1+xEY9rgEX7QNxKPJM
LEl9DVeGt1xp3jNYb2SBgVvTMPo2rszv+Ib/xsJwzBWI4GGC3i2t28KDYzahFIUcXq0McQKe4p1q
0z1XgDEAjjktGoU25PzvlgSCqtc5ZBKRelmpf0Z0Z0muglg+hwvw8uQGMg8JGvlQidT5bqVGch5X
4rm0W32vrRR0+u5P6tA7TBOpZYCkD116WG7o9GXR57NORuUjYtflawbO666N8k8OoEylSwkDxh07
JgSwEcpNDKC9XkntnVLn3y30b+xZQdehfo+HbbPS3SlfTF8yq79ip1s8aqCrttLgad6GrStWRryq
O4AnVm78tBLkEef1JzAwxXm5Aebrucvu06JGF7WsBHqkKcDog5VLjwiZR4HqrBMXjobo3cbMsb/b
4Qq0H0JDoFmBcs9EpnpbVvL9coPgDzcgvnmD4/fqWDwXa+ilscZfBmsQZsvGiNlhOcRrSGa1xmUC
iEkvcdiPb2IN0zRvuZpGETF8gIlVupIXv69DihK0jWRwFjFxnNCL12hOELe3pE6q526ZvelXjCcU
DzhmdTv8jNaYT2sN/GzW6M+JDNB0DQNt11jQQWvPaYN4ogqJDDVzdXgIo666glwg72mNFl0SQveM
sAQLuwaPJmsEKW/sCwe/YGM5UbmF6WMfsltm6a2V8d+uz7/r+ujWOqn9vxW9h+/for+hUsWv3/hH
z0cIsKcYIDXiUZAJ0hD8Z88HDf0fUtOEgXTXtC26L38OfSFFqioHOTqHyBfNtRn0jw4QEFWoq46p
Sqa+qxX3P2JiY6f+ewsIrJVKZ9I0Vz+9jkXzt7ZhKoKaQVJgXkjvUQ4hOJj6BOmBLRA/8UxE32rw
SDUOm6pjZk9LXBnOh5DWj4hpwxPKVg02XwnPyhTT19RS4hN814kUH2gmgVvh38/JQmudEkjgMndX
QtRCnBXhONZf1KIOFBf/UKblp9SBqUoFnyQXS0Zo83iS2lsUNMUhD2ZismFfePkswk2RZzrOOtvY
YgZiDJU4/WMKb7lxE3UMzhnl4rntsV/N5lAfpdOM33HyvOt5R2XntOpbNqJDUqu4em/yVPWobcyD
qbXftCYRfF474pBhSQCCyxxNeySe+pYLpVwKdMSEPVrDNlJt0QReAz57aIhM7UU+bA2Yypx0GHLd
K1Ekv2KJPuscjjciniqvjSP1Orfriaiv4Vl26ldo+M6XyZjm+6mAP11J5+s02aY/qDMxAUP+qCdK
vdf7Rl7IyGgOPc0IT02gzaJaGQ+GGcV3jpJ9c7qaIxa58L5B9uepzpnIZKUyfLSpFRzmwNC2aSGy
H5BcGn9JbPFDQ05Qe3bblHtHxj/6Ho0N2W3TqyHskaFxnIQ8L2ycc3lmv6PLQrNnJUhn7fJrHudf
a4WXBu2JczMah7egYyBC4Vf6ehrjyK1WKBFTKo4VzDgMQd/bAWa0TPqKYoyqw7oiv9RDa25J/YMd
Qwcq3dPJqGMXsAioEOb1UDV4/u5Ukh7nDURS0JhmKsKrnor0YZ7b5T5AjORFi16fI1JBVoPQZPAq
WkmLzNJ3epIREg4EMX5ijpWdDSLHzxHF0510OEyaUTA+oKdutkXbTp8dwKXCFaoGpjRVkNgQCc5Y
ZNTFLgdYc6ZEi/eTUbTnDoZ3CRdoDL9HMlO8rCJ9MRK05lyQJNZJ0G1AC9pZKl4oZDxm40D3aQqp
Fl5tDo4b2m3/AgsbZTp5ZJIc37TmWcGgfyPDaNhi9UEXrOQKg+JcOqchB2vmdpVOVCkVXbN1kLpi
lRtpf8H8gjPTfgl5LubuwPTlZ0nvzrftzGHgkZrnxlC+m4uhuhDREyZSEOJgxCv4raclzKGTa9XW
SlTnKw2p1B0a61QFND2xYCKgDQ31Y2CgtJWc3T/RQy3HZcqHyDOHyNyt6G+XY/T4igdbe1DSwIK5
BhmnZ1IXAmMc51M5Knrn2fSZjyijx2qDLSryZ8LsHyyDydlSY98zzanYYFiWhxb80jUj1HNnZ2P/
QiZwSep4Ec1M31OFQ3IYn5SKcEkDcWwOC4GPhO3aJqMP47j3P+ydyXLkRpZFf6ghg2PGNuY5gkEm
meQGRpGZmBzz7F/fByzJSlJ3V3XttShJZpWZZAYx+Lvv3nMzd6C6t+6nNa6PhOMVKKh48NS3fqzY
3Q+V2ERECFYRJogFFbbBOfLy+uY41UoA23zCk+XcfbPb1bmprgMnhmUxuge747ZGWTbGfRxkHO4H
p7glmaGtxSAa3CylNz3CICvPkGuNJ8MgWRXrolppDsN7N9TD3pviKNjnuBCg1Fcg5xkZzLHUz5w7
GaGL4SG0qvo0JXj4eXjql6bjx43MBxc3w63d65VPOc6g71UlPtHanUtpVfmetLmxz5oOc7NosiV9
lAZO2iDc1gaB4CAunzS3nIjWGmb7yJA1/cj0EguM5k67KeFADV1rzgcBtSFSakT0G9np1u3GchUH
PMh1Q7VHULnjN0pxrE1V5uHSgQF/1sdcQ9jlQeSH0bAK4Gm/moUe7YiMytkxjh/YAkyFXmI7r7wE
1c7yfe2HgCqzGIfIXE6O1f1MAtzSFsaXewNTjIrXDOpopb+HKgvXFaAZcPV9T8NSQ3lKGVTRq6HC
9lRn8k6YoIPFCv/KrGuQe3PxgsqZAobRUzdd4JZrojqtFi2u8LUVOjXEOyZJTqjeilh7v+rcyPoR
zsrO4I4fwHgopOeZCfowxXtYY2I9RRo6SFHaw0s5sse2RKnujjf4yJOFA9gu4t4wHSzHtkdZcZyO
5zzqNB5YQIAGO7beUtlj7HDZdYqA+hqlF+J9wMyMzqq+MT5gOx8mY8citMxYxwdUKcdiXME7wwbk
y7vSxZ7Tg07A2hTOOtUnfsA58aGVG/cPQ5mGL7Q/4ATvsmYxOXl0S2Qz5QutCodnPXTw/5qVe8Al
XXo8QQN/x3OTItVWPzXkr+9KdbcujOmwlfSpEzpJlzbX3lMyGdlc3L7gloA15gsMFCqM9r6n3VPU
Y2blumAVbQbh0spDbxcDetyEHrljjIjZUveCExGQFLtj0+1naRRJiOrdoaQGmBsq2nQZ3c1hi1XJ
YECkiT7ITqFd8/geguE9ivVyq5HMO6q+cT8EKEJiH6V2sZv6gdCM/ag8EOuTxc7ZpzIHNCTGK+IN
W69zu3Vlu/034oXdwXay90Ql7T5K3BAsFG0LPYPorlPSdfCMhs0hZo5jsRNad7AcxU3NResYuu1+
kSQP1Awbr5RCDydKT7EQI+32LyKOqfNSvX3Kyjg5GLG9ASdTLbHVoT5Yz6MGg1D3MrkmjhIsXLbf
T74Xltuu9aorNa4CX25pbvQq+OGxJFii4EZb9C1mLpSHXVNIdYoIUB3h8IXfe7+haLLpi1Wp6PTF
z6p+2pV8irI8xwqVuI+wkO1NK1J2NTSPL5zEPPc8VddAF9+ChrEBn0J0TcriJAdtos94PE2BsL7J
KmVBQnf5mqqSfgtmxd/EYxq81d00buFZ1G9MKYywfuejLhj93h2SbiMxrw+C5wrGc7EJGVXTeWqU
HUbnzmZrMZkkTL1EHXwfHH0ayuPYHt2C/Drgsay/WLIIl5Gn01Wru/Jbojn5I4eq9JhXHq96WzAQ
xUPqJdeiaMXWd8Pygl18kzmzzXbUyRiY9H/mo61to8TKNnpkhCc3yXnsGEm3C5kaUeqGxLkhaI37
yJLIrl5H6DFJbLZvwxu2rWRZQKAhGzEIdS3ZAi1TuxaHQtX5xvaG8b3zCFgsiOxzSEmhY4HIDKt8
4bD/WNmFGj9yHFZvDr4onWPuexb6wYpv5GfWZdUmQacAApJrNUAN3SMyk2LVUTU5eIgoJJgECNFz
ORrsY1JsIEOfVdGSZqtP+qkNelTVwCvNwSxs+/P6Jk2unHuXuLihXRqO2uhByRt0CAjv8hxA5+S0
GYGM3wWmpv/0SBEuWtx+kAFYa1AmEK5pr6sXHD3gTMj0wXYVVrdGn5B+gmZe/Rk0ePKjfoOkEO6M
MQjWbt6VQNCmJmWl1jVLdhbNqhokGnTlBu73KtJn213n2otY6Q8unFDi6lOYXMTQig/gdPKqRqzN
2AAl25/U2AS5krl49MagSwJKvr2o+KBTp2f7meXSz57o2EpT6xBAeU6P7ej5xdMw9XxqgIRGjX4D
P+ekvEhqRyic51K4/TKnlnRl+3FKHhfqzEoDxd0CJJzGH6VTRp+Dz3fIGcH+zu8p3kD/wME0+nKP
kAhDV/TeuNIbLz505I7PVcmvLhqneDW588x0qjd8Re2cEhtadUhE29glxkIiZcw/60AX5yIevT3G
N8UdzDB3cTvnSeHnW1RsvT4tWTYUwLmqPAZkqNZsAup7PTvTEier2S6V2YM+0FlDR/yECBsN3c6S
rTc/DaC0VajfhcURxhiaDDplnO6cWlprV9rGUc8bKn70miOATTaehdC4sp0J26Cr8fX0tCy+jXFv
veB+xMHYgP7Gny80uLW6JMPOJ3cfqN1bxrKdXgc7uIaJx8dKY9f4yBItXPVJCAK8xWp2pvHMWEJ3
a1a1SU3A7PN3OqxIpXf1eAuzBGe3QRmz4IzclJRbjFmSPIWeBKrF0ZOZqekvU67Cx8xWDT2AfNiU
DCVbzW+ZvmyAtxctAPhH0fAImx6IyB7kZfUYBJneQo7gl3Ys1vZpU+f3NvTJ+ZApfa6jWnwXtNx/
z4vwOchc/WRhWgT+kuOPM42yhJziQ5AkmXF0/ax87EFS5StyiLl7pp6DXGRUvZMqY7lTqjGMFlqk
g/wYdF77sQrJsur0DF9TOcmXRGeN5SVDsPWI5YZ4moWxZRRqvyHgDJ+9JrBK0fxNxW9YrviO8k1S
Ix6txjpXqPmtjaZf1Zx1Zr70Kojs4VfFqY8Tv4b5ri7G6Va5c1o7J5h1r0M65nUalVjJJJggG08D
ZEsOcc8mPd5HSiUnGxLlPqMu9EIHNgPs6HAx6dqv0ivUN6xhgY0zzOEvx1KoWOt2OkEzxbzElT/o
S5W46qpNBVuGrgy2rdHLO1EXbFKK66pWrFpEpYeHwEiR4jn5UqnkF7s8CQSV8UREmT/ng6yw65Nt
criOc31uglb4FaZqgM/TxElWfS9aDKpXkSaNiUfPYRirMFfr4HoJpy+7yEHuBhfvqE+NXc1wE1CP
d07EKi7Oe216afOxHJ/UoLH4pZCFgbe9dXpjutiXO9dwS5yU9Tgc+Uhqz9sUYRWxcm5EwZ7mvzIL
Sr7FOvECXGhLyqV6Iuo5Pv9B/vlf/GYUb/zJ+EUCGfs88RakYR11Z85p/9FWU1bjkEhTDBfMV/ZK
8w0qtAjfsMWGYcQqPXwzMnPbJ8bBTO2NZtUbOxJrzw3OZafWTYHBvte2vkpWOOT+DfLsLzaxf3xv
DiHumeYGcg9D0x+/t0z0FVWmxnApy/rilpwVKXTtL//6E/jfvgiOopndB5/d/esHQKvTyNBLADU2
aP7if44mN7lbbL6+zN+S5L+VJGEi/uEn8j+MaHsp47yImz9mUQQzML/pdyeaCxWAIMpXcQwusFlh
/C2M4gvQ+rbjmXNJHqmUmdr2uy4JkxHGMP1+pFj482Y18Tdd0nR+8R2X3iUMZURRoBf9J9Y0aIh/
vofIoBgA8riPMMuhGM7d0H+8TmMnRr4RTXQYK9w1bEdhDNosuY/lV+4K2qC1sjqWG2VawdduA5sX
lN57ZNaxzhTVjsrgIFh6c6RLfaW75FfSq51DX2zsyX8BmCcLls6xsOorIUYKg7TYFEhAYL3RwEkZ
Mq9aSEjwRBK/cmbBHDkj5+7ycpuDaOork5bP8TSmCbPGe56MpNaGIjg0TUCWzfK06lfKU9yPL6NG
6/ngDpVO/g3GSNssJ8827JVAaDJOvgE1oPEz5zxYGG+yvqOnjVCd+5Wv4yCHOZuitvixnAN44xzF
q0Mju8+uo3ztjgUlOok3hvYit/WQaS8p79Iu8eiE0GV4I0+7cHD8g1HWsIwib8sSsaaKqogLAFd4
cwwCi3yYA+GK1WgHFQEO13iRPvny2KzlozBGzMqR9Rb2U0nsePJXrDvMW2ck9b6nNGsVCeMWOapZ
2bnjrrWJ5ddI2ONmupok4T7cbZ0zLdXQtVyUoxt9OOCZt5ZbmEsULAC9WSZXsTNW9x5iHh97FIdn
jp3WZYhyig45g3QnfVhXRlFcgrLOfia944NLs3Am2rG3RAhr7objf9gBWytBw8gSFhg9f/AkFzCp
X3ycfwtYFDkYIvvQD0W2dEFIPSZ1Y97N0R+PZukOt7jRq4cyjX5NDDN6twtnWPHSOCJNTSt77od1
jIA0olMSJyzG7FHWKW1GKTBJ2qThlvGJ4D9PH2qZtBdtTLsl0KvmG9ueAMOAMV6muCErPtq4322+
U20cwpXeB+GT8lz6wqU3E46SvGDShumEb6IsxdHE6n6Y9O5T8uvJAlrygY4l2EL4Gv27G9vlg0fo
HwksSJDfQ6UuloakmZS8UVJ9LLZK6/K7TtKWKoeuPRmpZR0naSzK2oS3xWV/LkZTvaID2vFaa9uI
XmfaBEsrlRXDfm+tqjQdthzc4dORKHZMvznokXPugQC5C/aSAHUKaPBeMnLuymWfckYkbD7q0Ps6
epSXjmqfNd4I+BTuHr63TeAerX7O0VQ5boguuUVmfdWwmomppsJJWnfOHnKde+VHU7runjjo82Ti
s2Eh+pa5tdykUH0mGgcN4kyoT1h/jnL61ELW7AURZnrZ9BergzDRT36wK4deOw/U262DrgxXiW69
8jBsrgb9ERsNVZz0S2jDyGmsZ8uhp21MaIjOgpp6aZb0TqIdXI5siyA2XiF/k9N2s3orMSNy8AXF
HJNKbaMF4Rfi97jEAkYITL0LlsIk4McEtNBQxpuUyOvS4igEC8SUD6Vnh/s+4WOmJM7c+75DPHUk
UZy3APdLXthblY7O2ap7GtHNYV/TfEVsSjTDw2C1zxh+tJ1WTURmYBnBNGN+sQYdD5JmSX9VCebi
2xQMZkbPE+wj8tJFBU7BcZRPf9ZEfbBBCj+iKuNGhD2+su9+z0E67EkZo6rG4t0pe7tdRLXevjU1
f+W5aW9Vl9I4hjJnBDdsLmk9JI6fWZLzXSRvE49dOj7naroC4OfSzac31UEtpxggWLLzb0/xNE5v
/jQCW8pivXqsaoxTOgAu4lPZtcAgCBHX51x6C2kM2pslMxHbEovDnrQJ9xOuL/Zl2geo7nkrVyC9
/HubuD/LAv02NCChDJEnERU8aGwkrRirKF7Jijnnm3Ujg3NnI/aXsaNthIrUxjPabAP6ZeQWz5Ez
x+45klMjrN3U5+2BmF/U8W7Rqo9US4oJUljSkbOIGMqvae2RpyDF4e3SDgHkNFq18zDywn4064Bb
JB249FCqevt7I+L6EKkM4haEYvvXlqs/XgpoduiwWuCSjndK915JzWNIYMd+KAzdO1RTQEmpn+Qh
TYPtnjaH8BrJTj56WmK6C3zb7hbkJReur4botSSIue4NK9sJcsTvHqd+n9JAttn4oVvrFEJIQV2y
SuQwNXSgAkom3cHs+36ByRl/AI/2n3lqcTSHrTyc275pbtNokL6E9cvwTOynxAVi44leWCTnX/TA
rN6rWo9feSdjgR2y7ox1JbsGve3/1MeoUzSNBuZdA2zwogHjumQ6eTYGlB9ZZjqfdu7bwEYjs+oW
nd3Ldegz6NhFvyfsny0bzg/TapL1vF4M+BQR6iLvuesn+4Q0JT+1RE8wX3QGmUk6pYcHuOHOM+8R
f12y99h0rDg1xB+3DJbYfaJwD4N//EiZaiweRiEeJ5pob6PL0IP3L9JuMXnXcmGYWf2aTEF6MWUZ
hlzFreUuDcqu8b5X6afVVukdG8EjwR+CSiQygj0LqwzLXcTNWhY0v6qKbNyyGRpvWhgNC4X1ZPj6
uZTR8GoP0/CDnpDqzbOsfpNrCQOuFvqhvxirSTvUIulvuc3zhtBkTYBcn2jsqnPiQKbmNTsc+mW9
c7WhfPPDMfeWkwooURGtiYU8TiqkEzdLXmC9W9bCK8z2TmAUW702mhV+s1LuuediRmxDL6flZDHh
8537a9Ot9dfAbwNrncc6VCPRa7BL4crcA7/UtyyyXAJuHR3JeJoxJZkRgq8tejZMqeGepqGtDgKA
Eo3LFH1MPbE9CZeZ7FWpliM+1XWlY2lzEsJzdkR+aCGa8kF0TQvpxPZP1NLijHAxbaxGNyn3kLCh
BFJQWL+mdTKXzIUdgOkOAsV3wqllvm4tJk8gkZX6MQMKzoHO9sk0nF+tMPK/uVGevRdhU2wI+vVy
xSM+AG1KW622HPyUJyKLWX0fu7p79pXlvvV2LXGtlXhsjdAmQzeZk/mrO7AnbgNhPvsYruDEZeaI
MFaz+swLgm6hN/KfKXgjb5eY0XT30qDql6MRifeenrJlmdvlG9N5+2D7uOiWyWjor53iALkO9aHj
WtKbboF1XXz6FXuldZA54cwMSILvGE/ybzgKnWZj5tF47JoOtk6iadFK1ZARM9dM90mY3nTId9+r
3L2EU08UI6Ph19Pg23Usl6bWf7BaXyc7Z4Wr0KccFRmtNK6O5GzoidDdEjImBGfXvfWrTxMR5dFF
GT4Dl3ZZy0HWwU+vmWJaiibWt4SCw0vTGmo9GIoCo4TOJGXZ7UqVpgQ1pHcnwQbQ6ersR5QYHeDr
znF/OAnSMzjVnNpmB75OiCvhV8cqgk1fEOpc8NMklFbCCz5HxkgtMccsvKqBjaQT12ECHCa1ks8S
e1gO7Y5/lFokebSYw7lgbfQig1E+IZBFWzg+GvNB0J1qdjqosKnjHdM6A8yjc0bMhvDgqUxr4GNV
3c6LfcK6uRGm3xvPFfWCvTFbgCi28b6WpeGs2YqqY6qJ8jBg/zjxN5QnA4LER6DilvRG2+6ysuo3
oQ9gqpIhJVupeiknVtpLYYj6PWRBczOriuWYHtf7v6fk/0+pAQMv+ah/ZdzJP+P3vxS2/uP3/D4k
W7+4PngFF9wnBh4XmeN3FJ/3C6Y8TmDm3EygO8YfvDviFxd0H8Xwro3IQsrrnzOy+4vL/zH/tt9G
6/9kRkZO+R8zsin4Lghw8dTyCKT/eUbumNZiFY3aPjDVuDIrKd/tJMDC25Echb32hXyZZvpL02mA
YNKQWLYTQYdRX6AYMTNjgpke42JguSrSCW/+F1wmhBaJKW1mzowzfSbLVf6W2YG5J0pmXPHvOgSt
mNDOOGs8RSh3BtlQmO6QGfEeKV+Ud8Ct/VXv37OZfxPNJJx2ZuIUX3gc1ctcMZCU4zuumWykInSG
6WjmDNYZvyA75hdwp3Rg70TcxSGmhYxE7WTUwUzJo8KElT5PAOl35znWBYcXWzhbmdrwrLUsiIUu
a9NP6DX3EnNbAUXHwDKTgKh9AArECwtAkJZLx8RsATeobMryFcSOunSUti7BIsGI9Zvhg00gzKE2
tjnXeuF0ZC1VPUxlEr4bkcFknBigunBb84IibM+bE98fTCNlj8UNLZQ+h8EboSRN2eBu5RinF8/M
xgdLmjAQJvpTgCa57tDhuWFM7POuXjjWBK8rdm+EPKAtJXCXRpLEHMcy7+bYgq0FXbCPVGE2MLub
Bij5ZNLnWQq5yKEJHuwWLmkCG+DofdGfVCMq0FxyZkJ98aFiG1SU90WNqrVJPoMd6x67GS2VdALK
VDcDp0A2B99bjfVZOeOoKOvVToMC3dbmDPYFJv7lMAYKVrvoXmQ6lRUgt6w+DUFdHVlE9T99zC8J
26MZgwWbLLr2Vi7XJaaPZJUPPqs0wfLmzDhbC6DlQLWqOckW0rxhb4ldI/waydC80fNG58wQVFSB
kZcPb7kHUnU3g+HvUZmaL0aYxQ++svlqpu7Wj6LE4wMKxzqKLwJYNMPAGIVxok64vY0WVBjNuv0d
so5cOrQDv2p5WB9AEfg/MGy49cbRZ+aYIM4dA1gARYbwA5WMwGBBT1hoOrfoi1vWA0zKFz7Fpx/W
F9kMSAdUdZ08uW+z6K1mBBo/x5RcQhPd3DFpzs2MSnO/qGliBqjBObFwi1BZtOJyLZ68GbUGJghW
gjYD2EQRWmeg5R0E3SIr4Qq5yAmcq7nLv4+5SOZ2s5COTT4e+rZ0UicUU/GvIhdh2y5Gv58SB8uE
DzL2lKOC5S2HT60FXzBgRAp6pQf3aejN6RDZUbKrBucmvIQjqwWdyjQZziaLPoyRLsp+3QB4eQ0C
VrtCBpye3A5n3TItjQK3SmM/AnXGPTyBD1u21lQRV4j1i8V4fWqxrW2tKrEXTdGQuwH4sPaDPl17
Jn6XmvvlHjR4oUB39/Lb+DWuIlToyQ02sGKOtUqG+UdLNWTpJCJGbl8MUWm7oaufLY7QD1rq+SmL
FiZkk1G5D3PnXMzTczbP0XKeqMsumx5QKYx9N8/bxTx5e1MjH4baxH7021xOGpVa+DVcD0DmjO/Z
PMeLKrqANkEPZMIHZHrqkwNrJv4kU6u23awG+MgCzqwP2AgFSYKIRcPiQpDx54+Z1YRZV4hwjO6D
WWsQs+oA+6e5xggR/qxIEExl2T6rFIkSAbvsmUyMhJHPWgbRf37I02fd9MdW8RkGrX5MvgQQAfN0
ozfRt/FLHUEm8dwJvQThhCyHXKP33fVZUwkQVxj7rs6QJLcW2YX1EMvF6UhGXt9kevHYx3BJs9Ft
l8Ms3OhD2q+MLzUHa5C3g+uYYuCZ8XP/0H1QgCocSLDhmyMldLQ3+16/NWbBSDRE/ReW4TIu+ml0
oDXSivnrleqVFVxz9sfB2jgY7A0uo6Mzy1J6WBuYYWapilrCrWbn2pYuE64mVlSX6UvdagoaKb1Z
8qomoHosqliXYWSRDyB2hqvj159uEemHNA7FUWV+tdYalk/L0h4pIaeZHJXN4/J7crFur2xhF6tq
luPULMwBu54uchbrpl7U31QadkvNxmti+PGDDQqBWwKZr0b1QklB+sOQlD32Mgge7FkYxLWZLOxC
n1YmPyaf2WOVzkKiHIP3aJYWjVlkNGa5MZ6FR2eWILtZjGxN59DM8uTYcekkmv5iz9KlPYuYUTIG
EJL4To0UYhqjxd3TfHepunHamLDGN93gyp+wM/OLGtbNLJYOrYVuWs8SKs8Y7ZS0MbpqFWXVnWCt
XFWz7GrOAqw9S7EQ2qIP60uf9QtYbW7a3bkIJaVlurwl9rxGnKXdeBZ5hdBvcNqs1Sx37rNZCpae
6a+0bpaHB/Fm9zXnY4jdj9ksItuznNyyyN40Xxozj8NZb8bks8RVndNLOevRdLlsxSxRa0i7B7sZ
JnJ68bh3Wl6RY6qcvQZAQvyNNYA1HbfTv90mQRH9l+fkYnj/8ybp6zf8dkj29V+E7bqctv90QvYd
ap2NGUfhwhA0IFn/c4tkzlskqnXgH/jzAfmfJ2SQZsAPOHMD6sCrPv+u/wBWbZl/ARzoPnhAy3Q4
vfs6+yQTI/8ft0iU7bV97sbeQa+y8aglTQm5ykjvo2mnn1neqz0RFvQbbBRoOXRNIut8CTxfWk/g
NtqN+RcFiLG/v1lmGzynitv7WM1iUdTik6Y3dlZzgpzn/7L6kpZEgLBMn+7zZLfDQ0e0no0+UKHg
gCYiP/tZpOqrznuOiKIhnn2pWO2XopXP4hZazT6a5S4MaHKdfGlgzpceBtLH+SRvTEM6alkokc0S
f+xf2riy7gh+qGpdXwY/21lqC7X+nGLIQqnI4+RVzZKcFYT9yxgCjjWmJvpJ1hzdzg9tQvP16N5K
7Mkc+Sez4U4Px7NyazFgPLSmn26maQ9FnuD0cvssvPSaEeydL80wRI1jRVeY1smIkjTBo64EetWA
GUyVYb6TTtCsCadGr3C8SOWaXuZtm3nvt2DZJR8nEUVXTgzoe7QA7+JBhlsCgd7BZpex1YuxNFcq
y5zHLKI5dwvYVrq0vqIDoO4bHfoy/naCAVbhf05Cx20/ebWLN1z2LCj8ul0aQVod6BuZwcDCUQu2
R2T/qtE/1ooFxbxZzAkXld7F4rzOi793u3vvZtUunCLKZjS9YQoJvHbpUztYLC3lQG2WQ3sQroeO
aIx8OL4kJ6yVubwKjFH6wgtVcoUJXHRL1Iz+u+yIxTqd1Xos3wosEZGaRhhrIdB0oiNBuwpJ1oFm
y+srJlKEkREM2gJ3KY6/YcRUrsdNe6Bi14wWTjSGN68tfzb8Kd1Ob1UVgzQyi58DyCDInYOSA2Bd
1X7kNceOXYCR7TnoxmTfm3m1Vv6UmLQrO/17KXyGiqFGGkKNomfarF1GjsrciMJn8BrpXLkqyq+S
50onJd8/KM2LSRYKxYJo64o+vg9wp26Y1SchP/npGoMFAa6mfmUxWjmOsZOu6qmAueC4WXAJG8zM
mSgwn1htj+VocDh/CeNb6PE1iJiuEqkerWakziLHYrFsBe3guyAXcwIanY6NmANXz3APCNjppsko
UEb7rpdTgUs4TIeFmyPVWD4O80YvM0BkItgkUTrjs8DCETInkRWaVLWk4mi0Pv4tXbgQ/6w7noYd
3cT2SZVWsJz0GmVfz6cdS0k+97njGqM97PBV7tVcgVZe6ReNXaizaprOxIsc4KAkcXgwsjpbx6x+
96wVh1NnQjMZSGdsK5u1B95+VR2dpuoO+BWz+yRyCzBX4dhbJ8lJyvjNg4q4MVNY4aThvgmNBIT0
0k+vLqxV4jjRooiT5knrDHmRw+gumxylKh5t8QiUjaeWh5uOuYT1ie6wasJ6FxE6D70lywCscV16
w0L57Fs1CGLFja0V5i5pwzu91hEMApEsKf5Ckoz13l4wf3o7gNEYf1Nn/rSL4YnMarTS2ant3cJS
a0M6OLWNxLg75azv0qO6Zmiw9zj9s7VDnmlm5zbd2eacuq7GBA8qLrAXU1rWdzejIDhKOdOPZcRs
1LXuExpLdywHR448pBqeKRxTUPxjOtmo1oX0zJ0fqqsOAJzVD1WucPnljxQz2q5QlrXrNJ9EpND8
kYmSuuDAUN2yzendHho7XGKjqy5ZB+nCpWYRCdB41yk5BNhBpJGCH4XvsmrXePrBIZh8KA8DA/Q6
UKw1MexKPm3DTLhROYRR7x1PvEQ8s2fHFFO/tqQDLD/FbNGuSeNhCtMBTtIlRWktAfm17pX5KrHc
blM3XvadacS7RW2I6h7y4/+ekG8y7A67czrmV9F3MeuOUH8iuyJ/NpPVvroitB7daswfoAmG4HEr
fSMJiZx71cKB1K0GhgPKxhqOkOShG8XdY2yZ5DCixnw3Gy5p06wGiner/OyJsiGOaItr09jpcgQW
zV01TI+hyKhTzqhRu7Q9XVuU0venxsY2pEfUWfVJk+JM9HhkyvAq/CbZxTBRyIJ0rkcw2nPZMZnh
Cv4BUgk8Y3XQZRlt6LfJsAfJ4FuEyzWi9Mlu3jj+xVAztD4+GX3a7IizV3DMxfhr1nbpUpmlejJ7
E9E8SFwKB2TcwjGumm9Y3Y0Tzb3DCeGcILJ09ITrrYruttOJR1JaBpScpIQZBFJxSQ47eimrsoFD
4Iy3qClmbNr8tOeNPr5HNLY/mdHMfeyItbGsNXFJGtQMJFyVB7tuH9qOADPzuSmAo+qVMx9uJ0aY
VP9OqaTMd6RG6vjFYhYA3NEWTsebKNVxM6siwh+b45Bfd4LYCRTAERKLPqpPr+2ddZBOjMF1zCM4
IlMIDLkegkUYTd120LOnYRyrbUx7A5AkoN78KOWqy3P5YM5Kkp27hy7UylXl1PHybx35/3U+RtHE
AvV/B0CPYBPf/+y1+sdv+f2EbP1ieyTOyBXZFu0tglPqbzqy0CnAJf7JcRfHk2XZHFB/91rhiPqD
twrT1UySM2k+ZIfwn5yKEaH/rBtzKoYm6XqkRWzTMxznL5nPigZQmYSjc8yM0hNLw3EFdCbB5rFa
do1WthXxR9aGwyKljj64FPnEK7i2dfiqK9VyVT5KIjpahsXJwW251tRYW1SpB1zR6KY9DlaXLrLy
kkaEW90NvWCZNVxaPY1hjE2Gy+kA2Ad+9E3bAOk99VbVfKTh8EAc3mUha2jUZkaOu5FEhjD2VOGq
NNT0qHlK0QzZAnNZViRSWNfMWT61ZYsCWiwfhbSXSQPWnnYriEs7WXlddSO3mT7WVeC/NlKZTO28
dAU3WZ+URyevKbfDyfRdM1k38SUmR61HKlbiLV4TnSayiQYmyBveNa1y57VCql1pfjG8YanmjcNM
uym6Cfc0FuRZFTdITRVmBLCyLTRoCSqT+4Rs0ZvT2NV3ozGRi0UR+x+F733Icbp4ek2xZp9CUuMf
wbnvHPMa27G+831XrKmr8pcjuiS/xvSrhy7J6eDSp0lftQPAlQWHcD8Dh1rwSLQCZ1oMwu53Oe2o
t44F6vMYZezh6mnY4oSbHvzGmA68GGdFOubgyhJNi3eRTOJPrgf7IUnJXa57Gh6uxEswidlOTR5l
FMi6bf4UKZcjuNcVN16x7rLHKc152GuNs2X3xotWyMZaOJVhXguLfkC/5Licubh2+lioo8T53K/i
DnClMPJurc1Pw4Fc7cYcTLWTVjKSmAgq9aZNWbnxYqltsUirvRUZ6gO52t1H5DYelT4FF2LvxanQ
wi7bWkqbrmOnnF4Q8+it1nA4ev72b3Q/q4/Omj27wMFqsuKExtH7Vl4fEpp4h/yAtjfIYuVSUpr4
G1QIhBWysBiTB9A1ag2IWugffz9R/5u9M1mOG9my7a+U1RxpjsbhQJm9SSB6MthTEjWBkZKIHnD0
zde/BWXe91LKW8rKeQ2zYQCBcHhzzt5r/09mVGYxizP/fz+j3lRNF//H9jWruh8qD3/84b/mVfc3
SYVASNNdoYg/zqsOpntgnyiOcLnQofv/8+p3bz0iVgcPPUJtRdfsj3nWkb/5Ng5fxZ95ABvsfzTP
OurH6oPDnE9JxLUtRTAVklmbbuSfqw/EcunWnRQ7E9aAaDkkLX0QqEAIolH8XAxa2jusGBwa0a2m
JOg5CO8MNtHMyQlJJIM2rkPufTdTqtxHc416qloQ6HGkjhu7P3sI67dou9yrqi+Nx7psNaT6yLjq
Es/cYKV0HwdPT88pYZxg6KrUoK5W06xqcaq5bYsxq4JvZtV1Qv8CVMYhrQk/4L6BCMnoyHR9camH
nK21rxDXIcTE+haFBUkwptg4hTaPNS62DQnvGUUU92w6+HmIctrGUf21l6wrPS9YQA44MQx2OV9A
DnGm64gpGMSXGGchtsPW2IVpau5nsSwHWUHFIULyYACF+0jeTbprwV2DzKWpNzW3TQY5yoiy7rWx
Onufq8KjoovmxS5crl+AGeZJUZGkQXSc2z55UExQHDbN5agzyw/GCtfaqPUAtDAlXsrH9tRmC1FL
ibnpITVsHKGBYglpU01eKSdIxPAn5C2VZHWJTT+kJ1Q8YHwbd12oDn7RH7UDxzAkmHEz+5xAHZvw
XysUB1KwzEDG8wfZDXMwdOuX0Fm37fB9bvO5J90RsOQu9/q3AraVjU/qrEszuaL8OQc2OTDVosjS
yvUecl257SEbcfxRalNL9+iHPihOQE5eRr83WUIDWSQUfJtcLXwE+D1tjqt7fChoD0H7nSzcM/DV
9XJqTeyvrGRUYieTkwbt1y1tFwe/iXQRykWHqceOVbMm7nwT0uGkqXoZ3gkYDMUjaeOCahv0YJRq
YrunkFNTpchzY5el9VPVuh+8ablOrVFtInxde4MG0M4US3xQunhdZPo5rTvnkFZhQ+oIrClBDPK5
tvxvzOTplqOG3DImnnLc1e7IkPCa6N6v0mrfRxlIuyikdxR1NGRNAp/anP5KJ0+1lZqfZ2cxg6xp
ryYje6NFSYJl7Okd6qf5uMb4Bgs8bMjMjIWkhGGEs9A5ghHAAUrEaSBy/l1mNp+Mtiu2mZrCrVu2
Q9BWc30wPX7ByvbpV6QEZ4V2+txYbnRBEFjsbe+NfrE4T5GiD6pd4yl3zALikks+lsqT5KGASg5w
zBWbNIMlRZ5H8yRKXDaEQmQPCyxoagjLBfZjvqf3BpAzJAlsyQhOkqBjd2xwok1nGeIucRsWpSUr
dmbrkdBCBNg2Jpp7U6nUPZk0yYMk8oajZUWnjnX5qjVEvzWsWD/3pB/t8TUiQyEeh3OsP26BjNUb
IVdOoEzF8xw6ZCaRC8ObWy/7LtYq8PsF3fSSlY+ZYc93oe7F2ezacc2ahkQRgDVG1aO9cQVIsg3M
ERfYuAb33CqAMaMEcu4a1/gW8kOVuTeGk70lAxHPaYlzeqhBjfQeWGm18Dz10kp6TDkUQ1u8k0ED
gRzR6hmGET0Rt3sUXnLqy8FFqbMmWDbywQ3TejcK6A+xPyFXHXN36zjsxazaJ7cjf0Bmehea/V3e
0/oEo2Ee5sT4VjjLvM+b5arpFIB6/n8Skg+jO0Owc8pyryJ85wXGY1I+UXLFyoag7iSvdYXBO/KW
x5bi31ENK8EU/skGURWkRuHBhkow7TVlzZDCen5h24vj2Xr1a1vTtkptRLKtfCSiL2J/5O+IIKIC
aQItcOpvA+rBjVrY48gG8YLITfNM/S7bwyAYdjTa6WJ3IPNGv/COsS1uq9z67LrtdRo56amV0wdv
bNVGJe6aHGe7p14k5ZPvD8igmhExMYKreByDIYTXN0b5k2X2V8rpmhvtWeekwplGqFh+WR3SpWju
cvrT29DGokUH/r1pegFvFfqkXPrq4DgUJ0JJcGE9dvn1TMgaxuEG+Z+N2zyH+d/aMQJfMFezM9Oz
L+nHuZiIB2uu9xxGVhIYVyyX5YkWd3LXgq1ITRahiY0helmf99mM8n3TSwnxX2L6KDC34Z27QqN9
ihpEAexZjU3UoWvPY5YX2lvuS55Nn8awh/w9q69VjwcrjnJ851Y3HkCuGPuoDGWgisG/7fLhTpC7
t6kdZ73x8aLJlg06toyECT5UKUyN0U32Uw0IggkNr39sfOx9DI+1MX21E5h5dt73J29YGuYaSCsz
AeZH5t/kTF7feIiwkCO5M2TQr6pVD5rfIUH0u4/UaO+tHAbm5GjzEKn04zgk8kSR9WkmC7jN2KmT
RfluG1qd8zIP94bKF7b9gCSJ1PJ2plMI0oHw8lUIEqBEoZprXPLfR2+mVvWGIrbsnp2kI46EMWug
vjhOo5GQ8kWhx6vGD104FIpXsXbbFP0+o6/wbkPZ+KMG+opcjZesSgvZ2kecF3DkgN5ggHi2e+qz
7LTnmSJWtJMtIPg029QLLfGVUhDKB9splIvuZ5gQEdEeHlrlB5CzACJRxs0TVHporJulaf43g/Z/
1tDz2b3+ant9XfXAhn+Wvv3+V/+Svnm/UWiw0IvYv/fh+MB/+cPWrTXOPpxhLnva7zlGf9QsbPs3
ds4WJCiPvp9vra6tP/bWFh/oYxmjF4iWmRzHf7S3tjku/JmtD1QLoTmFBrmK7BRtoB+31sncjD3w
x+YkSdny2CkY5oOI6wVmX0I0Tp16eOa1Em+tocInFfs48IsyPBtNgjEL2Q27VWVeV8ItDxAciZMZ
zJyX0suMJ08XRB3GGv9LJcjiMOm635ql0X9LGwR0E3PIB8eiLqwL4jeQD4X0Dhw817BxB5DOdCHM
SDTjoSuM5UhomvvYk5j0Nx7Ln4o4PAHH4RhF8QhLLzCw9b//id2e0uEiVVfrE8Kp6Y4Gm38gYJHk
kK5bvxf3/ach8m9crT95Or9fj7IRLFuKVYoF7MfrWQZ9tSjL9Ol7HssU5W9ryyBIQp7Br6/0k6xx
vZKyLfpmILx8kzPfj1daqLkuRBHm9GaJ/7GwuhF7CeUB+lXyCEPAOcxxGj78+qL/5uspHJGCmhgB
WNh3f7xoKiz0RERlntisgUEyVvlGS09ZbvtJgpH651eTmCg5FRLvgWvyx6tFvjcmZZGyiIhRZpey
KZY9llnabD1JVr++lvmTlXJ9nqANuIiycVPSqP/xYhPsjRjOWXKq4ymnPxUTPLyt66Laeo1J7xTI
2W3f9JR32mw4YmPs9A7Yd/uPv7MUwgO8JXBzKpr7P94GZk41Fz3xlnW/rt5TO7dgq8PwyXfx6fzN
xf46hqQwTYkmFpg92QY/lTgbUn3trnFTnA/Lcl+tSVudwRuMfj+LgXEk9JpUCev3b67712FERcE1
Td90XfK7xU/zUhalYxK5Oj2VYz2wKeHXHFkjRyCRYG5+/cP+dC2HgxitSN9EUcwsKL7nuf1pBnAS
YzSH2E9OCeHDSJdmBbhANPNVBFH4+dfX+mm+/X4tCRSOzY8SDhWXH3+8tOgIVCVo8rTMy2huq1AV
5zyxhz9EOF+m/4q+URDM56gq/6Psi7sKJ1b7f/7zx5KJ/P06FLk5MnwfrtaP1+ndvG3cakrgBZFZ
wJ6f8NONM5e0jgZbPsZJUqBlRBYJ1wHYBPDpIop/3zf8t/fw09hZ74GGNxPdGtW3Fol+vAeSZLOk
lh33MLTUnU0Y4ptoMaJLaM/FuYo8sndde/6b+fz7I/xzXAyXtZiCQB5gvcbF9dPQGSIXp1yooDlw
NPvYgAU5u7Yz32jKvYfG1pC5O6Oa8FLNHDCDcOzngYCmcvqKHqRuvmikG2c48cgF19J8iK/oHC6p
cf/rkfDv7lMK1nZiJnxkNT93DzI29eOiDONIIc19m+feaaDS5aiUMU6PLnXnVKPOSA2F/7caswvc
F3gQJH6Fpz6rnCtsLuEJhbR94xtuq/ag5KoUV4qvhsOv7/Wvo9YTPE1aJ/jZ3b80OoQP7JWtLFgM
X0AeziJvyjh+t93u19f565voCeYYJjeUtbwgP82wiUE9JDTa5FQRhHTvJwuBC2VWyStK4fLx19f6
eTpneHp4Cwi7Bw2KjeBnYufstbJ1ppTpHDD1NvLCYUtHtQ/Q5WY0uHUU6AnuntlP6sUoSgo5lez+
5sGaQq5v4o/D1bPpIgnMB/zQ3s/mg7zRhsWbER5VPzbzSeUWk2nnT7Y+Rb1e7ummiLfv2WcJaB9a
DTpOI6Ah2CM3oG3lFYzn8Oz3/XxHscfqN22darJcYGhCaMtIpstjEuhi8CgPS26H7wMC1g/enC8X
BFMwkv26cdf2d4bOwpNXQyOYcGlZWw8Apd1HN9bi2CG6vY4xKpGQoRMDFN643M9RaPebnHTs2wIn
62seEr2xGGzj6H1hQvCnMnwvOKjpc1nUiABKJFVHBPROS6573EMAU826R6hwRG7K2nJeYzyIX5j2
7OfRtnW9mThOgVjDPvqeD50zbgvghjHYljS+oBsv4KkztZjNkLz1MZN31UbyHVW5ZyGfZttIdqyA
vjkmftQDtnKdw+gINkNQwduvnoIAQ+FKvVD/bbwHdBqMN97+KNtnlc/lETsb+MBb5k7MY+plQd27
nTI/uqj1b1tSebFMSJhfnGZbCg10WZ78yp4vrDP5h7qex9vvjzd0x25nlbG413YdZ3CxVB6fQjNy
7bOF+feS4ReDtbbEqd6p77MVLmRKKQszlGdOxueyyhiRlZhMEeQ5Ndg+0Ty7GbJTGzRCxE8gxpyP
fSMgaVqRKO9Wu+AqjOBzRpJ6LpgSwZ7XKnlrhA+cNGyaOYKO4q9HYMmigBLffvbKAcWwYfFsC9tK
3vKosPYmQplXMrEhtvPS5A2G7YJcoJFU7qDLSCwRQz3dJjPNoa1yzORz7nZMTahdcZ4LHMz2Og6L
Febg9Qhngjn2OkrRk8kGxiyqZQ8znrGkim65ROMM8Tbk6DVvunZY7gtpQP1ezb3bPm7RdaR8ASLr
03HB/ckA26HU1q/xGAnkAh6jF/73dNeEyAKPfcyJAaGv8eQiWlpNG858iYw8PWdevvMX7BT0XKdb
aPSUUFJlQnagREHNQgazUTX3EU3Sk/Ca8mqMaLeiWku2rtWKi2mXy7mvhXvE8RQ+RZ3aVc7qu3BJ
Y5y5WoCpTt0WizpkyUKflbgELHOp/eJhJVm7CijyZoRuGehzYUxLQAPECkwaqXt/QsCMLxOqFE/V
+uAnw20SlfM5Nf19HKMoQxNYASSkBBYbOARAyfsbILPpOc+8JoD6leMNXTG6a7ZJJ52XRrX2BW/H
bTNh26bKM22H2XMCFhwQ/HXyTIgnBtpWW1c5Bh3RZzLQXTkeMp/oAzJ5VpmdcOlDAupP/Pihjec3
7I2vujfaXUqix3Z2EV5ZuKVOhvA+UQKBBD7YOg/myWNV67X1ubCd8wJNBS5IchO7CWpux30ahvCq
KlX0qaM7vYudeTrHecEE7Kx7pMKab9zEti+I9Ot7M6GBYAyABZfFvc5UPXuEUBWABXwKJbUVtd8Q
1+njbFZY0ctwCOEARHZ6NskXNDehEanrXubcUJUDmt4Ms7U8y8Wx99OYQy/sBkixyOTqWzZKTrwd
XeaLTIn8ucGy+owraXycK8n+oWoh+26opM6XDFruaihVeyeDjpwWuA+n3IWWV/sFF2UXfWki8eDJ
cXxQ4zzv7KXvd+v6gyCs0oBgE10Xd22HR0TxpuUnx0ACsbEyzPXNzF4k8ybWwtJtAxfALVNRSdnU
CVkRVOSro045+tANzrYF27y9vwiCuceBylSjreK2Fd0Hal3QWUcoRU69AJaI8HbRIXCxe+5laiFF
01SZyzSTdwL7795VffSxS6Pxiu7HtkvC8ZxCcqUQDLbzs51OgNhkifE6GJgnT6XfxGd0UBhcrBEH
9TIUDMyUvQNHhNy4z+dG7Yq5gSuGJEsU6BXJA/LeO2dCTeiWJrzXQqqP00gW6EHIxMCqMSLrrHr2
Y/C0j3pZ/JvJqF1gIC1dnYrcWKOr1ZETtH/0J9PqNtrsm2/a8rwdQavzue7siyoccfEp1+aB45vX
jsQdDClSYTLJ/fs8rEOYhHZoc/hPY4cyRWM+GQQPBGaX+2d+VMw6EkUwizAtRmjKzpdpEe29wtB1
mmgWbr0K9pjnMgRQHGLXCSN5GAG17F2kSNQqE+c5w5x2F3WtjfvFTE/U2K0LTzDZ2piI6yE0D4OU
DGy/vLiUD4Kw8K27qM7lEX+Zfe1H+K0aDSo8lLW5LbyxOuSCHJt8ab3XfjU8M9HUwdCOiR14XdXA
GwX7d4iH0qIuOK7tvDbEbCwm+6YXXnUrFqCEaFwqd6NbIyW0KjMqBxfekB/yrFQvkh7ZE18togEk
vQrCG9Xa2fDnbx3H8WvU1T06EwN+oK39oQ2wy7GmkwnVrDHq8oYT+5pxgWIhHMzqnJtzx9vV6cuY
FjkSadndeu00He26jWkh+d6xmBayUj14uAMU4asKbsQl7ZFOONFQvK15BnBbtV9/dFBa712XeFtf
FgCLNIGoJ1wu1JKAVX9Qrf5c8NG7pq6cPPDlAjGxJevmVWgnxaRltDDadc9e1jNJJqlJgdk6pBpd
gfwkNKVKd/ziyS4rrC+j4UPwheWGutm3iT2Kovmi/L56U2Y5QHFOja3nswYSmrMcZomelZjt7s4U
Q/uW0mU9p3XOqsEk0HxvtDkgK+VzR0SQar+g/ffgmzrlFL/HBgavLmnzmBe7KzkmdcZ77cblZSJJ
5iYZZf8MiWV4c5rEe4l6H9/+6iTEcw/jVrLsoY1XBc24ojwarjOfLSuFklS4w8e5Q3cosgKSsjfg
f0xrMn/xX5oBu6joZrZmte1yckltqw6Rj+eTzV1109EpU3FxxiRH4DuyZuAYnYuAAj3pYkxOMRlh
KWF5ZrhKuEnt7bedQ3eUZQsyoWenFkBu8kpO0p9YRkyqQ4zL3F+D2RbjKcl9sfeRL+w0i8LBFro7
6yXpv2jORpwwsNWU8Lvf68ZLPofWOpSpKAlymTUtYtjy09EVdvhhlpb9aljaeLfcfrwOPdxIslzS
wCR1h0bQ5D8TtjZsrF42n0PtJGwnhU+/OnlmY0zcREgrEbnig2sTu7IyCRam1zAPGVTFByFLsRHg
etUwZZtUleQZKm9PgxWiX4kOEpFwsZnYnNAJJi3GLBv6rJyxkScSPORPyVuWW3EZGJyTITF1FUvl
SgU1rH3vjt9AlvgHzvJOUDeWvyfLSwVZ4Z6ttiAUgCbBppBrBhEocCSodPZChrNIJ/NqlgUQRxN3
AB8cV713oBOUbYpizg8YbafH2oVEbfVedCGW593QwqanAFTeHQbaUxR2dy3VrHPSzPnRF5QHrGlA
Ka+b/qBp/7xlHWJhzvisOmyEztgmHezJSb0vxg4tejel15k5HTKouxsC6aaAQ7WLnGq6HV1hwnOZ
3KNsgLGKYiBTqNZgEclssdgK3k1mS3M0T1Ende23rjGqnTaq5WC6tN6L2v/czMg1mlm7V52mdrBE
4oSFFeqY8ZrQCq/CeGaf4t/glCQepn4Zi+W2z8IzMtFn3YQXplwKRohbr2jyvqd19MH0gTtZ5UGz
m4YGBfJfJKi5AF9sVEcegxRtsDSr2sow5XO1cv5FZb1NtBPPOYFmWy+2SAVpuq1viX3a66spViM6
Z/cLzS+oJgVVbSxmnAiise8/LvbyZQInSZPO2te0rsdg9ufoo0AsBb6y8bKz0+iBts+MYj2xD+ay
G+rk0zRMIEi6+FrWz8Ib+qfaq/1d3CaPyo7ioxqJ4Gzqof9kWI23m+BlHgfOMNd930BkgIvOaz6L
s7QT9cltnfKQ0MaD1R2PzSmpXcqjY7oeJ4g6mQ4Vwu4dvITMQSLsLtcAdYxmHxfTg4T/9RWnAbwU
Q+cUdDaZ33riYA3WaF91XgHbHwfcMN3lVrN+nlVnZKFRdB4pXJhhd4qQaPt7NWa62VDVdCDJCnh0
e6i42DAy9kNHheqBzCtk6sm2NSr0O4ZP0dRtR46cpFkETW+FL16Uhe9t6PICclVaDJI2bsNWhIPU
1vIqjkURw77fEj8IhStaexoYRsIXwmyQxRh03+GISPydy3RTs8Z98OpwvhgQ0xEJQdzsiCAVN6kh
yWfq/JljR6+YlsaWBjOhD5xOiJ8YvqWLNd6m7gyewiTs3IwaopazMXyJCoMid0SmyYPZym7ngvkg
8HoZxBtsd1deunhYj7x+R1xSLHULLG9g65Abrjho025O7O35aPjNBtZkDuhbSTzRXpmK8xWcgM9u
XljbpGH7t3FiTbA3vADcHCeQQWmwsOSfrKxlIW3t8GzHkqIAKs2L1ytqBGun5vv1Bu0Yu7lym1Po
2vRsoKofhHKKT9//F6IAMLa6HPuRP/gHJeVyhA+iX9sC4F8wNRZVAs8eb0cC/bYGh016PUvpPpKR
PF8QbtJWjrt6/71QTNYEbZSpImYeFck2LxINxTIhg9TwucUiHrOzSxLrwaUf+pHgbb5AkvKJzCPL
fUvh5U4mufmp6AW/epkJ7nmcmlMjy+kum9jvkgYvjqg6iBTT89wR/cD3cuAVPmnJsa8eYk3u25zW
B7ZqnO37PlcNifYhIqNkoSpC8ZLJAOYscRpocitnkIQHhqIoGP9iMa79KtKvFP+Sg8hSKorecuU3
TYvfJvc7cLZogGGaREu177JxdK7zmlg65Fryik43HbJFUrwKl+z8fdwZSbnsh5RfwF4wDsPuW+7j
rsV0MUBj5v5iPGdGSXUN+5Oz3Of9+kzyni6byT/yW003FRKJs0uRMlgR+hcC7ssD/tIOk2q5XBRc
slsMS2QEE7+0p7++XDpnDS71h/UD89R9jCzfAD5IGD2SUur5SiMKKZX4VAj+JCud5vQ9qh7GEk/L
JKkVIo2t5svABxG81yApqkdDfIoJI4Ct2hGTkrSM+9hge22CDueNXA/8kJHD98V0KCqljCZ74ZLA
7KpXSoklqpnSGp47qGLXPsne5yEOq9cwFhNstZhXx4h5hR27pzdJWuA51Gb1mqm2O/n1ZNibuR1y
gao/D80HDgd8w9JyKX+FUZSxAw7H8uCXiXXNuaX52JGolmwKKM3nvuIxDYhNyN0jY/77C2u1Wfy1
WAr9Cs+JS099O5xhOIenjpIrtD3PaF8XgEWRoCLX1fyd30DUZvJ96yWaptiE+687/aUUno+1LcSW
NzThWXT8Oh1ygY/1xBsY9rNPxaL0D10zdLuI5LOLTQn8ogsSJ5tRon5e3MW8yiGM3CIICM8yt7nz
jpOP3JZMhwdhS4oftEW9rVxHwYj0/FpqSUkB1Ty5C17HmXAkQPrsqkW8RSLVuHE8A9FjrHmnq0ai
neR0CueD+dF3eFK4tI0n0szCd0WaGiiwbh2DjQDHrqQOzwl0zJB9wLwcDUWKLcRejn3khw7fPJdz
MtBwc/rUgu7+PA0eXaiWDXlDKVVHCABLRHUW/Khrsx3Km3js+qdEjN5XPTjhe1JN/nmQYOEIiWFl
chK0dLNUwLsBU0DD9OvwJXWlRP0CVIB4rooC9zbXCdG130vC/8vB/RvnsiXoRv2pev4XDu7llf3f
a/n1z+7lP/7oD52DkquYQQl6A86qSliFwn/oHJT/G+0NCYR2FQmbFkX/f8kc/N+oaIHJ8x0cFKtQ
+P/JHGz129pnNbEuKwc0GP/pHxiY167aDzV2wQBne0EUGKhm9+cOXyn6tCnibDmqyJQLLTCnJHc6
mp8LcxqCKJLyb1rvf2mYgC2imE+1nzvnnPtTI4O6QUyAhjsfCbdu7gUBTETzjH/HoP5Lk4+vtGoW
8LvgZbF+brB1sqXuKonWmlFwHUZrqu+zqkFLAIJwJ4wxB/2GSA1IiPHQEszy/Kcx8G96jIgI/vJc
Tfp6a48PGCrP9ucuYz8zXc6qQ4qGtZACGsjHXLEmD4708MPFzRlvYtMeSOWjDKapsqxVjMRAHsk8
9kghCB1mxXHt0lKjZrtkOjkbijHbE87C/5tXcwH4LjeWATdjykIpw5ZJsvPm+R0HWkamn0clkJya
Y4xtIggVOS2Fiz8kxPJ7WNsHyUZHJuSN1V8Ovhba+1HUk/mE4FzfNByBnzjzTHed3Ydwx1r96hXQ
M5GpDjMxg3wjuLDDB8SO86FNp/I6NI08aEKU4UigSeWNQ1F9jpNZv6BW4Q/HKfGvW+b7Hb3t8MEf
qGpvh1aL6sSjKosgQhRiBiE9YvuAo46vKVRr7dSSWE9zNTO7TlV8K+uFxF/Hx8fJagDkVyXNfZUP
+IgHNUKi7fAFtm5MG8eekiN7lnGLsKM5Z71V37NfC89Lr6aDS/bPCYIqt2N3w4eUg9iHOl3cR34d
GB1oM3aE4OSIa6f6ywwrJYgwIgfJWM7PcRdWL70grG5DXpE4uqPPOzSysNld6V+7Jn4XPJPz+9jr
+Vk0/MksmvajiyrtOpwiwumjznzqKVJ9TLuxvJ6qyr8uCo8ngm8G1I5TjNBDXAIRCATJ9a7V6JEJ
PLN2lNSyB+3G/qanTULAaNV8cUL+McoQNeHtJL7oSPEJPqDT11CdeJ09o5sPbtLnJ5A0+mZWGhEt
ZBpg0HbZoI2GaHnSrUeDbaGArCheHQwCxh8iHIcU6+L6BtWFpCYeDd8yQeZY2XXZvsiFYNIwq8/J
VA8fQp8MW78e+ChAhAddhChZJ76xPxr6JsT1E7hGLW+NSAxUHPkurpP69PTiIhjg9OB6jsvhG93x
GeWs5dxGDr9EOPgeHmg9b0laA29LK5LnigX3lSqlJCQIaf+2m9hC0uINwwdXhPUX4kyWSznG87M1
FoQLVbwMeVNne2px3VeRuuZTwoKKiyDnrGLwbMnlEUdcVDzqdYjmZEN8mxu+/QLsEXDWwi/huNV8
wDI5vzfZoF/ySIXnvM1eRqMlJyppQCJ47xy82X4lRoF9ug0LCzuR/CwoP3yywrD/EFmMzY1lZMnB
EhwBHIfkwFAN1A6VphcvGZTrlmiK+aFcZXR7wKL6VtMguPW7Ud72pOo8lUmrX3rpEjNCWWm3KI5c
5HFVn+1Czlcpec+Pk7c2AAysGYFXjtVrxNakDBIbFbDfwC/6/uW8mJcATpLxMM26hHyJr/yCqLP9
SOkze5hJxqEnsmrhTfzt5ylPi8AdRXLsKrgcwRROyUES4fNF44jlZyoyoqNpYtWfSKryr1MxK3sH
PqO+6Vwr8qyPXuZDQ3wZqnLsviRN77wkZllk0XGwl9I5EmpqlDtbAKa8zPUYyvMY2b3zQD7KjHJ2
mp9Nj/MMdleoE6acGnRGi7tnHEpKJigD6T4QewUprbzpK/oEHSPs7BjZXSdaCAoifzBkf4OxpNh7
sZL3C4emjVTUfhsZUUMObyiY0HZSvEQRUeunwsqeW6RWOyKV+13vzG+JR0fSGfqvWWwRuFBGJLk7
MRkZLr4Ss9fXpA+NO8DBE6XVqPtqJm29ixLsAl0d7tEum+dpwcECe1oFuZIwMXWU3Dik5V6oqWLj
IArw7Kbe2ciwPCQ5ia8bTQLVCYkAaWXGRD0MxhosY3KhIZTm75HGkb2xcece+taZA4xnDzNckp1V
GP5VGkf60rrpuHdjXtg6JXCZNNpp1xMYheCGH9IyB3ESlPCPheJUozvbg59kYIRe7fAD+K9DLJQO
LKMQV6SO+cc+Mh/tAhKBi4352ix9O99ZPPsvrR5HN5C1bywbAASrtzjv8AnoBCWGSfo4jozrvqVS
R2Bhf4oQX1Nh9dH4ynC1K4ftF7sa+0MkI9Y8FnCPvEKWOWAc3S4t3foBraKJGyNr9xGVA5xEMJI3
vjd99pD0bPBST1flFIFuyrPsxTfCCg/C5M4HmoXUmRQWgi0aiDhQg2OzQ7Tre3ZnlC3xLaiTZn4F
H8skglQ709B9Ne/VxclbfUVfdQENKKyTNWlYW3HMW9XuOFjVwFgZgVSTsRC4zfS8jDaGpJQehteW
xzHf2oNRUQh2l1cN4v1kzcXypEnLigKz9Y/TIv1T0YfzXZLZy3YI+/qcFdoJXCsvGO7ZsMnBbtAY
s5171ToZm4PZJD6yGUFnaW9fY7/ZGWvLeoRwtnV8O/2kXBiLnpjHvRPOZDT5g7Gv47yiLFfc56bB
Ws5x45QkNkVtZxi2ERzgD7kXmYc8YcSTFBQjN5/CHXlpzqUig5HmyWg8IDbwbsx6mc+rSDSnSw6y
f4clvPjmRPVNHC7q2p9wSAbOOFLyJUNI0n6Ls4tuF/Ok44KOTBK7zVUONOalT9XsbJQkHYsCKFDE
eKarF6RmKr7pYuX1g25yCU9KxUA4Ye2TD2M0hx4v7gsxUeSbL1mSXjug974UdurSgm6dYYmoN5uR
fPEHIY5jnMFWE1VJYY4sg2yvYjm8ValZBV0+rvsCXd9PE3Bvtx7IGfWGIrkyppw4m3BWKV55coNO
iMuba79uKydoAIvlMGlkcoSCHLZALCp5O1uEeC5xqd8szdmYHuOcrb8NB791i5SmNuvQqlJIZVsS
x0Az3St19xUk+qiDaLSqbC+ylgVHMwu/l3lOMWI2wgdNJ5V3APnFtQqFDreRXI+bcQJ5BCXx7UJc
3IMBhY6vm9hYELIk87YRjvGgYJMXk+g26beJ/Be9w3lX35hEdBMnyq7w981XnVjmU2rO7VedqtTb
WmAl2CcX1PqJ8yKul22o+ziR0Nli2qrrcmcNTrZNSSg9odMqr7G4EMAoWrQoFbbWrkmBaRaatsn2
/7J3HttxI1kafiLUARAImG16Qy+KpLjBoQzhvQvg6edDVlePmNRQo173ZkZzaiQkgEDEvf/9TSgb
DncvK7S7nOyvh8jETzzIqDTIhCivgun0K7zqSWg2ZSkKkHlThtjw2sbUJJHnUJ54VWXcsA3m30Vp
F/1Kg8/GqQ3Hx8ZmxV9kWJLgdFmO2xAjkwfS/Xh3BoqyHIy9HrdBZo9HHUX2Ouz6YRUEnOUFxdYX
IGf8vse5/PWI43Jale4Zx5BnGljGvZup8dUdy2iLV1sBLSbyADwHOBij9GdBBKbD+8T0qt/R4H7V
Q8wEQfolpPTsQG9Zggw8kiIItHYXaGZ18D02Q8phh4hXhNW3jKgp70XlrnpezHMz1i52l+Qdr7pW
/q6hOQ8cooX5+5dA2ADQIs7l7W/pCoElZFy1Oyui8idfoZPXjo3NTdACUKG5YUjk8WTbAJTKCYoM
FyQpdmCvzyQ+szBzUR0a0Y/HfCirp66zrOseafjngYp783H3ZdAcnzW18J4RDsDyJMca+9q3Pxa5
buL0mmh2GtKu2fDZ/jSWfGi6EYfXZAfiOBk5LDCjZ8UnbeOudM6peZJevMQldbPDxPM3lM9Ty/m2
00ZCDPF7/lEOxPqzxjfAuh1jv6DZYT7PNNED6F01WAfgJ6L1W/RO4YqteVqPOKYwde+ooOKS5tUJ
58/U6pM78qiqg0htGE6+LL6XUercunZQrr22mna+VhdIzluprT5+nNJ4vxBhy7uAFzTVmKedkw+x
iIGqMg71Dnsi0mucqESHleGaUEBf4Vnmw8oLhfMKC7PfwboMNpphvrhx+TjkgVhHknJJk4SPdGVW
XPa1aX3pyzK/RJuUHHU9E8+mlYTqsgzKvD/WYegCwRvJSrdAXUm2HrcZW8ku8CJ5rRthua5VRr2a
Zt4FBSTjCyXGoxVSzddVN6yKeYcxrU676wMIfBqIGWS7QJcLM7dwEhcNe6xtQf9vhgI6PuZGexBW
anaaZfoSXL61BcYDrJAajhekjblWR1tU3eZpNe8p3ly2JxT0Hvg8Yt7I/mQxC1iTZogjBZbKF3HH
WKWHfrcM+rB/mMm94cKTZvpcC7iDhzadnP6i8oeAhxRBDNFU06q1DBICp7tS+CnJJhj/oPSQZqvh
f8gN5eZD4VsGw0JRJnvHntJgj9cxyjh8axJSBnEcX+kNspulH9nIbxeSivuIUL357qREAXMaU9PX
ehjPqXQhdxwQH7lWbMLhIkVHtnVg0S00UnuXtNP6ju6bLZZwh0c9ptUEUpfINyF/LTMPiF3VNG5u
aJVfx7hLNnXURtuup7rSk4EVyQSjXYW53T20Ufrs1PSPENvKL+6QimhVjzPfZn52XgIRhAylWSQj
Q+2ujk2xNzg4bhOsjrZ+ErLpubJN0Zm6xYuCffZiYQNGvZ+aON0o3qdo3fqGTtS9GCsdy9CBpt9O
8+Yxhx1H6LmBsbRiN2rn3i4PvRTzsBbHamtKFVNGkqA3BmHV+7qJ6VpyRyyonZzbTNTdg25AaQST
L15kUzPvsOiwSoPuGe3lxAnQEmX5aMYASgRFlVeM61D5+Ra7Sevn5Nu5LZ2Rb1mtQ9ryxDfSQHEw
FsrgP2IGXX0jh5CnkpHh3dAdLsj0nXZ5yJmI4hlUzoSluVDefISGGMNu5IhvECOv6glPNPfCGIBZ
mjL0LgI8LQ/R6OQXNq4d25oDdJtjYLAs3Lx/cLELWLTDGG3dGQHCgrG8yhLwISeiTSaVfXpl6hhM
68idyi84cN30yim/Mn+k3dYl3ku5BblwIO7OsPhHc20unOdfrayZy4VhGwujSOd3IAaUJ/Onqub9
XSfPh1hZjilZqW6j6iy2F7E+kKjXRyAjc/MaKfSjqxBp6q2e17yZIqYUOZ3FBELn/oz1jMdEAK3P
RS+4jmAWCrDK3aXOeJwCRgaqB107LUOGJxQSAc5pO9WRRmsFIB6iGavbE+KD5VvKrTiYbBkgJ/gn
p3tEoxH2IBRUKW4DF51vy+UJHtDwO/raWhWdLYAjj34G8qbIHTcJ3P0lmZqvtQvXbeJzw1QVh2Xk
/woszA1Ar/RSJXdVaamM4WTi0adQknUFs8uq6wHn8pZXHAx6Ci2UO8IezATEmfgEC28AgvPhGQPt
6JAOO4gAXswSZLBpDOs844sJVCavzcSepQu6XgN89Q3ctBpEcLKS6mkSFkAZNpHVtwDnmDV8t/Fz
jtZq4Zt1utdmcAU6H9saHT2T0RmpmUfkC5dSA77SFPEvZSZgTzWxxQmDy5/wm9MhqRKw27wILYiN
2g9dn+Zy2Zmt4NOMYqlqdKzzTksTSs2mtICG8sLw73QjzS/KwkxWlbTcC2gO1VNhgKEx/gZT6+Za
ecCEEDNvOi2mSy2bu2Y234vUK55VQLFT65V3MTjss8VA6hZ2EkgU9FzwQpKkM9YN7dOaPF2gCmZs
F/N6rup5G278ooE3n4JIepFDzZvU/HUOUXzXEQTehzPqTV0ynwI0aM+Gy5Kwpq753lUM4kLDD64d
COiQf+f1QzzmjlYHMNLmdvwZ/TqVty528JsgyZO7bOhBkaAlrmwHLt/pbDBaIGDYJ+G1w5YP7gSI
2mP/e40aXHJUDJ57UXmUIdWYmPfw3/ulR7jk0kZugFMNLz60Y+O+tHH+jDpepAdAvB9TPb+YsLm+
kARe77P5HYSUh18asuTKTT0VFOeDwW4Gb+xhHCiTywR8TkfcfQ+Vn82WfeypaNzyC/o4xrRzoOoJ
EuxbQEvXZOQVYA7EtJLys2E3KZe0OQmp3IoVUiiKk5Zm52R51woBClqkfBSj3hfPBM0BUA9gxiLy
aRVaCmdhV8PKBFwmHHtePKdtVjk8DZAjeN44/DzS1Y9wB83ZnB/yGihULWAxA9p8Lh2qdg1LNqwv
mp6HqbO9hT3fUQIl7VG3+5IeT7DWNMzH1QBehlNdFu1zS1aHoUwBEeetUug8lDoRyfXkEn6eEkcC
6gV9V1S4n2JMwudIrDLodN4y73U8w7gXldP9cGbucstPh2Gb8OGiWae8TIvya5PVlBwVjuJ7IqNp
YsoovIZ4/tz3kqeGwEXsTTfkU+kTnkGb6nRD/VA9UZXE1qJTDHsXqV541C2djK6YK7PJDpBKHorC
p4Ice2J7O1746CbTZWICqZ/+z9OHOWYxR4wG5/ObJIz9Dq2ptc+nVt0oUxs3xOFG0FsKPuiIqjJw
JJtML1nZVulMcjHJaLos7YmObHDGjWqS186aChumDQ3sCSieqYSWSWdKPk0GkbmiJYOk3G0BErjj
AcFGPOw61/oCb4i4mHkSQ3RRue4k41Y8Jzv30PptsTiVq/8dVf52VIkP8U+V/S9GlU3z8i3sIIy1
zdt55elv/mteaXt/eSa6awMKi3AM9Jz/O6882SoLKdE8MiqUuBf9M7C0zNNUEos5TOjmiBPam3/p
si3jLxMbZlJa6X3YhRiA/sHA8lwI5XIF1IgCs3Qu9m6w5onRBhTVSkJz0teQUn+ruYW/iFx9+Hsh
/Z8ivV9dydR1mO6zw9I7b6UUbw5rLld3rjkNMCTK5xLv5MXgE8z203u4+bsJ/FmS+KsrcQ3IyxYd
ouXO//0nmWXQav5UlzDz2yHpoELo101PdLtdTQ9/fCGABNNCWW9zW+ea9t5JaV3qCQkA33OSJq/Y
sr3G/O//5DKzIZXDG3/3jlpGb00oVUlPOnhrz2W4OKutl4mK/oNHx1pF9o+lNyP0k5Tw50dX6plV
hNxRD9//QqHNgBVvUgPm8W9uagYNfu7fWXhYDuD1x3vCIPFcPOn0yGlazCp2mJokzOXGuzFQD4Y2
PpQ97J2Pn+AMBry7mEBPiOwNAONceg/FsuDbLModUCMgH0fJLoaVR3R39IJsCyazVYuFMfrtny9F
17YEnAQE1AiMzzAnHD3ohkEvd0APxacOqwG43VryoMX86eN7PGcCnB4okAi7ApFFfNVvV/3Uxd0Y
gSrttK6qdygixnVs6v6nj6/yi2/LhSnx76vM2MZPC2RmWPQaQ70dDr0SWpJ66DPM+PL6P3t0P13p
7NENSM4LBuIskLQbV7aKXyakU8v/x+d1sgp4uzw83DwJQkYha5nmudAde2rpZkWZ7creLFal3mvo
3UrO9snKRrJOdGJpvdrYVDBPdnqtCsyuifsQlZUf4EVAUB/oP9auInKiZhD37QQjOzHpS7OBwaZz
klcUUGIfTEZ/WTrIWVBYNPbC9MCYipL/lzEkVJA232Q8LjBSUlV2O9ae+Zg4ZrGXZMM+9xkFypAp
ufOdiXnFCLtriFnPOF7ZAYAr4U8LQDcQzIrakiDYfN0lKbF6VEmfWi22Djrpkt8qn13eaG1+u21w
ldgqjsho+ngZOm5Y4P+c6l9xuyIwvuH3aFjJvWQ+N50gqdgUXlBeM8grVq2ELQKu4fsEsuGCoICx
W+jlPpVxpTMNi3HMh7pZastM5+6mjI0L+VS7hJxgQqBgcwmDKF/bNkcAQkljtq0qcAjzDHGwMsrI
mAr7iG4C4wPM3rauh9DSSXXzMQh7eVQBNmeBW6QP9gCiVDWi/FLZmfnoc++44AxgI2VmdRO/qfdT
nKBKr10KMfKtK9uinyXJPX1oBsSoFN3ZLdS99tnn0RzDuCqv7S5+1Q3eaRfb5iPWIa+qGfxPrT0V
+2HeGsOmKeYoXvCSmnITPrbnpeFNHNnqLkYkuWdHb5dQQ6JtH6SY7kk7ogY1uxyeGzLohYUl8FWA
qAWib5C/2tAar1CT8RC7VOZMJgfQ+tOyT5sAPZvuuxdo2fJ1EvEQ/C6EjosF2jKryuDency5RXei
5NmbIOll1YCUhmQgRvwtSvVlMdV2uo2YEpaXBriSt7JDv38K/VLz1gwsG5zOCPuaFjaIwYUGrfPR
xdPvnulO9mo6yAC5x3GdM3WdKdbVzoJI/FCQKXEv0OHES0mFDosaekyy8MKwx7RMASrWpAEsoEvx
ClpfJejQ0DwXZGQmGuIC23toKpyPCJmctCW+SwRzk0SzbUXZEwCbDmX40OZa0G87N49fvIF4bfh6
/SWR3nB6Ig8VUdP7irrZ658m/M62ssQ9bIPtiRlt4lLIaT1B3iEwAeNQHNlVYnydvLL5bk58W5bG
4G+VDrL53GOk8YVgQnl0xpQ9FCBMLmrg2gNktIgh4IBUzEh4EzIMkucqMPOD8oMcALUxl3D7X2lA
PHg7iG35IZDPg2xcaWNDPxJCX7gKEnzNuyD1trHGG+oERx8iA8Azlw5cIkr+REYb0rqwVOGPvPTk
Lk9s8DSbhO4Ly+ieymbst4KQrXrhdSyECRHTYUBm0kBDWlRaywzSSLdeHfxou9pZhQ3JvJUJvaBH
uDxGJOHawEQ+UgeOQuc27PgoGTarNRBCf9m3tbfGqpFkYbf14VI6yaML+/eoe2qD7mu2nVdlu8yG
BGMqhoTRQrQpi5pdEVvuFFJJTsb7taCoZEzHV590KW0Vemxw4nhcTzW7G5KOHmM+zt3S4r7NLH4h
Tc69dodYkrfTuLeib40r/NpAEyxfHAim42psqM+dB3VCT8di1efcvmzw2V+Q+Y4fWN4N3xqthqsf
NOw5oZW4t4Zdk2OkE7Mn2Sjrmv3DDjXndopgnZrokle+g1x2IUXn3vpFUoP+dexkp0oL3VOF9i3r
iGWL2cTMrljZA5cmFbneRQ3ZEqZhDN9CmRPLkOaL2UuQFQzRqY7Sa1G2xSYchMtLyMrrpprrahJG
j6lRspjoPDuYwoa1TIi0XUQ+pn6ZDdBy2nUhqX1pE9f4oQ/sVv28RqQ+GVeJ30ZXsVTBpsdThz2O
SmKhaa28igO5aRi0LPuiNpeS6IJt1RbkZ0928Rk6kXc9OVjCKd3B7ZJcpWXHGyaCTK9rfDXt/L4v
Ax+mbZ5jQtFlt03H3qMF7B6Dx0ef9NjP9F7RbQSqUZDAProSvql/9YyuPQK1UI8W3bWbNOmusfV+
G4eFt828QLts6+haYD3ypMVxcz2qsL304+kx0sUAfQUamkvOBH7AhtxNWDEAJ1fZdanV/k2afHGq
OlsxgH0tAj9YIjX6zPf8UPc6sia3QMAQZGjZdFFeWyMcCI5F/BNs6yv5DmiSHQ49VPTAaVGITD5n
561zdhw9cyEs6Qas/YlXStz4XFvYVlNuJt7Bht4L+ZhNQgPndr7sRwKld5kprXoL2L0wgWKHRdsQ
6AzWnbKZxTR5xLcig8tmL6lktpMhs9mFTIegoM5qRNLVhN1zKaKMQSjsfegZQ5Utysz83GRmdhgq
gVmJ0+pYwjLIYjTVdKvOyEYzBQZThWMfx8FEjcDhk9bsf5kz+HcVaPbAgCAOyduK+iw8DLEneqLB
Mr93D9BqChT4dicIV6QWrzsSo73aeW1G4pcXLvbVP0oJ0YagaWevwLAhG45ePSM1ksSHRrGvj66T
oFZs67a9IUkqWNSx1Xkdk4wgXrdlWFtMTjuD5ODGaJ7dRE9gFKn00xALBZ/QsAGaKK4hO5TO2B/y
lJA6JBpfLbdDThxDIBiJLrMIzNqYhK+s2Dj6W0kW2yx9n71FHfImNcsct3ynpsDXjmlxl7rtzqy6
Fkzcf0lCmawdIqrW5kwCK5wKOUdrKpIhSR1bgHDqq9wyO22JQnq64nMNvgUYinWLxGg0IGgUJHGq
aXvCOHQXD8mM/c2y2b7JHu4QdjrWsBgsL5VYMYY1QeEDfFF3lL9zQDmNod8Uo5itwUjWdU8ycjWw
jn9TYTfTFFhdo6c7kCn2G3PoL9ugQ4rj1tQJLaXl1Sg0xH/mRF2ReHVx5IOXx1ZksFMM73eN2rm5
Dl7MM/kXhjQIBc3u3Hf8VPE7gRnwDfB76sx4IA/nWCfsqYODXV3a3fkjx9zHLca7ztDTDZ3WEDuf
2bHmfDwK00RmAVAiQjOKsNzvcO/NOY7zPCyOmjUW+4+vZ7zraeYLEgE7p6gLIdyzzimvKXAsO0nZ
UFCbLNglCiI68RBZQeZ+wcLHWyf4Plzb0h1uTscOpjGGvQ3NwdjA99PIaUnlSzFV/VY1nOsf/z7x
q9+HlRMsrJn3/q4pL1WEzwiC+12YZdah65vstRAV39TQDg16UMT5ak3YJh9SGBvtFYkqNLMJv7g0
KLShUb5QyuQH14TdMJp0nk1UQg/GzVgeLRMScV7HNYh+4yGbrpgXtEzEyTBkVxbYZxZriwigT8LS
rRdh47238PgfW+zWnVu4kxzA/qjSBz2K4ufTqZjnuucuhykhvebjZ2HM7+Ls68AkzMZCy7ZJn3nn
w9bBTuX0SnatHc/6x6ZYIA3FeEVYTxXquh2zdYhqsGg2EvnQMqjbw8c/4V2fTRgD2b0QXmenO1QF
b7+HltAQ4ukZbXn021upBcUR94jfbQPvEAuuAlBh2sIhZtE5B2K6qOt9G+fdnW1RPNsBG1deYg2L
3zJ9hp0U6JJimgcmYP3Txzdovn/GlCiwK1xM0XBtPG+HcdOy+jodwp3VDIHPCA+OlEZ06HPWURoj
dZXjtadJb84Tf0iIbEfuK3HWHnsSetoiJ1Sd/ZZkhQoJroDSUlJOklO7o/5mGAxl7Hvlz5pNzW9o
XE+//r949e/wasOYiTn/t0X/ZfQtjIKX/A1U/fdf+sdC1PwLcQd7LtIZrPCkLf4NVZMZaKEV8KQF
eIb3vY1C5J/YE/cvMq0RZ+AWgQT+5DT3v1A1Udez2RSNLh8Nedx/AFUbZycRmJMhhAX3DbtHy9LP
bSYR40H4TRvjmDP4bLGgwGRG7Wo5cxrQftkoL8IxKy7ixNAGSt7c2kN2CREEN14pX5wIhwoDJmo8
l0eSZOCxhtJPgMUxMGfHIahwfFvYbKAj+elJ/wKRPjvScFbgB7s8Wp2NQ7JtvN0z3KbD8QXD3CMk
EHVnhLm2lJRpF2Pv6AyiRjrjjy/Iwfx2o5yN/3SGDpYE15+NDc+ObQzoRamRzXcElbxAX6nFy7Tn
bNnGFpRSRBCVVu2MWoffOFQelted1TvWjkDn3t/IIDSKPdZ2AApT7/BUctsHRzFbW924eQQHvcAg
9Sac57upabTT1vLz4hg3hl9Dzc45I4zEr+1FVePHtSTKFoYoqR08a83u1R0GMfR9xiRf2rwsGlwi
XC7lAUcE69rx56ZD+ohlB1sDlbB5IxTXbdN1Gx/fe0yPULDUyEwqNn6O3lpQCo2W5tXrqS2Nq9oF
x1g6QURUMWQPspcAdRA3h1YKwT0MzHsDOgPuQk7DvTU1pEUNJ/mbwMZjGXgictVaYCT9xeyHZGJI
bFbhNaEs/CKMTcWeoidUn2skURNxCBq0NzMOjeZoFkwkrqYES5aN7Yx2+WQyPA4Pbd2w/gJU0sBp
juzvpjpnQCxSUz2WroHrljBbnlzU4P0J6blQxb4ukQcte4LZp6VvwwCjd5g9y8sOg541Cdmc4Gqq
IB1pehyHM1kHRLGo85mbCmc7WsZJLl8wwfIfupGep++wBWESjnnGqors2xCQCX+JpuIh4f3EW7At
Rl1PIaqYcmdNaJPXPEfRLWU0S0MjjKtQuUjYcZ/GiSy8ZW9K0ziS+5iGh2l+Jc78cLwqSnh/pSiO
XqWBrURpSzrQ1PfDZYjn1a3m6pDMAchwZIER6kLzIXZ63eDCwNQfOQMNhu0QlFH0ZrpGyxGsUrxo
Zi6zGu9hSbak93n0Zlnsw6CZZIcYI27l5TgG9oPWO8bV0JfpDXm/BL4Djuxo7ix3GZm585IHSf9Y
CkwtICixZMMBhmWPr4G7DOO5pif1EysVU9kS/hi+BQ8avkztrYlHoL2SvcOy6WuHxztEmV1f40wh
xYZsOnLpl1lXCQxaR8sNJwFqYGnYumSKdxcJioTXMR678gt/zOJXPP/UXZTpQBw2uWjLImCNNMzr
uyWds3GPLo3XQxxcZS80f+DdQgJLgVGdgtD73uTjQgDNR5mUxeBvGh1TpSfMxNQd1TwfgoYDuNpF
Zmna24S591GiviCLWjX0+30MZhn7prpheFHtOhIp1YXIOx69U3RcBZCMyGyDr81bIy3kuTjeTAru
JP0G8mCzvk+mSdMetM6ZqouW/J36ZiQ0EUEG7cnweSKKzvscWXqW3Pl9DNkRinkFGCrEfkIh3i+m
MeNZ0lPyLJU+UHZ6XsCDYAZV7/zURednsauEh7JCmrg8LeREaby4Al5+vbL7+aNoa4gOCzVA8WMz
L8z7qNNQbTF9Cu0nRUyHeR37kFEgDxlJ8c0Rg4EdmEvx6M4+AZiiBTFpAH5Qx8+1UUMgXMgOkYkg
OjR5rNkhjBBZziTr6yLLc5L1VKARF+ukgVavzcTgX4LpGR+aCmsuaAe1cRXjs6Ie3c6vkh/SyU0T
DGqsAn+d6b1pXmecPxM5WB0cwL2fm1ghLEg31fV9aJKJvZDGjO9rUaAjA5vgo5ALcZVjFfwk+84H
xjU+OX2ghiWGdt1nhHxEeLRNiF65bJaiC8K9SD0fjZ4f4WER9cPCEMYoVyGBjTuQH3tA7hdXWgSM
Tqu5sQAAcnIoyhEbtRR/o7J09YcGK6ClyPRnDahn0eIQtyDorl1E4aDcnZGYwde08Z0fKhA+Mp06
x5HfvsBashrXSVqrW7twgmcp+nydcUitKPvEHUO3/NmwiN4wcx24yZkyjBxQ/994AR5JTpnQnZhT
kl5GZZB+NmMiETy9aTeT1gIB9EotsbzBuiQbyus+nbILCcKx7mCe3bKtl8+x14Wfeiu9GRxdxdu6
aqxNNVYKM5Ai3/ZYn3wKGjv9PGRWE2zqNkc0wAGG51A1YbziJRs0qHgzVgPurakDehP1orjn0Cmf
cpmV4SqempyUK714DG3cRwyOHnAeW3b5Eh8zdVXaSuAK0pNIThzxa1RjbZDCz96ZUxxsBhiWVzJo
HGtFXk0+IgWgHFjNnhgAslmxddNqnKdcotg7oTI3gTRuY78ot7oKu1XNPT5BsAJ9QtNm73P6r349
Zk53VbWW/8krQ3urNVOykXibLLVYm9zNONqEd+CWcWTDHnd6no/7QTO8/YSVBEZ8db1socMuq26M
4c819n0f9dN3nVyVI36mBG3ktZeuPq5Q3hVziLjBnOasabjZ9N5vS6KqyIQbp9CfVEsUUJLPsO4g
OIQsDUgYYUpxxMyu3n181bPmjarIgYeBd9EsY3bwtXt7VcufQiccpHeooBR9QbHIxlC2JjXGx9c5
a9lP10FqYFMum8jNz12l8ce1u8YL/IMFTs6eqtfs2TMrVSqfDePPLzaPfHmcBsyQc7twg29YCygC
D27K8KSY2YMnfoAWdd7640u9L2TBSCC2UovrmEOdD9IrDABLTen2QWBMc5VDN93KAfIvWHhxbByQ
tz++Hk7AWMsbCP2Rcp9BM4ZLflCeZvIwqdB/+PsIwtyUE0Pm81SliUYe78fXPGu9eXfc3OwKjN6d
l3derI9ZYLUkUFsHOJ9UVw5MzIiyhF4VavTsTmHBbxFLLev5sw6mrf54kTIIlDxnHXtiEw/2t4u0
yK1KVyms9q6L6t0wQGxTxlAcP77N958CV3EMFB02iAqdydurpL455D6u8QfsturdGEFWdNzxd+DV
r65CQ+lKOfMu3uE1divMSmrcy4l5YUdMkCCg/gfLRBJ8gQMC3c5sh/D2XpKK6TA2HfJg+tBpcQdi
UfQjRgREujBIakvVT79p6d7vX+zp7CbcFnn1XPbtJfF488chta0D6db2kwH1lPFsTynSpeCFOYxf
c2E3E0vk49f2fmdxsfIWADO68MjKO7tVD7gfN0Zpor7n6/YL9snWhjAzxXCsP77UL26RxQG1iRoc
9sr5ZumgrOVSmQk/dGYkkv59nBompKk1A+BzB6fmVfPxRX91f6QskK2qSyA+cbZD97DWRejZxiG1
obHkGayJVHfDLY3Ob7/0E4r2E5rIp+6BTuBWYzme477/0uaxq85+wrS2gVIaG5nE3MbR0zvMVuur
AkE/w5ORMlkN1HXM/sbmqq9QcG4AIS2ai4KBJRqD7wZETqrOKWf+7yZ2mf7msbzfeJGVCGfmS8Fg
Ms6pZnkkhwjZIis8A8ImxAMS8uxw1CxweWKpxR5l/cdvwnj/7UIy5KuaoUh4buc4YJCCl/iccQfN
1ah1lSvoH1o0nd+JoeDIxENqXu/kcl1VXVp9gYg7GSsReequaswq3VZBN83umXDaW/Ql4R8fDgwH
YE7CUxO8uxOO+dNkQsfNE6Mnvvpscim6dSLqjIBhfZOKPILZq/8Oxnm3NiEVzl8DUA5LFHH422++
wjGTon+cDtgJWS8NGp54MVY5y1TNePrHj/9XFwM3EgDdHlvN+SkAm8PTg8obCadjtB7nqP/RItHl
SL2kS/r4Yu9eNXfmkrth6LjjsJ2dfXVZohll4+vjwfYljWUQYcOPp2RIl/jxhcwz8RtUWLbLuXiA
z8iRfl4ZpSKMlF06AxVEHTY3Oj1ct9Tcpk0++3gyNscy7kFCrAAZQziEDP7S0hE1WPJ8DBaVuguj
BJxAG2iWmDcirZkcRti6ZgNlgXqJjZ7O6MdQYde2HZhe3bQ5UuvsTzdimyAjj7kM5xrkz/NSKMpx
g3BwCDyYEyPsgaHRES1PtA308Y+rLi7FGrAYBQDpvRtQIQI1214hcKh1WyAaiLn/qsCnUcP07oil
62/xw/n0+mljBPNnPzT59BkCQEA+f0v5lAmjqqV1sCtl/bBtsz+QF+09nAAR22lAdaopxbhSKfM3
O515vkSsmaQJWVNw5XnoJYGhf544WikcB6g2GGnjeZFNyNRdO8HaB5UsSfKD8t2vyBkTa9UXzJuv
vAA2Ri7qINqZLWGXC8xoxzu9y0ARp2TGa6ramRuLrubPJ51AnZGaht7diG6cdtRy/qUhkjsPShKT
6sQVxa2MG2gG8/JKNQ6D7djWRnnoMQltFugr1I0cFNBY4zM/PiYAR1A4qj5wVm7AFPqS6O2kXuHc
mN0OoA1Xtd1q2MNG9k0xGtq0LZyc+XLf4kShOxgkXABL6/mycWTnYWZalxdtgsMjbLdyQoI5VhMN
9BQdUPYZS2Q/skOUZ4Tkwi26KpIt2LfeY0oipnhmVadGDHjUlUZqfB8w/wQU11AB4hBbzmAodgDh
TT8q/uxgWFns7QKIEtaQ54c7u0/oivJq4r9OlfOv4hMvQ5AXL53rmqrkWwvzVGKNlDdYQJD1N1Nb
x1p5yT5wNXVXqikLbyAqpcVFElR9e9vA/8lWMIr4ugsjK5O7YoLRsqq71qg2TITVXaJDNQ5su0ju
4CE03xVj8AmEN5bTD2HnnXVZV8YMRQ0prxmBG3+RW5cvEqH29KmE2Myo1oyti362NgDRwIFiE+Eb
qDZ2iQpzBQ4CctVOIUC4m40YacNf5F8kQ8qHFDaIfF+puNM+KUIvp2WVTJxang5zoFqEqWjM63zo
ZXtnRBoevAnLJbyhX0WnZ4wOhgMwCK1939cEOawQ7mjLqcwRytkmW7icAlZQjhcnxE9niJwLCzfu
YR8ibcM5Xxkwaoo6BdNyy66Ztiqlh10wngVlhACg6nsjl3WK2lCywPIQevWVFtWcDac6AMye1Yds
D6ghtJnCHZCgI+T1AUJc0jXHQr167eTfIMqF2XqC4GTa8WNEqIx7KzblS+SHRKs3XQMv++/PisjA
WSbP3js4OGC95Bhl1oDzo3FvKCNkCsqpWJFhBrdiWduSVVS5swYpTCXP1WxmzFzETfcVcvLQbxTc
yJu/RzMEbb34UsyFRGBR27mFA9HUiGcktgaeX5Qx7Q8CWhD40/Hn2B0gYwh25VxIh3nEItEjFeMB
mujNEaoRn2lWakwa0tHiwVrYr4lN7JlBdNvkFT/E0MFONmVqNnf5ZFTquVOO0LACcWSS3LmFp7pL
qVLj3o7j3Fp2mG+NP1yNScYavrhp3Y5GCQocjtTGgu9vcDLOY8YAWMyGwBWsFYtpDsxQqxXOI4V5
0jKlJv2IIW6K4SO+Kr4Pb2PJFi5x+q0b0PoxBZRE/ZZPLpAEhLdDpusKqA2EvHUByKauj4e/T/z/
zkl/Oyflq/mpZnmv64ny/EdznmMOD4e/9c+gFKNBV9A4MA6dxQs/eRB6zkmdo9vuaRZ6mqH+Myj1
/sKhj7m6BSZE6/ZzjrnAudDDT5OuDo8F/uU/GpTiyPf2/CZ1libYdMAw+IG6eaJR/FQaC2gBWWvl
+jHXtSKsOhTGtrZCIe3jCGWocp1YAqnYKPqy3mByamAqVbbih1IpWuhsIpMUV7DmEtGc5RUQu+Hr
KQK9LYytqa5WQ2N8DVwz+JwpVLwEqMnHHkH2JTZK7Q0ZCZq/iYpYYrkH25KgFf7jsreVV261OEx2
dRvnRydG3Qid/TatW/FVG/DUOTKNUrhe2WZ70ceYLn0Wid85F81UTej4Savq4Illovsen4a3ZqOY
jeECilfGZhqxSpmSZlyJWheQ2UX3BULp/7B3ZruRI2mWfpXB3DPBfQFm5oJ0+ip37QopbghJoSBp
xsW4L08/n2d2TldkdVdNAX0zwACVqIyqiHBJ7jT7l3O+M7FrGqDznaWV40tFTuipreS9fYTCReyx
ZSJ6jlWR5M9GtqBsZP+1Rm0uGK9Ck8QzDQji0bUH89B5fbYzZ/GjoC6Pcy+/0gWbXBByYpo7YeZP
C5bHO1ewwdzzW6wzpJukBKaGcbOvrL4NEUdbcW9o7zPJMaGvi3LCI+9xUQB8ihtafxSbuBg3DCob
J15pMx8MvXDOxGvPbDEHzzgMQdDQ9a9B8rKWvveorqkwbb+Y/gEbhqVtRKec4hplxcnstYl4HfEU
xpplQntHY8TPQI1hM8zV0Q3qAua5xyJ8KKf8Wtkk7IaXZTr1Q5/6kZaqLCaUeH1oqtTO9V2Ssp2R
BnSpvmVaZPbTfiEfp9owPCJcxE4asfUJ0t3bxKm8qtXCZb922voUFF5hh306efneJraleMlbf6ie
U0K6oMMP3LGzFhNHHHTdjt3IoncHrMNViWegcHLjHY5/m/LOESrgOEUQl50dmRjBLytCynjWE5wE
CMMPzK4f/CxxIQ8TySBlPYkod6Am2SR7YvMNejTdUErCYtWsPOwcE7jYmowQiHxF6ob3JGfoSo55
SIf27Cy+CNdpJXKpvsaZNBHAE8KSy+ToyWpbUZk+a1p2PyOgC1teZpuuRFLj1XgjKhKqtpcn22Rc
Hpmmd4cGGkcMnUfcNKWmH5Rjy22fNOYx0DjvJeVs3Gnoeksylo42o6Tt5Ndwk4plPegNj6bpFuZz
sJjfq55IncZIvVBkvYYwVoxbkm36/ggAlUDpfPpoqSaObW6np4bNBCk2pR7DT9qxPos6Ww1bm7Ag
yYJxk5daFaWNFmioNUVGRGr25azNK54MQGBsHzDP6Xi67RaMFH5FACXDkt5UDuE0jGDVDirBY59r
XWiQ8RqyZkgiuxXGHV+9OAln0UhyYtB/QOBBpONVJu4TYoHMMpv2jRqxsHBBQrcG8Nk0aGedx8Yq
HqSf36xGQl066HAZ1yfCsXe13gVHL50eSAfAgQupHCJXnEKUalOyyf3Rfu6aZucv81mAdoMSMszb
VhV9PCYr2SSJ/eIijg4nYP5EQhVfhY3N36wmF1dPNjzmWnX2G8OIgh7bMwAYDsHcP9sKyb0oZzZJ
fmCEhOra9zrQvLic24rl6Djx2VKdUfF+uDvqHmJKsmDY+23xuXoLMgFTD44ux+VxaNmYzSTRX7Kg
F1h6LcJ/vNy4T7PmfhRdTKrYxl/r6jLDsX8vrqeZHBKPEHLRaSelTPshNxv3WKs+i3jDKGlmFSCV
zl51raOcMeefWV+SMOV1tCh5U4TgS5bIYXF5RLVmxR3H+n1vTVduvBscpPAeEre9Zw2ubzkmSEQR
2uRFxHr33zhXho05eskYKqsXF2EOIN572e903qitXjcDGy0ne7DmOTi3s466QetJOSnfwG+YESs5
RN/ltgLgGc5CeSFI9wdY5JwuyFjxZ4otGC+LL4/wr8zOQb5k3A5NEuHUgPgt+iei6d2tWa7J4yQJ
+taaNpqNXjwja3l2ANmEhTa+d2vw6qaw5OA48jkeFDzNApqdOW2x6x9qV+wCU0CXBgh6MY202U1+
+1nBwo5B3Hd7vTefVOJJPsCSTUaZFePJaSb9khnWwxCom6LLXlxpQhABLKTX9hJy0sa4dr6TRcPq
1XYieT1Llebf+Z2163IxP8y8dai8xxRCm7v632WSGq+F47ub1iLAO9WIzSKGGKD6GI+NPNId91tn
bMwTaah+SChpzto8IOlELoW/Q4i+HrK63/dKHMc8kTuc7oQaB5piVamRPSCLaE0C9MLIlWkL7cH+
tDXeL4AUmn9ZyGu6z8orjMFrmzO0N9KPppFEDOFkH2p27Wgyh5s5J8K8mopnwx73Fby+YFy5WEWA
U6jtH0fmoMgty08ywveBv7wSZVjEI98PwoFaRrbj5adxATuDanhrw1wyoxTG/2UGjQFHJyGfY6AL
Ozm5k24XzVrCbkitNyKY1APTI1mFGstZFfuSk2ksreou1UYk2XULLqXnXlNwY/dLTSqsYRhqWw1q
uDHhmqDyMGleBh3smaU9Z9p0vZ6BJdVuEGq+c5kw8r4g1qhu9VSN88ZeChvh9LKK4aESmn8IOrke
59F6tmddfWjtqKX7pEQbsXW8yeoIjTemNrTtGvIM96wZj33wWWrjnZF5iOTtqX/onOpuqjSNBlK7
L5dsuMWr++1KFd8Os1sfQWx+8zu7eJpzYg40xC8MLkc49UXznePV3k/I5d/FarQxOqj2YBHgEot6
zHYuKAVCr5WMSmnzzXbj2zWxKa50XzunqJVe8LgRtTh2/k93AIU5sMYPncwq3mvfWx69iSgZOfhv
lnRUBB/XewH5kG+0xNUjPF7iCTiMjp6C4WngAWi3LJx/s319iHjDRAjaEDAF+2+ea768lA4mLsUP
1cqPRde8hyCoxm9WNxL4NGQXXHEOzgeubE8oA8F83toZTXFrhwTfFifU7jWwjoFAkK5Kz4ZZ7HuZ
yAjIFGCDIagfEEc0IKP8bLiHI+rvV89tvmlrsK/7ZX4i79XeGkFOeEcAs/AGiu6PRvqfnM4Fdk03
2NDDDc+5ME5uZQU7FWD5IU4wj3FAcUHQXG96E8ZJ5piMXwgFMVFaWKhxTKe5EUa3hkXfLTcltrT9
VBszhMDmk6hCIxrmIoefp0bjkQOyQzA2WAVJmf2UEYlTpegqSltyeXVa9dawujyl7uJsyTvKX66m
ngWXR+FffQ2L9VhmlvHBQMX9sPMKTubapwHpFFh7GJvHzL3k1sRRh9YJUw7WyKM3rBqgEkwNlnmb
0KhYPLdVC1kaFtOmpPLAU5aPaRaRAsZc8tSikdjKckwfA41C1DhTaEUlGKM2WA+4DH6wxnJ3DbQK
oi8VLjVIJYhTatJwZicIuSR3vGtHR9h9CPeTeJ26FpCKhu9jb2OEWhUZeHC3N06Bz6klCJyYrhpW
9u8xZYrQAt8o9hZCgzBrBSYQfYqT1rqITFjIhNx2VyjXP+VZiYywZ98kSUNb1mxbjE370GajvdON
j6HIKJjQQ8SiTJ6ZOpVhQSJaotkWZkalNp3TYmoRCcvbpYq9ptivFZ+7EodeyGLNiGqtUti9R/JQ
5objBDAJAsoRCBiy8VVm36egvyGeN9jqPj9iuFzPaOfrGIoCyqC8PE0u5i1h+IjoZkpDtG2ABFNP
cScW9aGu7YcAcckOhuJnUQ3PqGoANLuEOZT0KWbvQP9ABwnIst8oeyGnRTntWWvnEZyMZr6wdCM2
uCjL57nvGKDAjwGBpNksp1pYazXakIyFamiKmslauT7j/UQRhU4ryusk/yFbY2PM3orFjU854Qsh
uZiAr2c/efaM4gbXmX1pbYywQ1P9pPgF7ZJ1sSHWOso0afKWjkgdu2y7FkP53Noi3xT4VLeYnYPY
JiqSott3wkUTBWGiHC4LVu0tXP7m4vrJh9616SaQM/aISc73zYIUMuhcI1oKj6rHwMOiK3Gp5mW4
YNWJyrqZorVrrzMTfblgoDpqhk8Kp1tbkTeOLOADb7ph6/ujpt+Asvpm+ut7qtydZ3TDDW3uwg9D
oqxZD4kvxxhV2q7Ifmp+Q5KO2+mEQQi1b2R71+QWINuM4zFr/Ajxgr5VivYWMZ21g1m+M2vHYFol
TuAQuUCFjuPVf4avYoVWvr7P3vCZDCkxO5LPT23dD/3Zq5Pnelx7ADNV+l0jYhclLWS1fF2j1PJu
1sB/9RWewSCod5LLMQTbDLwbMFCoVTopgba6FxPVmdYJPeqHFayqBK+H1Y9QKUh3dzBFRz+UZNZx
JYiEb5eboEF6oLLt4vvdoeUT/H1psy9L4l8h7XkJM8vsCOewcf5CcirfilqUdZznRnnhyiJYc66t
ggKvxiMKn726n5BV7kdtbq6WXLkTuZa2kTKB20U1ftA3vC7I9Bh+0uSo5nka/IJBZzYeqKolNves
2tlBZW/J401PuKPdbVsNT0u7oqiug9vAH8RdlWvGTyfvhtOa5e4RFHK7N4vlGpWSLFtnstsnu8L/
5bfmOz28OBMRQ4Of6reYokaIRHV6YzGxiwYU7GdGxjBy13neWYSxbkhaqrcjpPVtz1Zj0+YpBUCF
5ototE2KbhBDNPu6vOuJCB+AdqOoA4g+IC9WworNrEhuXWTCe69YPiBSB2Fpeoh2C35iFLXnaiiq
fSuWA3FLyBan8YL8jrKiyxCiyuA7Nqp80/geus8yQ5SrnIoyqF03k+Sv7wIMlzw7qTtT7tH1b20T
amA/mzjlmGFmkLQP1I0Hr6xQahfluOW4cmJO84W33qniAou7wNNDM+U/DEKzd7TCTFysWbyNMgiu
iDxdnrmquYUmuoXL0gWnqqv8UEkB8DDxnHCQZaQx8g5rw2xwOZOL5qK53HfSNqKWfPYQJaF+6mXT
H7va+tmsYMORYYXX3sJc84vB6R7PkP3uRMvbWEvAc4EE+V8UU6ShKgtd8pU2Ej33abLFXW4ibpR1
eU5d76X2g25Hfd1Es+LjT27itjL0XTox7yh6h17GyZYraZe/CuEmwsf+a60VSsL+vDC/D1syD1cQ
mEwZ6LNMiyxKKFvh1Gd8e3C8oHdFaIs5lR092Wd1gR5cKoeiZTlOPKnRcKXv6kPPGekYLZzw8WP0
xAf40oNvN3czyusDccDmhhbyxBH9opKx2trDHNNq8Ulmyh/1I9GCPA36ZTUGc0fELmOUlUuXmS+q
beMBs/DBF0O8jq6MgOxWAY3OWn1rbI2xyTRN/tZkxszZ+WAu6cJ3RESPdCc6L3/CsUQ72Gt6uK6A
25gIbIwkn44ZQFtyd6oPEtKDe5FqvJG+s2umJtugOFyfUVTceWsAcl4ZJmg+fdt3DgFeLcH0EYWy
Br/RW4jG8MRTmWRfvtFcutU8Sd99twyTqfh7bxDy1/s/23FRtLk5tl+DaMOuDDaNqCJDKLHB5PZT
9a2MCk1+zxoti5vr6P/quJZmXTNU8ZmVrCJIN1XFLCAzVsoWnNuiFndtxgEddUPrzsh8bTKLB9IB
NWp6opBS0tSmkaZ8bJaW38RNjuAdzLGumrjq5qrdZL3HXt89KYDrsAYiV8zsbmZZDFumOChwisEJ
SRD2Gm7opRmAGKztzsYXHIRYJIikKxoWIJxqPaG6RuuQ7pY1+GBnKvL+ScPw2W1LH7XnttXk1EYW
K7b65NIjLBwf5gBPwA6MBkgmPyMnUcwcoCHqNwMWmI9Ozp7ssf8HHROLP9bN/9Xz+t1XfXkvv7r/
cf2LPykuOOey/n/9+svuj1+nX/V1+v3LL6A35P1yP3y1y8NXNxT80T8IT9ff+X/7f/63r9//ln86
iWe/+48n8V2X8x+l8l9NS7//uT9n8diPdCQZV3/klWL1t6Yl4zeWXWC1TLQVfyYB8a//5k6y9N9w
JaEsDEwEja7n+P/K0J0B/68zd7QAToBhzkfeYAWol64z+b+ZuTMObhxJsPGhFMR2eCkQTgiLPBvE
fQF36DPS7RsHZAV+GS4iAxKhHY7XYBfyopfnFUQ9BWl6ZZVzrAKZDIyFxaJMkB8xxSNFZNEQOyjZ
rib083xYT0nuLQPPhjJjCxPOOfCAzPJVcsgtGWnHl9/zP6CPs6lucui/bWaR6SWQaDxgzfAA6oPb
86eJheAVGvp7zIiHuuVI7jQbOLeCG8mXCbqXmDP1bgXEyqEQhawHFeOwIBjmwM9saup9sSjmpY8G
8ADt6FNlGdSIqCx/jKmVutsp8Khu9TFJ87gc0pkgTBAzzlumB7j/r4DGPjvVvcXyPZyoaae7xvSI
MfRSf0ova6Bl/raWi5E+kL7uovEgYpYM4bTErW12zK02RPRZzsGwr78zhULqvc6tVIT+NTqKFpjD
TuguGSdXYnRYSozJJx8cnIdrpDnwUjfRPfxKVfpREsB2O3pLHdcAOJkQe0ujQuZF/us6zL3GqTjN
MStnwiHcddPzq+v2HTKgaMaLR9nYRVJPrX2BxoE6HKbQlABaaYt75NTFrmxLHaK+zyo32Kp2JCF7
RO12aqkKGrtRBPxKkw8Moak4cfM60pYguR/dZX7mMpOveka8vFdUWWRhfSHIVzpfWjWLB1Q0QHiC
udkQ1kt8OwDWQw+D+k04jE7gquJr9trqkBOVfbQTDM+GUTxk2PHvxxkpPFrX1CNhrSGrZnIpAKrD
HCxPcEvHlqzMoPtwrrDREoDwZqZLPsjUhVo09eUJzVxHpo7NEHTNCypiKKeNZmS7dK6DT5dAh4Km
sBV3I3aa93Tk+qUIWPRLsPhcEL0wtCOIXv7Uolf6fdsxp56IInmxzOJJaMp8c0FzpxFk688cf/CL
6/NQ2dh+t1zp9iGltWVIPUMctqavJCGremV6GAeq1hdicNL+nRFfLFZWykY22aFU02m0M+e2gFix
tcYVAoGL5Xnfsow+YMBxz+RcGG+zOfgXw6uI3TAnIgGFBLlqk6434Jh66nDY3VqTU++lVVon8nHm
C84V9lqpcu4hBRgXQDvitaky8cY7WuzmebBOQ70W+6Gq1EWudvGp4G8kUdKm3jFvrfWucfqRxgaB
JQ4VYwwT5XtUFT3LZk1jbK6Rw3T2l9a6D1bdxQfOI7Ev5jZhfO/n+bGi+bwdGErcjK2Vf0NGAXPT
Wib9rOSYkw8qm6cBgsFjnrvqiEuqijWypN6YaIqXdnT7U+/URDcyrBZHffVWc2uUWXmHZjk5KNhC
u37VU3Q5gb9tm9H56YyQUhAVLd9mAbSVYeShkqqEL52csR5Bxx4ynajA6wqrSg9moE6Loy+MNS2K
U3v4MVQTMgFZFXsdtVtYOXRMhtEBcs8rb2tm+kz0ltt8gJ0fTjrR79vChkjhVvZ0L2paz0z6y75u
B+seWe7yOgAv+sRBON7zA0luCb4nItdbDOgsU7nhOek3dTkLckRssSOp24VMNdTyWeUILHjbeVo0
0gEDT6ofZCj0u9UvmSDMiW7FszvbEI7b/o74Kvz1IzoSthNjBuLXMX+uZsYaRccvyUeZZoahwxPI
4vEM4etOMSu8mLWZvpJWV+xWJ2i20NaRIABa1c9uLgmQJ+byorE9u1/mceCi6BYcnPWV6lPMt0Uz
KGIkeFCRh6eANxjylhGh2BSuyHCOqqatwA1wTbO1qvPQMK7xLI4aJp54LxEdmI1tPLoLC65IB5UY
dY27fOJ9m+kXNZ8496ETYt9BLfpgW8hiTZAdPEvExk1tfhe0zYeic1B32nn+ZLSie0i93rugvWKY
BacdYdIim+euIjB5dryVDEylvat6YE1rGNNDkZP0zjKu826qaVp+gB8XS4RICNhR5UxHLS3HXdIZ
42XsW+toFubVb9M0LxMQn7v5mnu+kEays/I5u+dmU2/uNSTd7yvv54LYh2VH32F0DNIfTCDEFYTL
LA2k0QRW5bTMnbOB09kz7LvGsgcaCe2+IQlr17tifFeQYQqcjfhKiWXQ0GhkdvOSDCS+10RNHnzn
GgPvXBPhKxv9UReMzTc/rVw3tuu0/LDS1N9V1zz54ZosP/oVdJF5bQ8ZsfNkZYKoWUzuNyZqfXHp
bT24FX7ZneU1tH7wO4bDtQYgp0dnImzJvLrw6CbHavjmw1sDycRsl/UdgWRhZ03DvUo7/2bVguVL
t4ZiuGKhuK4By6WnYuq1pyxz3DcgDhw9kgULda8mCCibegUJhiDOuNf9GmpyZV1ydqgcS2DmpF8s
ZLcnjr/zyPu9fiamHIBMoOHDNbI6Akfjv0vk4Vs9t95xoNRnLa2cR59hNDKb2bqZ+sDmGFzMO8Rr
ZCYn1fn6BuK8sYzd2g9Adar8Gs5mniERiUNqwjRos6q+q1PTevb8foxnT2OM29TOTnMFg0TUuTFa
QBO7Vk4qcG0prLh6d+8RbfTZZ23RE2Ok1s0wjcGj4SAKqJrO3OroiZ5g6GU2/aKy72TSwAI2xzm4
L1IinpBt1tGkWzd+0k687aWto2RgRGq78zHoTT9G79V8wWsye1g1jIKTvvH2LJ9U1BXdElXJ0t2p
tVB3clHNHvqEuZ9Jj4rg/mrRNK3BukuM1vtGLWA+zVYg4Nc4RDz4pTa8laQTbhOpXp2m8GJNBPeW
CTef70/vqTtg88G5mZhniF6A91GtdnArk1hURPttwqXdrJ+5akuwoKTeHM1h3jg119vCGImPpk1L
I6Rzl1CbbomPLU8DkG3BZrn1xMZqVuoP1AjDxUqHhsa3fal0ktfwxNoqSlgX7bjvqu0IgYQundZI
yw1vb8KhvvUMb+ZW8PI3CjSXia9goN0syX5QImGLLAkM84zWkAenSI2ITzbGvFqhE2jtWTj4omrK
17HDMUi79eC2bRZOqzUdXH3BTwjHmecEoTAfjsBjtLlmTCCluZM6xwriF4rpmUq1IrlAnx5HvUif
dVkXz7ZJDWgjGLAjVk3NrZJ9cFqlS7WSOsmB4C10JCkgALQONTcYI+PkAHKDaQ12RnEUPRIL1mlG
PlBiBvWe3i/tvizohV2ADxI1O1IBwmJukpH4E1RaLfm5bG+xq1tnhqTLJWgYxAYyh4iRNvMxq6Y1
Tin8X1em3MJ2n1IXbtNg5he0/QbfpX0spWd8J1LTZM5RFFGTIGcIvRJ3yTqah0XzSG+eMmvTDIC0
lbW+txnhaZ527xPhzExzdDcFxnRG2Wxn6r6adrqlgRcDzTXTIpyIuC7jQqTPvC3WlkhNO6JTHTZW
QXGjFTlw+Nw6d479ZnQsJeexJw+L3O6NlD6zwLLgB1NO7AJKxgPoo1SIYq86srW22L/52yytliNL
h9tssc0Xq8UyGvlzXUa6W7VbA69TtGozbnY5WJu1XujB7RLTEcScNRfW26KZM4NHRAkl/L8gcbzb
2c1kpNwKvSMfv3et82L888kTLAB3ryD3HRlg6+esLPLNmE52tPot11yX5YdceVgfu36NULY70WIP
U6jqPr1U+Ni3gRTLraPzzQm/iPO1L+kTVNszDERl8Tdd639Af/irmBpkhonogr0d7Aqf/vDXxjBL
GB/kg58fRNnR1mkzKYft6nNKO2SXPNp61XwqaqmKKxto+T9+8b/YCOhKXdPVTfPqjbJA+/7lxVFy
sQlZVX4wZnItV9HCbs+LDFBbIB/+8Uv9xURwfSmyWPjn2v3+vTkwRwnlAkngpZRJnBXPyIIne0nr
r3/8On+HyLq+EGL4gKYfKIn71+wfWS8LShQvPQyKuTEmHvvgDr9nTOb9XdNKrBJjkLEVX+zyXV0J
VpwqRANoSXZtrtmrVfE//pL+/i2+Ku2gnHjsJhAs/aX3H/Tez3q6DNTDhH7r13gsS1xZEnYRoJXX
06z9BGLI+2yQafr7a/9XT4bgv7R1V//sf50F/T7f+fdB0f9L8yM+2VgD/nPizd1XVXULNVuVv/8y
QPrjD/7bAMmzf8PaBgYdPg0eGP7t/1BvfP03jBcwckyeIVweBi/3p5jT/I3/ySXFCUYb1DAHIM6f
cyXCpq+MKj4KBn4hHvt/Za7Ew/qXuRLeOxuxqaGbCP4NjEe/Hh9FaWEjVPqyByUgF4iASKzYsk7W
xYTKCxDcFAAPiBJuy+3Uuw14wq4l0N6vDX27Ni3yt6zQ2Q+CsQBfl/F0aSGuZNzkwScNSXI7ue5y
KhdD39j5MBshqkKupFLraJiNhR4D0RmkBKsztNhbISOHJnJ5KJciWxkVmPVLS17acRFNdkHVrcee
tq7PiXmV19mku8QtM1wRZ3XZPKYS3NpeBznjs6fUvfdVIO3HQVAjLqjxhVCHKwZM5TATvZZV+xx5
wpdmGOnntGr5eebPvDpLLYYNMw77hqP/yh/2yAAKPYZbdB9OSqivNjl3pHEWp5Fq6zavgU6OU6ft
DNCTUaInLG1rTDWxPyWQMDyyXCKGJGk0zyBitRbpFztYSKCBQhA5Fo717AOciQwNoUs40JFeu2yK
F8bKewAPaUxiXRDauW0cKffKu16z3C2o4PKeGVJ9Jwa/vUUGw+U+6rI6Op6pIuGvSSSnjA43MOlI
Wr88Vx74yHjx3CkLGV8xfq8c/RsHT38z1PYroJH+0ejY6uz8FsU5jGCRKppXX+5Y/1svGIfNrRgs
Hyk8ZAvwn0lytsHhbBZLRzWCi+TsOGP34Lm1L2KCo50jvA79Z6e5VWyXxoM33pVBAZOAfLSdnep3
Nj7kmlWhaV0MgnnfDCZ9z21pzbdjJxxyVNwYSk8fOdjIQg/h2c6q5uLI2ii5CZSo7h29t8/SNr/l
k+1uZM0lt7jDQnGeJo9A6Bo0VE65n3RKhdro0SQK8cA4VL+l0vE2yWxPh9RlfSpIUUWKMUXZAJM7
AULD5HCsk72gWtgObil/BtP0aSSBtq2Bh6DK7wsDMycqfLZNzYG0TOSoBVJbDGrTRlqmvXEr577m
0xYxLT7VOp1B6Tcu48TuFaU+6nu6kG3GzClEC8pXCYs/SocUKuFg5MdizLRXfMLpQVEAPjiFUufF
hjDg+R1bCLBCcWuQ/V7YbXaxxobPDR9b8A3uYu4U2O8QQFAO8MBG9qKQ7MS+AcNlmfprYkpOT7lz
7XJJjWe8f3NOv2lMVF6OsdouYNopSzP/YXJZ9Kto0VizPpqmdKZHBwirY2NOkJnxYth8FmIMkvnJ
bXXvntsqyb7N9lqyt8YqRP0WwMK/5rQsvD5GFDRd5rfAYnoWFigPEMcmVoYtz6g153UOrEocyCTH
D1rUK63zLHQCeXZtjVzqccyxbz2CdUF7FJK4KCwUfQRFvknZtyiF11FW3jVgCGjyotidbcbOnDnZ
hjxN30pIpFeRA5mQGxpWvP8WcTR6PANdIm3IyGe+fZ+kLqhAovL9uCmtnrzjpfftN2CnU//p/ZGJ
zM8oGFBDDn19zJFfOwyWEtlb/JebyIPQWYpVYcY6MHmq5OAukd7gvsXMQvIzD5Yx/1El/P+b+p9v
ev6Z5wIKK/a7X25pRsCUUX+ueYLfAKIG4LPg0l33OdNX1//P/64Fzm/EZwKfo97898tZ/81F9UfZ
C6eXyvd6b/95Obu/QeMwGeUbhu5jev2XLmda8l8vZwySdJmUu+iuwG+Ahv31cm4NF8p9k8K/cnT0
RLCA3bEPbdBKrFpde3zT09IDV+XUD7laqss6MRxsfLBPURUMIja8XH8UvVw5JsxZ3maMQojD0ODx
BF67m4PcOkK25jYec9VsHB8XNhVsYLPuBzNGboCTncZiqm/0FFNIWJvFDXxaeefV1ytAD7Jd4iXe
zpbMm6K01EjJpOnYrXnWHjCBuOehuy7VSRjRImvA5UiMGyGH3lxP3yUJr3S3wJEiKxtAOmtXjQh5
0w91Y3OG5do0Hwb9Q8q1fude9M+rtBKmOLPf06jjH5wwfWxlMru3UzL7OA/doNCjazrk4QoE3svW
1D4nWvCfnsqDW4sH+kAcQ/uVzmbSRFmpjLs8UwM0eKt9sDt7Ogrp6VgN6d/KyBLmF48xWkQHWhW6
cgvFHBCwS6pX6alTq/bJLQ2JEtAzZrm1qQ5L3ryOrEiI/7yCsTJ/fM5U3z8GQU+iXKGt7ceVOPbK
/lcy5HdQF7F5EAOi5QCzu1+BI8BUGpp6zkzPCaSHRsto3xvclAPriekbtST6gaEqPoq87/fBmvdb
g1np56oPxU2ut7famjpH2fbq2CbrelJJMXLLe93Wm/3O3LScwhDVl8FseT9T+Yq+Eek0P6WBv42y
jIWXVZwWw0uImyhdvtE5QE5hJMONkTvaXjh6toOKXDzBEsm+yT6ni2Z/ZyHWmus6LhkDG0g+cZKj
jrYkiCk+e5gT7OE82MHakaenW2RgGLAAM6ouwgKxY0RTV2WMGCzGLvDXpp85UnAGA/PVbl8VWBaV
yKq7HHJaaCP8uknbet2Q0AiI+1raKDIobigKDaa95YQCmX0DigRmVekLkRamy+wytT+aebIV+xkH
hVeB5o18jHK/qhV3I/IeFDd+ZVzgRgX3abJk0eRrMQHYSDiXceO2ziUvgvGTxEl50FuEwpPAnsEN
MyyoMrP5tK7o+nEF9tVzUIvkVSvdVDviwWhEHFB9/UDx3Q1cC9PwMJKElsTjIo23nqUq8p2qGe6N
oWq+txhho0BNxrtE1os4aemXhw4Olb8nu3TqwtZnbpSbS0dOs8XGIOlJjguHxLBerFHPTg00wg+k
XTrBuZgG08hrWQqptPK/C0/3ztKZF539mwyeuDBrVNrYiq6Zh8VYbBj61ls/q8p3bJ/BM+vhD02f
1MZVrUW2g7t8OarFzNQZRl3FiZ9UryJFTBIVrUBDwS6gfes9xHwhDiV18JO63yBhZirWs+W+uUbD
b1B53LOlDFh25DzP6C0aSOCtHft4kkGdsy1dx6FDHKzyjY3X4X+zdybbcSPntn6Vu+4cXohAoBvc
SfZJJvtO1ARLpQZ9E4EeT38/sMo+Kvmc8vHcI5eXJCYJZkaz/72/vV/GjtrfWvhXrt1C/HOSLOA5
MGKp+54VDdOrv7XCxj4O9EI+ysFyj3Vq59POCrtIgRk29rvMExogFIvpIO1m3oZVmWao0E1xjmdH
32J7Jvsc1k73aIJU8WD9MnujikDP+HM6hwwYo/RzFNMiTpfe2HxmlAtiSgEZOMFk5+DG6Km9U62x
vtauT6yjFdmASj1bLC4LePcaDZZ+BaWGgxUk+jOE+PG7LpLxfVaVuHGQWct9N7bBvHHc2UTbMHI0
qlcY5Tsq/UqsqGMEzM2iPkXYDXeettkhuIzXxjMphMFcc+r0r1Qzd/QYVMyF6QZHwEqjc5azbNaC
o/dkl89I6v2xNehzKeoDLlUDTwxm3VwRTxm8vban5dsCT67cD8LTu9rpGcjWyQAt0g6yu8mm1aG/
VoX2qo5Iztikb4sV42Sbke5y+1Mw5+jpWHLxD3T0SM9tdhdNDBJlmHl3IoPnt4jCPHplYT96wo/v
WRYnRLt8OSO4veJIqh419+rHXrSR3NhpFr2OkJOoHifetamYnF6t9fOvAcUTLFIjH6sA/PS9TTfI
PcRURihxSY9hmiui/MRmcFNididJxbLNbredyjm97WXYYzv3NYp1W5a3WWjz7Xq5dRBtgd2uJaXP
Rx2rx0aY1ruAi/TuCGJJLjtVhF9v6aInFRjvnKX5+IxrJyDRPeCDchZrvqNfpC+PnaVrgvhzdBtS
/P5Etsg/x/zgX4lgQN2fjXuEQEvhaqSXz0joE+0B2lpOsShmjEEz5lkSenvdRT1EPpf1qE/Fci27
xT8nKVOTcszuddGD+NPSuYtqInossjmdf0u05lPkjZnquKYlVK3NA319H0NxPK7P89nUk7jQYMn8
Wln+MaN88y7PhwHrohwJUYZL8i3qgF2mEz68jdET4FtuXvPVzOTzQeZmPIZzGJ4H0bevJqrpoxXu
cOLz5M3E/2qDFdknMdKONDiSF5/tHTHNBN+iE+qH0bG5bLWZE27hSwo671NqNnWh7vAURjeLH07n
lo2R2LYcbylo/GrXafhVtI6sN27r6k8p5u3PNtftc1tbzRG6iEWL48BSw9svYZNWheNuHdv2D+mQ
5fdkXsbPje9zDeiE9y7rNLiTc8UnL1kXTbBjMj0u40i9izFS1k/VHH6C8QlncUiCpIGnp3uxtatA
Jgxpx/A9taL8CcWn1feewXp0cnwIpZvF83IXmKjQ9kV6OHeJCYjK1oBYk5RmSdpRxKWWy/xkdLzj
8kNTrZN4/qEJPX+bAIWMtlk8PiwoIdl1Z4q2pLXTSj65jeOmX6THR3wLztN292Ykw0gAw1sNZzdC
TIjsxzqmzqe/4i0rDfmfoWKK8EVHyzvH3umNgF71NRsm+RqS/nwWOm6uAKY+68qf96Wjy7Ov22br
99Qv+PX06BXLOwvgD5rlv2Sd9+73Y/8bYD1OEMqQyG3d/t0Prezk+UFxr0WxH1VpXfjlAB6gNo/J
fad/OIs7MFZpdM4onNwFHMQ+pQMA1f7Bccd83va9SvSmMcRPngOvN/tykctDwqgLWiSM8NL6XUb/
z+3pX96e/AB18X/WOW/qqvtS/VniFB//5o/LEwa5v6FTejiGV04gSuY/7k/ckv5mQ8GyYXcLaE9r
kvzvEidXLtvmj4AdESBhcvGPW5RSfwP0DySc2xVkN2CK/47Eqdaiy59xMzZMcU8wnUBHRYBdFdM/
WecafMQy4jB35zd89LCWlti1Afy4W1d7+XzywRBXGINjalZXlO5NLGldKLA+fmsjkpK4xEr0NLjC
ejoni8YTjL3A+7oYSU64SgNFaKaZLzUpgOItXZS+1O1if8uceArRcfKp39hgV+f1EDQ4x9Ty6hey
tL48tzochitCO2a8MUyi9gk0EY5N+NbJSXv5TcM4ZCv6qEMesi52PzfpBnZzjF22WuQOL+vngZM8
q3SCQ3mYsL3MGcU+IJ8wq84QkA9hwGBij8MOC7TykvSmgEdzZpjvnyzTm/NQlxlW07SaHgZtHWXW
y10tw7exmpxjYhUdAZe4Xr8rUmxvk8tyQBiJhB1Q3yQUWJ7WKJkQWNHB7u/6usgws0BVctliK0Yi
DHNNy3Auwju74TfPU7aXnquXTN0rOoXa+7YZM+96FL77lSdCcXgbZpF5XrxmOYPgbS117Zt4yveZ
ERtQx97UHE3QJMVeTnK8oYG3SFWxeuu5l1cHgpDlQNOMSpLOOWU4OSA7ETdtht6/xmQHcHTZCk6v
EqNdkvcZW3wYG5inZ1ESCh3wNoT0rMHI4EoZfEBnfL/ZNZLp5eBI8di28LyJ8VjTN071TfYjJM31
Y45snB23smrdUjzRaiEOLPgrHQgujf+pGSG14u0Jh8vI5PPKI1bIgzJ5lJBf6bNzSsbB2Zsif+Bg
bfZ2yukxSvLxbp1DcPhJ6YkqCHns5gYtGTC4uAqyvN7Hsb0cljTNj3md3Im0mR47r1cpyaVC7tIQ
38O20F18FQQcy7fK4WlvZRZEJ9xwuMMLZ3bP5WSbA+tr+6WWTfFVdlo4DDJbj0yGXk10QRQQRaKs
nCw1OuFV6xAFVE5cMLclAndSVf85ydTQbZdaufcWT9DlEtbEn2Oj7Os4U+UBIIN1HBxFoJ+Xu8HC
2BzFIqaHqu7EmunhVKlE5GOHDlDKc2nn12uWFks8NkxOuV51HkabaxjtUhyIukJdACAtV5zC8LRn
NuaSnp3JOHACbMKhfRHfegmixK5X3gUkJgTyKY8+cyYID1DGB26VjtrnGtW8F37zApjp1q1892F9
Z99h5rR3KAKE/7W4WTIulGza3TZwGhfbEAkWnkBj/6jFbN/Vbh5/ipsUpK1WUJAHSl9alNPNnHrx
McuG/AgSM9oQT6Udjo6zY+OZ8ClWFt5RGPyXIPdfF2nfVU4GWoHQ5CVfBpeJqubWnbXjm6tpT99k
+TQSoXXke+nO+Nl6eOnMIAvbefSk6jHBtc4Pi7bFctvxNA75knVnOuu+Mv0JYU9gX9xZ/cxAIR88
9dQ445SQzhzqryqY42dCeLGNSdi4v5EqozAeZAJfo7HOeA+BNkP+3+ie4vTRJmyaT2APAmqW9nC4
p4NTxcFpcr1oMzYVuaKeas1D58aCN3rfpdciTPpnvDQ4/Hk+z+2kH3hbE8SU8yWk+nrr5lF4suic
pj7K0f5VYCwIyKEqgm+TVyX3YRGk9MfW1Te0rXBX2Bx9Ng1IG28/18rGFSfOkZc9dqUJzhBIJmT4
2X0SFg2cuF1miU3KibZjR6bBRqeYJxfKge9ris9AEm4wkjmf6yKm4TDpgZqMQmU7mLTuuxuM4c6h
ru6xRjjbcp0c3wi3MWd3svpGFg1Kx+BPX62pImstne5HTGAKg4Re9nWRtAC6pPNJAhW4WwRy1DAF
y/1cufVBFHF3LwnIXNMMZz/haVnyLVaZXB/quo33ba3tL2CbzE5Nff1IRQ09ljNmDaDyvbVRGD9+
kJqxT9VQ+e8ONwKLqRpdewtLzjahOsXbUF4/7qqalT8YkT38YPBupF4YSbmWg5tFyJdY45wMRje5
qkPTcHgjONNpm4vgHCbz93Q23ZNL0jzbahklu9aeC245ghxhNIGRFwIfyWLmud8CtPrOyJA5CCNE
brGyviGan20tR5sLXPzxofCtPQa58EYP0k03IAySiHp5K79JbKF3Ar3kc9EO8jlri+bGbwIQF6No
8QB6SfiowgmpMMCVWE9RiussUhSzJ6l9Z4Ymfyvxp73FQWXuiVVFr00epdf9BKY7wZX9Ioya94ld
Z8eZmMU+mjuNobICca74aTGfYffpzlWxDMwX/P5FKRuTb6raamdhftt6rqq5Gif2vcbp7ex99I2r
arRQQMt8nK9dtMOcXiRGmEGtHJ5jN35SE/kodwDeAKwAhxL8geVKpML7Kvn61raOqvQeVu5I6sQO
3+bFbU+2Wtjogwphb9PGbXrAwOldfBINz5E/mHhjQVPMYU4gVOyCcbr0ujYHbNLAwv9jAvhfhUgA
Sv7l4fj2+2/mS5v/+XT8+z/643TMCMERIGDd1cDCTGz9en9MFz4Ozi5nZi9gwr9imf5xOHY4HIPK
DDzGD6BjV7TsHyMGZf87h2FAIb8chrFxctZUDtqHwztV/XIYLpzeQoJIhotTLuGQoKlzu+Vd5Cid
zdWFBgo1460GQJxgSVx1jHyVNNxV3GhXmaMoAxSPim//xqwyCGZC7zJ9aCPdKpPID8VEOgZaxJL2
n9QqqJgPbWVYZZawC9JbuUov+YcKA/5Q7hsIt1tQGc5tt8o1UOX0wR6CEj3Iru67VdYJPxQeOlfy
V9BA49VKcu830yoG2XqkhcROLOCBQR0+FklQPhrZYeNHSGqpQCHNi7jkaXd5RLMyj2utwIHRPSpO
1E17a3S6q7zhVDjRbbKluXjaq0Th1UqJFjz3kDa++H6pqeWsI9zFC5g5zS5+D984edNl3jPdq7Nm
58SDPISJz+nP1cmjO3nZfrDVwGfVrqaLiUd2ed2+4ChjaMwBFJ6H4kS5tZ1mea66Pt/aYvotnyZy
2s6QswhYQ3rRacXcpmrc9jPtNxwBNL/DlyLPyttgHJKD1SXLlSlxNG0Szvy7Ygj8lWpHnD+LrPRe
hm12sor4jrRodvCzKYcA5ZK9gz99ssea40RS9ZfKEnR+idILNh0FG0+sjP0hRyTedsh4dwEx99OM
+erG1/Z4YUGcTxionC8kfuorgA3dE9VmxcQyaOX7SjZQQUwCN6pkSbqBiGcftPCtHTT+6oEuWeep
m1X3Ds2s+DFjtHuWQ5/uPC5Ad2XrWrdO6lNQgBLHs0KqxfwUsuQG5SfHpMNBBE21q1irycrkoFht
1wJCZSYU9ra9w6gLlXLqpm3oDKneZLxxcG0TM/kKwIi5gjYCzcJaHIpVJnL/e8Xp4qFq8U9svFB3
sL3LZVPaNVFZSMDE+9WXQQ7B9QeWHhBbc6uMiLd9ha/Akgu9Km08HSZh0XY7cPi9NAusxCJughNb
aPE9q+LsHvNJxXsqXu5y/MMNxZ6R9ZWsd1BuorgV4UaPHlAZxpH9dZV6Ppf7JLlKuVdu6EfJmPgX
7idi1vabmbLp4oW5vU9U29+kfsNcpG708GCseHnXBZcVbJfNdN24afwcYva+C8g0cW2Kj8PgM0mh
+QKVnLth7jodluFhIQ8pROUzNNHwDxPKZ3Ze2/k5ql1lMZELPDbpLIvOEjrH2Z3ZnDfQjPCHcgLg
lothuHxlGWk41xBTqWJt75H93X1qNfaNnwhcoyRW0JMQ/fcYTPVdGZfxnUmU3Hnacz4XzFdAl0Is
eGujhDLQKejnJyQ0J95Sq2nRtSySE+fL8qpfUL7wEdFTuh0s7Q6HisgPfSwOeCXLpVb61sKj/OqL
CkM8hpSo2SqtI1aSFBf3UtbfCmHb6xm1nG6cxS/Z5XM3zXfZPFiv8dDSWJgJN4yQDOIJ9LTIkGQz
Co8PuD0WsDtBMz3IwhZvpo2qfhtzH2j0ofBqxrU3gqnuRPbLiXEbyQMnk7gMt/E4e4wqJ5sWzqeI
MPDsvcR+2XSP3ToFhVAFbb66WhoJ1mzbBUChmp0aZD4+mWyKg68q5r5YAaAr7NF9KWE3an8fNFAb
Dlbfd9m3GZlD5KS/hDFsXCg//xHJ/oVIRvjTY6P8n0Wy1xQA8C9GwD/+0d+NgO7fJEA/B3uB+vAB
/pdKFjh/Y59fLac+k35OAkhhf6hkDixI1DHehuzWnhQ2p4f/8hrw1cA1+0ipkj3a+3cOBv7qWvhZ
JUMWQ3CjNYVOSBce+K8qGfeBuqbeWJyCgA/vSHY02BpcEyjUs76kI9GkKvo8V4GLQ43bxIvdk5hT
NkVcaRLj769hB4VmcAAZ0b9I0Zob3DObaRhLVeuseIUnCxWcddQ9R1SqB9u511/Y+HKTAlQw8Qsz
s+r1owWuKUfIsIO0zDd3rX6rkzi8KO5qX1DOQedOkjorp/H4S2tNymvn1dZ3AtJkGB2iV9/XWhjS
ZSkj/duk9veGyU8QT9k1caMmOHpDVD2T7kPNILsJsqTvJAKWTGqLmLaLBXFJuMQ1a5GTzz1s05ap
VjtfOtOtMFOxM4z2Pxd4EuR12w0Bj6UmlCFAHl8gEfVbTBDsLqimNeNRhggHNj9miW3+myqX6jpe
+6jcYFE716j8EyknysZFpHYWxYnbInLGV7lipkuIIfGZ9T09cn1tGFostn+cIjpYCN1Z712LMx06
0PSS2NxfGFMCQdTLoP3Xpk1RYnxvomKLtni8VFMWcaqKPlqw/EV18g5iCQR9y/XEs9HwcvtGsdN5
xdi8fxDSqQoQz5yI1qf8UUWVrNVhYU6CGolyBDLwQXIvACuA7ncKe9gYdJzb1nEIJvtdi7zlsGrT
9OYOnE2orwdkbxkNRPcDaS5MATb64z9/Z0rDTTLEZAkvUgmRlCuUwJlz/9Ks7TYSe0K5BckcvWYq
WFtaei+4dINaLQRJvAhAHPSG/t4qV3UAxUVvccwywVAj8BklniWxnRg/I80yEBsguE9d6JydpHO/
NFOh26Pq1owaB53lOqxmXn9eiykk7V5ggtWy6nXrQ5G4GRjGrABn+gtmvoER4C+86ziDnl8OEWDv
D2p3HAEZ2DHGdbJdMMGo3AV+DVo5wlVDrVoX2fG5a9Zmj7jOum9Zxig+zRf+v4LLk25QLskMUr4L
NBu40AB/z/uojFFBBRQcoBp/KVg6DCrLR6WbGddo9QdZG94AHZVTwq9laTuCbMwlt8pq+CGiXtr3
hCm8y8crAnAEYk14FhBzgX644VbO883Wdr/R5DCToc/hkFCjJBpnjFBf7HmGrawI4F57tmneNX2L
YD/dif63NHPVA64WcNmOTupzir7d7iOvp1tCy5SvHzsFP9ZcBmD4o8J7AzA5W68f3yX51j4+wVhO
KwAJLt+s23hIqBZW6dvQwOrbEKp1QEN6I8FzkrnAubsRLtwBHPhaI2mvlTrBivi87eaQnkCvra9n
A9qRPHBKOD4I45bau5oSe6wPvCFC9tzj79xvyIBM80tbzIdUN8WPhW42KCSexWtVEMTqTexaQYnn
ACD6tS9A1EJmzKftSmcYd10ol1O7eOOjPQZU/2UzjXy80xzuB72ACoqrQiBnwfvrgn5bNy5jflda
pIRayXmjL6vY2c5AW28924+uM4aqr2DSvWS3urgfs2TuoIaZtnnvVN9GHObl9ETu0zmC+SkP2Ge4
TAyx+9CnXfs1ww8DG5pN57Ug3/kUeBZzPIk2gWlmNPwwPICLZyuLn65ce3+Xmu6jbTeaAthWSA3S
lkc2LKcpdH3AcaH/VTcZDZ2iqmnfVdFIW4AE8HKOEXjPeHV4vvNEnZLx/eDiIUkMvGA53o3CxYMx
EJfYW/goNpKWXig4RjUA6FLnSOIrIbnFjvFQiaZ6ZEpBXhsNNWMAkycSP83iH6zRzN8pjHauItOl
p2wIxLeCGOhrEPeTf6C7CfgpFqfvDkaf595153NTMtWds4Juu9R6MZllXhOp2l2lcyDFRRhQ7imY
CAGILS5iqsBAhVMFoKuEUIKyjvAVAyZ1xqK9xtbrQ/xDB1ZwjCNSRXnWXncAcfSW8Rj03MXkN4Rf
XThwIxINXFI8n2m0+Bc31oD6TfkdD0yi9mSJhoKCNj1fVd0U3Baj9ShKQko4aYUDmSEYWnEpUID1
w6Kc5DzY4RFXxnRYBmfYtTpvbsa+qje51Uf31YDy082Ybzhq94+iwiIRj9xPurBdOPD3qXNp8sqW
LxHVma9Q5MxTMar7xB30IxIq+jH3j8eIhognOK8JvlZyZ3easlw88kWzJ2Rif4rlOF2rKHheYum9
4e2Tx3pya0NNFyUYfD4wyZ0GM60f/PEENRR+SiPv2zauNx71du6+QDe7UHBebOdId/ZDm+AYmxgs
Eh1jtoMDwCDTDV3S7IuR6cQOK/H4OWqmsoAy3bvZwS77vjzNuiho9hAKLqSja5JgdvcsufG+pzK0
geen8Jf6TPVc4azmPHgO7+rRyT5PbO/XDGL6W66On0cT6JumXUiLwVlovK1fRd2l9ZZsN6hQPs0h
o6d5ysQDUOLux6Am83mGXa+/TJ1dDA8pN56YoTyQqrjIq22jzSc5L9FDkohoh/mFXD/yw2XocPcX
3JYG3zNXfetYd8Z03r6VTjzjkiq/Fx0Cniapto/cWT5kaTe8B6kX7eIy8e7DJnTvpn5Eqs6rhCym
DcLwlhFBfmNjLqt2WNatB5XXpI+Jou15XP5mWAOmTVtWn9O+I6tYNy9R39hXuW1eO7bEfQKVfwcX
7F3I+JyNWXuxZld9IvAPrsDP4eRQ0Sn2ESDVa1CIsAiCGg+fb05BPwIU9gmsItf2pETrZlKXMelg
jlD6sZWJcgoASLLv2PysWxg38minyQX7Zw2VS7xRtO5v4oJaZSNrBRaiyyENFcVONAPvA9mofTIB
1YydMFp2sUJgrjy28AOFWfa0kbJxHkifevcBbWpPNeZCNvpqqPl5Ejz+y3Sw/G64qU3ubpo+fvFs
TbUzw4SdcKYGqx20xLAryyemD8j+GT51WiNFupskKOV9Y0/Wpu88F59GmyT3cHidAz7z+dk2Zrie
W8d+w43OAuXF9Q0r0IAzBtPHrisJ2HY2c6Wqp8QBImFzjdSmHxO3xIg5V+24x0eeJojRtbjqVdYz
AfHsnYm8M/bc4FLn8fxCWjzyNm7ZvyZ98gnMN6lwVwTRJp6G+GVoCJD67QR+TbfOldeU02myY7lR
IdFUr/f4PXQmG71NiUl32QZ+75nDnCcun4SyIwowufpAHIfdsUhC0FNUDRybUQWvTcgPPjSTeYqy
2j8woImyPdvheAIPDIJsvZ4HEZiryYhHONgUWRLUIcUzx+01lkvlbCCI9NeTUeClpZycA/9muvHL
KQm2PuvNNzzN3o8Aw9sePdtdTnCKoVQwgjmtFSH7Yj1aNYQZN8WAyXBRkNC2RZl5qAi62WcUhm4D
+BM344qiiuaCWcigV8qzD28qK4fbpQ0a54X9Lb+hWdRJBiKf2MGyjpB5m2OW7ssp9h4LWJW0R9Pr
vBm6jGNBNarfclKB8SH0KmSQweYsmNMGcxezycZDMV2qnNjS3ONS22b0JT20HAPW2Q/c4Qrl7ZNf
4mDeLXRSAEwL32PyVI9LNDJgL+PkQGnQfMGu5N6C7ACBG2ptMTB3+yvQi931BLXnSAH2dC/crn1O
xvJKj/q6CZZpp0OJWNLW7VeP1fJIQ7m5EoMbHU0cvHJQGw9+a7CwGvWQDQR8GTbkOdmjqWRAi4BF
B0QaLssMtQ8Q27YuKgCbpfSWx96xm9+mvCwQNpHi4DBXoECo6+WBONFyyXtjlV/nYWqZ6c7LHbQx
k+6Zc7o9WITmuennKoePnfYqkkcMxI51xpN91InjPwKWeGucYkquoc/6ES3A9pduDJubCYEGQYn3
wjkf04jfczbn+4DKE/8Rnx2ppLTkv8xITqmK7uumpY0FNcVYxdZtxrclUTWTbBPE/n0sG33P7neG
Sl1a4+mnm/x/E7D9J/KSjW/EoTyBLgaU/F/zoHE49rOMOdf6hijo6HATddNEPi+z334LjfiXHXXo
/n+6iYd0sREQkgR6bcVRYZXwf0I9YTicsW+0Nf10Jrx0CUd3mGHul9zq6POQdf+VxJ1St/EQ9DDh
jOdE87YVVlLe4FSn2PijmtPTlTJ3pRnEbWl5C25wKajpTrpwj+GXA6BaqhVtU3rtNzu2nZALveqW
J+lZFJLoKTentAd/AQna/VK7w9g9IVC67WHp4Gy0W5gUjvq8cJ+AeRRMXNhi+lY468fcRXJWjOfS
d5r3sZjbbyug7gfNMNWTE8ac6Dvd8vc9HLjvNjD66RJzN7LWtdPmgiWs6GEhCtYesBBQ+RKsFUwz
f9HcqboR3tEkwpv2rQjq94+7cMlw/vavf+nrGOTniqpw7dxSKDV0PuIK+LWAEc6pjKB71id3Xluj
3TRDvehFwXXtr19ojXD80wuR4+QYQOsHZqg//7IZq4DPhmJzKhKq5hEn6EXvPupk+OxRA5fiNeRu
yJwDpDatsv/uqwdEt0MCLmot4nN/yW83FjZ/G9c+6MlGPnvjGOwIWs+cHwtzqieSihuv87kEWCOw
oN8td78T3f6bD5b4xZiFMSywlbRXMi7hyX/62anPsKI6MvWpFQ1fHY52r278XMvnKmu5NisBdZdj
zEwfRYzlZWND/eTiV8V+cYrVJJ4/nsZ/5M1/IW9KhyXupzfOSuP7g7K34v7+3/+9/T58+fbnIefv
/+TvFkCBBdAhSMxvFFFI/VRZw3b5DzVTScaaq8iIDcXlJiF+UjNd/shdE88BLsGPieff2YB/vJPA
Cv7P76w1qv3zxwrDH70eniQ2T0gaaMMvb2wOotNQmca58aPWf51H5WIGERae5aWwd0hLWoOyrK9g
GmixqYUGKb5AOh+9oDj2stUXN7J7+clNlvy2JilCpAJqO50gjWYq0uMhIGihhk9dXppdF8+MS5pZ
Mm4aAqZ9TZeByvQQEY/9OAv22LZ+r4ZouFs44kwkB6rV3rQYkooaLMwhhebNBpNxYTL5QNgY8/7R
C/kWN03CvG4bxzRT7azZme7VTID3kEyg605QDJZ+N+WZ/VvWA4vZALzNv2moLXdp7A4l9K5yuosi
bCQb8rD87GVTAnjLYMP753o2CueY6PHTcZnjT53WbeQV+u4MJ87V8zm2Kij4ZTlPcPf4BmkEjBYL
8r8uS+dBBk39EKosflyyfLjT6MaoA0W3o1sR70LU1uS6RuOf1syvRkGrl5iDcgdzMOhzDBXKTF1z
4+TypWuazl8aYHZ23elTJNy0P5aRBHN8hGaRxwffUE5r76asNJW9zatgunWoeK/EFoeLhUwq6h4v
UKyB+GceAlmV79OgsApmSU2hKIgnGspIEqsoGU83jYbpNtfc86I981gTAvAA+X1gqhPEm94hvhZz
OkyyCBvYbB0wHYl23Lpt52BqxAFFaLplPJvsGHN5fn2y21FE19LA+t1p1Q7rG8dfTgssGqhqUzbC
dim9sRiuuo6d1b4Vc5l1DrU9bTuMzJPyUY6t+BTj15TLO7OjuTLfulFzTdm4+bIU0cN/Frz/la9j
7Z786wVv/D+nL2UDysV8/1Nu9Pd/+fehjr1GQZlxs+JJVtA/jB2+/JtLxF4C6yC3GVAu/l9LIHYQ
Ficomf5qC4H68I+BDqsjGAj++irk4VS2nX9noPPrAQZMCF+IfX1dUgMsJn8+VyjLm2ISLcspX32/
zoIjT3rx608P5b/ZwX89qX68SMiS75Jd5X9+Oal29WA1tPsuJ8hjejP57bJL/MHfQt3r9n/9UmwN
Py/oan0pxWPx1/OY7f7a3FyXTJiz2EGIHNJukxYpxlAJalqsvr6CQcSpFIYSzMVVG+Ll9b94+X96
nACQGdyRPRGCX9qv+wmVLEh/noS+VY3PsvTfAu76f/0TrlvSzyfBYH0JF5WQ1mh8Eh+kjp+O/cZY
c29HQp9cMT5PrvOKybbe9pydsEvr73/9Yk7wS7aYo61Yz144khT44NBeD2c/vZwTa+QhrJ0nNTr6
CsKlaLZgGcur3GW4XgzqBXFXEwmM0ekYw4B433CTX4jw5oY9DycMvj0mIzSKZnikaYBA7kNWCgFw
k1SuN8zPswqdVzSrmTJEJwipz8lK5zeZjUfm6x2QuwCt3nS2fJ3bkIbLOexLgvng4hLdY7dMcmfX
c0J9nTGEX/DRjvHGkb7BrKfD8tmD/PWWzn6NhG+gM8a1e+d2Vf7ouSi6g6LBoY+hMvVDJTaM3yPy
nb0muIT8MfTLcsYgcAPufDg4ZflD+cVjnaqv+McfOrKvOMiD8gop6HMM2ZGXQIPAc0dnGI11O/AZ
+phrFxZiBTKlzcbvmIr12c+Su2amEC8NMXErWfZ7HDbe7US3CUBAL7piT3v1LRFdZUnaAU7x13Kd
4Tv2x/B5ovJ0N4ssg0qr4+fOo2UM/MbWDod459fkC6cxGk5gUKN9Zk/JDWbzbQ/owY6Cebx2Y9vL
9zg8u3m1GsThGQsBFVVp7YfP2qfKPeHwtZUBBaGNnWV0+DUCn3o1cY98UZVvvSX5YO6qmhK2fUAB
73MtcgzxXO9PnCJxRCFclvxWSYZHpTY3dUHySCKmHwhB8RYpNSk0JslMjypBurWXhyEt7FcoIQFl
LRjxrSSV/XufosjFW3sWF2vx4+c0wSdbpbXYRMytdon2VqpsKsLzYoH6iKLEPDQLns7StJeI+rt3
2HLds6K95AQoXNyIyfFOZcV7gfRTeui7ajpWpfOe4GQmTZHSMsHgYjqpNg0fbFLXR8tpzM0SW/V9
X8w7SYj3hnlWg5TfFPYBtI1+rz0X3xAgU9xak5seTaj6azh4+SZa0GVTYtVRxMiZAK7PXEfEICzz
hLSd+4ZQd6XKaD1njg/NnL8QEcAHNmTWUVGNcg1kDAUkGXAN9+S7rGgUR+mQexNUcJ9mqifOTL/0
9Qw1hJbU/8/emW23baVb91XOCyADGz1u2ZOSqI6WLd9gKJaNjb7HBvD0Z246qT926k9O7nNRGVUp
yxRJYONr1pordqv7Yua5wRVNK7UySC54tKNmfutA+a1zbprbMU4NWiXP2ttTCLk9RwZDYADrVqCE
/qYxG14tZkXO/QLrdV1ZZM1HtZxPkxFEr0HWl/TycbiPo0jdTKi6MX0NaFIBJO+RRkXc+zivLMdk
VhQNKL3cDH0vG+PTYklxq91ruyj1whe0BCk6sKTceL58w7b/MRRQCOK+N58SrMcHa7Q/kx54awR5
/Ay0BWelzydNEMapdyr4jVHWMvsj6itSY0b0gSD9aUnvjK4h0QL3Ofub5T2JA6L2pJnNDCXj8Rjh
tNwKw3wkAGTX43Y8pAaQ0wor9X7J+GvjyGs+tHB2cCJ2ytgwsK92A3DIt27MCYCSNUP5adfUsX1x
3VrvNDKYxqU/dg+DUdv47czgmBTKJjBGIh3T+ikpIf+vXKdezlGe9bBmo3r+UIkgv+VAWo5iCqmL
Lfe1rbBuW2FgrBSi4XVeR3j5Tcn4o9xLHgBwGPBjQDVhtZsXojx3RXDMR+tDVkC4tSKBRxwYoNMG
CLwx1GyizAju4ij7GuHRxy7abf3BYpFvOjX9gD3e18gvw5Wbc+9xJHj3yYxsLPREfvQKqz1gvcs2
lVrUp4o9P96Gllc2AUjO69zjBiJEZNLmFiP/KFRjojtenEdSoD2wflipBGPZblW5uY2ZXvZbjwU1
94k3vdMwYCBtSpTLHfwlWJAvrnQxBoewQhHfsbwRzuTQEXB65EFD07X4zm1uJ6pBM7CMzDoD4wAP
zVs3jf8FPUvcr8aQ772J3JQEhMC/5N0k9mQGF9vWcmbyXGZCuiEBaRCEPIAVQjgyDe7BxXZ+7yUi
O0gjjj8H7raIk3mfz5KPf5TTB8HJtbEcgMN8SPnFDsBJuibbrJXRZ9Yzy4etxzr/Yw+t/PM0evKM
TGH52JX2BvYRyZZp3bbnQdQ9IUgpVx6+9wNQDEbYHhcZD89vDI4tnB9ttoMD3R15PqrjmNqcGQ20
U++mFwUN2MbKu+F7XfHvVOPvphoO3f8fqqI/TTXus/wNKtiPc43vP/S7eNv5hVEstjO0BVTTEGL+
U+MLU2u0Pc+n0DctZnf8X7+Ltnz9/8AQ/A0m87tgC5mXcFF4Mf2A30al/0/qe7Y7P9aLaMEwEFuE
AvAbMJzWBso/FnDtmAXl5Inm5PQG6kQiyXoWpxQyffDoyhLdhRvSva96pv/uNmvJt/6A0IV8WQYn
CCqY7vE8XcMhS6K9MaCdvWAKym84/5P0oYeq+XlsE//VXbzyJAWws16lFlw0oucbzGjFiacHl3MW
YhMZ0xLlU2Mw5ZB1dcdjvyYuexbEryzjOl6kRV7iqNrwdUxmgtYwU7Kv65vZ+zSqaQgeZiKNqW9Y
EaZW1Ttb++prZlocJG+jtjsPV+dz1bIe29WaMnPbAyLp452RFyZp2qz+5QReJglsdQarDNNnx7my
1OcKPFC3klPX+ux3ZyKwDzx7WTRviYcyqXhL13HxtuFqCVmIZgPOvXNgYXNWqyjn8wTWOheDIijR
DU2wqshnOfuA1JlfFKoA2KuZTFwF7pVijAK5TCtwW8VA5BZ8l6FErIJNHOUFaiPA+CsZLFCyNyiA
nWWdeWNMaFjLslSitKVag3n1vkToa1yE1zCO3c0YU5ZSbCOf2FvZFLVnv+iNo0km24OJj28FIJdg
A+rdVdrJ8igNY9zHTHKeM8MbkpXdka86or59FDliNC+s5zdcixSK+cAmPpvlJsHDvUNxn92yI0WN
0TkFcWP9sM/KEcp3U1Ye+7h8OAbjhB2coLSiYNOFMCW+d62QGEWZTxsPderG6V0bxUzMXJcU4ce2
UMXHqDSgDWcR6UGLMdb3eep9ILgnfqQP6R6I6PEfMVCNr4yNJgjv1MZtLadHrodqN49V8sJZHz3k
VjXjuaoNa60GckIjH5QWYTn+OQyz6EUCizlM0jPujQnhBTwLcgpYidm3EUrBvZEaybIRGC7nl7oJ
AAQjPfrQeKJ8xs6ZQUGKZDytyVmwpzXeS39aVzM9QtkivlyFPVmEgEb6owK4vVd5Fr9AMLNvwgW3
GgwgV11Ib2EEF9SkIm+GrM2/CeV47NL8BXF2XJXllhSbBSiD5RK6AbehVe4lpTLr0oHFqWNP/q3m
3wFjTpacWIx2GO+HOLZu8PJXB8cJB8IMCLRcMetrH2XulS8t2TX7MfLrX5UlP4oGWkyfB8GJbxrZ
S83Icu5q2ElzPj2y0pAnUq/aSyzs5dNgI6jbhWqyvqRVa94YS4m6pWls/6TyKdw5af2Vdi46CNds
WMdnLHYI+HkOs2D4RDRA/nFGqvbRVn2ivdRB9rExyhAfMHeYZ/Tt3vQxQRGw1u+SGn9vhe20CJJ8
n8JquS/D0j2piewqVqcZG1J+1gAKkmQEES6pXOGnSR7KKJ2oTllIryEZ2FzFCIwkpKp8lfRGt2F7
Mm8rNcDniDBG8Ln0uPlyHX1qrjFMqFNlhuUGD6D14viGfd8b7YdkaZ/T2vDfEa/AJ6G3QvXvKpSx
zHeX9MKc07kp8Fjcmj20IC/too2fxMfQ6fy7WbUNt8bQPS8YIlFwmtUXb0BHXqulerDRaP7aaOjU
SjB5pGlUNd7X2PkQSxJcvYZ8NB1BQjDTEsZ3jiWG1574pBLPIezigmy6TAjEhhM6kaSO3zpbJl9z
UlPX3djcWgNp1K6npo0cB9yEMkoOtuFbhAwpNd9ak86tIO2JHVtvEdqaOZI5YzMZu7ZiQ7higF89
ollipVP3Itwi8xHnsUvYbpFRbhLnBkVkOliyn54q5SDxy2JlP8PxDH7NVIHYa0gGNJsBDuktPdn8
5BgRmoWxdN8Gt9Viu4il0dwLzjmslNNDTCw8UVOBpPJVoM+v+kkEV93Zj8NhXsUDUB1huxRLXULn
VATwQWrwvrcGxIszmoqMS9QlicScvjQ8856E8vRcOkLSi+diHafUUy7unX3fONOt0VvEdTLD/eJU
rfutMpz3pG6sW0EJj1KgQeWfh+m2QQjGTY7hEPdrcBfaWXaLKZC8i3T5Ik3GWY2J2I/l5IfKbJ/R
+5vrQLQSGjslcjJ4cpcwKkLUsoSPjWirreFZODKdTnWH2JDnPBtjsr2SaNOWrfhIfI+zT7Gz7Ljf
v6RLGTw1FuNkSa7jJfaZSAvZ1ieVZlSzbeTmd25Fe+x2JSKW0owP0NDIefYKr9872MMfuXKLTWmG
6iEhyOe9mTpSvaxa5JQ96DhiL3JO/Ib0tThx15Vbg0vMM7d4KCKDoFBrro4C+8za7Ii/mDszuTVa
5EUIH6p9P0zDxkEB9oorFShXUCF08bPPfSd+TRsWvguPx9tRFTGej07JBydgUlR2FTy3QsJdtKfu
m8C/tB3EPDyn2Ge3TFDabRUH2Q52bLDBHxY9J6PotM6x36vQbvgtkvaeHtYWRKmEqOcYnhDj3Erj
qIYbMFRy7ZYkj5tO/hl537CLVZC9E1IvtoD6+V6D4LMM8q8t/P4jhCB/bfoZvaPLf4P3Ha5mcBMH
5ofm0UQpvRkTksmsPhG3uJvTL2EaQArKpbHvXXIVnC7KH9M+JySCPKQdK53mOFCQbAfGYAebiImd
P1F5GYoEgcyS401SVGQj5RMovV4Yxsacl37NCmfc2n5Xfuldlaz53S+MIkh4naV3UIjXiI+/WxxV
H0qnyFZmHVq7SrhfGrN+HCDCoegjsw9Mwp4j2gDpYHwSePRWUjLkQCpMhZFjfs7M6uzX7aOvo3W7
BnRNAXUCQ+rGlOVTQB9zIjgq3rEUC1ZNiILbS0pEANiLuiWPdyBr7+zCMJ7CblL73BvCA3ktMVKW
4tHIygeiwOSuLwg+XtAhr718fgzHQSC0y/I96uJq0y8Yspy4Ckg9G+jLRsQ1seHb9wY5hCvOdv/S
O1ZyIK6tWoeu+AqC3thiIipWSQEbzEpqlwdZRoJmaQ+PCrnCl6SYG3i/XH4ESxw8dnpA8LGVhz1E
gtHVAJ6wHo4TQgkms7GxipMlOBVkkOWJ+xnU3odrg/BvL/V3vZTugv6qlzp/Vf9z+tp2X+cftyXX
H/t9W2L/wnXlMceHOP2b4fX3jYnLxoThEL2Ub/4QqeYIYDAscwNLj8Z9lsz/WZjYwS+IBnz2xvCL
8cjgkv1pR/xXO2O2LD82VMzACZNwA6E53b7DaOHHhgpNP+NCHmKHcKQEXpetjQsQ7Ul2IwliuJnM
thmfY7cjvwwp43Ack7J/pBgdC9jBgrQXlIFkWpNLQXhGNNio7Mkhs+qJZ1QcOQk3TGeSUFnaqzjE
Rb9MhjrHmSB0AVxldJms0v3ECOUth2GI2qy4jMw6QN1Wy2PXhhdIhoR3lixXVpWXRwjjhY/6jln0
3cCCu6R3CECTeKi4+7o3P4V4NpC5G4n1VJYqO3UtrA+eryQb1fyg8vDgE6U+nYupIgfSEOh/F8vY
FsT9fussBPNsRG3yE8aChJl4ZO/K8zAjqG0kU3xRXbhenC4lrZAPKltAbre+/JXvP1kbRsdPKzHi
EiRYA5y0sMJqnRbDcSEudO3bAz/YuQogpYVtL+XBFhbhxzFdmnhd5oGJko7IOa8ewzXtBZFXsOgO
UPHg1RgDry6w1dBoERjSJX24Vkllg1Xsw5bE5SSBCaE6lkVtGrBPsOrYeB0G231GYMku1RtscdsG
XWjulSvylznLyXQdEet9agu9kMgmk78tL+R0H9S58W2RKlxPdhOdMjnJd4Nm5IxyHyOR/v144rdH
rux2XqX882iRNsqxDVwE/w2Eup3ZDuV+GOaRUO56YRbPhwzer9+Wy6hD6PrEYgQIWJH6tc8ydevB
V5CHKMd1cvA6cop20vVJaLUXPbpNWcCvSqPKTotTHccWKw9dwcjYKYmtT7WBRmMn6jkgUztz2M1x
an+iIOIBMHQdjZ6uj7rOTSAiuu4zEJT8pTXs/FnW7fypqWV3i/AvvKTLSOqGbbXehqG+TZc8xDdR
A/ITUwOmgnB2b1j/IcYkrgjqWM8mZCS2fp0uWHHdxerKPZlehKG5DaQYL+w9PEg1/LBSIXN0unCf
Y//5pjxbEQXTFkW1oiuZ2KdbNAGIv8xenrO84u8Kh7zeeRhnYB466C4AwY1t5afbHvrhU1SE812y
qGxtaxT50pvRXeEVCXxyKoS96EOxa3Npv+RsUvZ0mAaqeTgSOdkqSRHsM2F2zz38c7fPyXx2zY9o
C+ZUy0o1bmVYjAXNXH5XxBEP9I7MiF2i4eqODxaKwQMpJVf2eqIx7KzpqwcU5MVjpyHtap6JNksA
tw9xCQ1Kw9wLH6z74nv91gqd5UQEFNT3zFJYoTQKHugQC7diDiYaQI8blVKHagTkT2mVCReVhsqX
PXh5PSlhNaCh84PGzze13d0B1APNGNjZDZ5d9wH4igWybiS5yrxy7GEOwrQPNN4+D5tk2KgJ6P0I
iPUO+X/8ZW7TlAjO6tjOfPWLxuWXV3J+eqXoz1eivsnPvC1Xzr6RauZ+rPH71BWQ+NUo5HaQI3x+
Koflw+QC2F40vn9k4XJazLp6MTx33luNb5ItSURXT9RpbZJ9CIYbxVfekygsy47U+9IV3MquErR2
ytyMHmECKkJ1Iqel+xjy/u0jipQpxedR+d3GW2IaJ9KY2CV6mJgzSsR+VTAl5v03A3mZ0q8Ec6C6
XeM+kxfPx+PBxhIkjdUW6Q1SYPhzTL7w76UWnkbbq7t1G47TXppxuVZz8VYt9MNtMlvghBv/XM2D
cSHKhsMfdv+iO+qUePEy7+H7BUuL2AXckw8Ph1k7hznMPk6lzhui1+vJghEl+oZCOTvlzKo2OKkE
0GF9F9Ueh9a0cEa1qgg2ngGOGFskCd0gU3jCtHhk9lPM8YzNznK4HZT1BHeRFwKyM21KSleMB2O2
3ClTATSRygjLM0/7+UwqejVvqmrpt/CEl7sWNPzNv+XS/01fIrRA4f/vF9bl0t3XKflS/VQu6R/7
XVR3nTA7eIZDJCNaYvKH4TP0PNy/VD2URXrO/OPwmdomDBAG/FQvUUphzIc2gk3rOrP+J/WSS+H1
R72CGaJTRpDBbNRln4Is48dyqQG6tqi4TG9bkovnNwfoV7cqHZ/hrUlIIYedrdihzocEPmRhHDXQ
322p/P3yUKnE3AOinN9bcsHwhJq1u57w3S83U+n5X1kQ+Rv4B167NIeSjSYcslWWq9l5Jn5pCTB7
jAMekI5hdgkcwZxjlCMUIcyNwnszMXr/ccSiJ2xuob6t52e7bCPyl9TYm685Xq5k1ttFpiqtrMyy
OCWBodZT4LPdHMFqLXB1Fjeb5C1z6KYOnqXlLxVhJ2DfObMEcdwMekmNK7pLRyiT2AZQMHJU643f
L8O+rMfAKtadWZTmTSKSDH6x2XyRRtfu/KaeH1wrL4EYzyrlR73ZWD7XJVFnd//egP/HG9BjX/LX
N+ArpftPt5/+od+7FfELSggrQBwj/N8SAH7vVsjgAf/vICz1rvBKxEq/Yy3RseqbggUQK0n4PdzP
/yH3/OKEIY2PsJHdXHk//6BdcX+8+5zA1Rsml0aK9ifwflYLidFrRtOMqf8CwodRQ8buvd2q+rzk
iLj/8NH8F5nXn5RJvBa4CKKnoJygd/tp00TXAtw+EOXRtxVw9HEWZ5bL4cvMJ3BLjG74N2Ir/ff9
oIRCeo8wHB+Lr9dxPzdiFKOWXwcmr1cI7Uw0a0ZuKY/Bcz859hFrN0mN9hSIi/IS6/LXb/bnLpAP
ljbQY9nLt6dF+T8da4bZ0Q6x81/avn8v8oKTJxdjcDuLZXqaoiV8iSzz797yf/mIcXUGtuOhV0br
9rOSroOrqAKfgOFCTA8Zy/T3ETQ5wXtJywzVnP/xC7KLNE1eDiIVup2fBW2paUy1RVfJSjzCx8y8
FFU03pAisI3PdjR6r3/9sepxwY9fqu9edW1IH/lw4bD++LnOnUBgHU3jYaimJgO6EnUWxTJ8OfJW
HO33B2d9DvLSOfog8Z+a0S1fSoxVzEi9bClhsXX+Uz9b1rBqGf3gU9KtCtqK6dNsBX9zFbj+f/l9
4S9x76OSY2zxMyirJCUwTot+IBgLiurFKCw3wgWZw1DA/xlsiiYW6kRJPGOc6npXXLgH5yeDYKKD
ZRI2DX0isI+kGbpvsd0xFJdezrUEx7y6KZZAnKdEFvI0mhaABEKwxbmweBKtm8wFZYAGnUWH0SbW
CmjhEuzg+4gzM02j3Q4kW97g3ZieRA+JKkqQRayWdqzcXwNK7JmggmUaMVM1VnrTkkzz4HFKeJsk
GDPmZOZofEyx/UVPTUvJe2Rb1bCi9LvZQLVnLVKIr1ylE5mgAjjjRFJpODqPUzmr29KU2GFIeGAq
wJzHojviIGgh3oHqGbvpwVCIu8OsaYM1IPP6dUgtYuVb0z56I+hnBDNj/RoU9vhgspYt1mGzcHwR
A6xZO637FrQmm4c2x6B0xSjYehNhNIa4uP2AO2VJ3Dc3dC00OXM4vXpVzzPcIzmo45Ml2mhwWt4p
jS+aQ3ZBaLnKJHqx0oyt9QDc8O268cCLxOeGnfTCRHd+WoImfFHN4r556GafkhgnfmMr196RHg/9
AE8kK74OaMnT92tVIkXF949aBfRSNlGGpDrhyHF5s9Y81t2+UyOcEqPFdHkK/SgpjlljNCQieeh/
hi2TUPlRjip8CWrO0w2gTp999OxwnYDodt4qPIyvMq65+SHG3oZzG77UyG0Yil899sxhgDlo/ELL
noodY11ND8wYakWPpOEN3N3164RYHmNWxXQGvWPLlxRKYR8HSMf1StX6vSonBOKkLVbXz9+ZejDp
Q4D9FkPlBq0SZLamDM3z9c/0ETkVxWymnBuLPBi810eJ0Xaj4jDcDVdfF8wKWpU+Y6TddWkU3Qik
Y/V67NSwyZopCJ9sFoMtUypqKRaaTHvSc4/er3ZXLKCxWkJCNrV5HrrjuMuhuq4ixvlwZ/NEmEcl
en9kn1oYJcPrrk+M/WwOqdo0sTFHT3VdgqiRFfKtVSmJX7q1lnAmxtlS7+MMaQGSf7ckD4pEUIUz
YJzRtpU4NTpaTsJCyXhdGcEIkxFJAYzF0eVz7i61HcntpLNTojKcdyEJzo0ECI161sEzQAyVizt6
PY7qgDpxQoZXTReP3G/wEChlPcuYz46beesODtanjg3TBuGdt+rnSdxDteyflGwQCPbMGj/3Tgb3
WdodMwHkGNPN6BvjgcVJTItpAlRemdVyDtohfm86jk2GHf4JU7F3rs0yxKm2OPMt+/6CL3xiFoe7
MobkWi/9e4jQUm06Y4iTDRd3eHIg4JWb0Bk7xhO+H71gle9L5oHOh17GLMna5q0UfgofFb7hoYHV
P/IHNRWmNUcuqTlzu3cp+B96JD898ZjjWrYiksdYA0c8pTGM7glLrV9dZjEvxSzR5PlxUGgk5jg9
MfOJXiZJbVE7on6du4zt7pipt6mC35W6HgdmZWWX1DDTjylBJsua4ZN9jMwu2Se+bR+DOjRZboZR
ueExWqELLrZ46YmZ423EO2GTOUiG7mKGH5euFp+L1jCWIx7SITjaRUso8FrU6P7sVgDJJxnS/nWJ
R9fbtiVNOSl9t8qo44cWc/kxDsKLL2Xzkvft24yTmNM/ES/o7EhMI9P+jBSPc96tyW8j6cH6PBgo
Sdb4nc27OlQ+DktAv5tkVEcXGuO4sVUj1tyXPtaaqg12IWMezP7WNOwWx3opZFBvqqmDsjYWQFyx
0jekdOSOOyJEjsozol3n11zY/PmaJ1b7wZWhFf0aBipp2ebXUbVbgor5B2k/A4m9XWbcYngZ+OgK
VrMLE6JPs48vP3HK4N6XtrlJeUt7lpIMRWYr6l6rKaAWqXs3uLUVodOZGPlamzBstwkxExwWTh63
YB67GZ9VGpyNCW5JWyAa3xi5dpjmKbbZSLNUMm/homEUMz11sRkA7TH0pcR4jMmfrMSZJpaztLmK
lK78k5Ed3d7rZXjbKb6adc4CV1N8EEkAsp0B09VYkBi8Q7NeTdqg6+V1UjBHzDjv2xH3qBw5B0c3
7tiOYUMjOTA3SEiseOWUhwlhTyQFP4DG4F5yFXJEf9YOSBgj+6sPc2HsNayvR6CP2rNlKRXrS1+Z
uXzoVcmebsA/f4sshRF/7sLCaZEnvJc2chXGmi1XhLU07hvmqOmhS7AwbwpmUu1mboADE33t+lQM
eNS8/fdfS5QuiJxGplQSkaFFVz7xHTdN3rYH5FXTQz9S+xZAibcCrch8Yjaq3fjDjKP2TngxW3qz
DatXZTHTvbfckd86KWreqxrhFm1KBlj+k9PUOWHfdMkOKmYwSnoWqQJz9P11PDneacg6aNSsr+fn
yKjcV08KDta5JW1J1e3EsBx0eccjQ8QXRY88c27m3q2z2EHHueiL57wyzFM9SONb3zbhXg6K5Et+
Z6qcxPDDF2sigmQV5MwR1k3Yi4vdNpoRxFgx27W+A3opnhL9iTYV33juwqVcD3Xg8sBsOaqeI/2N
pnC835ah4IrLO75GQzR0Db21mK2JOr82EnSmmPpehDFDa+VzorR89uzEGJ6hquiEw+R73iFi2ZD0
QxQFiw4DjJs5gZ2QGKQkpgHVcryfFPmJmHimJ5y70A2v8YpRXiSbXrEBRp+gjfAhNYhvkeWZXdMZ
i35cJzqxkf8gCicA4ZSnS42AXjZPpGXKYzZK4xPAruQEtipajR1ZkI5OhUTwLaDqkBSZD+qql/VY
/ZMlafrhjTN30brBjBcHHOl2Gw87YcZi0+o0ynYil7LSCZVxT1ZleY2tpAxhdsGIcyUyKpJeJ1sa
iQPRXKddhtfgy76BpYFMUK05Fb6VZKgZ+XwfToRlcl1TGAyNeR/2tXnPpHrcjFAwvW4uDuhtmy21
cfQ8eYRwpjqOk9EvSBLHuXeQ09xN1lA+8m3zXNZBnjz5CgTxOtzTsCGrk/cZh/ndkDnAw/io7s25
jj/U6NiQT1v2uRoLMIx2bFJATs0erBEa8/HBJluUyq/ckotkfgMQSbLj90VBQdgQiS6lryDXHIx0
+UrsA3GZzsAtvMPZpOSmGLTYg4pgxIPCE7hbzTDCOEGk1t7zvOI07PE+Do1lHD17buq7Lsu5SAsN
poMCwxW5jBHffQRMtHuYM5WyDaHs/ptWXHdJP7TGAXMsogAZLLAF+JNJiKj2NOSJVx9quJQU/SQ+
EOiuC9+/btf+1P3gfBcMKohJxJFL4/ZjtxZGsh/Sqq8POXkxBIv5vrg06OlyNoAA0TxHty7X4/Cv
X/dPrT+vqze6nqYHOHSKP74uLXkOTX2qD1Oae2+9UbSHoptgGihfcn5VRTk/eZ7kLP6OKPvrV/+T
yYxX17tkskw8fgmNXf6jpJZ4KqYnwqsOyo1oQEA0WZdAn7qpz/pl9ZsJvW5heunK23K0Of/6K/yr
MPhbhQFOyj98W39Sa5952Mr/Wb+1VZ78FEfDePUPczv3F9osD2SDhzDaus7Gf5vbBQTLcNvAaxcO
/l/nj6BN7xf2tUxgXIAIFj/GV///dNv8UcGFASDhe77NP5jb4VX86RbGH0+RAuvTg/lg2r62rv/B
eOfrxAS0zOkBwJauDcJM+puli6nKrbGFHtyPtVmtAtOX3jGy5tg5UhCGAfYX9jRrS3k6Z2FhXbSt
3CpuADtXQrWrmoGRCXzH7t4JFmZepTGRteYxYtBwjr0zcEnPFqamnLUS6gUt0VMp/mge4Wz54YFT
F5Ge+Vrq3rM2F264EegPnWKJHE9ATXv7PqcIab3WVRkjix0qPOB7ixzudkthqX/Ejqi1MojLD1ZD
uc+ynRdWrPeIbuqC6elKaSwSMT21qUUVnxU8qO168ls4O2VWnSqEhMHJC+GrdIEpLjloOmYRsjTW
otQ4jhoU6AOCVo6BbNDnYB3qxtmy4vZgopW/6M3Fm29N00NVGcPBHqX9YdFAvtKm0QXexLjAKzpx
jq2G91/7gA5TL+evJvyq1pDHlEqRAqB7T1sNLCydyrokZBG8Yrm6Vpktf+x6FgLpdN/mWJcsSHVb
bd/kt1U5r2baMQkGESaE9YBSGrZmOPGunYzXDDIbSGRq8t7Da704KNMGlJUUN6X0SXPOqLCCMRKr
ViXTXRol49GuQhK0dNnOw1J/nt4U6Up4gvCy4brm33z/QuGUUDCS+Ed1Nehv+Fox8pV23Sdvrkju
UXXE2GHK8GNugE1lySMTLt5CNaOS5lqS/DPoclotF414Qs9sUIFJGHnUNzORJQSU+PSUmNOJeau1
Qekjy2rH3uXFwn4dQ/s3GRGqtDLHklFxrp76pXN3cyk9B8QpQxkUAumjPzpIBPKpMda1KCB/0AO9
XnvByi240LPJGaIdJQB/0xJpUB0PAn43qVGfvRaYSiw2OFH7kavBarXUP7R7CIXXFpHhPkyR3Pd5
QBNrycVnWNS+0ajTpX1V9+++E5KJaPa1OEvVcBOSNccXXDGAhlgaxhTuiJOpr8s01IP2kDXvllEb
15vgtrytyGlzDj7Y6aOREvtBMIfN750sA7VqQTot044YeS3NOFdMJIbufaKKihF/aPTkqK8TJllM
ynRRH9g9M0MX7k4ggMOte5wWdCwETfnMffbzOIbba5MMxCl6uV7C1xp6zmBcotdnMq8v0sijrVb2
wEeiLFgOU8ytQIQa9AYJF353heZ+77P6qqalqvNAD8j0YPH7E/96S6C6oPFKdL19rYEak4ODbVbz
ugBDOjRuDZAI3Ji4OESZvhh6tLiqaZIRqTRxQR4oEvuVVzG9XrCc7nPpqhFTZ8HbMRPnmHQTX2hz
HWDhY+cCM2xu8i4DBbO9jueurd9sEn6HGJQhoi+rEH5gHt4ujYbD9MnM3wAVCOhQbgRMHQe/k/ZD
2ozwSo0WYT9L8SXcmHntHzzE2rvvrSiSaBpvCRFkqjKuH3sCzr9bunmQ25CbArt8i4JnRRszPRVW
peTT3E1kg2msaTLDC7Vn7uUs5HgOygzKbiFy/h4H8+qR5MRgk/YcGSaO7kvv1gOfIH3ZU82FTryv
zJrXDHLfAcNAvCe81bpcdyseO86I6FWGHM9dyNKVepoj0iZU/nbKMq4oIyRrcZOTH36JzAWsU1z5
NEI2zC55AhGf7AlLT/aDY9E2jYpvKU8izRGyOJpFNHNNoVXhAp+9ha+17aAOmaQdMoMtAds2wywu
qTsrgpTagqkwBHyuF9GxGqg0hFchYgMrp4lLiaYBF6xoWjymtQ5GDHWt6Iu8msn10jWxhdftHcYo
YxrpcnWHvASobUYDiSvSG6ce2sMgfGbq12vesYhgWZu9Vphbjb7+B98T5yEZwxe20EyVbFMfe6MS
TU9aGQvanZl0nG/0gcEGiY++HsMZ2XrdBOELfDe+yO9HWtoJCnp6Pi4lN2J0dkyDjnxGACAIk2vk
bw+Ox92V5xlWykHx8cItw3zCvyvGwHlRYDrFekJNLHfXk7WqJN26kkHzIhK7LF9UHM/ZR3wEnBO5
o08pMapk7+C6egu1YD4dmuJRyMFiklC+kxccHtu61g+DxtQP5yjmBA5pjM9qcTnI4NNzByOXrsVq
krIU9PGznA8cP3aBaj4eKCG0sQRFi1ct4U3B6E6uLD9iKkUGZZg/LinRA2aCwG2d90b8wqO0ZaNO
03ZySlOjugb2CuzjsfRLjhhmn8oiGsJuWu+9KouXKhbtCWbNYKrVTMoMdQhOMUrfYxXqB1Gn6d4g
UusbnjHBgyh9M+LehQPeNiiAGiH6M5uh6qYji2s9anJ44jdMaOGBf256a2tYVQNIBdJ422vFdso9
sBq+k9x6oG6dHOobPw2xpj6Qaox2OOw/liRTADKGXo3e8KF2xlUKLi6yNDhuZvpj8JwgvDo6IpUv
OFXJnGMThpyJibO1qdkobizPwv7ms7qJV17jpGtSvIuDIAJTrhKnRnjuZDAfS2sMV36y7MxhUic3
lVm2JnNgHlcIF+W8m7059w8hl2W7jrsBo4/ly/Cmt53lPph6/9SlIY+5ZCI9ZDJAixdKfHDEWN0Z
pA7dJ0sWnLAxcfUKOl5PBuS5BWlNb18jmyaPHOX7NOKboOW1V53hTm+5U6UfZr/44KR+87/sncly
5Ea2bX/l2ZtDBsDRDt4kAoiOZLBNJjMnMCYpou8bh+Pr7wJTeiVRKeXVvMqsSjIpWRFE4378nL3X
Li7hVlu3bZ5UgHV7CZQZxhBHeTG99UwNviUe0q9e+pxneMjC1nbTwEPbtVNaRvrHBDpRzUPJ5K8h
B8yySBoBV5RdeV2SqSuul/OaDV61W0ZSVlSR6mGcyk++nzW7PCVF3o3kVyYjKyPN/Ra3s7pLbEX/
uCAnQeQYiszB7m57ALKUP5UT2nM5v2Sj+aAROQ12te+vvDRZbstF2dvaHctdrTRrH/kTiAI/tUIc
Yg+tPwJ06Bwqo7Av2/pqwCEX5HlJfSKBxcbUDaex7AzE+p12sP26P+b+aF3WAuMGF61CwdeipYJy
v5nb1gs1H41HxooFQqTMb4i/wX7onTTsN9dsAoTWWlO1i5mbHQvsSrdxLbYCK9/BRMOx99YdQqhm
CmZcLAfsJwn2FaV96eGUBNiBfdLiVghzaQZDVel3OVLUyxpY5SdzNrVLVTaEZ2mey89Jatdvw1Tg
2I8A/5xox7d7ALD1U0b5vjY6SywxWUkH3OxoYbhSaGfdafUtO68b5J61G1177bXkJaFsrvus5SV9
pLWTZ7gFfc+u68Gh8tiAmpVkpC34+nSU9lubGeGWxR+dPySNfRQnwxErz2uTxFZoDsbaFteLdbUy
jgrX1nPU6bgbwEnNT1TEIdV1RyWY6lWgcj0PceA4D1HLisLK35UhOAdGKKnpAkciTbJM4Cz0Ju5y
G864vExGDWpCI8YMY1vvcNTGOWHrd5PMCyOM8QQRcO62qPvu0sggYMTIyjXncemn+JXFP96BsG0D
hqkNWYcTNso4idDl1LGI9oOTaCxMXeocvHyUjxoObI9tLzId/DtGEnTNwAkkwWDgdPVV2vNepGQa
PjYwwI6Lw6THZ3y3I9J9Qc64zhcylxAuMFmfZDx7POKirC3tlMIamUwW0pJIYhQg8SUjuzOKy/6z
RnD5Rdl5Vw7W0C2bV3Rfgl5/8mXvdJuRswu5Qy0Nxs+904z6scyRyZ601ljM8cCq5e8Qh42tZDaq
UTnFHNygUQ0+XtQG1MoGJEXtfYnagkU9yjLZKJZvpTMBsgmRw5UP3n3B1FZYmINiHEISLbqtj+IL
6YDsuuaYKWfr4ZkFryUju7xoaZe2O4AMdGd1Gy8xT49Jm98eqUGTLqHaqmRPIeJMFnvTykhXJ32V
RrwnAtDPLbZlKynLYUb8jBj4sTvE0dnmYI9/GgUIx+gP2gwwJ/TchjQ7RLVP67yskad/Xqxl7J8s
nJogbUufaqRmAIgiWQIW3f+h5fADJYyx6jD+2H/jGyCfs/iLC61RmB/6UzJxjHoxh/hgz+gDGAX2
9FxH/KrmGUtbElNsRs0e4H0CFrqJlgr9WR+d44q2tqePxhkMClXlP3+rH1wWVDIogSjbofl8FI/g
lonqhNTGQ6VR+rV4X2MmlTU16QpM2CIvp/IZy4XiSJvinzEk37tiH64JH++s/6UEh/7354ZGpdx8
rCbAbrYqOAplRqsgJ/StV2bckETZhGAL6YmH3I20o7FOgiqrAPI7MXwwry1HoU/d6PkQJ4dhPUE3
LbLCt/dxvqzIPfrJ5frBTUTuYdBGpdfHpPnj9Zr8ONUE4JFDFU14GpjWjv0qMgHy0qEtaLfI+kj8
nPv2GSyfumsHehVtwlk+refuroRk98838C/hK6gyqYEssWq6hME2/OdLqNkEvY/UDRgW8Gts3lUI
Ay2px54WT49Yez3+QlPuXxGsiGMzcb6oJDKJvdGxJW/7vlnPYFzZf/5i4gNHkQedBhqjCMfx6Df/
pSPqMrgH9tQmh8aJqVChVtTFuPFh27szVZHoq3tieD3rqOp1njMj9cxPk2VOCDEmH9f9KnHQdZTk
GzhT1MXGwDH2HVAbWwvle7pqLYqoXmv4tdeD0oA3W8OKTWnKxGu8wt04vH4/lMJdQeFB0AWLkGpm
+NNr3ACmkflmreOe0yrn2Vp65NYbAOmcgP75cpgf2+JcDhdvkGPQN7Ac/6M4LDE06KjM4vcisVkD
MXMjQfDG9ahTzXz7d60GaqRJu6/MdU6NHZKvpdJxuZ/JoajuY2FwOrEXMMZYEPlbLhb/SzSIisP3
9pAwV9Sp7DK6NKNkTH+oYzpgWyK+pjiMJ/IpFrVKw2wT2jV5aYpxhceB4PX9l/1vJ/pnnWh2F5aw
v9eOXifpn2Xb33/gN92op/9is0HoOlY2GyDySvj7T//Zg3rKyoMimC3kj1xA4xc6wiaLqAF9Azk1
L+Lv/WfvlzWtkUcOPDA/jvzyX/SfjY/tZ5KPDMx09ipPRd/2UYdHYEc8JZUNCX7WmygwsyW/SyAR
nWzLmrb45HFViGzZNQAKdoaco5OHj+GLj034k13RGLacrP9MJHL/OWb49C+ln3w7U+fX5wuaJF59
XAh9HDQRNB7rmE1W/WwnFkGLGFgvK3uNtWlBYu79Rp+2fVNjg/vDXfzB5s7+/WF395DTIvlkydPB
Gb7PB/7Ymoe7SWt8TNtjFEdPZRvRf5Bj6l/lPkaLwGls9xKkXuVwmRz3Yrb89JNBf/jrvFTLqzv2
HKWaRYlTXICSzZ2x2A9FN+Yhg2vn1kXHobYzpfoxkuVwaTSi2Vl6YyHdI0IBUjtEJVQ45XViKvRS
LhoL5OZUhxjpkGKN44J33WOO3m4Euj/WPcf8AjoKbBUttw3LHkJOZCIhI5TxDvtMxUnKqmiqDQLb
dYxcI9ky2eNwn1prfEGnoRF0H0Z4FgWnxpZlx3Wa6txZFBBaslacXS2mg2I53uZkJeKNH7DsL66c
WnJnnWTbAJrZluasnqps1fNoQAsvbZlFaBDV8NkjGQVknI51ZwMva54IA/aox0WudmSQOPvZx42m
WabsyeA127v1mHeLrCc1ggys6pei1h3qOVfvAo92SShHwh93E+Jfwvp4lRDkkusFWKmFs7HQaXkw
xjoJq8GV49H3/CLGA1MNdzPerGRrCEn+duoY+o62VeRtSPugDQ9pgv5PaMWLuACER6MjjlNTbnKq
9w2tOIvbmmnWwZ5MU9sUFqW7tO0nN1NemNhOdZNX3bxjgmNS00MM3ljdAPkw1mdjB2Ov23UDRixF
025PGxTJVmJOu1xPCaCYpoA31T8iNS/vFqSDqOLqMTstmUdglD24z6jrmsNS6kvoF81wUGlXL7uB
EhTtS0Z6IINQNHvbqa0gpQ+ZQYa0N598z0DIla2nCJlInP+unfxqSX26NmpAdpu0InOEnQ6tG7IU
sQFjWJUrv65NN7gwbLFx3M7JVvP4PSIw1G0jBD2EH0RROPLe6HDXERPlVsT7RIxEYoAVEYxFj9DP
1ypjYyZDtMv2pl7LV9qhhB5NeULyMekCDd2MvvU7wD5pQWCMX7EHXvd9F52WcRFHgsyz6WnVn/qX
iuzo5wVhwLiN/BEIiGu02vBSRWNGCps/tMnWwbmXhsPYVVpYA0EEPmRUAPHBChjhOFES3ytRK3XA
zofCRIvW4Ky66so46EYUll8ZAGAhgZ+Ha5OhQUUfR+b6ASdqwlYwVJddQl5b0NLEeu5ryq+15uJR
n/X6SN89vwMgtS6G9OdAOqfVdbaM7tkc69YnGdTn07r1d1MJZt4uWgxJD6aP1trI6j8PqZORyplO
fPs5htfa1hhd01oC/Y9s1DsT4a0b355oNSSSFznsaUSRTaLP4zc960b9Cki+rZ/9iH4/qs+mfqap
69sBfUWsaOtS7vOb09mh5xISMMI6SpLAhPzYXMDqCC2tt7kUS05CeWRGxRKwExjq2R5HDvsncBw6
f8nRd4JCKZQRWwD1jEVOT1U8FynJXFAGn0c1lDw63UIKSLc457Y3+MacUWttJ0l+zzaEejb71jOL
a2ZA6DedOjUR7RrZTJsk5hxQ17xYaeQV151dkCrPfJE8G48O7BFE2gCnhVyg8rJEBJ2xJC6SZ5do
2SN9a286W203Zxw07GgMKlBPX+kHSBy5aZf72yJeYHTWGG30Db0dr9skrSu/gESpz4mj/DLAxFpv
Ik8nEYEGTZjLvv7WG8Mn/M/OcaLbZa8+Unk7OgXJNhqIm2nv0fqFW+ilJc3AmpxQy86inYEj9CoR
E5kWmkakclJI+qW0WR1GV6P9YqPvpWgVRrKrZR6CuyLos0BMdGmhIr4gmzm5HN2FAOChpRExt15j
Q+LsjAuhFcPRp0VEQmsfYTlknyH3TfgqsHw4IhskT66JOrsHishg1iSKa4B4ta+kUKx+k5N1Aes4
WJHYtnbQu9AulqL//N/C8X9lOrLsfzYdXXe/0ov/k+Xo+4/87vgznF84VficSH0i3cTa3/itdKRS
+2V14ax5FD5P4Roj/rvlyPmFVrXPz7n/H57wu+WIqpLXEhsg1QzHFuJD/0XpSLn55/oIee+qPKI4
0032aSrcPx9T835ccjn66U2Ws7D45PPpc4t1N3eu/aixrFvLaQnsAAlbdXBRfcpjqGSps82jqZbz
uUXJwdg1x/+BwDQfxB24lpXPbnNiyvWtw8yJ2XOVH3hfdXkzFK3+WuoN3lXsCVVKIqmReGBuiNWh
nVwnJilp+9q38FQnbXYqs8p4EwhJ4ZvSf/imrUL42fHik5tb7aauY05kA5Rfm8JkHy/1Egi/0K+Z
rLGPVcIZxw2bOBiWpWggCSzC0j65uvbNg+WPXpMWNM54ovmSKT2mmA0Zylnp0UX2/FWuyyvlnO+Q
Q+Ukd53r5QmU5FndQBqO/KAxZdmFouE3popbBlZyUpoDhMvJRYujO55S4tpi6XxLcSl+6sFMZmeb
VLoACYZ7nXY6ekKVzgnDJYdW+YAIGTG6P/tkB+oMQu9de0C4zZ1QT5GCmaIBthrRDUbxvWsBptr0
tQJMp/j6R6LFkotFzvRxKbbsvWPN+jGuxBT6mC0rYsiz0ti5NFEpClPRfFYdu28ct2g9PXcqT1pf
oVLRbK8Zt2W0eNdeLt1xIwqLRyJbUhYfd04ggmcsRx0sWld9oXhsgeZ2PFlbk6JgDvwimYOUhiTb
Gj2CUsuSN7crEBTHaX7oU2vcyVg4gb0a1ans3Nt2oTpF2J/HgakGYFZO2Z1UbcEtLVvjVrN9GVZT
iWjWcpW26TrbeZWNT2+Cl+aMrG7BBa3qMsHhqSiTdm2lNZdWrDPs0KtRd5sTDFHpNThVEcJ44dpz
bsj0TIi1tvI1z3KpUsPa6IKpV7VJSGmj7Ct7xL9RToLYhjrA8wgiMCxhBeXC1bsd+5h7tRiTe48C
N0VkoM1+81h0kwuNuu7XSArIWZtOX7UiYp5XJ7sZ98SqE5CCnrmJk9eydVVD18DNXVBHqtQuJ5v2
yZq+AydL89LLqRqSCyeq5LNJahz0LywXoULyq45zrFCT9rVZdWjHHT05EIlo1gyurMLYDIYajK2E
hTwc9K50d1WcpjeAeiGRJe2UsOMT7c2bHXnMbLAYpUNAFgSy9iaiGXW5LOnYBqZmwRROuJtBM5Xr
6aXSumWT4QWOb7B0pPjoGWa4V/NSwmjsbX3fMd8KkpgUPJ44SwMe4eJEKzQ3PWt1XUykLkQFKDhD
d+j3Fp58MtMeQJU/t9CV9R7vANmntxwbXrTFr3inNKcmX8POlH0eatFTK7dJOeziUdVPc7SChj3G
Ow8LCKt6b0VNV+35hygxsCwPw4GVSN3DFp/ro2k79HUoUU1nT26hKUF7o/IQddO9SdwR9ojsWKR2
v9xPuTk1B5knBtiESM2B12js132vXy1RZt5aNOvA+Vl+VoZZzGpmj0hSc9Vm+2UW3ikjRDYPPKmR
hTQba7AonbUl4JMI8vaiPiyMOMKKwb2qdzGIusBcLHGrEXgOunxMisDxM/MCGoAfCi+j86ulqzbD
SgjJIYg+RR1UmNzn3Iqzb13rZs/QNbRPoiumL5zsp45Do2XxrlnzFKCRFcgZHG04dnGMWocBTR86
wNa6C/4AoYqGtk6t6Wc0iuGpR2f5ZDGaxPGsMK02+iZTBaemGaTJ1uwdcNG208UYeChjD1rbrbnI
QylB+qLyQaBTV83okTcWFQ+GisUj6qHPtI4dSP/vEhGf5MqD40n31rE5GsYDw7/BTICt+5wNkdIw
RwZ2HcVbOMbzXRX11rkoTUyCYBxL44qo0/qKOY6T7b22Fk/tMD8hiWGyOzgpfUsjhUy5nSZ9QEA/
ZXQdiUnB6qqM/g65cQZ8kP0rvjVmVPRMZa1CLepQCndwmZWDwIujE1NY6Z0JJjZ2/62n/lf1lAv1
4A8tnL9IQu+S+vXX/3Psi+eK3iZMkhQ5wOv/+7/Ystcf/I+RmxAidJ/03JBcvqdx/FZVuXi8cSnq
VFy/Obx/r6lIKjINZj1r25s+nUkX7T81FVOodx0o8IV/VU/pa730x8kJ5RwWN0vwHfhe4uMgokWr
35W+Xx80qhvemaSGrYnZBQWAz/DUtJ9kOU1XhdYw/x2bp4LsYaivHC7rsYAwuyR50EBqhSxVVjfF
qD9icIiR7xVttqt5HIMFru+xYwqMkUBzd/SUJbI+99zABNmYs3GTYb549kV5RTDNldAkYiS6ggNz
EHpfNHSKiRcTq8DbqI/pueQ6blu3we1S1e1G17yFGSStEpJ5Lmpfv3GMXjA2lc/re0hoTRcqi7gh
fDRvfZHlQclKHzJnP7ti3kta2qjyqjc/r66kMd1Fs52Abxp3qJeuRrXcWJm60GP+FHMRFDDps2qG
Oqjb5cUGaFdMxgvs7KdW9WQ/M+nqykR8BlF0SDuP+Z/OaKHuowVYknc2BvGUT8Wzy2Rzp8fyTu/y
q/UKDCW+UmDdb6j80J6RCb8ThQJtW0L5H2MX0JycHmIh71be8tYjRuXYFf4Lu72/NxLrgOrnIoch
f1xWAakmey6MrnMYTE/mqvWZc4yAkDJlYz0lIj9xan7u2gyKjH3GbUXZ41h9aPELSSt9qwd1Y7EB
7pQYdq3fcIq0VtITLcKZ4++mMhl5mDUXykw6/AZ2N2zoqSaEafrDFj8ZYWlNCmpfW69lUj6PBg4p
UIT5ZpC4c9bPaiz+gNYuN7LXbwZT7sdkuTA8FHvapF80bq1t6da8CSgZoW2kV3k+X5jcnINXU95m
Kb9hbanHJRrAHQ5OQdSF0IK854MmMh2DBKzRZWdnJ/i5j53VRhvUXw+lbgezquS2Sjqw/nX6XDEd
CgtzfvHq5WIyYyLHky495637lM76N68V1z4REFuH9EplDofFRi/WztPD0toHZLkDD6o4xCX3COpV
sc0H6Pn0SS+QHCahlNxPGu4CAy5PwrwMcIzNUqBQ1B+r2HjxIdcinu1gZMfFyXCnh7YbH6y5eCup
Brc65mLGpvODiIyEAImhAZtZI2V0NA7TWKOJfOa6G5UDfth6qtsq2zFLgwxmuaAS+Tl+T4SqLo+i
cJ7QyqgDgl00fAb4MOisX7NI87fkhagAGuZ0K5DmBsUcR2BKYcUq2oMHar7p1JK/eOxLxzvOkwZX
H8952C5NeU3pqnZYsqcT559+a2qFeBmM/quaOufS8Jho8tTUaWsFHT60LPABeQVuvsjnyK3JG4gb
kyZsZrXVIymbj+WMzSZYrN5PN6iBt/gyz1aVf0X/Mm0xZYbAldV2EWnQDIqQSGtO8Bnh5cg2KfrJ
k1cPkNzc9lxoyU1VW3VInfRYa4BMUUbBAB3tZ2zk3UtV4eKvKPbDwmk3ngsArll8Z1dCgqSsr6Mb
Y7AJQqh4/JfMfKmJ+WGiXFK6TxwTZ9PYkarOfVO8ApylIlLUDKLBmHdgMnLH/Wzy0KncfXI15zya
rTxGU/dGeviF5eSnP2w6P5gbfDgVk6QDmRAGB8IEDsfuR9dIStYY7uMcPjOH2A1yjWEtyc+p3VL8
Gc5PphQf5zfrp/lsaALiDpBC58MZHFPZWDkKhk7Mqx4QT3EyibjdONBWf/JJH2UFfNI6D3H5MJ2G
xPvu9QejgnTdWWSgtg7mkD/TXsw363KcGVJtBY27+sjf6d9rnb9N7vurA4fPBL9IqwMOI3/9c4ch
FpWfeH1EUMRgJ6HdTw9YT4utJqyD1OxijeM4IUq/6HpWt3++jX+Zdb//vv5K/0AcAPfhg7qEqask
hNarDn3ZiSCDlHijmHGsy8UFNWB+0P35RfYzvXs5Tads6nlvfWiOXaJeEk5vcbVcjDGjebqQBx+T
xDYbu9D05IWE9bVBPtFsaRxu2jq7Iswazet0Rz7vo24nzHFn6zzSG9jOde3vbdK6v8RgO7Z4jFTw
z7/pDx4hAS/TZJxv6Lb5sY1jFqmPn9qqDonZ76xavyEjGnU4yOqffM5f5mk8QZZBmhVYTVpHH8Ex
vjRonHjrs+rjQOnRoCvYtaFesAhXnFgCJvVXQ2yUt0Q937iDXt4mq7/DWuK3dmJdXksVcGw5Uvv5
ItYY3vhyfNB85yy6aZ94LPc2Tl/6EgmBw7NJVW+bal/GZrN69dOLUe/6uyqfH+eObX80U+s0pF4Z
SqYGF8hd36LUJlk8L7iLs1fvZy17i+rl0cNFuQw9m3cjDkhYDqhv021cLu9OlYvcZX5vjsuNqxie
0JEll9zTvnY26DjXoMb65wv5gxUGYciaPgaDx6Tz9ue3YoGA21pI4w+LRIFMOTGzstmNCd1TisM/
fxaF8oeaFEaRzj6FEc9lELv++z+89Z2pUpSCqkLTON2RlXQqAU3+5CN+sLKg2zYtIjIM868sGAgE
+VDoOhwwf2oAeM5QHaPlZV3p00Wo/cC4JDetg6+ZZxn5SQhL7wTT/3OfZd88iFw0/qcOy3AmDlPG
Jp74rE6NKq8AGL4tjhQhyI38UAiH9oMt0BNjfbksUiecvOaTN/CPnd6Lj5ZKSbpB7r7BDEkUl982
O7Mzk43wW3M/zsh1dTN9swHUM3zOr6Y5Jx+NZgXjAgpUQ1L9kptWgTrYcni8qyszCS2xfOfo/e2q
aP3gjeVeoDcht1C38Lf9+aZUZkOYkSqrg1FwUJiSMt2mA2GXJkrPK4O5ELFcxHQWyjuXDDMJ3ux0
2k3lNc2RR4+2FHTyilZatEhOvEYdoGd8IpVcBNjMENpMzjlCar8dI/ucYH+Aas9K1KD2CZhyPuqm
fFl6fZO66T0SH6qqll+40+Z9nuiPikJs00RJsxeFZDwv72LbWQenPJ8o/FeJ+ER6mkZ+aRkV/t60
l0e/6abvrLO/vUg/eEnYM9b/GOTQmh+lAzJu8dbLqTpIpJmUOOiTJF/HAjESNfFP7gixf399Tzx2
YZY17GveX97J1hIKeeBYHTpAp6Hh9HXgRdkpYqfyDe4PtDjayIoD0mSyTGUZFWBcIASlABzryGEE
SeAdo6OWjusCA3tNLqiU963PjUsY19eFX6JK86n256oWgWj6lzJb7uZCXZTuuhnzmMUif47kWqUC
Rs0W/aodCfyaa3NLuRqCsvR2A7f0/XhJ31QExJSYW39lXGiw37NGTrsmGodNsQzJccaK9H4Iiqq5
DiTg4VOFESIdOEh6eQw7s+WoZy/yoRtiZMSWj9VqYrZl3OBqwW9NtWbQz0OGpYL1b7SSfwJLigey
GaedYXV9uL5G/WyTjSofHBo5+PlzjfcJnE3RUi1BM70CEOUFbsOf7jT7qc1sXrEhai99e36ByhVI
pLY0QtOrVHBm8WdKcQSFT1kyYXqykGfU9gE35ImwtdNC1C8jCl7gYShOHIr3ZcTOksYTDyZvhyOH
K6ZvX5NeVqfcsElDAMlhdmq7HoyQRqR7SUjYhUdlD5f0yQSb8JP92PnB602tAwEb4zNPlP6h8iiU
yFqsC+Whd9VL1U93DK/P1BdcPJvXeq2/3o/a9QDJdvCp9N7f+SoZdkr2ctNm/BgIgCAfqiz0cz/w
pk64UCViPDimV4X+PKpDYfQaB7S8RLzByJx0rvgF+6N/hVw9CRaALCFcdRR09DC2iyvOpsYakw3q
cRKUW3onmi2ZHON2joecFjSVdczBsJkvElFzQ7Cw0iIdHwbcdZvORF3tcSSF3Xs1jeOdZeOirwuS
2xnJiqCVywU4E+yRgE1LQ0PPVqsXp1+aXYcw2+V0cMhT5zyxiXDIHB8EqKu1mh/c3/fX/0rdfiJ1
Q6xrUEv8vdTtvh7/xnT924/+3mPzfrH5v6Lv5oAMeG+X/a55E78wM6SgoIBBV0XH7Pe5pbB/MVGU
2h5uaMci3omn/rcem6D9xl5n80qAqTMhAfybPhs4+A9rNdI63daZgHp8D6gGH+qnER541WVpfZhJ
bpKhT6ooXYgqBUYC3HPnVCzkyA0y79ZPBfJsM63Ss3RYBKci8eCaQzfhQU3FZwJ01A0c6up+6p3o
K7hEqDGLAHXlYtk6NN0qVyZs1b5I1+MZsHemEXJmSBWQ0kVYXgK6VVxS54O2NmrOi3B8xGlc2qIN
Wz9lnt8pRZWX0zqfg4Vcrbe+JAgGS7KydrnWW9cJkombPImsrVbTDwj1VhMnpg4IeLgFFSnhIjET
9H09KOVaOVcmAZoNyxnDi7EU4iQXTxxZNfUqnIt2+qLTyPYDcCnDr3yKgerLqtCiRWNFM89rWlDI
LoEP3x21yHycjtSqoSZdG8D0IdUpXENsNuVbyg0/QPkBOFfZWDiNJY1eF8dmBc4x+nxuFvweW3K3
+89Wg2amknp+5+c6LDZgeNdyjKqHBhnb9dB3k7qY2zm2AwvDBHPOxPUwxJWFETEpasEgL0nj3c45
36tl82CdMqKo3DCVi2YOqrN7u6RL89WIPe8mKqhkNqzluhFEPk5a5o6y3rleCUR/cY9zUzbXudH6
NzaJ0ESQWb596Ll+uwkRz2XhpARqJMlqWCGdY36HCaV2Vd/jFvNuNc4RnFISdiLl2eQQsyexx2DQ
RKN4xBQkTlqB2xXpX32ddy3i4MUqVei4mcHYRMot/o3RYm827f5AuPrA72yInajS9hu54O2XDjHH
50ZXjNd8Wl/Oqt/oXw2t9EKgCXDVPan825kh4UaxK9+zR8W3M4yAmIWfEKytTdomDbweoTBjEixJ
iPuePaxn0KAM/7JphBvvRqUzU5uzKj1EbjssR3ByHKbSaNQuTew1Ei+xW2LBxPuC2wnM+HBM7NxG
Lieb8Q4Zm02Gjpjx43maITYGnaFPlaGsq+S784TZMDYU77snxXk3qMRkgeJW0X7zrrwbWdS7qQX+
zKpcXK0uhHJie8nfLTDWdz+M53reLu7efTJAs7ThNLwbaIp3M43Z9NhoyOKzCWNb/TZuFGv3BDfR
IsujK7csCWtZ/TkJRp1odewU7+ad7LuTx/zu64lL3a0Cd/X72AK1XrpgCdJXN1C0+oL01SE0CL04
tkssH9PBTAPNT+orxJht2LOHZavLKC3WcxpSPcNDUJjIR8eJYufA6609VKtPqe46LEsjAu4GuSdO
pnT1NDmru4karcfoVPEdDkpPMUBNozkGapjnCw1q3rEe6akqv7qrF+9yIKYK3azRE39UzyeZZmPo
kiJPa5nhM7qyPd047dVeWGmKqNu20bKfPSPbq9QEL9QM7hm79D02fZKGY7mqCe1Ho1tjDUaEEYsa
62vIUHeGECYjAY7CqD1hdlntamOPQCVhEthhidn2mV1d6FXT/5op96wvZvSl7XJ5mCFr3VdQca6z
qe4JnoNpZhX9dGOMkdi1qwlAponaW85yTluPiE5LH7ZJ0hc7ZRDQBri/3xr0A4DSdXWD9W35Ukek
dmHBvF6a7mqQeYQGLqFbCehh30boUDJH06+IVJLXTk/8HOPjb4il2j1DfC9MIxXtMBhk5DrZ/bY2
iPheaoqZYpq0Uwal4kIVeD1HN/666tWC2ODkk7sYHE1/rClM6u4zQcHyoJfx8Il+z8CDIbV93M1v
Y+cUe4WLMhw6aTxMhhl9FbmtlZt5ZXMg/CtBfHLKOI4Op4WDKC37ogIksQOshkyvIfZv30BCOnkR
/YZZ09zbsUn8fbqwNWUl9LvBtsj5mZzFPau+rTgbokDMQq9NB5J82ujRb0HhCbuMQvbehFBpr/1W
1XnN2WRO86cGfyCKNQ7TUWp6uxKf975eJvAfMtI/k8GkhcMEdaSW1XImxLC+UK2EyQNQ71bwL656
Z9auOUo/ungf9K3hY8yNewSAHXG184YMqdw42XMWX/p56fn0yPDXFEM6utvcpGqE80YonyWRNtsg
yLaTaYizIFlsw1B5RquAXGLvojvYu42bn8ioQvfZxOh0iKx8HBq9J1uwr9ogHQla00V350RZfUuz
Xz+LLK8Cb+BKjwWPgUUSx2z223kd2phYKSFsWRrzejf7VTBF+xX/KH04TOQ454dI2uyDDtwH2iRi
m6nWDtbh86c6Gae7xM+91xkOedj4LRDkyPyq+eNbmlbxE/p+gnNVpW97y/5UWbaGW7UnXkDkEBIN
PHqLaqNPcWftabB+jZzxxTNbe7/U1gDjgtgQlCVPalJ+MBS1Gbhu99yWpBNPQj8SQIKe3DCbX+PI
nUBTaGC6cAoeJrBa9dZclMWAIjJuYM12IQKQ/LYynHMVo2OlxTeG5WDC0zRRGw1bmXSyCXujXM6x
GqIQmvnrmCUPjCEopagv6MYQvyAmPJcQFgKmiwSj+evimtvtWsy03nbgVLeZ2eXCpIrSZzPPHzTT
YX4mW/1rYrr4V1LP/RWy4t04GW+Ehm+8LsV2qrlfKhzuQWtD2Ztz3T35KlqIJR/JuhRkb8ecBYj+
OMkqj1g7myaExY5MIp7EIZtVeRRTcyRcgoG8Y3xKpcovC555ErMcY2d0Pa2GbECjrmf7biqaUz3M
99aS9DtjSSomm2twera8YtW2toMY63va9jDayMMi3rsUin5KNYXgJwfM6n25m0cQeZ3mvUTkrOAT
j77orS2uUYThefTs29YYeK7sl9IsDeRhI4O2JG0umoqZHOSwX91SknNivNL1bBNiRIsGnk0vD15D
IEdvNdb/sHcezXEj6Rb9RVAkPLCFKccqeiNqgyBl4D2QSODXv1Pq7omeWcy82c+uoxWkKBaQ+Zl7
z41zeH+B9JxsT8XiPoKqSyP0o8UOsYa6Mxo3uR+S9jTwobfVAFRB3GbraIWYnXhE2eChI1JGNOiF
fmt2xQuUWIetajbvuyW358A1mvZxzoCSFrSCrsSNTU5nYHGln7V+dAil2F4nIBLXYrPXmzt0t2lo
LT5dXvsLtdGBBRpwVU3cJct4t1U5yMAJWc/okoFcf2Mv2mBEUM/LON93+nQ3ac2Fag2HmrMxaZvw
ia/rXFIDzmm4gsYJbK/KEMGjo2FV5Vr2GSOBd3bqvsGSNwTGiriaHJF6uzeGpvxfQMUfMoj/R+NH
u/WfGr/oo2ynj79LK65tH1/4Z9vno1e1UEjYzPltG2waf/SXYFVYX5giQzRnbOn+geH6S1xhf/Hx
Mvm4bXzWAi4t4V/aCuMLYHu2aI6J0+7aSf43fd9v29bfZ9lwu+kehdDZc7CKZafzz2NTX4yMjZJe
u0HQLh+Q1kKFtQb7WFdbGbvdPEYwZ4xHs3IQc7c4Z3QO3aOne1Q1Zbs8r/RtqLiQNen95DGOENIO
8Fk3IcSNgnSnJouxrT6mLAksls8ovK5OGgsUyFzeL9BMyJ9JIUkQDxjocLsYzF6HZvU1F90qkUX1
VmU8TU3PlqkzyINgnnVrLXJ8RmdKje0ShLPOQ/VDaAg5PfOFPdQvsyORmICxh9VfKTJbx973i201
gVnM9WOO++AEvai/WV086IHq63JPFl8eFVWjziuxX8c6VejQMPOcrCHxd9M4c3oQM+aATBXidnA0
Q4ElWJNIKnojhJw9K8ZVNOthwx8eY1qizLJ7+ywG74BA7rETuosrydcvdanfNImqGUPinkk9lFll
Vq4BzIVkNwHeCHlg2thrdOC0aYl0hAqfZNch5MOqbzbQxzvX1lzEvMTFJi093Wy53U4ZKTFDqjF1
smZHOpuy2p56m5t/WbNX2lbjBb2Kc1SWK98bvTWCDJNJJPB+JLfdsBoirtosH/yw1zJd3MgmMbcn
sstKsjnypfW072DQdKbhuKe0bTc7Y0FZ3rTjFgq7hTCiWRNJyCRo4wg2G+/WT6F+xAsqBUXTLnsm
i8YI/B0ez96tG4oxZKLunarxH2kst7hFcq3OpsDbRlOiOcjts1sORP3olGKxVm50sZP0OWCL2Spv
tRXdrcYQVZHws0cLuA3DpWXsqWXYVdorKZIuTI6uDwxANVtzcpNmcob31kjsx2HjyC+5rNtcA+kx
UKgWywN+p3rf9K3npnfEEkOr3uEIE/O2t6ifrzUjLZ/zsoh5FE+aXNFOQ8ooqtqH5VPPytgJFkc0
FWB8W1uoy5LjxO13PTvbOdQrob9Bq1EPC4GpdbAWDRAQI9chdpZaitJXB1sZavOIHgMjrfaalXZe
ImZ0qf/gkKoLWVxE6TZ+T5+S9kggeyN5bAjl7ED02j0GJFAbr4ndlPWtVqyGHtaIIO82uTigwgGz
JOGMRrcJMBo3p7XQs0PbVFpM2rKZhos3r3hwMjeFLTqotzKvfKzCvWN+6zPLiKq0Tu96+Kx3Tp97
lL4dE88MkPaeHwAtpxjtuMaXFqumwqWzIgl2yIp4RY5Kc+b2+rWhWUFwgfXTSYIriuSYeWBovM7V
GJ2Pk4vseFJ2BG9owvQOLoePfCvr65pqWgEGZUaciXGiVnKbe7wf6d7FZJLp0r7zC5k+JxXz1o6m
0qYETrc/Yhr+Nwn9TxeiyTr8312Izz+b5uc4/vz5T7fhH1/1523o6V9ATrqoBv+41P68CX3xhTPJ
xNaL+Rdtg8cm6c+b0HS+IDAUjmcZaDl+33d/XYWm9YUL8mrq8FkuXS/K/+YqhCLwLyNQzyB3Q2fb
xTqe6KZ/XcW76wBMd7GboyYZ+XR7yUikkHGiLQvpgTWDBy4o11jO0xXPUo8EVOtXZAtkRPfQ11bO
KiIhAZ05rn479mBeqNjL2LmiX9LUGe1wGRANp476ynnVE+Zr2uaHfwXHGFeEzOzbzLmuWBk3cX/M
TQdoxoR9hu8wjQCi96F+BdIAW5mh3AnBvJOIXYLt1bizGdMQfOnBsylQcVtd7wGiHOvjzMEIAMzZ
zSMGWTGhDZJFnt7pV0xOs+bVM5HMsHPo8+Do4Hdpv2b63O8NXIGn8TdxJzUc5xNVOxwe9ZvJUyN5
vrSYV19KsEdnxVbtcV4GI2oq94HEW/8iCrKKvTpNv4H6hQpDW0ea3yzJwqX5SAox7OHesYfMga1f
0UFt1xL1jg9152jchBtt0F3j+qe0KSO7VeW9Rn/PjU5qJVo9L8Y93AZzCa5owGcdL70lQrFZ1tkv
1Hicx007JNrG7LDMtBML4Y5Y+R6hPrptkuRFewGNByep9zQMKwuCCR1AemzgSz+nSW3vLUiLO6M3
bb7ruD100hgvbq7RY83Gs3PFM62Mn+NxwVWcuOX4sJU0KAtcrZ1DektEGvv6aF1xTzP1PGzEb6LO
x73e0YbOMjX2FH/Jq/TydscB6PzAIVGurMuN4pLa9XVzdCVNKQV0yqsrGeXM2A+0q8MO6HserQJM
FblL4Cau6CpQVf6nNzTLr5Qp524TDQyyPoHQwXuD5YgNWHVei+4lm/XiBS/E+qGhe0FhstniQkym
vPE0esQWIxFkLx9aVJcySyZk04uyK34rEYC4zCuSC/rvS/ab0oXiqD94c1s+qLbXTiRiyjujHsBt
9zntfQe/ZAhzRrDuYdbIP9sN4xXsAnIKPth2RYUx19gVzZUetqlrgucVKWb8pov1V9AYsDSGTpsP
fYztg2jCyiAU0FwoSAFmAy+kLc8DZWz1PQbLA1iSMsjmpr8MjvHRVr2bnHsAddkNkd9vTj64j4BI
95h/de045rOVGPtqYgLiBtJfGv87iRA9wuJk3bgs1Xg/zoZXf0e+RMttNajxvGl+sTtl3g94zBkU
VFjDrWRknzjMwJiqxj8trWvgEk5GME4dBhNwhlpdgAhfZXroLIqZF6NarFJFNqmYE4x5x20Jphht
b9TwTxWGoOpw+L3XkiDUxCnYJRAKngiCEPtlCgXgttsetJn7Rp1BIm882qv+0FBKJj+KBIkj2A0/
4ITjRrQ0pER07Ty5dgmqs55RGZDpUoZKXtncYvKLT1dLVu3gNRKzrt1Wixa03jyXkfydhnJtja3L
ktbXVAqCekr4CzwpApfrUc8mIYOmh2WEndz6wfR9KvdM0XF6IPthNCy1nOqBqPvEjxu75K8kSXvA
xaQEmEPsZWBwx4oFvljgaHL24becSgwtgeGPuDPqNC9MFrJ+096RY2C0DiFIfWZONyDwbEE2IzjN
1FUufNKsce6UdNTOvrJDhagkODSb33HoQHV8JvTLuKFuHwcqwwE02Fb7C8JO07k0vtUfy9znvVd2
EtnEw09ol0x3DxA42zeu9PZtNpT3jVGdtxStfDDodntWmZ3dJAQwYVOdrIxFledeHRw5ALC5mTGT
wB84eRDgbK0pru8qZaaeOnk8wErTdqTZiSe3IhDUMcZND8nT0SDbNA2i57l99KTLLtdh/YRp1mAi
Zfo3K5SjoOoHYsWVlSIDYm4WbNtciaAet/V7v/af3FHDLdtGolXBCYU59mQvMEQvntJNT3YkCXkv
NoEtDxa2DC6HpjpWREfdtZMHPl9bxUmCzv++0bIi79Oj0UXPzdGZHKCsia+lq+cRWR7eu9R71RLH
YnSHwu7Vjbu52wVpjhcAuUN3v6wF4y2T6WbfYj9O1Y5hh4VIW2wF46QMp2MhTSsuGGrdI3YrSNTx
9yMBzi+b207HlRRQ8D3NtrdJHMQzp7MJ2kY8UAuNyh1cWlb/gzK8G+CSHVBSE0/3YDYBShcFTcay
A0NnNZcSFnyPD2cJJX6A2Cr8dO/wD9h1cFQpRBcr42jcrK8mTEfuQtvvPggnnC70OvpPFgrtzp4w
/JR6oh+csTffNMXfR15zGnXgSXdkBXXx0EzVbSmW/nXmPbww5x7uQXL6Z/SjDaGq5EAymoQ+ZWby
tmxtuHxIiw/VJr/1npWfV5Lm3xL2FbdJogOFLkaHSoDs4WD2WhG2tSluR4VTK8x58+/twlV733CG
D+SDIZOpMjKZ6T6g+1R1YNWec6yZQ+L+uyrX6V0/F/gLQadqEZdrK45ktb6h83CYsDGWJmuRyBRt
NTFVlINH3U3QQpOI2BrS7mLnucBcPdLVcPuTzaCZXWQxJUZ6o08vpEQCF8XCx/rMgkHqaywTR6kc
WknEpCEz9TUPmtRAQFZ7aFphWTl6yncTi7eZHi/1IKeoRWr4YSiGWwoIL/QGUXASDNjTEfVLlknu
kwkkkJwGoo3yNHsenbXLH34Xrf+r7/9jfY9p59/X9+pj/Ofa/vdX/DXpMr/YglcMy7LzV6zqPyZd
VPEw411qZIZaFPh/r+/JMOCPALOh1kZE/Y9Rl2F/gdhm0yvQzyLthAX0X1izdeZn/1zgI0KzAeL5
rkEjwfFnXJXVf9NtMiDWZN/y5C84mN+kZrkB1/R3TxnV7Qa3Ks40nTk9as5Hd/EuEMNgbMiif+pa
7Qnq33iaMQYHvXc95dpZO66J6SR72RbZPWWH9kEGBLZqpxX9wfISLBdUaOl434CeNDls85LSQGOg
7x43ffCMWzwgon0ZwYCS9sRwozX3XTl13cXrBiivocDkp1RQ+nKqrSBJyIWHtZgKthod3OL+pfLg
1KLiA22snzJfOQb2jcSfYjcT1rjLKsvoTpPFi8YCoCkBSFMurbCmc3Ry+sltV+PVWtORwmnDQIBj
2kqUt+cNXe3jnDO+oOJF7Vo8UyJo8zXUqpR9RHJY+1E0ifcjdQrqMDDlkODia06sxP4DJlIQyTwU
HVt0CF77ErndjSfMbQxnx+fKLHRWOAvOwHEnwb/IeGuRlUdeWxzqFFm3avKJqJ3GnA6Fprx4EZ79
vkobZ6oJAi8f86cULgof1lxceib2h8JYXos2N/fFtBSBXvvpgbkioJm+TrO3XOWUBCuWdDKMLq01
3GTLPL+Nad2EczXem7XCxN1IHzlI6nyfVLIQt7S8AyhlHw6kpFTmMVXlq5JTE6y+Xpw8z/pM8xa7
elLOT5s3j1TTWr2nhgeq3LQBC4dlT5KZu/OMZk/v+Si3/NWpjF/EN0w329hSi5XpLWWdG9bz9N7W
46mWbXMoJ1gqeKIjTMBGMK6dc9MxPYQWvN1nKRnwpVG+duB0o5k1R1zW8qeTNw6B7ltyv/gtCYoC
/ok/X4WlZhKVrBP2lrTYDm+U6KSTR1JKFabEG7C5AKaRzNVw8abFiF08FUe3zfNdozY7IACGjvMK
CshnQ+5r7NSfXtark0KDE3e9rTHZXa2gKdKfQG7aO1ubnlhWqScc1dWeWSbHft7lh6Z0SELIhRMA
mqHKaex5NzFuPnIuZLthMPxdWtusaTLN30tn+dnaoFpRbrRRwtkRoK3MmxANzGdL0xtKu6ljQIh4
kkU9UgaadcBwFGrqphEsJmQVA5uEz2+oZ91uRDBU5Stg/uO2EWBXj4gu7Ul7s9dEBGapilPWY+fT
cH39Mmd7+DZvLjNHNKkltTo3We9c45BEea5lOd84JG2RJDh4fWRam4YhzcHjIEnPsIPW9QTYnEKy
zCH6TDsYpZgfkQwRa1ZZJdMwYdQNZhxcXB12mR0bXi9OaPnZ25MTxZ3GDT/BC033edEa6EvTAdOw
OfG38WDBgUTO+n2uesKrEinv8dXo+HJ5LFJfYlT3lFp/9B2Hapy61nqap7zBn7Ksi7+feLTUNfZd
qJC4WnoC4oumXzpQ/xyJSoLQS81z9ov5HJEDBGf1DOtE3y236HvH95HKGoxrZpHgrsta3GSNX+NR
hASQ9ZqxJ3aPf1mJxHEtnD0gek4JhZq2FSzJbZbh+OI34g663owTfyO7KyX3z/C2rwpe3Kubd+q2
KrQPXqk3Y8sFaYZlS1QS0hWtt24LYZQRifTFTaPlP5LRG6Lc6PLXeiggu8Aeyy8GU2Y9qGEkRZte
I7qtk5e+goFB8p2Jiseq2pPuT1ijTHmWiMYesZ5qTyQpuR8GaWMsNXxyimp/KDA2ZrzGizKMOAHs
vkPlIC4O2Ih4SiZkDtM04dDPWjxbORwxTawMNXhr8a84D4DxzV3Sw53X+ioj70zeVxmK0nwdD4uO
VT5IEJJyl2wAdxOneYA/897MqHItWfvfB2N8cCmClmAswYuZ3vTVWQsk0IJ5umHKIzZ3LyrRQEHD
0rsJRwYRc4U2aTcrfK2dxxiG/Ctyh7uWALKV4KtdYumcB956my9eebdpQl7W3IfXsc5k7TXKCNTI
FFq6xu/wzXSPR1FRoBmkexbFHHT6sCf/FFOBOV38mVMLI8KKs5Ldv4DIfMQ6bwfOAhWE3NfH2dsg
/npo4FqLiQb/Nv/QK7XX1h6mu5AJUhLFEMvx6+9r18pYwLAKZ13TMOyWEKJrDKsBDqjx2c8LPzI9
JNMsg/yIzNKjr/mgSLXul+rdF6Id23jD97ITY0cQx+qTK2qxQskale1mDIonrex/IPy4sF+db3RV
gUJbrjILw23ucGGIM4C2Nm7EWuyWfBLHDd3lQbNdP+g78HESKWTopYzXwBCsTJ4KOtS65LzrnW/b
hlygocqnfZm+GW1Z3thdArh7ZYmVmCCWOqbsZ54BQk9zKwuXsvwFJcnfqW77lnZ813JDSMLozk4u
SQsqF3IdRz/RCZ91B2JaEKR4n5RGEmaIl24Xy5Nc7kZHm5+CaLJ/IbH4aU15tatsCgaprLd6mMHO
lSMhjB7fahss8m9mNf0aZgtZ+4jT2OIQBRqzZPfE3xQPvtF2R+EZ25kYWn4NbvltrhMRcZi2nNq5
fPNAmIbWZD7ludOEMmWgXyhsxLOTV59Gg1y+xpl4nK3a2RXSXcMGYsQOCXl9xoywxNO6WaE0188x
S1ZE/44bLD4/wwIxPhaoRF5HYWz3pQmFhdvUx3eUubNq+IV1/PhyKot3XvtyQsXUeM+9a/O1pmBf
MSdHh4SeEKl2CkqkWu7tKSne3cJ5sh1nCdsqvbWMdjyYs5eauDaLDutcwi8aMaP1giyPaHubZfoK
dMbaEsego3JTPmlJzsPWs3vJHYniM20N1GaqQVPG5xwYnd7eSX2DCbIp9+Aq2/u2lKN4nwUE9y6Z
7jZhakUsZSYPRTeZd3btSFSfhWo4WTsWona24pKV7DJRsvNEiPqx93z7EefgKEJOTY0Sw+iM0LbG
6tc4mB4d9FikfKYYEq+88sHZd51u88o0aE4PqDq2OZyBR0aAIp5wOs8hu7Wzhxzu60jW9WeT9qdq
gQOOhS9Lwz41f5BAaaM7y43velpodbjBVyoDKLTq2C2MS4K8zIo5UvaqvovKq6KuncenbRkgQXJ4
XmSmVXvY9feb09wkaCJcAu+MVh2QrRc8zo50fySpW4eZMbqk4tn5m90N1kWfczsa6qWKbVZ5+Gm6
DfVSj4iyncz2cTCtIUcPIcZbVRoe4sKkJVdw6mZ47IM31axfx/Wu8fJqn+pDsUvcZdpdR1Rxx8/F
fMTR9gXjk3qP9yV/4zQr37ji5q/VosQT8+vkIAo3Pwp7oeJNeufUN5KZcI6TrgxWLP+vqZFj6pTa
ylxvy4YTliteiExAJutYjp2Ywckwq5VeBspqOqL2UhGzBxseJtArb8Lb5h82NpKDN7b+TVsU052V
ZsNLa9pDyfvXFlNk9k5U1jY4cKorvD/DRDAo7cO4PKcs7pGn2tbsR5vfmTiGqm6VcV7wPtywFamZ
EScVG8nE25yvKVEtWyQ9xc3qzZbPizgo9qqDw0LYKi2HyVCZvUt3getPlsBTtTUrMx6ioy5sv/N3
xt/Nju1AfSXzqAqJa0PaqVekXmARy+QFY73UbyJRyQNDGfbNNccrjIYniJ0NRVg/fzZ100Za5mL2
nrb0ZmgoSatGXlfDtayfcWZgHxOusV+8ujwXLSEVa80slKiuKuy0rUJzPHT2bmGt+ID6exgie2PL
XeDMIG9Ln891s82BZRTNgVDo9N4genh99NxiaO9USvBR5KdK9E4JiIlY4fxHjSaQzBOc7wbK1x+U
mznKNPDJ/WI9kSAA0IljbGXpO4yHws9qn5goKI83lbK0kD23Hldb1wyROWacoxhuFaWTYx6mzLHf
CO7BlL0tKQE6Q8m7+Ok7XhIJRmbpOZcy7xEdi6GIQVsuUItmMhRLFrGcPtPQnuWkdYcZLOij6sn3
qOE37jcbnJacVu2EmLA7DjyT0TyZ+bkr7DxMjNn9VcOj+S6aq0J0yNFn7tnOPI+ln+Tvuo5av4ba
iKzOuXpEtw1pHqimn6ye04MzA+pi/ZtpYc9Y/HUrFhHnDqdz7BN0tRuZRn4ICuubhZFvUNEft24n
9i3f9rQZ/fTQdXn3NVNW/bgsun3aunwJDSBQkZ3p0EL1rDbjtMSu1QoQsaK/khNLcEcDSKRby+oZ
4/MzvoxUkTFSXT8EPljEKXcdxXm/xsoYpniu3CPiRhm1NO6PiAH83VAK48MGsHMgpKULkpKTqULK
Ebh5m+3z1JTR0F4jePPa4eMds+Wz8jW5rwzrzlSZ/wPs2p3kJ2HbLwx0sMZ66PWqp5Sa0zMGf4/c
VQzkMc9Nv+t8Zcc9GlyM+BsTVr3Is3hJavKPKq7xRGnlN0QqRIL5bn3Q8sSMNJD6YbM4DayeCtkX
GWQrXEnT3LWJxRTLd7W7ydzWx27JDjPa/IsCDY9avTEHKnCtiqs1y352nWNdkiTPOWj7FJg/7NVy
5OCfuwIpb1aF20DI1oCihktnWR+YxPu3UqXQEtH2HUont2Nk2RyYY9uecqHfex4MxnEcVUsybPox
utggmnbFptQh0b8tYQ7B4mZhqVeJFRSVb77/nnSbywhau86z+l3rxvfeZD+fMRC3bKULcqXkD6G4
WD34JseV2D5+f/N8HaJOM7a8tELDjBi6cFPwwFv1YftmFks+LcJh1FcixG6y1IvWrYeJWn0dC+RD
rHlEG88TQXeBMs3YgbMX4MhOTnA12ECMKgnqVDghNbNOdElDEmY8AC6dU8hq55adCU/L6O51Ubqh
MTBbrdK0vGf+IEQ0W2r2Ygki+XacqLdJ5DKi/jr+Ud7YHf2+r2LQndsBs4v4uTS0aMVUyENtTXO0
aL3xUEzoScpu+D5lajq5NeRO4ZXE2LSAurK1Q8rgEL+L8/SEG0CyG8xS8pD6T/o1SrG1wR5nbUV9
bOZOlmGKS/4NNS18X7lcTOwxr5RSz7nW96E7TO5N5uDF6dVG4dhmkJG3q6501oaokfM3X+8Bw6xm
QM7Ha6Nx5BUSTFXnEPS12Kb3Bt+qDphr4+gQnmStkdjPW1sSLL6Vxk2zZudca96nzh0P65g9DQ58
QE7S3bJSHTVpB922Nd4Z1leISRvrx0jmSCRS/P+dVr8qQN6/uq5GDpQ2njMFTD0ovlU3I0926kdv
ndBwtWmhR1PnJd+kmJH4KilBa/jr8kj40YZG3EuQLzOAWHb2iOOY4h99qFUpe1/Opv/YcGBhoDVt
9j+FTIDoeUM2abwJdeyIcjih+wyWLU8VrU4S8VF17qXEFHknHebXhPiSt2dsZa4HRBpVJN14OP3i
WWTdraEDDeE/+KOy8X4ZqfFoFS2HB5E7J0ja5Wm1uVwBI39Pyo7VeKmVhEc4VwmuC13ertRpy10i
j4T+OnAlQSqdCDo0rrPArkHD6c9u4OrONfud6KkEhc/V4GuRhWRwJDhqkMsBUtzBlf231NtOAAGY
x+cdUuZUuyQ+ZoOtIjO46N1Tp8tpR0yAG7ulU506m/Ff74sxbCj1QypTI0ys/jyk8oGAxh9snXni
k9XG5dI89FbXRAxm3GNjlQYBiVO2p3dhgLjV2h1ivDfkWOPNlGhdtAwObv7KbPaZ6FJiamqdxFma
s8Gex2ODu5XJxdQyyCcLBwf6w6wJxnDJkodZu34rU0wWxrSaO1aeoJkm8zOxpf60eHYZOQqjCeSH
dvlpj6584uwzAsexYReLfj4NPcMo6IroHTSSCQdPY86S50Y8iLI8+E5zsaYKqN9mWqBQ8sXHxAEh
AX2tyMoTnGY09ltL9NLafYx6275f0Qv1Feu6fUdmyEJeX0vtowWLeOeKSjsUXHhDYELzOHhlMSA5
o0VCdVJkEYhltMTQM816XT+ps3i10q7+yJES37WLmcBMy+bvWu78wmuzkk2WaeOpZwz9sCkkgHbu
Lk3Y5WJh727P94aRWdvtAEiBzFC3bvdMQWsUEhP7lO3Kd9HbnMQip8xV1GGyY4O+rd0ux7FBv5Bo
tzo2dhnaXAaHPJHPa2q/UCHYT32Swr3r1+nAe4BzahiRpfve6+I5nPBZYzylBPyFJP/defqYfNQK
9A8RTV4IaxVJQUWTrt0sBkXNmQXcGPSTzG6oISa1S0n/gS+VOzOJaJw/gTOJrtinCQ5yhkTQBxdm
YdQ0taMHDc0N5d3SdsQeOe3wOnRWf4O20SMcs3V98MKCGd9KOmO4ci68QyP0zVvE1+IZKKXuRF4/
b28z/IOA1zhhaMSAmiVes44Xc+7ms8vTQwZet0z4jpv8vHVdR+AfA55gGuaUimnF7q8bE8ndw3St
hDhl3gkOcr9ZQ+bxas/FdOg8GKi9pnqKVs8inT7VKglLxFRP9txNDJ9E2cElWoXHJ6H5r9Vvp1GW
FgDT0wSpHjO19XEtIR6QW1Tn8UayF+F+I423MriiKUHrLpJm92uhvI5ZETysGmX9NjqkvZfOFNnd
vOxJyusfVCqNt+KqP42wkdb067Z+P/bXcCj8h97jaA/cp5xl7X21afJNs/L5ZEJ0nX+n0l6GVZve
yk4Tt6Je1r3RAQKgeR3NB5QF7qPPjh9hvp74N5qWGZ8kopSnafTkk2FcPenKmHlL24ZjNahtryHX
c8xwZtkoPEN3AYYVzWxzyRsfsNvfMuG/YlT9wayg3RirvZucxeaTrguohUNaEJs63m/pyH6QFZ0B
07VVz2Jz01OBBiJErbj+quAHvif6SKG2OawPmXQMoBVweAZpkfdvs2O3u0Xj1k1bi8uMRyqi2clj
kY7FvtMwWgWMRm+GRLlHuYgp7liCnju9aUYqe12cWwgDL3DmJ1DaioAfLH1W6AxWwnEyaQ9d2Xe3
kC28Q53paTzKrduD+7JCsyt5SrRhmS4eIJavTG9JywM4/iyo785D2y+7eaL6Z5zpMqXRSL7MChmS
hQrRkV1GmHZjfZkn/7smdZQhep0cnMyeIm3d9AtEDzuEPA+QrDePRCR692DT1HFZbXlyNBcChZNU
kQWqnofGd0PmzcNpBLV/Aexdngka+mw8pccygS5UeOtHutZQJC1QvolXMFbUk5pZ2bC+armZ7FyQ
wHFnsMDWeND3mezGUCL3PZKIysymLZvVYNC2RZmp9AhhEIJLG56CJrbhPYd0QiRNth3A2wIFcXV8
C57bMgfWCXqNGtuQ1aOyM1RJGZdNYV+dUwh9yrPmojy2Wd8wY0XxvLbZTsePFvjtdmuXG/9fJA+j
qda7hcibwJDlqz8aX82UwxrBRJzDb4iYlHz4DZIRP2XhsSxZGo1aJaIG4svO0EvrsFj1Hmbn4+aB
U28t28ZPLzYCCrY7M8tRSxT9Wzf2xb2TzqjCjAOF1bSXZBZ80xRrEMPUvpqCwAOxUSErOA37Dox6
gHfpo/aL/mGZ+wfspdUaiNbjatevjWBWaXeIEtcQw0927KFvnoFb/bA0d778RsgOnP8wvzZICuT3
fp0WzCVprc6y6xR0vP5/SPH/n0/Dwiz279bWL9NH9k9b6z++4M+ttS78L8IWHsOvv3z0//Bn6Fd/
Blwv0Lm/ieKspv/yZ+C+15kioR//x7radL/ALBTm1URhuyy6/yvy5e+Qmb+BL4WHTdcUJmTN66ba
Mf8F89XiCKKOIqvBZ624McgguW7d1Q5hUXVtmcdSqWt8bUqqKGsZrM7rikUM4d392jfDYehB5OJI
AldChl78O0s8W1f7nlN2RPnXVoocAVhsi5jpderasZIFDf5KsmI4+9LzrRcqJb9mMlEDqnbSRXIJ
iyrR7vyaHcUJsTyTRvR6euv9MjuXBKfDAuZAyWPqzuBij4kLKwqyoNfLp07yS37SGuRxcWdlBpmV
xTIgTGHhSEVCCHQo+Gu55jt2hGltIFVJrQ33xlBbZIMvVX6b1HXGGI+DLFwaJ3luagNKMQjjA/8o
sICQPD8XwD/PXmFRIED3LZAmAjlWTCk3rFm7rE3mD18XeTCMJAEz1GS66KBWDf1W4pAFlLJhADsV
/8femSzHjWxn+FUc3uMGEkMmsPDCNZNFcSiR1LBBsEUJ8zzj6f1lqdtXpHQpt9c3HNEdtltCAUhk
nvOff0D758KAx8udpINxJAL0aFEkF2KdsPNeR2E6GBfTWOoQYGj783tjFv0CVh6miZ60VK6l9hZO
5P1+CMyyqw/CDAOh6TMM0NPpJDMzbt5VOG5D2uXItbBruvg3keX/YoqrU/6gfvxr5dbj1yYvi+7F
pvD9z/y5KWB6Cz3c5quDR6uTpuCj/0llUfY/HHw6TCWd7/IrWOR/bQoumwIvCnbE/xLc/6naIrAA
uz5OH9jsrqP+DpXllf8YGxKsMV/xC2HRa9bMSx6LJ3DLJ9QSr1EPhC2PIm+FsYy9+uGZ/MKzEU7O
j8owjH0FznQkTXOKsQm9dtwJerJgbIinhz4piG0ZTB9IC3vwz0U3kJQuFTE0BCKRJbkQfvX2tfX7
+uniRExh5sVjUzzsl7cYySyb7NTzD6Hjl6idmnYE6cdJJIc2e6LkLJ9C9ib8+gsmrhAf46+TgZyF
vkfamwzXg9XcI9LsaPTXdm3Ul30KY7D1Et31ZAFMl7lB10uR8A5mfHDKZTZu/h83odi8hXYtYiHp
J/wj36hxKjvvFsaeC7vI5JBKlBtkn9MSzg+1TUZXIFJFVZbjHUpOhI4Ox2jXLUOdXRD72iPEmm5L
cFugIXIrSadadgMk/wsSDVKGvKO4z+MeiyPsvWEQ5QjB374HjrOf3gNQJ3lo8FmAyl/ZwrQEmPYE
4voHhjPjpjEhI+KEPiM3T769faWfvMlYbhzCNnwv13N/Ul+ADbR61OkfBjs08bYkPr6TXn3ZdHZ9
Z7oYhrx9vVcf0Xl5+2SYORBM9Ihar8AfXo4l2qLIGRcehjBu7thRoNH2xCm9fZVfPD/0JI5NQYCu
hdP85VX8hu0CRrV3aCySVuE3fatsPz6krXf/9oXOwa4/1Av6flwL5Zfiw0ON/XpTSEKYdyNr8GAt
IHWLahFJ+ayZeebFzTk29qDysiXho0tPUKm8qyqDMurgCXOCNI/TlOvWd80scVWQA4LiSqDlRIxv
g4Tq8LsyIyYnZm0+DCGJOWvsbBy418m4NCsn5CJT5VhbgvXiQ2vJ9sMol/jw9k3ann5eL+4Siho+
g66yFF2O71KS/fjWdPgSRszNdBgTZPdwxeCahEF7AXid7sq0BUayy29T1hiaxY04cVbJIcuTfjfA
ktgB2jbXVRrDdukKDLZkYX4QJKBcu6i5P6sxzz8w0N82YrTeC5yAIZ+SwrxuaMfuLTP1dxHhVRuA
kekhCgsEL2E879NwJ5CdfWY7Sw+yc92bsLdwV4tLKjDoblQnAR0wtO8DMQ/zunTjfEsFJPatXXr3
TeAmF4kBkliIGukjnJgvEbpfFEYp9osVlK2KJOh6NSzKucq9OqOkkO62GiyaWYdsEYk3Bhm2IiwP
aVOmjx3hJBnWZSugPuMGMvP8PM/ERCMj75jKdPbeDRx6+URG1noB5NjQczp3bmSb9yh+8w8qjNJv
lYhKuIemj9jJbzAuWI2lLhyLaPqoiNTbqNxqiBH3s4tkTqarpfbljcywpeu8uPBXdh6PN4D4mGkk
mftk1u2WRI9kHQXpV4M54juYkMYGbiLySdVcUoHyq6WoUer42sS5uC6DKlhZUwGYEzbgxYYqYJQl
V/p5Iu5P0DtiKYrNLtF4Irc/uZEcVxguk9KS5vkVyRXzg5GlHZ0q4XDXojdgE89aPmhyvgB+jfYe
t2rvoicp4qkJZHub8JwgslCK4uHe2vepsyuiihUxYHjQ17b9VOJ0t0sjy9jYjAHzle71HoCmevro
aeTVELHFjCU8jHO/iyL7zgrynkD2arjAqmJezcbUeasmsp6hMucb4Pbqbm6yd3HgRjijD+guwowg
F0ZbK7je/boxAYss0jfM0GEu40/he9h273DI+RxhDXSIus48BWKZt0kjPzDPgchUFOC3bbI2Euk/
dm7g7eymgYEy9eMlMgx/VQ7LtM5NO1z1SW2gr4ToqcAx2KJILBF5QWRDUmoLndDfM3Ap1jMKLAZA
0cyPmYIduULOGpMwsuIbs9bxqhDcNhxDKXm1nsRicYzhJ4bS2jdtaxxdLGOuOgMeewOH4CkBZyHT
rFUIWWdkLHiIJtXNwrSQbaoVKLNn4VxA38kOwo7Ngyr5XKQBbR29bg2S32+tEUgUERf2110UrFE1
FF+awQk/JoHon6Vq54/20IyXOcDjRTr4HdTOyrlqTIOMNTQma6w6hoseJuqNMTPD67MZusQKNkAr
LjA+U0u9EbXMt7kZYkdjLNODM5jFDsFjdGGmYbWFTObgegLL0rcx7hOyLq5iZmEghyCPLm7nV0nR
p9gVyak+jxI2suznvSHRVtWtme6CZJi/DV0zltfmjG1LwFRqvQwzfMUSrltlYfwXh5wcYiGK0TL7
asuMyNpyx82lkgjHR3yWNlZkzkfsXNoPkKCcG4sP9XqOgdI3adDBWDahV30lhnPE1MsEyCFw8UvE
3HxHwJx6PAf4FYgW7w2T+oJxakTc00h1MlDykeph0v0hcN4EGarFVS+INJ1MmZ6y0Kk/JomdblJz
GTfYuU23hlvhSZQK+2J06hSs3O8fy67FAQos8XkxIvOQJQ57T8NN1hXll8xKUg2hQh/m2a6u7WgJ
LlWLp+Q82lihSZuBQUL6CSKrgTtPcUGD8zlu3N62tnW3ECmFmOVmURUTNIbh/BnLz0gbZKCw7hub
X5L2vrkfho5bMpAdrDp03QRJMSDa4iHg3gg2BibQmAVVnbVACJHZ2ld9cEmt4pLfI33InVlzOUjW
q7DBLqmBh8eY3PetXVr1ZTJn6EiobSxmjnm9DwrDPTLaN04zFyBTHHoNvjWwDTYuIUOfyZFnKoVz
dncyFZnaxMz1p8bE1KpRkfgI2/mIx2myZyJU7tvEAhGkXrSP7mTuu5pNQTS9fT3YNdMI2LgXeWrJ
9ZAl5OXZQbQtCwSNIF1QrLuYiInR3ULJxhelIAiLYeSwb6phjvY8fpV+aRyvjq5oiGuyhWbmbHD5
iDDt8sbcNDYmQFc+nJCKnXVuIUl7lhNdw+qc8uXfDev/DcJi/kSH+a8b1g9PeOrhP1S+SMazv/+x
v4AskvGw9YXN9qfVCKXRX/ILkvG+h+VpUOp/21WALxNqI6kqrnSwUOQn/NWuunhVusL2bUHAKTne
4u+0qy9rYD4RyC5o+UGykF1YtMYvazYi5OreaHs4sUOGb1SBSdtdg5WvXGF21n7+4cHcfi8F/4Nx
720ZF137X//5sms9Xwx3Y23F7zuS231V1ofu5GQq6py7yJirT4VTWvczhhGPmP2CIdPg4BlvKufJ
H5LmN9XpLy+NcyZgorZnwZnlRW0aG6mYOigydyiyuTT+ZP52mEfkUKqXqB1B7GHzm41lr0lcocx+
+85fNlD6zpXl0AF4ZPby4l5f3rLjsGCXtu+y3GAQ4BkD0Vxm1y/VZVzqy02chL9pbyzWyA/1+J8X
Zak4gKES7f6rx11UxMyGlW/duVZh4ciCa6aFDKHeAYf4j1VHm+HENhfvRU/sYdT13bOs2GgzQ/Ic
ag6gfaXCZDq0+JYF22VZnCfpWcyyGReb4jhUAey0eNHGdy2ibCayyELs3zSDum34Z1vx/TYk5hiu
xPFfg64vX503enY/qci6o0ZkrfRY8U9Zn047r53EPRkv5XFKOb/efmNab/TTVfEs59Tgw+DfL6+K
6Z5KJrcRd4kYxD0UI7SBqoi+mcnEpFAs08l1KnENCRkdyxxRYrx9/Z8/TGUL+lKFGJh18/pbGXy/
IGdyEnfSkNMp1h8MXIXpNhxqcf32pcQvFoot6LcxReOCGKC8vNdgVl1hmr24c8A1TtSRRbobYgQo
EKTt9pmQSOdpMKX+Os08X1dq5GMxkDgSpAlN7e1f86sbt7GTwJhcuVD9X61ayzFKvzYDKlAO03rt
KNxPrxgX0+/GRfo7DOBXH4lGBPku+R/lvs4LEFVixoY9WHdNy5gTxk22rBHD4nimzPKIesGBWdOW
zMhjVrmfLeI6H6jzcf/C0BPW2VIeDTlMpxA9Aa4+poWTJRXtVnTA/VE0UFYUc8JXxuQWWb2PW022
e/uRnSNaXi1WZfH+QDNc7NrOnfkPeEmShUHvoXy6C7BvqHeLaprDed1MXV59ahqiPMgeZN+beYA5
rIBtGGN+tm5nvz6QO4CwO04dmtdlXCAQicBsn73GnE5v/85f7IIK+APNICE2jmu++pINBtmDROlw
5xIJEQNM8JhF1VSfhBmI+xpk8DcrW5+gL75iabqsauy9AH/RN76+Yt6FVmKmc3s3VnZ5dLvcfSJx
VP/DpmnrTXu6bWwJvTSIg6Chfk9w1hvRKLyPCQyvVnYxd892Se2cmOwApsFHENsOG6deE+dHREgi
hxdKZv+qHRQGk0BpV4aBYa7FbJcMvr78jXk/d/D6trgT3jMltmOB/J3nUz+878VLfVUT33lHxiQA
QDUvzSZRRnKDpQIkkwJC+0gU5QB52XKpb5GZ50G080klTVYkV9jmep4q5kOJhbQj79RuOGdngkH1
gpCaEMoargRw0NEFouUwo9F4gFEWdhtTlSX58SGV8trxVYQHmWXyZSQtWZ0cATq2Uyt+HK8q7nod
6Om1eXJFs1ReDwlVNkLChkwDkpuMj2JWKYnuc/bFTFuxQXoHxcGal6Xi9w3R84ynurzs5qjYxB3n
96Xpu2Sv1HZS3dbnrFFooyTXODqC1FXkWa8GpYzqsS+yZNzYgVLvfcIe6GYSUn5XjTXUZCq6IbGe
vvTnZk2b5v2BiTyEvCJvu/SwINNGqNn3Dv5HNY5XF4EnnCsr7OF/V0NwaQJ94cU7CIj7zhA2d8aI
6xz+R13hokuwcIHJo7CqblWYZ7A2fScKNl7CaDDEfvmxSlkjCtEfwZMlYs8aE/lwS2ngbxWWSvy6
0nWfUHhRJhQeuw0lIBvxUHEKtPHMH5tVm0WbwAYsJ2oog3cqCFW9guSY9pzMAspCRcPU07xcAteS
CwvsVl+B75AWG87n6NgqnrwL4J3oeiB27QuIkUSiRqu6N2NCtgnUC3FAdZpdQ5QW407Qb9NcPorW
IxQO/vqG5EGIKl1ZQqKq273yrWDH7K/8jKzd/Yh/AvZOsoqeWSjT17APEqxBQeU2Zs/rAWbqij3S
dRfnfDWsWVhnuIPchgnFFUL3FVFcz04NjXRiNFjdG64Xp3ieeS1uskVBtsS9GkhD9VGLEHanNrnK
PW0/Rn6n5lTh6hdY/Bthi0X6AinHBhloeFnPOJkTcelXH41owDYr99MEwsBcz7m3M0xd/CzudEI+
wpMudBqdGYIds9sbzlNNgidJvxnTXuDNIHuYjJY3NgcdhwINco8+y9dRrCV7RTyzKonXFRymDj5i
jDGFqj75GK0w1gQzyFZICI21aTbeZvRHllcRwqDF9YAtO3aQyihv6dbLLJ2nwB2xqY5N6tUu89iN
8pEosmDxH0fA8ed20X68PXmuhsM+pJycqXJDpNqq5gv11nlu89djAauRKoiaR8q64LGXZD2lc14e
0yK17mtynPiPysy/6jq8QVBWKoRSmePn4UaIjv9LiHFvi+MHhY+F2C1G5QKhZOe5PJzG4qRedZnN
f9Hg8X4NpYotBp2QdxXWuX/lq3I6Wa7UobRnNELvkdRw3lUAAHVUSd3Apfba59rXj1Jbody3WPv1
FBz82hwSeAJX1mHoQtlpYTkdz7f1uRZJM5ikNwW0c9IMB3HdL7yRwaEynC3GMGiA/C1x8vOpj2k3
7CyxsMNnehN1kwbgdfU4Wzx7ASaLpS/fb0IrPrTPqKynE7kc7TODFXh3YUL1aaaD+8TkwN/CEmif
q4zTtvbD+lOSYk+/nuJ2Pp0LhSWti/kSArT8bpyAsRqvtubHYIuRPDt2pngWjAwu8OiBHBbxScsy
wEkCRWx5xTLi3Vn615JWycHTls2hDfhFZmJShJeYu29dkVafkAhzms8pTvnbwPKp0tsFI/+hJJHv
om4bfjlSbiooAKN5uqqNBtb4ucCB8Otv0yXpnr83P7Y+k+fEB/0kV8hBUYY4jyjsCkrtu9GdvasI
JfBTpJhZ7Dl2+IFAjthBeEYxJjjwiuAPwgG4eHH+hAQA+rQbGPJTBnHykLs83nnO2D5nfss7qgKP
4o7/1Ufw3GxxG2ZvK3WrgiE90NosKAyYgF5I3vQ1hv7qgtspjyiv5AnxFHo/7AT5teg8m8M4cuIi
0KYuR8l/baKWQr5H9mSzRfI23ToeiOC7agwNgP+I9EKCbwjtXTG28OwtYzZ+TECe9QoXR55ZJzwf
VXms7pMUaH/b1Wa8xxyKNQLL332KcsgHKxwmuf/zJkAO13SaY3K31xmWNVfknNsXNWllx0rqy+dj
563xj6ccQxj6KYH/evRD3irlfn2oA5u3iks3CdIc5DyHkRLUL+Lg0Yjm6XaaQ/mErorvlQgyvMxi
9NSb0OWLb5qWX3JeiTjgC7QhMVuAK6jRtwJVrk1NW4ftrT8F1njhlfoFJTXZiDurDOpD3uBpEqOI
gqRJO9piwdxRFFmeTm6w8Bd6P5uJ+2Qnibi3DI8eAOoVRxP26/ej3fCQbUsHL7DP+6D4sV99kmHF
h16Lcbo93yEnETVyiyUB8CkA4rnhXUaj+rQIm0+Uic19zNZtrkZa2nvgfHEPIZXX0ukqbSHxPvte
MZ6PzXkxWVFVZhBo7UXc++JWJL9YjByS3gK673s6Gf3UQNMmH8RbZMuG2REfveQu0jhwnipEOzZx
nkwWs7Tgs1pmFPnKXmwc2dDwYngYsh3FKR+XRZAd8Y1t48LmZ8njOAUv5hTFgbS3Iznohzl2Yby7
5MW4p6kZYQcX6NPh2zem+wQ+x6rhv/Yfiwl7pSzrnYsUy/hyi9vdmGEuIPnTDNCs+j0g7sgSCRiU
rAkpFddY4eu9b7ISY1+Ggk2eUiTULTlka5zTctbE+QF834t04z4kFvuC3libUHHinNcuxFiOtamr
msOk4vkPRvHB3Xl9OkgP9hj+Q4kpaid9p3qPJeKZBJY6bjpcRuGM78z3BYHEzPtWKZQ667wZmoOR
ENudaf8pYF1xf14Vckr5KBDFimtJvsRe1IW4TlyNNqStEZdrCW+BAEyXQe+acFdjrWoLEIIYsHhZ
xfqGjDFn9cGoJhjXYWKynymEmg29p7gWDrfAkhP3zJXKcSOykC9LBTUnjLK0oKdi0fRJyW5vx+KG
meVyR6fOojYNgRqlG9m0zzsgxrdpjruN4mFDrtfHN05Q2O0hAQMM4gDCVCK0Z7Lih45NoQybIdjV
huezXUFjIKGtJ9Nna9cz18VwYTrls9PIVUWrhrPmTOHnQo9k3DlAih1x1TU2cKAmZE7UQsv7QXjx
dOj6oYhuhPa/uyjYRq9RYfMrXK/jCnhZsNpNESzNfef2FCGhkfqPpvblKvA8436VP9466Bre996U
31i2+yUyAmOdIjQ4uFmNlrthZx/TMPkWIuFdKZ0wamNNka6H0uYDnjgesUriRJpjVCIdkKdPhTLL
xzSZec5xxQstXUxP9kaf2Duz8AgWCGvcxaNhyi9wWUre2U4rxJpTM7+gs58OBXRMfLOrqkA6zfDX
nzLqBWlNbIYUmcGqaS1EvdPUduZlrTf/S2R5AJEA89RUvUOErZXhgWWUFigMKFtP2kgwGu/DBHL0
uskr/ln7godku8t0CwJIQrSNxz8TPPaleqDGyXVJV0fedEpDvNqZlBjrXnPwzo1ymrHLjrbPp+pH
NaNUs+HnBYsCbEJ1PW4g3/FLp/NhEkTs29DVyhQTDJ8tKfUrf5voM1ygKHwMCFELEcDozc4k/5W0
z4QZQtOxp5VyUsERPK05YL/gX8V+6FyMlS+uw8n1H4XRtc8Y4HsbRKDOBT0Y77WQFucn9H5Wax6y
Wy3IgO8Hrrw+75t+krI5+hyY2zO10Mp0vVkFvneVNygfmVoBX42TU33CHnhclR37XlPzCXUZiycO
0EEZpbuT2iwGrzLknmt6u+hgQRr+6gzSbNHL93xxnTYhdFPyZIzvFUYNRmJwMucoc5wLpRZTXdCw
TZ2OAUMEhAfHnulSv8PoBpsC6FAMmtNF3GPFAWTn+uxK4Dw8EpUYHBsIvukkcsnBInHuvY9ArFF3
Q2WqULNdN0uot4NzyewS1iNDTJ5ByXJzx0RZeVs5d9aOK0f32P9ND2T9LlcReqUH9MjppuULYXem
21l2HIha9SNzVIazUxm3jYHOAc2KX3hbu7GngxW6xpe+st3nxO+XryjUBpxhppZye8xgm8vZArlo
zStBUbbPAFc+al+jhtFwgOKiJkuZlJKSyaJrT/E1QeHeJkxk/CGvuvC9pMaf1n2ODWHauuae2J35
2rer4CEymPmU9czf5BZm3FIpF354uxQGHWtG7LfQanH8Lxp/kN95Xf/21vqdt5Y8AyhvTHji9kvJ
gPHlgOf7n/pzwOPJf5xhYmg+KDbOdlh/DXh86x8saAmk7qD+J8EKVOwvUiKsZM+mcgASciw4g/Cg
/pryYCXv2wo8g2wxPTb4W/65r4E3TcYh48dydFKZ+ImvzGAiSnEekd+LzSaHq+cKiMjLPLPrdQ2t
z99D+vQFlQV07WjcTQpN8PoBoEq568qqcvdou5a3wV8n3i8avZaZVx/Cmcr/7eu9xvnO13Mkz4vx
Ch5mr5BFP5FLS8q1c1RlJJ8S3Vqci9XWHX4HzL/G3rgUr5qRAAMJU5lku724tQZ9fNinwjmmugeP
kbUf8B9ka5JWyK6KTuxRpQn7lW7U/vZdspIYIcLFY4z2Oql7rFPYB0bjHFsLWLrwKg3DuwUHHOXz
7zh4P00FuFFWIAYGriSnG4rhyxudyqzNyV9yjmPJMI8WkIoE4b1JMTx0itOiAIaLLrFLpt2ZG5pk
9sCStmXC4n1tWsXvsPqfX7JkfiehagmIdLjFvfxBeKHT54aBc/RGh9uFAqYR2ZR//P+uhYiAwStL
mIXzakGFCcFYUPKdo92O4AmO0T6rLp9OvS6r336r+jn+CN5jbA1ur9nHCmtI8/WkJ6Ya5/jpneMQ
RN9aC2t5Gpi/O1U5X4QB7/nf7FKvXibAtqM6K3OOC7qiY+INNDOeJLRUUHv/btop9NN5fUs2TGsL
fQSP8PVAyQtwI17IUDsmVkxxfR6gwHmg+s6atvrk1SkdkZz5SPXAaY46DNwG4v3efrC/WMHSdNj2
TP2p6iLj5YIJLGEFgUyd40SMw6WdFsLA24vSqDJaViiNT75NU4tafV5IQ96cP15XT0DZQX43gf7V
6nUc20dPxJtmBv7yx6SZjzU1VjnHFhra6VynjvguHelk/O3bN/6rS0lpe0zQOFp+mrNPlUeLrWr7
GLs8Xt/XmeRGpiUpnuTtv32xl2cL2zd8VmaHvsPJwuTp9fKtcIEjta4yLtG70SEYRsOcyQboWkaA
ygH2nfebCaFObPlheelLwthVpi0lnw78Xf2TfjhdqnSBOCxwIDcxatsjD6XQb5sW4cZoMCtt0aJs
z91A5IGdxSGfVM704KiMgnIeO29C0rQO57yDfId65gU0hZRGfMlJeQCWefshuWdJ0D8/CUQFEsd3
PcSG0mGjinr1+hGmJM6U285lm5k5ajbIXGUsjV0o2rTHiSOfmSnSLDQl3ltJNcut4C+7g1oJLDAn
2k8xIH4aEaEbds8L3PXnCS9YpHfnrtZihhFtqAxBYVxBm4eVMTjguenJJMiqmfDHGo2kqZk/h9G6
BfnKSupPnZ5aeaFDCGfCA1zN9Hu3uFKCJeIbCkVxwV54HflBLQ6idfmrMU6Erpb7EYYGWYOzxgoD
QFvus6LmGhqgOueM1rX2tMTbEC4gQBK++1HJCqkcWigw+27ZG5Tc8vI8m2u7MAeHb0QRXaZwYZ+Z
ItWfVFVgkpmLeD4Jj6rFsDoDrKdKw/izmH1emVpsidfTCD70WEOP+1R0qXxK8clljptY7tMsfABy
gScK1GmA2xyY9Eu1BNZhqFV9amSX792RtlfFISkp7L+4XIw+9lvrM/po2DQ6YBrM/AJgCntyplPG
uPBxdqx4fx6Qn0fH5w4VxhvPxx8DdWrbcHm0IGs/V76GA87qMDE17XOah5bmQnf+dmkDYa+9ucFS
uJr5r5ACk20aFPwtuW67kW+As/Ua7j2fctg4aGdkmdkrZKVNggZjQos9K6Ub1Ug6TCaKeVGXGPxo
ZAbU8Qy+m4lF98s0bdpmpgFseAZI6xj/u02KbO5JoWoHxUySqgMQ8GYsxMxAyctzK2mAb2GP5gyM
iK1JE0BggadYnHSci7LEXooVHM7hNl88cR0ZDL42s5sDyQDog1wo7JOrP73DRWGzlgdaPgzFsETf
Y9zuac/i6bYSHmdRR8iINvTjXIYI7tLfV5iRv1tUBi9QxIxwSTV1nyTTNCg7ReNn8PZE8z60F+uw
YPSjNlYonc/FMBT3Hnr7d4i0s00N8VeswASEt4M931zGWYkaLtOjhDabJmRrCx4hZhtI0LklHlem
ZC62UgTmXHuoYdDbRxgD5Knvr2O3Behn7LFG3THfp2hMtn0ZVdVlamozZdYkFhvkN90BGSFfT4I+
BzBoum+es+Dkbqn+2pcu5jLzlCCv61N2pvWiUd3RrFB7dxA+PkLYbtodFvLyC9I3fKAQ0Vwx6mzC
nSZyjLiIVvGGdJoCn9u+vCZgBT+6Ymmjz6GewGHTXb3DFVfumUMERzF3qt577Sg/VSBsCFNwuEM7
WF7aTo6d2jQ6y+ciq9Mt1rjLGv8fXqMH1WcN47T4nFSJ6rA1YeSbmo3a62K0XamJmedGUwy2NTXg
CkPufIeNdKc3JqYAsIZPPZDfBXSW6iJpiK+b3X7+iiPCiKdvbBADVeYf43Rw1uTVYSRSxITh1viD
Yk7xRIIU3wdA9yawkFH3QyN2eVXyF3kG+DMDS0wBAojOaYMLykYq5k/dGpRC2eQfQu4JS/3mq/GK
Stc74Hc+u5siHuCi4+DDoDDzg42DmySgeNUCy7ckiZczPo552T/gA4BzwlC0u95NccyLzC8ZnmAf
/Sy2iGIQ06418BXqM36HH3T5HafSgl0v2/uVdOqRCEyTN6pgIVyBPxS3UL4qog07FrUhqciezmMD
A351u2r1aGdbwnJNjnLSMJJlT2Do7Lbdc9iYbEjl4ov72VxYsmbHJKtRPZwTr59cbMPjCNu6rqxN
ZsiM4pY1o/8SDT8DszPipeasOXStz3ns9S4OZPgulceyyfTfJqYKK+AzDw+mhE7fQ51qTPRRLW6E
xEoOADdD5fDp95GLhfJERvHhPHyqKpbtulREoq5SsLpPVlmH1HMReQYCBm6pxS0t6XpuEnnVt7ka
HD1aJK8xU127LRJn/AonpQ4xzjDcD8zzsaCM/PYAI59E4GIK436ViST6ox26pwRYdes6cRiuyT6t
2484LvTGe7KSkZp6VuRdD6Bla4mHwjYaxxqPYrnsZk/b1vshPiTkJ48Pg9vkJ0YU36wMf1PkHjco
EQCuZEYWouUTH+H0lfUcdlH4vMTx+D7sFW+OLz7Z1uCyPqMIErNXQxTrbLCsVZeEa7blZhpxTiAt
kH2cDOw2HA+dP5lHpy7nd3Xb2SdJbqmxanLsQVeStwCXHzzh0SiIwNpi147nVNM4N4Q/Zzc1ll6n
PPbqdVOK9gsS9gznvcX+o/TlcOxkhYmnG1gxnsKeTaxrBHti7JfRX6GOYbvwAxezHs+5hK7wR4Ap
w/uxC1N4dL35johl93M6yjRcN1nkc1YW2FmAYYc4X8/xO5QA9qXhjz42j0PYPlnxWB1zBU2hiF1c
OqVpwLvo2ryBVT3HO4NiFn8FYVnBKnZQF+OBWdj3Ese1w1AQVVbFUXBlzv1y10U4I/pDOH7qs67u
t2bbOvHlFE+Tu/ZKODYrL8AF9VpOANx7P+pbzD4L4ypRS/mAMhfHPSPt8em1DGWm4KLeeD1ywn8T
Q92+66tq2E8chMciaXMsuvwoALUXtBcRm9seB1gRM1KuGLaGgxruQmsYCYZIAmjUhOo0n9Kps4lt
ydyrKbbYRm1z9vHGr4Zi3FhYdwb48ZfWu07NmDDDoCKH18uUw4YosEa2ZB/sfKPGc6kC33WcGh56
JpdD26v41GIg99CLuX30MqJOhwn1OC4KTEXQWWIiA+yNEXSiELCMCq+cYInwCeo4hzoTISIx1riO
OTyq22GhTyHGSzVrF2/+G/hh04PZjAZ5AB3akdiu7Z1n2I1awQR1d1hmEmFUWrHf7nvW7jeAyulD
5dndl9El02iUnYx3JoNeApAzwdQlKTNFsK4Hbk9qdB1vmgg200F11Tc3wtivTaAVrJa47S7tccKw
pSyJsyNFoZ5XDhQ00kMwdDPI/9xapgw6fP90atAy44IKeUdbsPdO5x3THotWDN+HjxHzamg14ZLc
gAsrcxVURXZTYGXRrVBbGhCHbd5aBoCEyVw1ZlP/OMGxxxPtXK//Gwv9DRaKzp/G5F9Dof+dwT8B
C/xOnb94/q///P4n/uK5W/4/mMGg/iNLxXQAjf7iueNT9A8aRRwdaEeRdEr4tn+ioAi6Yczxn8Nz
c2F96nbuTxTU5f/lAiJ6jDrAYNBo/h2uuybN/9A36p/DbBCHHvAs7tN7bdvgqWHO8950vkbmUiXf
ILwHtoltiWXU3abrEmt+hEoZd7t2tjN28XZ23S8TiXXFFf77RPntKsNhFJTWHrlM+AUGJgmwXkZy
yENj5uT5Mams5CJXcYBnkIGd7lA75CFn/YzpNVPc1rpBUV3xWYUm+/EDnGu4CRnjXcinDg0N+cQL
oejennCxuHZXU5y4frPGEBWJ164YkhYPZazgELH8rqt+BdrQmCK0FfC2gBgd23r9dHDMFIxrFvdr
1Y4D85g8VBHCusax7fSdH7o+l5xEXOTfatnE872jaeTN2or6hvspxBhODz+srdvv3fGPegHrp5+k
FAJtqKKeC5zhvwY8FU1LXrZN+Ewyo5u+wwE+TC8Xp6c6JNFQxiPuDCqGbARbp/J6mIcT/Dqsxqoy
fSoxn0USpXoO7cvMHFoz2i5BuGAGmk28im1HZ7s8RghIjWkrIevI62UhwDHa5r7TEmmDl1GPyfTb
N/UK7gO20GuQob6JUQBjAesleBFEKQUAddJXc4SN9t4tYqM85VlQLrdvX4gv6sfVzoVsRE0EeLia
R871Xl4I+73aXygkn23etrC3FYQCx0Soxhc+2Spxbsa2dHUwqnQzo1tXIlTDKY3d4nfy8Vd4lP4l
yAQ1BxfYBszmFfgo7HA2/SmRzwO28PIaFVrS4f6VG9C/L+GE4Kf6dx8yAAzwF/xxYVLpv4ZvDREa
itPL/pL1SEKxW5orggNXg7cE8/iba70EwLCbYGtCI+TjPGFhx6BevVB84LK0il3reRIhDuJfLbxK
Iqwgq551F9Kq8oizWWqnl7df8E8rSaPFMJyxwUEfQOP/8gXDwGob5r/tl8nEmgAegsq84RRgqcvT
fftS4udXiH6JQZQEOmbzfo1eJmUpUB1a+XOL5S+hcRh+Fg+Z1bFHrTvoeWF1M/lLYOZXZUxskbl1
h+h/2DuP5bqRtE3fyh+zRwW8mYjZHE8rkaIos0GQFAXvEgmXVz9Pkqwu8UhNRs9se1MlikcHQCLN
Z15TqNu8D9rWWVUlGyKNdaSeoyt8cemEIZauDbsKELThchgm163eq7j+9mKQ89DuzbQuMKf8retl
4XFPscKsHwBxC+4Czk+R/xytxQCh2lQ+Kloxnh4yfm+wfn8x5PvU+OjSaNbP8bYVG1ovQnjGvfIA
mwArCLyMqCoI2xS7XMtBrK5EKtEtgjv4BiDukAMTImrXFRD58Sar1IQwFXgFJe9xoMyjnQMOYDnz
AJYADnv71bIujjYKbjDwnpYJgv2/g+S9ZGpFNYjmPg0zmkErRMuk+tijfcmkUguFnXEf9RSdLg0n
zlhNfY1HtLGufYSTkdst3GR5YAJW+U8fEVe+AXBVAS1ytFxEFZ43YAjf7C7eDOv4a59EZMvrsQoK
ZupI0s3bqQVuatQXaB3wRgCo6S3aQOiOC9rLXIZXcdrK+ZtadAixQnI1ZiywqHXY5AHn+12+s90O
ybhVl04Z1STfzatHf0LuyMLbOe7VR5Z/5H2tAb2oW4EUHPcIASTCPtDCEe4rrZE2RwvQn0t1qyCi
jjej6Pzxus/5m2mFSxg7yCoFcsQ7s1Moct2KGJgccJ07rcFCj9ER52EajHPQlQW47te4HE+5zSd9
dJf4SAb9ufJxTZtTeSXRmeQwWzrkO+W6F26ewBVPIi5tIJ7JxxXSelwNHaPWvwSlknXfujDzxkNM
OS67KF1wOPvJggZ+lnbGMpwO8zAzl+Yw1jsfBnPWchaOqC0XCLRLfWZiZU0ec2jDTvZIzKGLjnTn
ywN4OXJy06qm1ernGxNVSwbUM2umH67VehMrq8A0qi2WyT7/A9qwVPm6b9Hm/Ps7urajeOzAms/S
NVOuQYoS6rDHGAxOhg7xYW6pKZ/ibc0zJc+jivEkhWAAT+3AB6ZJIhdal2IwyrWV4lRNSd8IiNoW
KL8MS7sE5NQbNno9XZpIcmo5BeTafotnZ15d18jkBcEOdWc9XVrMG1lTYx1R/8AmHIAtKhmzyRdS
SbPiYCcTSdv61HDnDKe+ah4Zw2amTlmuPTZGK/4UlvSF8w1eqYB/T/AFGUGwJAqgVLjJrdnhdwti
FPoh8gi8/kXnxGOdbBtD6Pce2CO7wFYosKso6NOa4k4EgGZ+SkKytfE06keXb2mWxmUpgLIK+clI
JFg7uAuN5JbwI9EXmoZc34sbpVgJrvH8Ygku9NWYKY7yffcw+qHD7eWUD3TcFo8mSho9RCjvK+6a
/LCOnCXgtnI30mPcjegK/BzmaWA4FRqCfFNJCOgecolWarBD01lPUR1ajzdtWPNfMt+SBRzkkr2B
0BFE0tadMtb5IhalN48UePhd3jlCL2nUgvhSYbq4BgKtJG6kXtVazngT4L7FKJATtv1yGGeT1PJi
pALMF3aipweyRq9y0LMarVkhN20RKcs7zCGWGlBfzJso9bJo3Fi0jvTOlJZY1O2oUexA/CSts5PF
krgmlleKgncymq366C3LzPQPe4x+0FbH5mCpCRTodl/6njdqiQdTgpxb+3HuZB8aC/Rmj2DhoN8w
JcQF1yebtYzYWNbTFaeAKjrZ9Ou5RFRhOiviPuAeaXvybjoXO1nvru4tmlXrOs6XpPlE/yl2kdLA
egBPWN/MXKwW2IjZbrak8PkCFqvFmgWxUOL2eVzBaZDpIXbywUtAmRVss/6DmqhDp3qzXXjmKKfP
h62iSOc0RTW9wVY2QGUt6vXkwatFz0TEUbt2VyyxnpfmMPfModjJuiI5Q5ZT8bvOHgcBe8lz2Cr7
DuIFKIOC91GvZhCUQ3dJGdlmy8UiHaObbQ1TibOgWaqJ74LAp3dBiqZIIa3MDK+NcWfKduKTpDAd
v5Mi1vtSYY7VfAXiUkeEKYVYtqfWnX3GT+JZ7l+OjCJrwbJlz4QaO+EAaeftd4t3FgKIdg9h2Stu
HN/bgUu7FsXOdsd2yXE0Lm3AKV9R2mHlhW6pD1kph47pOFOwa4CdhmJhf1jC1HA/zCbCU5ROFjDu
h7aDFZluoStBeMLsS4dYWmJ0eUDnhWzkJQ9h19eDMzWd0yDHIdhVodel+eQYJ0OuFEr4IcZomy6e
6hhVTXwsPoFT5eHRWS/Z7TUNmTsOcuRUxx30nICFnSNYx+QJM3T3oLE8T2tEW/TvIJY4TFyFfiV3
7jcwe9AONkIOLQuDUMbYCUQkJphUZWKyPo0kY+XieucF6A6n0FAubQjJORXCghYOPTRr8b8D4C/F
J7Oay5vItiN0goWgQXTq1wiho0YxDu0Dsn2dAaK4QvsZqf3AWSP+kHXfM/ZctSuCuil/uHmpBG6+
KDjfTegdTR9UhCjoCv18OoNg6qYW1wMwwxBzOvTcQAhOkxeOl6JD1BCvqMqsrHPw71Rw41COFm5Y
mCizyc9hp3JO4VG4GKThWaBDeiWmBWQ41W07WgGlWOS3yLYG95NfwgZK1sDcC224VtpL3KxaiDZW
zDyNE4mDGSdZuQ5UOSm1ibJSmWIXI+igGcUL4sa+LC4gPlntboyCxNl4BGjqJkEdtuHg8yWy8gtG
yCvHlba1RhUlQkTGT2QfbWgHapNAUFJinXhlcgCWLDddY07qLI6g2+6tyUrtXdzOFl0PSXcLce7Y
8YyPbdFU7ueh7/Bj2JuIN7bdNmrMeb6Z5Yy9k0EfyLh2DbdXtxLsZbnyhO+LzyoABoReu/QD0e5R
tIauszJHuBsbpBPLYh9nEjCpatwQQ7KoaBw7XQdC9TjIWVUe1j9SRCnHeYP68dI9RsC1B3T7A+y/
aUX0nkTfIq47DzPRwvRKfx9DZvcvoTUZRbEf/ZawNn1M8ZqWmPE0IXbczcbyMBby6SRLB29kYfMw
+ceX6Ntcyti3ruEXNPQOJlyMOJbayqla7zN6u23rbtp4EjG8FRPxxuKwjIFHNBabEwtGILDD/Aca
mRNBgdoc9bESsZGwuLtQh4+CA5zlkLq+3uGQp9MRJlzqGKfdfCmnBKMop2+n8Ex1iUFIilU75k4X
XlrlnDJ0HxNb7Wmu8p20gBod/QHe1JlDkIOcoRSD2mYZ7YeuyvyvXt1rnRKrBcUZ7RNDUmtoh85j
m/T6nsg+LCCQ2nvX9oiCJ5PYzVgjtN+yl+Vhpg8NDO1jpJSdClzodrRqXzmHyLVLQqLaJs82Tqqh
MnlQ4hLILFjPVEJviFVpc0ZDlXcJTeCvSgaorQN9ctKAnblTkaQB1x7wAW4AnbseiIF1AxuWLzPz
JmYt9V4juP8+yvU+WbhByUfs3Iq4ozpue0vcRSLS8WoUj+w2thyEf0+TpW7AdOdBfZ40+cixKFtE
mp3Tug10yJJGUo8RChq+tH4iNwELeYN01zgA26AdbFqAy7C2hJNpgv+vLtjDFx0iPZV7fMRAOaVe
TjAQZoxj0Zi6YuFHk757y4kNBpJqex41+yXDnedniVYAgWvIucIdDL2Bi9Xh75FQHUtoNbSOIiKF
1M83NpX0MdUprHoJ4QOhNs6QZQCLyFmqOfa+Qk6m9vT8GjkwLeuW9G+QN2EXw+fYObRPeEcDjS2E
smskSHHuUqDl4ujbWNBDLg5p6yfVdAJi0h9vFOhJnspSrS4+CTGMWXrSmrUOKkwJq2CCKbDoRD70
OyZLRb3OmtfZROdVbjAIIErBOVlH82ODcJp3wAigH8OPqA/ZTXbuUz3nfnCN0evAcdCBghtbEGTe
lL2rl0hXdbrgBVCZD8SjqwM1qyQ1zjpLTzAnHrLO3nd2QB9ukzyfruk4JhyamAMQqK4dpyUK9B2h
403p6/kYl3lOZG0yAvlPMPQ1P/D3+tNEJUJ9nMow4Li0MKziDEtTTDQoqPpDooN5p9V3+7w8Cunx
XsphanipgHscWZ07s4OW2xhOyALSfAxomqyrjrlQrjN85VhnrnD13C1rO6ovqslKcC5Oyj60EGSX
0CAJaqdm4d0OxlhxrVoJHsFsx0wXKywdWkfQ5sZrWhWZuBsFwBbcK4uhxT+J3NJ1zt3JkkW9ij2b
eQaEXCeBdCXJ2Oii6hfSuxHhJYkn71kunlrOHFiayxkIoWWmN2U7XXE3ptbMoMTPkU+fmCOxRt+E
gqfNZrxHl+1LRhyqOiIwmJME5bMt9mAOPyXkLGILVdaYH5xxwHzUNEbTXMPzTElHxlQkPb7xfusM
Nzi7OIOBfpnF+BtppJNuSOU6CoOFopP8IBI6kE/ooY43cR8nvDVZUdCloRkaCryDwNSTGCXyGnXL
qOsdV1kdOe9JRydt6nX+wHTyPS5PaS9Weqts2ZP9Qxt4s0y3dTAz9Q/AeFJSlQLDwIfnpVePpQ6t
SqMCzA9JFdxph4zf2OuJUU+6fkSTfdFTMjDDqf5gujNCyAyI0hm3FxmSgZysQC9xsuWkvfAB/Wnq
/ZQn+xihsuEK6oXqT+iUWyVWXzY5BQcbNoQJSaDEtGQH1qLhayJXCvaqvKt1JIpuCrs4yJCnrBHu
FE32kw6UBZsUAf/gr3sqV3a5jZJRZ4HPiUUZK33TjZqnBQO3zl/AHslQkfG6Y5gz0UmSTGb/lNY1
rzSzBn3rA/IQSbVFljiWEjk+bEAugpbiCB/EZkJ9BLelNyzJazRwMSj6LKtXSEL2is5A6tTFndNg
nxZtl+edI8L3lzGsLDQVi3dqXH+oGSEWAtiahk6AxMxRcTmcGwBXUTndz7HUeaa2mEu9jeEuXYnw
6yB43ncueVxVo0yFkoOHnAPIn5DA6XW5c2nrOjSlL+89f9Ldm+epUYb4T733dL9fCvlwYlxHN4xo
TR1VVm34+wi9Oc09nWy9PzW+60AFn9ms2bverr89VQP/QQa6gUXpOEDuBJSxA7b5uO/SmxaM8rJw
7menQhbgbEgrm5noSTdlGaag9TkLld+waQzwY3uKKGPZIZ0LUoS8myqE7mxEpLx673nemV96H7VI
dIqAx3XPmYBr1sRPb9/+b0PlUBYmsNXKPJh4H0ubziJGZGMKvDuZ4RiKAxcaSuzDHK6kUG9f6njO
gZsEagqNJrL4T/jULfoF9lkj4Tdltky/FQ3VgtOsErL6bBeTLc7tXr7DKDh+Loe9TCvwuD7cDMDZ
R7PNRxI8S9u+/z52EN9uvTzQGyXwOL0Rvf1c9rHCEf0tuvuwCgIK1Q4qVa9ndjLNZokFn/25hgYX
bmKyfYkpFVUHAsMsnxjMFf2hiv8F5DecdoAzoltiGw9Spja8I2MhQtDtrnZySrZtS7n6XMsSDnR0
GKlAgL1MdRY4GzpqDiUk0fRkDH1dVSkqiok3I4htHs4oPF5dkgB87FbWiOgHQYiF4FJ3gj1JtpQ7
QF2Je/H2IByNNyMcEfGYLDoXObTfGgweqNao8uFtDVWuJ3LcUNnD5HJqCDTfvpSjl+8vK06/U/CJ
Pv1JP6QMdowfxv2GEoTlxjeh2zxda/CoNBRov/OoA+aHxPfPraqSnjajgKeoLiq8/CRGvOFAVE8m
g+u5gU7/CZ1aNna7QpFjOjGKfDDUeR+3KQqPWVsV0x5NA+KLLTZ2RJMZfHNO8Zc6OcVVXXM1YPoT
f6jQVPxubCr9wpWXcxXjqZkUPEfywEx0ScTwUv0mc4tFPq1QI9TvXYpM12FeKs7D09zNKRFyUMYx
SQGwUQsPmuYdqH34+vUFQYDWi21CJEL/HLioeTSFO54AdmsbP5SjE3zNBbjNnU034eAXYetSEkvl
DqhqdLbgBhpvWjeuD5VdlLcoPANYq8OhpseAxGdkLAhwIr7YfY4J93qwa/2YrtNwtA8YIl9VVKYf
NBANOK+A4L2m9Ol/GL24OUshzF0g1ZlqY/kUsVajz50virbLeBqLKfcgyEemi3SKV9waypCcpeWc
Tus+Eh9dH5DNzoVQfhEsYtzIdum2tJDK25SWFzROm6Ja3iKatmmKiYq3tMrvNBm9M4Dbmt2rOtMC
tSOCG5uz8a5Nsf5dxcJPifiTvt9jPlbfoB8y3GaOkwIbMA23xnPGg5k5AFEujVZ88t2+fySVGw75
POQ7qmpLu0Zrz5/X8xQBHMO+dzwFfrSVUwSIMUzz/MsAZ4YiUzwUuB6J5kZh3rVhtzYAzxlAVPHR
uHLlYt7bi+y/g1DEPWLwhnU6+9VZEfTZFguh7D3E+6s1xoSgC8Nm5nE8aGrbcfe5IVsKOpwTf/C+
kACwgTRvURNFCd0Xpv/57RX9ekE/XwztLvALdgTM3jnarGPl1oSwUf0DxlZFS302b6yacsSqqoqL
0XW06VPSVFdU1DE4evvav838p8ektU2Fk038+PgevB4RfFdUPzpsqFGMKlvQy5WDq9A7x8TTN/2z
bT09JSQW2tmIKGoiydEam22UREdayz8sNGRHJBc4LlYN8UG2QQUnuK7tKtbsB6PFCsSLWng3eODu
ccvw4WRJUBJgW/wPwhfRaW10wWfOW2C2pOES2xLCTFvWFXoP0nKvIAzVP6sBKauaasbVaC/2lygn
rFtZjWW266RIPjgwAFKEnyufZKegdI1CPHmoiJYfePRJKm+D2FmJZ96ZIOrWivd3+vbYHxGNGBId
BgDaZVxgGtnHIYFlBP3shov64Q568NPMSfdOk5eHWc13NR5I3xwjmjeDnVAj7OBZHVwkjevN27fh
6ZF/9WYCjW3CjcEGRMwxrjvRv0QmVhFXVNvS4EcyUGcj+8Q7eA7RBtz0FBXlZnSr+RBUEtWIzGgr
iqNNdWhI8y7QdRrlqgwS44OyEvfgqIU8U8TR9woXL28tCuMiW+rgfHGWfe1Uzg0lg/JDY/DSMKLq
5mWt5EyVMm/6eB20UXAd2cSqO2zBfi5+nl06ATxvANveIUua9gNejaVE7qAf8BlLh88Qeoorow45
IPzZmnaOLSdc3YCH3kxllEL86BBtQVQdy7JRJlTMgrzLqRtyJn5yPSM8z9LF/WJRBIpX1OiwPHx7
cF938XnFjK1LMB5wSAErO2auDVRQeO9BjA6H610aaH/dthne9hvEdcxLa6rZl9++ovUaJ/Z0SWID
O6J9D3EedMfR6zTtUlQcnY9A3t1TskyjWsXDYpyR1+O9abKWNg4iYj9aWIK3GFvK8yyLzCtjjJzd
2/fyxAt6PbUINdk+n5xLMNjT288vU0tMldeHSV0/JjP1OHpRTfy9ESodN121ILJl2gUJQdUgRYDG
QLps8tT3DinosQ1pRRQhKGQgzCkaP/iaSZSQqZRQcaqNPr3AiLY/oJs+X/pDCmQbVx13BU7dnlY9
tIgnv59qwJkubNYhIgrt3mBYdnkhjYvIt7Qh0BQY509knwX2AMLiyETskonTe407XnFe0RUhonQg
qGKVV9Z0YLFu3o70CG69kRoHsUj/SaIjf5JWpSOQxKC7zEykurr2SZI/OlFW06EAgIKp80wZViIP
n6yh87cXUxv1QHuz1geGFtqNdaJZEWJvog3wBYXn7OuAPv1PN4OFCLQ3xzT87bdznJFQDwLxDDgN
bBo07mMEDoXdzMbWtb2LUkRKl0O8IPR2aylw7TavKpneTYKPQV0WqSJWH7CPwXHYv1EaRdc7YQKi
6A6fJl01kahNqY9DRq3pOrFR2lk2cUQHgjh24WdiicAUH6i/VN47Id/rcw+sE1R3jj6N8+SsR6L0
9cScMO4bpyhxvtMlpZmFZgR985BzmJ3kPxtlm4iSpyXu5mq0649214JSdehYufV9wKGquJBtqZuF
WU7v6IBhgK5jv33Bo3yMRwOYx3lOagDmkIb260eTeagI4RbxXdQg19KtcGJdeKFMs/BeY0GkbXHW
oJMRrYPCI7vavn0DTyTyf1Y9g0uGwv5DlhIgJ+AdBzT0rdLSaoP6O9qFS1JvQdepYksfNo3y/XMh
dRSpLtajHq0rSi8wHQMqOklGRTBLdjc9D06Vg56ng+4ZC3WFBt0B8htVQolwqGxOSK5tyEaMcFpl
ViGpHwWTp8t3I9KVY7NJY5NSBOEG6VS+kcFAMmlNYsanYywADWxDsiFbnmSAXfEpbApDV3v7Ed7I
gvgRsnAAWyCa8c78NiPPDHpH59JtK1puK3iGDPU0G8j3oOPqMm4eyqcatG3p8n2cVzkpoQmdgvEP
k1yAlbDHGSLGWVoXAEXeHv7jZc1ZY6OIjS8MZ+XvU3ug15Hir7h8a9LOoYqetFI3ZSIldU3yBUTz
9iVfR7C8cIo/0RNqDLUEdGiP5jjQPVx1+nD6FiW+Rj0MWeQXF9QN7MK4NHuTO9BcJRK63QyVgRcB
L1Tfzdu38XtAFbgUPkBcA5jTVllHMaZj0wnFKqN4REbbhCwzRfk9KI+FriFnEE8Q/FD9EJ/4tXG/
jPmENpI/ttV7t/GHExiJCOoADshVNM6PNheQUn3Vw/h7jCt/GTZPJ4yvhrQ8z0pfQp8doxtcs4cd
7LZ420bx/C0Nxdhy8MFTemdM/hCBhK6uLRMLgbU8RuyqapjGBj2rxyQw/U+db/XXiJcam4DC7hmB
/nA5lJ08bRElOMEZy7qQdUBkHpRy/pghSgoguZ5GnLwH5yfI+c5bhWiKfXrnLl/PIB20+OBdPWIW
MNNUyY6GDIHXpYo6d3ik6t0ln1muXr+mkrisBrThLm1/LOgp9coPN6Hwmp8pej1Q1WK7nfZO0PS3
XlQm52YwFZ9t4Q50SAhrd/gIlgx3kgdrt6Pd+/yi/8uzuFnax//zv+5+VFgOQYAR2YP8lTUBmJaV
9e95Fn//m/9pfv7PuimH6j57xbp4/vcvrIsAcwHQeGjEhL7DuWWzn/3tiBf8hYpFGAFSZjGxnJnb
L7QLJ/wLSRpw6OjRP/mH8asX2gW/CjUZgF+yCdq27/8ntAvL5rj85zAD6w7mE5q+Vp0Alk198/Vx
uqBIRWA6mwfQaesq+VmS7MxLfJKHCG5P1IEy8xQq8DaKh6+Ywa9yp9/8Mngfn6/1K5Eger04nm8B
uQDLYZN1MX07WhyNR4UkDPEua7A2uYzdr0vUItdcbOsK9SibhBki2iZqE/xgy/iibRP8PWy33k72
N3cEa5NuyIOTC1MZK9z9djICphRYl12q1Ye9UcNIN8YIXdFsH+D58yE47zXZcfE9x+1L/3HBIYhC
y+de0eGr4Hsa28WLDkicaQPtwj+HuVkvkEdlM+Bv3DvOxiyG9eLUtws2lII5cZj9EMBpsnJt5ywZ
poAoSFHboRgWluEqCyF/eTl4FOn02744d43hqkzrYTvXsEmNSF750TfLMfDWC+4UKLVtlVsrrBbX
rh/QSY3gZaUQmcsNim5rMRTXsxHf5N0ktkVfbdG/+w7p2txn5fAx6QPspet7laCmlxfrzp/KPa3G
cDVJGOlOXT9Us2vuC+DEq8WcHmo32SSwy87rfvIQs2rXrd9zMbXLCudDUuXJcxj3383lnc2FrETH
D/9+dzncTXdZ9ut+9PJP/qZxeS4bAHsGtaYnQpbzrw0FXudfdJ84kmmNIFijOVYvG4pt/0W0ROIM
ltzFxzckd3nZUCz2GirDZLEE8TTvov/Ms+T1atamlyFLWiPssfOgOKDjt19yYhpEpcqB5nzq+7ZF
SlxV/QL+kfvUFProvHWR5U6zUjy0QWHfpGlhXNtRRwHFhVa/LrPQW5f97AN8oVq/wXZoLSOj3Xrz
2H4jHOV7fCOxcRkfm+xjLiAVrYwWKdcmnYvdQDFq24LKP7cNSptpBC00I9bdN/ZSXKscTz6Ijkg/
W8bwqP2BAZK6OD8ZM+5Ic11mJTKicroDl7rcgcBdsk2SMmxrvH8oJItCqF1QmkjHLUZ7P9hpfkeH
bfloFEjUoBu8fFuEEms2qyJYO4uSj6NIrJXdIk2c0Ku7SlL/Crm+DOXusrc/Dw4k03c21KcE5J89
/ekVIIAW8FYxcwlp2r9+BRXtpdyIe/+TEk50AlAMzzt7FsiRNDNRgmN3ks3JrqKPJOr2eQ3HLlu1
fth46wzM516llAEoIjcnkRrGC4XB2qWN3OMPqgbGF0Bm/XWq6xRelucXgydR7w5TWd6WZRzuk1S0
uwGDvg9hKD4jOe0dPM3wTyb7xk7tfZBGP/LO7+5/WSR/OkWO8kIOWJ3u0hpGtwRTnuOotKUAkMRm
S92rqeJvln77CcSYr9QGIMuTaAP4dMQJyYrcumld2asKDNiud3J1ASjfvG8Li2GIvGn+kNDeP50a
x/sUL/ypI157BH1nnSWGPX1IBx8IZNKh0xbGtzRO7H2UZeUteIhx7aNYecg4OeHACQPaseNvlkbI
rTLx6WPzN8czUzk/an84n4RtHSAZeoclFASlbgwPcV6K7exhVWZCjt552beyjcAmuM30gK81puzS
mR5aQOtoxaAZICSiMjFWFut2HHYwCOZrFmVxGYxIuZfImR8KB5JylgsqksJHHiJXgHNdbEGxsZ6H
TZbRtG6CPNpjWk+ZOUPwI6gR3AXG4dOEqbP8okqd7hzslY1LXt0+hmVXQSqcBJpRnoc4shbAAOXQ
94dobrMzsknzItb6vmFtjRfoUvJwtjMgltOlKj+gR5ZHa+Um9jV0qPlDLy0GFNTrjtabOgCZZm0a
hcL3aOq/uGnf3UfUtM9d4ENrM5nnd9rJ3us9i4ZYSHqsu7vauYlUmS311z3LRt8qhm5uXKfShAIf
0e8yaPzfUjeDBRDgaUheztwRjXqY7BD5DU71Ze1OS/ojR4zhsvXt+LSTZvcl6Nx2gwC1ue/C9isG
A8WmG/zqc9XxLcWIYO4qH516X/Luz5sYiqopE7XtvWTeovZuX8+mKNwVba5ovQzGcoFDAdhTsMM7
YIG23lCb4lR4rbS2njTsbWYOuG3m8zhfiqJRV0/Tts07cEGZv1yIzrPOrbaJkcgMza+hUfX0Cqz+
C6453WXWZ+hVVm1KFdJx6uy+Not91wgDBfI5GigsDIO/d9EADrZFmIYfQhNixzsFlSMmqR5+7LJC
cjhfK/eBHnk9/FNn9UaiRHxti9Y3NtICCb2IzviUq4gnsHIbnH/XGzf5klHX9OY2alFiwE9zH9JW
XID4zoyMXXbxaYhC/10x+mLB7nBqE5iTIv4mXKRHV5SOLez0BmP39t7zpwcgqOO2fGCeVKiO5k+N
bpuw0iS4RkpAbqmPzpc49CW7DsaJQAaHfSamPfyRFJYtpk49Y4t8TXuHwqp3Zk1+/JO157AxL82d
MwfWuQ8q9BTAL2oFXRnGN2jR07JK64QI7u17PyKYPQ0+5G6ALlTxI50EHA1+JTKh3Mm7bgbPw18F
pZOfzOYY512U7qmXZuoin/v5QxmM9V7i5JABvar9k7DNxtOmCrP1FNnipPQmcdIEnXEDWDPaY6co
wbV2Q/1BhT34FpvnnyqQ3ivZT/1PQHAYNUSZe9/H03BiKhUiZdOhEjy4U1HvgxHthDb31Gq2BdvQ
MMRfbMjEByM0wlNKVjb488Dflb2T7FrUEr4Jv1Z7MY3xSbakYqvqoA7X0rbnR1q87Fd25Rrjum9t
a6ucFtpeU4CsRrQfdFa3ctDCOCndMf5WByx1YgJUkPXSiyMj+SFiHCm2ANe4PaTFT9Us7GuYgpQ/
qtwZ15HdIQXR9mqXm2n8jZk3PrplpXcQPTR5EJ8OWa0uXHIUvHXQmLpuM2GuFtqGABxtRdbQ+dnX
oMofnKbCFyBJ5xPQM/1aCBsTDre0z6G09RiplPMlBXjOkrcnAkEib/qfsIGZAEuWmMHCmvEpHDwK
G9irAV0CtLimvCmD9WKywFZPezMM926PoAudJYT5kUrHLmRHKNbe+bZUV8piT9omVX+S0rncIPlf
nnZZ2U/IYJkZGtZGnlWrJKl3siv0crUC836hVfNZs2Hv7ckdH4cscI0NfOkq2PRpiEg6PazyYoQp
tqXrsDAPXJTrVqVTxuWutPAXWUVUfw5hYsybRbXByexWn+epQbMLX42lXBtIgEWdb1xRzl2mTT+Y
ww+4IWyRRa2bLl1zmC3V710tABKUmQ459Xttp0x+6efi4BnIKG1mxOcwk1i+WG1bbzAeBuhjLinA
05wFgUw0kzW3eyyFwzB4oGOFwD3kh9PGys2DikBLIyemur3qYCZcYAHrRut2KNJbzoHstjfyslwp
kEE4hmZV/qUP3QjAJYT35IDisInbrMNusOoBj/4wEB69NsZJBzhIhp+a4cxRBWNxI5RWJHfSQW7l
nFYmj1uw5ZXwl0w4joI/xxLy3mpJbRVrrUHX3WCYVd8kUCJOYtPl1FFW7tyn8EiXdWL5bXFmSKnD
n2i5SiSEnK1KOvO+QskNE9AOi9WFnd1cG7WyzhNvKk4XJkJI4wmNPtCGKQY0ZP1fLSxXUCE1kZeB
WQJ1w8K+7VoQWx6kllBGXUmpn1jChIBAlYHQfoUfUOjHOI6aQk1bdxwjuGA+jEVfxMFqEng4rfC2
cRqkv8VGRqgTrbw2NjeZo8qfQTBdI7aEIB8iJg3+y5BfkGkoqssgqNKPdhVMaw6DiJGJFnX1tJD+
m9m+l9nqEPyXPWdzJ+9etEgu7yoKbhd3Wf34KrF9/hcvia1PpYzkmE4yPGbd3XH/ldiiQkKBFxiT
R8FMV+D/lde6wV8aoEf0ENGFBe3I8fWS17rOXyYtGhJe9HhRGI2C/6RQptPWXzZHl6hE42lNnV0R
Kx63ehf2Tkcuhjo08RZnKG+5CPMPv4zGH1KY3y+hBYTBqkSUBAHo8Py/RqEcgyWJbaQOqK2uChWu
DOAGoc+Q/qua8P9wFX0Xv+TnoBeQcsLg/kADqze+N/Oj9Nb/f5eg3vHrJYIM1nIzcgkWfGBekUN3
6p107yhiB2esAUWAf3UAo4lary8xo4aySMKOg5SdtQ8mSOWrJHDiy9LGp1ktyM+PQ4Rim6jEO9He
60RTQ5z1pX14xeTWumz7+tKAoNGSsB0I1dANt0BpZQLhZwnWgWGWBBJJivBUioLa24OqB+3VBNSX
RWYHGBOPS7X09WWdPvKbIOOyQcfxalXjZzzS1CFBswzZNNgdb1/ut8moL0csQC5N6do6bnImAsSc
gfblgW6Jd9PZ3R6/qXnbQV3Zv32lo7bWy4BGFKBNlrLPC339ZJFSL++SJtL0ALhhXmmC3w8IdfPK
QO7qIll8c++HyrxLY6UOcjJeNKUe5v+dPDZ/WBV6bf02ulTUgfpqzfdjsEAROBJxShNnCmAWVx5y
kRdtgmPd24/6p0HlFRJrU+z/XcXH5ewHI2hB/SkSD5nNOCGxXOaV5ebtO+/vTw/kPmnTUyZkQzla
5sU81ONSYrUBA6zc2FPznfrOO5bB713jaJ1nnrT9bmSOQAC+UL7Yw118Pkz/7Xv54+Rg/pGYMxWp
aR5PjigPKZNIBBHqiYkwmPap3WBbopCt/5rCsNl29Wh+SOg6b5AiNU/Qt34P5UQl4PfVZ1FTZeGB
ZtJQ+qO9uQcAmuPuCrHJqMVDgzHsROZNlSaY2Oe8uCivHbPCgLDE/NzpzWE39w7CRfls7eEVTfus
FeLWTpWDA4vq842QwZXtVaO3Scf/y955LLmtZVn0V/oHUAFvpiBAgmQ6Kp2UE4RMCt5deHx9L2RV
dzwxGZmhHvegKqJe6QmEuzj3nL3XnsYrR8B3q0KCwzWkG1uFhsR9IqtUbVbRpw9YciZ0NlZ6bM3B
AsRXvxR27TGkaf28UoagTyHNvYUpSqgmvEyy4muSXWZwWD2u3USA/RV9uo/l3DrK9mJ+kwqrRChB
qvq13EjmMY9Iq1xk8qViyQBgGBU97yH8Wm+hkrzqnWJ5pFrPPepQdZNazU+TOuoQJgXhXFIzeK21
FDtdba8wwHWPUznrpxG1PIE0FmREEl/2eiFnbt4r+rYlsgs6aa1c2zKoWkTQE/u8afiiWRB/9czu
rqyFJmS12CrdY5By19jh+fimTrSJqj4+hekw/sS7OJ+GBfE2gp6JFXhIOV6yvI6lGX6N616kkJDz
5dEcTUPzMDy/CjGhazCw2f2WGhilGxLguidHTex4O5mdfhoGmb9ovcDAyq6r2YCWWpDUujGxonsF
bvmr3Aw1NC700PzQKC2s+62SEabHpqnPU+kmjfTXrmWNGueu/5Uu06O+qK8OpupvE+7Sjd5Lydcu
m9K9PDdcEhHzDSOP6nXpKuG48dgsQdrIkwtZmptA1Gf31KNIdouJ35FOVnYoHKN9wixrbXDUW8fC
7lmwijH0NWKRd307xqcxV9N9VPJeOKIWW/pWMl1wFQQqA7do40DoRB0CF5y+vB3R0NYh9FL1b1J1
MXFGpd2OLCnYI0Y63NNZ6u+7OuQPC6flwYBycsIgX6FmDbMDQwHmZ1LV+4Sl6be2w+V0G00JvULU
qgcEHswBcoV0j4q+YL+Odx0fMDHGmx7WwBe9D6PTjNr8Pi0xM2CUSIxbujXpLsZZt1N0Ef4ILRY6
nhIpvFFHBxJ3FltW7+rQYUD4hvotu37Vm/lWbKYlgqtZi4Y0PTZMSrEMe9OpzbsQueCurWPtzlKK
6GrUjaewaGj5sWMcMW4MctDHjanuG8GYrO+nfNpgKwt/oA4lYLgeCVTSQJruqjm2f+skz/2WolVC
I7XjUUCx/QENRfGjvtEZ3dGq9jGzOvglnPV6hHJmYv6YfuXwWcCyDFPu42aSIXcrc1AgeLkizEZ/
kKFE+MjV6OxCClZ2tlWKnTHq41dbDYeXkn78ScZaGQyJmpsQcifssFYywHJiMvRTyYA+NliRb5gu
jN8Fjb3rso+cW3a72kPudDO7ydaW/KlRjOOI/PZOG7IViSnsO8KMSsBHxngSIDjupjTubrCqmVfK
ZM3XbeMYx6ymf6k0oIfruTPv61mzofNTizSjRBPHkBm1uA1BXmw/1bA7CcQMJaPTMIN2aZqGl0Ct
3A7hKKP+g/DtxnkV3zdiSH8Zi9kGysAilNGo3PFoGN5kOsa2JuARkzIePA/IXutRwuo+tMDmmI/m
yh2omvhhQWMduRHMooKXJja91LHCjWqVy4FfGz2obEQPczY3R4AzJF9BeG02qVnKqWsUqbNHP25s
KxBYnqVHDE4Qj6NonCq/liNpJ+KMLkZpYuHZ2EwNMFzKnQ+UQuxJkcs5jcaetyENEt8KV3KgKufO
ZmDXHbsTfkO6ZjD3oeY0P8am61jGhuyU4/ffxamMpZNV4AWl6uJXg2UFgIaHV0sul60a2cZRJZBt
hwmf/p8tpTUgyEr50Vkl3ZTcScLfLcl2T3M7jbeoT7LD2x9XS9O4L2Jd7HFBMO9YDGu8HQGa3rZA
pPzBBjnu8wwvXF38kTghaA+8HRJgL90AWgTDpp9Vp0U438k/sqxrn62pa70BD75wdcGw+q3JXDKS
36gtXS29nMJvKSzupyEpit1bK90wltBPFkWmTJaLzdiQDCtPfXYgWOM7CohuTyOPIXrUpwZI60xe
K2uo8Tg9bpxO5vK9dUyF4iTXZjYN14rUAfmdlWoKKpzkqmvXirYXSKvpF9hDcUhbhY6JVZld7+lg
PgKmFvxgeaLR4ySZea9Mrfy1a4fllOgtt65e25gG4By2EmuLdql7DptkY3iYaF+6Ch5wKMo0N+vE
JO1Vmrj1tkbbo1q7hX2uxb8chT+d5al5XwjTOIYKxJHIbFtPbeAt8/ZL9o6tr9hjzM2eMIw4u5IR
y/3aovKNdbRhdyTvRplD33T92LWO0v47yX00LcmHveVsKqcl4jA0pztNzPp3BZawD0F2ORDdDX2R
J3pjyXrnF7pcvqZ8w/dqK7cPYBEgAkR2dGfGUnTbpb1zX6YF4yq9dXaJqMudLTTza8fuF3VqooZX
+Yi+ctMWpbNTscHf0Qmi0yfJw+tQhtJjARUAdXuXKp4tmf+5T1k3hb9nmR876dq4lXX4+AZhBQ9R
mLHIaNl8SIn38iVjSr5Bg7JPDkgLon174xmJrv48CEl/To16vuFLZW7jJpa8OUkkT0JSG7ADqa7J
whZfyMgsfZhRhS9lKKTfrnpnMMSoWtu+VTOZBLwSUaBo06MhQMs3Fc2oEvwymG5F3k5GJR+tJi79
EibFvpg7EIxNoWwmIeu8xJjBDz2EllvypaO9UsRzxhSasRAI/eXkSDrAHZobx4V0wBurhR1TYBPY
KHo3NIzEyuxWbtJib86T+dUJwwE2B9Wtayd8DOVF5/YvzXIN0my5VprW2UTQxIqNPGcxS6CifIG9
/kNkMyOduJn3ah2Wt7BAFg9MUU/INMOnJ3kii9otwRj4Sz+3W0shPj535tTtMyu91bJY2vaamh30
nqinlGjAO8UaJT8U9XTbWC2fbisuux2kLkkDawzvzVOZlST4CWPH59s07J0391qot8i5u7wkfRyI
zENfTeW2Z8GhBkJMd8QA0t020TIgSjGHDerY5XoelfrQhObqWWB25TZZKT38e3pvFwMVs66BaxpY
NuB48mp2Rp26S5sYqWcPDSniAJ13nVLmT2sotV+QCXFAba78wNzITKxoWnzaI11kbB89IFYGoyBX
wkPc8mImqJ1o0Y/LSWQW8O9Rn327m8XentUBF9A81KDhHHOY3G7AH+QSXbucZHPinZc0iAqbkP/x
oEtNBCk/jIerviNlI+SP3qUaiins400YtEqq7xJC2BFLheZuJPFoPaNbK54QJTkMzRme0MHvk+Je
nTLhV4B1/AX56g78WScIRZzVlxmoRcq3obnXBg0jTJZIxygc7nogam6l03MfU+nVZmS/VfTyK1NU
Bc7VHF5xGplHPCIrpxG1Ysu4ffSrPFJ3wPNx7VGXHPXQEP0GTpYFiD6OD/ViEKQZz3dqTcxn1poF
Pn/pJ2DZW5IjtK06jcVatzV7O7aIlVqSh7GKlw1A/yhgtdpxIYaNIuMmiEI6K1Acv0qlJhAZaXD+
GSUTpz6Cv8o0EC2y3REtYNQ6MPma8y1rAx5OT4uDFbu8xrF9XRPwylgUFbVJ5AOiCHgJu2VJCUno
BwNRGsmw7txPgw+CpLqvkbbQHI/kBvuYGh/j1KzvyjIjMTwC+8BXvfjW4sf8WQ+WeW8psIi83K6z
fT/MywG8dka3P+4DiCPG5FVRo9/ptlju0sgU93UE1AjwhDVvpkmA1V9M058sEaIqj+Nd7uAvwYZK
/w+g2CFKFYIUlY7ZtFiKo+JIWrBkWLtIQa0ibay3AA2y7NiWPyjvlW8oWuxrxek7eSNUozoNTSok
V636kThLPJ8dgvVdKhHB0NmYBdWikGsCLKWYgErBXfQAnfzQY70Z8fMv862udOmpNLpq2yez+IZx
DwfFBLXoZradjkDJ2DoQrV4+h7MlQxQpe+1JXr+QpoKPTI7tOJggHBzjxNavY+TKz2WHVmPqmvGQ
G9FwhICb/ez0lBF1TOiOWwGfuwNYVPwqWkveDKaifyd/oFJ5RWrroGSqfiU6ml8miE2srEOps9dt
9R4SRqc/aqVFoFNIKoGbDEN8U0nzazZY9le1skpfdhZ7g4FpAcaTp5t0KCC2GTHYJcFsugf6Mo2e
OQtWsjRPg7QechQrTEc86DvmYWZX4VWxtrijAumhrRfMXcWDlCdfpxIracQq79IlRtPokEqdKfWz
0FINmFJO4xATBQJDg8p4B7y/eKiyorrqllzdCxFSSjHaAkmFDi+DYywFpI5JRcB2yZRe5y7va+YR
xl7pTfupkxrYoHVv79jFwPiSkvAx16Tuio9ifkepmH6fiF14TJus+Vr39WTtasmYFaCcqI4JCjFC
A5k9JY0udeUJ3eZYYqdJphfShFQynHHKHga1f8W9MoJws5WrybFLhM4oE8paNkEQWq1nStnNUg15
5baalO863J6bkVsF0bUeYwbjdXdDhFt0k1IMARnMUwBsttFci8gMN61I1S+8/79WxBqm1m6AcYfW
HepMtxycqu3vMhTqnh7l8dMkCFuRZ0vxlbIITy0BFT80qX7R03Z80efpfumZjW0tE1MUEDMFesfC
yg6PE8Ron98jjx07UDON+GLIhNptQrPdEh8jb5dh6F2DJ56Rb6XvAHtaV2pmziwuorewJDnsTVM1
+mHMRuuSX165BhirrR1N1gNbHb4nkVO8hEwPvTpynknFGI9yrag7/hbVa6amu9cT/ZeV2+J2oJ/8
I1pCrN3ZaCdctzm9dpxl3A0CFr5T2fauWdNhXcnhomih9WwNsf6QDJXYpn3CCyscAh5Kaqo5Np2t
IRm7TovVO/YgT2uaye1UL+YB4AjR5WNn+nVeht+rNdg2F6MdrN45QhXCBYehxC5GBY8VTK0BZXAY
yy/kxkRUuNKpKArYaPZcnMJEMu+sRo48MzXVGyUetN8KZjQSqsbah40THcIy7m9LY4qvciMz7vUV
pxqR6BxK/bcU5xa8a0JdWW79odZqb+km+RSGvRnkY91vqi6rdvOg5fcdK67bT2VNHvYg70TeP2Cm
hOSF5v6g4Wva4W1+QWxnBWkU88WiEDywkEpBoTnDFaWcdRiZet+0UZNR/1bl775Lh8TLu/qH1qQI
+2zAf2wBmjj7sfJZ5aOC+IEwwTD16JYQnxS16kOvSngqJQeP0A0Kwgg+atk0E47IqiZEocRYurFj
4dyUs8gfSpg1bmHMzi5O2gjYl1M8mGr7Ok1dD5SWUkU0mjjIy/gTcllxMHKVqBTDYJNEV5NhaJbu
i8RRfLYTgaSq6YH332BGbz4VEbWxDgaBBJE+h05n/2xRTnmVPIcbmYguBs5j0E/md4styJQuV4aQ
T9RQJp0z2kRSbys/dScfjzqUb99sGGTKGYEMUagEgyOFv2NTM+4MWVJP7eT8biZdeop49R5RcYjY
AxnSoFUTU+iBT7JcqTSg0TlTT+58U3pmFw2uXdIB+Lh//b4Liu/JIiYNFCkMlnMrLehdtRwkm6ay
Tv9ukGjGJXXFM9ns2I8XnwwGLnXLZfwSTHnQzOKV+nMuYE2gicDE0i2v6JZjMDLIHifMO4/q3Pv4
xC4dCj8pkfUGCqR36ZVya9a0H2nMj7EdPZAGxycDktC13H2Kr7k0PsIGgiUafT9HPGuaK5kBWU/j
UCUWmass77LAFCuci4fXbaKp2FV4Lz+ZBlw6P1VB3kYfDiv++UGNJFRUqcJQ+jZ4UHUupSlo2bEn
/WyS8qcJ8t/THF5ohlQWQw5yHf68axmLP4QlSQTFjJLAzUltZ3Gz032m0tHMaX/c1W8jnnyJr3uy
vT6ZsVwaShAiz7AYvQUD4bOnBpJsHctZ1AZ2wXCAootGRjM+fvy8vH8RAMEAzAfZh2CG0dWfJ6kb
da9JFcrHSBF4e6tuZVxlzVUupc0+q53PTOzvT4rjYRVxWNpIcjyfxjVUOvZca01QwKE66uZ8siCF
fvJ2v39IQLysYH66LXir36wi/5gMO5HSLSLLmyDpsA20dZVsqnq4QquR/PXjiMQHnTi2ccXQ9PN1
xAGORbqxXQUMO3EdS+0R3PFDLdKnv75NiqUjq+ZesWDp67v4jzMyYbtojrCqYElkX+TfwbBu0qzc
JAgFPz6S+v6x55T+caizx55to4kdjkP1g0MvDT+FW4wWtsrJGXpiqcrlcTZYIg1aksJrdBpusmjC
b+joJZ9kws5PGcjsiO9r6ZmTcEIvd4FpaKf1odMmaY9xe7mG4EePrSnB90Y0cCl1Oh/Qf9odrAFd
2Fj1NJVAn+WwCazUHc1k+eREz1VijL95qWi1E4KKeMc4H3+TvidpQNm5pm3cPTvF6vMf7C+zaSbf
i6W3Dn2+BpPkiC5hsm2tbGYbM5l704RHbjAsUZo626j9YxFSq3RmvCmrAs2Vjc6cvV5RZQ3uGEKf
mkSzYLSkmroKigZXDKp1kFKp30x6pQeMm0av62x1w3FSj121dZXpaBnSzAk3ExNcIo2I7bOiydOZ
BTtcLRXqirO08g8L3u8nX6sLSwJ4JGXNZyFPA6rKn88aYQUNeoSZ65JK7dUAV2zPXZ8CDLEpKqVQ
G4OPH7n3Egh0a5g5cFsge4Hw8+cBmwpV1FgXVeDYnb6nBYK6OhLdlanV3S60o+4qphvyoCdO9Ff4
mHWJx+lNaUdkMQbod2WAIHNAQgRfBuw856+DOSoviJ2VB0Mx09e/PklmrqxGbD/4z/lqzqiCEnDu
8aENgkblsIIVac62npSWYg/uFWFZy8xrhshJH+3jg19YEFezN6LeNaqF0e+fV9jKop6dYFkGbYge
sRnRyk0R09d0Fp98tN4fCUQJ75OFwgiL77nDmG1ZG6EXzAPVtp/nec0yQ5vPW6Rpf/2YIkBAMIUw
ioIAutCf51S3VdVHUGUY9fWjt5j0QrT0FsazidPL/PW3F1CXIcSieNAVBjvnny1yautSBy0RMOnW
AqmeISCPM23WNtey9pNr+P4F5GCIHRALGMyYzj9fDePa2OwLzkzSH2JNem4W+1c6aQ/RaH6iSljf
5T/VIhyKStHk1Fjzz/lza6rEXErMRrU69zXaF06Frt/KB6j65XCgc/BZVXX5iA7iFBSevHTnnxe9
tuxqPWKjDIfMqb9X5M9qYsWLxCaepV69+vtbhxQHRw1VB0dcr/Y/Pp1GixKpC60skPr+MOdDoOvZ
bWLKnxzmfWGj4z+lWgP+QfVxXuODJZuShL86GCRVepCsUt/XAOb9j0/m/VLJUcASAoIizO5d2tIk
wTBJUyULBHRXl83XhqSA31ZpntKmY8aFowNy/SerpLrqpc+fknXhIFjacFgtz161sFg6ByFYFjgG
8uUV2MO3jnzs68lhcLaA7YfksgripUrPkFYvTk0nWrZ23URGJwlR+XakLCJTpfni9FnmRXVNcbCW
BU2lGkeUKuajo45mgILX+OTXX7wxtrPKoRRc/uc3hikhzEqdV5eGUemnMx4kaaL18PGNubTuGegq
2eWBKn1XchY63pgyqvKg7CxiiqshkDPlwba6z6qWS7cC8TiqShOn8TnwDNG8VtZNyUI01WD+pDDe
T6Y8bT8+m0srEO5LdsZrKgXX7s93ZklllRQWKWOe36buYPGZmgwE2W2b/xhS/e+raDZYyET5ZICE
gMLy5+HsLgEbEPOKzln4a712IjFPhQifPz6rSy8P5lBgOpBXOLGzx3hqsxJ9Py9Pnhj2XTYrdL1D
4xf9z2orIsP+SapqumcD337yqbq05qGI1amrCQV4t+mhmyHHmj5k4C7V266Uvi8pVg8IU+lyz4v4
ydEuPfBse/C/AvuAQnl2NXPO0TLrNgvqqM52Bd7706imkvfxxTwDyq61E6o8LqbK50hD5ny2rjq9
OpEP0sA770f5KSFtdSuhOHaJMVnxT601PqYr0qmvuuG2mcvsxiAqbRfbyKwADWO4i9LaU5qw9/PR
ZkTa9+lnW2jl4pUHe7u+mRpW3rNbLsJWNkbwfAF9Jzp3XfNd6ZwKt7vd7hPLfu4n9IpWHdNXLPEw
ZOOAg8CpXsiD2ixmDW5jLPQ9ulLHNfHJkjbNeXx8IS+8a4yZKEEtIE9rffjnw59b/Aa8klUwlsuv
elHgjtTom8KckfL8/eNjXbgcsJR4sY21d0LV/eexVGXGcmp3lPah8ktGgugVcPOwmJQBudGpT/eq
+6TCuPDSKQpNdCoavljvSuxB5PMk8K8GkDG/QjOSNiqDdFqLYlltYs1jI0ZA3Eo5BH9/rgrU41Xj
SIF4vlLqkoMCiJysgL3aDdgAbKMiP9Egi9w4i55m24j+vm7jgGsbgOxFAp7P7iTvyti1ZDAHkhw1
m1kZGBSSUnEaG6cICpON9MdneOGbw/GooUBroOA+J1YVodDjpOLSTgOey1wXo4epsfEgp1r/l0Nh
qSIKioIRN/yfD05t6UlXlGzRFKcq74y8WVwSAsxj0ivKJ8vXpWdU44VafQhr8+3sGR1QqZQLnYGg
LfqHPq5eDaMhTYD7l0TNye7L7q83RyxgmC5UA+cgFeLZbVPInarUdimDZXWvyThuRC+8mj7AJwe6
sDAjspeBlaJFx8ax3s9/VKL1Qo6EHLIFzCPjGfPvzl6ah08eCY2/46xU++MY56uylGapDqYyQGOr
AAJJ6kNrtMYXtQchAoag5SrKRK2NovZaM40eq1FYzO8Zn/S2yGj+9ZIvyK6D4DUhSgFc5Y/2nAeJ
1glCUfX4BP9t2pQzBsOQKIkdBCUmRZlNSsgQhfvYwPi8ECNzZygC+VzKRO3L4uAglEulzUgeakHn
DU3osIGaots0l6kOKzACZZaI23iy4p0i2hkbJqqpQYuJ6JLEENiZ85BUWbvhCmdbgkgYw8dodwL0
QoVbjUvth2TGo9/LxqtKJ6h8TNJ++/HlvfRs8hW3FJ4TkjDO10+su003mzybKPe+N1P33Y7rW12T
tlpR+YSqVP+H146am2IPQT8WkbN3wYjnsiHWtAyAt6w9p5tRzfZjV35SvL5v+ZGJQCN/7WXSpjtH
T+lTFmticsoAXeepxs+JjMf+2WSPzIWumRFvekN9iUT5yZZJu3xcurRcUTbX5wWZUxcN8doGPZFq
Xr7Gk4xLSOjSCe25nPuMsdnjNEYR+h1mTg+uo8K8qWQhb9RhbyC8NUiz2msyPmil08tNiFaLB67e
MYJgqOSkPwxlYKM+oc7JrCXynE4x6b1YixeRtKdmeruxCQx0sy7VyT5f6shP+T1el9evyLCVu5S4
q11NAuMWRxf/HDzlBqxG6luSpT41mvHZrbi0pptQk3Ew02bQlPWS/WONgEVpFGU2lIHcfZ8x8Li4
S3eZ0g2fPFmX1qJ/HOe8MBrqAfOjAxbJNnKZJDuz3xRAeT5+XS6VNiZZvMwVcOCYbzjvf5yM3ICa
aHRRBthQsE1iymYz/lxlMTLXdv7EdHbxYPQr2bMAiHtX9pqCxagkXA9JjFmwE112g15vEWUhb+yS
Ty7fpYUAWOQK6cCy9674zecZOB7ChgBy2UltCYhRwvm5ysUr7tJTEZufXMmzZNy3apvdA1v+tU3K
0O3sA7y0dc71pU4jIzTGeKEqB3sR416lF+9VmhQHet10G4AC2peEvPBgjtAZR1VSXtuRnW2dSp8f
cfvyRhG8on+WmnHpseU+45GlrbO6yv58bMcpbKUspswZm/pVc6In0o7uc43R7sdP1MXjWBiHqSjN
1cXy53HaQZrjGolMwE60ppvTfS9nafSqXnzyIb1UttKcYo4qr/9lnb2H2uggqkYOFXTIuOMW1dlY
nkRlHFJbuc2r5oGsqU8aFZce4H8c8rxgTRc9RzYjF4E0Truor14dPUdvah5ENXyy59AuPb/sSBmS
UT6yFz7bF3WjrdfLZBUsM+r80sX17xEU5GbIFRukLowsqZaSTcGK7CfNKv+VlFUsJdDhOEP7rNNU
eQ4buw16FRExRhOk/3En7qPFqTy7zPNNEbb2drJG+8k2WDVdk9QyQDXt5C3EiAVLpf6WwfX4VmV7
Uy2/pFV/w3S89jtKvsQeRreYtcTvi1m9r9FB8rFXjU+epktXwVmdurQ4eG7PLVl5XrdtiWQ4WOpl
v8A0dTtZfzZq40jP9LlLiPb6+PG9dItXs8Qb1Mp414evUyWaG4qhIGkcCalKD2GIWEDb06IwD9eY
svzp4yNeOEW+66vb2MEW82536ZizXXSqlgcElOp+LGbzuoyp0GZI3s+pUJYAVdCPj4/55uA8K0IZ
nEOiUXlF2dqePV2RNOdMZvMiMIvF2cREVN3rsTJsSo2kkbjK86daxXOf6gio3lTDb9Clogc50qHs
2UnjiID1kx91oYkJ6pOuz7pqQ/hV/1w6oskgBW3gjSbICHWZFulbNGLatg1Fu3MsE2qJCV4qN9ac
JRFvZmYyiKF1xfv4h2gX1rDVF45BE+Iog7azH0I8eWQWXVLgW041RiOr1DjR8uWE3LE0jtwua9+l
CARxPbRulNNEJpuHOWoi4uFu1EZ5O8+h/DXWKbyhVshfKYuhNI08UpgYsi06G2OHSvZ1Rh/Jkj34
xP3GPvI93RNS2QWx2VhrApTl2dFRrTLtPtPK6ZbXFl8IqK/lObZ755DL1je5n7NPNuaXzp8JGB50
a53QnzeOaLeledtpnH+eTfcxShGAg1PynBAlsf34Wl86FFpItAYrjefdtpWhU9MU62fJqbTYqwEH
U3nAWTuQYxQ9f3yst/t2/tSv3V+N3SufwfPtP4RuYuQgdQY1OSG22zEwxn+x6MouJO/SK61cOSqV
HN51kzreqKoUndROgshEmMOuLuF6vf2g/8c3fIJvWMecfM7/FyXwDt/w/Np2//WUiCgp/+Sd/uff
/B/gqfUvhqYmdGCaOqic1oCf/wBPbfVf2ObX5ir9JaqylYX6Hz6hLv+LgCG6bNQMhDrRH/1fjoMG
JhVnNvoXkofY/5vO33AcKDdZsf544ODCowUBDaHQO39HLI9mgpxLZIr7trD6Y2WXBonRar1qUAiZ
zHVSot2s15QvrSIBsCFUQU4mpIqyMgZZLKTURyJpbUXniHv6S6TXarnzlNhdvothBbkascDVsZqM
Zgv4q8sIg4uNfUveotj2aR8uGyKhR2B87CEMV89wlQ7OnHlGTQ4FmdOH0s565A5zJNyosKNHpWyd
0B0IntgA+f7qjFDsW8JZ4cW18yNxRAskMijQySARok2m5Am9hHIg0pP0hQmgp9+FZGZuFilsvhhz
k1zxryi1J2Rr2NWVdErCOm29eErHdUCGxWYEPIF/WX5ehBiOqSbPDyE2v+0s2vgOPxhcOCK+19ze
Mmt9tTATL2F6vTXRUaJ/ZsR7DwXB2KrahJ0UbotnyY1ydJTkscoqw43sbri2MdrYePU2EoHUpPMh
e3PbRO/uszq17kI4Pid2pmjGKlPoyrZC1gL/lcRDz+lpg9jWoPtqPSi0mHG485szT2s7faNXToHy
2kI8MmnPzM3qQEniK0uf1R2U+NvIXsidVGdZzz00vOpGx1qJfjha9KuOngkFBVmogDeWziU/LWC7
1z3q7Zymbo2LzZcGUoP1dNYKV7Slwf0w+it8ykGXyt+SVDW8nnNB6t49hUSGHpxRPGI61AmTlcsX
BNzzQYlri0LNRsgJQgLdleHlaRR9aUEcld5gVTl0kaK5ycu44FLnhDljUavM26hvzTskdqEnxdbw
LUSefiKUMfXJrJ2uoCC9UrVEs1uusb5IyqM7/EHtYXJyV6SQZBmeT9iXM3R5ihl6fSmFJ0XrvkZt
VW7wL2f7GMBOdBw7OR9OE5EFzXcRRe0Lob797wRJ5MkkAPiYRg1fP1OHq2ugYjRaHKKbbmDi6SJJ
Ede9Kr+Mk97fSDXFqjrKr/C3X6xxJIG9MMpmzzisd/NEk28pepRV8jTb3+wo7h8Wqa/Q/4c5qtgw
7zcwnnoKbr030m1oVmVOgss4vsTRUskeFoyk9lupWS3J1GXuwl32DUzkflK2g3waqiXfZHIsX9WN
QyI20d7haajVu9FQvi2t800W1BLIa3xhyUUdOGZS822x0KPvhpYnRo5U85kPE1uK+lVW+3B24cGj
r+ZrFhj5MNi3ca4zuHVwEBLvoQYRa84X/obItbQ2vmmb5GgThrsnShqwcGXq8bTpo3ZUr1unXaKd
HdLpxwZdfyvIn+m/iA7jj5DbLVInDBfkKriiyeprlNiY7Adz2vays5t1Ld5n2TI0J3VR7SLoQ6XA
QtjP6THT5DTzk7Yuc3eSK+O6NbTQt7QqRjUfKj7y/9HFUih5CtTPZ/KRZoM2zrHEubfOkuNdZueR
G5qqtDXCeXAdeR63pZ7CWJny7OtkaDPcs2Y82om11UvstnW4zgXtln5QJlLjFFdF5tdmNrjmGBcb
e8h0IoeK5pBmGjEEfV/TZ2iJpsSGfT0OxsgVwKj50OSysTc6W1zjsJSexsiL+/zYI+j0ipzdPH3Y
yvYnQku2aX3EX/dVDSfTIxpZ3U9LuND+autjbsjVtfK2kTZ0CdE+/X1V9oze0Kx9Zg42K5VoTmgD
tQf2elClIFB7MREt44Ywz3kXSmFlbZw8y74tqYPJnC3ZkYleCvt5eMkzHFvx0Md484m22q5CERx0
w02+RPPvPl4G/l/L2sZGhN/JSup+x07/px6ajWdaZLy6sVkqXqXK/T4sIJVVkB+A5/cvfFjMLTLx
ISiXZlzVs5VEjkg9jmTpEjr0Uy352vjw/MAsFKGzHSLlPmLXEBCDIx8TGX2dKO10l1vE4sQLdLva
ll3mPTYZrxjblFIaAoyTMugBqLahk8V7/HEIZS1bPprdKLt8se1tW8vqVY+h/TiVVuJPav6FEHkC
3YBT79ZoFxtpXvIbARh4iZkaEogka++oDKjhAczuGwfXvZtGWePJk3YnlGojVROu6/9m71x708a2
MPxXqvkO8v0inRnpQCANadI2baed+YJoYMD4Br4A5tefZ9smxU6azumONNbRsfqlTbpsL++99rq9
7zLZojcrsFa3nnJwhn6w6YFIYOi0qXnqhEEL0/E+314faCofKcdDOmfuNQPlyXiOYErbvMl0KLaP
ubG6So7uV6BOIbNxkvnWXeaj3N9/DUMQR4paqKM857hRk9WVk6TL1/k+0C/CqXNLD9ldlkb6rR5q
ZE6Bmb1nHlM4Tnrp7bJY3+VK2nu/X63fHdDrZHowNXZjcLu0wyMMET6YgoPH3KyBtUutsXlMEyY+
u3CTm7s8GwI4Kz4ZPhgjwre9cbcFhmFNjuusyG+KVFnGIwie1GSgeQedubOKzkS8gbGPC2VEq/JR
Ga2mzDH6AOu62/uyT7VDceExhgTkp8l0DWXnRzZMeL4aBMbIzlRoAzam98G0EzGbcHfElUn9wLjd
+fQlg2VQ9YG2XtN/qKhJuChi9UAjPdPw3mpM6cS1p5z4WYdj4nPICPuJDZr3Ot9G6eWW9FAGQMc+
kKIr/N1Esfw9pj8Aj37YrbLXEPsdRypDEKkw9KxZsXbWF/ByAU5S3FwfME81vHOOuTcJlTCFWtSE
T9jdjwtAR/OtBoECJMvmu7RwtsxF3zKiO8nWJDoizKsP/jCBAYhJbStlufzdKKYbJrqHTC7e+ClO
R8hoGcFZuQNKa+aMps9V8tdw7O3BS27062STh6tRpiUb8NNakbuQr693CsgyzraBA3MD3At2TpQB
SG4Cd0e0ZK5juoOFclXk1wGM1Fc9gDo4flMlZ7SJbrhvVbNnZUBijltv7JtbFzCne0wuVnoO28py
q/yRmuuVCtRDWb8HgrK9W7trykZkEuiiVoksU296GCcMKKPzbnXYgYg97JQB9AF2OrCTIvsc0P19
MQX0/SZcOyEk7Hz8L0fdM8ZWal7q2TTfDrxjlhcgO0R7rO8B1QIv+Xrp9fa7AaOGlyMahcNbg9Fi
glHe3pJPIpl1BcpJ+QzV7HoI2cR0NVzmOrnNTWFEO5YLgEQvybIvGO8j9CGpdR276lfDBoJfwK4W
Dvii0y2MhApMRW7iM0Y2y9cFEbipDbPMOm4gqF+Fb6MtUBT4j1f5KDNhIzGBQLr7MHuzz23zylo5
MOZGNIW/TwPI60epGQWXRmQlI5ePNnHyFA6ZIDKK+WHqrP508bk/aYVlX09ha7YYjLWz3wBlj6yL
6VJdujchFcOhVthfslBPPxdT2A+tpWmMg95xOdQOpgJcqjgmwxQ+hz90ZqEzStLZJFTkbOxAoLk3
oGiLBXQigsvQU2fYU2/i7XvqqNga1hcoHNNi6CehPR33tt4KjgvlSCtyBuy1ACp5l6uxPjItpqzE
he2PwFrCenoI8xFM5bvro73b3xYMxblLbT8RQ0YOw7Xpa4PY36xmBWywW8CfsTFWPdADg426SUbU
Z7JhGB88gbTbjnrWyhprZAnnWqQd3mxS73jrbI+bD5u9aptgsRlxHmdq+tGNlODLUlWC5YVZrN1J
XCynEw+a8omymW5pwTa31wqD6t/rx2w/3Cub+Eo7KtyAqUNwMRqbURHZKr6/Yo1Mcwryy85WPqY5
jMZ7a2NeroNedHVQ8MU3YJY+xvSlAtpPSDtt12890j7M3g13t2syz9cYid0FG5DNYu80HBYsn+4n
cBj3tpuRH66tUWGoIejjXbEdiLomHoOxvmZu3HQUhAqYCjcL7le+ZcJRx9xkUqm59dcO8o+5FR5W
zpBBoYebHcSu+nifGHGV/Ph//P/D+J8OvGfj/yImDbM8J3BkbIn4P6fJBIoB4yI96RahvULulBi+
jvxpuBBkjLBHiN4q/ZzA0eyLBmHRIUHOU7RKPAT+5AQwedQ44YcW6BcSpr/9q8Eclrb+fj5mpFW6
gyWQ8Tu0dtGuQBuBW+YXz6pq03yveiYszLd5OF+m0FgFX8+08a7KIJzfgBc/zys8uoHIYp/dIDkA
2tgcuIGztgb0aw1yd+btbj1SueH8+VuVFeyzHIYCqb9jQppN0gy+Qfp0m/cq1FQl4wo/1doMYHDa
UCKALNGCUNnR/K35Z7o+LB2mSk+dTLmEXzjtHZlkYxZeNKHld7sM57DfOvaSgNJYKa59OU2WymUB
ZJAiguJ44Zs8MWCwulYscvxB6q6nyUcHmpprC5an6cdim43XmmdOKOpS7iUC9QbFerqlywRbtRw4
emJC+b6zepyB+53uZsCrQ8CdHwBJLHeMcODsseMLHoJz3bMKDQRvrk0SdeN9Kg4Bp/B0m9uwvBXB
fhzuvEAPr+0MdggTDpdbBxTd/s9erFgDv7cMoazgtB+CWjH0t0bP3hyv15m76n1gCLTHnBhQ77A4
b4aZv4ag5NIOEq/uVfyfsRr1i4ik3ijKvKx4ny+S4m6RwtLxsIvET99R28w+xj/3S6ft+LSgmgz2
B3YIxJ7TtkPlQ5VP/JyMgDH28KnBNCvGJ+Fi0rD6y6sgjpicW/5zj2FMMKtSaHXBXoqLPiASnmfK
+d7rP/9mlR6f/53nnnxRfpKr+a+/kOCnAtNIwv7XL+/2sZjMoeT1q6ulBLNPmZ/GbtrfyosEabeU
AIhD9E7LacHuY+lhj7Ls6i05VxpLwekLIACN+fXPO7cUaHkWU3qktAA9ssDEqLRVgtfj4i3PtaAq
bt8yUBRNLf/QKriP8ygTpmjpxdG5c1GCQf7O27cknJkBtw+2BJQpYLWn3t5lp6h0oTyYg39KB98d
RVfV+f6OEloizpQgRslB6U/ppFIC9qW5BMy+adANa3VuB9DxKUpEcq9v9h2KRpQzgUiIC6f0/PUd
q0+NCj5l+5t6uGGHjgT83+rLVK7vw9n635yHWt+m8QcgJSdr6+3BI4gec1RUXv+QFWgt328Houoa
0kvA6HPk0+JGua+8WkoQwQnaAd1iUmXkqk7gDi0BQirpA9HgJenyY7JHpQQxhvF8KcCxT78s+ScU
UV6dMweg6GTPQ2rJAG8oTsP1dPrU50ogEd4XpsAGsFppoXv7wZR2EI0+a4C2JuAW5dVaCa7WJ04G
7MJMwPLqnINIrphnljoX2A6mTYs43tGTK8HGZOo0xar1CdQla2AQy8u+vtKneV04hsqTa4BWDX5C
KtT45jp17FiERI6zXGoRaE6fUUdgQuvNLuzLuTlACwSjusFkkWqRdM4mqngt0qESbTkGS91wcTXE
1fIQHb1PxgyMNimu8uqeFphfJusjGUafceYKPeL1YmhZRZqF6F5iSxA0du5QoNlA2iAqfTKjIhyq
vaT2XnD7NF7COuZ8Syt0yyIAWKwTOhKeMsEQpE6GGENSXq294JJWqNLRddqg8kg6dDrwkRxZu6i7
fTwkejFPHgCbq2EXrT4nIxogcCivDu4I0AeSp4Oh9UH9AvQ2nk6euDprAdw9OORKC2T8O7YjQNtJ
e4vsCIDggvGp8hRa0ZONXaAWwezOKnhSOqcFjnfBzSHlKZBRZg4SGB279ofadsHh9CCZRLrpQUvd
WgsQKQhsjJwWsH6gqKBjrNMFrTPSMbELEP9BNNhVuwCeQ9ZT0KlLOrhKEIlU37p1Uroq8RUkICBH
qp93Lq0oCK1ktYB1JFAmswq+vbxaa4F8AqARcku1He7QEcmoXkF5IbUVKE6rwN9dqrDVUm/lFW28
RRvoMbMHu7oISHZUtvrn3SWcZodmQ5fi/JOLAIMArZOLp1D/vHOHg6Amk3WXDJFDBtFAb0O1FtqH
gyEQDDrxanWnDm0FHcJ82UWAt8gsO5uKY+00t7ZCmV+FJxBwWwc/P1RxkqZAJ1cCdobdXm/11nng
kFMUJDrk37vqJ0KVIK0FPCDwHVA0Pm0QRVYRzwASiNoUdC5m4MAGWyR5LJBWJHssdsOTxwIlR1wH
KC1Pacfu7QjsVPVpfv5YEBbBhLD7IWZo+QaQ7rAlCBoAbpdqqtzzDtlFMqzMC5ZcC3of9BlO4ulb
t6JoUXERVhMv4mGtdCtmwFGSzrHqRl8QSVFRqXdESwsQmPRVUipUaDu4CogdZVeBxlhrVzNEkbW8
Wu9vm9TlFIV1UufdOmcR4FORr8GqNB3BgAXfVqWFtouExUBDhNffIsuu7QVw+bJrwSaTDs6VVtba
VWjm1dANahK16lPUUN6wS3bRYKHKakFnR0CfAYb9aS1oSp/aI3zIgrC9Y6sAR046clbID1CDroOF
R/UW2+4zWYDBN2e1uW5pAYOgStcbOBdITwocdrUKWnlFsRc4hYmr6taHDu0C8f7SuTR2AbhSzsba
IrbOBUesEkpuRE+Vfrp3LhA6yUYNJBBoy2aohdl6fervkHtaMM7WprJz4QKVMDEcgZ35844y/ZnQ
itKiCO1BebU3QWkKRea2jqqqG3ZpK1glQZmcFsiV8ZXp+q1TiY8DaNh/KdTDR3tyof6uQfwbqnro
fx+uvGBedr57i/SpBvnv/cJpCTz+ed31LVq7RT9r4xdFI3x176rdTfz9t0YjXNmGePbDU1tieZ/6
v9cv+PjWjXud3ur0j6+9RTJL7ldF+YOifszbWUj3/L+D2ddZODvvxcVEsT+/PcmvvzSe82wX/EBw
6rfkivkh0nIT7xhHTcFl26C8YH8WpbP09IjiM4LVZBPKSh7OAu+vGEbQxlNXHW7SsuMgTmbz+PSU
4qmrRmJ5yVG0uM+8+zxrCC/bsWSFXyyCGdPIF+eSKziEtGQvzRLvPnsV//UKmFMefm2qXYwYO931
SXTKg3V7bnWP0bo3b3xPjnYRP8s+/+UihnWnKZmQkWhEVvJrNO55Jznl8oauC09DVvDVfLZqLEC1
atGRlguZVsSgstMTlo9cdb9Ii47m3qxlRapeCmnJ8b758YyyOUFW7PVj21RVuqUFIyC/94uGkqvy
sazoN3HupY/UXBVlZWXfzLyoYT0ourzE8XIzS4pgFs3P1VGj1OQfOU1n96s8XWRZY03XFVpp+d49
5PCzJq6mqvvJi+YsSOOssbLrapq87DT1+ANpckPpalmseQnpUJu2RYsKiLToOII7taWSEsYlK/l2
8TWZtbynumAhL3o3a55bxN2iBiAveP/q9SzcpCuveazX2fWXkD9ZJOmiYanq6v5LCL9ZHLz7xjFW
Z8RfQvgfceKfdCyOMUSL1Jq06Jgh26+GsyTmpGyuxKob7GVucDHz23sfHsAXcEneMnzhpIVSLVW3
u+xTv/UDPJJmVFM3jEqLThbLNnSxzJLKCn63iCKmiOxmrTABPimRhJQVf7eK54tXV+mjs61CG8mK
/8BA+KcXYp0+e5kbPF6IdXZSVvxHtL9I00XDpaghifKyD82osq6xyMr9lM1Wp4UhNk/d3iEr9vdF
wpzDRsxHTVMk/6QlP8UnWsG/ZUV/nnHuREtoLk+PWWqkytpJC/8RGWqJ6P/5YPKzl97HUeo1n73K
tUk/+/eJXJ596qcyTQ9I2cf5pxMpwlP/rZlcE79xHyxmyW//AQAA//8=</cx:binary>
              </cx:geoCache>
            </cx:geography>
          </cx:layoutPr>
        </cx:series>
      </cx:plotAreaRegion>
    </cx:plotArea>
    <cx:legend pos="r" align="min" overlay="0">
      <cx:spPr>
        <a:solidFill>
          <a:schemeClr val="accent2">
            <a:lumMod val="75000"/>
          </a:schemeClr>
        </a:solidFill>
      </cx:spPr>
    </cx:legend>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_xlchart.v2.9</cx:f>
      </cx:numDim>
    </cx:data>
  </cx:chartData>
  <cx:chart>
    <cx:title pos="t" align="ctr" overlay="0">
      <cx:tx>
        <cx:txData>
          <cx:v>Sales by sub-category</cx:v>
        </cx:txData>
      </cx:tx>
      <cx:txPr>
        <a:bodyPr spcFirstLastPara="1" vertOverflow="ellipsis" horzOverflow="overflow" wrap="square" lIns="0" tIns="0" rIns="0" bIns="0" anchor="ctr" anchorCtr="1"/>
        <a:lstStyle/>
        <a:p>
          <a:pPr algn="ctr" rtl="0">
            <a:defRPr/>
          </a:pPr>
          <a:r>
            <a:rPr lang="en-US" sz="1400" b="0" i="0" u="none" strike="noStrike" baseline="0">
              <a:solidFill>
                <a:srgbClr val="000000">
                  <a:lumMod val="65000"/>
                  <a:lumOff val="35000"/>
                </a:srgbClr>
              </a:solidFill>
              <a:latin typeface="Arial"/>
              <a:cs typeface="Arial"/>
            </a:rPr>
            <a:t>Sales by sub-category</a:t>
          </a:r>
        </a:p>
      </cx:txPr>
    </cx:title>
    <cx:plotArea>
      <cx:plotAreaRegion>
        <cx:plotSurface>
          <cx:spPr>
            <a:solidFill>
              <a:schemeClr val="accent3">
                <a:lumMod val="75000"/>
              </a:schemeClr>
            </a:solidFill>
          </cx:spPr>
        </cx:plotSurface>
        <cx:series layoutId="funnel" uniqueId="{E9DBDC8C-F8CD-4523-95D4-3827CDE4EC84}">
          <cx:tx>
            <cx:txData>
              <cx:f>_xlchart.v2.8</cx:f>
              <cx:v>Sum of Sales</cx:v>
            </cx:txData>
          </cx:tx>
          <cx:spPr>
            <a:solidFill>
              <a:schemeClr val="accent2">
                <a:lumMod val="75000"/>
              </a:schemeClr>
            </a:solidFill>
          </cx:spPr>
          <cx:dataLabels>
            <cx:visibility seriesName="0" categoryName="0" value="1"/>
          </cx:dataLabels>
          <cx:dataId val="0"/>
        </cx:series>
      </cx:plotAreaRegion>
      <cx:axis id="0">
        <cx:catScaling gapWidth="0.0599999987"/>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_xlchart.v5.11</cx:f>
        <cx:nf>_xlchart.v5.10</cx:nf>
      </cx:strDim>
      <cx:numDim type="colorVal">
        <cx:f>_xlchart.v5.13</cx:f>
        <cx:nf>_xlchart.v5.12</cx:n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rgbClr val="000000">
                <a:lumMod val="65000"/>
                <a:lumOff val="35000"/>
              </a:srgbClr>
            </a:solidFill>
            <a:latin typeface="Arial"/>
            <a:cs typeface="Arial"/>
          </a:endParaRPr>
        </a:p>
      </cx:txPr>
    </cx:title>
    <cx:plotArea>
      <cx:plotAreaRegion>
        <cx:plotSurface>
          <cx:spPr>
            <a:solidFill>
              <a:schemeClr val="accent3">
                <a:lumMod val="75000"/>
              </a:schemeClr>
            </a:solidFill>
          </cx:spPr>
        </cx:plotSurface>
        <cx:series layoutId="regionMap" uniqueId="{5CF8B556-EBB3-473F-B66E-7526F40C3631}">
          <cx:tx>
            <cx:txData>
              <cx:f>_xlchart.v5.12</cx:f>
              <cx:v>Sum of Sales</cx:v>
            </cx:txData>
          </cx:tx>
          <cx:dataId val="0"/>
          <cx:layoutPr>
            <cx:geography cultureLanguage="en-US" cultureRegion="US" attribution="Powered by Bing">
              <cx:geoCache provider="{E9337A44-BEBE-4D9F-B70C-5C5E7DAFC167}">
                <cx:binary>1F1rU9xIlv0rDn9e0cq3cmJ6I1qqKsAYbIPt6fYXRRlovZV6v379HlGFDTI2bDS7ETATXWGqspSZ
5z7PvZn8+3L412V6va1eDVma1/+6HH5/HTZN8a/ffqsvw+tsWx9k0WVlavN3c3Bpst/M339Hl9e/
XVXbPsqD36hN+G+X4bZqrofX//1vfFtwbd6ay20TmfxDe12N59d1mzb1L9578K1X26ssyldR3VTR
ZUN+f31h2iZ8tdomptm+fnWdN1EzfhyL699f3/vk61e/Lb/vh2e/SjG9pr3CWM4POJOEC6X0zY96
/So1ebB/2yK2fUCZzTWR/PapZ9sMI586n5vZbK+uquu6xqJuXpej760Ab65ev7o0bd7MuxdgI39/
/SmPmuurVxfNtrmuX7+KauPtPuCZeRmfLm7W/dv9/f/vfy9+gZ1Y/OYORMtte+ytHxDyTGqq7ZW5
3ad/jg5zDrR2hLA5tW9+yBIdcSC4cphktw/dgfOUqTwMzPeRC1C8dy8SlDNTQW28bWXSKH9GxWHY
eaaZEsx+UHGUPiCOYI6UcgedvI/Q0+f1ME7L8Qu0zrwXidYf6fbrNntOmOiBkpJTSheGzZEHDrcZ
ozbd4afv4/OEmTwMzLeBC0T+ePsiEfnPtg7h6BqT3+7PPzdrXB1wQphQzk+cDrUPhJDcsTn8D35g
9nYOb2fdnjanh+G5O3aB0H/+eJEI/VFFk3lW08YPqGaUOoQ/aNoIIQfQKaGl2Nm2BTxPmNDD2Hwb
uADmjy8vEpj313lej2m3zaNntGjcPnC0lNrZuZUb5bgbsSl14DDH0UrtHZNzX3meOquHIbo/eoHT
+5epQKvrdNtvq+vbffrnBo7pA9t2lKRMfHMu9zASB1w6kjPi7N4Xt8/eGbinzOhhfL6PXGCzWr9I
HfqjSrZ5vUXI/1wZD+PQH2gPI3tsoB93sdEUGZEmQoi9hi2wecqMHsbm+8gFNn+cv0hsNkh3oqtn
NG3UORBaCCLJXmsQk92FxgE0jmKcOmxn/BZZzxMm9DAy3wYugNm8zJjtNKpr01bRMyqNc8Ckgkbs
AzKb3kdmVhqlmCJ0D91CaZ4yo4eh+T5ygc3py8xHvW0a/W2qZw0JmDqggiMmIHqnFwjI7uoNIfpA
EkUV4Xt4biVjzxY8aU4P43N3PQuEvJcZDhxemyp4zoiN0QPkMtQBifYgPA474Jwzxe29x1mYtSdM
6GFsvg1cAHP4MoHxTJ5fXzbRZdvcyu8/D9U4ORBKEMGYeBAcBQKBATxCFybtibN5GJl7gxfoeB9f
ZDRwfLUNn5H6BDHNHG0remuyFmEaIfxAChBwjr0A5tGJPAzJftgCjOOXSUWfXfev3lxX9fX4jJpi
HxCmbS3Y3owtYgAFQJQjUBHZR2/89tk7L/O0OT0Mzt2xC4TO3rxMdUnBR5voGRMbEAME2oJiwJ62
WUbPYKS5I5lwvield1m14yfM6GF0vo9cYHP8MuPn4/wq2j4ro6YPEJtp7tzmlPDwdwM0kNHwMCBD
QUff/CxN2uMT+gkytwOXwJy9SKWZk4H5/0XxnLkNPDwFW/NNLX7UGxCdFDW4PTiLSs4TJ/UwQPcG
L0A6vXiRIB2b/hk5AU4PbMWlUJzvVGOhOpodzIGbJPb+/QU6j83mYVh2oxZ4HL/MsPldGD1nXGaj
dgOORt+hl++ZMmiTjbCMcfUNr7te5rHZPIzHbtQCj3dHL1I/Tp6b0HTAinFFZ8b/5ofcdy4a3I1j
EzCee7+PSuhdRB6fz8OY3I5boHLyMq3WCbakvUyeMV4GKyOooo4U+wrzIoNxBJy+AmtG9mzmwuk/
ZUY/QebbWpbY/PUiNeataaP6mSMy+0A7yGPkN655oTQEVQLioAi6r6ItkpknTelhdO4MXcDz9mU6
mNNtNabb/OrWrPxzUmbue4LuwGDdR0VJOBeC4rTepzgIBu6asqfM5GFQvo9cYHL6MgmA021dby/D
tr5umvp2k/45MIjGwCMzePjvxeW73l+hM8AWaKtxFk7myfP5GTz3lrPE6IXqTXQZRsH2ORtrUNtU
XGnl7DmYH12OQr8aEs39+4tg+fQJM/oJQN9GLrE5fpEu5zQC11w/b6utPGAoAaC4vKf5l3EaPyAa
lU103twq7I44e9JcfgbLt2UscXmhDIDJm2elZtCLBnM15zMP55fERu2MC0IlW4QAp49P5Seg3A5c
QvLxRarK2fXXalsn21uhfQYvg5oMipVMqX3v7IJp1voAsZuiaK/ZZTwLM/aUGT0MzfeRC2zO1i8U
m277nB0aaGxiaMzk37qeFw6GEImqDNqelbMzcrBxdwO0s+vH5vMzXHbjlqh8fqGo9K+OtlmBztrn
7Drj7EA6AgnNrVosqDIEZzjmISlit53aLPzMXGR50rR+htG94UuoXiZZM+/JX6ZKbsX4GYwbPUD+
Qvncen7zs0RJHIBstoHjPsf5wbg9PqOfA7RbyxKbl0kLzNicXg/R5TPSm+gO5BSeh/C961mgQ2x5
QGwHdVDnB9P2lNn8HJnblSyxOX2ZJu7m2M2zn1bDwQEuGfaePdhXC0IHjbVz7/ptDfpWb/cl6CfO
6ico3Ru9xOll8gTvkhRtG8964gYHoxwGmPax2Xx44y5FoEGLQoFs+/bEITieuyHCU2b0MD7fRy6w
eXfyInXoXXUdPOuxGwbP46DvnMmHtefm2A0iaxwpXGDy6Ex+gsh+3BKP8xeJx3mIs6avjuvn5TrR
gCapQ7XYHwXQi5B6jtoIoun5wM3NDzzSXX156qweRuj+6AVO5y+Tu9mdTP4/OPIJ/bFBPVOyb4Ba
xAbOfDIHTZw4H7VDahG5PX1eD2O1HL9A68J7kVr1EaekcDT8+vpWrP95iI2zuQ5H0c3eJ6HLbnW0
2zDO6NwSvQvBF6Hck6b0MEZ3hi7g+fgyCbeP18Oznr4hCNCYw6Ek37b+XnQAggGZEWrZ34umd63d
o9P5GSw3q1hC8ueL1JhPzTZ8RmXBjqOiA15gH7AtyLab054KlVAqF/bssXk8DMVu1AKJTy+T+vx8
XWUgc58PDHQ920pQ/G/hW9CGLiWVWiL1vPlZNAs8YSYPw/Ft4AKRzy8TkcMKhehXH1G4SR9D5f/w
JpDPEU6QPPcRH9QgHI1TWDv8l1GiczAfCRbomN+9v4gSnzKjnwjIt7UsJeSPF2k9/xPVlyavo+ct
u0qopWByXxVHSnvXqTkaZ0gQ4eO4wjfK765Te9KUHkbnztAFPP95GcH75S/v+dnt0i4ivPfJ/+U1
R6hboCsBTaRoXbj5WZhXVJTQIYdrdG4bS/it9dgRR4vrh34+rYdRWgy/t5L/p7uNfm7tvl0Ptdo2
2/XNvVJ3rj769bs3y8WNV4uh+wT1Qdx2e3d89ftryrHL326rmr/iXmK72LTFuOtt3fz+2pLyQCvG
0B8M9FBctxGj9NfzWwjukTij2AGjKXA60oHFzGcG7/fXSKkZOA7AvT/XVc93a2EI2o4YRS1YE5Qf
NQ5MfrvS671JR5Ax33Zj/+9XeZu9N1He1L+/ZpCpYvexeXXzEwm1tSSMKnCSOEOG9y+357hNBZ8m
/5WSuMpJn4hrh/hNq9e04IWVenbRRdNnIdoi2XKrEvUmL8d65KuGDiIcPMv49tcgr3hueYYOiXqj
QzG2q0RbeXnU6yytT1ORFdbommQQxVeRNPFgVtirNGZeoBQn12owY3uehoNKt44jCv+SZayUZ4GM
yoK5GYlqTIUXosrehcRu+nwVpKJKCtf0IsveEjWWmHKQZWQ8oRnL47+tujMYcwfSBzYJxNK9PUIt
inKNkuJ8pQW2CxJxd48UyaI2lKFz7fcmj8ujJuMpP0p5V1fqaKqDJuq9KSpwpja1/Yj6m18/niC4
vf/8+dQyQzUGcRV6yPX8/h2Mppg5tbRldBWThCWR1xgmWOhqTa0y3lRDH1TNqgqbgIeuxa2pyN/3
nI019QifZM/eNDLM68Q1pmQVOQPLU+K9X08SInx3jgr9CQwHd+D7URKaxfL+HIcwsmhYMetKWlVn
01UwqUCVm9ThDbPdvGqk/JII22/gEb6p2+PYzM/lGo3FSAwoGlOWzy3a0ShjMecqGCFz0u3sIq3/
DLlP88Dt46iN3uU+LtNr3DA0SB/cXz8eTnOxbIU0EQdnNRdIP9S8LXegCUQXWfYQsitLpapknuht
KbZQJKs5NlOk0rPIIoacsqQc24uktu0pdFFyTbEpv54JYuv7MxEUB3hxIcR8DgSh+QKARkZ2PCa5
f+nrKRfVoSmLzB/Xlp/VejwcnWoAKr9+5I+LRwldgkRH/+nMOdn3Fx+q0E/j0a6uuOyh5ZuRyIkk
G1H1bc3XkeNz+aVqseulW0skd1+MPXaVXneRsYv+EUEgC0um5rgShMmsqDiUiW7y+7MJ9BQLXTTW
VxS0VWYdDU04K0Q2mBAX9bV9zCfuRVk90sIdNGWYlYjssL3IChmPXm6RKr/QWZhV+aoUpqLnWRfl
9ddf79lsT+/YW4UrpWycEkGzDg70QlsWtqTtfaeyy2n4OlRNBSGw28TGZtlDz4TlDhXrrIuCJuWs
NE1v5peoCNrHNgvk0b1pgFfCBT1a2rjhCidUxUJusT952eVd8UUJI2LhFTYOTZau77daVx6ZlAUD
4487HU5bjvfaG6EuiO/graFvmCw3bc8eFyu+tCVoY4JLFJoQilIA7O59JJMhqTM/NMWXogKW5ZrV
icNPKQnZeMLqdixLV/tdOn3OwmEclduGVV+GHsxOL8+DcvKtoyrj8fS5stpanjmRnN3UwLss1YdJ
KzIzrkzNdJe4Y6dEd15UcTJ9nlKZ9Ilrp+lsOiOdWn6DM9I6xC/ZiAuuPjvZMDS+y0Q84qWe7KBx
VoWoWb2Rqh0wKhmCCG6uvHm8dgJr7F3HDDG+wsCFYeaRlc8eqilElmyHWuZlsdFdRboLzszUvK2q
xK/cNM0qmnlW4GfDUcBh4v/Kndznnzu7I1a2Vk4Ab9eVuYGj/LWELg0Jdl+h7oVIkyuJc7QL0WD+
mAdEF+mXiWR1FbgDtVVRu72JTXrM2rKHuP76iUudoPO5KUrgPVDR1j88sa7sOuwz1v/FpnYWxr7l
sxLSWiVwIbIrhfzix2yCEPa0bergVBGkoNUjLmw+LH9PKRhu4aMK5hPngylHrHZf7ibWtaWlZfY5
43nWMLcxrbCuTRmWozgJkzon68pXJnrf1U4w9W4RChOsA6ehnXFxiqJPO7ehQXmS+o68GFiVOqNb
90R2541j2ZFXimkwJxAiO3Rjm/tR4XJfEpK/sUMbcmi6ED7u2I+TBiKSdGhxejffGliMLksqNnSH
v954srDgDnqg7ZkzozfXcyIyvb/iRPph3pe1+tS1uY1QSlQVRSjVTbPccrh6fhSSfoDYDolmeAma
m/jKksUs0qyNe+pf+IOcRZqW0ZRVR1FBGSQ0LqfaJpsy7Yo6OpzEmEDr/D6bIzsyOhm0U5ESavTI
kpZuAN1dOIrHbDANnPEfjIdT0roZa2m+5qmwoPYx4jJg1Y12AxSZLxDR1kGLK52yWOSYdlVkFRFH
jhVbMAhliDhyjmnHEKPyaEq7Ez4khckekbbl3sMTzEQJxXF0Ct8l5SLyHlifFzqf2Nfap3LesKYu
0vZ9OTVRkXt9OZaYnKWyDu+ZsZyNlpNMo3XRF4V/XOsqjQMvmyZ7PMnCMsdO5tqWMFmtsK30XGY6
mDKPMj3bJWrF4yxmE6waJCvye4D5652/rz0C9lrirkpbwKGAjsXFYktZCkskB1Z3FtbJ7D2mrIfL
L2qRtx9Gy2k5zmH/KvJ76Hm4dHaXK883mN5/nhqGAmSU3Z5B6GbfNQRhGbu2SSJh3KpGU/v/7nmw
iHOJE32DIEj4zVXDd0M91vtQ1C6Kz/w4gJPOE4Q+dKWSVLF1XpcKS/71A+nCSTsIKR3EIXDQMEao
RSwkpGR5Npk4p5+cJmRwE00RzLrUWKydvdCNS0LxaISa+eEweyu4/dk7VkUJ+bZCgryIDGL+lSkT
tMemOlb8KOrTWaXLsTfyzC8HfCoK2aytY5DJepNYqmKbwqk6VnsjxBSi98jSFikVlqYJ7sjCVUzY
UY4A+j54zZAQlbZm/MSCbna6TVXCSk7pFJnLxnYSmrtjY8rps6L5rJaZZQhsyyCzNBjXUyZJE2w0
s9r+E8L+CtvRq5hBwlk3wTHmkaVhLXmfFnirbhEBHEW06KEJDUI8PDBqfBv/QtJKsBVZwLEVTaNC
q/FE2sbQ/VDTGP/a7c/s1efu4qcLMI5DShSRkLoIB3m8/UPuQPqJy1GW1scuUwaObpcv0NAZusRD
qh4G+SM2hy4iq/mRHI2X1EaEhWL9MpO1Y4OYvBjUx7olkJBmxMGc6BAmB/vD44IbsfZ7ywy1K1M2
YsPTzs9hKeG/sUt9NaTNeyVrx483fsMd+DX4lu68AtGIYCaz4MOaIUfMtYctKPscWzmkTg6zD4cw
wxEkwwyEFUcEL3qMdXdum8xgJiJJEGYlspkT/1/vNtcLz4DFz/EM/B2uZYHxXaaKiK9rK7CH8WMY
jjL13aZNWOH5ve3HZ5JOvBrXZVjJwnE1pToO3aoqo/KNnbZsEG4BI2udVEFm8VM/CxXzyt4MwaUd
pfZR77dcrhKVm/SKx+lUnWdGZriefSJp/453xB6mlRPnWhReCbdVt5u+F053VpWhPxhXZnZG3jK7
InqV55UmXjw0beW7ZnDKKXbDvKv44AVD0kEZuqnqx9QdLBHzeKMpafmFTJuRB549kLZvDwvdh8SH
2/CD5rgJFRyCp6a0nybwBBDF4nhIRr91y7qI5abTKmArkVnD9LGXhkafW54G/orxhhJvRMJvRlcG
Ta1XOqJ94gUiDY5wBKtZlcbupxNf57Z9SHoS0k1g1U5or4vEZPzTKLogsT5pYw/Dx6EZWHNq1U1u
nSP4Ue2VqKSsPk2qC3LjFsaQsP6ghylNDv0IdNFmMtzJjKsTw2joqWqqS+cryWInvwppYbphBVEZ
y2vdNn1ve0na1yQ+avy8FM4KiZVI5aGfWYk800RZSXLYyYLWaXgdOjlrsMsDYU7FTydmOoj0RKq6
CD+AQW+kvc5zXhTquNV+FKZvczEkZbCOu6Dpu7e98IMo2vg861tx7ueUlccy5mHgbCArkiVu0U02
ItS0dqJeu4HFZdmsQr+a4vG4D2orjA77KEPg5CW65zCwXRG14k9jtVLUxxCO3vK9niECJ2dtgQRC
u83InEG+S6lSeGl2v7SiKMV7OO3O8bjJ1Lz8OrWlpt2bWFZFQI/IYFlKeWMsklYdDnlMstQVvJtD
PFtYEZYTMAGnsh38EcUDLxahFsG7sS/6Qr2PfSvu041KmEWL46QdtdO9kzETkXZLrWeSR1WNCJPP
KvB9azrhPK2xU9ZYwmSfwmqXoTixmF+p9C2Jyoik7+O4jx1/3ccwBMHaROikrDyYrHlKY2elNl3b
QThG5coukrhyVnljWyL/kwY0x/OyONX6Uxs4ZelVIBaws9RpI3gQj8hw/hLMH9G3W5Z6Tk95WGP1
XhGSnMlNHPbzjrG0SfBi6rCBM8/UbPJ51wSO8nTfGAjAlCN0Pmx0leFzxW6pYSMmbF8Z48y0gi+p
fTwtDckcEJBohocUPKTiPyQd5n3OuY5BzlmtVQEKK0+ckF+XJXLzclNFEZIGr3fIqEovckLRWkCQ
t2X7uYnzNsqxX1Y4mcOwnTgZTp1YzVOOgHQxXUhIFp7A8Fb51beGWcBkZc3Ii9HC71KdzVvTdQQf
hYt1yh5z6FB2whr366kqxsqvYDBD/E4MhZEXieC+Zh7vNRg1t1AhwV7spcefao2vVLE1L85vxpvN
aCE1lbdP17SYxPwvVovklNlRZV3st9raffx2k3efA/VCk1NFiwwTILkVdl+TSBZRdRjlbMSiSzrh
r2K4AWVBZF8g7g+MdsUOKDN1DUQNAX9bBcc50aMvXJKE3Sjf6aw12KWOZik+QguQlpUH3sjvtJvY
45y/BRlOxUNHVWCXX/VuB00BDYJd260ppBHoBq8wuezJ0dg6c1Jg76DdiYf0kxT7I3mEEWuh0nnx
gxxDyGlAqvkxIQ8lfjma0lbhp8mKeNu8wUrZvL07QZrascUsscj5W0hU1RiHUhGDdNVNOE99t6HW
1E/4h0mZ4Wpt2QJh6PFEhRqKw8AGRWiv+6g10Gl9E6UWdQ98o07R8iuRQQ7xqQWSLyy+6pC3vatR
HJi/kHbzC+8CBy9pbs/qkE1inn/eyiDsP7VpkAbRJg8cCHtYMhKwo6QeFWlO2E5WorjWjTrcb7mO
uwrTGSKW4EvgAQweHhdRAj/fkXKS9idEbrHTrYrSavLIs+vAx8NFHOJqylWTFiCLU+Qp4MAAU9ge
KxPM6tzCv+J3ydjK2NkkCBaH8Q3TdTqYo4YbO8u8VPM061y/DsDDEk1afD5syhovCBpFepaVLf47
3qQowu4JuLcSxZH0rEsaH5F8X8V4OgkD032WuT8gB/PHaZb9XsOUx5uBlRQWxqnCtHXWaQYXm60H
K/d1fSw0XNXwly2HGPYmSI1JkqM9Px83aVjFmzZMQd1cjrzGGYyjIg6xHYfsRmdK46TYsNrvE3/6
zELH9M2nkvVhL4+a3dIHHdTYIlYMU4IVJUFfi7WcbAIr11R83j6C7AibiTR5FvEdIe3USY8dIC2d
19tEEcVLBQHH58sI3LLlRukEoh7thUmuXbBvo8xOWUEqfEKOZKZjOtHWoCh3fOFERFr5mzYvK58e
B3454TumHZfpg2ECDVsKnoCA9kkCFifLQAPkXpOCYxMnWSJnfWp4H6GqESROA1PJpD/C59UjLE28
AUkzb14bsZn1oq2ToLgRp3mA4Tjwj1X+1SM88603vV9XVXSmWTyzvqaFuztVic9k84Ejex799eDH
1hhuZF+ItF6BhUOO5yrwmfILDxhBCglnqOfM1eITViXzbHYbmfBncatoRSB8u52MGwNqn0V2xLo3
/SQyX31Ipra3LioE0yDIpqLU8gvsLVJgqy8m7EDM7XkNfpFbMP77pDWNEK8istaZ6YsvUo9hSb7y
IZXpmZRlMfobTk3dWH/3EYkHfw2PxlLh1ikKCpbnpERVn0GE9Enz0Q7KOAg8X4wsHM57hdimvNJd
1JX0r9p3wLIdVknbZdqz6FQnnyfeUm7cFt5hAG9FiEFMqZTQLWkh5Vmsqdfhl5bqXNWj1Des9ivZ
YVkWMRh3DwftxnlZN+YmTbvZ/ukxmK0Jov9ZeaM6mz+R35RD/JjOvxPEtvCJMRjnD/oMRFu2Bgk1
F4ui1C+gygGiRf9sakZSrGMo6qyVOpvf2YssYkpYIo3jZHhrV2CYzakVeNUwVky5hFa2874NVdAb
t7dzlCP4OPmaHvdlPmt5YE0zs10j5ccLR1jWHJeTDfnmNgo6Z6BL5pmDUcDQ/YNEpeHSSoiKdbHL
2PIonlTixnnR8g/JzmAlO868RCM7pMFKy5kRqStZcb7Kgqw0vhuWsrUu2kgUWHPToyzavYloMIdx
IR/wDNWl87TaG4WzTAI/4vqinZW8oHPddpX3wyyTyp9oErkirPMsW4dxCm3c7DYE9NNs9BL02+N7
eU2s+CSkLFXOIxzuIqEHLQn7AAmmMG6S/MBmhQ2KMqDJ6EVojMSsVRAM0IbewMyWFp81KO3AIYZu
F5Xz3B/J7sAX3CmrzI/HX3vAcY7d1dzLkkHVDsbqawXWdWcaY5QzMAvkAdCkXz9qwZlCm2xwTngW
2Ff8V8681J2SX+8kpeMjlLyVETsZjPHKwuf8HW49mKVby3AGtY1iIGx4xQHZ3jj+ei5LDgx93Pj/
/Bd80F8AOaf35+J3jKISEQcXODkOMxYJMsfjdY0LyteTQej82D7/+EC0vII4kI6m4Mn1kuQLK5uk
me2fl0MORxEk8PjHakxg5vaa/esFkpnF+w4suj3nMoQtcGm3Q3F92pKTH9KYB3mTyvO9xejDaa4/
jZKNQmwGXjvdJi78qfrQ9myMV1mbz/acVTANVj1x+KNHZnRf0jEjpFLztTtMaYFDxss646htq1cj
K8/TnVL1iOug40Ob+LDrkdNFgCDk7cwOagbngNDCCueJxAUr28nrSmT2G5ExI2x3gGkZPZj6Eh+H
fvjkLBoZ8kmv3xUIi52Z/fUi5granV3F/FH4my9DRz8KBwG3oN/6cRqiahLJkcqtKhGeyjLFvsgq
CR+VmB8fBVbYAc+NbnfkREvNzHyajW0gg6Od5+wEknksm5YZXn69KnKfMMW3o0MDF1jSuYMNf/hl
WbrK7Sb046HQl3YMVnUvBVQmc2RTsWzOfnqnyzPPznhFlauqFDUmN0XkVHsNywf1Ke5t6Owj89q1
iNzZcFBu2IKbqzNxhbaD8033FdW2UalTUVgfVhO1w3pNxTB3SbS40LE1f9dTjkK7Z+oAFKV2M39C
0uU2ImhIdgKnh9agwDNJAQLlLeVI4e33mS+CwByNcLHCnPlDlJBh9HwKsv+vuiwzZBNVTHlerrO0
nWjj2caWdbZyKgHG6i0biGHyvd5VeBOJmJ698/OMlMNpEoSdRitP28mIgFqI0UJyhHhdRdkqteIC
IrL388rCsNBNdt4Zga4DmytvrMEuYk9udrMPMwoLiAxr9qZ9Ry3EhYY6CLdz2mK7EanIVp2xOp2J
fGsXIhQobQA3u3DIFLlJ3WRkcvO60nm0koVK49a9ZQ5KeJ/Q3ccDN4EIaq099ncqndkXqrIDQYMQ
PZF0XTgGj8wSBOfdGxv1qyjw0iHDjZ6HoMXTOP3EED1qdibHRvPiOJa2NefUdVeBrhx36Yzux5qV
qzBpM7CXIDIUyHo3DhvH+J7VmqC3M7fEn8AR9L0udaH6dVDi9FT5UYy6m8xH0PZzjROhlE3lmWlq
cPEfowKkbbCCnKPNYRNWJSGxlxHEbn+PyOBq542QQ0+/EDGMjXMG9skvPuRaxwldx3lt2UgocZ3Y
0HhoMUMlbJ2bEdiu+oFO1ejaFhL8zkOEQ4TjjXz0+7eJrpt6clFM6iMkpdqpUCmPQrs+5Hba9F+l
nSVjuPI54tbczVSeVX/mIDCs1nV2Rdh9JFuimhXIt04G8xdv8jCVtEUwehOugD+ew60xb2bbvRON
9CaoylWaIPOpNDp1CrerbJkRFG8CozANmiTU7ROr0x9hC41zUeTaSjdZJALhhkHQX4gxEvFqjHr/
MOIdO4psNh1n1dAdgRAw56qS1Bu0CM9U1KQ2qNeu+uhDqI94IEztQvvCr3FVpH8GdmRWgyY+UrqU
NYfIGcHM0FycOIX9xSRQx7wv5FvZR8VK8TAEurZVbWI18HVsovbdFKeNvUZw26yd0WYpJFZml2HR
XlDCi5OKW8FJ1tXNWtRgctEgExx1ptWrUPfOB1WEJapyRXQV1aW/SsMicEee5yvh6/KNM9FsM/o5
+gLyQnB8tTPmHo9ztenxlccO0pqv1WDaQ1Qt/atSJ+lhMpB0ckcdi00Y2+ai4KC43RRMR+1azASf
+mFytqmVC2TEbfaxd2i0tmljv+G2DiPXWBZ7y8F2baqmxtmoWPkfwMFF6KNqmL4iqJggLSAFOe9o
HEabYsytNamz5rzuOPJ2mIJVPQ7tG1ZXY+KKrHc8X2k/dP6MOqrHY/SktJc15TFZm7ZokC1EWTi6
Ha6GvnYaobKV5VvVm0yjQWXFSRN/GDqWIN3IzImoG1J6vhOarR3XxdsB9+ac1JLMEuqLuaoedP2b
AVHhqa2S7hgksvUmSlhIVw6s3xXpe5a70+SQENlnYf3VF2V/XVrW4NGITNu6jg1Fj0mBtsZpqiG5
YVqkLjq5qnZVTH0yvJFtUAauTYrobCQKhhiZidf1LGVv8Cfj0uJNNZTVhhYtPRFpNrggTD+Lfry0
W98/4wTq09VtswJDZ0duMGSdWonRsDVXTX5WhLz6aywGhDY2Gh6C2m0TdMUknooCUbhWy/gWvQrG
Zf/D2Zkt141jWfuJ2MEJJBjxx3/B4UwarcmybxCWB3AmCAIgwKfvddLZ1SnZbUVVRF2UIyXxkIcA
997rW4thP+4n9Nt56A/qgw3G7sNSO9UVnVL8ca7d/CytGMJ8ttoWLJCizVt8PmjwFKMrLDxbb0Vs
6XqbhUvdF+Nm2i/tILYcWsnwhHTwORfCBB8yzOKPIpS00NJnp7gZ4y8LTexli7G5wfQ+1jgoUznT
3ozGTvPLhHpTk/dBl32RHmrqkqLMaXPSLvNtsibdDht9khRZs6UHFUz1LVR20D5rLR/DaRR7o22w
b4VJvsiIPa5oNx+3edjofhaxy9t54N8dLsi+VqnWFaopd69kRlgu4xnCZ8dV7tfGHJOsE/sZ5VyQ
83TJHrNRZS+RFdFDK9n0Yjazfde4wUuTTuFVDNRk7+NJUc52Vvco07ycrKO59OTSfd78adxHfcBA
jGEqe107P8azzGJH8tuGYqxCuuSQQt8oxDK2+45o+QjmLMLnN+Ep8Mdo1ybR8gnjrfk2G2t5CFyf
3Q+D3C740s6VTbHlopscmusx9tVJ6ni9HRcmHySl8deoM9gcwtmZ69gNWDwYDd0EkdIXVqbrsVlt
NGH8Qcc9S4a4RJcJ8hPTg+y4eZJdMlbLD1tI60cK2fzTvFH1gAc+P2CxpVdb4CkQCEmz6zNGLiEU
B1Ghhqwv6ebGCPe7HHcb96bbDpPsW24nMRdghfydXNv5k1A65uhRt+1SZrG+AGbQockepgcebdmA
PXuwVZR29BBAOiuM2OIbaniEAbf0vnksBBt36Ui8NVnhBoueoEw1JsP0siORSVXlIwWlV3mfCXa5
eoLfYljRX3uxG596Jb/gdzjmpU3wtAyoYFqdttc2a4GFEhE0p2wS4WftMb0Wfb36V4C/9GMTGjPv
67CP4iKrg/QiZpOku8wfxuw01FSUkEPjLTeQjUuabUOat5vKTD5EbLyePMjmF86bU1zrxF+VvJwz
A70ksDJYj2M8DzeRjb0P6Zg1okisrKeqzoS8a3ljhgrKqasvhqabmtKTIwGpyVjg7VOzLNudo6PU
9f5cevhlNlu827fDVZtW3p06tLayL4IUlUtBBs3MFYYO7VJEOuAPa7pNrpj8PrkERsiCcg1QIl4o
9LPqiTRooiT2ESkUSVA48RGg2cGoJD2R0Ppj+7BFjoUmd3b2M30Ksdn5RxpjsL6fezfKsjYL0feZ
x7sWTBbvM5lLj/G+K7w4s/dNBI4qD+u4/zC5wNv2K/q1tvDTOfQv16y1YxFKjMOv0h7baQm8ZSsn
DIhObaiaAp7Y7qQ8Z5f2pndekm0RLv/o26HEuGPoztyeCMlwo1TcUlW6pE36EHPqZcJ6oFAJCx24
cKjiQPf1ZVdD5MyHEdPSYlN2HvNocNBPUt12h7GJyVTxlaxXXYNpY9naxh4ijncYlAn16xSTpVYG
x45LAVVPk9Tl4QoROVGhuvZIZtNiaFm85GncRZhoYfT1FAhPfjMZSpNIChfup4kFUcVNHeqwQAlX
e1MBiRtw4pqndXLnvHhKUZhp6pq+wE6q8AOT7zXIlcEmNNOkqkUvcsLnwGZVN6RBWlcitBMhV4Fn
Ev0ITXRgh3am8RduzOdtq/kjr8VnngnS5mgThvsViETFKJN7Hw8PH5tEIqEipdtF78L+WkaN3pla
ZoWYxSbyFJCVyIeBDPdy7JNSysTlmjYx9lejhq+Ks22XTj3UMG7ZFYQ66heBXda53PCwiW+zpY7u
UyBlsmwMRia4H3DDgNNp1m/BJLoPYh4XWi1pyi+XaZzu9bwoXmnLDTti+MrT3Btsdhymdi7Dce53
3cwIwBs/qDJVTxcdI95V2Nn4IhTQ/ia+QAPO0BaVYcjwxkud6v1mw7DP4Wfsh9LPzLxUIkimaxCl
qzoKubI8W1bfFnPH2yJOFiPyLBgYCDAgsvq4JDi5ymFWfL8xvGiOQT6e9y1kqlJiUa755jp5jac8
Hv5N0vVl06K+wEdgd3jqNDudZkmhR1E/tQ0PPmOAZXdgX7L95GfDLhVpe+u1vizMkNTP/jg89i3Y
QI7GbZeGrP00raGachJN06fIZ/Kkw4jZnEnb0qLBjPHERIiT5j4GxY01BZrw6KZFW3Iya9B87eoo
/dwxHjx3QbReGgigJRHzdIwweX3CDDvsznuaFXnU+vNVwliEuhWb4/kmjL/G3blJd+NwfmrbcHmZ
DPWaqk8a6ImYyU7JcSRjMxWLbKyCZLNNmLmlaxsUUY99JE+8piVXvVjCl7quVZeHPT5D3vZpTYsO
f7fAFAn3RO0EOQ6JDtMSLbzpJWqtjp8GMamPAl1bXXQiivzPePCuMs88upqDp7qkVKL1Ds1Mwsez
/L4LNtPpvHGeuCHEti/aUIHHAzrP3aQZoKKJkegSCpi8EA5sRi45SppLu2jx0oXKNsWCaZ3JG9Pb
r0o5rBUsSvRpWmAY+M1A/DE5hC1Tja2JTpj1cpBHjd1QzAMk/o5cTcN2Q1qri9ihf8s9lCOq7Nns
kcqbBxB7/mbIk1r6/lMqjC26JVrK3vdm/1qvaXAPkYpmgGtQw+WJWut+v6KoOmH3G9fKznXdopTL
UHoChvCm66heA6/Q7MxmusEnopLCwPkAsAM3URHXQ93GndlxkA9zNnRF26FIk9W5jTUFc3MToqaO
RrY9j4seu5twCtalRFfBOmxpWTJtopCB5r3be37YjvFNoiNG8y6Ym+hLD5DYGwvjUduyHXSnzvpX
XT0lU1ag27axyPVWD4suUjxwiStryEC0zzVYzNiVo3Fs6C4cZRjpFItGAyZue4OpVZRbQJqZ3kkt
5uaZ8y6eeLliqUCNgEsoGmVu7DwlasdRq41HXWtv+LHMizWkqoERDWNFZkhW98wPIWHsBXgjNZbS
xZ7f3rZadPgeYg/UkW7BtmOUboDf4/S/D16W+riOSzu6MhO1Jc9EkrC+/znz9MR5bq/67DxhDANm
xQXcrmcFHLL7WU7AOtzSbzxmvk32IO03rLc5WLLmkxZr7dX5SDGA89DZsnZN8IjAdqyedI2BAr1U
KCjttd9mvosLzRc9d/sNIhG+LTzy2ql9iagezVCSXmk3XkQap7flzQRYYSnAjkQDu48UEU1SJUCX
m+jkaz27CThPo1DjoHfg804I2mI/9tRUdoB5rkIwUSjdRYYd02UNiiga7xuVDs4JDDMNBpJNATJJ
92tc8dHGTV+JFeBKhtnBONHLDaUfrZjXJwxikmGZ0HkQz1lcpW6L4j3ks+FJUN0/eoBUVB5OMMXl
scbaqQBtDN/8sUOVBXa1ll01JUtWl0YC97D5Fs7Q8LZEu78Y2VPWcHMLHtUcME5tLiefRUUXJvqq
DZwbKhENYJ5MBj1VeP19m9k1Pc4o4dI8GoWLczuu3biXygcMaKlYR5iGTPdNbD7rsLXGA8sTPEd1
qaLN3S2Nt1oUCF5foQJFh8haQcheJrEaSjZQ++JtzDqRB3ydgzvaNR0pVyT3fpUIOZb50hq0BuPm
GXQjsg3qCuWEXA66Jp35xj17nrigog7HYutqvoN/zDBvN+iAgnEJ52wsmB9PUxU7fzkEy5R+6k0f
Y2CZspBPBQaKDUGHmrrleqCJr8vQJ1o9gyAAfQAUFLBaATRiNiiQghB4DoZb1xyd95DHM+rwKwvd
yuZr1KVV2iX9yePLBHODJkCjgaiJAQRE6PRS0pFkUHY8Ve9BHeOLSS338giI2mEW/dwWGgOzlw26
P+4Nln3Qnj/hPDexSwJhbx2+7DLOGM2qFojCdw8MEIaHreCXHrbh5TOay7X+kLaDPFddUdgcUMEk
JxmnpHnBFhm5fWTi9m5aI3YF2pB/4zLAlafrZkF9MY3JyLY1NheNvz5SS/TtKvsapwB7HUTWdJiw
m6YD7Csdye4CjA/TMmun9RhgaNGUKxCTj2sUw99IuiU+jHHbgvKT5H5mfNqpcPSfE7kEeZYC56tl
v8GzsWwuhy/LXcPrGTZlqBcDs1k/wjKRNSYzR55IQF7LuIGq5Gy1+LhZfyYM0A0XYkxduIPQArkS
bwNulpKbyGDr9eCAaXIlUlB6EV9mFAWjW64iLfQlDwNDS59wke7AE4iH1aYK8K4acZYQ1dPPsawp
zwcU4Dezd654F6SdjDlqatfkSccyUB3d3NQlHugtACaMS263AROAfEuESKrOgFMrI39oqm22+B1O
QKWBvhhEaSLxY13qsQrZYotVEfcpxW5hLqwapSj72dC7hUilcThCZjQEDaZAQzhdRT0LL2jddylo
G+aGXAYsu/C8OnxxfdOdrCeWWyBvbQGUKvwCpl2PQKvTzBUNWVpZpGvcuFKvrl3yXlLFKl03tMf+
K6P+og1CR3YqWcmTx2phrzG56iIMA6bB5b0Ygk9NBnAgH8AzXE8ANfwqXYlDU5CF8LnMzCdDNQRt
/dARK9cCz01UdajPyzqSMz1ft+RmjVaMoaNwYte0H6LnGbACz43uP0XLMD1LNU15jZeq3aUAE8Eb
cYNbvpefuLf6HLWV9QoPlceV1IDzF8xdPo9ce0fZYlGXsunSG6XVdFJkhvtHpt0l5gLpwWM+fcLE
uElxG/DkRYRbVNnYX+6MdOGxQ0h4WLSGrudqzR9AoIwY8aTLQg9LVI9JuWUeCqehyex+JKHp7+Di
bUqJ4VYpcavHxRwRXaF8CS5GN9VA7NbguWbOPmdMBblYtA9LJ+mqgfbsB+hcv4xJrB4pyv19ELPg
ZQLI/ezjV0juWVw4mECe4cKiVxZa+V4YhVVH9RdwvupWaN+xnKrJD7AOttuMex0qmiAe9ngeyBFt
xhKVNAXjgd++XOdQfmwx7CipRaMyw+u85bYOpieP9vF9W0fxUMSY6h+FGAPQ/wAWuyj66jSm/7Lq
BOZB8gUPqG4wJaRk+Nqe0dFOg7iT8TLF5Ea19YxdfsEr64H4yBm+bGjt1rXDDK0But10EzsQKW6/
hnDvhGU0+VbVR1/XQ7sdwUM79cgau5KvZIyn7tBOdFBxwWLpK6+khsSrxObVAQqB1gbMoM2CJvFL
8GvBhrKR+q4pZJdI3x61s5hi5kloyS6Ox5V+TsZRYVOZRdfbHvsYqX1Sos6D3F96LuEcXEgMVAlU
L8p4wEkOHm0sGtDgMQFRWYvpuz97Ll1KaLvg3apFrK6rgbo0vAN0Izg7s9i4B2fIILzlmz9/MBFV
aGGayCZSPk10ZaYtoWdS9H0wkTW2vW7badFTuawI9AsqX0R6mV90t5nA5fgronHFOsUoyfJN1NgZ
Dgz2zTYrMLE+n0mccD/r9zW3Jp0/ao9vIckbRjv8NyDlaWIvPLWgYb5o3cL6pLB+RlOz+7M891rQ
hWoIYAGv7zpL5FB14c58rc1hVEaVD9j++zCJs6vM/EQyIjJK6LpLWscaBJXxrQe/QNNConvnA7wW
1c8fALo2zLsI54BKCFHo9QdoiIMrjTfpt+7nBxh+ghJDl/W447wJuthPpfTv/ITbn8rjzxyAr5OA
EYTX6s0////DNOB//+/8O//6mb+iEv73X3jVgpyW6Yf640/hDb7nAIrl7Q+9+ss4+t+f7pyh8Oof
v8Q5/B+BDXffF92r/+M/vkpzeJUy8j8hGee8A5hozozEv1wav+Q5/Osl6/+b5PD37/yd5UB9RPGj
ggJ3kcTgKs8Juz+zHDya/heKkgQJiLC1nF8vhu/57zCHKPgv3w+Q24HXkkbg688x/RBtz3kOYYwc
ecjw5/RE5FslGfl38hzOt8o/dGbo3wiNiM4vP0NUQAQc5/WtxFfrb1RM+hBiZqeKvstAQ0Llyi5j
DUQyxzhmvOwSsMVlVqOI+Me1+vuu+meaxOsbmRAfrkmkVeD6YG+GC/3NjYxueIO4adV+1aFB4T8k
YFnDvnSQjg//waEyChwD5lFcujeHklFrgmAgah8HEsJtGICXXWpRRTSY/4OzwqXMogQWsOQXBGUL
wDW5OFaQh22zt9E2l1JBYlE2fc+X/Zot+nkBz8HoQCZwU8D+9frrswaelJ7gAmYNy+BZDD+g5Up+
WJOUfGRtkU4RaBLGukKgJ3jPIfP63vnr24swxsBgL0yCXzzhytYY/wilsOPESQ7csK5GtHD/nm0P
R4G7FtEl0CoS7HVvbYILp9FiZqYhPcUJkLRwRDdI7JyaqhUD2Iw/3yevN/fzFSXwmFE/BMB5zid9
s7mTGa1rHSi9B2kI7bKT30FR/aB8GnKATBcJurl3KJTzX/zHEvzriPAHheQcDIEo7je+RFZ37UqB
EOxbn5ACQHCPLyubqj+f12sn18/zCs/5kRTvOQKJdl6K/6DQYs2g9c2d3keNgTvY8y5hvLlxQQjB
2x/IO+f0u6v4z6O9wb5QNEDthC9uTzFWzBlUPW4GBXr9nMWSZSqXXffy5xN84378eYbnfIkz3QbY
7O1W5mqQC5gwQIuvk/gmnuL+iUM9PWIkRQ8gLLpSz3epcbSY+3j5lsA2eMKU7qC5nCAdZgaT5HDN
5ZqKr9ZG3tEh4CUPmZrvzzAERpC8CLp5e2djCn7z/aOISP0AuRjAnt7ecXThSTihXNs38LF3eeyt
XZpbS0wFSf1Mw0K6BoOylhGuXhX2Nv7so5O+RcMvrlO1IR1H8OwGpQp/Zy2Q33407M/nFQ4XUvhm
MbQZEg42DI72qF3RvtWkbCSaXegLqoJnZ3kErA+VZk0g+E39Np6AGsnLhaEgKQerDAYlY97FC2aQ
aDPyKBCsZCNFRkXI3QXXobwOk807bt2KDAT0wSVqVTjeoMo+6bXxnhR0gCKLGvh2Yi/dwR/ZQPGX
tNKTPalOImbA63WhGMlgGoTpPu4e9UqX6y52Ue6irdvJSKNT99TNlKXbYW5SUA4xmh3LenbpY3r2
0ZOz2bdj551Z6B+di+4UClk07bw7IAlH3eAvj++UcL8uEOCvKAyw6vEMRjDo6+WIYSXRZD1/6Ut9
7XW6hp/HPwaNfdAbE5XWwFr+vD5+e0SCzRqTLkwW3oYCZYBcMLnv1F4yhvlFXPUB/5qN8aWMxhgy
SPL85+P9+mynJMVuA/LlTICGb7a1hWcGbnmt9q2DEhWaeD1yDGIqGsr33MG/3qZ4BzXwUpgTMh/D
3je3KdfEtKuZ8BRE43QxeXOAV+Hq9J0L+NujIAALZQqyi3ANX39lgFi9QQGc33vouiRki8w7wIRD
b/983d5Aied9DGdDA7ynERRrisfR6+N0jbcFiciWvQVzV07B0u4SO/AyWWB6jNkCT16EG99PI36S
9KMM+X6Ku+a9bSnCYV4/lvDu6CgB2QVeOAjeRj3M8wRZ3aTgumyfVuuc9Tu2tmoXr6qhRYRwnGMw
QlyU/vS9n9b0DoFd654T31whZCA6gdt8L6sh/O1nAoVK0XRnqFnfPFZ47HmY1ETLHjOQ8ehLUmW+
hqY2qvmaLUIXNeT/Tz3BUgZB7270uaFE0BHAWjpOZTr232EBMdcdteW2rZ91ixZtbpS4d7DP5UI1
5EDgXTqNDpSAr94rLn5/AsipAXyNrAkM6F5/t+BpssHRFRe1dndcpmKn15g/1tjFoKKmbcmWwC+G
NFF4YsnhhFCJL7RJH+AEyI5aMFZg/Guq2p+yD9OWTg803r5vhMHHTutstwruyrVrPTwrVA/DICaG
79ydb/jqv+5ONCz/OoM3d+eqMNDnk1v2zmv5iW3ZiNmTHcvW80vVSGzyGrJv2/rHaHKmWATGxn/+
CNFv74Lz++YIFmPwCyFMHfYSR/RyllUVBKOekheUVbdpvIxAPfxvU2/sxxT5P1+Xs5XJ8AJ4Vl2C
58Loni+70F+mEgP59My5rEOehloUNQ64twQT3LjlwXc3BgG2yvQ+jbqKwAhfJl72ESoI+BtD/EuP
BP1hm6YvqfHvE4cDAQHQhVizhbxzzX8t3TCG95GdggrhHMD05pIToMJQfrAhzG3/cWRgPdq+9Dbo
vtNGonfqxN9s2wlqYHSeSBpArfimo1iAV44Sm85e8PFHhkwuPLVNm8d2y9450vkvvdlgcCT4AjK8
VwMJQm8WM0bkGtNqgjtJ8gfIzfwjjPDgKQeHbgLxLwAF/MSjJwTevJeU8ZtnYQJW82yCwIMJhffr
Zah4M0MsB7OqU/eJKXpr0/lsMf/Rp+oFLW9S/vmW/av2/OVcCQLnzq/cgwXkzVcI6W+xTYNbFm34
eKcj1D2ORaUba1MggeK7zzB7aXpbcidQ3MS0KczCZemjWvnzR/ntzYSUGzxZQJYj2eH1qTdaGQIs
Z9mvdFKlL9Ikj2vIKl4z8YLU7Y8/H+43D00kDSKSEgYIAmrizZecADXmA5Ku9s5Ju+dIAys2uGLf
6RF/e30DTDJwJ+HyxvRNBdAuAZ9AzS579Mhw7RoLMXDE3DBh1DuuCzgbbiDQwWPeVyvjA2bfQV/B
DnaxQcB4Z73+2pRjeHnOX/Sxhih5u15Xp8mGTBt8GAPCt+Yp3y1yAz3meMEHyO9iGcZ9naoQWZfa
f2dZBb9bwaiGcLFRt9P47b2mQMOE0ejLPYIY6heRSo9gaM7VzdIEZMgR2ACGEiyPD1zGZR4K6mTu
Sem3AvT0MKd1V6zwxF+ZOgKsECqlgwIA9fLtz3fGbz4mXOswfv0VHpa+9V7UHm0cGZN5n1gmdzre
TBUvc1ahlm/euSS/ORT8K3GKHGmM4X4xUzRtsIhZpvNebWz4gaTL9MM21gOgkcT/D04LNSicbcl5
pPbLriZGsSlB43lPwkZ+AEKa7CaXsgu4+t+Jg/nNJoYjYSyCEhET4bd9Y7gx3k4aR2oin5dMjeJ+
4GD48XTbcrBvcR5PAKT/7W8NOjtMM/DsBQjlebOeOffBwtZk3jtoisVA7Jo37RCW0ocW+OdDYZr9
6xMClQbip88v/42wY73eqygYDs23ALcIZBEEuzkH7Lup43VD+Agb+wLialgmqMl76FFm9XboHLWt
Nrgrhg8DJVhcTYQZ45Etrn8KhenrEswJBZTdA0rKFZvrL8iG9a462BWXHa973uYLkhkAXeCUoiJN
JkrLzJA12MELjUBB4tXZvnEy3So49YDX8K4OHoAibUHZx5aEOwRm2KSKQIKEzxmoquF7AmdNyHOg
V0l9YRF7ys7Snawfl34K3LGH3A4quQkGWD99EZyGzVpvv+jOLNdkGDW9igFvsA/JEvTjDv/21t2w
Ai+2uY6zDsbOzsT8iqYjSUsN+guGcTL39wZUJTvJ0ZsOiO8ZWe44uIocvP7TAMEcaIOOp/YIvysX
BdXwne9c1zheDcDz5WVr0E4Cr8zE2u+XZc26EtKMs1CBHfMvBm9hPuYOgwhLMZBzcdUgoOpLCvbY
5SlTttgozOX3gjReuodnpXW3K0vNPSBKqSpQsFl6hyQfCojPGa6PKGLtbqY2a3YxZEtw+YJvWwG8
PtuPEo+oqmfn8R8MNhmi1xZCHyHE9YXthykCilWbAKY5QQ4D1R8w591pQ8RHIG/9c+9R/04hliFn
Q2sPnmv7KpqzG907RBUvO1un4x0MB7lBKkvVbWOzD+NuhcWuG3Zcm1Nk3FqEYvnSdrCBEx2yUrc2
2oEt+hZH3loZ6O1nHCzdJyAEqyxukn2cbVOOinkDn53xiyUW9iVV81rC7tfmY2q+bHNCDiayAIat
Q8Bo/wRDTpXA8n1LskFWAMCb2w62wEL7TXBBh76+ilZ8H+gWgN007MluEdkTL/jQNLUAGWfZkWVx
V9i20ygqlrRAqC4plyXdPkAPPM4qVnmzQXdttu4GXFZh11ieOmvhf/I7AOUKQQUtsLqiSzv4yaIa
PGZDbxmN7wavtlWw0nq3bXIrnKd0yUIgqxtK1zsAveLzSBf/cqxTWjo1J6X1lfyRePNYeMqIkmJg
vU+niRxlDxYoRVbCEakf4RHJELTCkOIUBnYHRS3YdcQ9D76en8eGHVIS3yNb45lYNlarDyBBavY8
AAaUWIEDPRqdjjvjwQ0DB+VDl1F2WlgE6xefaOW3sYfvYd7yuM2AYqBvuEPSiLmduQR9oC2ei9Fy
CYAvzXsL+5jz4GGZV3GgkWoOcKQPh3Gg5ke8gFOAfwjcYNmZRm2u0NOMVD605qEvOTKUmgyE/ITk
jzzEzfNxCP3IlumMPgIPU2wSLdfrJ4Frf42wqwbjETbmtAugDSOpzJvUBPploxf4P1NlsSAqhjdr
uOWSupWvyydggukCeC9kcPGX2xLKT14Q7fyWg+DwQnzmfeqF01ebbp04RF0f6nKgZwzOTUFKLz0v
UW3epRQIQ+8M8U4Yz/oLhrRzc5ASVypX3diXGx3MQ42p/m3Yt+EDG8auOa7ICKpI1szXwRrS3dSY
Fcr6jGFc3Sw+zF8M9STmu6JKN7+/EHjIflUIv0yqcxJ50a6kiS4tUkzvY9OxHxmG+7pAFTCg+WbG
LzdH7SN0puGHFDJBptuwBJ9hs5TgZAS5ycZQnKGMtVwQ0bNXqFgeqIvbT2bB33FebyuADfNpO8dL
NnaMjwjJXj5iCgcZpF3qbaeMxp1QR9n8jPCl+SucId2us978nM7gh+DvUAgttarbNcCnPpJpBnaS
TutaJowMqtTbgsXRhx4pOj/uSp4kpGhRcB31TDq4D2xYoSvN5K5D3zQcQKTi5xUItKeZrXyrKGkC
BIbxlTUgtgG8FQOkwaOAAe58D3rriSNK7N4f6j6fUqnDHRzTwnsasxinmIouqy94uOGjJp15MqHV
6xVylPhNQ2daIid5u5oUDBBxHeOvRqKBL69J7o0KyZajEplPiajrm3ZdxGeM7sIKgzNywyWWKtx/
w7bbtO12SCoDWwEhmt/0vTCI/yE1ucEimrGo8O1iCD+fuiGDg72uxYs0XIK4k8HD0uB6N23ngAWO
bk8RiHPwZOxA7YTzBySzn5Pd0WGC492EKbu5bfa4ss2B2AF/1tP2NgB9cRJBm11uZhEvygn5bGpc
1y1N569TwIHJbojwBUcOhP0EdtrtdaaWbxlSTW7ibfaQ3jll/MY2Z2vXmiBE5Bsy0WMK0CsEroUM
pBV+nMsAj2VRwl3ACw/uR4SVjnU7YofSbMkRVBY8iMCRG8RDskeR1Pw6IXr6nPCkKxUoNfDpIPmC
3FAUkURHYcURmXRycDuV3NPmQg44eWAE9hFZodgXOWsOkcBvC9/jNzqbky2vKRK18tGnUCyiuT8i
zBc4ocowxCmbbmWnelD4AYQQ0RwGxl6V7SYmnW9Y5xhjjctH5zC0BuSwfEt5TArGXH8MpDrf5Rpu
QmguIbmHVc48xZPSMClO+JA98bs7xKeIL1FbJ/dets2wgo5rfYMAlzHIl3iUz/1/s3dmy3FbWRb9
IjgwD4+VyDnJ5Dy+IChRxHQxXEwXwNf3AmVVyaouu/3cFdHhiHaZSioTCZy7z95ry3m89t22f9Tr
Mb9Nl4/bbCL/wskMAv32wAvl2rSl90onTaFVyZVNuuXez5LpWgdl/KHPVbrTRtshQtH40a1ZZPZB
6kl54VqKP7Ga81tG9vEBUnf7PqvB1o5zgyS+0cj2fXiArHEz9klUrdBbWuKMrqbK0NUqr+ROPhda
mGpudGsnHLlWNWaS6VAMAxGVpOdKmjXZcOt1ba407lnJlcizyiAgO1fXGgZ2LMGT4LPWIdCR+rIq
vwyJt35UvsaZadAL3HyFkh9alRmPdlyr9aBa45s7ZH0f8tWTN9wt5o/KJOMcumY55WGTOf034GKz
w2fmce3XNW+Ly5O83ekqN5oVUGPjfjaFdht0Onczzx2+jbUvb8DQIfxLsz53w1S/YJCWN0bnx1dg
AoB4Br2/TlvfOnAfCzBkQ7M9EMPpnmSalvpNo/kt9/gqL5xDNVW8eQAJLjkTR9u6jxpuYkB90U07
C4pfZPmvc+t356io491AOntvE/46SB6bF1Zj5/3K8eL02rXbeluXdvuAS5wYx5x8dHHFv2rrul5H
Q219cYIY11Et5pCMHUEKi6iOM1juzuD9WrHRtNd51/A97AjR3EJ3G68ZQrAT2ln0aIrYDoVW3eED
vRw8bomjrqecZYiAqD7IIIH4RzxTsOmKuuFlc/dKV4VxTryC+4Y1s17XU+1ydDHwl5MT3bmRWR2C
Me1jbrrFvDJKlo3ScPQDUdTjME0kLvhuXuqxai7K2CuPcVKSdIaWtR0D1n9IqG8EgOUBOON4m1eD
9Y579ihT3eCW5vMPq5WbEoNqOHb2aRwz+4l5Gx8dwKovkODYM1UdGVrNPMio8tiWJQykQ1ZNTz5Y
7lu9TNQW/NberYRcB0pL41Uqqz2m1Df0v+KFtA7WY6/iTTI1Ur+Zywkn9KbJThY3fnvINZ18U6Tp
V3lh19u271l8GT1Oy0mpa9vPcTJnWUs8RnO51QXxbQ/dFqt05F33elCuEKYnDMCR/Rakgfvotp3Y
p6n3OGZ6sUMuTZgDGeWw/01EA1OVXKa0fYSVYR4iaza+JHqktiQ79B28RziVaW+t1cCXERpih00d
qTCeJvfEcGE/ZbaDhXCstnyduAFXGafT2JXBDrNS8EH8wnwaa5uWiSKYcS0U9j0O+iwcmWG3Dveu
UxG14tFwPO9mgi+7dYZ2BCHIXLgi5A0DDa7vt5lVkxnWcZeeZcZlkJagx/AVlqRw63pKVnZB0m2s
8YSyQFgFM/bH3nMZ6O2Y+Oo05sdYlfsuJ8+/cmztopqy8WbWzacu1YotX0VsbXPGoEZMZAOK8lzY
TvQg8ooxwx62ObfAbFX7XXrr6828Jgfjn9opXbzYySZxRL4i7OVcFbUD+yVRgcHSQsyHaaqGS9fR
eOwUvpbzhXPLYx2P5NgyK6ngBs6AR6FpcSwFpcDXiB3acInHMnsuTNvd0RlQ8sgZCafLGTA1DBlt
vA7Id1xMiNmc6ryB7E0PsP4YqFS/pU7o2JBC30dDFw4Qvi4Fn/KpLRUearsSLEdVR3a97S7QfcF4
ttkeImTwHLAz5Zzz1lRlHxaJM4OwIUSVeWXir4ahM57HyW4Olel9MWb3W9RU8pWJVbwKfK7ctFrt
AdidtrWGPt4QwC1uYNn6a4EflqV30M3QSnHhMg6Ne4hwQ3okdq5sMrZ66+293DB4xthudaWRZoxX
5eRVV8g3FbA3P4vhUsEIm7lGnQxqWFbemNIvbtwUHZl8DzdQMI7du2hN/UvZZsk77l2SKqbGHyhx
ARydJqvuJtv01XPDxMPnBmBxWyQu2aJBc62DqH2eKAEAMZ6WaGezMAAWxAiSh4oSl3vmY06meZHY
xzgf2/cir7r3tm8REdqpLz5yu0RVaOcuetXbzPgCOoUnfWVP43Urx+jVzMkWhTDeNQJ1c9S+a06t
FStzhra6mXOnvBNy5MbQJqOqtl4MWH1rBwpFox8TLg+yggw4VSmqu8Ttc2L6hMpeHcPhZ4J6FA0U
xoCogV3qXEalRWBoPbT8lpvMwS61LnFpeRxiQNetstQu21M6Ox3nRr0cjCRUtUrjLcMrf/JMfKc6
2Ar5cZ3YIK92WEUZATo2pNGKw1RwkSW6DQKuKRhaReTyKWngvFzAGX30OjQDVtK4x128imKn+DB7
wjirXloTwVNMxa/f30xn0GLc7Kwn0xAWMM40zwCIv+I8Ue0smJ0hHJA2D9GCeOstwy7vHPxj5U6k
GXIPzoKUAyZB+H1toAJdmdIZjS2MAuc0Yby+cxSOCj5C9q2hiiR/v9xz0EOaWs+zU4uLYdgVE8aP
y2Doho/BRRtd9aZTJ5euZmD7ngZzV/Zl+VQYAUA3L5CkuGtfv1dJ3U7Qp20jurJ7/tJ7c9D5HZnK
+a3TMuLDc6ex1Nj/QbwK+Uz47qL9J9MaXYZ3ccDI2nGTMNv3lNMLtC7FRDy1Q/stzdpM7IK+kSww
giLNSJ+nBAopE0IAUHyc875E/zsq+pBgeVUdE52T2HV20N0GEYVMtMi4uaS47vlOceDmIczzKyz6
JdJSEhgCBD8D1r1KBoJWchkhhVea5BTwBj4YUAY2UlT6kZ10s1dFb90UsT9e4GVKH4mSqgdl2sN3
Wf13l+fvbsFfTKe//L//Pz2ouo4w+p8tqP8Qb1/e/lV2/2lb/fyRHw5UmwZnH2a6i6fAwHqFZvvD
ger/ZkPKsvApYpjinyzCfjhQHRyo3uLgYIvhuiiw/3SgWvpvJudmugGR75kVAuPvOFB/2RAt9TsL
ssswmbGQQn61MGZGbdqtZWv7QNPsDDV5mvd9YLf3P70nv188f2I1/XwZD4/tUjaqLx6OP2rJM6eH
CXCDtofxZaDPFMRVet2/KhR9CX+hXC8i+E/bvuW1PjfkNmUJnC4+de2fvHZ8FoBNByvaT0YVXPGd
W57xBqCPWR+va8SOv9pnWr8ufXhJb+n6clhzLH4t/RdjwZi3joTtGO1RpiOQCrLqLoCP8FyswCk4
BEtU8Iiwb5lbdKaBVC+3gGnnkhcud9KJUWEG1urcvJGk6ixt9kE1cteZgoYHJvCvCxm0wY6lbbBT
HNF2hTuZmBXHZfowihuRU5UjtKZ7MDpGGApq6i1VUuk5mpjJGLIc8KOcr3eTJG6Sxi3s9K4tbphw
52/AfObHJLebR058l3o/pRvliTLsAUXsZ9PKL22WuX6YZFZ/Y7Y8TGdrrq5mS2UPpp4ipOqR2Doy
KQkCFQOKXKn2ehXhKZuliQdRr1YN7QUbIxnrleis9uQZXXUmrgZNlOjHmy5ibS/cJYreaGovuenH
7LyDyCV6gJjW+tTHuXMxgjWZk36lS4Xa1vj2Vl8EuDTXOLGvUfYXac77LtQF32W7pKyzrVd65PJU
xHUe6gkqDeGtovzS4wB5yQBTP/FoNm8D0g08afU2eM98SOsriKwcdAtzqnIoV+m4bRAboMj4VsL8
gO+BR4ktrnRBbDl08WVceNDcTxPp1Ed/minuiFKkM1gVR07LYGFs4tVXsFFvkzHVw2jMptsE8OgG
10nzQqvAsK3Qa7f+4HIAHkHSvzdFkeySMvk6NVm9jlmTnOLAh71kzE5SbFrenKSMxKUUxfxE3ZZ2
Y1GCcqHPEERX7WjkJPMHXVvnaRYxBFSgMt3UOUR0DQBXK9uNNaX5Bepl/x63bvclNxZlfo5nt9xo
XRoceQtaQOjuV8mWRxHnPpdCJ3rriXeEVUXKyj5FWjeu8jx+CFqyQzKqxU7jWcqgUoyEppAMKra1
IWR2d+XV3SlDksIB2MW4g3Q/ewPaF/Efe69WxFGGOPIEVcWVt5ES5oWbtNfsuZSx8n2G52Dg28Oa
Z6CjzQajZXB8Lzxt6zRad0kPxfylo6Yw5JN1viCb5FfolZD65q67lU6nhTCtbqGyphski2etb6yz
OSds7aa5PWvePG9U4Kq7sgwYLo1g2E6FfVOq4smzosrcp3AIBhRa2BDT19JNWdlGQ0+khpFvzJje
/drMVnOboa3FRe5soGohS0wCsenCV2IaDzhk4qkIExAd+irSCNE85q2C5Axkr29VzBtRyTULmTa7
t+Etx51YzN04ee+9CR9oYLRevHbQoYF3RLBOV47UUX07vyx3aoD79jxybvW3YB5NUvrYnfR1yoDh
b9usTaUNR7sDc5yrOb4dcmdh4NfpgLwmgZesKjBn6jpG2PetVe3KNjkFkTZgIYZw7LyYNewXalvK
SEs2quHM/pj1SnO2pNwd790bCbiDnALSfswn9KPmLmc8LAidBW3+wkyd3wUD4kHDXmV5MY+zud6J
Ry+atAUsa0bTSvUuB4JxYGpF6FeIIcvOz+ksEvxmJC8M3Ll7s9CYl6lFIGFYzIFxbybVsjyUy7/2
Ije6m6ZefUUWIv1eGmW9hffBWUFAS2NrR1Q874V9qJmvjwTBWHwX/VyGxeLWX2m+qk7SZiEeeoNn
bA0Xx5JoUjLqddCFZasz60PxIvMXRcErlJgilJ1W3jEmR5xgS22RAwZV3IyWXX+zsUxc8IssEy4M
X1gGQTGvwXSLZNPQ6nKA8BRcCSd130RBzBPY/UBHTOsVN4sbGToUCHAWOHDWE96Mjondb8SjpXfj
NZqaiwYwF9VdXCQcLVqCLAY3D1IjfG/F+vM5/t8p8Huv7H9MIvkswH+aeP4tiLT+Jt7UW/Pt5/TS
95/5fQz0GOhovmT4YdhinnOxrfw+BvI/eQQrAAAF+DzBtP5rCgx+g2GDERU7mEN3psEkyse35JAs
ZkdqUTgbYmeCd8yQ+iNq9YdZniLd/2U8Ix3z69CEnY8BFSQw02qAX++PA1qeDUlmQEzfT8Dwn7sM
PwNRSotv38i1FbIDKrptLadrUZnzAmQaQgbYgBlEr7cZzYvc9hCnnqO0J7BdlrlLJZ+uvo2duwQq
kyz0I1ZwIu6uS/Rd1ofi1dboisAfXkOpx183YaRgBRlgYORNTPdR4Th3GTWyrKy6+Swyp6Odr+d4
5ck2Iq1J8vxIVpBkQQVlBQI0eLiF4sGo1pzguWUrt4Dsp6HE7BS/nIkM7tYHb06jQ8WwdMtSGDmm
TV8zT2rPqSi0+1iWWLJAR3C2M+MNFU7cBpkGrsiD+7jq25vBj98dLecvSVR/RYfKjW1O+TYI8mQ9
fW66IODu9Dj/qGH0IMIGUBtKfQYlyNpxa8qu3sqZV08G88a1RjIGXndJe5LF4da8YT91zzPlkqx1
uUrG8o61qXExKuYRkZcDcota/lGgkRUXtl8/RwVq2mx0I3fc+BXHwcGV1bASlnWTT/mrxJ2NnFnd
jZk2v+R0BaxrK8GO6df9lmDvECJgh1yC96MVoa3BXiI4vfwKsEEd/mhAVtYOTVS/snJN23ZDzq2m
DcQjbcD2ozFaANZKQWwgjix2p9wZSb/KVaLD95jra921Z3Kk2rGD6/5Wkf+65x46kLpmbRdaNY4w
3wQjopx95M8+El8nr8jANs927t+7bVpBzGPiNdoJRF0E9WD2AmPP+oZ9tfAfxFxrwMAt9QDCIz7a
FBN5oRcvw20Q9V81HVx+6EnduukYxM4FiwhUDjMZfSoe5bwRSXlnaQags6ZskrVZWbet6IJt60fM
zFbiEktw8TWwg18nQhtg/4zIp4206vwQ1waQukWnzXByrzomt+rMgb4/xTG7+a1qNOfBA5h/sgtX
f0VnG9YtI3mIbAB9wOG9rLaG34CKtMZJP6mJIeWAns1T3cm66QPg46zt/AYk1ccUeOpSmA1Z57i0
843wUqshFhWHdZEZd/+90X/2kP/FjZ6sDefJ/3zcp6ujat7eq59v9N9/5vcbPUgz7vR45DFUubiF
f0qc4qX6jduszWmT9DC39X+d920SpygBOLrY+v7+EPhxp6eOnE1wADQcTxv7uODv3Ok/gwM/nY6J
ejInQ7jx4C7jM/7VfMtmuyZKMWsneAwyC7bER/ypf26GgKXjkRWEB0KSRZSfZDuvpafYubACUQDE
ZQHpeIT/qglf0HEhg+TWZanBAuKODWUkxsMIjpUF4q7Ps26MdrnPDji9cGI1QMSY+bdRv6d1gtd6
0J2BO1uMDolBNUHtLmA7gD70PVanOKxCOGlA0o7YaBExseAglC9ZykF/MUt8AiEwIWhtdxRXYpff
+HasvBv8Gn0SXKVpt1EstRY7sw++OHT6EoKo6BuaMjkgMjdTilVJ//cw4X/Ho7/41pCVZmr5z9+a
f1C3W5U4LH/KaX/+yD+/NHwzbJ00a+AhFH9qNr9PR2RffiOZ6X6HyjOZMLn8EMk8RDJ+ikHLW2aW
ZXL68aUxfuOrR9E1aRWD8kL/73xniGf9cToCU4DAY3DRk4Xl1/sVa48tt23H3FU0PNVQp12gMF0h
ln0U2vqpqgef9t9MEgfsdzkVRoX+BDsZxkJe1kV7bxZ2N3OrRhszN6LJmloRDh7oEvbvUhf2jEsN
aFamnwmGEZgcjzM0YE6h0z7TlNJAAjkmW5kDY1OBCL2aYa109WUpJnZXA/Yw8DV+XV44ANWPaE6D
fshSd7qc7Ci6zyxZA4t2n7W2GnaqGryleY52ODZUF1kBQoLdIIcGx8HQk7gpZ4004VS3CgrFrofI
S7BRIMsUZ6AZTcsV7ng7A+R602tzUay7drikmxtQmZl0jIzN0KczoOJYF7tyHMRuHHhUr52gSg8u
LlnvjElpyNjM6OgFmgaExa2nbtc1+dCvtKXzNCls9gZRo7bZjNkTjFHJH7ysrdHJh2i4MondvHRq
Mm6VS98e/saMxra25SAdA3FEeIinedXmRbPOiBU/U7QzPUZzxRakiWU9HsaKBgwAUg5/UeBfvflM
PbqkK87AbWlitLKNfNi4cS0xZBjNhaLwboFJwwbnIkXqxyDiHFyOaY8BK8wLsyN8skszW7J/bhvg
3gOX+pr2z0m/kW6+MTkhFjurE1HoVs5iOcw6j4BplmnIf8XgrXycttVa76GAsNwr9vSOJGv4ir2/
NZVS3NOyKoSLP8Tbyex03ugYu2VotEJ9sL7X32bH4Izp8G3cLtrThhKV6Y3tSGBu6UVzduQ26zuD
OedEE594roDFryJ9MFRY42WgPpKb+NpsvCtMO826N5NoAwGVujNwIAYXjTEawyaOhdxiGB03idcE
V6MjwfVGTR/2UE2OSRCN3qqyipySQwv8sZP0aEWZVh2ovjAPXQEr2nW86JVvAyRiCu6CL0RWDdTO
luFyF3cSv5tI+4NqCm8LgtBjZVxG7R3Uoq86dmE27f68ppkdcxjfgPRQeVDEgBiPQxDGrm9cFC6m
gTxx/JdFc90NbeJGK6flScHMhRW4RT6w1m0k7+FzN2fp6/MX0RV4SmU8PXIiKfbRjG4RapoesFnW
4PcM9ZLYrsbyLIkpoVxWGRZQc0ij0Glzf23gk3lwY8kKXgvKAwDZ+KlDl4Mg1UXiNrdrM2wxBe6G
rth1FQUCDR4A1A0712+wPOCg60Yr2FashDjnOJERnT65b73T1VdsK5lJXV18K418OiAHcyhbGnTx
rQYcRbqvmZ7aaxrIVOhA/dwvpXtgIc23UU1P1D6Rbc/jYMRMbXpNvgYgxOdIKTb+iN69Vi04WF6W
1qd+ar4L8v99Kv7lU9H5U9HgH3S2lu1b+8fH4vIzP3ZHwW/sL0jwBDj+CfH8tDsK7N9cwyXBQSWt
45AVZbHz47Ho/oYsEFDTHrDUsT/BJj8eixZjJlEgjvjsYnic/a3nIinfPz4XSQfwf5RIeygRzr+3
d9O3anJZ9/bBET6kcUcbzk3ZDbuZguOjiKWzR83MIBsrNb2D8PcunNyGhkn+Vt1WVU/pTltrb8IT
cCiZVs8zRU/3Ll+smCeCW67j1vbOiRja2wmR4b5oHVj5/ZAeitg1Xqs6oswt87IjC7YNPeLyC7Jp
th81v0nZZakRoF9fz1/ppcSrFhH1R3XPzTvO/BgySlGeIs8Su95qOX915WVFbCQMRASnKSuSozG0
QKHTgtV3gQlhbWqxd6SLDltLJMarqvbFrhb+shiOl1O2O5o3o9YH9Bfk+qUxpUCrqdsiiF9Zcmt6
PFmMyoyfDYw/ZwPDiTG6/WVk4kjTcW8ZbsQjTsI/ZcNRWx/WNAGeKya2IMZQmmFTNB0dIIaNIExj
EJoRjLqGO+XOEXr9rnhGb60GlUWmDQ/evsofpJ25dG0LO9vVxZjt8deR8rcVdF1vMsIOE8VT5afR
FZZKddNV6fw1mNT0DMfEuokpLtgDgm7OroUfB4QMrX9Q87ZwffsTuEz5BYPBSNYr9rakO4adZ+T8
NfAErWxMzJRXKlD2ud2/a4G1ShtnCsllnMwyPthUYG56ynhpd6zKdetEl0VeFweNxBjEOay9smKj
MTRyJ+XgfGDLhXKYdempc221o8IyOphFUlwbszfzdNNw2CRQp7QNRqH+VNtT9hhPafDiSZeydjoq
Ye+i7NecOu6DyE4vZ0SwS8RxQKKsAdKnqLPbi6zXxR3winoHC80MVgojKuZY4eHZXhSVGTbOZYxn
YTt5HhFJ9hzebZnWBg+yDj9N2lrD0jqhXwcN10oVd24UZrMtvvYYpc6R64o9NQvWye3YkhS1C2XU
99JnSdvpuYxrh9yMmPcjOYKzrg3WyVTO0qBWxVd0Jbb32WwFIe0n4lBoPbblaCEil45/NmVtvpSB
4V7K2M4P1LbW+ywTxH8LCMFbZWMgFrU6mYmyuRxlsydgDY8v7t6SHpwZ7PDc2Jh15L1BqP/myLE4
kIaEmz4tlkYZ2VvPrwkV4EN4tOz866SsGudubJsvnl/e49SbH9u2xnms44esEhf/OIga7UiPM1nZ
AGbamYCIYxBvc+UbIZXsGsQDxlfbsoKvYMSSXTnwQ/Gcigc/1YtwsDRGmIEQRBbzISrLYnzsYVv7
1EWSDG67L5zDhwbHvHHfVeWBJ5h7rJTclbRKhaxCipJ6uiy/IWEvbp1I7N1JdUc3msuDnReQ0Ooe
Swk3y5euCtKDR65pC2tXrjn5Yo4px+yWDYH9bcZkH1p5loRzQj1GVjv5M/0044NX1tpNbaKQ8oF6
1A4mOUUE2BOvtWbcKuHKk2RrmIVBsHW6rNhFhFMu4daRIBE3A8fZZy2CvpG7lnGT6bG1Lw0MzaFQ
+nAu9aH5anWgO9nXrZU+kuIx4N4Nwug1hi/Lf+68Sda0yMwiBTQ3VdT2TfHV3FY5xt9uSVJMjhc2
w+guFDd69eJo2vTl3HKEqHo8rUEwPMQzJn7UxQAcJLMxt7k2FbiWGv3E9FtfToi8G8PQnjNcUosR
mmkoFQHrF1ey1mtKjEVa+sRuTD8IHU4jc6VcmVlefRFURp6iKgluHGinh7bFaL6ikaC7STsNw76H
9Mj5583FE7cQePxrvXWLDkXL0s+DX+nIxsUsEDyFu6HbIXgMeGqcZypdntj/phfFPLziJ3T3PBEJ
xGTtcG5jO+VSUtlFm7m0V05acFH0dnPdYSS8zHQlH7UoFUDF8byTtY7RQKAVzyY8KqeV1lOuCnPv
gnbZYLeutvghzW+zF/eXygnqN4ziy8Oln+3npBDpAybMQazYBQZbKwviHQRliLhTjIJhRMm1saTZ
AFHjaI7leKf3vPUl/r01cbp6046mf/LxF2TrUWBVtrxMcaExkAea7dDloffzboqtfleC7D7kwVw/
iJ76HKPONnSCz9f5YNmbehhYak+dPkN11UoCUvG4XWTgszHE5jEw4vxVSejhikX+ivCtfpnyFT+1
kVnvMabg6splE7zkrpuui1LpzyLCzcCdKTlEnbme4Khdz/AavtagdI5154O8jb32ysDqecCxSf0m
fYw3YlL+Q6z8aGvoUr9LhhRqMM5iDdC+5m4tDgznZpJ4AGe6Veae23/fdDN40NGOAWsoYz1bLB7N
Vjs5pW4C4S1hldOqSEyw0PATE8PijpbqN8vpgWd/lsX3hO3QrLKeroOwtILuRsZS7KuEr/RqrL08
ZyPbwA32Il9+BBQDHEgimhgMlHaR0jtAb0NxPQwlvBmnf3EaB/NBtTBcfdb5X/LOfaGC4U2P+g9P
zC9+Nd6WBjhQyn1rXk8WhwYs7KaR6b0p4/pYJ553PxCOeQQtVX5lGzE+NRE/OOCf51JPyVHm2Ez5
W/THWrZygFXmjvR4XDJqEbwDoUwZ+iaFS2RDhU6TixExcd2rsfevZScn97l1o4+e5jmfM5vig2MZ
aWL5wGITRpW+o5+4nndIfdVlWkuteqm5gTJ7BcPaGKN8K1kVFEcsrw0wyMxcM+TlJyOeymPfpN6L
MznyVfdIuF5HYyJOXuIg2y+hi2gn5hzUUEhxAGDoVdw52TuqG/ZSR0ajg8djIFBVaVRkHCQC9brU
9GnXBBXpMLd9YndNdGyMxVrn7M8i3X6C06j2blrTeV50/Zn/ctwGNF6GlEEc08a+YBGD20PXKmeV
U0zyCB5c2zOLPJRzIjYJxvojTxBKjvFy0y0kjDAujenMWVaeGz7N48zeqEtS9WZTbXtsAlfDa6v1
OwAqE5TlZdyyZrOnhtxqTml6yCOciC4d71XU7emXgs8j/XTX4sYKp8i+KciXrzOpxYfZjrsDFUGk
PEmbHDudFYUhBM0ZRn2Ba4Kyi9iTr73lihDA8bRL5ZACAW6DDX09HK5TUZGIJ5fIMiLnQRbVtIPw
Me97pBXMMWaxc/RI/wAgxhhd5zUdEyg9lvGOOOr6T63el177tbc9mTsPkQS73oWpFCll1f9dCPxf
FgIOgMg/kzbDN5F+gMpP/6Bufv+pH+omEqZh+RBngCx+Htb+ufs14EmiYOpswbB/If1z+Pv9GGez
RyARSGuJvQg0n+7AH8c48zfH4g/0fPL0i/b5tyyABq/xs2FOX7YOpgHz1SNCTVcdMurPcDoedFUt
SeycS2UFm0EtPtbKor2eBKoabjAjTcds5P640fW8Y1Syh4fcbrktt0Epn3569/63VfQvwfrlt7F1
Tq+E6nVmbHf5bX+y72HNWFJ2/cBIWxrnmCwwpmavolQC3iJl8oOy+xcPNSZdNYXfSfyxDSolXfee
HfqBV74HXUc4I0gS4OpCGA8kUkmOTK4TfTMmVn3bP/+NPzlsP69Ult8YGOjCUmFLj0b8y2+cUo9B
F3R3tkZElbWLc/dhsPmWbhnPuGsN02iQJ+PxA4PdBc895bq1K2BBG9SS4FPn/tkaZKlq/N5dyvK2
KxJMVl7j5CQsqiy5znvajYDst2uPLs3HNpGnnJXpuMFj7F6ChRuK3Z//rf79Y2CxwgbfJJlkIJIt
xtGfPgaWJDGVTaI9l10UPFYxbBUOdcxIBNUId3G0Du7qyBDPf/6yy7X283sJc4t5AzelybXIP5Zf
66eXdfQxtus2Ls+lPxtnI0/6MyWS4Nmi5PHPX2mxnP76SggkAEnhhbAO++U6I1c1zRJ18+wD53yT
iqToDhjNZK7yOtnokt760NInn9ys5ajiry6aX0hOPAG4UGBHgH912RP++vKeZ6VAjLFoLnfutyLr
nbec1aPYOXPRboDQV2Sa+Oh3SsjPU3TlfaPFoj2oYLIvRtdq9BAHJg1TZECKB6upTbxz/jR9qzWC
3rpG9VWI4m43exaVc/8XJttfLa/L7w+I2TRg4SJBoTX98YPS3d4pHSfSLo0+Kt7SpmvjFZJGx/CJ
blHGR5Wk+ZfYD+j7m2WydQFLpyGzsvfR4bOrwgk0Swj/YPiWNpb3Diog8Y5//hFT7/vrh4z+xUWE
gMa9lW/nYnv56XJyGw6SDRWIl8jydRT4a/AZMzzFRWgljNyHDZVZN0MB0GpF5Q1HJaNE/W/qnVj0
2lzI4rYWDiKuJ1T8pDLCNMjUsDRRvR9IP/jriHJyPK+LGExjB8JwlLXlWS1qsVx04xgfYUb+YpGT
zSEp9nR6iVszi6+Zt6yRraQnz+xi77tPUdpd9GkjBfCxbux+hiWi/OxCLFo2Swr7mCz69vwpdSs9
gaTONZ8imyxiuFp0cWNRyOds/Fq3srvraUZfRKTOw1Ame3QX07zHAqHyXeRpiO6cVqIvwacUn5ZS
e+0Xfb6uWzD1lPodDMhz7+lQQ4NAY8/v0k95f1iUflwLaNaL+m9APr2SirY4uOlya3yuCQSqIaVx
ipw3aU02CQUgoHVfB1eoAqwZaLDv9jxqTEX+gj2E33nieSz05GQ2QX3n0IqCB4cgH7J3AYfNrZoN
ak02b4fcj7caYPc36p3UBzW8LEEozWUhUn4uR8ZlTwKmQW2mz+VJs+xRMB5DEeA/pe97WbOwYGHl
QpiD9YsXkb/yPpcy9rKfsT5XNQ1Lm9he1jdq2eSkn0ud7HPBY30ue0bLGy9gdJISo89adkUBnGAp
XHuH6WSa80urtNHDJRQ03Mqrr+ZUZB2ejb7r+1o/d3lHry0FKXLeUeHbRYeiSbHwZSYpIt3TCJtO
Fsvvns8AeIjUCexQzwMRpYwinod4p5XcuLmK9bARHWGXBCso7Zb55CnMSKMIugvihRZXlIo46aqQ
ZKy2dbUki644N1puHLIEZ7o2rLwttqVIm2AF+J3lPnim1MXfCF8SJn3EJonC4wglNAl6FSFteAL/
ccRUsOXMUsyhD6p0DksTuY+AWqOx/8Ky0163RPiKTRWn/gfRTy/V13plQt60/d4/O6wdomNpeZ3n
ZGE5tnKe9i37tf9h70yW40ayLPpFSIM75i0QiJlBMkhRJDcwkZIwzzO+vg9ClWWZqu4uq31tZJaW
JGOAw/H8vXvPbQhMC/GZ+kE7LDXTq7aIt3Nm5vNebdu88gxJCIVnUVRnO0h7seJxWeVXpcqBPGia
mTJlSnNVwcqnKiRydviEkjx38oPWOF3mp1FnXpceVemW2ZQUp2iMWuTeVsQMcxc0Q1U88TDWjtD1
ZbrtK94BeINshQgIcGyenczVeJfbZLjCjSiqhnRg0R8bzTCyDVqosId4OHA5Y6tdHXN44JcfqN0d
+le8gZxZTY7RVTC22UOTRzBHgG6tbeIyBqLRBzi9lLGpnIcE8KPuaTFuRMIwEqQb6O31LTRXUiyt
yLEqX0AqLA8gbEbgKY4eMdfh5xCwo35m+YTkk08AXReXzCzlvSEzYlZIzUpteRGwVugT2Zi/tec5
G2V/AX9JN7ogW+EO4QSPpJDYbX7BAbaibYM4EsUbaVxFdATPkE3bdjSW+CS6sHvW8Sp9AxKChcoW
LN5tDz5C81tzYSBMSE5CJrVWp61HPIEfi7h+y8aRyiIJk+GpNczxo2oibT9YIywPO4WHiB8q4O8Y
WZlM26IZxIX8M01/bDtDPIuOlCsYA0pr08ueLXpjmNwBaUxS0rlHBibvgd84L4Var4szSTBtWRn4
igfskp3t4STg2kRjwRsryf0UJ55gzgvNSlZ3zi7ZbGzhYLfjyBbIh6Qh2fUqbXAQh0lPxv6uA1ZB
8Um/9gHupQkBg+bReCjLZUElL/NuwR5mrR9+fesj+xPvi3CTC658PgXYCr6qKC3TxXPSgVunymgM
wBG3VudpT1UQ8v/YU2VXRPe10GfyNrQKBOUhQn/d34GEqVqXVkJNVJ2KiNSfh1qumwY3k8cnYgMh
qGutk7sif0F05xwJvY9R2hFpxLogAfHbWJBD5U4NhgStm9T2FFLmJggbijR5snla7NpCFZfaCes3
qHaMFCI9iuWxtEOnPwVIr4fNDOILGKg1a7sKDkrKIbieP9MsNR6mviVaqEZsmH4dEQC0eyL78p/z
grDIR5OOi5JzgE1XkUTkdotHx/mqAOWDslSFODp0trm5GSOQBV17IhctMTaGBL3Ktgdz1yWp0Xlp
EmUI/UwW3CaLEmjOQS9KUf/I2ZDnoy1YUj5pq6yRxCDka0vs1+DzkBnrkwD0gc7PybqBJ602qJTe
dfLeOERZKzNl+nFxukZ8J1p5bt1cCGsguVXyp6ZcrIG8Y2iGK+6DJD4Flu92KbHk3k2zRaDVgCfF
ttq9nkNv2i8jlgDgJaJdGB0h/7srzEk/Kx2AeD8CqTGcwnmsIg8gVh49U4m03zGNs42wdbaDm0bt
iNZjHOyap8BcPzFlE/GrKOmbDS6BsOn8perI8+SP0WOnS0xWy1EJqvGD2T7yxcxqTeYDENse6doE
y67pCRHx42WVbMSyS7SHiQ6PcclNKF1uXQ2qeaeLiBTsmeqm9TFXctVGu2BGR9hNzt7RtpmPEHRq
NkOGNH232Gi8IE9PobWZA0guHn0Ns/5KfI94Tm7OW550zgtrPW8fCoeR9raXlZNsbSy/I1ysNyAO
oy1wlQzWF4M0yXEzGmGnE/eb2cO1DtoVwhCyov0Ka3i95eCABiPWuhQXTlNF2gPJqJl5CKY18yye
JiW8SxsFiEQONgvbRpH33V3GqI9jpJPCCIxsBLwEMqiHuda572dseTHKkMi6u1Wl/x2H/7txODYH
TkH/t0rshDqs/0znv83Df/3SnwNx8Qc0OiENjH2MGzk8/mmldP6gnATmLVdYHbZqRJx/jsOdP9b6
U6i4MhmXr/rJf6rEzD84hjt4lWm8wHblt/4TEf16JP7LiZJmBRR5uXKbeYiD7v+tD6ChCmpsuIDH
QQRd5Gkw9R5HrM9b1FwUPCCrj4P6gaBrOlS4S0aX2CHnOpRDt2+sfNhpNbA9tYtV1fvL1/i/9FSM
3wVsvDU+nKESrIBgAInqek76yzloamnpppIJjMU5q7xHrK7e24sJvTlRAiN1RV8+xUJXdD9uAOCE
msNoc2g9Al374DvWIvHYonCuiYqbrdz6iug6vMykMHWEVrbiLYfphWQqIyN6u2BfgywAPUK9Z2Bv
t8pGNzvF3pOguGx0NS26aCPAsqWg7HQrbb5EqIn2GB6JsfIcI6uvNtCJeaNbxCO6Skqys930ZAXL
OfHpOzzXNgCi3ndGW3vAPd5/ISqaoKWmzon7zMCauD351h+MLtWrHsAHcQe9qRJUbSWTTsqKSWzB
dEbZsdPKDNgUIBqYaz0PZGB0GwrqkVIjeJmCUKG4XJpjHSZi16MT+ETn1tw7oBc3ZtLSMy+PFfGH
zxbzmQcqhRnRbN+dyO0eCEgbFNo+dBnczEnMS61rM9STaEvMKkkMUS/KK2mnb6qWkCAXt2W5obke
vcogqCxX7Y3xTglL5RHhrDMRyTmz+cbDdA6thTlSmN03ZPThz3AKuASjifTLThX9o2nzhOld1LoT
og3IdQDezKtqp9UVn4aGX9/OHwxCL1f6LfiHO+T7rfYlCRsyv4QS3y9LTXxhILecO8bnWVWR9Eda
cZjMythlWV5sK6uDUyoas/daDWDeUlhij39gBY/RTtcWFY6dWkEpoPfuiTo0H/nW65Ntps02Qe1x
DAV1CONq+xgJ7J/kEqjZa9WJ9rm0yuRnPQoLxlevVE88nZaLVsjpzIOZoE4S3rY6sRA+Qgz2bmZE
HiA1pIcUB6jZokHfLvVIc5JuefQtZdm7mmwmr2OlMQgKx6tqDeOFrsZwMsa29zM9dnZ6zSyhU5bC
lWOs8YE67Rp1OWhUdZFu2MQRSxo9GiefIW1nb6l189Xgj3jKlCkuKYm9bzij+CZDpsR5Qh+GYVBw
V0OkIAdtavZ6pQ+j1yWJ+dZiN8TtZkXiIAczaTaQ+Wdmy50FtGsoJR5Cy2hb25V1bhFB7eD2Z0bh
zJss5ADimugcnhF/YHXTlayDuNOIkwPcxPAnvsfDYC0g6nNBmnYI7gvm5ci3xwyBUmVIfIak0ZYQ
aZKmKa71zxxBiMmgfGyeGWkV5xUNw9e31OkdLoRgy9g18KSNtxd2pb06CDM9GHYD+r5sIztnJC5d
jY2dlZIwDG7oixONy4dFtJAfjK1+cEy0G6hRHRoLghRcdsLxDQel3WCtMWfVzcOlEHhUmxT93liM
s1u2jfVeAITsN0ZNfLJbImsaLlpeUXiLhUF2TvgBFl2C6vLzXK40X2cehkMJnIIuKpsIgtzAzu4h
vpgwROJQ3reZPj6a1OEMv0E/T4Tvtdk9xJ6KnDj07i7S2FLZNq2AWFU1i3kx2Q5OeeQwXe+DjOq5
K+orvJ0ONmAmtbugHuuzUnclfVmtVqHAJeWzVUol24geOZ6KGOFsskYB9XNGOw6L0dxhPokeYjmm
XzgHFM8YXphYwSjZ5NUI7Lwq2XxRFKafSUgbwo31uMCSiHWJo/ScKa8VTNXRI2fcuUpttGPfUvOQ
iwKyr9nqau78aBb4cATwjW8h+Y3eMIvhKrqh3k9ltVkUUwHa2JfRnoRgat2ujvRT5Az4pMehofFS
LokbkPL6KBAdfy3xa14tQu7Evm3a8EHX9YpqFIBJ5kkrat/LmSRsV8djSc7qah8OcMN+w9iMcNYQ
03DXwTJEeUBjiuBTzQYJk+JkvUeggATAGFpeDl/YAMlrdq6OAqCptsz2HeI7LxE66nLW2Zu3NEOA
g6Ry8uvRqH32hunAkCJ4BRQi+IdFxz7PTY7Rk8h5ZEUkFy8RjQE1l4WHCtg6ixBiFg4ACUpEbUV9
dDgXBwdy/fpTZ5vm7bLtFTs65Wqj4BTV+JCDsHwUpJ+JplKG2nrFPHDSXmLRVYeksqwHR4soVbX8
U9atw0I0Uu2edMwzegO2HCM7h7MdfE4tbCyrz7FVkUsbihxjnAp0rKr05DIbpbXTS6XiF5ZJ3hfc
6DqAfHu8ADtVPSl7uYHKJhmY8w9xJcp7Mqb1YyO16YRUQM88+E/Fm244w+egZe0pJUVj0+TltFvr
ko9MoQPFKjU0T0fFxNaRWIPt076IyHMfBrqENvNPzebg6BqM6jWExYulA4dVZn0z5o2jbecVA7uZ
ll59MZOuK/zarNMPvUPJ48/O2s4M9RA2a9ISm8n8slvlr5E1ooNE17Sr0ngg/3rA7g5mLn2hhONy
Rd9ATwz3CkTH66yaT+kUGLskycMcjRvibwy3kXbXxiORUHCR5X2QwpakxCrfCUruth34mk3ZqVyv
QE0wY0GXK941o875m/HwXZK9hGY74Ahjcfi4s+tWnFu2M+6ilkDRcBkkMxeCKsATINZlgVgy/cbQ
4K1VhInZWjADBgBTHcnAVQgmHm1lbXNPQcSUOhjxypc0isdI7S40gudHYCDx05QNqrYBGqxxUIJZ
uUX6cQ2dlfSEoPMuMkrE3SgOJSIE2BIbhylQ65GZilXFyPXQJ3d22DD3tT7HZKo/CLtEj4WFxTla
ejuuBSaHYD9PSsefxdLpbkM658FOaAG6yGTMc5eri068btZLd1IWi6N0kgxnMizRZY/sI4nXAHUy
PMqT5qtMGPoQI6nn+q7nof/IXbvgX2QNBL5TZuZxSBqeBDqGwXqfIgmbNhPDwoBHKwg6t8w0+4nU
FH1T1hYtNz0BQmYj6Z/cyNGqnV2aWXLXIKCasI1a+SUp7OmlkU59FdpovdeBnexKEximSyqz8gm9
RznaqM9BZLTNhOAizEGvRWLhkQEovd/FeSUeJGmKaBmq2LkPe6v66RSqHkPjCdUDeRGZ6hXlwMBf
A7m+mfo60rqTyZSnNH8V2f891v2bY52FkPgvx5F/sUZ7ZVH8+Oziz77768Hu16/941xnCSzQtBxM
S3JKwjPHnOZPd7T2Byk8TDWZc+vil3H6LxNy0iM4tiBy/qVm/vNkp6t/cLDDU023FbjNfzgh5xH2
+9HO4kzHvE6nT2SoTA3/fn6i2YwWG97uvixCsZEReerRUjie0XWvs5l+2Cr636rE5Mtw1PEw5VN9
T3NK3wnGldrZz/Zgp0eKtfRu6rPzYOukOyomQ+5GczOV57yV4F7AUsuGiUAPC1CubpATseDt2tlW
RAXQ4e4dj5Ht443Wi+GmcBPKF1/U5K6HgtdksAIUjkcx7uxa3SRp+zpkDgqpGOBUVUrPNJIPcI3q
Jsv58VQgGMIP1ByqoXkVNgC4xRg0N2FM4OeB9UIM8jXRxMfAvs/vVq9ZiRoCjCWEAYv2uykfRYT5
SEKpRLE9db7a1K8m+Fi3W+Epo8LHK2jDIlrFeTwo1qFp7AMO6Y7OPl/NwKQh7HLNXZL0p0yVyTUB
fLql3bQbteaPcqSEfAdchI/A16Dahzxu2w0Nek51Ku9hqHTEkIGkxx/Jcp9w0tuW1Mkbs4aePqT6
42j3nb/+ZqIzgo+dHq+6XJWmM19BlWk4szuxPIZl9ujM2eBnLS9JnW2cDB1XNqoICRmUN3TDx6pL
+CVtV3aateony+LnXACQrLWGSj2Y0dilMwMXJws/g0wRfA/Os6Mitr25pFuViJs1hXhL+xkLsjqg
6yZd5jmwgxTKD3LhSsmWLfH2y360+fY0+nU0v6yDLZTn2yKJ6xkhrs5JtbKgNtNnZ6sms4QE+2ea
ZgODhDUdQDUeh5g3FSapfkBKi9czIRa+DPPpaDmdxNHCb6sdP4uP7kLSHbaQspW+tdr1zcBk2kSP
E7Qf4xa8+BfW88/JIaNbYr2D5x1/QJbi2i/8VxIYkzsIpdiMnU3Y/VDyOznfEsW0vZEWYGSV4shr
2ub1dr0hlkGsRzfqdSOfN4xYMsT5culrlHe9aWdHVYQ/uclZ1YidKCNYnbbFUinXeyGsu/lLFvGf
pp180Grh+k9gehHexZeerwun1vPMgMcfa+4Ty4LmO8LRuIM0X3mO1b5aKX/QtLjCds9isrkbb18G
GRKDNyr8aJXmHzmMJj+gl33MZGv4esCizdI2OM6ora+kn4MxxM5H9wErvdZV1XbJpQTyVqqbvIFR
XasD7yGM2hOdEEJYaFGdtRrYat0t0k85LXhoqc/xCN8SzT6rDFII45oivbMlN6qmshFAUGBkNYeZ
r3KfQByKH4fIuNxuLy1Zlr0qeknEOC67Hl+bW/YcudScy61HDnTNSC12EyI/fxDrbZiiarhdWyXn
4ysBROABhEIoWAJFBRVbo8vr3Vb5YqXLtqwaZ4euliIvz5wtja6MUD9M/7cFsK5wbvHHWF9gAcxs
YwD7Ol9fnGV/u8xdP2rcBywjzBedPwAw/lbFhrI3Ij7qwgTDK3qh7ANHY/cy4g+UjVwCkf5EIK6h
HefuURXu5lzrHE8WIjiqTV+cGSZOF2MydvaYfCj48IFAgIsIUrm647kj+kVV9mT9gebGGneemZZt
LZNFVuRacVZah1cHmM/em1OhsjkwDaNZrO+cKANMDMH0HIhx8ECkmZ7VUc4xyIX1KdvmMJoAIZjw
2ZspzlWAV4RBKXBPgQ8INreRS6dYqbMLevkYaY69WwSne3rz0qcTMHgAsyoPsnTsjT0nUm6Rco9b
mX8sWJ+3vUk6cLdvNy2z2IH6Bz6F6KIHo2FJNIb+SEMMilig2K6BNIrHzshiqieotAgqvbQk952R
MAANU58uvZX+RIfMVzNzB9y+a+KNAenn/MlecF31gom3PnXtRrENtsBVgWxlSvAAZ5ZxallnOzuo
f9ZrIZn3NBIC6sgwZj+hDRFvRdN8ci4x/EJh8k8R+JKXTDVSJXpQxv5iYdFcS+fwOMcTrB4lazMB
OWlWfUkCJbGUkwK0ZsmW99TIaDaYVASm79iiVTgUNcmHTMppg/LZgbylymcjTLNNa4PGuGPQ3B/j
UeUSasBzA8CWQu/9RMUhF5Vx9xCBCqWwR52JV6VpJ9ync0o+EO65pvXRk1fCM+taOVZB/00B/v8d
htynHqtl74balP60a01ZUCkoy0LOBMfGfUdS15Zh1ORUbqPUmgfflns+0en6hTyKNmj6gjtnLBdl
m2kwXS/Ip2wLZ6De5vtuXjrldQ4BNUYg4TLojY5GMmuTgcOs57SOL8ZgytkPIQcpV1JHMLhY5vNf
SrH/pTP8mz5Gty3kRyiqmWWoCNh+D0vKHEUuZIT0eyuekelCmI5THi5aYT/3TamxrLjrdMDXm///
dWnHV39rla+vq2NlQG+uWpr6Wz2FhImzflf1e7GS+CcyQ10tTr8Xo5Ii2U5//v+v9puo7NenRK20
9r4dzNy/vdoyhoqOq7nfZzMLZK0EnBSnEBG86q/P9d9DwL85BAiJE/8vF+VfTgGkzjfh3zWy//id
P0c76h8rfcjBPyDBY0DQ+OcRwDb+wM9FgIe1kjYQnvG//hzucKn/FMWqf9DQ0NmyCPJlFiH/k1kO
pIDfVihzJkp6B80uYyXid9c19ZeJiSNLeqOlne01O3wb02hyuxZaL/fRK1b6pwYNesHQ/dXOxSum
W7HtrXnLvnLsZpJUYN/Lg4Z379CuOSsFva+Ds2avNLOKiXzNY+kGp/k5B2SFlxFpLaVNbosSZtU7
CBH1qtxSXWDIbLSM9JnKjuNtoBR45kLrihXSfhiXGIhPl5+KMaavPPRrsEJd+60iMWyMZMoQ/eLV
Q34/txJDeUfuTEIATbMm0RhtYGxKa7Q8MY/9s4wdiBhrdk20ptjoingcF3Jt2i78auqMSLGfkxuz
pt90aw5OsibiqGs2DocOIknWvBxbs3w9zl56RPX9mqgz12Tr5ITsACSjVichCkVbNX3EaxZPuqby
aGs+TwUcb2dgi/Ibmj27cc3xGXWyRPDbfe8SMn70Ne0nXnN/KLm/yYEkIMJsjsmaDQTPZ9wka17Q
0hW0TIgQGtcsobxutx3hQkup3AdrU7JX6mlfaSTXTFYprk5FKlHHMOyrQeMzp4cNQim/psAmznHG
uMlNyH1MiT/I7ho6JaMvAVl6dVGnrz25Co/EWVJVt0pHG6YAhFiF9E55RgRPbELGSU/nhYS33Gj2
eABrdvcqvjRlNr4GDlDhlWH6MuVailei7Ik3KcmGiQYHOcRItY741H60xhG2QqahL8kk0oFOs6s3
K04gGNC5y16KtOCEksHGU2WGoKS4cbFFRoxUqFbN2aqlvWE6LvjyHAnfIepJ2WhlVcC8CuDULSXw
OzSKkJ5qu+ChHiMoQzVUokpVeQSeZowGWzlaybsloXBvmIeBwJOkHt0karYW5Cgg4vIJ26e4aOZU
nvSVk4wBNHmvqgCJtiMssHdxuohtnmD5pIaaHmZjoEZHOFO4fahPSEBgUCx0GPfo6oC2GAzkNk1t
I8tVtewFxp/60fSWdlCQwyVe2HZ8q03Jz9DFf+ALVDxs8OgXOGeJZxJViMLu+JMki879Ri3C+UGG
LE2j53y2N9qBD1/P4XxlEsV7zEuVrAGzh8NeGmbqaUwqfLy9/EGwWlENsgP034xKdDN1efUWcf/t
YpP4Oc741JbBFLeQLSM4hpUo4gv6AbDRSCB2oteqH8ZE6kLQl9X97Z0lZNjb26EX/PlMSusxXHvU
wKAN09OCyH7UJ9agvmL+shVnXhhF/9wm+gjxBk2CF68f/BbnQNJh98Wacn4wW9EKxsAmsiHMfvZV
pyVUe9ST99tKS4yOV1tCB7yGYPBzilfkIb6z8n6sEMq7IMxh0BJD8qI7o/w6FmvaV5fr1iNuKP1Q
psF0FZDPqX9Bgkkabfq+GrioPSzFI2clrpqk5t1mSE2/d1YU414szXuIyPOpDoS80pm1r2Ot5H7E
isSS5RjBuyPBteHsighhWWG2ymDzitaMqDALI+WpXGrM5IyPnrB0ObsSMJd/u1r5CPAwDmd0X20a
FJ3HeMP2yoRvbrZ04yzqVg84Ga4dVDPkz/cj8Y9WxiSJ9jqcYxs0BEQQT9Zl7LXJcmmL6DLAt+uV
9nmooZwMRvleIJMKYe16jn0nu570i/AhGlQ4dl20z5PmpzE6J4cZstvBjS+kdZ1abasN0a4zl5ew
aWkeq5N9NonBImLJ8FNKWVnNpWfLorx2PMd6V2olXqRYmFcY4V9akYgLImCgpcLGTADawhMW6ss4
ny8x1JZxSiBXlEetsIIHBHDTvZgkypkynDmF2mYEVjjlOOsMuo+VguiRCrfvMHBa6+y0jjYKSqYi
nDxkYj/qYoB0CTfylCx96xcyFwdNGp+N6PaFbTzC6wFjO/Qa9PYweFNC+doq9ufcl9g4CySj2ZB1
eISLwVdybabvvxC2gDRr8CrTLJ8Yqese7YTlez4YQM1JqVvTObdVNz0VSV8dHSslLgO1hGEsXODY
FNup7gM3Gef0nJriC/NBSWOARJBpzg/I0rT9yCa8Ue2+YtqZBgD2sNGFC/a3snyr0Ui7U1GqZ0wW
1rFh4ZPxRevXGII3VeS1x5HX7cWMu766VrFt/YglsEEkZuq7ZSrY19P0mTl08g3LouZzr6Ou02qk
gn1BTBdxUCv6Sq/dYVnYD7Qh24e4shl1YeTxFqp+J3iq8/Z7NHcBABZ7vgAmHitfCwksgz8rkSAU
C/IFpg7FuRTmJWPPf2RZYXY2A/GgYcf10WEWsF56JdmnRVpt9BaMQCtk9aM1ON3SYzjMOVxiraq+
9TAZN7XdOhtwuK9qQPtCLXnaO7I2iEvvP1VdfaPxvVPnOvgyimp2mZANDHlQ6ZU6+YuNjnlsLlTP
5DaEdVeEr8hbWwYv2qYj1PNMCy30KRLs77plDFeLJIIvKbA6agjglV6rm/Nx7IIRs4sMbKZbQ/Il
sTBX662e/2jBCv7oONqAE86ttR8YbGjKE9yBl3/LOP04hjnCxaVTL1aQlI9IkwnjjWoqKw0U8lg1
9qUaqvG9UOfsfUTUeDHxw3sGFZbbQCzaMI2FUZt3MRlLUWHUXkAqneOaUxKeBzSa4tjKQDCJaBnr
MnLot3ZY5yq3RPjSmZNyb4rGBjNGrBAXEd9x0ISKP6RJf7aMRmfFFBwfy9qosMEsTHyMqS8vJe3i
o46E0w8QctLRrIMXh0TzKyksceIvbV0UbucUyqULbeNApZDuhFrWfjyhMsfAU+p+1Ew/C1pG9yIP
uy9jE497nBD1V5OxspuxF24IT4BLbY0cy/UKBIO1HNKcKoysJeWolmxglZD1viTN2auaLmHwPQfb
EpIkbysjLFTPPqw2s922Ccb71FTUuyYoGg6lZbOrJTKQHmmOR81wN5FdScz7LpQhpm57eUuahplx
UgzEPI51A2gyFW4cgRTIdRUIW5Pqu6Vc7sDqcn4k+M2VPRxII2uHhyWlxkuHsuXJNdj380gmZp20
496GJPlGK+dCo7r9Ma7Eudqcu61TmeGWgVrFBA9KSIMafgOzjVtc06QLfBuxlFHeF9ZEsJbTz24L
DuhFq6bdNE7hptWWp9nUrMsUS/quNuMkcsR34Bgw1IvGZ7of/qiR6Ggdj7yhLjN/iJMepco0HWNk
AUC42uBAv/AchzXKIcPYYNpKDvNiTqcgIeOdADAlApRA+NHVSdldxcnq6UwNfrIikqpdmo9J+KiZ
SY3Xul95znzgle4MXz/kkXDDPqe/GNDWDQg93eDQBqUKVp4bNHpu4UdPN5S08YsrzXMbyHR+A06D
GgE+HaU3ErV5w1LzNPxK4sQjsKJhm9/Y1Xo/PgUrz1qsZGsA8CWUVkO/I37jtV602F8q8xo7pQKd
ouuu0UrJzrCh39cW5Ox2ZWgnK01btKK7G1fCdgxquwlnIusM6Nv2AIcbrK1+xEY9rgEX7QNxKPJM
LEl9DVeGt1xp3jNYb2SBgVvTMPo2rszv+Ib/xsJwzBWI4GGC3i2t28KDYzahFIUcXq0McQKe4p1q
0z1XgDEAjjktGoU25PzvlgSCqtc5ZBKRelmpf0Z0Z0muglg+hwvw8uQGMg8JGvlQidT5bqVGch5X
4rm0W32vrRR0+u5P6tA7TBOpZYCkD116WG7o9GXR57NORuUjYtflawbO666N8k8OoEylSwkDxh07
JgSwEcpNDKC9XkntnVLn3y30b+xZQdehfo+HbbPS3SlfTF8yq79ip1s8aqCrttLgad6GrStWRryq
O4AnVm78tBLkEef1JzAwxXm5Aebrucvu06JGF7WsBHqkKcDog5VLjwiZR4HqrBMXjobo3cbMsb/b
4Qq0H0JDoFmBcs9EpnpbVvL9coPgDzcgvnmD4/fqWDwXa+ilscZfBmsQZsvGiNlhOcRrSGa1xmUC
iEkvcdiPb2IN0zRvuZpGETF8gIlVupIXv69DihK0jWRwFjFxnNCL12hOELe3pE6q526ZvelXjCcU
DzhmdTv8jNaYT2sN/GzW6M+JDNB0DQNt11jQQWvPaYN4ogqJDDVzdXgIo666glwg72mNFl0SQveM
sAQLuwaPJmsEKW/sCwe/YGM5UbmF6WMfsltm6a2V8d+uz7/r+ujWOqn9vxW9h+/for+hUsWv3/hH
z0cIsKcYIDXiUZAJ0hD8Z88HDf0fUtOEgXTXtC26L38OfSFFqioHOTqHyBfNtRn0jw4QEFWoq46p
Sqa+qxX3P2JiY6f+ewsIrJVKZ9I0Vz+9jkXzt7ZhKoKaQVJgXkjvUQ4hOJj6BOmBLRA/8UxE32rw
SDUOm6pjZk9LXBnOh5DWj4hpwxPKVg02XwnPyhTT19RS4hN814kUH2gmgVvh38/JQmudEkjgMndX
QtRCnBXhONZf1KIOFBf/UKblp9SBqUoFnyQXS0Zo83iS2lsUNMUhD2ZismFfePkswk2RZzrOOtvY
YgZiDJU4/WMKb7lxE3UMzhnl4rntsV/N5lAfpdOM33HyvOt5R2XntOpbNqJDUqu4em/yVPWobcyD
qbXftCYRfF474pBhSQCCyxxNeySe+pYLpVwKdMSEPVrDNlJt0QReAz57aIhM7UU+bA2Yypx0GHLd
K1Ekv2KJPuscjjciniqvjSP1Orfriaiv4Vl26ldo+M6XyZjm+6mAP11J5+s02aY/qDMxAUP+qCdK
vdf7Rl7IyGgOPc0IT02gzaJaGQ+GGcV3jpJ9c7qaIxa58L5B9uepzpnIZKUyfLSpFRzmwNC2aSGy
H5BcGn9JbPFDQ05Qe3bblHtHxj/6Ho0N2W3TqyHskaFxnIQ8L2ycc3lmv6PLQrNnJUhn7fJrHudf
a4WXBu2JczMah7egYyBC4Vf6ehrjyK1WKBFTKo4VzDgMQd/bAWa0TPqKYoyqw7oiv9RDa25J/YMd
Qwcq3dPJqGMXsAioEOb1UDV4/u5Ukh7nDURS0JhmKsKrnor0YZ7b5T5AjORFi16fI1JBVoPQZPAq
WkmLzNJ3epIREg4EMX5ijpWdDSLHzxHF0510OEyaUTA+oKdutkXbTp8dwKXCFaoGpjRVkNgQCc5Y
ZNTFLgdYc6ZEi/eTUbTnDoZ3CRdoDL9HMlO8rCJ9MRK05lyQJNZJ0G1AC9pZKl4oZDxm40D3aQqp
Fl5tDo4b2m3/AgsbZTp5ZJIc37TmWcGgfyPDaNhi9UEXrOQKg+JcOqchB2vmdpVOVCkVXbN1kLpi
lRtpf8H8gjPTfgl5LubuwPTlZ0nvzrftzGHgkZrnxlC+m4uhuhDREyZSEOJgxCv4raclzKGTa9XW
SlTnKw2p1B0a61QFND2xYCKgDQ31Y2CgtJWc3T/RQy3HZcqHyDOHyNyt6G+XY/T4igdbe1DSwIK5
BhmnZ1IXAmMc51M5Knrn2fSZjyijx2qDLSryZ8LsHyyDydlSY98zzanYYFiWhxb80jUj1HNnZ2P/
QiZwSep4Ec1M31OFQ3IYn5SKcEkDcWwOC4GPhO3aJqMP47j3P+ydyXLkRpZFf6ghg2PGNuY5gkEm
meQGRpGZmBzz7F/fByzJSlJ3V3XttShJZpWZZAYx+Lvv3nMzd6C6t+6nNa6PhOMVKKh48NS3fqzY
3Q+V2ERECFYRJogFFbbBOfLy+uY41UoA23zCk+XcfbPb1bmprgMnhmUxuge747ZGWTbGfRxkHO4H
p7glmaGtxSAa3CylNz3CICvPkGuNJ8MgWRXrolppDsN7N9TD3pviKNjnuBCg1Fcg5xkZzLHUz5w7
GaGL4SG0qvo0JXj4eXjql6bjx43MBxc3w63d65VPOc6g71UlPtHanUtpVfmetLmxz5oOc7NosiV9
lAZO2iDc1gaB4CAunzS3nIjWGmb7yJA1/cj0EguM5k67KeFADV1rzgcBtSFSakT0G9np1u3GchUH
PMh1Q7VHULnjN0pxrE1V5uHSgQF/1sdcQ9jlQeSH0bAK4Gm/moUe7YiMytkxjh/YAkyFXmI7r7wE
1c7yfe2HgCqzGIfIXE6O1f1MAtzSFsaXewNTjIrXDOpopb+HKgvXFaAZcPV9T8NSQ3lKGVTRq6HC
9lRn8k6YoIPFCv/KrGuQe3PxgsqZAobRUzdd4JZrojqtFi2u8LUVOjXEOyZJTqjeilh7v+rcyPoR
zsrO4I4fwHgopOeZCfowxXtYY2I9RRo6SFHaw0s5sse2RKnujjf4yJOFA9gu4t4wHSzHtkdZcZyO
5zzqNB5YQIAGO7beUtlj7HDZdYqA+hqlF+J9wMyMzqq+MT5gOx8mY8citMxYxwdUKcdiXME7wwbk
y7vSxZ7Tg07A2hTOOtUnfsA58aGVG/cPQ5mGL7Q/4ATvsmYxOXl0S2Qz5QutCodnPXTw/5qVe8Al
XXo8QQN/x3OTItVWPzXkr+9KdbcujOmwlfSpEzpJlzbX3lMyGdlc3L7gloA15gsMFCqM9r6n3VPU
Y2blumAVbQbh0spDbxcDetyEHrljjIjZUveCExGQFLtj0+1naRRJiOrdoaQGmBsq2nQZ3c1hi1XJ
YECkiT7ITqFd8/geguE9ivVyq5HMO6q+cT8EKEJiH6V2sZv6gdCM/ag8EOuTxc7ZpzIHNCTGK+IN
W69zu3Vlu/034oXdwXay90Ql7T5K3BAsFG0LPYPorlPSdfCMhs0hZo5jsRNad7AcxU3NResYuu1+
kSQP1Awbr5RCDydKT7EQI+32LyKOqfNSvX3Kyjg5GLG9ASdTLbHVoT5Yz6MGg1D3MrkmjhIsXLbf
T74Xltuu9aorNa4CX25pbvQq+OGxJFii4EZb9C1mLpSHXVNIdYoIUB3h8IXfe7+haLLpi1Wp6PTF
z6p+2pV8irI8xwqVuI+wkO1NK1J2NTSPL5zEPPc8VddAF9+ChrEBn0J0TcriJAdtos94PE2BsL7J
KmVBQnf5mqqSfgtmxd/EYxq81d00buFZ1G9MKYywfuejLhj93h2SbiMxrw+C5wrGc7EJGVXTeWqU
HUbnzmZrMZkkTL1EHXwfHH0ayuPYHt2C/Drgsay/WLIIl5Gn01Wru/Jbojn5I4eq9JhXHq96WzAQ
xUPqJdeiaMXWd8Pygl18kzmzzXbUyRiY9H/mo61to8TKNnpkhCc3yXnsGEm3C5kaUeqGxLkhaI37
yJLIrl5H6DFJbLZvwxu2rWRZQKAhGzEIdS3ZAi1TuxaHQtX5xvaG8b3zCFgsiOxzSEmhY4HIDKt8
4bD/WNmFGj9yHFZvDr4onWPuexb6wYpv5GfWZdUmQacAApJrNUAN3SMyk2LVUTU5eIgoJJgECNFz
ORrsY1JsIEOfVdGSZqtP+qkNelTVwCvNwSxs+/P6Jk2unHuXuLihXRqO2uhByRt0CAjv8hxA5+S0
GYGM3wWmpv/0SBEuWtx+kAFYa1AmEK5pr6sXHD3gTMj0wXYVVrdGn5B+gmZe/Rk0ePKjfoOkEO6M
MQjWbt6VQNCmJmWl1jVLdhbNqhokGnTlBu73KtJn213n2otY6Q8unFDi6lOYXMTQig/gdPKqRqzN
2AAl25/U2AS5krl49MagSwJKvr2o+KBTp2f7meXSz57o2EpT6xBAeU6P7ej5xdMw9XxqgIRGjX4D
P+ekvEhqRyic51K4/TKnlnRl+3FKHhfqzEoDxd0CJJzGH6VTRp+Dz3fIGcH+zu8p3kD/wME0+nKP
kAhDV/TeuNIbLz505I7PVcmvLhqneDW588x0qjd8Re2cEhtadUhE29glxkIiZcw/60AX5yIevT3G
N8UdzDB3cTvnSeHnW1RsvT4tWTYUwLmqPAZkqNZsAup7PTvTEier2S6V2YM+0FlDR/yECBsN3c6S
rTc/DaC0VajfhcURxhiaDDplnO6cWlprV9rGUc8bKn70miOATTaehdC4sp0J26Cr8fX0tCy+jXFv
veB+xMHYgP7Gny80uLW6JMPOJ3cfqN1bxrKdXgc7uIaJx8dKY9f4yBItXPVJCAK8xWp2pvHMWEJ3
a1a1SU3A7PN3OqxIpXf1eAuzBGe3QRmz4IzclJRbjFmSPIWeBKrF0ZOZqekvU67Cx8xWDT2AfNiU
DCVbzW+ZvmyAtxctAPhH0fAImx6IyB7kZfUYBJneQo7gl3Ys1vZpU+f3NvTJ+ZApfa6jWnwXtNx/
z4vwOchc/WRhWgT+kuOPM42yhJziQ5AkmXF0/ax87EFS5StyiLl7pp6DXGRUvZMqY7lTqjGMFlqk
g/wYdF77sQrJsur0DF9TOcmXRGeN5SVDsPWI5YZ4moWxZRRqvyHgDJ+9JrBK0fxNxW9YrviO8k1S
Ix6txjpXqPmtjaZf1Zx1Zr70Kojs4VfFqY8Tv4b5ri7G6Va5c1o7J5h1r0M65nUalVjJJJggG08D
ZEsOcc8mPd5HSiUnGxLlPqMu9EIHNgPs6HAx6dqv0ivUN6xhgY0zzOEvx1KoWOt2OkEzxbzElT/o
S5W46qpNBVuGrgy2rdHLO1EXbFKK66pWrFpEpYeHwEiR4jn5UqnkF7s8CQSV8UREmT/ng6yw65Nt
criOc31uglb4FaZqgM/TxElWfS9aDKpXkSaNiUfPYRirMFfr4HoJpy+7yEHuBhfvqE+NXc1wE1CP
d07EKi7Oe216afOxHJ/UoLH4pZCFgbe9dXpjutiXO9dwS5yU9Tgc+Uhqz9sUYRWxcm5EwZ7mvzIL
Sr7FOvECXGhLyqV6Iuo5Pv9B/vlf/GYUb/zJ+EUCGfs88RakYR11Z85p/9FWU1bjkEhTDBfMV/ZK
8w0qtAjfsMWGYcQqPXwzMnPbJ8bBTO2NZtUbOxJrzw3OZafWTYHBvte2vkpWOOT+DfLsLzaxf3xv
DiHumeYGcg9D0x+/t0z0FVWmxnApy/rilpwVKXTtL//6E/jfvgiOopndB5/d/esHQKvTyNBLADU2
aP7if44mN7lbbL6+zN+S5L+VJGEi/uEn8j+MaHsp47yImz9mUQQzML/pdyeaCxWAIMpXcQwusFlh
/C2M4gvQ+rbjmXNJHqmUmdr2uy4JkxHGMP1+pFj482Y18Tdd0nR+8R2X3iUMZURRoBf9J9Y0aIh/
vofIoBgA8riPMMuhGM7d0H+8TmMnRr4RTXQYK9w1bEdhDNosuY/lV+4K2qC1sjqWG2VawdduA5sX
lN57ZNaxzhTVjsrgIFh6c6RLfaW75FfSq51DX2zsyX8BmCcLls6xsOorIUYKg7TYFEhAYL3RwEkZ
Mq9aSEjwRBK/cmbBHDkj5+7ycpuDaOork5bP8TSmCbPGe56MpNaGIjg0TUCWzfK06lfKU9yPL6NG
6/ngDpVO/g3GSNssJ8827JVAaDJOvgE1oPEz5zxYGG+yvqOnjVCd+5Wv4yCHOZuitvixnAN44xzF
q0Mju8+uo3ztjgUlOok3hvYit/WQaS8p79Iu8eiE0GV4I0+7cHD8g1HWsIwib8sSsaaKqogLAFd4
cwwCi3yYA+GK1WgHFQEO13iRPvny2KzlozBGzMqR9Rb2U0nsePJXrDvMW2ck9b6nNGsVCeMWOapZ
2bnjrrWJ5ddI2ONmupok4T7cbZ0zLdXQtVyUoxt9OOCZt5ZbmEsULAC9WSZXsTNW9x5iHh97FIdn
jp3WZYhyig45g3QnfVhXRlFcgrLOfia944NLs3Am2rG3RAhr7objf9gBWytBw8gSFhg9f/AkFzCp
X3ycfwtYFDkYIvvQD0W2dEFIPSZ1Y97N0R+PZukOt7jRq4cyjX5NDDN6twtnWPHSOCJNTSt77od1
jIA0olMSJyzG7FHWKW1GKTBJ2qThlvGJ4D9PH2qZtBdtTLsl0KvmG9ueAMOAMV6muCErPtq4322+
U20cwpXeB+GT8lz6wqU3E46SvGDShumEb6IsxdHE6n6Y9O5T8uvJAlrygY4l2EL4Gv27G9vlg0fo
HwksSJDfQ6UuloakmZS8UVJ9LLZK6/K7TtKWKoeuPRmpZR0naSzK2oS3xWV/LkZTvaID2vFaa9uI
XmfaBEsrlRXDfm+tqjQdthzc4dORKHZMvznokXPugQC5C/aSAHUKaPBeMnLuymWfckYkbD7q0Ps6
epSXjmqfNd4I+BTuHr63TeAerX7O0VQ5boguuUVmfdWwmomppsJJWnfOHnKde+VHU7runjjo82Ti
s2Eh+pa5tdykUH0mGgcN4kyoT1h/jnL61ELW7AURZnrZ9BergzDRT36wK4deOw/U262DrgxXiW69
8jBsrgb9ERsNVZz0S2jDyGmsZ8uhp21MaIjOgpp6aZb0TqIdXI5siyA2XiF/k9N2s3orMSNy8AXF
HJNKbaMF4Rfi97jEAkYITL0LlsIk4McEtNBQxpuUyOvS4igEC8SUD6Vnh/s+4WOmJM7c+75DPHUk
UZy3APdLXthblY7O2ap7GtHNYV/TfEVsSjTDw2C1zxh+tJ1WTURmYBnBNGN+sQYdD5JmSX9VCebi
2xQMZkbPE+wj8tJFBU7BcZRPf9ZEfbBBCj+iKuNGhD2+su9+z0E67EkZo6rG4t0pe7tdRLXevjU1
f+W5aW9Vl9I4hjJnBDdsLmk9JI6fWZLzXSRvE49dOj7naroC4OfSzac31UEtpxggWLLzb0/xNE5v
/jQCW8pivXqsaoxTOgAu4lPZtcAgCBHX51x6C2kM2pslMxHbEovDnrQJ9xOuL/Zl2geo7nkrVyC9
/HubuD/LAv02NCChDJEnERU8aGwkrRirKF7Jijnnm3Ujg3NnI/aXsaNthIrUxjPabAP6ZeQWz5Ez
x+45klMjrN3U5+2BmF/U8W7Rqo9US4oJUljSkbOIGMqvae2RpyDF4e3SDgHkNFq18zDywn4064Bb
JB249FCqevt7I+L6EKkM4haEYvvXlqs/XgpoduiwWuCSjndK915JzWNIYMd+KAzdO1RTQEmpn+Qh
TYPtnjaH8BrJTj56WmK6C3zb7hbkJReur4botSSIue4NK9sJcsTvHqd+n9JAttn4oVvrFEJIQV2y
SuQwNXSgAkom3cHs+36ByRl/AI/2n3lqcTSHrTyc275pbtNokL6E9cvwTOynxAVi44leWCTnX/TA
rN6rWo9feSdjgR2y7ox1JbsGve3/1MeoUzSNBuZdA2zwogHjumQ6eTYGlB9ZZjqfdu7bwEYjs+oW
nd3Ldegz6NhFvyfsny0bzg/TapL1vF4M+BQR6iLvuesn+4Q0JT+1RE8wX3QGmUk6pYcHuOHOM+8R
f12y99h0rDg1xB+3DJbYfaJwD4N//EiZaiweRiEeJ5pob6PL0IP3L9JuMXnXcmGYWf2aTEF6MWUZ
hlzFreUuDcqu8b5X6afVVukdG8EjwR+CSiQygj0LqwzLXcTNWhY0v6qKbNyyGRpvWhgNC4X1ZPj6
uZTR8GoP0/CDnpDqzbOsfpNrCQOuFvqhvxirSTvUIulvuc3zhtBkTYBcn2jsqnPiQKbmNTsc+mW9
c7WhfPPDMfeWkwooURGtiYU8TiqkEzdLXmC9W9bCK8z2TmAUW702mhV+s1LuuediRmxDL6flZDHh
8537a9Ot9dfAbwNrncc6VCPRa7BL4crcA7/UtyyyXAJuHR3JeJoxJZkRgq8tejZMqeGepqGtDgKA
Eo3LFH1MPbE9CZeZ7FWpliM+1XWlY2lzEsJzdkR+aCGa8kF0TQvpxPZP1NLijHAxbaxGNyn3kLCh
BFJQWL+mdTKXzIUdgOkOAsV3wqllvm4tJk8gkZX6MQMKzoHO9sk0nF+tMPK/uVGevRdhU2wI+vVy
xSM+AG1KW622HPyUJyKLWX0fu7p79pXlvvV2LXGtlXhsjdAmQzeZk/mrO7AnbgNhPvsYruDEZeaI
MFaz+swLgm6hN/KfKXgjb5eY0XT30qDql6MRifeenrJlmdvlG9N5+2D7uOiWyWjor53iALkO9aHj
WtKbboF1XXz6FXuldZA54cwMSILvGE/ybzgKnWZj5tF47JoOtk6iadFK1ZARM9dM90mY3nTId9+r
3L2EU08UI6Ph19Pg23Usl6bWf7BaXyc7Z4Wr0KccFRmtNK6O5GzoidDdEjImBGfXvfWrTxMR5dFF
GT4Dl3ZZy0HWwU+vmWJaiibWt4SCw0vTGmo9GIoCo4TOJGXZ7UqVpgQ1pHcnwQbQ6ersR5QYHeDr
znF/OAnSMzjVnNpmB75OiCvhV8cqgk1fEOpc8NMklFbCCz5HxkgtMccsvKqBjaQT12ECHCa1ks8S
e1gO7Y5/lFokebSYw7lgbfQig1E+IZBFWzg+GvNB0J1qdjqosKnjHdM6A8yjc0bMhvDgqUxr4GNV
3c6LfcK6uRGm3xvPFfWCvTFbgCi28b6WpeGs2YqqY6qJ8jBg/zjxN5QnA4LER6DilvRG2+6ysuo3
oQ9gqpIhJVupeiknVtpLYYj6PWRBczOriuWYHtf7v6fk/0+pAQMv+ah/ZdzJP+P3vxS2/uP3/D4k
W7+4PngFF9wnBh4XmeN3FJ/3C6Y8TmDm3EygO8YfvDviFxd0H8Xwro3IQsrrnzOy+4vL/zH/tt9G
6/9kRkZO+R8zsin4Lghw8dTyCKT/eUbumNZiFY3aPjDVuDIrKd/tJMDC25Echb32hXyZZvpL02mA
YNKQWLYTQYdRX6AYMTNjgpke42JguSrSCW/+F1wmhBaJKW1mzowzfSbLVf6W2YG5J0pmXPHvOgSt
mNDOOGs8RSh3BtlQmO6QGfEeKV+Ud8Ct/VXv37OZfxPNJJx2ZuIUX3gc1ctcMZCU4zuumWykInSG
6WjmDNYZvyA75hdwp3Rg70TcxSGmhYxE7WTUwUzJo8KElT5PAOl35znWBYcXWzhbmdrwrLUsiIUu
a9NP6DX3EnNbAUXHwDKTgKh9AArECwtAkJZLx8RsATeobMryFcSOunSUti7BIsGI9Zvhg00gzKE2
tjnXeuF0ZC1VPUxlEr4bkcFknBigunBb84IibM+bE98fTCNlj8UNLZQ+h8EboSRN2eBu5RinF8/M
xgdLmjAQJvpTgCa57tDhuWFM7POuXjjWBK8rdm+EPKAtJXCXRpLEHMcy7+bYgq0FXbCPVGE2MLub
Bij5ZNLnWQq5yKEJHuwWLmkCG+DofdGfVCMq0FxyZkJ98aFiG1SU90WNqrVJPoMd6x67GS2VdALK
VDcDp0A2B99bjfVZOeOoKOvVToMC3dbmDPYFJv7lMAYKVrvoXmQ6lRUgt6w+DUFdHVlE9T99zC8J
26MZgwWbLLr2Vi7XJaaPZJUPPqs0wfLmzDhbC6DlQLWqOckW0rxhb4ldI/waydC80fNG58wQVFSB
kZcPb7kHUnU3g+HvUZmaL0aYxQ++svlqpu7Wj6LE4wMKxzqKLwJYNMPAGIVxok64vY0WVBjNuv0d
so5cOrQDv2p5WB9AEfg/MGy49cbRZ+aYIM4dA1gARYbwA5WMwGBBT1hoOrfoi1vWA0zKFz7Fpx/W
F9kMSAdUdZ08uW+z6K1mBBo/x5RcQhPd3DFpzs2MSnO/qGliBqjBObFwi1BZtOJyLZ68GbUGJghW
gjYD2EQRWmeg5R0E3SIr4Qq5yAmcq7nLv4+5SOZ2s5COTT4e+rZ0UicUU/GvIhdh2y5Gv58SB8uE
DzL2lKOC5S2HT60FXzBgRAp6pQf3aejN6RDZUbKrBucmvIQjqwWdyjQZziaLPoyRLsp+3QB4eQ0C
VrtCBpye3A5n3TItjQK3SmM/AnXGPTyBD1u21lQRV4j1i8V4fWqxrW2tKrEXTdGQuwH4sPaDPl17
Jn6XmvvlHjR4oUB39/Lb+DWuIlToyQ02sGKOtUqG+UdLNWTpJCJGbl8MUWm7oaufLY7QD1rq+SmL
FiZkk1G5D3PnXMzTczbP0XKeqMsumx5QKYx9N8/bxTx5e1MjH4baxH7021xOGpVa+DVcD0DmjO/Z
PMeLKrqANkEPZMIHZHrqkwNrJv4kU6u23awG+MgCzqwP2AgFSYKIRcPiQpDx54+Z1YRZV4hwjO6D
WWsQs+oA+6e5xggR/qxIEExl2T6rFIkSAbvsmUyMhJHPWgbRf37I02fd9MdW8RkGrX5MvgQQAfN0
ozfRt/FLHUEm8dwJvQThhCyHXKP33fVZUwkQVxj7rs6QJLcW2YX1EMvF6UhGXt9kevHYx3BJs9Ft
l8Ms3OhD2q+MLzUHa5C3g+uYYuCZ8XP/0H1QgCocSLDhmyMldLQ3+16/NWbBSDRE/ReW4TIu+ml0
oDXSivnrleqVFVxz9sfB2jgY7A0uo6Mzy1J6WBuYYWapilrCrWbn2pYuE64mVlSX6UvdagoaKb1Z
8qomoHosqliXYWSRDyB2hqvj159uEemHNA7FUWV+tdYalk/L0h4pIaeZHJXN4/J7crFur2xhF6tq
luPULMwBu54uchbrpl7U31QadkvNxmti+PGDDQqBWwKZr0b1QklB+sOQlD32Mgge7FkYxLWZLOxC
n1YmPyaf2WOVzkKiHIP3aJYWjVlkNGa5MZ6FR2eWILtZjGxN59DM8uTYcekkmv5iz9KlPYuYUTIG
EJL4To0UYhqjxd3TfHepunHamLDGN93gyp+wM/OLGtbNLJYOrYVuWs8SKs8Y7ZS0MbpqFWXVnWCt
XFWz7GrOAqw9S7EQ2qIP60uf9QtYbW7a3bkIJaVlurwl9rxGnKXdeBZ5hdBvcNqs1Sx37rNZCpae
6a+0bpaHB/Fm9zXnY4jdj9ksItuznNyyyN40Xxozj8NZb8bks8RVndNLOevRdLlsxSxRa0i7B7sZ
JnJ68bh3Wl6RY6qcvQZAQvyNNYA1HbfTv90mQRH9l+fkYnj/8ybp6zf8dkj29V+E7bqctv90QvYd
ap2NGUfhwhA0IFn/c4tkzlskqnXgH/jzAfmfJ2SQZsAPOHMD6sCrPv+u/wBWbZl/ARzoPnhAy3Q4
vfs6+yQTI/8ft0iU7bV97sbeQa+y8aglTQm5ykjvo2mnn1neqz0RFvQbbBRoOXRNIut8CTxfWk/g
NtqN+RcFiLG/v1lmGzynitv7WM1iUdTik6Y3dlZzgpzn/7L6kpZEgLBMn+7zZLfDQ0e0no0+UKHg
gCYiP/tZpOqrznuOiKIhnn2pWO2XopXP4hZazT6a5S4MaHKdfGlgzpceBtLH+SRvTEM6alkokc0S
f+xf2riy7gh+qGpdXwY/21lqC7X+nGLIQqnI4+RVzZKcFYT9yxgCjjWmJvpJ1hzdzg9tQvP16N5K
7Mkc+Sez4U4Px7NyazFgPLSmn26maQ9FnuD0cvssvPSaEeydL80wRI1jRVeY1smIkjTBo64EetWA
GUyVYb6TTtCsCadGr3C8SOWaXuZtm3nvt2DZJR8nEUVXTgzoe7QA7+JBhlsCgd7BZpex1YuxNFcq
y5zHLKI5dwvYVrq0vqIDoO4bHfoy/naCAVbhf05Cx20/ebWLN1z2LCj8ul0aQVod6BuZwcDCUQu2
R2T/qtE/1ooFxbxZzAkXld7F4rzOi793u3vvZtUunCLKZjS9YQoJvHbpUztYLC3lQG2WQ3sQroeO
aIx8OL4kJ6yVubwKjFH6wgtVcoUJXHRL1Iz+u+yIxTqd1Xos3wosEZGaRhhrIdB0oiNBuwpJ1oFm
y+srJlKEkREM2gJ3KY6/YcRUrsdNe6Bi14wWTjSGN68tfzb8Kd1Ob1UVgzQyi58DyCDInYOSA2Bd
1X7kNceOXYCR7TnoxmTfm3m1Vv6UmLQrO/17KXyGiqFGGkKNomfarF1GjsrciMJn8BrpXLkqyq+S
50onJd8/KM2LSRYKxYJo64o+vg9wp26Y1SchP/npGoMFAa6mfmUxWjmOsZOu6qmAueC4WXAJG8zM
mSgwn1htj+VocDh/CeNb6PE1iJiuEqkerWakziLHYrFsBe3guyAXcwIanY6NmANXz3APCNjppsko
UEb7rpdTgUs4TIeFmyPVWD4O80YvM0BkItgkUTrjs8DCETInkRWaVLWk4mi0Pv4tXbgQ/6w7noYd
3cT2SZVWsJz0GmVfz6cdS0k+97njGqM97PBV7tVcgVZe6ReNXaizaprOxIsc4KAkcXgwsjpbx6x+
96wVh1NnQjMZSGdsK5u1B95+VR2dpuoO+BWz+yRyCzBX4dhbJ8lJyvjNg4q4MVNY4aThvgmNBIT0
0k+vLqxV4jjRooiT5knrDHmRw+gumxylKh5t8QiUjaeWh5uOuYT1ie6wasJ6FxE6D70lywCscV16
w0L57Fs1CGLFja0V5i5pwzu91hEMApEsKf5Ckoz13l4wf3o7gNEYf1Nn/rSL4YnMarTS2ant3cJS
a0M6OLWNxLg75azv0qO6Zmiw9zj9s7VDnmlm5zbd2eacuq7GBA8qLrAXU1rWdzejIDhKOdOPZcRs
1LXuExpLdywHR448pBqeKRxTUPxjOtmo1oX0zJ0fqqsOAJzVD1WucPnljxQz2q5QlrXrNJ9EpND8
kYmSuuDAUN2yzendHho7XGKjqy5ZB+nCpWYRCdB41yk5BNhBpJGCH4XvsmrXePrBIZh8KA8DA/Q6
UKw1MexKPm3DTLhROYRR7x1PvEQ8s2fHFFO/tqQDLD/FbNGuSeNhCtMBTtIlRWktAfm17pX5KrHc
blM3XvadacS7RW2I6h7y4/+ekG8y7A67czrmV9F3MeuOUH8iuyJ/NpPVvroitB7daswfoAmG4HEr
fSMJiZx71cKB1K0GhgPKxhqOkOShG8XdY2yZ5DCixnw3Gy5p06wGiner/OyJsiGOaItr09jpcgQW
zV01TI+hyKhTzqhRu7Q9XVuU0venxsY2pEfUWfVJk+JM9HhkyvAq/CbZxTBRyIJ0rkcw2nPZMZnh
Cv4BUgk8Y3XQZRlt6LfJsAfJ4FuEyzWi9Mlu3jj+xVAztD4+GX3a7IizV3DMxfhr1nbpUpmlejJ7
E9E8SFwKB2TcwjGumm9Y3Y0Tzb3DCeGcILJ09ITrrYruttOJR1JaBpScpIQZBFJxSQ47eimrsoFD
4Iy3qClmbNr8tOeNPr5HNLY/mdHMfeyItbGsNXFJGtQMJFyVB7tuH9qOADPzuSmAo+qVMx9uJ0aY
VP9OqaTMd6RG6vjFYhYA3NEWTsebKNVxM6siwh+b45Bfd4LYCRTAERKLPqpPr+2ddZBOjMF1zCM4
IlMIDLkegkUYTd120LOnYRyrbUx7A5AkoN78KOWqy3P5YM5Kkp27hy7UylXl1PHybx35/3U+RtHE
AvV/B0CPYBPf/+y1+sdv+f2EbP1ieyTOyBXZFu0tglPqbzqy0CnAJf7JcRfHk2XZHFB/91rhiPqD
twrT1UySM2k+ZIfwn5yKEaH/rBtzKoYm6XqkRWzTMxznL5nPigZQmYSjc8yM0hNLw3EFdCbB5rFa
do1WthXxR9aGwyKljj64FPnEK7i2dfiqK9VyVT5KIjpahsXJwW251tRYW1SpB1zR6KY9DlaXLrLy
kkaEW90NvWCZNVxaPY1hjE2Gy+kA2Ad+9E3bAOk99VbVfKTh8EAc3mUha2jUZkaOu5FEhjD2VOGq
NNT0qHlK0QzZAnNZViRSWNfMWT61ZYsCWiwfhbSXSQPWnnYriEs7WXlddSO3mT7WVeC/NlKZTO28
dAU3WZ+URyevKbfDyfRdM1k38SUmR61HKlbiLV4TnSayiQYmyBveNa1y57VCql1pfjG8YanmjcNM
uym6Cfc0FuRZFTdITRVmBLCyLTRoCSqT+4Rs0ZvT2NV3ozGRi0UR+x+F733Icbp4ek2xZp9CUuMf
wbnvHPMa27G+831XrKmr8pcjuiS/xvSrhy7J6eDSp0lftQPAlQWHcD8Dh1rwSLQCZ1oMwu53Oe2o
t44F6vMYZezh6mnY4oSbHvzGmA68GGdFOubgyhJNi3eRTOJPrgf7IUnJXa57Gh6uxEswidlOTR5l
FMi6bf4UKZcjuNcVN16x7rLHKc152GuNs2X3xotWyMZaOJVhXguLfkC/5Licubh2+lioo8T53K/i
DnClMPJurc1Pw4Fc7cYcTLWTVjKSmAgq9aZNWbnxYqltsUirvRUZ6gO52t1H5DYelT4FF2LvxanQ
wi7bWkqbrmOnnF4Q8+it1nA4ev72b3Q/q4/Omj27wMFqsuKExtH7Vl4fEpp4h/yAtjfIYuVSUpr4
G1QIhBWysBiTB9A1ag2IWugffz9R/5u9M1mOG9my7a+U1RxpjsbhQJm9SSB6MthTEjWBkZKIHnD0
zde/BWXe91LKW8rKeQ2zYQCBcHhzzt5r/09mVGYxizP/fz+j3lRNF//H9jWruh8qD3/84b/mVfc3
SYVASNNdoYg/zqsOpntgnyiOcLnQofv/8+p3bz0iVgcPPUJtRdfsj3nWkb/5Ng5fxZ95ABvsfzTP
OurH6oPDnE9JxLUtRTAVklmbbuSfqw/EcunWnRQ7E9aAaDkkLX0QqEAIolH8XAxa2jusGBwa0a2m
JOg5CO8MNtHMyQlJJIM2rkPufTdTqtxHc416qloQ6HGkjhu7P3sI67dou9yrqi+Nx7psNaT6yLjq
Es/cYKV0HwdPT88pYZxg6KrUoK5W06xqcaq5bYsxq4JvZtV1Qv8CVMYhrQk/4L6BCMnoyHR9camH
nK21rxDXIcTE+haFBUkwptg4hTaPNS62DQnvGUUU92w6+HmIctrGUf21l6wrPS9YQA44MQx2OV9A
DnGm64gpGMSXGGchtsPW2IVpau5nsSwHWUHFIULyYACF+0jeTbprwV2DzKWpNzW3TQY5yoiy7rWx
Onufq8KjoovmxS5crl+AGeZJUZGkQXSc2z55UExQHDbN5agzyw/GCtfaqPUAtDAlXsrH9tRmC1FL
ibnpITVsHKGBYglpU01eKSdIxPAn5C2VZHWJTT+kJ1Q8YHwbd12oDn7RH7UDxzAkmHEz+5xAHZvw
XysUB1KwzEDG8wfZDXMwdOuX0Fm37fB9bvO5J90RsOQu9/q3AraVjU/qrEszuaL8OQc2OTDVosjS
yvUecl257SEbcfxRalNL9+iHPihOQE5eRr83WUIDWSQUfJtcLXwE+D1tjqt7fChoD0H7nSzcM/DV
9XJqTeyvrGRUYieTkwbt1y1tFwe/iXQRykWHqceOVbMm7nwT0uGkqXoZ3gkYDMUjaeOCahv0YJRq
YrunkFNTpchzY5el9VPVuh+8ablOrVFtInxde4MG0M4US3xQunhdZPo5rTvnkFZhQ+oIrClBDPK5
tvxvzOTplqOG3DImnnLc1e7IkPCa6N6v0mrfRxlIuyikdxR1NGRNAp/anP5KJ0+1lZqfZ2cxg6xp
ryYje6NFSYJl7Okd6qf5uMb4Bgs8bMjMjIWkhGGEs9A5ghHAAUrEaSBy/l1mNp+Mtiu2mZrCrVu2
Q9BWc30wPX7ByvbpV6QEZ4V2+txYbnRBEFjsbe+NfrE4T5GiD6pd4yl3zALikks+lsqT5KGASg5w
zBWbNIMlRZ5H8yRKXDaEQmQPCyxoagjLBfZjvqf3BpAzJAlsyQhOkqBjd2xwok1nGeIucRsWpSUr
dmbrkdBCBNg2Jpp7U6nUPZk0yYMk8oajZUWnjnX5qjVEvzWsWD/3pB/t8TUiQyEeh3OsP26BjNUb
IVdOoEzF8xw6ZCaRC8ObWy/7LtYq8PsF3fSSlY+ZYc93oe7F2ezacc2ahkQRgDVG1aO9cQVIsg3M
ERfYuAb33CqAMaMEcu4a1/gW8kOVuTeGk70lAxHPaYlzeqhBjfQeWGm18Dz10kp6TDkUQ1u8k0ED
gRzR6hmGET0Rt3sUXnLqy8FFqbMmWDbywQ3TejcK6A+xPyFXHXN36zjsxazaJ7cjf0Bmehea/V3e
0/oEo2Ee5sT4VjjLvM+b5arpFIB6/n8Skg+jO0Owc8pyryJ85wXGY1I+UXLFyoag7iSvdYXBO/KW
x5bi31ENK8EU/skGURWkRuHBhkow7TVlzZDCen5h24vj2Xr1a1vTtkptRLKtfCSiL2J/5O+IIKIC
aQItcOpvA+rBjVrY48gG8YLITfNM/S7bwyAYdjTa6WJ3IPNGv/COsS1uq9z67LrtdRo56amV0wdv
bNVGJe6aHGe7p14k5ZPvD8igmhExMYKreByDIYTXN0b5k2X2V8rpmhvtWeekwplGqFh+WR3SpWju
cvrT29DGokUH/r1pegFvFfqkXPrq4DgUJ0JJcGE9dvn1TMgaxuEG+Z+N2zyH+d/aMQJfMFezM9Oz
L+nHuZiIB2uu9xxGVhIYVyyX5YkWd3LXgq1ITRahiY0helmf99mM8n3TSwnxX2L6KDC34Z27QqN9
ihpEAexZjU3UoWvPY5YX2lvuS55Nn8awh/w9q69VjwcrjnJ851Y3HkCuGPuoDGWgisG/7fLhTpC7
t6kdZ73x8aLJlg06toyECT5UKUyN0U32Uw0IggkNr39sfOx9DI+1MX21E5h5dt73J29YGuYaSCsz
AeZH5t/kTF7feIiwkCO5M2TQr6pVD5rfIUH0u4/UaO+tHAbm5GjzEKn04zgk8kSR9WkmC7jN2KmT
RfluG1qd8zIP94bKF7b9gCSJ1PJ2plMI0oHw8lUIEqBEoZprXPLfR2+mVvWGIrbsnp2kI46EMWug
vjhOo5GQ8kWhx6vGD104FIpXsXbbFP0+o6/wbkPZ+KMG+opcjZesSgvZ2kecF3DkgN5ggHi2e+qz
7LTnmSJWtJMtIPg029QLLfGVUhDKB9splIvuZ5gQEdEeHlrlB5CzACJRxs0TVHporJulaf43g/Z/
1tDz2b3+ant9XfXAhn+Wvv3+V/+Svnm/UWiw0IvYv/fh+MB/+cPWrTXOPpxhLnva7zlGf9QsbPs3
ds4WJCiPvp9vra6tP/bWFh/oYxmjF4iWmRzHf7S3tjku/JmtD1QLoTmFBrmK7BRtoB+31sncjD3w
x+YkSdny2CkY5oOI6wVmX0I0Tp16eOa1Em+tocInFfs48IsyPBtNgjEL2Q27VWVeV8ItDxAciZMZ
zJyX0suMJ08XRB3GGv9LJcjiMOm635ql0X9LGwR0E3PIB8eiLqwL4jeQD4X0Dhw817BxB5DOdCHM
SDTjoSuM5UhomvvYk5j0Nx7Ln4o4PAHH4RhF8QhLLzCw9b//id2e0uEiVVfrE8Kp6Y4Gm38gYJHk
kK5bvxf3/ach8m9crT95Or9fj7IRLFuKVYoF7MfrWQZ9tSjL9Ol7HssU5W9ryyBIQp7Br6/0k6xx
vZKyLfpmILx8kzPfj1daqLkuRBHm9GaJ/7GwuhF7CeUB+lXyCEPAOcxxGj78+qL/5uspHJGCmhgB
WNh3f7xoKiz0RERlntisgUEyVvlGS09ZbvtJgpH651eTmCg5FRLvgWvyx6tFvjcmZZGyiIhRZpey
KZY9llnabD1JVr++lvmTlXJ9nqANuIiycVPSqP/xYhPsjRjOWXKq4ymnPxUTPLyt66Laeo1J7xTI
2W3f9JR32mw4YmPs9A7Yd/uPv7MUwgO8JXBzKpr7P94GZk41Fz3xlnW/rt5TO7dgq8PwyXfx6fzN
xf46hqQwTYkmFpg92QY/lTgbUn3trnFTnA/Lcl+tSVudwRuMfj+LgXEk9JpUCev3b67712FERcE1
Td90XfK7xU/zUhalYxK5Oj2VYz2wKeHXHFkjRyCRYG5+/cP+dC2HgxitSN9EUcwsKL7nuf1pBnAS
YzSH2E9OCeHDSJdmBbhANPNVBFH4+dfX+mm+/X4tCRSOzY8SDhWXH3+8tOgIVCVo8rTMy2huq1AV
5zyxhz9EOF+m/4q+URDM56gq/6Psi7sKJ1b7f/7zx5KJ/P06FLk5MnwfrtaP1+ndvG3cakrgBZFZ
wJ6f8NONM5e0jgZbPsZJUqBlRBYJ1wHYBPDpIop/3zf8t/fw09hZ74GGNxPdGtW3Fol+vAeSZLOk
lh33MLTUnU0Y4ptoMaJLaM/FuYo8sndde/6b+fz7I/xzXAyXtZiCQB5gvcbF9dPQGSIXp1yooDlw
NPvYgAU5u7Yz32jKvYfG1pC5O6Oa8FLNHDCDcOzngYCmcvqKHqRuvmikG2c48cgF19J8iK/oHC6p
cf/rkfDv7lMK1nZiJnxkNT93DzI29eOiDONIIc19m+feaaDS5aiUMU6PLnXnVKPOSA2F/7caswvc
F3gQJH6Fpz6rnCtsLuEJhbR94xtuq/ag5KoUV4qvhsOv7/Wvo9YTPE1aJ/jZ3b80OoQP7JWtLFgM
X0AeziJvyjh+t93u19f565voCeYYJjeUtbwgP82wiUE9JDTa5FQRhHTvJwuBC2VWyStK4fLx19f6
eTpneHp4Cwi7Bw2KjeBnYufstbJ1ppTpHDD1NvLCYUtHtQ/Q5WY0uHUU6AnuntlP6sUoSgo5lez+
5sGaQq5v4o/D1bPpIgnMB/zQ3s/mg7zRhsWbER5VPzbzSeUWk2nnT7Y+Rb1e7ummiLfv2WcJaB9a
DTpOI6Ah2CM3oG3lFYzn8Oz3/XxHscfqN22darJcYGhCaMtIpstjEuhi8CgPS26H7wMC1g/enC8X
BFMwkv26cdf2d4bOwpNXQyOYcGlZWw8Apd1HN9bi2CG6vY4xKpGQoRMDFN643M9RaPebnHTs2wIn
62seEr2xGGzj6H1hQvCnMnwvOKjpc1nUiABKJFVHBPROS6573EMAU826R6hwRG7K2nJeYzyIX5j2
7OfRtnW9mThOgVjDPvqeD50zbgvghjHYljS+oBsv4KkztZjNkLz1MZN31UbyHVW5ZyGfZttIdqyA
vjkmftQDtnKdw+gINkNQwduvnoIAQ+FKvVD/bbwHdBqMN97+KNtnlc/lETsb+MBb5k7MY+plQd27
nTI/uqj1b1tSebFMSJhfnGZbCg10WZ78yp4vrDP5h7qex9vvjzd0x25nlbG413YdZ3CxVB6fQjNy
7bOF+feS4ReDtbbEqd6p77MVLmRKKQszlGdOxueyyhiRlZhMEeQ5Ndg+0Ty7GbJTGzRCxE8gxpyP
fSMgaVqRKO9Wu+AqjOBzRpJ6LpgSwZ7XKnlrhA+cNGyaOYKO4q9HYMmigBLffvbKAcWwYfFsC9tK
3vKosPYmQplXMrEhtvPS5A2G7YJcoJFU7qDLSCwRQz3dJjPNoa1yzORz7nZMTahdcZ4LHMz2Og6L
Febg9Qhngjn2OkrRk8kGxiyqZQ8znrGkim65ROMM8Tbk6DVvunZY7gtpQP1ezb3bPm7RdaR8ASLr
03HB/ckA26HU1q/xGAnkAh6jF/73dNeEyAKPfcyJAaGv8eQiWlpNG858iYw8PWdevvMX7BT0XKdb
aPSUUFJlQnagREHNQgazUTX3EU3Sk/Ca8mqMaLeiWku2rtWKi2mXy7mvhXvE8RQ+RZ3aVc7qu3BJ
Y5y5WoCpTt0WizpkyUKflbgELHOp/eJhJVm7CijyZoRuGehzYUxLQAPECkwaqXt/QsCMLxOqFE/V
+uAnw20SlfM5Nf19HKMoQxNYASSkBBYbOARAyfsbILPpOc+8JoD6leMNXTG6a7ZJJ52XRrX2BW/H
bTNh26bKM22H2XMCFhwQ/HXyTIgnBtpWW1c5Bh3RZzLQXTkeMp/oAzJ5VpmdcOlDAupP/Pihjec3
7I2vujfaXUqix3Z2EV5ZuKVOhvA+UQKBBD7YOg/myWNV67X1ubCd8wJNBS5IchO7CWpux30ahvCq
KlX0qaM7vYudeTrHecEE7Kx7pMKab9zEti+I9Ot7M6GBYAyABZfFvc5UPXuEUBWABXwKJbUVtd8Q
1+njbFZY0ctwCOEARHZ6NskXNDehEanrXubcUJUDmt4Ms7U8y8Wx99OYQy/sBkixyOTqWzZKTrwd
XeaLTIn8ucGy+owraXycK8n+oWoh+26opM6XDFruaihVeyeDjpwWuA+n3IWWV/sFF2UXfWki8eDJ
cXxQ4zzv7KXvd+v6gyCs0oBgE10Xd22HR0TxpuUnx0ACsbEyzPXNzF4k8ybWwtJtAxfALVNRSdnU
CVkRVOSro045+tANzrYF27y9vwiCuceBylSjreK2Fd0Hal3QWUcoRU69AJaI8HbRIXCxe+5laiFF
01SZyzSTdwL7795VffSxS6Pxiu7HtkvC8ZxCcqUQDLbzs51OgNhkifE6GJgnT6XfxGd0UBhcrBEH
9TIUDMyUvQNHhNy4z+dG7Yq5gSuGJEsU6BXJA/LeO2dCTeiWJrzXQqqP00gW6EHIxMCqMSLrrHr2
Y/C0j3pZ/JvJqF1gIC1dnYrcWKOr1ZETtH/0J9PqNtrsm2/a8rwdQavzue7siyoccfEp1+aB45vX
jsQdDClSYTLJ/fs8rEOYhHZoc/hPY4cyRWM+GQQPBGaX+2d+VMw6EkUwizAtRmjKzpdpEe29wtB1
mmgWbr0K9pjnMgRQHGLXCSN5GAG17F2kSNQqE+c5w5x2F3WtjfvFTE/U2K0LTzDZ2piI6yE0D4OU
DGy/vLiUD4Kw8K27qM7lEX+Zfe1H+K0aDSo8lLW5LbyxOuSCHJt8ab3XfjU8M9HUwdCOiR14XdXA
GwX7d4iH0qIuOK7tvDbEbCwm+6YXXnUrFqCEaFwqd6NbIyW0KjMqBxfekB/yrFQvkh7ZE18togEk
vQrCG9Xa2fDnbx3H8WvU1T06EwN+oK39oQ2wy7GmkwnVrDHq8oYT+5pxgWIhHMzqnJtzx9vV6cuY
FjkSadndeu00He26jWkh+d6xmBayUj14uAMU4asKbsQl7ZFOONFQvK15BnBbtV9/dFBa712XeFtf
FgCLNIGoJ1wu1JKAVX9Qrf5c8NG7pq6cPPDlAjGxJevmVWgnxaRltDDadc9e1jNJJqlJgdk6pBpd
gfwkNKVKd/ziyS4rrC+j4UPwheWGutm3iT2Kovmi/L56U2Y5QHFOja3nswYSmrMcZomelZjt7s4U
Q/uW0mU9p3XOqsEk0HxvtDkgK+VzR0SQar+g/ffgmzrlFL/HBgavLmnzmBe7KzkmdcZ77cblZSJJ
5iYZZf8MiWV4c5rEe4l6H9/+6iTEcw/jVrLsoY1XBc24ojwarjOfLSuFklS4w8e5Q3cosgKSsjfg
f0xrMn/xX5oBu6joZrZmte1yckltqw6Rj+eTzV1109EpU3FxxiRH4DuyZuAYnYuAAj3pYkxOMRlh
KWF5ZrhKuEnt7bedQ3eUZQsyoWenFkBu8kpO0p9YRkyqQ4zL3F+D2RbjKcl9sfeRL+w0i8LBFro7
6yXpv2jORpwwsNWU8Lvf68ZLPofWOpSpKAlymTUtYtjy09EVdvhhlpb9aljaeLfcfrwOPdxIslzS
wCR1h0bQ5D8TtjZsrF42n0PtJGwnhU+/OnlmY0zcREgrEbnig2sTu7IyCRam1zAPGVTFByFLsRHg
etUwZZtUleQZKm9PgxWiX4kOEpFwsZnYnNAJJi3GLBv6rJyxkScSPORPyVuWW3EZGJyTITF1FUvl
SgU1rH3vjt9AlvgHzvJOUDeWvyfLSwVZ4Z6ttiAUgCbBppBrBhEocCSodPZChrNIJ/NqlgUQRxN3
AB8cV713oBOUbYpizg8YbafH2oVEbfVedCGW593QwqanAFTeHQbaUxR2dy3VrHPSzPnRF5QHrGlA
Ka+b/qBp/7xlHWJhzvisOmyEztgmHezJSb0vxg4tejel15k5HTKouxsC6aaAQ7WLnGq6HV1hwnOZ
3KNsgLGKYiBTqNZgEclssdgK3k1mS3M0T1Ende23rjGqnTaq5WC6tN6L2v/czMg1mlm7V52mdrBE
4oSFFeqY8ZrQCq/CeGaf4t/glCQepn4Zi+W2z8IzMtFn3YQXplwKRohbr2jyvqd19MH0gTtZ5UGz
m4YGBfJfJKi5AF9sVEcegxRtsDSr2sow5XO1cv5FZb1NtBPPOYFmWy+2SAVpuq1viX3a66spViM6
Z/cLzS+oJgVVbSxmnAiise8/LvbyZQInSZPO2te0rsdg9ufoo0AsBb6y8bKz0+iBts+MYj2xD+ay
G+rk0zRMIEi6+FrWz8Ib+qfaq/1d3CaPyo7ioxqJ4Gzqof9kWI23m+BlHgfOMNd930BkgIvOaz6L
s7QT9cltnfKQ0MaD1R2PzSmpXcqjY7oeJ4g6mQ4Vwu4dvITMQSLsLtcAdYxmHxfTg4T/9RWnAbwU
Q+cUdDaZ33riYA3WaF91XgHbHwfcMN3lVrN+nlVnZKFRdB4pXJhhd4qQaPt7NWa62VDVdCDJCnh0
e6i42DAy9kNHheqBzCtk6sm2NSr0O4ZP0dRtR46cpFkETW+FL16Uhe9t6PICclVaDJI2bsNWhIPU
1vIqjkURw77fEj8IhStaexoYRsIXwmyQxRh03+GISPydy3RTs8Z98OpwvhgQ0xEJQdzsiCAVN6kh
yWfq/JljR6+YlsaWBjOhD5xOiJ8YvqWLNd6m7gyewiTs3IwaopazMXyJCoMid0SmyYPZym7ngvkg
8HoZxBtsd1deunhYj7x+R1xSLHULLG9g65Abrjho025O7O35aPjNBtZkDuhbSTzRXpmK8xWcgM9u
XljbpGH7t3FiTbA3vADcHCeQQWmwsOSfrKxlIW3t8GzHkqIAKs2L1ytqBGun5vv1Bu0Yu7lym1Po
2vRsoKofhHKKT9//F6IAMLa6HPuRP/gHJeVyhA+iX9sC4F8wNRZVAs8eb0cC/bYGh016PUvpPpKR
PF8QbtJWjrt6/71QTNYEbZSpImYeFck2LxINxTIhg9TwucUiHrOzSxLrwaUf+pHgbb5AkvKJzCPL
fUvh5U4mufmp6AW/epkJ7nmcmlMjy+kum9jvkgYvjqg6iBTT89wR/cD3cuAVPmnJsa8eYk3u25zW
B7ZqnO37PlcNifYhIqNkoSpC8ZLJAOYscRpocitnkIQHhqIoGP9iMa79KtKvFP+Sg8hSKorecuU3
TYvfJvc7cLZogGGaREu177JxdK7zmlg65Fryik43HbJFUrwKl+z8fdwZSbnsh5RfwF4wDsPuW+7j
rsV0MUBj5v5iPGdGSXUN+5Oz3Of9+kzyni6byT/yW003FRKJs0uRMlgR+hcC7ssD/tIOk2q5XBRc
slsMS2QEE7+0p7++XDpnDS71h/UD89R9jCzfAD5IGD2SUur5SiMKKZX4VAj+JCud5vQ9qh7GEk/L
JKkVIo2t5svABxG81yApqkdDfIoJI4Ct2hGTkrSM+9hge22CDueNXA/8kJHD98V0KCqljCZ74ZLA
7KpXSoklqpnSGp47qGLXPsne5yEOq9cwFhNstZhXx4h5hR27pzdJWuA51Gb1mqm2O/n1ZNibuR1y
gao/D80HDgd8w9JyKX+FUZSxAw7H8uCXiXXNuaX52JGolmwKKM3nvuIxDYhNyN0jY/77C2u1Wfy1
WAr9Cs+JS099O5xhOIenjpIrtD3PaF8XgEWRoCLX1fyd30DUZvJ96yWaptiE+687/aUUno+1LcSW
NzThWXT8Oh1ygY/1xBsY9rNPxaL0D10zdLuI5LOLTQn8ogsSJ5tRon5e3MW8yiGM3CIICM8yt7nz
jpOP3JZMhwdhS4oftEW9rVxHwYj0/FpqSUkB1Ty5C17HmXAkQPrsqkW8RSLVuHE8A9FjrHmnq0ai
neR0CueD+dF3eFK4tI0n0szCd0WaGiiwbh2DjQDHrqQOzwl0zJB9wLwcDUWKLcRejn3khw7fPJdz
MtBwc/rUgu7+PA0eXaiWDXlDKVVHCABLRHUW/Khrsx3Km3js+qdEjN5XPTjhe1JN/nmQYOEIiWFl
chK0dLNUwLsBU0DD9OvwJXWlRP0CVIB4rooC9zbXCdG130vC/8vB/RvnsiXoRv2pev4XDu7llf3f
a/n1z+7lP/7oD52DkquYQQl6A86qSliFwn/oHJT/G+0NCYR2FQmbFkX/f8kc/N+oaIHJ8x0cFKtQ
+P/JHGz129pnNbEuKwc0GP/pHxiY167aDzV2wQBne0EUGKhm9+cOXyn6tCnibDmqyJQLLTCnJHc6
mp8LcxqCKJLyb1rvf2mYgC2imE+1nzvnnPtTI4O6QUyAhjsfCbdu7gUBTETzjH/HoP5Lk4+vtGoW
8LvgZbF+brB1sqXuKonWmlFwHUZrqu+zqkFLAIJwJ4wxB/2GSA1IiPHQEszy/Kcx8G96jIgI/vJc
Tfp6a48PGCrP9ucuYz8zXc6qQ4qGtZACGsjHXLEmD4708MPFzRlvYtMeSOWjDKapsqxVjMRAHsk8
9kghCB1mxXHt0lKjZrtkOjkbijHbE87C/5tXcwH4LjeWATdjykIpw5ZJsvPm+R0HWkamn0clkJya
Y4xtIggVOS2Fiz8kxPJ7WNsHyUZHJuSN1V8Ovhba+1HUk/mE4FzfNByBnzjzTHed3Ydwx1r96hXQ
M5GpDjMxg3wjuLDDB8SO86FNp/I6NI08aEKU4UigSeWNQ1F9jpNZv6BW4Q/HKfGvW+b7Hb3t8MEf
qGpvh1aL6sSjKosgQhRiBiE9YvuAo46vKVRr7dSSWE9zNTO7TlV8K+uFxF/Hx8fJagDkVyXNfZUP
+IgHNUKi7fAFtm5MG8eekiN7lnGLsKM5Z71V37NfC89Lr6aDS/bPCYIqt2N3w4eUg9iHOl3cR34d
GB1oM3aE4OSIa6f6ywwrJYgwIgfJWM7PcRdWL70grG5DXpE4uqPPOzSysNld6V+7Jn4XPJPz+9jr
+Vk0/MksmvajiyrtOpwiwumjznzqKVJ9TLuxvJ6qyr8uCo8ngm8G1I5TjNBDXAIRCATJ9a7V6JEJ
PLN2lNSyB+3G/qanTULAaNV8cUL+McoQNeHtJL7oSPEJPqDT11CdeJ09o5sPbtLnJ5A0+mZWGhEt
ZBpg0HbZoI2GaHnSrUeDbaGArCheHQwCxh8iHIcU6+L6BtWFpCYeDd8yQeZY2XXZvsiFYNIwq8/J
VA8fQp8MW78e+ChAhAddhChZJ76xPxr6JsT1E7hGLW+NSAxUHPkurpP69PTiIhjg9OB6jsvhG93x
GeWs5dxGDr9EOPgeHmg9b0laA29LK5LnigX3lSqlJCQIaf+2m9hC0uINwwdXhPUX4kyWSznG87M1
FoQLVbwMeVNne2px3VeRuuZTwoKKiyDnrGLwbMnlEUdcVDzqdYjmZEN8mxu+/QLsEXDWwi/huNV8
wDI5vzfZoF/ySIXnvM1eRqMlJyppQCJ47xy82X4lRoF9ug0LCzuR/CwoP3yywrD/EFmMzY1lZMnB
EhwBHIfkwFAN1A6VphcvGZTrlmiK+aFcZXR7wKL6VtMguPW7Ud72pOo8lUmrX3rpEjNCWWm3KI5c
5HFVn+1Czlcpec+Pk7c2AAysGYFXjtVrxNakDBIbFbDfwC/6/uW8mJcATpLxMM26hHyJr/yCqLP9
SOkze5hJxqEnsmrhTfzt5ylPi8AdRXLsKrgcwRROyUES4fNF44jlZyoyoqNpYtWfSKryr1MxK3sH
PqO+6Vwr8qyPXuZDQ3wZqnLsviRN77wkZllk0XGwl9I5EmpqlDtbAKa8zPUYyvMY2b3zQD7KjHJ2
mp9Nj/MMdleoE6acGnRGi7tnHEpKJigD6T4QewUprbzpK/oEHSPs7BjZXSdaCAoifzBkf4OxpNh7
sZL3C4emjVTUfhsZUUMObyiY0HZSvEQRUeunwsqeW6RWOyKV+13vzG+JR0fSGfqvWWwRuFBGJLk7
MRkZLr4Ss9fXpA+NO8DBE6XVqPtqJm29ixLsAl0d7tEum+dpwcECe1oFuZIwMXWU3Dik5V6oqWLj
IArw7Kbe2ciwPCQ5ia8bTQLVCYkAaWXGRD0MxhosY3KhIZTm75HGkb2xcece+taZA4xnDzNckp1V
GP5VGkf60rrpuHdjXtg6JXCZNNpp1xMYheCGH9IyB3ESlPCPheJUozvbg59kYIRe7fAD+K9DLJQO
LKMQV6SO+cc+Mh/tAhKBi4352ix9O99ZPPsvrR5HN5C1bywbAASrtzjv8AnoBCWGSfo4jozrvqVS
R2Bhf4oQX1Nh9dH4ynC1K4ftF7sa+0MkI9Y8FnCPvEKWOWAc3S4t3foBraKJGyNr9xGVA5xEMJI3
vjd99pD0bPBST1flFIFuyrPsxTfCCg/C5M4HmoXUmRQWgi0aiDhQg2OzQ7Tre3ZnlC3xLaiTZn4F
H8skglQ709B9Ne/VxclbfUVfdQENKKyTNWlYW3HMW9XuOFjVwFgZgVSTsRC4zfS8jDaGpJQehteW
xzHf2oNRUQh2l1cN4v1kzcXypEnLigKz9Y/TIv1T0YfzXZLZy3YI+/qcFdoJXCsvGO7ZsMnBbtAY
s5171ToZm4PZJD6yGUFnaW9fY7/ZGWvLeoRwtnV8O/2kXBiLnpjHvRPOZDT5g7Gv47yiLFfc56bB
Ws5x45QkNkVtZxi2ERzgD7kXmYc8YcSTFBQjN5/CHXlpzqUig5HmyWg8IDbwbsx6mc+rSDSnSw6y
f4clvPjmRPVNHC7q2p9wSAbOOFLyJUNI0n6Ls4tuF/Ok44KOTBK7zVUONOalT9XsbJQkHYsCKFDE
eKarF6RmKr7pYuX1g25yCU9KxUA4Ye2TD2M0hx4v7gsxUeSbL1mSXjug974UdurSgm6dYYmoN5uR
fPEHIY5jnMFWE1VJYY4sg2yvYjm8ValZBV0+rvsCXd9PE3Bvtx7IGfWGIrkyppw4m3BWKV55coNO
iMuba79uKydoAIvlMGlkcoSCHLZALCp5O1uEeC5xqd8szdmYHuOcrb8NB791i5SmNuvQqlJIZVsS
x0Az3St19xUk+qiDaLSqbC+ylgVHMwu/l3lOMWI2wgdNJ5V3APnFtQqFDreRXI+bcQJ5BCXx7UJc
3IMBhY6vm9hYELIk87YRjvGgYJMXk+g26beJ/Be9w3lX35hEdBMnyq7w981XnVjmU2rO7VedqtTb
WmAl2CcX1PqJ8yKul22o+ziR0Nli2qrrcmcNTrZNSSg9odMqr7G4EMAoWrQoFbbWrkmBaRaatsn2
/7J3HttxI1kafiLUARAImG16Qy+KpLjBoQzhvQvg6edDVlePmNRQo173ZkZzaiQkgEDEvf/9TSgb
DncvK7S7nOyvh8jETzzIqDTIhCivgun0K7zqSWg2ZSkKkHlThtjw2sbUJJHnUJ54VWXcsA3m30Vp
F/1Kg8/GqQ3Hx8ZmxV9kWJLgdFmO2xAjkwfS/Xh3BoqyHIy9HrdBZo9HHUX2Ouz6YRUEnOUFxdYX
IGf8vse5/PWI43Jale4Zx5BnGljGvZup8dUdy2iLV1sBLSbyADwHOBij9GdBBKbD+8T0qt/R4H7V
Q8wEQfolpPTsQG9Zggw8kiIItHYXaGZ18D02Q8phh4hXhNW3jKgp70XlrnpezHMz1i52l+Qdr7pW
/q6hOQ8cooX5+5dA2ADQIs7l7W/pCoElZFy1Oyui8idfoZPXjo3NTdACUKG5YUjk8WTbAJTKCYoM
FyQpdmCvzyQ+szBzUR0a0Y/HfCirp66zrOseafjngYp783H3ZdAcnzW18J4RDsDyJMca+9q3Pxa5
buL0mmh2GtKu2fDZ/jSWfGi6EYfXZAfiOBk5LDCjZ8UnbeOudM6peZJevMQldbPDxPM3lM9Ty/m2
00ZCDPF7/lEOxPqzxjfAuh1jv6DZYT7PNNED6F01WAfgJ6L1W/RO4YqteVqPOKYwde+ooOKS5tUJ
58/U6pM78qiqg0htGE6+LL6XUercunZQrr22mna+VhdIzluprT5+nNJ4vxBhy7uAFzTVmKedkw+x
iIGqMg71Dnsi0mucqESHleGaUEBf4Vnmw8oLhfMKC7PfwboMNpphvrhx+TjkgVhHknJJk4SPdGVW
XPa1aX3pyzK/RJuUHHU9E8+mlYTqsgzKvD/WYegCwRvJSrdAXUm2HrcZW8ku8CJ5rRthua5VRr2a
Zt4FBSTjCyXGoxVSzddVN6yKeYcxrU676wMIfBqIGWS7QJcLM7dwEhcNe6xtQf9vhgI6PuZGexBW
anaaZfoSXL61BcYDrJAajhekjblWR1tU3eZpNe8p3ly2JxT0Hvg8Yt7I/mQxC1iTZogjBZbKF3HH
WKWHfrcM+rB/mMm94cKTZvpcC7iDhzadnP6i8oeAhxRBDNFU06q1DBICp7tS+CnJJhj/oPSQZqvh
f8gN5eZD4VsGw0JRJnvHntJgj9cxyjh8axJSBnEcX+kNspulH9nIbxeSivuIUL357qREAXMaU9PX
ehjPqXQhdxwQH7lWbMLhIkVHtnVg0S00UnuXtNP6ju6bLZZwh0c9ptUEUpfINyF/LTMPiF3VNG5u
aJVfx7hLNnXURtuup7rSk4EVyQSjXYW53T20Ufrs1PSPENvKL+6QimhVjzPfZn52XgIRhAylWSQj
Q+2ujk2xNzg4bhOsjrZ+ErLpubJN0Zm6xYuCffZiYQNGvZ+aON0o3qdo3fqGTtS9GCsdy9CBpt9O
8+Yxhx1H6LmBsbRiN2rn3i4PvRTzsBbHamtKFVNGkqA3BmHV+7qJ6VpyRyyonZzbTNTdg25AaQST
L15kUzPvsOiwSoPuGe3lxAnQEmX5aMYASgRFlVeM61D5+Ra7Sevn5Nu5LZ2Rb1mtQ9ryxDfSQHEw
FsrgP2IGXX0jh5CnkpHh3dAdLsj0nXZ5yJmI4hlUzoSluVDefISGGMNu5IhvECOv6glPNPfCGIBZ
mjL0LgI8LQ/R6OQXNq4d25oDdJtjYLAs3Lx/cLELWLTDGG3dGQHCgrG8yhLwISeiTSaVfXpl6hhM
68idyi84cN30yim/Mn+k3dYl3ku5BblwIO7OsPhHc20unOdfrayZy4VhGwujSOd3IAaUJ/Onqub9
XSfPh1hZjilZqW6j6iy2F7E+kKjXRyAjc/MaKfSjqxBp6q2e17yZIqYUOZ3FBELn/oz1jMdEAK3P
RS+4jmAWCrDK3aXOeJwCRgaqB107LUOGJxQSAc5pO9WRRmsFIB6iGavbE+KD5VvKrTiYbBkgJ/gn
p3tEoxH2IBRUKW4DF51vy+UJHtDwO/raWhWdLYAjj34G8qbIHTcJ3P0lmZqvtQvXbeJzw1QVh2Xk
/woszA1Ar/RSJXdVaamM4WTi0adQknUFs8uq6wHn8pZXHAx6Ci2UO8IezATEmfgEC28AgvPhGQPt
6JAOO4gAXswSZLBpDOs844sJVCavzcSepQu6XgN89Q3ctBpEcLKS6mkSFkAZNpHVtwDnmDV8t/Fz
jtZq4Zt1utdmcAU6H9saHT2T0RmpmUfkC5dSA77SFPEvZSZgTzWxxQmDy5/wm9MhqRKw27wILYiN
2g9dn+Zy2Zmt4NOMYqlqdKzzTksTSs2mtICG8sLw73QjzS/KwkxWlbTcC2gO1VNhgKEx/gZT6+Za
ecCEEDNvOi2mSy2bu2Y234vUK55VQLFT65V3MTjss8VA6hZ2EkgU9FzwQpKkM9YN7dOaPF2gCmZs
F/N6rup5G278ooE3n4JIepFDzZvU/HUOUXzXEQTehzPqTV0ynwI0aM+Gy5Kwpq753lUM4kLDD64d
COiQf+f1QzzmjlYHMNLmdvwZ/TqVty528JsgyZO7bOhBkaAlrmwHLt/pbDBaIGDYJ+G1w5YP7gSI
2mP/e40aXHJUDJ57UXmUIdWYmPfw3/ulR7jk0kZugFMNLz60Y+O+tHH+jDpepAdAvB9TPb+YsLm+
kARe77P5HYSUh18asuTKTT0VFOeDwW4Gb+xhHCiTywR8TkfcfQ+Vn82WfeypaNzyC/o4xrRzoOoJ
EuxbQEvXZOQVYA7EtJLys2E3KZe0OQmp3IoVUiiKk5Zm52R51woBClqkfBSj3hfPBM0BUA9gxiLy
aRVaCmdhV8PKBFwmHHtePKdtVjk8DZAjeN44/DzS1Y9wB83ZnB/yGihULWAxA9p8Lh2qdg1LNqwv
mp6HqbO9hT3fUQIl7VG3+5IeT7DWNMzH1QBehlNdFu1zS1aHoUwBEeetUug8lDoRyfXkEn6eEkcC
6gV9V1S4n2JMwudIrDLodN4y73U8w7gXldP9cGbucstPh2Gb8OGiWae8TIvya5PVlBwVjuJ7IqNp
YsoovIZ4/tz3kqeGwEXsTTfkU+kTnkGb6nRD/VA9UZXE1qJTDHsXqV541C2djK6YK7PJDpBKHorC
p4Ice2J7O1746CbTZWICqZ/+z9OHOWYxR4wG5/ObJIz9Dq2ptc+nVt0oUxs3xOFG0FsKPuiIqjJw
JJtML1nZVulMcjHJaLos7YmObHDGjWqS186aChumDQ3sCSieqYSWSWdKPk0GkbmiJYOk3G0BErjj
AcFGPOw61/oCb4i4mHkSQ3RRue4k41Y8Jzv30PptsTiVq/8dVf52VIkP8U+V/S9GlU3z8i3sIIy1
zdt55elv/mteaXt/eSa6awMKi3AM9Jz/O6882SoLKdE8MiqUuBf9M7C0zNNUEos5TOjmiBPam3/p
si3jLxMbZlJa6X3YhRiA/sHA8lwI5XIF1IgCs3Qu9m6w5onRBhTVSkJz0teQUn+ruYW/iFx9+Hsh
/Z8ivV9dydR1mO6zw9I7b6UUbw5rLld3rjkNMCTK5xLv5MXgE8z203u4+bsJ/FmS+KsrcQ3IyxYd
ouXO//0nmWXQav5UlzDz2yHpoELo101PdLtdTQ9/fCGABNNCWW9zW+ea9t5JaV3qCQkA33OSJq/Y
sr3G/O//5DKzIZXDG3/3jlpGb00oVUlPOnhrz2W4OKutl4mK/oNHx1pF9o+lNyP0k5Tw50dX6plV
hNxRD9//QqHNgBVvUgPm8W9uagYNfu7fWXhYDuD1x3vCIPFcPOn0yGlazCp2mJokzOXGuzFQD4Y2
PpQ97J2Pn+AMBry7mEBPiOwNAONceg/FsuDbLModUCMgH0fJLoaVR3R39IJsCyazVYuFMfrtny9F
17YEnAQE1AiMzzAnHD3ohkEvd0APxacOqwG43VryoMX86eN7PGcCnB4okAi7ApFFfNVvV/3Uxd0Y
gSrttK6qdygixnVs6v6nj6/yi2/LhSnx76vM2MZPC2RmWPQaQ70dDr0SWpJ66DPM+PL6P3t0P13p
7NENSM4LBuIskLQbV7aKXyakU8v/x+d1sgp4uzw83DwJQkYha5nmudAde2rpZkWZ7creLFal3mvo
3UrO9snKRrJOdGJpvdrYVDBPdnqtCsyuifsQlZUf4EVAUB/oP9auInKiZhD37QQjOzHpS7OBwaZz
klcUUGIfTEZ/WTrIWVBYNPbC9MCYipL/lzEkVJA232Q8LjBSUlV2O9ae+Zg4ZrGXZMM+9xkFypAp
ufOdiXnFCLtriFnPOF7ZAYAr4U8LQDcQzIrakiDYfN0lKbF6VEmfWi22Djrpkt8qn13eaG1+u21w
ldgqjsho+ngZOm5Y4P+c6l9xuyIwvuH3aFjJvWQ+N50gqdgUXlBeM8grVq2ELQKu4fsEsuGCoICx
W+jlPpVxpTMNi3HMh7pZastM5+6mjI0L+VS7hJxgQqBgcwmDKF/bNkcAQkljtq0qcAjzDHGwMsrI
mAr7iG4C4wPM3rauh9DSSXXzMQh7eVQBNmeBW6QP9gCiVDWi/FLZmfnoc++44AxgI2VmdRO/qfdT
nKBKr10KMfKtK9uinyXJPX1oBsSoFN3ZLdS99tnn0RzDuCqv7S5+1Q3eaRfb5iPWIa+qGfxPrT0V
+2HeGsOmKeYoXvCSmnITPrbnpeFNHNnqLkYkuWdHb5dQQ6JtH6SY7kk7ogY1uxyeGzLohYUl8FWA
qAWib5C/2tAar1CT8RC7VOZMJgfQ+tOyT5sAPZvuuxdo2fJ1EvEQ/C6EjosF2jKryuDency5RXei
5NmbIOll1YCUhmQgRvwtSvVlMdV2uo2YEpaXBriSt7JDv38K/VLz1gwsG5zOCPuaFjaIwYUGrfPR
xdPvnulO9mo6yAC5x3GdM3WdKdbVzoJI/FCQKXEv0OHES0mFDosaekyy8MKwx7RMASrWpAEsoEvx
ClpfJejQ0DwXZGQmGuIC23toKpyPCJmctCW+SwRzk0SzbUXZEwCbDmX40OZa0G87N49fvIF4bfh6
/SWR3nB6Ig8VUdP7irrZ658m/M62ssQ9bIPtiRlt4lLIaT1B3iEwAeNQHNlVYnydvLL5bk58W5bG
4G+VDrL53GOk8YVgQnl0xpQ9FCBMLmrg2gNktIgh4IBUzEh4EzIMkucqMPOD8oMcALUxl3D7X2lA
PHg7iG35IZDPg2xcaWNDPxJCX7gKEnzNuyD1trHGG+oERx8iA8Azlw5cIkr+REYb0rqwVOGPvPTk
Lk9s8DSbhO4Ly+ieymbst4KQrXrhdSyECRHTYUBm0kBDWlRaywzSSLdeHfxou9pZhQ3JvJUJvaBH
uDxGJOHawEQ+UgeOQuc27PgoGTarNRBCf9m3tbfGqpFkYbf14VI6yaML+/eoe2qD7mu2nVdlu8yG
BGMqhoTRQrQpi5pdEVvuFFJJTsb7taCoZEzHV590KW0Vemxw4nhcTzW7G5KOHmM+zt3S4r7NLH4h
Tc69dodYkrfTuLeib40r/NpAEyxfHAim42psqM+dB3VCT8di1efcvmzw2V+Q+Y4fWN4N3xqthqsf
NOw5oZW4t4Zdk2OkE7Mn2Sjrmv3DDjXndopgnZrokle+g1x2IUXn3vpFUoP+dexkp0oL3VOF9i3r
iGWL2cTMrljZA5cmFbneRQ3ZEqZhDN9CmRPLkOaL2UuQFQzRqY7Sa1G2xSYchMtLyMrrpprrahJG
j6lRspjoPDuYwoa1TIi0XUQ+pn6ZDdBy2nUhqX1pE9f4oQ/sVv28RqQ+GVeJ30ZXsVTBpsdThz2O
SmKhaa28igO5aRi0LPuiNpeS6IJt1RbkZ0928Rk6kXc9OVjCKd3B7ZJcpWXHGyaCTK9rfDXt/L4v
Ax+mbZ5jQtFlt03H3qMF7B6Dx0ef9NjP9F7RbQSqUZDAProSvql/9YyuPQK1UI8W3bWbNOmusfV+
G4eFt828QLts6+haYD3ypMVxcz2qsL304+kx0sUAfQUamkvOBH7AhtxNWDEAJ1fZdanV/k2afHGq
OlsxgH0tAj9YIjX6zPf8UPc6sia3QMAQZGjZdFFeWyMcCI5F/BNs6yv5DmiSHQ49VPTAaVGITD5n
561zdhw9cyEs6Qas/YlXStz4XFvYVlNuJt7Bht4L+ZhNQgPndr7sRwKld5kprXoL2L0wgWKHRdsQ
6AzWnbKZxTR5xLcig8tmL6lktpMhs9mFTIegoM5qRNLVhN1zKaKMQSjsfegZQ5Utysz83GRmdhgq
gVmJ0+pYwjLIYjTVdKvOyEYzBQZThWMfx8FEjcDhk9bsf5kz+HcVaPbAgCAOyduK+iw8DLEneqLB
Mr93D9BqChT4dicIV6QWrzsSo73aeW1G4pcXLvbVP0oJ0YagaWevwLAhG45ePSM1ksSHRrGvj66T
oFZs67a9IUkqWNSx1Xkdk4wgXrdlWFtMTjuD5ODGaJ7dRE9gFKn00xALBZ/QsAGaKK4hO5TO2B/y
lJA6JBpfLbdDThxDIBiJLrMIzNqYhK+s2Dj6W0kW2yx9n71FHfImNcsct3ynpsDXjmlxl7rtzqy6
Fkzcf0lCmawdIqrW5kwCK5wKOUdrKpIhSR1bgHDqq9wyO22JQnq64nMNvgUYinWLxGg0IGgUJHGq
aXvCOHQXD8mM/c2y2b7JHu4QdjrWsBgsL5VYMYY1QeEDfFF3lL9zQDmNod8Uo5itwUjWdU8ycjWw
jn9TYTfTFFhdo6c7kCn2G3PoL9ugQ4rj1tQJLaXl1Sg0xH/mRF2ReHVx5IOXx1ZksFMM73eN2rm5
Dl7MM/kXhjQIBc3u3Hf8VPE7gRnwDfB76sx4IA/nWCfsqYODXV3a3fkjx9zHLca7ztDTDZ3WEDuf
2bHmfDwK00RmAVAiQjOKsNzvcO/NOY7zPCyOmjUW+4+vZ7zraeYLEgE7p6gLIdyzzimvKXAsO0nZ
UFCbLNglCiI68RBZQeZ+wcLHWyf4Plzb0h1uTscOpjGGvQ3NwdjA99PIaUnlSzFV/VY1nOsf/z7x
q9+HlRMsrJn3/q4pL1WEzwiC+12YZdah65vstRAV39TQDg16UMT5ak3YJh9SGBvtFYkqNLMJv7g0
KLShUb5QyuQH14TdMJp0nk1UQg/GzVgeLRMScV7HNYh+4yGbrpgXtEzEyTBkVxbYZxZriwigT8LS
rRdh47238PgfW+zWnVu4kxzA/qjSBz2K4ufTqZjnuucuhykhvebjZ2HM7+Ls68AkzMZCy7ZJn3nn
w9bBTuX0SnatHc/6x6ZYIA3FeEVYTxXquh2zdYhqsGg2EvnQMqjbw8c/4V2fTRgD2b0QXmenO1QF
b7+HltAQ4ukZbXn021upBcUR94jfbQPvEAuuAlBh2sIhZtE5B2K6qOt9G+fdnW1RPNsBG1deYg2L
3zJ9hp0U6JJimgcmYP3Txzdovn/GlCiwK1xM0XBtPG+HcdOy+jodwp3VDIHPCA+OlEZ06HPWURoj
dZXjtadJb84Tf0iIbEfuK3HWHnsSetoiJ1Sd/ZZkhQoJroDSUlJOklO7o/5mGAxl7Hvlz5pNzW9o
XE+//r949e/wasOYiTn/t0X/ZfQtjIKX/A1U/fdf+sdC1PwLcQd7LtIZrPCkLf4NVZMZaKEV8KQF
eIb3vY1C5J/YE/cvMq0RZ+AWgQT+5DT3v1A1Udez2RSNLh8Nedx/AFUbZycRmJMhhAX3DbtHy9LP
bSYR40H4TRvjmDP4bLGgwGRG7Wo5cxrQftkoL8IxKy7ixNAGSt7c2kN2CREEN14pX5wIhwoDJmo8
l0eSZOCxhtJPgMUxMGfHIahwfFvYbKAj+elJ/wKRPjvScFbgB7s8Wp2NQ7JtvN0z3KbD8QXD3CMk
EHVnhLm2lJRpF2Pv6AyiRjrjjy/Iwfx2o5yN/3SGDpYE15+NDc+ObQzoRamRzXcElbxAX6nFy7Tn
bNnGFpRSRBCVVu2MWoffOFQelted1TvWjkDn3t/IIDSKPdZ2AApT7/BUctsHRzFbW924eQQHvcAg
9Sac57upabTT1vLz4hg3hl9Dzc45I4zEr+1FVePHtSTKFoYoqR08a83u1R0GMfR9xiRf2rwsGlwi
XC7lAUcE69rx56ZD+ohlB1sDlbB5IxTXbdN1Gx/fe0yPULDUyEwqNn6O3lpQCo2W5tXrqS2Nq9oF
x1g6QURUMWQPspcAdRA3h1YKwT0MzHsDOgPuQk7DvTU1pEUNJ/mbwMZjGXgictVaYCT9xeyHZGJI
bFbhNaEs/CKMTcWeoidUn2skURNxCBq0NzMOjeZoFkwkrqYES5aN7Yx2+WQyPA4Pbd2w/gJU0sBp
juzvpjpnQCxSUz2WroHrljBbnlzU4P0J6blQxb4ukQcte4LZp6VvwwCjd5g9y8sOg541Cdmc4Gqq
IB1pehyHM1kHRLGo85mbCmc7WsZJLl8wwfIfupGep++wBWESjnnGqors2xCQCX+JpuIh4f3EW7At
Rl1PIaqYcmdNaJPXPEfRLWU0S0MjjKtQuUjYcZ/GiSy8ZW9K0ziS+5iGh2l+Jc78cLwqSnh/pSiO
XqWBrURpSzrQ1PfDZYjn1a3m6pDMAchwZIER6kLzIXZ63eDCwNQfOQMNhu0QlFH0ZrpGyxGsUrxo
Zi6zGu9hSbak93n0Zlnsw6CZZIcYI27l5TgG9oPWO8bV0JfpDXm/BL4Djuxo7ix3GZm585IHSf9Y
CkwtICixZMMBhmWPr4G7DOO5pif1EysVU9kS/hi+BQ8avkztrYlHoL2SvcOy6WuHxztEmV1f40wh
xYZsOnLpl1lXCQxaR8sNJwFqYGnYumSKdxcJioTXMR678gt/zOJXPP/UXZTpQBw2uWjLImCNNMzr
uyWds3GPLo3XQxxcZS80f+DdQgJLgVGdgtD73uTjQgDNR5mUxeBvGh1TpSfMxNQd1TwfgoYDuNpF
Zmna24S591GiviCLWjX0+30MZhn7prpheFHtOhIp1YXIOx69U3RcBZCMyGyDr81bIy3kuTjeTAru
JP0G8mCzvk+mSdMetM6ZqouW/J36ZiQ0EUEG7cnweSKKzvscWXqW3Pl9DNkRinkFGCrEfkIh3i+m
MeNZ0lPyLJU+UHZ6XsCDYAZV7/zURednsauEh7JCmrg8LeREaby4Al5+vbL7+aNoa4gOCzVA8WMz
L8z7qNNQbTF9Cu0nRUyHeR37kFEgDxlJ8c0Rg4EdmEvx6M4+AZiiBTFpAH5Qx8+1UUMgXMgOkYkg
OjR5rNkhjBBZziTr6yLLc5L1VKARF+ukgVavzcTgX4LpGR+aCmsuaAe1cRXjs6Ie3c6vkh/SyU0T
DGqsAn+d6b1pXmecPxM5WB0cwL2fm1ghLEg31fV9aJKJvZDGjO9rUaAjA5vgo5ALcZVjFfwk+84H
xjU+OX2ghiWGdt1nhHxEeLRNiF65bJaiC8K9SD0fjZ4f4WER9cPCEMYoVyGBjTuQH3tA7hdXWgSM
Tqu5sQAAcnIoyhEbtRR/o7J09YcGK6ClyPRnDahn0eIQtyDorl1E4aDcnZGYwde08Z0fKhA+Mp06
x5HfvsBashrXSVqrW7twgmcp+nydcUitKPvEHUO3/NmwiN4wcx24yZkyjBxQ/994AR5JTpnQnZhT
kl5GZZB+NmMiETy9aTeT1gIB9EotsbzBuiQbyus+nbILCcKx7mCe3bKtl8+x14Wfeiu9GRxdxdu6
aqxNNVYKM5Ai3/ZYn3wKGjv9PGRWE2zqNkc0wAGG51A1YbziJRs0qHgzVgPurakDehP1orjn0Cmf
cpmV4SqempyUK714DG3cRwyOHnAeW3b5Eh8zdVXaSuAK0pNIThzxa1RjbZDCz96ZUxxsBhiWVzJo
HGtFXk0+IgWgHFjNnhgAslmxddNqnKdcotg7oTI3gTRuY78ot7oKu1XNPT5BsAJ9QtNm73P6r349
Zk53VbWW/8krQ3urNVOykXibLLVYm9zNONqEd+CWcWTDHnd6no/7QTO8/YSVBEZ8db1socMuq26M
4c819n0f9dN3nVyVI36mBG3ktZeuPq5Q3hVziLjBnOasabjZ9N5vS6KqyIQbp9CfVEsUUJLPsO4g
OIQsDUgYYUpxxMyu3n181bPmjarIgYeBd9EsY3bwtXt7VcufQiccpHeooBR9QbHIxlC2JjXGx9c5
a9lP10FqYFMum8jNz12l8ce1u8YL/IMFTs6eqtfs2TMrVSqfDePPLzaPfHmcBsyQc7twg29YCygC
D27K8KSY2YMnfoAWdd7640u9L2TBSCC2UovrmEOdD9IrDABLTen2QWBMc5VDN93KAfIvWHhxbByQ
tz++Hk7AWMsbCP2Rcp9BM4ZLflCeZvIwqdB/+PsIwtyUE0Pm81SliUYe78fXPGu9eXfc3OwKjN6d
l3derI9ZYLUkUFsHOJ9UVw5MzIiyhF4VavTsTmHBbxFLLev5sw6mrf54kTIIlDxnHXtiEw/2t4u0
yK1KVyms9q6L6t0wQGxTxlAcP77N958CV3EMFB02iAqdydurpL455D6u8QfsturdGEFWdNzxd+DV
r65CQ+lKOfMu3uE1divMSmrcy4l5YUdMkCCg/gfLRBJ8gQMC3c5sh/D2XpKK6TA2HfJg+tBpcQdi
UfQjRgREujBIakvVT79p6d7vX+zp7CbcFnn1XPbtJfF488chta0D6db2kwH1lPFsTynSpeCFOYxf
c2E3E0vk49f2fmdxsfIWADO68MjKO7tVD7gfN0Zpor7n6/YL9snWhjAzxXCsP77UL26RxQG1iRoc
9sr5ZumgrOVSmQk/dGYkkv59nBompKk1A+BzB6fmVfPxRX91f6QskK2qSyA+cbZD97DWRejZxiG1
obHkGayJVHfDLY3Ob7/0E4r2E5rIp+6BTuBWYzme477/0uaxq85+wrS2gVIaG5nE3MbR0zvMVuur
AkE/w5ORMlkN1HXM/sbmqq9QcG4AIS2ai4KBJRqD7wZETqrOKWf+7yZ2mf7msbzfeJGVCGfmS8Fg
Ms6pZnkkhwjZIis8A8ImxAMS8uxw1CxweWKpxR5l/cdvwnj/7UIy5KuaoUh4buc4YJCCl/iccQfN
1ah1lSvoH1o0nd+JoeDIxENqXu/kcl1VXVp9gYg7GSsReequaswq3VZBN83umXDaW/Ql4R8fDgwH
YE7CUxO8uxOO+dNkQsfNE6Mnvvpscim6dSLqjIBhfZOKPILZq/8Oxnm3NiEVzl8DUA5LFHH422++
wjGTon+cDtgJWS8NGp54MVY5y1TNePrHj/9XFwM3EgDdHlvN+SkAm8PTg8obCadjtB7nqP/RItHl
SL2kS/r4Yu9eNXfmkrth6LjjsJ2dfXVZohll4+vjwfYljWUQYcOPp2RIl/jxhcwz8RtUWLbLuXiA
z8iRfl4ZpSKMlF06AxVEHTY3Oj1ct9Tcpk0++3gyNscy7kFCrAAZQziEDP7S0hE1WPJ8DBaVuguj
BJxAG2iWmDcirZkcRti6ZgNlgXqJjZ7O6MdQYde2HZhe3bQ5UuvsTzdimyAjj7kM5xrkz/NSKMpx
g3BwCDyYEyPsgaHRES1PtA308Y+rLi7FGrAYBQDpvRtQIQI1214hcKh1WyAaiLn/qsCnUcP07oil
62/xw/n0+mljBPNnPzT59BkCQEA+f0v5lAmjqqV1sCtl/bBtsz+QF+09nAAR22lAdaopxbhSKfM3
O515vkSsmaQJWVNw5XnoJYGhf544WikcB6g2GGnjeZFNyNRdO8HaB5UsSfKD8t2vyBkTa9UXzJuv
vAA2Ri7qINqZLWGXC8xoxzu9y0ARp2TGa6ramRuLrubPJ51AnZGaht7diG6cdtRy/qUhkjsPShKT
6sQVxa2MG2gG8/JKNQ6D7djWRnnoMQltFugr1I0cFNBY4zM/PiYAR1A4qj5wVm7AFPqS6O2kXuHc
mN0OoA1Xtd1q2MNG9k0xGtq0LZyc+XLf4kShOxgkXABL6/mycWTnYWZalxdtgsMjbLdyQoI5VhMN
9BQdUPYZS2Q/skOUZ4Tkwi26KpIt2LfeY0oipnhmVadGDHjUlUZqfB8w/wQU11AB4hBbzmAodgDh
TT8q/uxgWFns7QKIEtaQ54c7u0/oivJq4r9OlfOv4hMvQ5AXL53rmqrkWwvzVGKNlDdYQJD1N1Nb
x1p5yT5wNXVXqikLbyAqpcVFElR9e9vA/8lWMIr4ugsjK5O7YoLRsqq71qg2TITVXaJDNQ5su0ju
4CE03xVj8AmEN5bTD2HnnXVZV8YMRQ0prxmBG3+RW5cvEqH29KmE2Myo1oyti362NgDRwIFiE+Eb
qDZ2iQpzBQ4CctVOIUC4m40YacNf5F8kQ8qHFDaIfF+puNM+KUIvp2WVTJxang5zoFqEqWjM63zo
ZXtnRBoevAnLJbyhX0WnZ4wOhgMwCK1939cEOawQ7mjLqcwRytkmW7icAlZQjhcnxE9niJwLCzfu
YR8ibcM5Xxkwaoo6BdNyy66Ztiqlh10wngVlhACg6nsjl3WK2lCywPIQevWVFtWcDac6AMye1Yds
D6ghtJnCHZCgI+T1AUJc0jXHQr167eTfIMqF2XqC4GTa8WNEqIx7KzblS+SHRKs3XQMv++/PisjA
WSbP3js4OGC95Bhl1oDzo3FvKCNkCsqpWJFhBrdiWduSVVS5swYpTCXP1WxmzFzETfcVcvLQbxTc
yJu/RzMEbb34UsyFRGBR27mFA9HUiGcktgaeX5Qx7Q8CWhD40/Hn2B0gYwh25VxIh3nEItEjFeMB
mujNEaoRn2lWakwa0tHiwVrYr4lN7JlBdNvkFT/E0MFONmVqNnf5ZFTquVOO0LACcWSS3LmFp7pL
qVLj3o7j3Fp2mG+NP1yNScYavrhp3Y5GCQocjtTGgu9vcDLOY8YAWMyGwBWsFYtpDsxQqxXOI4V5
0jKlJv2IIW6K4SO+Kr4Pb2PJFi5x+q0b0PoxBZRE/ZZPLpAEhLdDpusKqA2EvHUByKauj4e/T/z/
zkl/Oyflq/mpZnmv64ny/EdznmMOD4e/9c+gFKNBV9A4MA6dxQs/eRB6zkmdo9vuaRZ6mqH+Myj1
/sKhj7m6BSZE6/ZzjrnAudDDT5OuDo8F/uU/GpTiyPf2/CZ1libYdMAw+IG6eaJR/FQaC2gBWWvl
+jHXtSKsOhTGtrZCIe3jCGWocp1YAqnYKPqy3mByamAqVbbih1IpWuhsIpMUV7DmEtGc5RUQu+Hr
KQK9LYytqa5WQ2N8DVwz+JwpVLwEqMnHHkH2JTZK7Q0ZCZq/iYpYYrkH25KgFf7jsreVV261OEx2
dRvnRydG3Qid/TatW/FVG/DUOTKNUrhe2WZ70ceYLn0Wid85F81UTej4Savq4Illovsen4a3ZqOY
jeECilfGZhqxSpmSZlyJWheQ2UX3BULp/7B3ZruRI2mWfpXB3DPBfQFm5oJ0+ip37QopbghJoSBp
xsW4L08/n2d2TldkdVdNAX0zwACVqIyqiHBJ7jT7l3O+M7FrGqDznaWV40tFTuipreS9fYTCReyx
ZSJ6jlWR5M9GtqBsZP+1Rm0uGK9Ck8QzDQji0bUH89B5fbYzZ/GjoC6Pcy+/0gWbXBByYpo7YeZP
C5bHO1ewwdzzW6wzpJukBKaGcbOvrL4NEUdbcW9o7zPJMaGvi3LCI+9xUQB8ihtafxSbuBg3DCob
J15pMx8MvXDOxGvPbDEHzzgMQdDQ9a9B8rKWvveorqkwbb+Y/gEbhqVtRKec4hplxcnstYl4HfEU
xpplQntHY8TPQI1hM8zV0Q3qAua5xyJ8KKf8Wtkk7IaXZTr1Q5/6kZaqLCaUeH1oqtTO9V2Ssp2R
BnSpvmVaZPbTfiEfp9owPCJcxE4asfUJ0t3bxKm8qtXCZb922voUFF5hh306efneJraleMlbf6ie
U0K6oMMP3LGzFhNHHHTdjt3IoncHrMNViWegcHLjHY5/m/LOESrgOEUQl50dmRjBLytCynjWE5wE
CMMPzK4f/CxxIQ8TySBlPYkod6Am2SR7YvMNejTdUErCYtWsPOwcE7jYmowQiHxF6ob3JGfoSo55
SIf27Cy+CNdpJXKpvsaZNBHAE8KSy+ToyWpbUZk+a1p2PyOgC1teZpuuRFLj1XgjKhKqtpcn22Rc
Hpmmd4cGGkcMnUfcNKWmH5Rjy22fNOYx0DjvJeVs3Gnoeksylo42o6Tt5Ndwk4plPegNj6bpFuZz
sJjfq55IncZIvVBkvYYwVoxbkm36/ggAlUDpfPpoqSaObW6np4bNBCk2pR7DT9qxPos6Ww1bm7Ag
yYJxk5daFaWNFmioNUVGRGr25azNK54MQGBsHzDP6Xi67RaMFH5FACXDkt5UDuE0jGDVDirBY59r
XWiQ8RqyZkgiuxXGHV+9OAln0UhyYtB/QOBBpONVJu4TYoHMMpv2jRqxsHBBQrcG8Nk0aGedx8Yq
HqSf36xGQl066HAZ1yfCsXe13gVHL50eSAfAgQupHCJXnEKUalOyyf3Rfu6aZucv81mAdoMSMszb
VhV9PCYr2SSJ/eIijg4nYP5EQhVfhY3N36wmF1dPNjzmWnX2G8OIgh7bMwAYDsHcP9sKyb0oZzZJ
fmCEhOra9zrQvLic24rl6Djx2VKdUfF+uDvqHmJKsmDY+23xuXoLMgFTD44ux+VxaNmYzSTRX7Kg
F1h6LcJ/vNy4T7PmfhRdTKrYxl/r6jLDsX8vrqeZHBKPEHLRaSelTPshNxv3WKs+i3jDKGlmFSCV
zl51raOcMeefWV+SMOV1tCh5U4TgS5bIYXF5RLVmxR3H+n1vTVduvBscpPAeEre9Zw2ubzkmSEQR
2uRFxHr33zhXho05eskYKqsXF2EOIN572e903qitXjcDGy0ne7DmOTi3s466QetJOSnfwG+YESs5
RN/ltgLgGc5CeSFI9wdY5JwuyFjxZ4otGC+LL4/wr8zOQb5k3A5NEuHUgPgt+iei6d2tWa7J4yQJ
+taaNpqNXjwja3l2ANmEhTa+d2vw6qaw5OA48jkeFDzNApqdOW2x6x9qV+wCU0CXBgh6MY202U1+
+1nBwo5B3Hd7vTefVOJJPsCSTUaZFePJaSb9khnWwxCom6LLXlxpQhABLKTX9hJy0sa4dr6TRcPq
1XYieT1Llebf+Z2163IxP8y8dai8xxRCm7v632WSGq+F47ub1iLAO9WIzSKGGKD6GI+NPNId91tn
bMwTaah+SChpzto8IOlELoW/Q4i+HrK63/dKHMc8kTuc7oQaB5piVamRPSCLaE0C9MLIlWkL7cH+
tDXeL4AUmn9ZyGu6z8orjMFrmzO0N9KPppFEDOFkH2p27Wgyh5s5J8K8mopnwx73Fby+YFy5WEWA
U6jtH0fmoMgty08ywveBv7wSZVjEI98PwoFaRrbj5adxATuDanhrw1wyoxTG/2UGjQFHJyGfY6AL
Ozm5k24XzVrCbkitNyKY1APTI1mFGstZFfuSk2ksreou1UYk2XULLqXnXlNwY/dLTSqsYRhqWw1q
uDHhmqDyMGleBh3smaU9Z9p0vZ6BJdVuEGq+c5kw8r4g1qhu9VSN88ZeChvh9LKK4aESmn8IOrke
59F6tmddfWjtqKX7pEQbsXW8yeoIjTemNrTtGvIM96wZj33wWWrjnZF5iOTtqX/onOpuqjSNBlK7
L5dsuMWr++1KFd8Os1sfQWx+8zu7eJpzYg40xC8MLkc49UXznePV3k/I5d/FarQxOqj2YBHgEot6
zHYuKAVCr5WMSmnzzXbj2zWxKa50XzunqJVe8LgRtTh2/k93AIU5sMYPncwq3mvfWx69iSgZOfhv
lnRUBB/XewH5kG+0xNUjPF7iCTiMjp6C4WngAWi3LJx/s319iHjDRAjaEDAF+2+ea768lA4mLsUP
1cqPRde8hyCoxm9WNxL4NGQXXHEOzgeubE8oA8F83toZTXFrhwTfFifU7jWwjoFAkK5Kz4ZZ7HuZ
yAjIFGCDIagfEEc0IKP8bLiHI+rvV89tvmlrsK/7ZX4i79XeGkFOeEcAs/AGiu6PRvqfnM4Fdk03
2NDDDc+5ME5uZQU7FWD5IU4wj3FAcUHQXG96E8ZJ5piMXwgFMVFaWKhxTKe5EUa3hkXfLTcltrT9
VBszhMDmk6hCIxrmIoefp0bjkQOyQzA2WAVJmf2UEYlTpegqSltyeXVa9dawujyl7uJsyTvKX66m
ngWXR+FffQ2L9VhmlvHBQMX9sPMKTubapwHpFFh7GJvHzL3k1sRRh9YJUw7WyKM3rBqgEkwNlnmb
0KhYPLdVC1kaFtOmpPLAU5aPaRaRAsZc8tSikdjKckwfA41C1DhTaEUlGKM2WA+4DH6wxnJ3DbQK
oi8VLjVIJYhTatJwZicIuSR3vGtHR9h9CPeTeJ26FpCKhu9jb2OEWhUZeHC3N06Bz6klCJyYrhpW
9u8xZYrQAt8o9hZCgzBrBSYQfYqT1rqITFjIhNx2VyjXP+VZiYywZ98kSUNb1mxbjE370GajvdON
j6HIKJjQQ8SiTJ6ZOpVhQSJaotkWZkalNp3TYmoRCcvbpYq9ptivFZ+7EodeyGLNiGqtUti9R/JQ
5objBDAJAsoRCBiy8VVm36egvyGeN9jqPj9iuFzPaOfrGIoCyqC8PE0u5i1h+IjoZkpDtG2ABFNP
cScW9aGu7YcAcckOhuJnUQ3PqGoANLuEOZT0KWbvQP9ABwnIst8oeyGnRTntWWvnEZyMZr6wdCM2
uCjL57nvGKDAjwGBpNksp1pYazXakIyFamiKmslauT7j/UQRhU4ryusk/yFbY2PM3orFjU854Qsh
uZiAr2c/efaM4gbXmX1pbYywQ1P9pPgF7ZJ1sSHWOso0afKWjkgdu2y7FkP53Noi3xT4VLeYnYPY
JiqSott3wkUTBWGiHC4LVu0tXP7m4vrJh9616SaQM/aISc73zYIUMuhcI1oKj6rHwMOiK3Gp5mW4
YNWJyrqZorVrrzMTfblgoDpqhk8Kp1tbkTeOLOADb7ph6/ujpt+Asvpm+ut7qtydZ3TDDW3uwg9D
oqxZD4kvxxhV2q7Ifmp+Q5KO2+mEQQi1b2R71+QWINuM4zFr/Ajxgr5VivYWMZ21g1m+M2vHYFol
TuAQuUCFjuPVf4avYoVWvr7P3vCZDCkxO5LPT23dD/3Zq5Pnelx7ADNV+l0jYhclLWS1fF2j1PJu
1sB/9RWewSCod5LLMQTbDLwbMFCoVTopgba6FxPVmdYJPeqHFayqBK+H1Y9QKUh3dzBFRz+UZNZx
JYiEb5eboEF6oLLt4vvdoeUT/H1psy9L4l8h7XkJM8vsCOewcf5CcirfilqUdZznRnnhyiJYc66t
ggKvxiMKn726n5BV7kdtbq6WXLkTuZa2kTKB20U1ftA3vC7I9Bh+0uSo5nka/IJBZzYeqKolNves
2tlBZW/J401PuKPdbVsNT0u7oqiug9vAH8RdlWvGTyfvhtOa5e4RFHK7N4vlGpWSLFtnstsnu8L/
5bfmOz28OBMRQ4Of6reYokaIRHV6YzGxiwYU7GdGxjBy13neWYSxbkhaqrcjpPVtz1Zj0+YpBUCF
5ototE2KbhBDNPu6vOuJCB+AdqOoA4g+IC9WworNrEhuXWTCe69YPiBSB2Fpeoh2C35iFLXnaiiq
fSuWA3FLyBan8YL8jrKiyxCiyuA7Nqp80/geus8yQ5SrnIoyqF03k+Sv7wIMlzw7qTtT7tH1b20T
amA/mzjlmGFmkLQP1I0Hr6xQahfluOW4cmJO84W33qniAou7wNNDM+U/DEKzd7TCTFysWbyNMgiu
iDxdnrmquYUmuoXL0gWnqqv8UEkB8DDxnHCQZaQx8g5rw2xwOZOL5qK53HfSNqKWfPYQJaF+6mXT
H7va+tmsYMORYYXX3sJc84vB6R7PkP3uRMvbWEvAc4EE+V8UU6ShKgtd8pU2Ej33abLFXW4ibpR1
eU5d76X2g25Hfd1Es+LjT27itjL0XTox7yh6h17GyZYraZe/CuEmwsf+a60VSsL+vDC/D1syD1cQ
mEwZ6LNMiyxKKFvh1Gd8e3C8oHdFaIs5lR092Wd1gR5cKoeiZTlOPKnRcKXv6kPPGekYLZzw8WP0
xAf40oNvN3czyusDccDmhhbyxBH9opKx2trDHNNq8Ulmyh/1I9GCPA36ZTUGc0fELmOUlUuXmS+q
beMBs/DBF0O8jq6MgOxWAY3OWn1rbI2xyTRN/tZkxszZ+WAu6cJ3RESPdCc6L3/CsUQ72Gt6uK6A
25gIbIwkn44ZQFtyd6oPEtKDe5FqvJG+s2umJtugOFyfUVTceWsAcl4ZJmg+fdt3DgFeLcH0EYWy
Br/RW4jG8MRTmWRfvtFcutU8Sd99twyTqfh7bxDy1/s/23FRtLk5tl+DaMOuDDaNqCJDKLHB5PZT
9a2MCk1+zxoti5vr6P/quJZmXTNU8ZmVrCJIN1XFLCAzVsoWnNuiFndtxgEddUPrzsh8bTKLB9IB
NWp6opBS0tSmkaZ8bJaW38RNjuAdzLGumrjq5qrdZL3HXt89KYDrsAYiV8zsbmZZDFumOChwisEJ
SRD2Gm7opRmAGKztzsYXHIRYJIikKxoWIJxqPaG6RuuQ7pY1+GBnKvL+ScPw2W1LH7XnttXk1EYW
K7b65NIjLBwf5gBPwA6MBkgmPyMnUcwcoCHqNwMWmI9Ozp7ssf8HHROLP9bN/9Xz+t1XfXkvv7r/
cf2LPykuOOey/n/9+svuj1+nX/V1+v3LL6A35P1yP3y1y8NXNxT80T8IT9ff+X/7f/63r9//ln86
iWe/+48n8V2X8x+l8l9NS7//uT9n8diPdCQZV3/klWL1t6Yl4zeWXWC1TLQVfyYB8a//5k6y9N9w
JaEsDEwEja7n+P/K0J0B/68zd7QAToBhzkfeYAWol64z+b+ZuTMObhxJsPGhFMR2eCkQTgiLPBvE
fQF36DPS7RsHZAV+GS4iAxKhHY7XYBfyopfnFUQ9BWl6ZZVzrAKZDIyFxaJMkB8xxSNFZNEQOyjZ
rib083xYT0nuLQPPhjJjCxPOOfCAzPJVcsgtGWnHl9/zP6CPs6lucui/bWaR6SWQaDxgzfAA6oPb
86eJheAVGvp7zIiHuuVI7jQbOLeCG8mXCbqXmDP1bgXEyqEQhawHFeOwIBjmwM9saup9sSjmpY8G
8ADt6FNlGdSIqCx/jKmVutsp8Khu9TFJ87gc0pkgTBAzzlumB7j/r4DGPjvVvcXyPZyoaae7xvSI
MfRSf0ova6Bl/raWi5E+kL7uovEgYpYM4bTErW12zK02RPRZzsGwr78zhULqvc6tVIT+NTqKFpjD
TuguGSdXYnRYSozJJx8cnIdrpDnwUjfRPfxKVfpREsB2O3pLHdcAOJkQe0ujQuZF/us6zL3GqTjN
MStnwiHcddPzq+v2HTKgaMaLR9nYRVJPrX2BxoE6HKbQlABaaYt75NTFrmxLHaK+zyo32Kp2JCF7
RO12aqkKGrtRBPxKkw8Moak4cfM60pYguR/dZX7mMpOveka8vFdUWWRhfSHIVzpfWjWLB1Q0QHiC
udkQ1kt8OwDWQw+D+k04jE7gquJr9trqkBOVfbQTDM+GUTxk2PHvxxkpPFrX1CNhrSGrZnIpAKrD
HCxPcEvHlqzMoPtwrrDREoDwZqZLPsjUhVo09eUJzVxHpo7NEHTNCypiKKeNZmS7dK6DT5dAh4Km
sBV3I3aa93Tk+qUIWPRLsPhcEL0wtCOIXv7Uolf6fdsxp56IInmxzOJJaMp8c0FzpxFk688cf/CL
6/NQ2dh+t1zp9iGltWVIPUMctqavJCGremV6GAeq1hdicNL+nRFfLFZWykY22aFU02m0M+e2gFix
tcYVAoGL5Xnfsow+YMBxz+RcGG+zOfgXw6uI3TAnIgGFBLlqk6434Jh66nDY3VqTU++lVVon8nHm
C84V9lqpcu4hBRgXQDvitaky8cY7WuzmebBOQ70W+6Gq1EWudvGp4G8kUdKm3jFvrfWucfqRxgaB
JQ4VYwwT5XtUFT3LZk1jbK6Rw3T2l9a6D1bdxQfOI7Ev5jZhfO/n+bGi+bwdGErcjK2Vf0NGAXPT
Wib9rOSYkw8qm6cBgsFjnrvqiEuqijWypN6YaIqXdnT7U+/URDcyrBZHffVWc2uUWXmHZjk5KNhC
u37VU3Q5gb9tm9H56YyQUhAVLd9mAbSVYeShkqqEL52csR5Bxx4ynajA6wqrSg9moE6Loy+MNS2K
U3v4MVQTMgFZFXsdtVtYOXRMhtEBcs8rb2tm+kz0ltt8gJ0fTjrR79vChkjhVvZ0L2paz0z6y75u
B+seWe7yOgAv+sRBON7zA0luCb4nItdbDOgsU7nhOek3dTkLckRssSOp24VMNdTyWeUILHjbeVo0
0gEDT6ofZCj0u9UvmSDMiW7FszvbEI7b/o74Kvz1IzoSthNjBuLXMX+uZsYaRccvyUeZZoahwxPI
4vEM4etOMSu8mLWZvpJWV+xWJ2i20NaRIABa1c9uLgmQJ+byorE9u1/mceCi6BYcnPWV6lPMt0Uz
KGIkeFCRh6eANxjylhGh2BSuyHCOqqatwA1wTbO1qvPQMK7xLI4aJp54LxEdmI1tPLoLC65IB5UY
dY27fOJ9m+kXNZ8496ETYt9BLfpgW8hiTZAdPEvExk1tfhe0zYeic1B32nn+ZLSie0i93rugvWKY
BacdYdIim+euIjB5dryVDEylvat6YE1rGNNDkZP0zjKu826qaVp+gB8XS4RICNhR5UxHLS3HXdIZ
42XsW+toFubVb9M0LxMQn7v5mnu+kEays/I5u+dmU2/uNSTd7yvv54LYh2VH32F0DNIfTCDEFYTL
LA2k0QRW5bTMnbOB09kz7LvGsgcaCe2+IQlr17tifFeQYQqcjfhKiWXQ0GhkdvOSDCS+10RNHnzn
GgPvXBPhKxv9UReMzTc/rVw3tuu0/LDS1N9V1zz54ZosP/oVdJF5bQ8ZsfNkZYKoWUzuNyZqfXHp
bT24FX7ZneU1tH7wO4bDtQYgp0dnImzJvLrw6CbHavjmw1sDycRsl/UdgWRhZ03DvUo7/2bVguVL
t4ZiuGKhuK4By6WnYuq1pyxz3DcgDhw9kgULda8mCCibegUJhiDOuNf9GmpyZV1ydqgcS2DmpF8s
ZLcnjr/zyPu9fiamHIBMoOHDNbI6Akfjv0vk4Vs9t95xoNRnLa2cR59hNDKb2bqZ+sDmGFzMO8Rr
ZCYn1fn6BuK8sYzd2g9Adar8Gs5mniERiUNqwjRos6q+q1PTevb8foxnT2OM29TOTnMFg0TUuTFa
QBO7Vk4qcG0prLh6d+8RbfTZZ23RE2Ok1s0wjcGj4SAKqJrO3OroiZ5g6GU2/aKy72TSwAI2xzm4
L1IinpBt1tGkWzd+0k687aWto2RgRGq78zHoTT9G79V8wWsye1g1jIKTvvH2LJ9U1BXdElXJ0t2p
tVB3clHNHvqEuZ9Jj4rg/mrRNK3BukuM1vtGLWA+zVYg4Nc4RDz4pTa8laQTbhOpXp2m8GJNBPeW
CTef70/vqTtg88G5mZhniF6A91GtdnArk1hURPttwqXdrJ+5akuwoKTeHM1h3jg119vCGImPpk1L
I6Rzl1CbbomPLU8DkG3BZrn1xMZqVuoP1AjDxUqHhsa3fal0ktfwxNoqSlgX7bjvqu0IgYQundZI
yw1vb8KhvvUMb+ZW8PI3CjSXia9goN0syX5QImGLLAkM84zWkAenSI2ITzbGvFqhE2jtWTj4omrK
17HDMUi79eC2bRZOqzUdXH3BTwjHmecEoTAfjsBjtLlmTCCluZM6xwriF4rpmUq1IrlAnx5HvUif
dVkXz7ZJDWgjGLAjVk3NrZJ9cFqlS7WSOsmB4C10JCkgALQONTcYI+PkAHKDaQ12RnEUPRIL1mlG
PlBiBvWe3i/tvizohV2ADxI1O1IBwmJukpH4E1RaLfm5bG+xq1tnhqTLJWgYxAYyh4iRNvMxq6Y1
Tin8X1em3MJ2n1IXbtNg5he0/QbfpX0spWd8J1LTZM5RFFGTIGcIvRJ3yTqah0XzSG+eMmvTDIC0
lbW+txnhaZ527xPhzExzdDcFxnRG2Wxn6r6adrqlgRcDzTXTIpyIuC7jQqTPvC3WlkhNO6JTHTZW
QXGjFTlw+Nw6d479ZnQsJeexJw+L3O6NlD6zwLLgB1NO7AJKxgPoo1SIYq86srW22L/52yytliNL
h9tssc0Xq8UyGvlzXUa6W7VbA69TtGozbnY5WJu1XujB7RLTEcScNRfW26KZM4NHRAkl/L8gcbzb
2c1kpNwKvSMfv3et82L888kTLAB3ryD3HRlg6+esLPLNmE52tPot11yX5YdceVgfu36NULY70WIP
U6jqPr1U+Ni3gRTLraPzzQm/iPO1L+kTVNszDERl8Tdd639Af/irmBpkhonogr0d7Aqf/vDXxjBL
GB/kg58fRNnR1mkzKYft6nNKO2SXPNp61XwqaqmKKxto+T9+8b/YCOhKXdPVTfPqjbJA+/7lxVFy
sQlZVX4wZnItV9HCbs+LDFBbIB/+8Uv9xURwfSmyWPjn2v3+vTkwRwnlAkngpZRJnBXPyIIne0nr
r3/8On+HyLq+EGL4gKYfKIn71+wfWS8LShQvPQyKuTEmHvvgDr9nTOb9XdNKrBJjkLEVX+zyXV0J
VpwqRANoSXZtrtmrVfE//pL+/i2+Ku2gnHjsJhAs/aX3H/Tez3q6DNTDhH7r13gsS1xZEnYRoJXX
06z9BGLI+2yQafr7a/9XT4bgv7R1V//sf50F/T7f+fdB0f9L8yM+2VgD/nPizd1XVXULNVuVv/8y
QPrjD/7bAMmzf8PaBgYdPg0eGP7t/1BvfP03jBcwckyeIVweBi/3p5jT/I3/ySXFCUYb1DAHIM6f
cyXCpq+MKj4KBn4hHvt/Za7Ew/qXuRLeOxuxqaGbCP4NjEe/Hh9FaWEjVPqyByUgF4iASKzYsk7W
xYTKCxDcFAAPiBJuy+3Uuw14wq4l0N6vDX27Ni3yt6zQ2Q+CsQBfl/F0aSGuZNzkwScNSXI7ue5y
KhdD39j5MBshqkKupFLraJiNhR4D0RmkBKsztNhbISOHJnJ5KJciWxkVmPVLS17acRFNdkHVrcee
tq7PiXmV19mku8QtM1wRZ3XZPKYS3NpeBznjs6fUvfdVIO3HQVAjLqjxhVCHKwZM5TATvZZV+xx5
wpdmGOnntGr5eebPvDpLLYYNMw77hqP/yh/2yAAKPYZbdB9OSqivNjl3pHEWp5Fq6zavgU6OU6ft
DNCTUaInLG1rTDWxPyWQMDyyXCKGJGk0zyBitRbpFztYSKCBQhA5Fo717AOciQwNoUs40JFeu2yK
F8bKewAPaUxiXRDauW0cKffKu16z3C2o4PKeGVJ9Jwa/vUUGw+U+6rI6Op6pIuGvSSSnjA43MOlI
Wr88Vx74yHjx3CkLGV8xfq8c/RsHT38z1PYroJH+0ejY6uz8FsU5jGCRKppXX+5Y/1svGIfNrRgs
Hyk8ZAvwn0lytsHhbBZLRzWCi+TsOGP34Lm1L2KCo50jvA79Z6e5VWyXxoM33pVBAZOAfLSdnep3
Nj7kmlWhaV0MgnnfDCZ9z21pzbdjJxxyVNwYSk8fOdjIQg/h2c6q5uLI2ii5CZSo7h29t8/SNr/l
k+1uZM0lt7jDQnGeJo9A6Bo0VE65n3RKhdro0SQK8cA4VL+l0vE2yWxPh9RlfSpIUUWKMUXZAJM7
AULD5HCsk72gWtgObil/BtP0aSSBtq2Bh6DK7wsDMycqfLZNzYG0TOSoBVJbDGrTRlqmvXEr577m
0xYxLT7VOp1B6Tcu48TuFaU+6nu6kG3GzClEC8pXCYs/SocUKuFg5MdizLRXfMLpQVEAPjiFUufF
hjDg+R1bCLBCcWuQ/V7YbXaxxobPDR9b8A3uYu4U2O8QQFAO8MBG9qKQ7MS+AcNlmfprYkpOT7lz
7XJJjWe8f3NOv2lMVF6OsdouYNopSzP/YXJZ9Kto0VizPpqmdKZHBwirY2NOkJnxYth8FmIMkvnJ
bXXvntsqyb7N9lqyt8YqRP0WwMK/5rQsvD5GFDRd5rfAYnoWFigPEMcmVoYtz6g153UOrEocyCTH
D1rUK63zLHQCeXZtjVzqccyxbz2CdUF7FJK4KCwUfQRFvknZtyiF11FW3jVgCGjyotidbcbOnDnZ
hjxN30pIpFeRA5mQGxpWvP8WcTR6PANdIm3IyGe+fZ+kLqhAovL9uCmtnrzjpfftN2CnU//p/ZGJ
zM8oGFBDDn19zJFfOwyWEtlb/JebyIPQWYpVYcY6MHmq5OAukd7gvsXMQvIzD5Yx/1El/P+b+p9v
ev6Z5wIKK/a7X25pRsCUUX+ueYLfAKIG4LPg0l33OdNX1//P/64Fzm/EZwKfo97898tZ/81F9UfZ
C6eXyvd6b/95Obu/QeMwGeUbhu5jev2XLmda8l8vZwySdJmUu+iuwG+Ahv31cm4NF8p9k8K/cnT0
RLCA3bEPbdBKrFpde3zT09IDV+XUD7laqss6MRxsfLBPURUMIja8XH8UvVw5JsxZ3maMQojD0ODx
BF67m4PcOkK25jYec9VsHB8XNhVsYLPuBzNGboCTncZiqm/0FFNIWJvFDXxaeefV1ytAD7Jd4iXe
zpbMm6K01EjJpOnYrXnWHjCBuOehuy7VSRjRImvA5UiMGyGH3lxP3yUJr3S3wJEiKxtAOmtXjQh5
0w91Y3OG5do0Hwb9Q8q1fude9M+rtBKmOLPf06jjH5wwfWxlMru3UzL7OA/doNCjazrk4QoE3svW
1D4nWvCfnsqDW4sH+kAcQ/uVzmbSRFmpjLs8UwM0eKt9sDt7Ogrp6VgN6d/KyBLmF48xWkQHWhW6
cgvFHBCwS6pX6alTq/bJLQ2JEtAzZrm1qQ5L3ryOrEiI/7yCsTJ/fM5U3z8GQU+iXKGt7ceVOPbK
/lcy5HdQF7F5EAOi5QCzu1+BI8BUGpp6zkzPCaSHRsto3xvclAPriekbtST6gaEqPoq87/fBmvdb
g1np56oPxU2ut7famjpH2fbq2CbrelJJMXLLe93Wm/3O3LScwhDVl8FseT9T+Yq+Eek0P6WBv42y
jIWXVZwWw0uImyhdvtE5QE5hJMONkTvaXjh6toOKXDzBEsm+yT6ni2Z/ZyHWmus6LhkDG0g+cZKj
jrYkiCk+e5gT7OE82MHakaenW2RgGLAAM6ouwgKxY0RTV2WMGCzGLvDXpp85UnAGA/PVbl8VWBaV
yKq7HHJaaCP8uknbet2Q0AiI+1raKDIobigKDaa95YQCmX0DigRmVekLkRamy+wytT+aebIV+xkH
hVeB5o18jHK/qhV3I/IeFDd+ZVzgRgX3abJk0eRrMQHYSDiXceO2ziUvgvGTxEl50FuEwpPAnsEN
MyyoMrP5tK7o+nEF9tVzUIvkVSvdVDviwWhEHFB9/UDx3Q1cC9PwMJKElsTjIo23nqUq8p2qGe6N
oWq+txhho0BNxrtE1os4aemXhw4Olb8nu3TqwtZnbpSbS0dOs8XGIOlJjguHxLBerFHPTg00wg+k
XTrBuZgG08hrWQqptPK/C0/3ztKZF539mwyeuDBrVNrYiq6Zh8VYbBj61ls/q8p3bJ/BM+vhD02f
1MZVrUW2g7t8OarFzNQZRl3FiZ9UryJFTBIVrUBDwS6gfes9xHwhDiV18JO63yBhZirWs+W+uUbD
b1B53LOlDFh25DzP6C0aSOCtHft4kkGdsy1dx6FDHKzyjY3X4X+zdybbcSPntn6Vu+4cXohAoBvc
SfZJJvtO1ARLpQZ9E4EeT38/sMo+Kvmc8vHcI5eXJCYJZkaz/72/vV/GjtrfWvhXrt1C/HOSLOA5
MGKp+54VDdOrv7XCxj4O9EI+ysFyj3Vq59POCrtIgRk29rvMExogFIvpIO1m3oZVmWao0E1xjmdH
32J7Jvsc1k73aIJU8WD9MnujikDP+HM6hwwYo/RzFNMiTpfe2HxmlAtiSgEZOMFk5+DG6Km9U62x
vtauT6yjFdmASj1bLC4LePcaDZZ+BaWGgxUk+jOE+PG7LpLxfVaVuHGQWct9N7bBvHHc2UTbMHI0
qlcY5Tsq/UqsqGMEzM2iPkXYDXeettkhuIzXxjMphMFcc+r0r1Qzd/QYVMyF6QZHwEqjc5azbNaC
o/dkl89I6v2xNehzKeoDLlUDTwxm3VwRTxm8vban5dsCT67cD8LTu9rpGcjWyQAt0g6yu8mm1aG/
VoX2qo5Iztikb4sV42Sbke5y+1Mw5+jpWHLxD3T0SM9tdhdNDBJlmHl3IoPnt4jCPHplYT96wo/v
WRYnRLt8OSO4veJIqh419+rHXrSR3NhpFr2OkJOoHifetamYnF6t9fOvAcUTLFIjH6sA/PS9TTfI
PcRURihxSY9hmiui/MRmcFNididJxbLNbredyjm97WXYYzv3NYp1W5a3WWjz7Xq5dRBtgd2uJaXP
Rx2rx0aY1ruAi/TuCGJJLjtVhF9v6aInFRjvnKX5+IxrJyDRPeCDchZrvqNfpC+PnaVrgvhzdBtS
/P5Etsg/x/zgX4lgQN2fjXuEQEvhaqSXz0joE+0B2lpOsShmjEEz5lkSenvdRT1EPpf1qE/Fci27
xT8nKVOTcszuddGD+NPSuYtqInossjmdf0u05lPkjZnquKYlVK3NA319H0NxPK7P89nUk7jQYMn8
Wln+MaN88y7PhwHrohwJUYZL8i3qgF2mEz68jdET4FtuXvPVzOTzQeZmPIZzGJ4H0bevJqrpoxXu
cOLz5M3E/2qDFdknMdKONDiSF5/tHTHNBN+iE+qH0bG5bLWZE27hSwo671NqNnWh7vAURjeLH07n
lo2R2LYcbylo/GrXafhVtI6sN27r6k8p5u3PNtftc1tbzRG6iEWL48BSw9svYZNWheNuHdv2D+mQ
5fdkXsbPje9zDeiE9y7rNLiTc8UnL1kXTbBjMj0u40i9izFS1k/VHH6C8QlncUiCpIGnp3uxtatA
Jgxpx/A9taL8CcWn1feewXp0cnwIpZvF83IXmKjQ9kV6OHeJCYjK1oBYk5RmSdpRxKWWy/xkdLzj
8kNTrZN4/qEJPX+bAIWMtlk8PiwoIdl1Z4q2pLXTSj65jeOmX6THR3wLztN292Ykw0gAw1sNZzdC
TIjsxzqmzqe/4i0rDfmfoWKK8EVHyzvH3umNgF71NRsm+RqS/nwWOm6uAKY+68qf96Wjy7Ov22br
99Qv+PX06BXLOwvgD5rlv2Sd9+73Y/8bYD1OEMqQyG3d/t0Prezk+UFxr0WxH1VpXfjlAB6gNo/J
fad/OIs7MFZpdM4onNwFHMQ+pQMA1f7Bccd83va9SvSmMcRPngOvN/tykctDwqgLWiSM8NL6XUb/
z+3pX96e/AB18X/WOW/qqvtS/VniFB//5o/LEwa5v6FTejiGV04gSuY/7k/ckv5mQ8GyYXcLaE9r
kvzvEidXLtvmj4AdESBhcvGPW5RSfwP0DySc2xVkN2CK/47Eqdaiy59xMzZMcU8wnUBHRYBdFdM/
WecafMQy4jB35zd89LCWlti1Afy4W1d7+XzywRBXGINjalZXlO5NLGldKLA+fmsjkpK4xEr0NLjC
ejoni8YTjL3A+7oYSU64SgNFaKaZLzUpgOItXZS+1O1if8uceArRcfKp39hgV+f1EDQ4x9Ty6hey
tL48tzochitCO2a8MUyi9gk0EY5N+NbJSXv5TcM4ZCv6qEMesi52PzfpBnZzjF22WuQOL+vngZM8
q3SCQ3mYsL3MGcU+IJ8wq84QkA9hwGBij8MOC7TykvSmgEdzZpjvnyzTm/NQlxlW07SaHgZtHWXW
y10tw7exmpxjYhUdAZe4Xr8rUmxvk8tyQBiJhB1Q3yQUWJ7WKJkQWNHB7u/6usgws0BVctliK0Yi
DHNNy3Auwju74TfPU7aXnquXTN0rOoXa+7YZM+96FL77lSdCcXgbZpF5XrxmOYPgbS117Zt4yveZ
ERtQx97UHE3QJMVeTnK8oYG3SFWxeuu5l1cHgpDlQNOMSpLOOWU4OSA7ETdtht6/xmQHcHTZCk6v
EqNdkvcZW3wYG5inZ1ESCh3wNoT0rMHI4EoZfEBnfL/ZNZLp5eBI8di28LyJ8VjTN071TfYjJM31
Y45snB23smrdUjzRaiEOLPgrHQgujf+pGSG14u0Jh8vI5PPKI1bIgzJ5lJBf6bNzSsbB2Zsif+Bg
bfZ2yukxSvLxbp1DcPhJ6YkqCHns5gYtGTC4uAqyvN7Hsb0cljTNj3md3Im0mR47r1cpyaVC7tIQ
38O20F18FQQcy7fK4WlvZRZEJ9xwuMMLZ3bP5WSbA+tr+6WWTfFVdlo4DDJbj0yGXk10QRQQRaKs
nCw1OuFV6xAFVE5cMLclAndSVf85ydTQbZdaufcWT9DlEtbEn2Oj7Os4U+UBIIN1HBxFoJ+Xu8HC
2BzFIqaHqu7EmunhVKlE5GOHDlDKc2nn12uWFks8NkxOuV51HkabaxjtUhyIukJdACAtV5zC8LRn
NuaSnp3JOHACbMKhfRHfegmixK5X3gUkJgTyKY8+cyYID1DGB26VjtrnGtW8F37zApjp1q1892F9
Z99h5rR3KAKE/7W4WTIulGza3TZwGhfbEAkWnkBj/6jFbN/Vbh5/ipsUpK1WUJAHSl9alNPNnHrx
McuG/AgSM9oQT6Udjo6zY+OZ8ClWFt5RGPyXIPdfF2nfVU4GWoHQ5CVfBpeJqubWnbXjm6tpT99k
+TQSoXXke+nO+Nl6eOnMIAvbefSk6jHBtc4Pi7bFctvxNA75knVnOuu+Mv0JYU9gX9xZ/cxAIR88
9dQ445SQzhzqryqY42dCeLGNSdi4v5EqozAeZAJfo7HOeA+BNkP+3+ie4vTRJmyaT2APAmqW9nC4
p4NTxcFpcr1oMzYVuaKeas1D58aCN3rfpdciTPpnvDQ4/Hk+z+2kH3hbE8SU8yWk+nrr5lF4suic
pj7K0f5VYCwIyKEqgm+TVyX3YRGk9MfW1Te0rXBX2Bx9Ng1IG28/18rGFSfOkZc9dqUJzhBIJmT4
2X0SFg2cuF1miU3KibZjR6bBRqeYJxfKge9ris9AEm4wkjmf6yKm4TDpgZqMQmU7mLTuuxuM4c6h
ru6xRjjbcp0c3wi3MWd3svpGFg1Kx+BPX62pImstne5HTGAKg4Re9nWRtAC6pPNJAhW4WwRy1DAF
y/1cufVBFHF3LwnIXNMMZz/haVnyLVaZXB/quo33ba3tL2CbzE5Nff1IRQ09ljNmDaDyvbVRGD9+
kJqxT9VQ+e8ONwKLqRpdewtLzjahOsXbUF4/7qqalT8YkT38YPBupF4YSbmWg5tFyJdY45wMRje5
qkPTcHgjONNpm4vgHCbz93Q23ZNL0jzbahklu9aeC245ghxhNIGRFwIfyWLmud8CtPrOyJA5CCNE
brGyviGan20tR5sLXPzxofCtPQa58EYP0k03IAySiHp5K79JbKF3Ar3kc9EO8jlri+bGbwIQF6No
8QB6SfiowgmpMMCVWE9RiussUhSzJ6l9Z4Ymfyvxp73FQWXuiVVFr00epdf9BKY7wZX9Ioya94ld
Z8eZmMU+mjuNobICca74aTGfYffpzlWxDMwX/P5FKRuTb6raamdhftt6rqq5Gif2vcbp7ex99I2r
arRQQMt8nK9dtMOcXiRGmEGtHJ5jN35SE/kodwDeAKwAhxL8geVKpML7Kvn61raOqvQeVu5I6sQO
3+bFbU+2Wtjogwphb9PGbXrAwOldfBINz5E/mHhjQVPMYU4gVOyCcbr0ujYHbNLAwv9jAvhfhUgA
Sv7l4fj2+2/mS5v/+XT8+z/643TMCMERIGDd1cDCTGz9en9MFz4Ozi5nZi9gwr9imf5xOHY4HIPK
DDzGD6BjV7TsHyMGZf87h2FAIb8chrFxctZUDtqHwztV/XIYLpzeQoJIhotTLuGQoKlzu+Vd5Cid
zdWFBgo1460GQJxgSVx1jHyVNNxV3GhXmaMoAxSPim//xqwyCGZC7zJ9aCPdKpPID8VEOgZaxJL2
n9QqqJgPbWVYZZawC9JbuUov+YcKA/5Q7hsIt1tQGc5tt8o1UOX0wR6CEj3Iru67VdYJPxQeOlfy
V9BA49VKcu830yoG2XqkhcROLOCBQR0+FklQPhrZYeNHSGqpQCHNi7jkaXd5RLMyj2utwIHRPSpO
1E17a3S6q7zhVDjRbbKluXjaq0Th1UqJFjz3kDa++H6pqeWsI9zFC5g5zS5+D984edNl3jPdq7Nm
58SDPISJz+nP1cmjO3nZfrDVwGfVrqaLiUd2ed2+4ChjaMwBFJ6H4kS5tZ1mea66Pt/aYvotnyZy
2s6QswhYQ3rRacXcpmrc9jPtNxwBNL/DlyLPyttgHJKD1SXLlSlxNG0Szvy7Ygj8lWpHnD+LrPRe
hm12sor4jrRodvCzKYcA5ZK9gz99ssea40RS9ZfKEnR+idILNh0FG0+sjP0hRyTedsh4dwEx99OM
+erG1/Z4YUGcTxionC8kfuorgA3dE9VmxcQyaOX7SjZQQUwCN6pkSbqBiGcftPCtHTT+6oEuWeep
m1X3Ds2s+DFjtHuWQ5/uPC5Ad2XrWrdO6lNQgBLHs0KqxfwUsuQG5SfHpMNBBE21q1irycrkoFht
1wJCZSYU9ra9w6gLlXLqpm3oDKneZLxxcG0TM/kKwIi5gjYCzcJaHIpVJnL/e8Xp4qFq8U9svFB3
sL3LZVPaNVFZSMDE+9WXQQ7B9QeWHhBbc6uMiLd9ha/Akgu9Km08HSZh0XY7cPi9NAusxCJughNb
aPE9q+LsHvNJxXsqXu5y/MMNxZ6R9ZWsd1BuorgV4UaPHlAZxpH9dZV6Ppf7JLlKuVdu6EfJmPgX
7idi1vabmbLp4oW5vU9U29+kfsNcpG708GCseHnXBZcVbJfNdN24afwcYva+C8g0cW2Kj8PgM0mh
+QKVnLth7jodluFhIQ8pROUzNNHwDxPKZ3Ze2/k5ql1lMZELPDbpLIvOEjrH2Z3ZnDfQjPCHcgLg
lothuHxlGWk41xBTqWJt75H93X1qNfaNnwhcoyRW0JMQ/fcYTPVdGZfxnUmU3Hnacz4XzFdAl0Is
eGujhDLQKejnJyQ0J95Sq2nRtSySE+fL8qpfUL7wEdFTuh0s7Q6HisgPfSwOeCXLpVb61sKj/OqL
CkM8hpSo2SqtI1aSFBf3UtbfCmHb6xm1nG6cxS/Z5XM3zXfZPFiv8dDSWJgJN4yQDOIJ9LTIkGQz
Co8PuD0WsDtBMz3IwhZvpo2qfhtzH2j0ofBqxrU3gqnuRPbLiXEbyQMnk7gMt/E4e4wqJ5sWzqeI
MPDsvcR+2XSP3ToFhVAFbb66WhoJ1mzbBUChmp0aZD4+mWyKg68q5r5YAaAr7NF9KWE3an8fNFAb
Dlbfd9m3GZlD5KS/hDFsXCg//xHJ/oVIRvjTY6P8n0Wy1xQA8C9GwD/+0d+NgO7fJEA/B3uB+vAB
/pdKFjh/Y59fLac+k35OAkhhf6hkDixI1DHehuzWnhQ2p4f/8hrw1cA1+0ipkj3a+3cOBv7qWvhZ
JUMWQ3CjNYVOSBce+K8qGfeBuqbeWJyCgA/vSHY02BpcEyjUs76kI9GkKvo8V4GLQ43bxIvdk5hT
NkVcaRLj769hB4VmcAAZ0b9I0Zob3DObaRhLVeuseIUnCxWcddQ9R1SqB9u511/Y+HKTAlQw8Qsz
s+r1owWuKUfIsIO0zDd3rX6rkzi8KO5qX1DOQedOkjorp/H4S2tNymvn1dZ3AtJkGB2iV9/XWhjS
ZSkj/duk9veGyU8QT9k1caMmOHpDVD2T7kPNILsJsqTvJAKWTGqLmLaLBXFJuMQ1a5GTzz1s05ap
VjtfOtOtMFOxM4z2Pxd4EuR12w0Bj6UmlCFAHl8gEfVbTBDsLqimNeNRhggHNj9miW3+myqX6jpe
+6jcYFE716j8EyknysZFpHYWxYnbInLGV7lipkuIIfGZ9T09cn1tGFostn+cIjpYCN1Z712LMx06
0PSS2NxfGFMCQdTLoP3Xpk1RYnxvomKLtni8VFMWcaqKPlqw/EV18g5iCQR9y/XEs9HwcvtGsdN5
xdi8fxDSqQoQz5yI1qf8UUWVrNVhYU6CGolyBDLwQXIvACuA7ncKe9gYdJzb1nEIJvtdi7zlsGrT
9OYOnE2orwdkbxkNRPcDaS5MATb64z9/Z0rDTTLEZAkvUgmRlCuUwJlz/9Ks7TYSe0K5BckcvWYq
WFtaei+4dINaLQRJvAhAHPSG/t4qV3UAxUVvccwywVAj8BklniWxnRg/I80yEBsguE9d6JydpHO/
NFOh26Pq1owaB53lOqxmXn9eiykk7V5ggtWy6nXrQ5G4GRjGrABn+gtmvoER4C+86ziDnl8OEWDv
D2p3HAEZ2DHGdbJdMMGo3AV+DVo5wlVDrVoX2fG5a9Zmj7jOum9Zxig+zRf+v4LLk25QLskMUr4L
NBu40AB/z/uojFFBBRQcoBp/KVg6DCrLR6WbGddo9QdZG94AHZVTwq9laTuCbMwlt8pq+CGiXtr3
hCm8y8crAnAEYk14FhBzgX644VbO883Wdr/R5DCToc/hkFCjJBpnjFBf7HmGrawI4F57tmneNX2L
YD/dif63NHPVA64WcNmOTupzir7d7iOvp1tCy5SvHzsFP9ZcBmD4o8J7AzA5W68f3yX51j4+wVhO
KwAJLt+s23hIqBZW6dvQwOrbEKp1QEN6I8FzkrnAubsRLtwBHPhaI2mvlTrBivi87eaQnkCvra9n
A9qRPHBKOD4I45bau5oSe6wPvCFC9tzj79xvyIBM80tbzIdUN8WPhW42KCSexWtVEMTqTexaQYnn
ACD6tS9A1EJmzKftSmcYd10ol1O7eOOjPQZU/2UzjXy80xzuB72ACoqrQiBnwfvrgn5bNy5jflda
pIRayXmjL6vY2c5AW28924+uM4aqr2DSvWS3urgfs2TuoIaZtnnvVN9GHObl9ETu0zmC+SkP2Ge4
TAyx+9CnXfs1ww8DG5pN57Ug3/kUeBZzPIk2gWlmNPwwPICLZyuLn65ce3+Xmu6jbTeaAthWSA3S
lkc2LKcpdH3AcaH/VTcZDZ2iqmnfVdFIW4AE8HKOEXjPeHV4vvNEnZLx/eDiIUkMvGA53o3CxYMx
EJfYW/goNpKWXig4RjUA6FLnSOIrIbnFjvFQiaZ6ZEpBXhsNNWMAkycSP83iH6zRzN8pjHauItOl
p2wIxLeCGOhrEPeTf6C7CfgpFqfvDkaf595153NTMtWds4Juu9R6MZllXhOp2l2lcyDFRRhQ7imY
CAGILS5iqsBAhVMFoKuEUIKyjvAVAyZ1xqK9xtbrQ/xDB1ZwjCNSRXnWXncAcfSW8Rj03MXkN4Rf
XThwIxINXFI8n2m0+Bc31oD6TfkdD0yi9mSJhoKCNj1fVd0U3Baj9ShKQko4aYUDmSEYWnEpUID1
w6Kc5DzY4RFXxnRYBmfYtTpvbsa+qje51Uf31YDy082Ybzhq94+iwiIRj9xPurBdOPD3qXNp8sqW
LxHVma9Q5MxTMar7xB30IxIq+jH3j8eIhognOK8JvlZyZ3easlw88kWzJ2Rif4rlOF2rKHheYum9
4e2Tx3pya0NNFyUYfD4wyZ0GM60f/PEENRR+SiPv2zauNx71du6+QDe7UHBebOdId/ZDm+AYmxgs
Eh1jtoMDwCDTDV3S7IuR6cQOK/H4OWqmsoAy3bvZwS77vjzNuiho9hAKLqSja5JgdvcsufG+pzK0
geen8Jf6TPVc4azmPHgO7+rRyT5PbO/XDGL6W66On0cT6JumXUiLwVlovK1fRd2l9ZZsN6hQPs0h
o6d5ysQDUOLux6Am83mGXa+/TJ1dDA8pN56YoTyQqrjIq22jzSc5L9FDkohoh/mFXD/yw2XocPcX
3JYG3zNXfetYd8Z03r6VTjzjkiq/Fx0Cniapto/cWT5kaTe8B6kX7eIy8e7DJnTvpn5Eqs6rhCym
DcLwlhFBfmNjLqt2WNatB5XXpI+Jou15XP5mWAOmTVtWn9O+I6tYNy9R39hXuW1eO7bEfQKVfwcX
7F3I+JyNWXuxZld9IvAPrsDP4eRQ0Sn2ESDVa1CIsAiCGg+fb05BPwIU9gmsItf2pETrZlKXMelg
jlD6sZWJcgoASLLv2PysWxg38minyQX7Zw2VS7xRtO5v4oJaZSNrBRaiyyENFcVONAPvA9mofTIB
1YydMFp2sUJgrjy28AOFWfa0kbJxHkifevcBbWpPNeZCNvpqqPl5Ejz+y3Sw/G64qU3ubpo+fvFs
TbUzw4SdcKYGqx20xLAryyemD8j+GT51WiNFupskKOV9Y0/Wpu88F59GmyT3cHidAz7z+dk2Zrie
W8d+w43OAuXF9Q0r0IAzBtPHrisJ2HY2c6Wqp8QBImFzjdSmHxO3xIg5V+24x0eeJojRtbjqVdYz
AfHsnYm8M/bc4FLn8fxCWjzyNm7ZvyZ98gnMN6lwVwTRJp6G+GVoCJD67QR+TbfOldeU02myY7lR
IdFUr/f4PXQmG71NiUl32QZ+75nDnCcun4SyIwowufpAHIfdsUhC0FNUDRybUQWvTcgPPjSTeYqy
2j8woImyPdvheAIPDIJsvZ4HEZiryYhHONgUWRLUIcUzx+01lkvlbCCI9NeTUeClpZycA/9muvHL
KQm2PuvNNzzN3o8Aw9sePdtdTnCKoVQwgjmtFSH7Yj1aNYQZN8WAyXBRkNC2RZl5qAi62WcUhm4D
+BM344qiiuaCWcigV8qzD28qK4fbpQ0a54X9Lb+hWdRJBiKf2MGyjpB5m2OW7ssp9h4LWJW0R9Pr
vBm6jGNBNarfclKB8SH0KmSQweYsmNMGcxezycZDMV2qnNjS3ONS22b0JT20HAPW2Q/c4Qrl7ZNf
4mDeLXRSAEwL32PyVI9LNDJgL+PkQGnQfMGu5N6C7ACBG2ptMTB3+yvQi931BLXnSAH2dC/crn1O
xvJKj/q6CZZpp0OJWNLW7VeP1fJIQ7m5EoMbHU0cvHJQGw9+a7CwGvWQDQR8GTbkOdmjqWRAi4BF
B0QaLssMtQ8Q27YuKgCbpfSWx96xm9+mvCwQNpHi4DBXoECo6+WBONFyyXtjlV/nYWqZ6c7LHbQx
k+6Zc7o9WITmuennKoePnfYqkkcMxI51xpN91InjPwKWeGucYkquoc/6ES3A9pduDJubCYEGQYn3
wjkf04jfczbn+4DKE/8Rnx2ppLTkv8xITqmK7uumpY0FNcVYxdZtxrclUTWTbBPE/n0sG33P7neG
Sl1a4+mnm/x/E7D9J/KSjW/EoTyBLgaU/F/zoHE49rOMOdf6hijo6HATddNEPi+z334LjfiXHXXo
/n+6iYd0sREQkgR6bcVRYZXwf0I9YTicsW+0Nf10Jrx0CUd3mGHul9zq6POQdf+VxJ1St/EQ9DDh
jOdE87YVVlLe4FSn2PijmtPTlTJ3pRnEbWl5C25wKajpTrpwj+GXA6BaqhVtU3rtNzu2nZALveqW
J+lZFJLoKTentAd/AQna/VK7w9g9IVC67WHp4Gy0W5gUjvq8cJ+AeRRMXNhi+lY468fcRXJWjOfS
d5r3sZjbbyug7gfNMNWTE8ac6Dvd8vc9HLjvNjD66RJzN7LWtdPmgiWs6GEhCtYesBBQ+RKsFUwz
f9HcqboR3tEkwpv2rQjq94+7cMlw/vavf+nrGOTniqpw7dxSKDV0PuIK+LWAEc6pjKB71id3Xluj
3TRDvehFwXXtr19ojXD80wuR4+QYQOsHZqg//7IZq4DPhmJzKhKq5hEn6EXvPupk+OxRA5fiNeRu
yJwDpDatsv/uqwdEt0MCLmot4nN/yW83FjZ/G9c+6MlGPnvjGOwIWs+cHwtzqieSihuv87kEWCOw
oN8td78T3f6bD5b4xZiFMSywlbRXMi7hyX/62anPsKI6MvWpFQ1fHY52r278XMvnKmu5NisBdZdj
zEwfRYzlZWND/eTiV8V+cYrVJJ4/nsZ/5M1/IW9KhyXupzfOSuP7g7K34v7+3/+9/T58+fbnIefv
/+TvFkCBBdAhSMxvFFFI/VRZw3b5DzVTScaaq8iIDcXlJiF+UjNd/shdE88BLsGPieff2YB/vJPA
Cv7P76w1qv3zxwrDH70eniQ2T0gaaMMvb2wOotNQmca58aPWf51H5WIGERae5aWwd0hLWoOyrK9g
GmixqYUGKb5AOh+9oDj2stUXN7J7+clNlvy2JilCpAJqO50gjWYq0uMhIGihhk9dXppdF8+MS5pZ
Mm4aAqZ9TZeByvQQEY/9OAv22LZ+r4ZouFs44kwkB6rV3rQYkooaLMwhhebNBpNxYTL5QNgY8/7R
C/kWN03CvG4bxzRT7azZme7VTID3kEyg605QDJZ+N+WZ/VvWA4vZALzNv2moLXdp7A4l9K5yuosi
bCQb8rD87GVTAnjLYMP753o2CueY6PHTcZnjT53WbeQV+u4MJ87V8zm2Kij4ZTlPcPf4BmkEjBYL
8r8uS+dBBk39EKosflyyfLjT6MaoA0W3o1sR70LU1uS6RuOf1syvRkGrl5iDcgdzMOhzDBXKTF1z
4+TypWuazl8aYHZ23elTJNy0P5aRBHN8hGaRxwffUE5r76asNJW9zatgunWoeK/EFoeLhUwq6h4v
UKyB+GceAlmV79OgsApmSU2hKIgnGspIEqsoGU83jYbpNtfc86I981gTAvAA+X1gqhPEm94hvhZz
OkyyCBvYbB0wHYl23Lpt52BqxAFFaLplPJvsGHN5fn2y21FE19LA+t1p1Q7rG8dfTgssGqhqUzbC
dim9sRiuuo6d1b4Vc5l1DrU9bTuMzJPyUY6t+BTj15TLO7OjuTLfulFzTdm4+bIU0cN/Frz/la9j
7Z786wVv/D+nL2UDysV8/1Nu9Pd/+fehjr1GQZlxs+JJVtA/jB2+/JtLxF4C6yC3GVAu/l9LIHYQ
Ficomf5qC4H68I+BDqsjGAj++irk4VS2nX9noPPrAQZMCF+IfX1dUgMsJn8+VyjLm2ISLcspX32/
zoIjT3rx608P5b/ZwX89qX68SMiS75Jd5X9+Oal29WA1tPsuJ8hjejP57bJL/MHfQt3r9n/9UmwN
Py/oan0pxWPx1/OY7f7a3FyXTJiz2EGIHNJukxYpxlAJalqsvr6CQcSpFIYSzMVVG+Ll9b94+X96
nACQGdyRPRGCX9qv+wmVLEh/noS+VY3PsvTfAu76f/0TrlvSzyfBYH0JF5WQ1mh8Eh+kjp+O/cZY
c29HQp9cMT5PrvOKybbe9pydsEvr73/9Yk7wS7aYo61Yz144khT44NBeD2c/vZwTa+QhrJ0nNTr6
CsKlaLZgGcur3GW4XgzqBXFXEwmM0ekYw4B433CTX4jw5oY9DycMvj0mIzSKZnikaYBA7kNWCgFw
k1SuN8zPswqdVzSrmTJEJwipz8lK5zeZjUfm6x2QuwCt3nS2fJ3bkIbLOexLgvng4hLdY7dMcmfX
c0J9nTGEX/DRjvHGkb7BrKfD8tmD/PWWzn6NhG+gM8a1e+d2Vf7ouSi6g6LBoY+hMvVDJTaM3yPy
nb0muIT8MfTLcsYgcAPufDg4ZflD+cVjnaqv+McfOrKvOMiD8gop6HMM2ZGXQIPAc0dnGI11O/AZ
+phrFxZiBTKlzcbvmIr12c+Su2amEC8NMXErWfZ7HDbe7US3CUBAL7piT3v1LRFdZUnaAU7x13Kd
4Tv2x/B5ovJ0N4ssg0qr4+fOo2UM/MbWDod459fkC6cxGk5gUKN9Zk/JDWbzbQ/owY6Cebx2Y9vL
9zg8u3m1GsThGQsBFVVp7YfP2qfKPeHwtZUBBaGNnWV0+DUCn3o1cY98UZVvvSX5YO6qmhK2fUAB
73MtcgzxXO9PnCJxRCFclvxWSYZHpTY3dUHySCKmHwhB8RYpNSk0JslMjypBurWXhyEt7FcoIQFl
LRjxrSSV/XufosjFW3sWF2vx4+c0wSdbpbXYRMytdon2VqpsKsLzYoH6iKLEPDQLns7StJeI+rt3
2HLds6K95AQoXNyIyfFOZcV7gfRTeui7ajpWpfOe4GQmTZHSMsHgYjqpNg0fbFLXR8tpzM0SW/V9
X8w7SYj3hnlWg5TfFPYBtI1+rz0X3xAgU9xak5seTaj6azh4+SZa0GVTYtVRxMiZAK7PXEfEICzz
hLSd+4ZQd6XKaD1njg/NnL8QEcAHNmTWUVGNcg1kDAUkGXAN9+S7rGgUR+mQexNUcJ9mqifOTL/0
9Qw1hJbU/8/emW23baVb91XOCyADGz1u2ZOSqI6WLd9gKJaNjb7HBvD0Z246qT926k9O7nNRGVUp
yxRJYONr1pordqv7Yua5wRVNK7UySC54tKNmfutA+a1zbprbMU4NWiXP2ttTCLk9RwZDYADrVqCE
/qYxG14tZkXO/QLrdV1ZZM1HtZxPkxFEr0HWl/TycbiPo0jdTKi6MX0NaFIBJO+RRkXc+zivLMdk
VhQNKL3cDH0vG+PTYklxq91ruyj1whe0BCk6sKTceL58w7b/MRRQCOK+N58SrMcHa7Q/kx54awR5
/Ay0BWelzydNEMapdyr4jVHWMvsj6itSY0b0gSD9aUnvjK4h0QL3Ofub5T2JA6L2pJnNDCXj8Rjh
tNwKw3wkAGTX43Y8pAaQ0wor9X7J+GvjyGs+tHB2cCJ2ytgwsK92A3DIt27MCYCSNUP5adfUsX1x
3VrvNDKYxqU/dg+DUdv47czgmBTKJjBGIh3T+ikpIf+vXKdezlGe9bBmo3r+UIkgv+VAWo5iCqmL
Lfe1rbBuW2FgrBSi4XVeR3j5Tcn4o9xLHgBwGPBjQDVhtZsXojx3RXDMR+tDVkC4tSKBRxwYoNMG
CLwx1GyizAju4ij7GuHRxy7abf3BYpFvOjX9gD3e18gvw5Wbc+9xJHj3yYxsLPREfvQKqz1gvcs2
lVrUp4o9P96Gllc2AUjO69zjBiJEZNLmFiP/KFRjojtenEdSoD2wflipBGPZblW5uY2ZXvZbjwU1
94k3vdMwYCBtSpTLHfwlWJAvrnQxBoewQhHfsbwRzuTQEXB65EFD07X4zm1uJ6pBM7CMzDoD4wAP
zVs3jf8FPUvcr8aQ772J3JQEhMC/5N0k9mQGF9vWcmbyXGZCuiEBaRCEPIAVQjgyDe7BxXZ+7yUi
O0gjjj8H7raIk3mfz5KPf5TTB8HJtbEcgMN8SPnFDsBJuibbrJXRZ9Yzy4etxzr/Yw+t/PM0evKM
TGH52JX2BvYRyZZp3bbnQdQ9IUgpVx6+9wNQDEbYHhcZD89vDI4tnB9ttoMD3R15PqrjmNqcGQ20
U++mFwUN2MbKu+F7XfHvVOPvphoO3f8fqqI/TTXus/wNKtiPc43vP/S7eNv5hVEstjO0BVTTEGL+
U+MLU2u0Pc+n0DctZnf8X7+Ltnz9/8AQ/A0m87tgC5mXcFF4Mf2A30al/0/qe7Y7P9aLaMEwEFuE
AvAbMJzWBso/FnDtmAXl5Inm5PQG6kQiyXoWpxQyffDoyhLdhRvSva96pv/uNmvJt/6A0IV8WQYn
CCqY7vE8XcMhS6K9MaCdvWAKym84/5P0oYeq+XlsE//VXbzyJAWws16lFlw0oucbzGjFiacHl3MW
YhMZ0xLlU2Mw5ZB1dcdjvyYuexbEryzjOl6kRV7iqNrwdUxmgtYwU7Kv65vZ+zSqaQgeZiKNqW9Y
EaZW1Ttb++prZlocJG+jtjsPV+dz1bIe29WaMnPbAyLp452RFyZp2qz+5QReJglsdQarDNNnx7my
1OcKPFC3klPX+ux3ZyKwDzx7WTRviYcyqXhL13HxtuFqCVmIZgPOvXNgYXNWqyjn8wTWOheDIijR
DU2wqshnOfuA1JlfFKoA2KuZTFwF7pVijAK5TCtwW8VA5BZ8l6FErIJNHOUFaiPA+CsZLFCyNyiA
nWWdeWNMaFjLslSitKVag3n1vkToa1yE1zCO3c0YU5ZSbCOf2FvZFLVnv+iNo0km24OJj28FIJdg
A+rdVdrJ8igNY9zHTHKeM8MbkpXdka86or59FDliNC+s5zdcixSK+cAmPpvlJsHDvUNxn92yI0WN
0TkFcWP9sM/KEcp3U1Ye+7h8OAbjhB2coLSiYNOFMCW+d62QGEWZTxsPderG6V0bxUzMXJcU4ce2
UMXHqDSgDWcR6UGLMdb3eep9ILgnfqQP6R6I6PEfMVCNr4yNJgjv1MZtLadHrodqN49V8sJZHz3k
VjXjuaoNa60GckIjH5QWYTn+OQyz6EUCizlM0jPujQnhBTwLcgpYidm3EUrBvZEaybIRGC7nl7oJ
AAQjPfrQeKJ8xs6ZQUGKZDytyVmwpzXeS39aVzM9QtkivlyFPVmEgEb6owK4vVd5Fr9AMLNvwgW3
GgwgV11Ib2EEF9SkIm+GrM2/CeV47NL8BXF2XJXllhSbBSiD5RK6AbehVe4lpTLr0oHFqWNP/q3m
3wFjTpacWIx2GO+HOLZu8PJXB8cJB8IMCLRcMetrH2XulS8t2TX7MfLrX5UlP4oGWkyfB8GJbxrZ
S83Icu5q2ElzPj2y0pAnUq/aSyzs5dNgI6jbhWqyvqRVa94YS4m6pWls/6TyKdw5af2Vdi46CNds
WMdnLHYI+HkOs2D4RDRA/nFGqvbRVn2ivdRB9rExyhAfMHeYZ/Tt3vQxQRGw1u+SGn9vhe20CJJ8
n8JquS/D0j2piewqVqcZG1J+1gAKkmQEES6pXOGnSR7KKJ2oTllIryEZ2FzFCIwkpKp8lfRGt2F7
Mm8rNcDniDBG8Ln0uPlyHX1qrjFMqFNlhuUGD6D14viGfd8b7YdkaZ/T2vDfEa/AJ6G3QvXvKpSx
zHeX9MKc07kp8Fjcmj20IC/too2fxMfQ6fy7WbUNt8bQPS8YIlFwmtUXb0BHXqulerDRaP7aaOjU
SjB5pGlUNd7X2PkQSxJcvYZ8NB1BQjDTEsZ3jiWG1574pBLPIezigmy6TAjEhhM6kaSO3zpbJl9z
UlPX3djcWgNp1K6npo0cB9yEMkoOtuFbhAwpNd9ak86tIO2JHVtvEdqaOZI5YzMZu7ZiQ7higF89
ollipVP3Itwi8xHnsUvYbpFRbhLnBkVkOliyn54q5SDxy2JlP8PxDH7NVIHYa0gGNJsBDuktPdn8
5BgRmoWxdN8Gt9Viu4il0dwLzjmslNNDTCw8UVOBpPJVoM+v+kkEV93Zj8NhXsUDUB1huxRLXULn
VATwQWrwvrcGxIszmoqMS9QlicScvjQ8856E8vRcOkLSi+diHafUUy7unX3fONOt0VvEdTLD/eJU
rfutMpz3pG6sW0EJj1KgQeWfh+m2QQjGTY7hEPdrcBfaWXaLKZC8i3T5Ik3GWY2J2I/l5IfKbJ/R
+5vrQLQSGjslcjJ4cpcwKkLUsoSPjWirreFZODKdTnWH2JDnPBtjsr2SaNOWrfhIfI+zT7Gz7Ljf
v6RLGTw1FuNkSa7jJfaZSAvZ1ieVZlSzbeTmd25Fe+x2JSKW0owP0NDIefYKr9872MMfuXKLTWmG
6iEhyOe9mTpSvaxa5JQ96DhiL3JO/Ib0tThx15Vbg0vMM7d4KCKDoFBrro4C+8za7Ii/mDszuTVa
5EUIH6p9P0zDxkEB9oorFShXUCF08bPPfSd+TRsWvguPx9tRFTGej07JBydgUlR2FTy3QsJdtKfu
m8C/tB3EPDyn2Ge3TFDabRUH2Q52bLDBHxY9J6PotM6x36vQbvgtkvaeHtYWRKmEqOcYnhDj3Erj
qIYbMFRy7ZYkj5tO/hl537CLVZC9E1IvtoD6+V6D4LMM8q8t/P4jhCB/bfoZvaPLf4P3Ha5mcBMH
5ofm0UQpvRkTksmsPhG3uJvTL2EaQArKpbHvXXIVnC7KH9M+JySCPKQdK53mOFCQbAfGYAebiImd
P1F5GYoEgcyS401SVGQj5RMovV4Yxsacl37NCmfc2n5Xfuldlaz53S+MIkh4naV3UIjXiI+/WxxV
H0qnyFZmHVq7SrhfGrN+HCDCoegjsw9Mwp4j2gDpYHwSePRWUjLkQCpMhZFjfs7M6uzX7aOvo3W7
BnRNAXUCQ+rGlOVTQB9zIjgq3rEUC1ZNiILbS0pEANiLuiWPdyBr7+zCMJ7CblL73BvCA3ktMVKW
4tHIygeiwOSuLwg+XtAhr718fgzHQSC0y/I96uJq0y8Yspy4Ckg9G+jLRsQ1seHb9wY5hCvOdv/S
O1ZyIK6tWoeu+AqC3thiIipWSQEbzEpqlwdZRoJmaQ+PCrnCl6SYG3i/XH4ESxw8dnpA8LGVhz1E
gtHVAJ6wHo4TQgkms7GxipMlOBVkkOWJ+xnU3odrg/BvL/V3vZTugv6qlzp/Vf9z+tp2X+cftyXX
H/t9W2L/wnXlMceHOP2b4fX3jYnLxoThEL2Ub/4QqeYIYDAscwNLj8Z9lsz/WZjYwS+IBnz2xvCL
8cjgkv1pR/xXO2O2LD82VMzACZNwA6E53b7DaOHHhgpNP+NCHmKHcKQEXpetjQsQ7Ul2IwliuJnM
thmfY7cjvwwp43Ack7J/pBgdC9jBgrQXlIFkWpNLQXhGNNio7Mkhs+qJZ1QcOQk3TGeSUFnaqzjE
Rb9MhjrHmSB0AVxldJms0v3ECOUth2GI2qy4jMw6QN1Wy2PXhhdIhoR3lixXVpWXRwjjhY/6jln0
3cCCu6R3CECTeKi4+7o3P4V4NpC5G4n1VJYqO3UtrA+eryQb1fyg8vDgE6U+nYupIgfSEOh/F8vY
FsT9fussBPNsRG3yE8aChJl4ZO/K8zAjqG0kU3xRXbhenC4lrZAPKltAbre+/JXvP1kbRsdPKzHi
EiRYA5y0sMJqnRbDcSEudO3bAz/YuQogpYVtL+XBFhbhxzFdmnhd5oGJko7IOa8ewzXtBZFXsOgO
UPHg1RgDry6w1dBoERjSJX24Vkllg1Xsw5bE5SSBCaE6lkVtGrBPsOrYeB0G231GYMku1RtscdsG
XWjulSvylznLyXQdEet9agu9kMgmk78tL+R0H9S58W2RKlxPdhOdMjnJd4Nm5IxyHyOR/v144rdH
rux2XqX882iRNsqxDVwE/w2Eup3ZDuV+GOaRUO56YRbPhwzer9+Wy6hD6PrEYgQIWJH6tc8ydevB
V5CHKMd1cvA6cop20vVJaLUXPbpNWcCvSqPKTotTHccWKw9dwcjYKYmtT7WBRmMn6jkgUztz2M1x
an+iIOIBMHQdjZ6uj7rOTSAiuu4zEJT8pTXs/FnW7fypqWV3i/AvvKTLSOqGbbXehqG+TZc8xDdR
A/ITUwOmgnB2b1j/IcYkrgjqWM8mZCS2fp0uWHHdxerKPZlehKG5DaQYL+w9PEg1/LBSIXN0unCf
Y//5pjxbEQXTFkW1oiuZ2KdbNAGIv8xenrO84u8Kh7zeeRhnYB466C4AwY1t5afbHvrhU1SE812y
qGxtaxT50pvRXeEVCXxyKoS96EOxa3Npv+RsUvZ0mAaqeTgSOdkqSRHsM2F2zz38c7fPyXx2zY9o
C+ZUy0o1bmVYjAXNXH5XxBEP9I7MiF2i4eqODxaKwQMpJVf2eqIx7KzpqwcU5MVjpyHtap6JNksA
tw9xCQ1Kw9wLH6z74nv91gqd5UQEFNT3zFJYoTQKHugQC7diDiYaQI8blVKHagTkT2mVCReVhsqX
PXh5PSlhNaCh84PGzze13d0B1APNGNjZDZ5d9wH4igWybiS5yrxy7GEOwrQPNN4+D5tk2KgJ6P0I
iPUO+X/8ZW7TlAjO6tjOfPWLxuWXV3J+eqXoz1eivsnPvC1Xzr6RauZ+rPH71BWQ+NUo5HaQI3x+
Koflw+QC2F40vn9k4XJazLp6MTx33luNb5ItSURXT9RpbZJ9CIYbxVfekygsy47U+9IV3MquErR2
ytyMHmECKkJ1Iqel+xjy/u0jipQpxedR+d3GW2IaJ9KY2CV6mJgzSsR+VTAl5v03A3mZ0q8Ec6C6
XeM+kxfPx+PBxhIkjdUW6Q1SYPhzTL7w76UWnkbbq7t1G47TXppxuVZz8VYt9MNtMlvghBv/XM2D
cSHKhsMfdv+iO+qUePEy7+H7BUuL2AXckw8Ph1k7hznMPk6lzhui1+vJghEl+oZCOTvlzKo2OKkE
0GF9F9Ueh9a0cEa1qgg2ngGOGFskCd0gU3jCtHhk9lPM8YzNznK4HZT1BHeRFwKyM21KSleMB2O2
3ClTATSRygjLM0/7+UwqejVvqmrpt/CEl7sWNPzNv+XS/01fIrRA4f/vF9bl0t3XKflS/VQu6R/7
XVR3nTA7eIZDJCNaYvKH4TP0PNy/VD2URXrO/OPwmdomDBAG/FQvUUphzIc2gk3rOrP+J/WSS+H1
R72CGaJTRpDBbNRln4Is48dyqQG6tqi4TG9bkovnNwfoV7cqHZ/hrUlIIYedrdihzocEPmRhHDXQ
322p/P3yUKnE3AOinN9bcsHwhJq1u57w3S83U+n5X1kQ+Rv4B167NIeSjSYcslWWq9l5Jn5pCTB7
jAMekI5hdgkcwZxjlCMUIcyNwnszMXr/ccSiJ2xuob6t52e7bCPyl9TYm685Xq5k1ttFpiqtrMyy
OCWBodZT4LPdHMFqLXB1Fjeb5C1z6KYOnqXlLxVhJ2DfObMEcdwMekmNK7pLRyiT2AZQMHJU643f
L8O+rMfAKtadWZTmTSKSDH6x2XyRRtfu/KaeH1wrL4EYzyrlR73ZWD7XJVFnd//egP/HG9BjX/LX
N+ArpftPt5/+od+7FfELSggrQBwj/N8SAH7vVsjgAf/vICz1rvBKxEq/Yy3RseqbggUQK0n4PdzP
/yH3/OKEIY2PsJHdXHk//6BdcX+8+5zA1Rsml0aK9ifwflYLidFrRtOMqf8CwodRQ8buvd2q+rzk
iLj/8NH8F5nXn5RJvBa4CKKnoJygd/tp00TXAtw+EOXRtxVw9HEWZ5bL4cvMJ3BLjG74N2Ir/ff9
oIRCeo8wHB+Lr9dxPzdiFKOWXwcmr1cI7Uw0a0ZuKY/Bcz859hFrN0mN9hSIi/IS6/LXb/bnLpAP
ljbQY9nLt6dF+T8da4bZ0Q6x81/avn8v8oKTJxdjcDuLZXqaoiV8iSzz797yf/mIcXUGtuOhV0br
9rOSroOrqAKfgOFCTA8Zy/T3ETQ5wXtJywzVnP/xC7KLNE1eDiIVup2fBW2paUy1RVfJSjzCx8y8
FFU03pAisI3PdjR6r3/9sepxwY9fqu9edW1IH/lw4bD++LnOnUBgHU3jYaimJgO6EnUWxTJ8OfJW
HO33B2d9DvLSOfog8Z+a0S1fSoxVzEi9bClhsXX+Uz9b1rBqGf3gU9KtCtqK6dNsBX9zFbj+f/l9
4S9x76OSY2zxMyirJCUwTot+IBgLiurFKCw3wgWZw1DA/xlsiiYW6kRJPGOc6npXXLgH5yeDYKKD
ZRI2DX0isI+kGbpvsd0xFJdezrUEx7y6KZZAnKdEFvI0mhaABEKwxbmweBKtm8wFZYAGnUWH0SbW
CmjhEuzg+4gzM02j3Q4kW97g3ZieRA+JKkqQRayWdqzcXwNK7JmggmUaMVM1VnrTkkzz4HFKeJsk
GDPmZOZofEyx/UVPTUvJe2Rb1bCi9LvZQLVnLVKIr1ylE5mgAjjjRFJpODqPUzmr29KU2GFIeGAq
wJzHojviIGgh3oHqGbvpwVCIu8OsaYM1IPP6dUgtYuVb0z56I+hnBDNj/RoU9vhgspYt1mGzcHwR
A6xZO637FrQmm4c2x6B0xSjYehNhNIa4uP2AO2VJ3Dc3dC00OXM4vXpVzzPcIzmo45Ml2mhwWt4p
jS+aQ3ZBaLnKJHqx0oyt9QDc8O268cCLxOeGnfTCRHd+WoImfFHN4r556GafkhgnfmMr196RHg/9
AE8kK74OaMnT92tVIkXF949aBfRSNlGGpDrhyHF5s9Y81t2+UyOcEqPFdHkK/SgpjlljNCQieeh/
hi2TUPlRjip8CWrO0w2gTp999OxwnYDodt4qPIyvMq65+SHG3oZzG77UyG0Yil899sxhgDlo/ELL
noodY11ND8wYakWPpOEN3N3164RYHmNWxXQGvWPLlxRKYR8HSMf1StX6vSonBOKkLVbXz9+ZejDp
Q4D9FkPlBq0SZLamDM3z9c/0ETkVxWymnBuLPBi810eJ0Xaj4jDcDVdfF8wKWpU+Y6TddWkU3Qik
Y/V67NSwyZopCJ9sFoMtUypqKRaaTHvSc4/er3ZXLKCxWkJCNrV5HrrjuMuhuq4ixvlwZ/NEmEcl
en9kn1oYJcPrrk+M/WwOqdo0sTFHT3VdgqiRFfKtVSmJX7q1lnAmxtlS7+MMaQGSf7ckD4pEUIUz
YJzRtpU4NTpaTsJCyXhdGcEIkxFJAYzF0eVz7i61HcntpLNTojKcdyEJzo0ECI161sEzQAyVizt6
PY7qgDpxQoZXTReP3G/wEChlPcuYz46beesODtanjg3TBuGdt+rnSdxDteyflGwQCPbMGj/3Tgb3
WdodMwHkGNPN6BvjgcVJTItpAlRemdVyDtohfm86jk2GHf4JU7F3rs0yxKm2OPMt+/6CL3xiFoe7
MobkWi/9e4jQUm06Y4iTDRd3eHIg4JWb0Bk7xhO+H71gle9L5oHOh17GLMna5q0UfgofFb7hoYHV
P/IHNRWmNUcuqTlzu3cp+B96JD898ZjjWrYiksdYA0c8pTGM7glLrV9dZjEvxSzR5PlxUGgk5jg9
MfOJXiZJbVE7on6du4zt7pipt6mC35W6HgdmZWWX1DDTjylBJsua4ZN9jMwu2Se+bR+DOjRZboZR
ueExWqELLrZ46YmZ423EO2GTOUiG7mKGH5euFp+L1jCWIx7SITjaRUso8FrU6P7sVgDJJxnS/nWJ
R9fbtiVNOSl9t8qo44cWc/kxDsKLL2Xzkvft24yTmNM/ES/o7EhMI9P+jBSPc96tyW8j6cH6PBgo
Sdb4nc27OlQ+DktAv5tkVEcXGuO4sVUj1tyXPtaaqg12IWMezP7WNOwWx3opZFBvqqmDsjYWQFyx
0jekdOSOOyJEjsozol3n11zY/PmaJ1b7wZWhFf0aBipp2ebXUbVbgor5B2k/A4m9XWbcYngZ+OgK
VrMLE6JPs48vP3HK4N6XtrlJeUt7lpIMRWYr6l6rKaAWqXs3uLUVodOZGPlamzBstwkxExwWTh63
YB67GZ9VGpyNCW5JWyAa3xi5dpjmKbbZSLNUMm/homEUMz11sRkA7TH0pcR4jMmfrMSZJpaztLmK
lK78k5Ed3d7rZXjbKb6adc4CV1N8EEkAsp0B09VYkBi8Q7NeTdqg6+V1UjBHzDjv2xH3qBw5B0c3
7tiOYUMjOTA3SEiseOWUhwlhTyQFP4DG4F5yFXJEf9YOSBgj+6sPc2HsNayvR6CP2rNlKRXrS1+Z
uXzoVcmebsA/f4sshRF/7sLCaZEnvJc2chXGmi1XhLU07hvmqOmhS7AwbwpmUu1mboADE33t+lQM
eNS8/fdfS5QuiJxGplQSkaFFVz7xHTdN3rYH5FXTQz9S+xZAibcCrch8Yjaq3fjDjKP2TngxW3qz
DatXZTHTvbfckd86KWreqxrhFm1KBlj+k9PUOWHfdMkOKmYwSnoWqQJz9P11PDneacg6aNSsr+fn
yKjcV08KDta5JW1J1e3EsBx0eccjQ8QXRY88c27m3q2z2EHHueiL57wyzFM9SONb3zbhXg6K5Et+
Z6qcxPDDF2sigmQV5MwR1k3Yi4vdNpoRxFgx27W+A3opnhL9iTYV33juwqVcD3Xg8sBsOaqeI/2N
pnC835ah4IrLO75GQzR0Db21mK2JOr82EnSmmPpehDFDa+VzorR89uzEGJ6hquiEw+R73iFi2ZD0
QxQFiw4DjJs5gZ2QGKQkpgHVcryfFPmJmHimJ5y70A2v8YpRXiSbXrEBRp+gjfAhNYhvkeWZXdMZ
i35cJzqxkf8gCicA4ZSnS42AXjZPpGXKYzZK4xPAruQEtipajR1ZkI5OhUTwLaDqkBSZD+qql/VY
/ZMlafrhjTN30brBjBcHHOl2Gw87YcZi0+o0ynYil7LSCZVxT1ZleY2tpAxhdsGIcyUyKpJeJ1sa
iQPRXKddhtfgy76BpYFMUK05Fb6VZKgZ+XwfToRlcl1TGAyNeR/2tXnPpHrcjFAwvW4uDuhtmy21
cfQ8eYRwpjqOk9EvSBLHuXeQ09xN1lA+8m3zXNZBnjz5CgTxOtzTsCGrk/cZh/ndkDnAw/io7s25
jj/U6NiQT1v2uRoLMIx2bFJATs0erBEa8/HBJluUyq/ckotkfgMQSbLj90VBQdgQiS6lryDXHIx0
+UrsA3GZzsAtvMPZpOSmGLTYg4pgxIPCE7hbzTDCOEGk1t7zvOI07PE+Do1lHD17buq7Lsu5SAsN
poMCwxW5jBHffQRMtHuYM5WyDaHs/ptWXHdJP7TGAXMsogAZLLAF+JNJiKj2NOSJVx9quJQU/SQ+
EOiuC9+/btf+1P3gfBcMKohJxJFL4/ZjtxZGsh/Sqq8POXkxBIv5vrg06OlyNoAA0TxHty7X4/Cv
X/dPrT+vqze6nqYHOHSKP74uLXkOTX2qD1Oae2+9UbSHoptgGihfcn5VRTk/eZ7kLP6OKPvrV/+T
yYxX17tkskw8fgmNXf6jpJZ4KqYnwqsOyo1oQEA0WZdAn7qpz/pl9ZsJvW5heunK23K0Of/6K/yr
MPhbhQFOyj98W39Sa5952Mr/Wb+1VZ78FEfDePUPczv3F9osD2SDhzDaus7Gf5vbBQTLcNvAaxcO
/l/nj6BN7xf2tUxgXIAIFj/GV///dNv8UcGFASDhe77NP5jb4VX86RbGH0+RAuvTg/lg2r62rv/B
eOfrxAS0zOkBwJauDcJM+puli6nKrbGFHtyPtVmtAtOX3jGy5tg5UhCGAfYX9jRrS3k6Z2FhXbSt
3CpuADtXQrWrmoGRCXzH7t4JFmZepTGRteYxYtBwjr0zcEnPFqamnLUS6gUt0VMp/mge4Wz54YFT
F5Ge+Vrq3rM2F264EegPnWKJHE9ATXv7PqcIab3WVRkjix0qPOB7ixzudkthqX/Ejqi1MojLD1ZD
uc+ynRdWrPeIbuqC6elKaSwSMT21qUUVnxU8qO168ls4O2VWnSqEhMHJC+GrdIEpLjloOmYRsjTW
otQ4jhoU6AOCVo6BbNDnYB3qxtmy4vZgopW/6M3Fm29N00NVGcPBHqX9YdFAvtKm0QXexLjAKzpx
jq2G91/7gA5TL+evJvyq1pDHlEqRAqB7T1sNLCydyrokZBG8Yrm6Vpktf+x6FgLpdN/mWJcsSHVb
bd/kt1U5r2baMQkGESaE9YBSGrZmOPGunYzXDDIbSGRq8t7Da704KNMGlJUUN6X0SXPOqLCCMRKr
ViXTXRol49GuQhK0dNnOw1J/nt4U6Up4gvCy4brm33z/QuGUUDCS+Ed1Nehv+Fox8pV23Sdvrkju
UXXE2GHK8GNugE1lySMTLt5CNaOS5lqS/DPoclotF414Qs9sUIFJGHnUNzORJQSU+PSUmNOJeau1
Qekjy2rH3uXFwn4dQ/s3GRGqtDLHklFxrp76pXN3cyk9B8QpQxkUAumjPzpIBPKpMda1KCB/0AO9
XnvByi240LPJGaIdJQB/0xJpUB0PAn43qVGfvRaYSiw2OFH7kavBarXUP7R7CIXXFpHhPkyR3Pd5
QBNrycVnWNS+0ajTpX1V9+++E5KJaPa1OEvVcBOSNccXXDGAhlgaxhTuiJOpr8s01IP2kDXvllEb
15vgtrytyGlzDj7Y6aOREvtBMIfN750sA7VqQTot044YeS3NOFdMJIbufaKKihF/aPTkqK8TJllM
ynRRH9g9M0MX7k4ggMOte5wWdCwETfnMffbzOIbba5MMxCl6uV7C1xp6zmBcotdnMq8v0sijrVb2
wEeiLFgOU8ytQIQa9AYJF353heZ+77P6qqalqvNAD8j0YPH7E/96S6C6oPFKdL19rYEak4ODbVbz
ugBDOjRuDZAI3Ji4OESZvhh6tLiqaZIRqTRxQR4oEvuVVzG9XrCc7nPpqhFTZ8HbMRPnmHQTX2hz
HWDhY+cCM2xu8i4DBbO9jueurd9sEn6HGJQhoi+rEH5gHt4ujYbD9MnM3wAVCOhQbgRMHQe/k/ZD
2ozwSo0WYT9L8SXcmHntHzzE2rvvrSiSaBpvCRFkqjKuH3sCzr9bunmQ25CbArt8i4JnRRszPRVW
peTT3E1kg2msaTLDC7Vn7uUs5HgOygzKbiFy/h4H8+qR5MRgk/YcGSaO7kvv1gOfIH3ZU82FTryv
zJrXDHLfAcNAvCe81bpcdyseO86I6FWGHM9dyNKVepoj0iZU/nbKMq4oIyRrcZOTH36JzAWsU1z5
NEI2zC55AhGf7AlLT/aDY9E2jYpvKU8izRGyOJpFNHNNoVXhAp+9ha+17aAOmaQdMoMtAds2wywu
qTsrgpTagqkwBHyuF9GxGqg0hFchYgMrp4lLiaYBF6xoWjymtQ5GDHWt6Iu8msn10jWxhdftHcYo
YxrpcnWHvASobUYDiSvSG6ce2sMgfGbq12vesYhgWZu9Vphbjb7+B98T5yEZwxe20EyVbFMfe6MS
TU9aGQvanZl0nG/0gcEGiY++HsMZ2XrdBOELfDe+yO9HWtoJCnp6Pi4lN2J0dkyDjnxGACAIk2vk
bw+Ox92V5xlWykHx8cItw3zCvyvGwHlRYDrFekJNLHfXk7WqJN26kkHzIhK7LF9UHM/ZR3wEnBO5
o08pMapk7+C6egu1YD4dmuJRyMFiklC+kxccHtu61g+DxtQP5yjmBA5pjM9qcTnI4NNzByOXrsVq
krIU9PGznA8cP3aBaj4eKCG0sQRFi1ct4U3B6E6uLD9iKkUGZZg/LinRA2aCwG2d90b8wqO0ZaNO
03ZySlOjugb2CuzjsfRLjhhmn8oiGsJuWu+9KouXKhbtCWbNYKrVTMoMdQhOMUrfYxXqB1Gn6d4g
UusbnjHBgyh9M+LehQPeNiiAGiH6M5uh6qYji2s9anJ44jdMaOGBf256a2tYVQNIBdJ422vFdso9
sBq+k9x6oG6dHOobPw2xpj6Qaox2OOw/liRTADKGXo3e8KF2xlUKLi6yNDhuZvpj8JwgvDo6IpUv
OFXJnGMThpyJibO1qdkobizPwv7ms7qJV17jpGtSvIuDIAJTrhKnRnjuZDAfS2sMV36y7MxhUic3
lVm2JnNgHlcIF+W8m7059w8hl2W7jrsBo4/ly/Cmt53lPph6/9SlIY+5ZCI9ZDJAixdKfHDEWN0Z
pA7dJ0sWnLAxcfUKOl5PBuS5BWlNb18jmyaPHOX7NOKboOW1V53hTm+5U6UfZr/44KR+87/sncly
5Ea2bX/l2ZtDBsDRDt4kAoiOZLBNJjMnMCYpou8bh+Pr7wJTeiVRKeXVvMqsSjIpWRFE4378nL3X
Li7hVlu3bZ5UgHV7CZQZxhBHeTG99UwNviUe0q9e+pxneMjC1nbTwEPbtVNaRvrHBDpRzUPJ5K8h
B8yySBoBV5RdeV2SqSuul/OaDV61W0ZSVlSR6mGcyk++nzW7PCVF3o3kVyYjKyPN/Ra3s7pLbEX/
uCAnQeQYiszB7m57ALKUP5UT2nM5v2Sj+aAROQ12te+vvDRZbstF2dvaHctdrTRrH/kTiAI/tUIc
Yg+tPwJ06Bwqo7Av2/pqwCEX5HlJfSKBxcbUDaex7AzE+p12sP26P+b+aF3WAuMGF61CwdeipYJy
v5nb1gs1H41HxooFQqTMb4i/wX7onTTsN9dsAoTWWlO1i5mbHQvsSrdxLbYCK9/BRMOx99YdQqhm
CmZcLAfsJwn2FaV96eGUBNiBfdLiVghzaQZDVel3OVLUyxpY5SdzNrVLVTaEZ2mey89Jatdvw1Tg
2I8A/5xox7d7ALD1U0b5vjY6SywxWUkH3OxoYbhSaGfdafUtO68b5J61G1177bXkJaFsrvus5SV9
pLWTZ7gFfc+u68Gh8tiAmpVkpC34+nSU9lubGeGWxR+dPySNfRQnwxErz2uTxFZoDsbaFteLdbUy
jgrX1nPU6bgbwEnNT1TEIdV1RyWY6lWgcj0PceA4D1HLisLK35UhOAdGKKnpAkciTbJM4Cz0Ju5y
G864vExGDWpCI8YMY1vvcNTGOWHrd5PMCyOM8QQRcO62qPvu0sggYMTIyjXncemn+JXFP96BsG0D
hqkNWYcTNso4idDl1LGI9oOTaCxMXeocvHyUjxoObI9tLzId/DtGEnTNwAkkwWDgdPVV2vNepGQa
PjYwwI6Lw6THZ3y3I9J9Qc64zhcylxAuMFmfZDx7POKirC3tlMIamUwW0pJIYhQg8SUjuzOKy/6z
RnD5Rdl5Vw7W0C2bV3Rfgl5/8mXvdJuRswu5Qy0Nxs+904z6scyRyZ601ljM8cCq5e8Qh42tZDaq
UTnFHNygUQ0+XtQG1MoGJEXtfYnagkU9yjLZKJZvpTMBsgmRw5UP3n3B1FZYmINiHEISLbqtj+IL
6YDsuuaYKWfr4ZkFryUju7xoaZe2O4AMdGd1Gy8xT49Jm98eqUGTLqHaqmRPIeJMFnvTykhXJ32V
RrwnAtDPLbZlKynLYUb8jBj4sTvE0dnmYI9/GgUIx+gP2gwwJ/TchjQ7RLVP67yskad/Xqxl7J8s
nJogbUufaqRmAIgiWQIW3f+h5fADJYyx6jD+2H/jGyCfs/iLC61RmB/6UzJxjHoxh/hgz+gDGAX2
9FxH/KrmGUtbElNsRs0e4H0CFrqJlgr9WR+d44q2tqePxhkMClXlP3+rH1wWVDIogSjbofl8FI/g
lonqhNTGQ6VR+rV4X2MmlTU16QpM2CIvp/IZy4XiSJvinzEk37tiH64JH++s/6UEh/7354ZGpdx8
rCbAbrYqOAplRqsgJ/StV2bckETZhGAL6YmH3I20o7FOgiqrAPI7MXwwry1HoU/d6PkQJ4dhPUE3
LbLCt/dxvqzIPfrJ5frBTUTuYdBGpdfHpPnj9Zr8ONUE4JFDFU14GpjWjv0qMgHy0qEtaLfI+kj8
nPv2GSyfumsHehVtwlk+refuroRk98838C/hK6gyqYEssWq6hME2/OdLqNkEvY/UDRgW8Gts3lUI
Ay2px54WT49Yez3+QlPuXxGsiGMzcb6oJDKJvdGxJW/7vlnPYFzZf/5i4gNHkQedBhqjCMfx6Df/
pSPqMrgH9tQmh8aJqVChVtTFuPFh27szVZHoq3tieD3rqOp1njMj9cxPk2VOCDEmH9f9KnHQdZTk
GzhT1MXGwDH2HVAbWwvle7pqLYqoXmv4tdeD0oA3W8OKTWnKxGu8wt04vH4/lMJdQeFB0AWLkGpm
+NNr3ACmkflmreOe0yrn2Vp65NYbAOmcgP75cpgf2+JcDhdvkGPQN7Ac/6M4LDE06KjM4vcisVkD
MXMjQfDG9ahTzXz7d60GaqRJu6/MdU6NHZKvpdJxuZ/JoajuY2FwOrEXMMZYEPlbLhb/SzSIisP3
9pAwV9Sp7DK6NKNkTH+oYzpgWyK+pjiMJ/IpFrVKw2wT2jV5aYpxhceB4PX9l/1vJ/pnnWh2F5aw
v9eOXifpn2Xb33/gN92op/9is0HoOlY2GyDySvj7T//Zg3rKyoMimC3kj1xA4xc6wiaLqAF9Azk1
L+Lv/WfvlzWtkUcOPDA/jvzyX/SfjY/tZ5KPDMx09ipPRd/2UYdHYEc8JZUNCX7WmygwsyW/SyAR
nWzLmrb45HFViGzZNQAKdoaco5OHj+GLj034k13RGLacrP9MJHL/OWb49C+ln3w7U+fX5wuaJF59
XAh9HDQRNB7rmE1W/WwnFkGLGFgvK3uNtWlBYu79Rp+2fVNjg/vDXfzB5s7+/WF395DTIvlkydPB
Gb7PB/7Ymoe7SWt8TNtjFEdPZRvRf5Bj6l/lPkaLwGls9xKkXuVwmRz3Yrb89JNBf/jrvFTLqzv2
HKWaRYlTXICSzZ2x2A9FN+Yhg2vn1kXHobYzpfoxkuVwaTSi2Vl6YyHdI0IBUjtEJVQ45XViKvRS
LhoL5OZUhxjpkGKN44J33WOO3m4Euj/WPcf8AjoKbBUttw3LHkJOZCIhI5TxDvtMxUnKqmiqDQLb
dYxcI9ky2eNwn1prfEGnoRF0H0Z4FgWnxpZlx3Wa6txZFBBaslacXS2mg2I53uZkJeKNH7DsL66c
WnJnnWTbAJrZluasnqps1fNoQAsvbZlFaBDV8NkjGQVknI51ZwMva54IA/aox0WudmSQOPvZx42m
WabsyeA127v1mHeLrCc1ggys6pei1h3qOVfvAo92SShHwh93E+Jfwvp4lRDkkusFWKmFs7HQaXkw
xjoJq8GV49H3/CLGA1MNdzPerGRrCEn+duoY+o62VeRtSPugDQ9pgv5PaMWLuACER6MjjlNTbnKq
9w2tOIvbmmnWwZ5MU9sUFqW7tO0nN1NemNhOdZNX3bxjgmNS00MM3ljdAPkw1mdjB2Ov23UDRixF
025PGxTJVmJOu1xPCaCYpoA31T8iNS/vFqSDqOLqMTstmUdglD24z6jrmsNS6kvoF81wUGlXL7uB
EhTtS0Z6IINQNHvbqa0gpQ+ZQYa0N598z0DIla2nCJlInP+unfxqSX26NmpAdpu0InOEnQ6tG7IU
sQFjWJUrv65NN7gwbLFx3M7JVvP4PSIw1G0jBD2EH0RROPLe6HDXERPlVsT7RIxEYoAVEYxFj9DP
1ypjYyZDtMv2pl7LV9qhhB5NeULyMekCDd2MvvU7wD5pQWCMX7EHXvd9F52WcRFHgsyz6WnVn/qX
iuzo5wVhwLiN/BEIiGu02vBSRWNGCps/tMnWwbmXhsPYVVpYA0EEPmRUAPHBChjhOFES3ytRK3XA
zofCRIvW4Ky66so46EYUll8ZAGAhgZ+Ha5OhQUUfR+b6ASdqwlYwVJddQl5b0NLEeu5ryq+15uJR
n/X6SN89vwMgtS6G9OdAOqfVdbaM7tkc69YnGdTn07r1d1MJZt4uWgxJD6aP1trI6j8PqZORyplO
fPs5htfa1hhd01oC/Y9s1DsT4a0b355oNSSSFznsaUSRTaLP4zc960b9Cki+rZ/9iH4/qs+mfqap
69sBfUWsaOtS7vOb09mh5xISMMI6SpLAhPzYXMDqCC2tt7kUS05CeWRGxRKwExjq2R5HDvsncBw6
f8nRd4JCKZQRWwD1jEVOT1U8FynJXFAGn0c1lDw63UIKSLc457Y3+MacUWttJ0l+zzaEejb71jOL
a2ZA6DedOjUR7RrZTJsk5hxQ17xYaeQV151dkCrPfJE8G48O7BFE2gCnhVyg8rJEBJ2xJC6SZ5do
2SN9a286W203Zxw07GgMKlBPX+kHSBy5aZf72yJeYHTWGG30Db0dr9skrSu/gESpz4mj/DLAxFpv
Ik8nEYEGTZjLvv7WG8Mn/M/OcaLbZa8+Unk7OgXJNhqIm2nv0fqFW+ilJc3AmpxQy86inYEj9CoR
E5kWmkakclJI+qW0WR1GV6P9YqPvpWgVRrKrZR6CuyLos0BMdGmhIr4gmzm5HN2FAOChpRExt15j
Q+LsjAuhFcPRp0VEQmsfYTlknyH3TfgqsHw4IhskT66JOrsHishg1iSKa4B4ta+kUKx+k5N1Aes4
WJHYtnbQu9AulqL//N/C8X9lOrLsfzYdXXe/0ov/k+Xo+4/87vgznF84VficSH0i3cTa3/itdKRS
+2V14ax5FD5P4Roj/rvlyPmFVrXPz7n/H57wu+WIqpLXEhsg1QzHFuJD/0XpSLn55/oIee+qPKI4
0032aSrcPx9T835ccjn66U2Ws7D45PPpc4t1N3eu/aixrFvLaQnsAAlbdXBRfcpjqGSps82jqZbz
uUXJwdg1x/+BwDQfxB24lpXPbnNiyvWtw8yJ2XOVH3hfdXkzFK3+WuoN3lXsCVVKIqmReGBuiNWh
nVwnJilp+9q38FQnbXYqs8p4EwhJ4ZvSf/imrUL42fHik5tb7aauY05kA5Rfm8JkHy/1Egi/0K+Z
rLGPVcIZxw2bOBiWpWggCSzC0j65uvbNg+WPXpMWNM54ovmSKT2mmA0Zylnp0UX2/FWuyyvlnO+Q
Q+Ukd53r5QmU5FndQBqO/KAxZdmFouE3popbBlZyUpoDhMvJRYujO55S4tpi6XxLcSl+6sFMZmeb
VLoACYZ7nXY6ekKVzgnDJYdW+YAIGTG6P/tkB+oMQu9de0C4zZ1QT5GCmaIBthrRDUbxvWsBptr0
tQJMp/j6R6LFkotFzvRxKbbsvWPN+jGuxBT6mC0rYsiz0ti5NFEpClPRfFYdu28ct2g9PXcqT1pf
oVLRbK8Zt2W0eNdeLt1xIwqLRyJbUhYfd04ggmcsRx0sWld9oXhsgeZ2PFlbk6JgDvwimYOUhiTb
Gj2CUsuSN7crEBTHaX7oU2vcyVg4gb0a1ans3Nt2oTpF2J/HgakGYFZO2Z1UbcEtLVvjVrN9GVZT
iWjWcpW26TrbeZWNT2+Cl+aMrG7BBa3qMsHhqSiTdm2lNZdWrDPs0KtRd5sTDFHpNThVEcJ44dpz
bsj0TIi1tvI1z3KpUsPa6IKpV7VJSGmj7Ct7xL9RToLYhjrA8wgiMCxhBeXC1bsd+5h7tRiTe48C
N0VkoM1+81h0kwuNuu7XSArIWZtOX7UiYp5XJ7sZ98SqE5CCnrmJk9eydVVD18DNXVBHqtQuJ5v2
yZq+AydL89LLqRqSCyeq5LNJahz0LywXoULyq45zrFCT9rVZdWjHHT05EIlo1gyurMLYDIYajK2E
hTwc9K50d1WcpjeAeiGRJe2UsOMT7c2bHXnMbLAYpUNAFgSy9iaiGXW5LOnYBqZmwRROuJtBM5Xr
6aXSumWT4QWOb7B0pPjoGWa4V/NSwmjsbX3fMd8KkpgUPJ44SwMe4eJEKzQ3PWt1XUykLkQFKDhD
d+j3Fp58MtMeQJU/t9CV9R7vANmntxwbXrTFr3inNKcmX8POlH0eatFTK7dJOeziUdVPc7SChj3G
Ow8LCKt6b0VNV+35hygxsCwPw4GVSN3DFp/ro2k79HUoUU1nT26hKUF7o/IQddO9SdwR9ojsWKR2
v9xPuTk1B5knBtiESM2B12js132vXy1RZt5aNOvA+Vl+VoZZzGpmj0hSc9Vm+2UW3ikjRDYPPKmR
hTQba7AonbUl4JMI8vaiPiyMOMKKwb2qdzGIusBcLHGrEXgOunxMisDxM/MCGoAfCi+j86ulqzbD
SgjJIYg+RR1UmNzn3Iqzb13rZs/QNbRPoiumL5zsp45Do2XxrlnzFKCRFcgZHG04dnGMWocBTR86
wNa6C/4AoYqGtk6t6Wc0iuGpR2f5ZDGaxPGsMK02+iZTBaemGaTJ1uwdcNG208UYeChjD1rbrbnI
QylB+qLyQaBTV83okTcWFQ+GisUj6qHPtI4dSP/vEhGf5MqD40n31rE5GsYDw7/BTICt+5wNkdIw
RwZ2HcVbOMbzXRX11rkoTUyCYBxL44qo0/qKOY6T7b22Fk/tMD8hiWGyOzgpfUsjhUy5nSZ9QEA/
ZXQdiUnB6qqM/g65cQZ8kP0rvjVmVPRMZa1CLepQCndwmZWDwIujE1NY6Z0JJjZ2/62n/lf1lAv1
4A8tnL9IQu+S+vXX/3Psi+eK3iZMkhQ5wOv/+7/Ystcf/I+RmxAidJ/03JBcvqdx/FZVuXi8cSnq
VFy/Obx/r6lIKjINZj1r25s+nUkX7T81FVOodx0o8IV/VU/pa730x8kJ5RwWN0vwHfhe4uMgokWr
35W+Xx80qhvemaSGrYnZBQWAz/DUtJ9kOU1XhdYw/x2bp4LsYaivHC7rsYAwuyR50EBqhSxVVjfF
qD9icIiR7xVttqt5HIMFru+xYwqMkUBzd/SUJbI+99zABNmYs3GTYb549kV5RTDNldAkYiS6ggNz
EHpfNHSKiRcTq8DbqI/pueQ6blu3we1S1e1G17yFGSStEpJ5Lmpfv3GMXjA2lc/re0hoTRcqi7gh
fDRvfZHlQclKHzJnP7ti3kta2qjyqjc/r66kMd1Fs52Abxp3qJeuRrXcWJm60GP+FHMRFDDps2qG
Oqjb5cUGaFdMxgvs7KdW9WQ/M+nqykR8BlF0SDuP+Z/OaKHuowVYknc2BvGUT8Wzy2Rzp8fyTu/y
q/UKDCW+UmDdb6j80J6RCb8ThQJtW0L5H2MX0JycHmIh71be8tYjRuXYFf4Lu72/NxLrgOrnIoch
f1xWAakmey6MrnMYTE/mqvWZc4yAkDJlYz0lIj9xan7u2gyKjH3GbUXZ41h9aPELSSt9qwd1Y7EB
7pQYdq3fcIq0VtITLcKZ4++mMhl5mDUXykw6/AZ2N2zoqSaEafrDFj8ZYWlNCmpfW69lUj6PBg4p
UIT5ZpC4c9bPaiz+gNYuN7LXbwZT7sdkuTA8FHvapF80bq1t6da8CSgZoW2kV3k+X5jcnINXU95m
Kb9hbanHJRrAHQ5OQdSF0IK854MmMh2DBKzRZWdnJ/i5j53VRhvUXw+lbgezquS2Sjqw/nX6XDEd
CgtzfvHq5WIyYyLHky495637lM76N68V1z4REFuH9EplDofFRi/WztPD0toHZLkDD6o4xCX3COpV
sc0H6Pn0SS+QHCahlNxPGu4CAy5PwrwMcIzNUqBQ1B+r2HjxIdcinu1gZMfFyXCnh7YbH6y5eCup
Brc65mLGpvODiIyEAImhAZtZI2V0NA7TWKOJfOa6G5UDfth6qtsq2zFLgwxmuaAS+Tl+T4SqLo+i
cJ7QyqgDgl00fAb4MOisX7NI87fkhagAGuZ0K5DmBsUcR2BKYcUq2oMHar7p1JK/eOxLxzvOkwZX
H8952C5NeU3pqnZYsqcT559+a2qFeBmM/quaOufS8Jho8tTUaWsFHT60LPABeQVuvsjnyK3JG4gb
kyZsZrXVIymbj+WMzSZYrN5PN6iBt/gyz1aVf0X/Mm0xZYbAldV2EWnQDIqQSGtO8Bnh5cg2KfrJ
k1cPkNzc9lxoyU1VW3VInfRYa4BMUUbBAB3tZ2zk3UtV4eKvKPbDwmk3ngsArll8Z1dCgqSsr6Mb
Y7AJQqh4/JfMfKmJ+WGiXFK6TxwTZ9PYkarOfVO8ApylIlLUDKLBmHdgMnLH/Wzy0KncfXI15zya
rTxGU/dGeviF5eSnP2w6P5gbfDgVk6QDmRAGB8IEDsfuR9dIStYY7uMcPjOH2A1yjWEtyc+p3VL8
Gc5PphQf5zfrp/lsaALiDpBC58MZHFPZWDkKhk7Mqx4QT3EyibjdONBWf/JJH2UFfNI6D3H5MJ2G
xPvu9QejgnTdWWSgtg7mkD/TXsw363KcGVJtBY27+sjf6d9rnb9N7vurA4fPBL9IqwMOI3/9c4ch
FpWfeH1EUMRgJ6HdTw9YT4utJqyD1OxijeM4IUq/6HpWt3++jX+Zdb//vv5K/0AcAPfhg7qEqask
hNarDn3ZiSCDlHijmHGsy8UFNWB+0P35RfYzvXs5Tads6nlvfWiOXaJeEk5vcbVcjDGjebqQBx+T
xDYbu9D05IWE9bVBPtFsaRxu2jq7Iswazet0Rz7vo24nzHFn6zzSG9jOde3vbdK6v8RgO7Z4jFTw
z7/pDx4hAS/TZJxv6Lb5sY1jFqmPn9qqDonZ76xavyEjGnU4yOqffM5f5mk8QZZBmhVYTVpHH8Ex
vjRonHjrs+rjQOnRoCvYtaFesAhXnFgCJvVXQ2yUt0Q937iDXt4mq7/DWuK3dmJdXksVcGw5Uvv5
ItYY3vhyfNB85yy6aZ94LPc2Tl/6EgmBw7NJVW+bal/GZrN69dOLUe/6uyqfH+eObX80U+s0pF4Z
SqYGF8hd36LUJlk8L7iLs1fvZy17i+rl0cNFuQw9m3cjDkhYDqhv021cLu9OlYvcZX5vjsuNqxie
0JEll9zTvnY26DjXoMb65wv5gxUGYciaPgaDx6Tz9ue3YoGA21pI4w+LRIFMOTGzstmNCd1TisM/
fxaF8oeaFEaRzj6FEc9lELv++z+89Z2pUpSCqkLTON2RlXQqAU3+5CN+sLKg2zYtIjIM868sGAgE
+VDoOhwwf2oAeM5QHaPlZV3p00Wo/cC4JDetg6+ZZxn5SQhL7wTT/3OfZd88iFw0/qcOy3AmDlPG
Jp74rE6NKq8AGL4tjhQhyI38UAiH9oMt0BNjfbksUiecvOaTN/CPnd6Lj5ZKSbpB7r7BDEkUl982
O7Mzk43wW3M/zsh1dTN9swHUM3zOr6Y5Jx+NZgXjAgpUQ1L9kptWgTrYcni8qyszCS2xfOfo/e2q
aP3gjeVeoDcht1C38Lf9+aZUZkOYkSqrg1FwUJiSMt2mA2GXJkrPK4O5ELFcxHQWyjuXDDMJ3ux0
2k3lNc2RR4+2FHTyilZatEhOvEYdoGd8IpVcBNjMENpMzjlCar8dI/ucYH+Aas9K1KD2CZhyPuqm
fFl6fZO66T0SH6qqll+40+Z9nuiPikJs00RJsxeFZDwv72LbWQenPJ8o/FeJ+ER6mkZ+aRkV/t60
l0e/6abvrLO/vUg/eEnYM9b/GOTQmh+lAzJu8dbLqTpIpJmUOOiTJF/HAjESNfFP7gixf399Tzx2
YZY17GveX97J1hIKeeBYHTpAp6Hh9HXgRdkpYqfyDe4PtDjayIoD0mSyTGUZFWBcIASlABzryGEE
SeAdo6OWjusCA3tNLqiU963PjUsY19eFX6JK86n256oWgWj6lzJb7uZCXZTuuhnzmMUif47kWqUC
Rs0W/aodCfyaa3NLuRqCsvR2A7f0/XhJ31QExJSYW39lXGiw37NGTrsmGodNsQzJccaK9H4Iiqq5
DiTg4VOFESIdOEh6eQw7s+WoZy/yoRtiZMSWj9VqYrZl3OBqwW9NtWbQz0OGpYL1b7SSfwJLigey
GaedYXV9uL5G/WyTjSofHBo5+PlzjfcJnE3RUi1BM70CEOUFbsOf7jT7qc1sXrEhai99e36ByhVI
pLY0QtOrVHBm8WdKcQSFT1kyYXqykGfU9gE35ImwtdNC1C8jCl7gYShOHIr3ZcTOksYTDyZvhyOH
K6ZvX5NeVqfcsElDAMlhdmq7HoyQRqR7SUjYhUdlD5f0yQSb8JP92PnB602tAwEb4zNPlP6h8iiU
yFqsC+Whd9VL1U93DK/P1BdcPJvXeq2/3o/a9QDJdvCp9N7f+SoZdkr2ctNm/BgIgCAfqiz0cz/w
pk64UCViPDimV4X+PKpDYfQaB7S8RLzByJx0rvgF+6N/hVw9CRaALCFcdRR09DC2iyvOpsYakw3q
cRKUW3onmi2ZHON2joecFjSVdczBsJkvElFzQ7Cw0iIdHwbcdZvORF3tcSSF3Xs1jeOdZeOirwuS
2xnJiqCVywU4E+yRgE1LQ0PPVqsXp1+aXYcw2+V0cMhT5zyxiXDIHB8EqKu1mh/c3/fX/0rdfiJ1
Q6xrUEv8vdTtvh7/xnT924/+3mPzfrH5v6Lv5oAMeG+X/a55E78wM6SgoIBBV0XH7Pe5pbB/MVGU
2h5uaMci3omn/rcem6D9xl5n80qAqTMhAfybPhs4+A9rNdI63daZgHp8D6gGH+qnER541WVpfZhJ
bpKhT6ooXYgqBUYC3HPnVCzkyA0y79ZPBfJsM63Ss3RYBKci8eCaQzfhQU3FZwJ01A0c6up+6p3o
K7hEqDGLAHXlYtk6NN0qVyZs1b5I1+MZsHemEXJmSBWQ0kVYXgK6VVxS54O2NmrOi3B8xGlc2qIN
Wz9lnt8pRZWX0zqfg4Vcrbe+JAgGS7KydrnWW9cJkombPImsrVbTDwj1VhMnpg4IeLgFFSnhIjET
9H09KOVaOVcmAZoNyxnDi7EU4iQXTxxZNfUqnIt2+qLTyPYDcCnDr3yKgerLqtCiRWNFM89rWlDI
LoEP3x21yHycjtSqoSZdG8D0IdUpXENsNuVbyg0/QPkBOFfZWDiNJY1eF8dmBc4x+nxuFvweW3K3
+89Wg2amknp+5+c6LDZgeNdyjKqHBhnb9dB3k7qY2zm2AwvDBHPOxPUwxJWFETEpasEgL0nj3c45
36tl82CdMqKo3DCVi2YOqrN7u6RL89WIPe8mKqhkNqzluhFEPk5a5o6y3rleCUR/cY9zUzbXudH6
NzaJ0ESQWb596Ll+uwkRz2XhpARqJMlqWCGdY36HCaV2Vd/jFvNuNc4RnFISdiLl2eQQsyexx2DQ
RKN4xBQkTlqB2xXpX32ddy3i4MUqVei4mcHYRMot/o3RYm827f5AuPrA72yInajS9hu54O2XDjHH
50ZXjNd8Wl/Oqt/oXw2t9EKgCXDVPan825kh4UaxK9+zR8W3M4yAmIWfEKytTdomDbweoTBjEixJ
iPuePaxn0KAM/7JphBvvRqUzU5uzKj1EbjssR3ByHKbSaNQuTew1Ei+xW2LBxPuC2wnM+HBM7NxG
Lieb8Q4Zm02Gjpjx43maITYGnaFPlaGsq+S784TZMDYU77snxXk3qMRkgeJW0X7zrrwbWdS7qQX+
zKpcXK0uhHJie8nfLTDWdz+M53reLu7efTJAs7ThNLwbaIp3M43Z9NhoyOKzCWNb/TZuFGv3BDfR
IsujK7csCWtZ/TkJRp1odewU7+ad7LuTx/zu64lL3a0Cd/X72AK1XrpgCdJXN1C0+oL01SE0CL04
tkssH9PBTAPNT+orxJht2LOHZavLKC3WcxpSPcNDUJjIR8eJYufA6609VKtPqe46LEsjAu4GuSdO
pnT1NDmru4karcfoVPEdDkpPMUBNozkGapjnCw1q3rEe6akqv7qrF+9yIKYK3azRE39UzyeZZmPo
kiJPa5nhM7qyPd047dVeWGmKqNu20bKfPSPbq9QEL9QM7hm79D02fZKGY7mqCe1Ho1tjDUaEEYsa
62vIUHeGECYjAY7CqD1hdlntamOPQCVhEthhidn2mV1d6FXT/5op96wvZvSl7XJ5mCFr3VdQca6z
qe4JnoNpZhX9dGOMkdi1qwlAponaW85yTluPiE5LH7ZJ0hc7ZRDQBri/3xr0A4DSdXWD9W35Ukek
dmHBvF6a7mqQeYQGLqFbCehh30boUDJH06+IVJLXTk/8HOPjb4il2j1DfC9MIxXtMBhk5DrZ/bY2
iPheaoqZYpq0Uwal4kIVeD1HN/666tWC2ODkk7sYHE1/rClM6u4zQcHyoJfx8Il+z8CDIbV93M1v
Y+cUe4WLMhw6aTxMhhl9FbmtlZt5ZXMg/CtBfHLKOI4Op4WDKC37ogIksQOshkyvIfZv30BCOnkR
/YZZ09zbsUn8fbqwNWUl9LvBtsj5mZzFPau+rTgbokDMQq9NB5J82ujRb0HhCbuMQvbehFBpr/1W
1XnN2WRO86cGfyCKNQ7TUWp6uxKf975eJvAfMtI/k8GkhcMEdaSW1XImxLC+UK2EyQNQ71bwL656
Z9auOUo/ungf9K3hY8yNewSAHXG184YMqdw42XMWX/p56fn0yPDXFEM6utvcpGqE80YonyWRNtsg
yLaTaYizIFlsw1B5RquAXGLvojvYu42bn8ioQvfZxOh0iKx8HBq9J1uwr9ogHQla00V350RZfUuz
Xz+LLK8Cb+BKjwWPgUUSx2z223kd2phYKSFsWRrzejf7VTBF+xX/KH04TOQ454dI2uyDDtwH2iRi
m6nWDtbh86c6Gae7xM+91xkOedj4LRDkyPyq+eNbmlbxE/p+gnNVpW97y/5UWbaGW7UnXkDkEBIN
PHqLaqNPcWftabB+jZzxxTNbe7/U1gDjgtgQlCVPalJ+MBS1Gbhu99yWpBNPQj8SQIKe3DCbX+PI
nUBTaGC6cAoeJrBa9dZclMWAIjJuYM12IQKQ/LYynHMVo2OlxTeG5WDC0zRRGw1bmXSyCXujXM6x
GqIQmvnrmCUPjCEopagv6MYQvyAmPJcQFgKmiwSj+evimtvtWsy03nbgVLeZ2eXCpIrSZzPPHzTT
YX4mW/1rYrr4V1LP/RWy4t04GW+Ehm+8LsV2qrlfKhzuQWtD2Ztz3T35KlqIJR/JuhRkb8ecBYj+
OMkqj1g7myaExY5MIp7EIZtVeRRTcyRcgoG8Y3xKpcovC555ErMcY2d0Pa2GbECjrmf7biqaUz3M
99aS9DtjSSomm2twera8YtW2toMY63va9jDayMMi3rsUin5KNYXgJwfM6n25m0cQeZ3mvUTkrOAT
j77orS2uUYThefTs29YYeK7sl9IsDeRhI4O2JG0umoqZHOSwX91SknNivNL1bBNiRIsGnk0vD15D
IEdvNdb/sHcezXEj6Rb9RVAkPLCFKccqeiNqgyBl4D2QSODXv1Pq7omeWcy82c+uoxWkKBaQ+Zl7
z41zeH+B9JxsT8XiPoKqSyP0o8UOsYa6Mxo3uR+S9jTwobfVAFRB3GbraIWYnXhE2eChI1JGNOiF
fmt2xQuUWIetajbvuyW358A1mvZxzoCSFrSCrsSNTU5nYHGln7V+dAil2F4nIBLXYrPXmzt0t2lo
LT5dXvsLtdGBBRpwVU3cJct4t1U5yMAJWc/okoFcf2Mv2mBEUM/LON93+nQ3ac2Fag2HmrMxaZvw
ia/rXFIDzmm4gsYJbK/KEMGjo2FV5Vr2GSOBd3bqvsGSNwTGiriaHJF6uzeGpvxfQMUfMoj/R+NH
u/WfGr/oo2ynj79LK65tH1/4Z9vno1e1UEjYzPltG2waf/SXYFVYX5giQzRnbOn+geH6S1xhf/Hx
Mvm4bXzWAi4t4V/aCuMLYHu2aI6J0+7aSf43fd9v29bfZ9lwu+kehdDZc7CKZafzz2NTX4yMjZJe
u0HQLh+Q1kKFtQb7WFdbGbvdPEYwZ4xHs3IQc7c4Z3QO3aOne1Q1Zbs8r/RtqLiQNen95DGOENIO
8Fk3IcSNgnSnJouxrT6mLAksls8ovK5OGgsUyFzeL9BMyJ9JIUkQDxjocLsYzF6HZvU1F90qkUX1
VmU8TU3PlqkzyINgnnVrLXJ8RmdKje0ShLPOQ/VDaAg5PfOFPdQvsyORmICxh9VfKTJbx973i201
gVnM9WOO++AEvai/WV086IHq63JPFl8eFVWjziuxX8c6VejQMPOcrCHxd9M4c3oQM+aATBXidnA0
Q4ElWJNIKnojhJw9K8ZVNOthwx8eY1qizLJ7+ywG74BA7rETuosrydcvdanfNImqGUPinkk9lFll
Vq4BzIVkNwHeCHlg2thrdOC0aYl0hAqfZNch5MOqbzbQxzvX1lzEvMTFJi093Wy53U4ZKTFDqjF1
smZHOpuy2p56m5t/WbNX2lbjBb2Kc1SWK98bvTWCDJNJJPB+JLfdsBoirtosH/yw1zJd3MgmMbcn
sstKsjnypfW072DQdKbhuKe0bTc7Y0FZ3rTjFgq7hTCiWRNJyCRo4wg2G+/WT6F+xAsqBUXTLnsm
i8YI/B0ez96tG4oxZKLunarxH2kst7hFcq3OpsDbRlOiOcjts1sORP3olGKxVm50sZP0OWCL2Spv
tRXdrcYQVZHws0cLuA3DpWXsqWXYVdorKZIuTI6uDwxANVtzcpNmcob31kjsx2HjyC+5rNtcA+kx
UKgWywN+p3rf9K3npnfEEkOr3uEIE/O2t6ifrzUjLZ/zsoh5FE+aXNFOQ8ooqtqH5VPPytgJFkc0
FWB8W1uoy5LjxO13PTvbOdQrob9Bq1EPC4GpdbAWDRAQI9chdpZaitJXB1sZavOIHgMjrfaalXZe
ImZ0qf/gkKoLWVxE6TZ+T5+S9kggeyN5bAjl7ED02j0GJFAbr4ndlPWtVqyGHtaIIO82uTigwgGz
JOGMRrcJMBo3p7XQs0PbVFpM2rKZhos3r3hwMjeFLTqotzKvfKzCvWN+6zPLiKq0Tu96+Kx3Tp97
lL4dE88MkPaeHwAtpxjtuMaXFqumwqWzIgl2yIp4RY5Kc+b2+rWhWUFwgfXTSYIriuSYeWBovM7V
GJ2Pk4vseFJ2BG9owvQOLoePfCvr65pqWgEGZUaciXGiVnKbe7wf6d7FZJLp0r7zC5k+JxXz1o6m
0qYETrc/Yhr+Nwn9TxeiyTr8312Izz+b5uc4/vz5T7fhH1/1523o6V9ATrqoBv+41P68CX3xhTPJ
xNaL+Rdtg8cm6c+b0HS+IDAUjmcZaDl+33d/XYWm9YUL8mrq8FkuXS/K/+YqhCLwLyNQzyB3Q2fb
xTqe6KZ/XcW76wBMd7GboyYZ+XR7yUikkHGiLQvpgTWDBy4o11jO0xXPUo8EVOtXZAtkRPfQ11bO
KiIhAZ05rn479mBeqNjL2LmiX9LUGe1wGRANp476ynnVE+Zr2uaHfwXHGFeEzOzbzLmuWBk3cX/M
TQdoxoR9hu8wjQCi96F+BdIAW5mh3AnBvJOIXYLt1bizGdMQfOnBsylQcVtd7wGiHOvjzMEIAMzZ
zSMGWTGhDZJFnt7pV0xOs+bVM5HMsHPo8+Do4Hdpv2b63O8NXIGn8TdxJzUc5xNVOxwe9ZvJUyN5
vrSYV19KsEdnxVbtcV4GI2oq94HEW/8iCrKKvTpNv4H6hQpDW0ea3yzJwqX5SAox7OHesYfMga1f
0UFt1xL1jg9152jchBtt0F3j+qe0KSO7VeW9Rn/PjU5qJVo9L8Y93AZzCa5owGcdL70lQrFZ1tkv
1Hicx007JNrG7LDMtBML4Y5Y+R6hPrptkuRFewGNByep9zQMKwuCCR1AemzgSz+nSW3vLUiLO6M3
bb7ruD100hgvbq7RY83Gs3PFM62Mn+NxwVWcuOX4sJU0KAtcrZ1DektEGvv6aF1xTzP1PGzEb6LO
x73e0YbOMjX2FH/Jq/TydscB6PzAIVGurMuN4pLa9XVzdCVNKQV0yqsrGeXM2A+0q8MO6HserQJM
FblL4Cau6CpQVf6nNzTLr5Qp524TDQyyPoHQwXuD5YgNWHVei+4lm/XiBS/E+qGhe0FhstniQkym
vPE0esQWIxFkLx9aVJcySyZk04uyK34rEYC4zCuSC/rvS/ab0oXiqD94c1s+qLbXTiRiyjujHsBt
9zntfQe/ZAhzRrDuYdbIP9sN4xXsAnIKPth2RYUx19gVzZUetqlrgucVKWb8pov1V9AYsDSGTpsP
fYztg2jCyiAU0FwoSAFmAy+kLc8DZWz1PQbLA1iSMsjmpr8MjvHRVr2bnHsAddkNkd9vTj64j4BI
95h/de045rOVGPtqYgLiBtJfGv87iRA9wuJk3bgs1Xg/zoZXf0e+RMttNajxvGl+sTtl3g94zBkU
VFjDrWRknzjMwJiqxj8trWvgEk5GME4dBhNwhlpdgAhfZXroLIqZF6NarFJFNqmYE4x5x20Jphht
b9TwTxWGoOpw+L3XkiDUxCnYJRAKngiCEPtlCgXgttsetJn7Rp1BIm882qv+0FBKJj+KBIkj2A0/
4ITjRrQ0pER07Ty5dgmqs55RGZDpUoZKXtncYvKLT1dLVu3gNRKzrt1Wixa03jyXkfydhnJtja3L
ktbXVAqCekr4CzwpApfrUc8mIYOmh2WEndz6wfR9KvdM0XF6IPthNCy1nOqBqPvEjxu75K8kSXvA
xaQEmEPsZWBwx4oFvljgaHL24becSgwtgeGPuDPqNC9MFrJ+096RY2C0DiFIfWZONyDwbEE2IzjN
1FUufNKsce6UdNTOvrJDhagkODSb33HoQHV8JvTLuKFuHwcqwwE02Fb7C8JO07k0vtUfy9znvVd2
EtnEw09ol0x3DxA42zeu9PZtNpT3jVGdtxStfDDodntWmZ3dJAQwYVOdrIxFledeHRw5ALC5mTGT
wB84eRDgbK0pru8qZaaeOnk8wErTdqTZiSe3IhDUMcZND8nT0SDbNA2i57l99KTLLtdh/YRp1mAi
Zfo3K5SjoOoHYsWVlSIDYm4WbNtciaAet/V7v/af3FHDLdtGolXBCYU59mQvMEQvntJNT3YkCXkv
NoEtDxa2DC6HpjpWREfdtZMHPl9bxUmCzv++0bIi79Oj0UXPzdGZHKCsia+lq+cRWR7eu9R71RLH
YnSHwu7Vjbu52wVpjhcAuUN3v6wF4y2T6WbfYj9O1Y5hh4VIW2wF46QMp2MhTSsuGGrdI3YrSNTx
9yMBzi+b207HlRRQ8D3NtrdJHMQzp7MJ2kY8UAuNyh1cWlb/gzK8G+CSHVBSE0/3YDYBShcFTcay
A0NnNZcSFnyPD2cJJX6A2Cr8dO/wD9h1cFQpRBcr42jcrK8mTEfuQtvvPggnnC70OvpPFgrtzp4w
/JR6oh+csTffNMXfR15zGnXgSXdkBXXx0EzVbSmW/nXmPbww5x7uQXL6Z/SjDaGq5EAymoQ+ZWby
tmxtuHxIiw/VJr/1npWfV5Lm3xL2FbdJogOFLkaHSoDs4WD2WhG2tSluR4VTK8x58+/twlV733CG
D+SDIZOpMjKZ6T6g+1R1YNWec6yZQ+L+uyrX6V0/F/gLQadqEZdrK45ktb6h83CYsDGWJmuRyBRt
NTFVlINH3U3QQpOI2BrS7mLnucBcPdLVcPuTzaCZXWQxJUZ6o08vpEQCF8XCx/rMgkHqaywTR6kc
WknEpCEz9TUPmtRAQFZ7aFphWTl6yncTi7eZHi/1IKeoRWr4YSiGWwoIL/QGUXASDNjTEfVLlknu
kwkkkJwGoo3yNHsenbXLH34Xrf+r7/9jfY9p59/X9+pj/Ofa/vdX/DXpMr/YglcMy7LzV6zqPyZd
VPEw411qZIZaFPh/r+/JMOCPALOh1kZE/Y9Rl2F/gdhm0yvQzyLthAX0X1izdeZn/1zgI0KzAeL5
rkEjwfFnXJXVf9NtMiDWZN/y5C84mN+kZrkB1/R3TxnV7Qa3Ks40nTk9as5Hd/EuEMNgbMiif+pa
7Qnq33iaMQYHvXc95dpZO66J6SR72RbZPWWH9kEGBLZqpxX9wfISLBdUaOl434CeNDls85LSQGOg
7x43ffCMWzwgon0ZwYCS9sRwozX3XTl13cXrBiivocDkp1RQ+nKqrSBJyIWHtZgKthod3OL+pfLg
1KLiA22snzJfOQb2jcSfYjcT1rjLKsvoTpPFi8YCoCkBSFMurbCmc3Ry+sltV+PVWtORwmnDQIBj
2kqUt+cNXe3jnDO+oOJF7Vo8UyJo8zXUqpR9RHJY+1E0ifcjdQrqMDDlkODia06sxP4DJlIQyTwU
HVt0CF77ErndjSfMbQxnx+fKLHRWOAvOwHEnwb/IeGuRlUdeWxzqFFm3avKJqJ3GnA6Fprx4EZ79
vkobZ6oJAi8f86cULgof1lxceib2h8JYXos2N/fFtBSBXvvpgbkioJm+TrO3XOWUBCuWdDKMLq01
3GTLPL+Nad2EczXem7XCxN1IHzlI6nyfVLIQt7S8AyhlHw6kpFTmMVXlq5JTE6y+Xpw8z/pM8xa7
elLOT5s3j1TTWr2nhgeq3LQBC4dlT5KZu/OMZk/v+Si3/NWpjF/EN0w329hSi5XpLWWdG9bz9N7W
46mWbXMoJ1gqeKIjTMBGMK6dc9MxPYQWvN1nKRnwpVG+duB0o5k1R1zW8qeTNw6B7ltyv/gtCYoC
/ok/X4WlZhKVrBP2lrTYDm+U6KSTR1JKFabEG7C5AKaRzNVw8abFiF08FUe3zfNdozY7IACGjvMK
CshnQ+5r7NSfXtark0KDE3e9rTHZXa2gKdKfQG7aO1ubnlhWqScc1dWeWSbHft7lh6Z0SELIhRMA
mqHKaex5NzFuPnIuZLthMPxdWtusaTLN30tn+dnaoFpRbrRRwtkRoK3MmxANzGdL0xtKu6ljQIh4
kkU9UgaadcBwFGrqphEsJmQVA5uEz2+oZ91uRDBU5Stg/uO2EWBXj4gu7Ul7s9dEBGapilPWY+fT
cH39Mmd7+DZvLjNHNKkltTo3We9c45BEea5lOd84JG2RJDh4fWRam4YhzcHjIEnPsIPW9QTYnEKy
zCH6TDsYpZgfkQwRa1ZZJdMwYdQNZhxcXB12mR0bXi9OaPnZ25MTxZ3GDT/BC033edEa6EvTAdOw
OfG38WDBgUTO+n2uesKrEinv8dXo+HJ5LFJfYlT3lFp/9B2Hapy61nqap7zBn7Ksi7+feLTUNfZd
qJC4WnoC4oumXzpQ/xyJSoLQS81z9ov5HJEDBGf1DOtE3y236HvH95HKGoxrZpHgrsta3GSNX+NR
hASQ9ZqxJ3aPf1mJxHEtnD0gek4JhZq2FSzJbZbh+OI34g663owTfyO7KyX3z/C2rwpe3Kubd+q2
KrQPXqk3Y8sFaYZlS1QS0hWtt24LYZQRifTFTaPlP5LRG6Lc6PLXeiggu8Aeyy8GU2Y9qGEkRZte
I7qtk5e+goFB8p2Jiseq2pPuT1ijTHmWiMYesZ5qTyQpuR8GaWMsNXxyimp/KDA2ZrzGizKMOAHs
vkPlIC4O2Ih4SiZkDtM04dDPWjxbORwxTawMNXhr8a84D4DxzV3Sw53X+ioj70zeVxmK0nwdD4uO
VT5IEJJyl2wAdxOneYA/897MqHItWfvfB2N8cCmClmAswYuZ3vTVWQsk0IJ5umHKIzZ3LyrRQEHD
0rsJRwYRc4U2aTcrfK2dxxiG/Ctyh7uWALKV4KtdYumcB956my9eebdpQl7W3IfXsc5k7TXKCNTI
FFq6xu/wzXSPR1FRoBmkexbFHHT6sCf/FFOBOV38mVMLI8KKs5Ldv4DIfMQ6bwfOAhWE3NfH2dsg
/npo4FqLiQb/Nv/QK7XX1h6mu5AJUhLFEMvx6+9r18pYwLAKZ13TMOyWEKJrDKsBDqjx2c8LPzI9
JNMsg/yIzNKjr/mgSLXul+rdF6Id23jD97ITY0cQx+qTK2qxQskale1mDIonrex/IPy4sF+db3RV
gUJbrjILw23ucGGIM4C2Nm7EWuyWfBLHDd3lQbNdP+g78HESKWTopYzXwBCsTJ4KOtS65LzrnW/b
hlygocqnfZm+GW1Z3thdArh7ZYmVmCCWOqbsZ54BQk9zKwuXsvwFJcnfqW77lnZ813JDSMLozk4u
SQsqF3IdRz/RCZ91B2JaEKR4n5RGEmaIl24Xy5Nc7kZHm5+CaLJ/IbH4aU15tatsCgaprLd6mMHO
lSMhjB7fahss8m9mNf0aZgtZ+4jT2OIQBRqzZPfE3xQPvtF2R+EZ25kYWn4NbvltrhMRcZi2nNq5
fPNAmIbWZD7ludOEMmWgXyhsxLOTV59Gg1y+xpl4nK3a2RXSXcMGYsQOCXl9xoywxNO6WaE0188x
S1ZE/44bLD4/wwIxPhaoRF5HYWz3pQmFhdvUx3eUubNq+IV1/PhyKot3XvtyQsXUeM+9a/O1pmBf
MSdHh4SeEKl2CkqkWu7tKSne3cJ5sh1nCdsqvbWMdjyYs5eauDaLDutcwi8aMaP1giyPaHubZfoK
dMbaEsego3JTPmlJzsPWs3vJHYniM20N1GaqQVPG5xwYnd7eSX2DCbIp9+Aq2/u2lKN4nwUE9y6Z
7jZhakUsZSYPRTeZd3btSFSfhWo4WTsWona24pKV7DJRsvNEiPqx93z7EefgKEJOTY0Sw+iM0LbG
6tc4mB4d9FikfKYYEq+88sHZd51u88o0aE4PqDq2OZyBR0aAIp5wOs8hu7Wzhxzu60jW9WeT9qdq
gQOOhS9Lwz41f5BAaaM7y43velpodbjBVyoDKLTq2C2MS4K8zIo5UvaqvovKq6KuncenbRkgQXJ4
XmSmVXvY9feb09wkaCJcAu+MVh2QrRc8zo50fySpW4eZMbqk4tn5m90N1kWfczsa6qWKbVZ5+Gm6
DfVSj4iyncz2cTCtIUcPIcZbVRoe4sKkJVdw6mZ47IM31axfx/Wu8fJqn+pDsUvcZdpdR1Rxx8/F
fMTR9gXjk3qP9yV/4zQr37ji5q/VosQT8+vkIAo3Pwp7oeJNeufUN5KZcI6TrgxWLP+vqZFj6pTa
ylxvy4YTliteiExAJutYjp2Ywckwq5VeBspqOqL2UhGzBxseJtArb8Lb5h82NpKDN7b+TVsU052V
ZsNLa9pDyfvXFlNk9k5U1jY4cKorvD/DRDAo7cO4PKcs7pGn2tbsR5vfmTiGqm6VcV7wPtywFamZ
EScVG8nE25yvKVEtWyQ9xc3qzZbPizgo9qqDw0LYKi2HyVCZvUt3getPlsBTtTUrMx6ioy5sv/N3
xt/Nju1AfSXzqAqJa0PaqVekXmARy+QFY73UbyJRyQNDGfbNNccrjIYniJ0NRVg/fzZ100Za5mL2
nrb0ZmgoSatGXlfDtayfcWZgHxOusV+8ujwXLSEVa80slKiuKuy0rUJzPHT2bmGt+ID6exgie2PL
XeDMIG9Ln891s82BZRTNgVDo9N4genh99NxiaO9USvBR5KdK9E4JiIlY4fxHjSaQzBOc7wbK1x+U
mznKNPDJ/WI9kSAA0IljbGXpO4yHws9qn5goKI83lbK0kD23Hldb1wyROWacoxhuFaWTYx6mzLHf
CO7BlL0tKQE6Q8m7+Ok7XhIJRmbpOZcy7xEdi6GIQVsuUItmMhRLFrGcPtPQnuWkdYcZLOij6sn3
qOE37jcbnJacVu2EmLA7DjyT0TyZ+bkr7DxMjNn9VcOj+S6aq0J0yNFn7tnOPI+ln+Tvuo5av4ba
iKzOuXpEtw1pHqimn6ye04MzA+pi/ZtpYc9Y/HUrFhHnDqdz7BN0tRuZRn4ICuubhZFvUNEft24n
9i3f9rQZ/fTQdXn3NVNW/bgsun3aunwJDSBQkZ3p0EL1rDbjtMSu1QoQsaK/khNLcEcDSKRby+oZ
4/MzvoxUkTFSXT8EPljEKXcdxXm/xsoYpniu3CPiRhm1NO6PiAH83VAK48MGsHMgpKULkpKTqULK
Ebh5m+3z1JTR0F4jePPa4eMds+Wz8jW5rwzrzlSZ/wPs2p3kJ2HbLwx0sMZ66PWqp5Sa0zMGf4/c
VQzkMc9Nv+t8Zcc9GlyM+BsTVr3Is3hJavKPKq7xRGnlN0QqRIL5bn3Q8sSMNJD6YbM4DayeCtkX
GWQrXEnT3LWJxRTLd7W7ydzWx27JDjPa/IsCDY9avTEHKnCtiqs1y352nWNdkiTPOWj7FJg/7NVy
5OCfuwIpb1aF20DI1oCihktnWR+YxPu3UqXQEtH2HUont2Nk2RyYY9uecqHfex4MxnEcVUsybPox
utggmnbFptQh0b8tYQ7B4mZhqVeJFRSVb77/nnSbywhau86z+l3rxvfeZD+fMRC3bKULcqXkD6G4
WD34JseV2D5+f/N8HaJOM7a8tELDjBi6cFPwwFv1YftmFks+LcJh1FcixG6y1IvWrYeJWn0dC+RD
rHlEG88TQXeBMs3YgbMX4MhOTnA12ECMKgnqVDghNbNOdElDEmY8AC6dU8hq55adCU/L6O51Ubqh
MTBbrdK0vGf+IEQ0W2r2Ygki+XacqLdJ5DKi/jr+Ud7YHf2+r2LQndsBs4v4uTS0aMVUyENtTXO0
aL3xUEzoScpu+D5lajq5NeRO4ZXE2LSAurK1Q8rgEL+L8/SEG0CyG8xS8pD6T/o1SrG1wR5nbUV9
bOZOlmGKS/4NNS18X7lcTOwxr5RSz7nW96E7TO5N5uDF6dVG4dhmkJG3q6501oaokfM3X+8Bw6xm
QM7Ha6Nx5BUSTFXnEPS12Kb3Bt+qDphr4+gQnmStkdjPW1sSLL6Vxk2zZudca96nzh0P65g9DQ58
QE7S3bJSHTVpB922Nd4Z1leISRvrx0jmSCRS/P+dVr8qQN6/uq5GDpQ2njMFTD0ovlU3I0926kdv
ndBwtWmhR1PnJd+kmJH4KilBa/jr8kj40YZG3EuQLzOAWHb2iOOY4h99qFUpe1/Opv/YcGBhoDVt
9j+FTIDoeUM2abwJdeyIcjih+wyWLU8VrU4S8VF17qXEFHknHebXhPiSt2dsZa4HRBpVJN14OP3i
WWTdraEDDeE/+KOy8X4ZqfFoFS2HB5E7J0ja5Wm1uVwBI39Pyo7VeKmVhEc4VwmuC13ertRpy10i
j4T+OnAlQSqdCDo0rrPArkHD6c9u4OrONfud6KkEhc/V4GuRhWRwJDhqkMsBUtzBlf231NtOAAGY
x+cdUuZUuyQ+ZoOtIjO46N1Tp8tpR0yAG7ulU506m/Ff74sxbCj1QypTI0ys/jyk8oGAxh9snXni
k9XG5dI89FbXRAxm3GNjlQYBiVO2p3dhgLjV2h1ivDfkWOPNlGhdtAwObv7KbPaZ6FJiamqdxFma
s8Gex2ODu5XJxdQyyCcLBwf6w6wJxnDJkodZu34rU0wWxrSaO1aeoJkm8zOxpf60eHYZOQqjCeSH
dvlpj6584uwzAsexYReLfj4NPcMo6IroHTSSCQdPY86S50Y8iLI8+E5zsaYKqN9mWqBQ8sXHxAEh
AX2tyMoTnGY09ltL9NLafYx6275f0Qv1Feu6fUdmyEJeX0vtowWLeOeKSjsUXHhDYELzOHhlMSA5
o0VCdVJkEYhltMTQM816XT+ps3i10q7+yJES37WLmcBMy+bvWu78wmuzkk2WaeOpZwz9sCkkgHbu
Lk3Y5WJh727P94aRWdvtAEiBzFC3bvdMQWsUEhP7lO3Kd9HbnMQip8xV1GGyY4O+rd0ux7FBv5Bo
tzo2dhnaXAaHPJHPa2q/UCHYT32Swr3r1+nAe4BzahiRpfve6+I5nPBZYzylBPyFJP/defqYfNQK
9A8RTV4IaxVJQUWTrt0sBkXNmQXcGPSTzG6oISa1S0n/gS+VOzOJaJw/gTOJrtinCQ5yhkTQBxdm
YdQ0taMHDc0N5d3SdsQeOe3wOnRWf4O20SMcs3V98MKCGd9KOmO4ci68QyP0zVvE1+IZKKXuRF4/
b28z/IOA1zhhaMSAmiVes44Xc+7ms8vTQwZet0z4jpv8vHVdR+AfA55gGuaUimnF7q8bE8ndw3St
hDhl3gkOcr9ZQ+bxas/FdOg8GKi9pnqKVs8inT7VKglLxFRP9txNDJ9E2cElWoXHJ6H5r9Vvp1GW
FgDT0wSpHjO19XEtIR6QW1Tn8UayF+F+I423MriiKUHrLpJm92uhvI5ZETysGmX9NjqkvZfOFNnd
vOxJyusfVCqNt+KqP42wkdb067Z+P/bXcCj8h97jaA/cp5xl7X21afJNs/L5ZEJ0nX+n0l6GVZve
yk4Tt6Je1r3RAQKgeR3NB5QF7qPPjh9hvp74N5qWGZ8kopSnafTkk2FcPenKmHlL24ZjNahtryHX
c8xwZtkoPEN3AYYVzWxzyRsfsNvfMuG/YlT9wayg3RirvZucxeaTrguohUNaEJs63m/pyH6QFZ0B
07VVz2Jz01OBBiJErbj+quAHvif6SKG2OawPmXQMoBVweAZpkfdvs2O3u0Xj1k1bi8uMRyqi2clj
kY7FvtMwWgWMRm+GRLlHuYgp7liCnju9aUYqe12cWwgDL3DmJ1DaioAfLH1W6AxWwnEyaQ9d2Xe3
kC28Q53paTzKrduD+7JCsyt5SrRhmS4eIJavTG9JywM4/iyo785D2y+7eaL6Z5zpMqXRSL7MChmS
hQrRkV1GmHZjfZkn/7smdZQhep0cnMyeIm3d9AtEDzuEPA+QrDePRCR692DT1HFZbXlyNBcChZNU
kQWqnofGd0PmzcNpBLV/Aexdngka+mw8pccygS5UeOtHutZQJC1QvolXMFbUk5pZ2bC+armZ7FyQ
wHFnsMDWeND3mezGUCL3PZKIysymLZvVYNC2RZmp9AhhEIJLG56CJrbhPYd0QiRNth3A2wIFcXV8
C57bMgfWCXqNGtuQ1aOyM1RJGZdNYV+dUwh9yrPmojy2Wd8wY0XxvLbZTsePFvjtdmuXG/9fJA+j
qda7hcibwJDlqz8aX82UwxrBRJzDb4iYlHz4DZIRP2XhsSxZGo1aJaIG4svO0EvrsFj1Hmbn4+aB
U28t28ZPLzYCCrY7M8tRSxT9Wzf2xb2TzqjCjAOF1bSXZBZ80xRrEMPUvpqCwAOxUSErOA37Dox6
gHfpo/aL/mGZ+wfspdUaiNbjatevjWBWaXeIEtcQw0927KFvnoFb/bA0d778RsgOnP8wvzZICuT3
fp0WzCVprc6y6xR0vP5/SPH/n0/Dwiz279bWL9NH9k9b6z++4M+ttS78L8IWHsOvv3z0//Bn6Fd/
Blwv0Lm/ieKspv/yZ+C+15kioR//x7radL/ALBTm1URhuyy6/yvy5e+Qmb+BL4WHTdcUJmTN66ba
Mf8F89XiCKKOIqvBZ624McgguW7d1Q5hUXVtmcdSqWt8bUqqKGsZrM7rikUM4d392jfDYehB5OJI
AldChl78O0s8W1f7nlN2RPnXVoocAVhsi5jpderasZIFDf5KsmI4+9LzrRcqJb9mMlEDqnbSRXIJ
iyrR7vyaHcUJsTyTRvR6euv9MjuXBKfDAuZAyWPqzuBij4kLKwqyoNfLp07yS37SGuRxcWdlBpmV
xTIgTGHhSEVCCHQo+Gu55jt2hGltIFVJrQ33xlBbZIMvVX6b1HXGGI+DLFwaJ3luagNKMQjjA/8o
sICQPD8XwD/PXmFRIED3LZAmAjlWTCk3rFm7rE3mD18XeTCMJAEz1GS66KBWDf1W4pAFlLJhADsV
/8femSzHjWxn+FUc3uMGEkMmsPDCNZNFcSiR1LBBsEUJ8zzj6f1lqdtXpHQpt9c3HNEdtltCAUhk
nvOff0D758KAx8udpINxJAL0aFEkF2KdsPNeR2E6GBfTWOoQYGj783tjFv0CVh6miZ60VK6l9hZO
5P1+CMyyqw/CDAOh6TMM0NPpJDMzbt5VOG5D2uXItbBruvg3keX/YoqrU/6gfvxr5dbj1yYvi+7F
pvD9z/y5KWB6Cz3c5quDR6uTpuCj/0llUfY/HHw6TCWd7/IrWOR/bQoumwIvCnbE/xLc/6naIrAA
uz5OH9jsrqP+DpXllf8YGxKsMV/xC2HRa9bMSx6LJ3DLJ9QSr1EPhC2PIm+FsYy9+uGZ/MKzEU7O
j8owjH0FznQkTXOKsQm9dtwJerJgbIinhz4piG0ZTB9IC3vwz0U3kJQuFTE0BCKRJbkQfvX2tfX7
+uniRExh5sVjUzzsl7cYySyb7NTzD6Hjl6idmnYE6cdJJIc2e6LkLJ9C9ib8+gsmrhAf46+TgZyF
vkfamwzXg9XcI9LsaPTXdm3Ul30KY7D1Et31ZAFMl7lB10uR8A5mfHDKZTZu/h83odi8hXYtYiHp
J/wj36hxKjvvFsaeC7vI5JBKlBtkn9MSzg+1TUZXIFJFVZbjHUpOhI4Ox2jXLUOdXRD72iPEmm5L
cFugIXIrSadadgMk/wsSDVKGvKO4z+MeiyPsvWEQ5QjB374HjrOf3gNQJ3lo8FmAyl/ZwrQEmPYE
4voHhjPjpjEhI+KEPiM3T769faWfvMlYbhzCNnwv13N/Ul+ADbR61OkfBjs08bYkPr6TXn3ZdHZ9
Z7oYhrx9vVcf0Xl5+2SYORBM9Ihar8AfXo4l2qLIGRcehjBu7thRoNH2xCm9fZVfPD/0JI5NQYCu
hdP85VX8hu0CRrV3aCySVuE3fatsPz6krXf/9oXOwa4/1Av6flwL5Zfiw0ON/XpTSEKYdyNr8GAt
IHWLahFJ+ayZeebFzTk29qDysiXho0tPUKm8qyqDMurgCXOCNI/TlOvWd80scVWQA4LiSqDlRIxv
g4Tq8LsyIyYnZm0+DCGJOWvsbBy418m4NCsn5CJT5VhbgvXiQ2vJ9sMol/jw9k3ann5eL+4Siho+
g66yFF2O71KS/fjWdPgSRszNdBgTZPdwxeCahEF7AXid7sq0BUayy29T1hiaxY04cVbJIcuTfjfA
ktgB2jbXVRrDdukKDLZkYX4QJKBcu6i5P6sxzz8w0N82YrTeC5yAIZ+SwrxuaMfuLTP1dxHhVRuA
kekhCgsEL2E879NwJ5CdfWY7Sw+yc92bsLdwV4tLKjDoblQnAR0wtO8DMQ/zunTjfEsFJPatXXr3
TeAmF4kBkliIGukjnJgvEbpfFEYp9osVlK2KJOh6NSzKucq9OqOkkO62GiyaWYdsEYk3Bhm2IiwP
aVOmjx3hJBnWZSugPuMGMvP8PM/ERCMj75jKdPbeDRx6+URG1noB5NjQczp3bmSb9yh+8w8qjNJv
lYhKuIemj9jJbzAuWI2lLhyLaPqoiNTbqNxqiBH3s4tkTqarpfbljcywpeu8uPBXdh6PN4D4mGkk
mftk1u2WRI9kHQXpV4M54juYkMYGbiLySdVcUoHyq6WoUer42sS5uC6DKlhZUwGYEzbgxYYqYJQl
V/p5Iu5P0DtiKYrNLtF4Irc/uZEcVxguk9KS5vkVyRXzg5GlHZ0q4XDXojdgE89aPmhyvgB+jfYe
t2rvoicp4qkJZHub8JwgslCK4uHe2vepsyuiihUxYHjQ17b9VOJ0t0sjy9jYjAHzle71HoCmevro
aeTVELHFjCU8jHO/iyL7zgrynkD2arjAqmJezcbUeasmsp6hMucb4Pbqbm6yd3HgRjijD+guwowg
F0ZbK7je/boxAYss0jfM0GEu40/he9h273DI+RxhDXSIus48BWKZt0kjPzDPgchUFOC3bbI2Euk/
dm7g7eymgYEy9eMlMgx/VQ7LtM5NO1z1SW2gr4ToqcAx2KJILBF5QWRDUmoLndDfM3Ap1jMKLAZA
0cyPmYIduULOGpMwsuIbs9bxqhDcNhxDKXm1nsRicYzhJ4bS2jdtaxxdLGOuOgMeewOH4CkBZyHT
rFUIWWdkLHiIJtXNwrSQbaoVKLNn4VxA38kOwo7Ngyr5XKQBbR29bg2S32+tEUgUERf2110UrFE1
FF+awQk/JoHon6Vq54/20IyXOcDjRTr4HdTOyrlqTIOMNTQma6w6hoseJuqNMTPD67MZusQKNkAr
LjA+U0u9EbXMt7kZYkdjLNODM5jFDsFjdGGmYbWFTObgegLL0rcx7hOyLq5iZmEghyCPLm7nV0nR
p9gVyak+jxI2suznvSHRVtWtme6CZJi/DV0zltfmjG1LwFRqvQwzfMUSrltlYfwXh5wcYiGK0TL7
asuMyNpyx82lkgjHR3yWNlZkzkfsXNoPkKCcG4sP9XqOgdI3adDBWDahV30lhnPE1MsEyCFw8UvE
3HxHwJx6PAf4FYgW7w2T+oJxakTc00h1MlDykeph0v0hcN4EGarFVS+INJ1MmZ6y0Kk/JomdblJz
GTfYuU23hlvhSZQK+2J06hSs3O8fy67FAQos8XkxIvOQJQ57T8NN1hXll8xKUg2hQh/m2a6u7WgJ
LlWLp+Q82lihSZuBQUL6CSKrgTtPcUGD8zlu3N62tnW3ECmFmOVmURUTNIbh/BnLz0gbZKCw7hub
X5L2vrkfho5bMpAdrDp03QRJMSDa4iHg3gg2BibQmAVVnbVACJHZ2ld9cEmt4pLfI33InVlzOUjW
q7DBLqmBh8eY3PetXVr1ZTJn6EiobSxmjnm9DwrDPTLaN04zFyBTHHoNvjWwDTYuIUOfyZFnKoVz
dncyFZnaxMz1p8bE1KpRkfgI2/mIx2myZyJU7tvEAhGkXrSP7mTuu5pNQTS9fT3YNdMI2LgXeWrJ
9ZAl5OXZQbQtCwSNIF1QrLuYiInR3ULJxhelIAiLYeSwb6phjvY8fpV+aRyvjq5oiGuyhWbmbHD5
iDDt8sbcNDYmQFc+nJCKnXVuIUl7lhNdw+qc8uXfDev/DcJi/kSH+a8b1g9PeOrhP1S+SMazv/+x
v4AskvGw9YXN9qfVCKXRX/ILkvG+h+VpUOp/21WALxNqI6kqrnSwUOQn/NWuunhVusL2bUHAKTne
4u+0qy9rYD4RyC5o+UGykF1YtMYvazYi5OreaHs4sUOGb1SBSdtdg5WvXGF21n7+4cHcfi8F/4Nx
720ZF137X//5sms9Xwx3Y23F7zuS231V1ofu5GQq6py7yJirT4VTWvczhhGPmP2CIdPg4BlvKufJ
H5LmN9XpLy+NcyZgorZnwZnlRW0aG6mYOigydyiyuTT+ZP52mEfkUKqXqB1B7GHzm41lr0lcocx+
+85fNlD6zpXl0AF4ZPby4l5f3rLjsGCXtu+y3GAQ4BkD0Vxm1y/VZVzqy02chL9pbyzWyA/1+J8X
Zak4gKES7f6rx11UxMyGlW/duVZh4ciCa6aFDKHeAYf4j1VHm+HENhfvRU/sYdT13bOs2GgzQ/Ic
ag6gfaXCZDq0+JYF22VZnCfpWcyyGReb4jhUAey0eNHGdy2ibCayyELs3zSDum34Z1vx/TYk5hiu
xPFfg64vX503enY/qci6o0ZkrfRY8U9Zn047r53EPRkv5XFKOb/efmNab/TTVfEs59Tgw+DfL6+K
6Z5KJrcRd4kYxD0UI7SBqoi+mcnEpFAs08l1KnENCRkdyxxRYrx9/Z8/TGUL+lKFGJh18/pbGXy/
IGdyEnfSkNMp1h8MXIXpNhxqcf32pcQvFoot6LcxReOCGKC8vNdgVl1hmr24c8A1TtSRRbobYgQo
EKTt9pmQSOdpMKX+Os08X1dq5GMxkDgSpAlN7e1f86sbt7GTwJhcuVD9X61ayzFKvzYDKlAO03rt
KNxPrxgX0+/GRfo7DOBXH4lGBPku+R/lvs4LEFVixoY9WHdNy5gTxk22rBHD4nimzPKIesGBWdOW
zMhjVrmfLeI6H6jzcf/C0BPW2VIeDTlMpxA9Aa4+poWTJRXtVnTA/VE0UFYUc8JXxuQWWb2PW022
e/uRnSNaXi1WZfH+QDNc7NrOnfkPeEmShUHvoXy6C7BvqHeLaprDed1MXV59ahqiPMgeZN+beYA5
rIBtGGN+tm5nvz6QO4CwO04dmtdlXCAQicBsn73GnE5v/85f7IIK+APNICE2jmu++pINBtmDROlw
5xIJEQNM8JhF1VSfhBmI+xpk8DcrW5+gL75iabqsauy9AH/RN76+Yt6FVmKmc3s3VnZ5dLvcfSJx
VP/DpmnrTXu6bWwJvTSIg6Chfk9w1hvRKLyPCQyvVnYxd892Se2cmOwApsFHENsOG6deE+dHREgi
hxdKZv+qHRQGk0BpV4aBYa7FbJcMvr78jXk/d/D6trgT3jMltmOB/J3nUz+878VLfVUT33lHxiQA
QDUvzSZRRnKDpQIkkwJC+0gU5QB52XKpb5GZ50G080klTVYkV9jmep4q5kOJhbQj79RuOGdngkH1
gpCaEMoargRw0NEFouUwo9F4gFEWdhtTlSX58SGV8trxVYQHmWXyZSQtWZ0cATq2Uyt+HK8q7nod
6Om1eXJFs1ReDwlVNkLChkwDkpuMj2JWKYnuc/bFTFuxQXoHxcGal6Xi9w3R84ynurzs5qjYxB3n
96Xpu2Sv1HZS3dbnrFFooyTXODqC1FXkWa8GpYzqsS+yZNzYgVLvfcIe6GYSUn5XjTXUZCq6IbGe
vvTnZk2b5v2BiTyEvCJvu/SwINNGqNn3Dv5HNY5XF4EnnCsr7OF/V0NwaQJ94cU7CIj7zhA2d8aI
6xz+R13hokuwcIHJo7CqblWYZ7A2fScKNl7CaDDEfvmxSlkjCtEfwZMlYs8aE/lwS2ngbxWWSvy6
0nWfUHhRJhQeuw0lIBvxUHEKtPHMH5tVm0WbwAYsJ2oog3cqCFW9guSY9pzMAspCRcPU07xcAteS
CwvsVl+B75AWG87n6NgqnrwL4J3oeiB27QuIkUSiRqu6N2NCtgnUC3FAdZpdQ5QW407Qb9NcPorW
IxQO/vqG5EGIKl1ZQqKq273yrWDH7K/8jKzd/Yh/AvZOsoqeWSjT17APEqxBQeU2Zs/rAWbqij3S
dRfnfDWsWVhnuIPchgnFFUL3FVFcz04NjXRiNFjdG64Xp3ieeS1uskVBtsS9GkhD9VGLEHanNrnK
PW0/Rn6n5lTh6hdY/Bthi0X6AinHBhloeFnPOJkTcelXH41owDYr99MEwsBcz7m3M0xd/CzudEI+
wpMudBqdGYIds9sbzlNNgidJvxnTXuDNIHuYjJY3NgcdhwINco8+y9dRrCV7RTyzKonXFRymDj5i
jDGFqj75GK0w1gQzyFZICI21aTbeZvRHllcRwqDF9YAtO3aQyihv6dbLLJ2nwB2xqY5N6tUu89iN
8pEosmDxH0fA8ed20X68PXmuhsM+pJycqXJDpNqq5gv11nlu89djAauRKoiaR8q64LGXZD2lc14e
0yK17mtynPiPysy/6jq8QVBWKoRSmePn4UaIjv9LiHFvi+MHhY+F2C1G5QKhZOe5PJzG4qRedZnN
f9Hg8X4NpYotBp2QdxXWuX/lq3I6Wa7UobRnNELvkdRw3lUAAHVUSd3Apfba59rXj1Jbody3WPv1
FBz82hwSeAJX1mHoQtlpYTkdz7f1uRZJM5ikNwW0c9IMB3HdL7yRwaEynC3GMGiA/C1x8vOpj2k3
7CyxsMNnehN1kwbgdfU4Wzx7ASaLpS/fb0IrPrTPqKynE7kc7TODFXh3YUL1aaaD+8TkwN/CEmif
q4zTtvbD+lOSYk+/nuJ2Pp0LhSWti/kSArT8bpyAsRqvtubHYIuRPDt2pngWjAwu8OiBHBbxScsy
wEkCRWx5xTLi3Vn615JWycHTls2hDfhFZmJShJeYu29dkVafkAhzms8pTvnbwPKp0tsFI/+hJJHv
om4bfjlSbiooAKN5uqqNBtb4ucCB8Otv0yXpnr83P7Y+k+fEB/0kV8hBUYY4jyjsCkrtu9GdvasI
JfBTpJhZ7Dl2+IFAjthBeEYxJjjwiuAPwgG4eHH+hAQA+rQbGPJTBnHykLs83nnO2D5nfss7qgKP
4o7/1Ufw3GxxG2ZvK3WrgiE90NosKAyYgF5I3vQ1hv7qgtspjyiv5AnxFHo/7AT5teg8m8M4cuIi
0KYuR8l/baKWQr5H9mSzRfI23ToeiOC7agwNgP+I9EKCbwjtXTG28OwtYzZ+TECe9QoXR55ZJzwf
VXms7pMUaH/b1Wa8xxyKNQLL332KcsgHKxwmuf/zJkAO13SaY3K31xmWNVfknNsXNWllx0rqy+dj
563xj6ccQxj6KYH/evRD3irlfn2oA5u3iks3CdIc5DyHkRLUL+Lg0Yjm6XaaQ/mErorvlQgyvMxi
9NSb0OWLb5qWX3JeiTjgC7QhMVuAK6jRtwJVrk1NW4ftrT8F1njhlfoFJTXZiDurDOpD3uBpEqOI
gqRJO9piwdxRFFmeTm6w8Bd6P5uJ+2Qnibi3DI8eAOoVRxP26/ej3fCQbUsHL7DP+6D4sV99kmHF
h16Lcbo93yEnETVyiyUB8CkA4rnhXUaj+rQIm0+Uic19zNZtrkZa2nvgfHEPIZXX0ukqbSHxPvte
MZ6PzXkxWVFVZhBo7UXc++JWJL9YjByS3gK673s6Gf3UQNMmH8RbZMuG2REfveQu0jhwnipEOzZx
nkwWs7Tgs1pmFPnKXmwc2dDwYngYsh3FKR+XRZAd8Y1t48LmZ8njOAUv5hTFgbS3Iznohzl2Yby7
5MW4p6kZYQcX6NPh2zem+wQ+x6rhv/Yfiwl7pSzrnYsUy/hyi9vdmGEuIPnTDNCs+j0g7sgSCRiU
rAkpFddY4eu9b7ISY1+Ggk2eUiTULTlka5zTctbE+QF834t04z4kFvuC3libUHHinNcuxFiOtamr
msOk4vkPRvHB3Xl9OkgP9hj+Q4kpaid9p3qPJeKZBJY6bjpcRuGM78z3BYHEzPtWKZQ667wZmoOR
ENudaf8pYF1xf14Vckr5KBDFimtJvsRe1IW4TlyNNqStEZdrCW+BAEyXQe+acFdjrWoLEIIYsHhZ
xfqGjDFn9cGoJhjXYWKynymEmg29p7gWDrfAkhP3zJXKcSOykC9LBTUnjLK0oKdi0fRJyW5vx+KG
meVyR6fOojYNgRqlG9m0zzsgxrdpjruN4mFDrtfHN05Q2O0hAQMM4gDCVCK0Z7Lih45NoQybIdjV
huezXUFjIKGtJ9Nna9cz18VwYTrls9PIVUWrhrPmTOHnQo9k3DlAih1x1TU2cKAmZE7UQsv7QXjx
dOj6oYhuhPa/uyjYRq9RYfMrXK/jCnhZsNpNESzNfef2FCGhkfqPpvblKvA8436VP9466Bre996U
31i2+yUyAmOdIjQ4uFmNlrthZx/TMPkWIuFdKZ0wamNNka6H0uYDnjgesUriRJpjVCIdkKdPhTLL
xzSZec5xxQstXUxP9kaf2Duz8AgWCGvcxaNhyi9wWUre2U4rxJpTM7+gs58OBXRMfLOrqkA6zfDX
nzLqBWlNbIYUmcGqaS1EvdPUduZlrTf/S2R5AJEA89RUvUOErZXhgWWUFigMKFtP2kgwGu/DBHL0
uskr/ln7godku8t0CwJIQrSNxz8TPPaleqDGyXVJV0fedEpDvNqZlBjrXnPwzo1ymrHLjrbPp+pH
NaNUs+HnBYsCbEJ1PW4g3/FLp/NhEkTs29DVyhQTDJ8tKfUrf5voM1ygKHwMCFELEcDozc4k/5W0
z4QZQtOxp5VyUsERPK05YL/gX8V+6FyMlS+uw8n1H4XRtc8Y4HsbRKDOBT0Y77WQFucn9H5Wax6y
Wy3IgO8Hrrw+75t+krI5+hyY2zO10Mp0vVkFvneVNygfmVoBX42TU33CHnhclR37XlPzCXUZiycO
0EEZpbuT2iwGrzLknmt6u+hgQRr+6gzSbNHL93xxnTYhdFPyZIzvFUYNRmJwMucoc5wLpRZTXdCw
TZ2OAUMEhAfHnulSv8PoBpsC6FAMmtNF3GPFAWTn+uxK4Dw8EpUYHBsIvukkcsnBInHuvY9ArFF3
Q2WqULNdN0uot4NzyewS1iNDTJ5ByXJzx0RZeVs5d9aOK0f32P9ND2T9LlcReqUH9MjppuULYXem
21l2HIha9SNzVIazUxm3jYHOAc2KX3hbu7GngxW6xpe+st3nxO+XryjUBpxhppZye8xgm8vZArlo
zStBUbbPAFc+al+jhtFwgOKiJkuZlJKSyaJrT/E1QeHeJkxk/CGvuvC9pMaf1n2ODWHauuae2J35
2rer4CEymPmU9czf5BZm3FIpF354uxQGHWtG7LfQanH8Lxp/kN95Xf/21vqdt5Y8AyhvTHji9kvJ
gPHlgOf7n/pzwOPJf5xhYmg+KDbOdlh/DXh86x8saAmk7qD+J8EKVOwvUiKsZM+mcgASciw4g/Cg
/pryYCXv2wo8g2wxPTb4W/65r4E3TcYh48dydFKZ+ImvzGAiSnEekd+LzSaHq+cKiMjLPLPrdQ2t
z99D+vQFlQV07WjcTQpN8PoBoEq568qqcvdou5a3wV8n3i8avZaZVx/Cmcr/7eu9xvnO13Mkz4vx
Ch5mr5BFP5FLS8q1c1RlJJ8S3Vqci9XWHX4HzL/G3rgUr5qRAAMJU5lku724tQZ9fNinwjmmugeP
kbUf8B9ka5JWyK6KTuxRpQn7lW7U/vZdspIYIcLFY4z2Oql7rFPYB0bjHFsLWLrwKg3DuwUHHOXz
7zh4P00FuFFWIAYGriSnG4rhyxudyqzNyV9yjmPJMI8WkIoE4b1JMTx0itOiAIaLLrFLpt2ZG5pk
9sCStmXC4n1tWsXvsPqfX7JkfiehagmIdLjFvfxBeKHT54aBc/RGh9uFAqYR2ZR//P+uhYiAwStL
mIXzakGFCcFYUPKdo92O4AmO0T6rLp9OvS6r336r+jn+CN5jbA1ur9nHCmtI8/WkJ6Ya5/jpneMQ
RN9aC2t5Gpi/O1U5X4QB7/nf7FKvXibAtqM6K3OOC7qiY+INNDOeJLRUUHv/btop9NN5fUs2TGsL
fQSP8PVAyQtwI17IUDsmVkxxfR6gwHmg+s6atvrk1SkdkZz5SPXAaY46DNwG4v3efrC/WMHSdNj2
TP2p6iLj5YIJLGEFgUyd40SMw6WdFsLA24vSqDJaViiNT75NU4tafV5IQ96cP15XT0DZQX43gf7V
6nUc20dPxJtmBv7yx6SZjzU1VjnHFhra6VynjvguHelk/O3bN/6rS0lpe0zQOFp+mrNPlUeLrWr7
GLs8Xt/XmeRGpiUpnuTtv32xl2cL2zd8VmaHvsPJwuTp9fKtcIEjta4yLtG70SEYRsOcyQboWkaA
ygH2nfebCaFObPlheelLwthVpi0lnw78Xf2TfjhdqnSBOCxwIDcxatsjD6XQb5sW4cZoMCtt0aJs
z91A5IGdxSGfVM704KiMgnIeO29C0rQO57yDfId65gU0hZRGfMlJeQCWefshuWdJ0D8/CUQFEsd3
PcSG0mGjinr1+hGmJM6U285lm5k5ajbIXGUsjV0o2rTHiSOfmSnSLDQl3ltJNcut4C+7g1oJLDAn
2k8xIH4aEaEbds8L3PXnCS9YpHfnrtZihhFtqAxBYVxBm4eVMTjguenJJMiqmfDHGo2kqZk/h9G6
BfnKSupPnZ5aeaFDCGfCA1zN9Hu3uFKCJeIbCkVxwV54HflBLQ6idfmrMU6Erpb7EYYGWYOzxgoD
QFvus6LmGhqgOueM1rX2tMTbEC4gQBK++1HJCqkcWigw+27ZG5Tc8vI8m2u7MAeHb0QRXaZwYZ+Z
ItWfVFVgkpmLeD4Jj6rFsDoDrKdKw/izmH1emVpsidfTCD70WEOP+1R0qXxK8clljptY7tMsfABy
gScK1GmA2xyY9Eu1BNZhqFV9amSX792RtlfFISkp7L+4XIw+9lvrM/po2DQ6YBrM/AJgCntyplPG
uPBxdqx4fx6Qn0fH5w4VxhvPxx8DdWrbcHm0IGs/V76GA87qMDE17XOah5bmQnf+dmkDYa+9ucFS
uJr5r5ACk20aFPwtuW67kW+As/Ua7j2fctg4aGdkmdkrZKVNggZjQos9K6Ub1Ug6TCaKeVGXGPxo
ZAbU8Qy+m4lF98s0bdpmpgFseAZI6xj/u02KbO5JoWoHxUySqgMQ8GYsxMxAyctzK2mAb2GP5gyM
iK1JE0BggadYnHSci7LEXooVHM7hNl88cR0ZDL42s5sDyQDog1wo7JOrP73DRWGzlgdaPgzFsETf
Y9zuac/i6bYSHmdRR8iINvTjXIYI7tLfV5iRv1tUBi9QxIxwSTV1nyTTNCg7ReNn8PZE8z60F+uw
YPSjNlYonc/FMBT3Hnr7d4i0s00N8VeswASEt4M931zGWYkaLtOjhDabJmRrCx4hZhtI0LklHlem
ZC62UgTmXHuoYdDbRxgD5Knvr2O3Behn7LFG3THfp2hMtn0ZVdVlamozZdYkFhvkN90BGSFfT4I+
BzBoum+es+Dkbqn+2pcu5jLzlCCv61N2pvWiUd3RrFB7dxA+PkLYbtodFvLyC9I3fKAQ0Vwx6mzC
nSZyjLiIVvGGdJoCn9u+vCZgBT+6Ymmjz6GewGHTXb3DFVfumUMERzF3qt577Sg/VSBsCFNwuEM7
WF7aTo6d2jQ6y+ciq9Mt1rjLGv8fXqMH1WcN47T4nFSJ6rA1YeSbmo3a62K0XamJmedGUwy2NTXg
CkPufIeNdKc3JqYAsIZPPZDfBXSW6iJpiK+b3X7+iiPCiKdvbBADVeYf43Rw1uTVYSRSxITh1viD
Yk7xRIIU3wdA9yawkFH3QyN2eVXyF3kG+DMDS0wBAojOaYMLykYq5k/dGpRC2eQfQu4JS/3mq/GK
Stc74Hc+u5siHuCi4+DDoDDzg42DmySgeNUCy7ckiZczPo552T/gA4BzwlC0u95NccyLzC8ZnmAf
/Sy2iGIQ06418BXqM36HH3T5HafSgl0v2/uVdOqRCEyTN6pgIVyBPxS3UL4qog07FrUhqciezmMD
A351u2r1aGdbwnJNjnLSMJJlT2Do7Lbdc9iYbEjl4ov72VxYsmbHJKtRPZwTr59cbMPjCNu6rqxN
ZsiM4pY1o/8SDT8DszPipeasOXStz3ns9S4OZPgulceyyfTfJqYKK+AzDw+mhE7fQ51qTPRRLW6E
xEoOADdD5fDp95GLhfJERvHhPHyqKpbtulREoq5SsLpPVlmH1HMReQYCBm6pxS0t6XpuEnnVt7ka
HD1aJK8xU127LRJn/AonpQ4xzjDcD8zzsaCM/PYAI59E4GIK436ViST6ox26pwRYdes6cRiuyT6t
2484LvTGe7KSkZp6VuRdD6Bla4mHwjYaxxqPYrnsZk/b1vshPiTkJ48Pg9vkJ0YU36wMf1PkHjco
EQCuZEYWouUTH+H0lfUcdlH4vMTx+D7sFW+OLz7Z1uCyPqMIErNXQxTrbLCsVZeEa7blZhpxTiAt
kH2cDOw2HA+dP5lHpy7nd3Xb2SdJbqmxanLsQVeStwCXHzzh0SiIwNpi147nVNM4N4Q/Zzc1ll6n
PPbqdVOK9gsS9gznvcX+o/TlcOxkhYmnG1gxnsKeTaxrBHti7JfRX6GOYbvwAxezHs+5hK7wR4Ap
w/uxC1N4dL35johl93M6yjRcN1nkc1YW2FmAYYc4X8/xO5QA9qXhjz42j0PYPlnxWB1zBU2hiF1c
OqVpwLvo2ryBVT3HO4NiFn8FYVnBKnZQF+OBWdj3Ese1w1AQVVbFUXBlzv1y10U4I/pDOH7qs67u
t2bbOvHlFE+Tu/ZKODYrL8AF9VpOANx7P+pbzD4L4ypRS/mAMhfHPSPt8em1DGWm4KLeeD1ywn8T
Q92+66tq2E8chMciaXMsuvwoALUXtBcRm9seB1gRM1KuGLaGgxruQmsYCYZIAmjUhOo0n9Kps4lt
ydyrKbbYRm1z9vHGr4Zi3FhYdwb48ZfWu07NmDDDoCKH18uUw4YosEa2ZB/sfKPGc6kC33WcGh56
JpdD26v41GIg99CLuX30MqJOhwn1OC4KTEXQWWIiA+yNEXSiELCMCq+cYInwCeo4hzoTISIx1riO
OTyq22GhTyHGSzVrF2/+G/hh04PZjAZ5AB3akdiu7Z1n2I1awQR1d1hmEmFUWrHf7nvW7jeAyulD
5dndl9El02iUnYx3JoNeApAzwdQlKTNFsK4Hbk9qdB1vmgg200F11Tc3wtivTaAVrJa47S7tccKw
pSyJsyNFoZ5XDhQ00kMwdDPI/9xapgw6fP90atAy44IKeUdbsPdO5x3THotWDN+HjxHzamg14ZLc
gAsrcxVURXZTYGXRrVBbGhCHbd5aBoCEyVw1ZlP/OMGxxxPtXK//Gwv9DRaKzp/G5F9Dof+dwT8B
C/xOnb94/q///P4n/uK5W/4/mMGg/iNLxXQAjf7iueNT9A8aRRwdaEeRdEr4tn+ioAi6Yczxn8Nz
c2F96nbuTxTU5f/lAiJ6jDrAYNBo/h2uuybN/9A36p/DbBCHHvAs7tN7bdvgqWHO8950vkbmUiXf
ILwHtoltiWXU3abrEmt+hEoZd7t2tjN28XZ23S8TiXXFFf77RPntKsNhFJTWHrlM+AUGJgmwXkZy
yENj5uT5Mams5CJXcYBnkIGd7lA75CFn/YzpNVPc1rpBUV3xWYUm+/EDnGu4CRnjXcinDg0N+cQL
oejennCxuHZXU5y4frPGEBWJ164YkhYPZazgELH8rqt+BdrQmCK0FfC2gBgd23r9dHDMFIxrFvdr
1Y4D85g8VBHCusax7fSdH7o+l5xEXOTfatnE872jaeTN2or6hvspxBhODz+srdvv3fGPegHrp5+k
FAJtqKKeC5zhvwY8FU1LXrZN+Ewyo5u+wwE+TC8Xp6c6JNFQxiPuDCqGbARbp/J6mIcT/Dqsxqoy
fSoxn0USpXoO7cvMHFoz2i5BuGAGmk28im1HZ7s8RghIjWkrIevI62UhwDHa5r7TEmmDl1GPyfTb
N/UK7gO20GuQob6JUQBjAesleBFEKQUAddJXc4SN9t4tYqM85VlQLrdvX4gv6sfVzoVsRE0EeLia
R871Xl4I+73aXygkn23etrC3FYQCx0Soxhc+2Spxbsa2dHUwqnQzo1tXIlTDKY3d4nfy8Vd4lP4l
yAQ1BxfYBszmFfgo7HA2/SmRzwO28PIaFVrS4f6VG9C/L+GE4Kf6dx8yAAzwF/xxYVLpv4ZvDREa
itPL/pL1SEKxW5orggNXg7cE8/iba70EwLCbYGtCI+TjPGFhx6BevVB84LK0il3reRIhDuJfLbxK
Iqwgq551F9Kq8oizWWqnl7df8E8rSaPFMJyxwUEfQOP/8gXDwGob5r/tl8nEmgAegsq84RRgqcvT
fftS4udXiH6JQZQEOmbzfo1eJmUpUB1a+XOL5S+hcRh+Fg+Z1bFHrTvoeWF1M/lLYOZXZUxskbl1
h+h/2DuP5bqRtE3fyh+zRwW8mYjZHE8rkaIos0GQFAXvEgmXVz9Pkqwu8UhNRs9se1MlikcHQCLN
Z15TqNu8D9rWWVUlGyKNdaSeoyt8cemEIZauDbsKELThchgm163eq7j+9mKQ89DuzbQuMKf8retl
4XFPscKsHwBxC+4Czk+R/xytxQCh2lQ+Kloxnh4yfm+wfn8x5PvU+OjSaNbP8bYVG1ovQnjGvfIA
mwArCLyMqCoI2xS7XMtBrK5EKtEtgjv4BiDukAMTImrXFRD58Sar1IQwFXgFJe9xoMyjnQMOYDnz
AJYADnv71bIujjYKbjDwnpYJgv2/g+S9ZGpFNYjmPg0zmkErRMuk+tijfcmkUguFnXEf9RSdLg0n
zlhNfY1HtLGufYSTkdst3GR5YAJW+U8fEVe+AXBVAS1ytFxEFZ43YAjf7C7eDOv4a59EZMvrsQoK
ZupI0s3bqQVuatQXaB3wRgCo6S3aQOiOC9rLXIZXcdrK+ZtadAixQnI1ZiywqHXY5AHn+12+s90O
ybhVl04Z1STfzatHf0LuyMLbOe7VR5Z/5H2tAb2oW4EUHPcIASTCPtDCEe4rrZE2RwvQn0t1qyCi
jjej6Pzxus/5m2mFSxg7yCoFcsQ7s1Moct2KGJgccJ07rcFCj9ER52EajHPQlQW47te4HE+5zSd9
dJf4SAb9ufJxTZtTeSXRmeQwWzrkO+W6F26ewBVPIi5tIJ7JxxXSelwNHaPWvwSlknXfujDzxkNM
OS67KF1wOPvJggZ+lnbGMpwO8zAzl+Yw1jsfBnPWchaOqC0XCLRLfWZiZU0ec2jDTvZIzKGLjnTn
ywN4OXJy06qm1ernGxNVSwbUM2umH67VehMrq8A0qi2WyT7/A9qwVPm6b9Hm/Ps7urajeOzAms/S
NVOuQYoS6rDHGAxOhg7xYW6pKZ/ibc0zJc+jivEkhWAAT+3AB6ZJIhdal2IwyrWV4lRNSd8IiNoW
KL8MS7sE5NQbNno9XZpIcmo5BeTafotnZ15d18jkBcEOdWc9XVrMG1lTYx1R/8AmHIAtKhmzyRdS
SbPiYCcTSdv61HDnDKe+ah4Zw2amTlmuPTZGK/4UlvSF8w1eqYB/T/AFGUGwJAqgVLjJrdnhdwti
FPoh8gi8/kXnxGOdbBtD6Pce2CO7wFYosKso6NOa4k4EgGZ+SkKytfE06keXb2mWxmUpgLIK+clI
JFg7uAuN5JbwI9EXmoZc34sbpVgJrvH8Ygku9NWYKY7yffcw+qHD7eWUD3TcFo8mSho9RCjvK+6a
/LCOnCXgtnI30mPcjegK/BzmaWA4FRqCfFNJCOgecolWarBD01lPUR1ajzdtWPNfMt+SBRzkkr2B
0BFE0tadMtb5IhalN48UePhd3jlCL2nUgvhSYbq4BgKtJG6kXtVazngT4L7FKJATtv1yGGeT1PJi
pALMF3aipweyRq9y0LMarVkhN20RKcs7zCGWGlBfzJso9bJo3Fi0jvTOlJZY1O2oUexA/CSts5PF
krgmlleKgncymq366C3LzPQPe4x+0FbH5mCpCRTodl/6njdqiQdTgpxb+3HuZB8aC/Rmj2DhoN8w
JcQF1yebtYzYWNbTFaeAKjrZ9Ou5RFRhOiviPuAeaXvybjoXO1nvru4tmlXrOs6XpPlE/yl2kdLA
egBPWN/MXKwW2IjZbrak8PkCFqvFmgWxUOL2eVzBaZDpIXbywUtAmRVss/6DmqhDp3qzXXjmKKfP
h62iSOc0RTW9wVY2QGUt6vXkwatFz0TEUbt2VyyxnpfmMPfModjJuiI5Q5ZT8bvOHgcBe8lz2Cr7
DuIFKIOC91GvZhCUQ3dJGdlmy8UiHaObbQ1TibOgWaqJ74LAp3dBiqZIIa3MDK+NcWfKduKTpDAd
v5Mi1vtSYY7VfAXiUkeEKYVYtqfWnX3GT+JZ7l+OjCJrwbJlz4QaO+EAaeftd4t3FgKIdg9h2Stu
HN/bgUu7FsXOdsd2yXE0Lm3AKV9R2mHlhW6pD1kph47pOFOwa4CdhmJhf1jC1HA/zCbCU5ROFjDu
h7aDFZluoStBeMLsS4dYWmJ0eUDnhWzkJQ9h19eDMzWd0yDHIdhVodel+eQYJ0OuFEr4IcZomy6e
6hhVTXwsPoFT5eHRWS/Z7TUNmTsOcuRUxx30nICFnSNYx+QJM3T3oLE8T2tEW/TvIJY4TFyFfiV3
7jcwe9AONkIOLQuDUMbYCUQkJphUZWKyPo0kY+XieucF6A6n0FAubQjJORXCghYOPTRr8b8D4C/F
J7Oay5vItiN0goWgQXTq1wiho0YxDu0Dsn2dAaK4QvsZqf3AWSP+kHXfM/ZctSuCuil/uHmpBG6+
KDjfTegdTR9UhCjoCv18OoNg6qYW1wMwwxBzOvTcQAhOkxeOl6JD1BCvqMqsrHPw71Rw41COFm5Y
mCizyc9hp3JO4VG4GKThWaBDeiWmBWQ41W07WgGlWOS3yLYG95NfwgZK1sDcC224VtpL3KxaiDZW
zDyNE4mDGSdZuQ5UOSm1ibJSmWIXI+igGcUL4sa+LC4gPlntboyCxNl4BGjqJkEdtuHg8yWy8gtG
yCvHlba1RhUlQkTGT2QfbWgHapNAUFJinXhlcgCWLDddY07qLI6g2+6tyUrtXdzOFl0PSXcLce7Y
8YyPbdFU7ueh7/Bj2JuIN7bdNmrMeb6Z5Yy9k0EfyLh2DbdXtxLsZbnyhO+LzyoABoReu/QD0e5R
tIauszJHuBsbpBPLYh9nEjCpatwQQ7KoaBw7XQdC9TjIWVUe1j9SRCnHeYP68dI9RsC1B3T7A+y/
aUX0nkTfIq47DzPRwvRKfx9DZvcvoTUZRbEf/ZawNn1M8ZqWmPE0IXbczcbyMBby6SRLB29kYfMw
+ceX6Ntcyti3ruEXNPQOJlyMOJbayqla7zN6u23rbtp4EjG8FRPxxuKwjIFHNBabEwtGILDD/Aca
mRNBgdoc9bESsZGwuLtQh4+CA5zlkLq+3uGQp9MRJlzqGKfdfCmnBKMop2+n8Ex1iUFIilU75k4X
XlrlnDJ0HxNb7Wmu8p20gBod/QHe1JlDkIOcoRSD2mYZ7YeuyvyvXt1rnRKrBcUZ7RNDUmtoh85j
m/T6nsg+LCCQ2nvX9oiCJ5PYzVgjtN+yl+Vhpg8NDO1jpJSdClzodrRqXzmHyLVLQqLaJs82Tqqh
MnlQ4hLILFjPVEJviFVpc0ZDlXcJTeCvSgaorQN9ctKAnblTkaQB1x7wAW4AnbseiIF1AxuWLzPz
JmYt9V4juP8+yvU+WbhByUfs3Iq4ozpue0vcRSLS8WoUj+w2thyEf0+TpW7AdOdBfZ40+cixKFtE
mp3Tug10yJJGUo8RChq+tH4iNwELeYN01zgA26AdbFqAy7C2hJNpgv+vLtjDFx0iPZV7fMRAOaVe
TjAQZoxj0Zi6YuFHk757y4kNBpJqex41+yXDnedniVYAgWvIucIdDL2Bi9Xh75FQHUtoNbSOIiKF
1M83NpX0MdUprHoJ4QOhNs6QZQCLyFmqOfa+Qk6m9vT8GjkwLeuW9G+QN2EXw+fYObRPeEcDjS2E
smskSHHuUqDl4ujbWNBDLg5p6yfVdAJi0h9vFOhJnspSrS4+CTGMWXrSmrUOKkwJq2CCKbDoRD70
OyZLRb3OmtfZROdVbjAIIErBOVlH82ODcJp3wAigH8OPqA/ZTXbuUz3nfnCN0evAcdCBghtbEGTe
lL2rl0hXdbrgBVCZD8SjqwM1qyQ1zjpLTzAnHrLO3nd2QB9ukzyfruk4JhyamAMQqK4dpyUK9B2h
403p6/kYl3lOZG0yAvlPMPQ1P/D3+tNEJUJ9nMow4Li0MKziDEtTTDQoqPpDooN5p9V3+7w8Cunx
XsphanipgHscWZ07s4OW2xhOyALSfAxomqyrjrlQrjN85VhnrnD13C1rO6ovqslKcC5Oyj60EGSX
0CAJaqdm4d0OxlhxrVoJHsFsx0wXKywdWkfQ5sZrWhWZuBsFwBbcK4uhxT+J3NJ1zt3JkkW9ij2b
eQaEXCeBdCXJ2Oii6hfSuxHhJYkn71kunlrOHFiayxkIoWWmN2U7XXE3ptbMoMTPkU+fmCOxRt+E
gqfNZrxHl+1LRhyqOiIwmJME5bMt9mAOPyXkLGILVdaYH5xxwHzUNEbTXMPzTElHxlQkPb7xfusM
Nzi7OIOBfpnF+BtppJNuSOU6CoOFopP8IBI6kE/ooY43cR8nvDVZUdCloRkaCryDwNSTGCXyGnXL
qOsdV1kdOe9JRydt6nX+wHTyPS5PaS9Weqts2ZP9Qxt4s0y3dTAz9Q/AeFJSlQLDwIfnpVePpQ6t
SqMCzA9JFdxph4zf2OuJUU+6fkSTfdFTMjDDqf5gujNCyAyI0hm3FxmSgZysQC9xsuWkvfAB/Wnq
/ZQn+xihsuEK6oXqT+iUWyVWXzY5BQcbNoQJSaDEtGQH1qLhayJXCvaqvKt1JIpuCrs4yJCnrBHu
FE32kw6UBZsUAf/gr3sqV3a5jZJRZ4HPiUUZK33TjZqnBQO3zl/AHslQkfG6Y5gz0UmSTGb/lNY1
rzSzBn3rA/IQSbVFljiWEjk+bEAugpbiCB/EZkJ9BLelNyzJazRwMSj6LKtXSEL2is5A6tTFndNg
nxZtl+edI8L3lzGsLDQVi3dqXH+oGSEWAtiahk6AxMxRcTmcGwBXUTndz7HUeaa2mEu9jeEuXYnw
6yB43ncueVxVo0yFkoOHnAPIn5DA6XW5c2nrOjSlL+89f9Ldm+epUYb4T733dL9fCvlwYlxHN4xo
TR1VVm34+wi9Oc09nWy9PzW+60AFn9ms2bverr89VQP/QQa6gUXpOEDuBJSxA7b5uO/SmxaM8rJw
7menQhbgbEgrm5noSTdlGaag9TkLld+waQzwY3uKKGPZIZ0LUoS8myqE7mxEpLx673nemV96H7VI
dIqAx3XPmYBr1sRPb9/+b0PlUBYmsNXKPJh4H0ubziJGZGMKvDuZ4RiKAxcaSuzDHK6kUG9f6njO
gZsEagqNJrL4T/jULfoF9lkj4Tdltky/FQ3VgtOsErL6bBeTLc7tXr7DKDh+Loe9TCvwuD7cDMDZ
R7PNRxI8S9u+/z52EN9uvTzQGyXwOL0Rvf1c9rHCEf0tuvuwCgIK1Q4qVa9ndjLNZokFn/25hgYX
bmKyfYkpFVUHAsMsnxjMFf2hiv8F5DecdoAzoltiGw9Spja8I2MhQtDtrnZySrZtS7n6XMsSDnR0
GKlAgL1MdRY4GzpqDiUk0fRkDH1dVSkqiok3I4htHs4oPF5dkgB87FbWiOgHQYiF4FJ3gj1JtpQ7
QF2Je/H2IByNNyMcEfGYLDoXObTfGgweqNao8uFtDVWuJ3LcUNnD5HJqCDTfvpSjl+8vK06/U/CJ
Pv1JP6QMdowfxv2GEoTlxjeh2zxda/CoNBRov/OoA+aHxPfPraqSnjajgKeoLiq8/CRGvOFAVE8m
g+u5gU7/CZ1aNna7QpFjOjGKfDDUeR+3KQqPWVsV0x5NA+KLLTZ2RJMZfHNO8Zc6OcVVXXM1YPoT
f6jQVPxubCr9wpWXcxXjqZkUPEfywEx0ScTwUv0mc4tFPq1QI9TvXYpM12FeKs7D09zNKRFyUMYx
SQGwUQsPmuYdqH34+vUFQYDWi21CJEL/HLioeTSFO54AdmsbP5SjE3zNBbjNnU034eAXYetSEkvl
DqhqdLbgBhpvWjeuD5VdlLcoPANYq8OhpseAxGdkLAhwIr7YfY4J93qwa/2YrtNwtA8YIl9VVKYf
NBANOK+A4L2m9Ol/GL24OUshzF0g1ZlqY/kUsVajz50virbLeBqLKfcgyEemi3SKV9waypCcpeWc
Tus+Eh9dH5DNzoVQfhEsYtzIdum2tJDK25SWFzROm6Ja3iKatmmKiYq3tMrvNBm9M4Dbmt2rOtMC
tSOCG5uz8a5Nsf5dxcJPifiTvt9jPlbfoB8y3GaOkwIbMA23xnPGg5k5AFEujVZ88t2+fySVGw75
POQ7qmpLu0Zrz5/X8xQBHMO+dzwFfrSVUwSIMUzz/MsAZ4YiUzwUuB6J5kZh3rVhtzYAzxlAVPHR
uHLlYt7bi+y/g1DEPWLwhnU6+9VZEfTZFguh7D3E+6s1xoSgC8Nm5nE8aGrbcfe5IVsKOpwTf/C+
kACwgTRvURNFCd0Xpv/57RX9ekE/XwztLvALdgTM3jnarGPl1oSwUf0DxlZFS302b6yacsSqqoqL
0XW06VPSVFdU1DE4evvav838p8ektU2Fk038+PgevB4RfFdUPzpsqFGMKlvQy5WDq9A7x8TTN/2z
bT09JSQW2tmIKGoiydEam22UREdayz8sNGRHJBc4LlYN8UG2QQUnuK7tKtbsB6PFCsSLWng3eODu
ccvw4WRJUBJgW/wPwhfRaW10wWfOW2C2pOES2xLCTFvWFXoP0nKvIAzVP6sBKauaasbVaC/2lygn
rFtZjWW266RIPjgwAFKEnyufZKegdI1CPHmoiJYfePRJKm+D2FmJZ96ZIOrWivd3+vbYHxGNGBId
BgDaZVxgGtnHIYFlBP3shov64Q568NPMSfdOk5eHWc13NR5I3xwjmjeDnVAj7OBZHVwkjevN27fh
6ZF/9WYCjW3CjcEGRMwxrjvRv0QmVhFXVNvS4EcyUGcj+8Q7eA7RBtz0FBXlZnSr+RBUEtWIzGgr
iqNNdWhI8y7QdRrlqgwS44OyEvfgqIU8U8TR9woXL28tCuMiW+rgfHGWfe1Uzg0lg/JDY/DSMKLq
5mWt5EyVMm/6eB20UXAd2cSqO2zBfi5+nl06ATxvANveIUua9gNejaVE7qAf8BlLh88Qeoorow45
IPzZmnaOLSdc3YCH3kxllEL86BBtQVQdy7JRJlTMgrzLqRtyJn5yPSM8z9LF/WJRBIpX1OiwPHx7
cF938XnFjK1LMB5wSAErO2auDVRQeO9BjA6H610aaH/dthne9hvEdcxLa6rZl9++ovUaJ/Z0SWID
O6J9D3EedMfR6zTtUlQcnY9A3t1TskyjWsXDYpyR1+O9abKWNg4iYj9aWIK3GFvK8yyLzCtjjJzd
2/fyxAt6PbUINdk+n5xLMNjT288vU0tMldeHSV0/JjP1OHpRTfy9ESodN121ILJl2gUJQdUgRYDG
QLps8tT3DinosQ1pRRQhKGQgzCkaP/iaSZSQqZRQcaqNPr3AiLY/oJs+X/pDCmQbVx13BU7dnlY9
tIgnv59qwJkubNYhIgrt3mBYdnkhjYvIt7Qh0BQY509knwX2AMLiyETskonTe407XnFe0RUhonQg
qGKVV9Z0YLFu3o70CG69kRoHsUj/SaIjf5JWpSOQxKC7zEykurr2SZI/OlFW06EAgIKp80wZViIP
n6yh87cXUxv1QHuz1geGFtqNdaJZEWJvog3wBYXn7OuAPv1PN4OFCLQ3xzT87bdznJFQDwLxDDgN
bBo07mMEDoXdzMbWtb2LUkRKl0O8IPR2aylw7TavKpneTYKPQV0WqSJWH7CPwXHYv1EaRdc7YQKi
6A6fJl01kahNqY9DRq3pOrFR2lk2cUQHgjh24WdiicAUH6i/VN47Id/rcw+sE1R3jj6N8+SsR6L0
9cScMO4bpyhxvtMlpZmFZgR985BzmJ3kPxtlm4iSpyXu5mq0649214JSdehYufV9wKGquJBtqZuF
WU7v6IBhgK5jv33Bo3yMRwOYx3lOagDmkIb260eTeagI4RbxXdQg19KtcGJdeKFMs/BeY0GkbXHW
oJMRrYPCI7vavn0DTyTyf1Y9g0uGwv5DlhIgJ+AdBzT0rdLSaoP6O9qFS1JvQdepYksfNo3y/XMh
dRSpLtajHq0rSi8wHQMqOklGRTBLdjc9D06Vg56ng+4ZC3WFBt0B8htVQolwqGxOSK5tyEaMcFpl
ViGpHwWTp8t3I9KVY7NJY5NSBOEG6VS+kcFAMmlNYsanYywADWxDsiFbnmSAXfEpbApDV3v7Ed7I
gvgRsnAAWyCa8c78NiPPDHpH59JtK1puK3iGDPU0G8j3oOPqMm4eyqcatG3p8n2cVzkpoQmdgvEP
k1yAlbDHGSLGWVoXAEXeHv7jZc1ZY6OIjS8MZ+XvU3ug15Hir7h8a9LOoYqetFI3ZSIldU3yBUTz
9iVfR7C8cIo/0RNqDLUEdGiP5jjQPVx1+nD6FiW+Rj0MWeQXF9QN7MK4NHuTO9BcJRK63QyVgRcB
L1Tfzdu38XtAFbgUPkBcA5jTVllHMaZj0wnFKqN4REbbhCwzRfk9KI+FriFnEE8Q/FD9EJ/4tXG/
jPmENpI/ttV7t/GHExiJCOoADshVNM6PNheQUn3Vw/h7jCt/GTZPJ4yvhrQ8z0pfQp8doxtcs4cd
7LZ420bx/C0Nxdhy8MFTemdM/hCBhK6uLRMLgbU8RuyqapjGBj2rxyQw/U+db/XXiJcam4DC7hmB
/nA5lJ08bRElOMEZy7qQdUBkHpRy/pghSgoguZ5GnLwH5yfI+c5bhWiKfXrnLl/PIB20+OBdPWIW
MNNUyY6GDIHXpYo6d3ik6t0ln1muXr+mkrisBrThLm1/LOgp9coPN6Hwmp8pej1Q1WK7nfZO0PS3
XlQm52YwFZ9t4Q50SAhrd/gIlgx3kgdrt6Pd+/yi/8uzuFnax//zv+5+VFgOQYAR2YP8lTUBmJaV
9e95Fn//m/9pfv7PuimH6j57xbp4/vcvrIsAcwHQeGjEhL7DuWWzn/3tiBf8hYpFGAFSZjGxnJnb
L7QLJ/wLSRpw6OjRP/mH8asX2gW/CjUZgF+yCdq27/8ntAvL5rj85zAD6w7mE5q+Vp0Alk198/Vx
uqBIRWA6mwfQaesq+VmS7MxLfJKHCG5P1IEy8xQq8DaKh6+Ywa9yp9/8Mngfn6/1K5Eger04nm8B
uQDLYZN1MX07WhyNR4UkDPEua7A2uYzdr0vUItdcbOsK9SibhBki2iZqE/xgy/iibRP8PWy33k72
N3cEa5NuyIOTC1MZK9z9djICphRYl12q1Ye9UcNIN8YIXdFsH+D58yE47zXZcfE9x+1L/3HBIYhC
y+de0eGr4Hsa28WLDkicaQPtwj+HuVkvkEdlM+Bv3DvOxiyG9eLUtws2lII5cZj9EMBpsnJt5ywZ
poAoSFHboRgWluEqCyF/eTl4FOn02744d43hqkzrYTvXsEmNSF750TfLMfDWC+4UKLVtlVsrrBbX
rh/QSY3gZaUQmcsNim5rMRTXsxHf5N0ktkVfbdG/+w7p2txn5fAx6QPspet7laCmlxfrzp/KPa3G
cDVJGOlOXT9Us2vuC+DEq8WcHmo32SSwy87rfvIQs2rXrd9zMbXLCudDUuXJcxj3383lnc2FrETH
D/9+dzncTXdZ9ut+9PJP/qZxeS4bAHsGtaYnQpbzrw0FXudfdJ84kmmNIFijOVYvG4pt/0W0ROIM
ltzFxzckd3nZUCz2GirDZLEE8TTvov/Ms+T1atamlyFLWiPssfOgOKDjt19yYhpEpcqB5nzq+7ZF
SlxV/QL+kfvUFProvHWR5U6zUjy0QWHfpGlhXNtRRwHFhVa/LrPQW5f97AN8oVq/wXZoLSOj3Xrz
2H4jHOV7fCOxcRkfm+xjLiAVrYwWKdcmnYvdQDFq24LKP7cNSptpBC00I9bdN/ZSXKscTz6Ijkg/
W8bwqP2BAZK6OD8ZM+5Ic11mJTKicroDl7rcgcBdsk2SMmxrvH8oJItCqF1QmkjHLUZ7P9hpfkeH
bfloFEjUoBu8fFuEEms2qyJYO4uSj6NIrJXdIk2c0Ku7SlL/Crm+DOXusrc/Dw4k03c21KcE5J89
/ekVIIAW8FYxcwlp2r9+BRXtpdyIe/+TEk50AlAMzzt7FsiRNDNRgmN3ks3JrqKPJOr2eQ3HLlu1
fth46wzM516llAEoIjcnkRrGC4XB2qWN3OMPqgbGF0Bm/XWq6xRelucXgydR7w5TWd6WZRzuk1S0
uwGDvg9hKD4jOe0dPM3wTyb7xk7tfZBGP/LO7+5/WSR/OkWO8kIOWJ3u0hpGtwRTnuOotKUAkMRm
S92rqeJvln77CcSYr9QGIMuTaAP4dMQJyYrcumld2asKDNiud3J1ASjfvG8Li2GIvGn+kNDeP50a
x/sUL/ypI157BH1nnSWGPX1IBx8IZNKh0xbGtzRO7H2UZeUteIhx7aNYecg4OeHACQPaseNvlkbI
rTLx6WPzN8czUzk/an84n4RtHSAZeoclFASlbgwPcV6K7exhVWZCjt552beyjcAmuM30gK81puzS
mR5aQOtoxaAZICSiMjFWFut2HHYwCOZrFmVxGYxIuZfImR8KB5JylgsqksJHHiJXgHNdbEGxsZ6H
TZbRtG6CPNpjWk+ZOUPwI6gR3AXG4dOEqbP8okqd7hzslY1LXt0+hmVXQSqcBJpRnoc4shbAAOXQ
94dobrMzsknzItb6vmFtjRfoUvJwtjMgltOlKj+gR5ZHa+Um9jV0qPlDLy0GFNTrjtabOgCZZm0a
hcL3aOq/uGnf3UfUtM9d4ENrM5nnd9rJ3us9i4ZYSHqsu7vauYlUmS311z3LRt8qhm5uXKfShAIf
0e8yaPzfUjeDBRDgaUheztwRjXqY7BD5DU71Ze1OS/ojR4zhsvXt+LSTZvcl6Nx2gwC1ue/C9isG
A8WmG/zqc9XxLcWIYO4qH516X/Luz5sYiqopE7XtvWTeovZuX8+mKNwVba5ovQzGcoFDAdhTsMM7
YIG23lCb4lR4rbS2njTsbWYOuG3m8zhfiqJRV0/Tts07cEGZv1yIzrPOrbaJkcgMza+hUfX0Cqz+
C6453WXWZ+hVVm1KFdJx6uy+Not91wgDBfI5GigsDIO/d9EADrZFmIYfQhNixzsFlSMmqR5+7LJC
cjhfK/eBHnk9/FNn9UaiRHxti9Y3NtICCb2IzviUq4gnsHIbnH/XGzf5klHX9OY2alFiwE9zH9JW
XID4zoyMXXbxaYhC/10x+mLB7nBqE5iTIv4mXKRHV5SOLez0BmP39t7zpwcgqOO2fGCeVKiO5k+N
bpuw0iS4RkpAbqmPzpc49CW7DsaJQAaHfSamPfyRFJYtpk49Y4t8TXuHwqp3Zk1+/JO157AxL82d
MwfWuQ8q9BTAL2oFXRnGN2jR07JK64QI7u17PyKYPQ0+5G6ALlTxI50EHA1+JTKh3Mm7bgbPw18F
pZOfzOYY512U7qmXZuoin/v5QxmM9V7i5JABvar9k7DNxtOmCrP1FNnipPQmcdIEnXEDWDPaY6co
wbV2Q/1BhT34FpvnnyqQ3ivZT/1PQHAYNUSZe9/H03BiKhUiZdOhEjy4U1HvgxHthDb31Gq2BdvQ
MMRfbMjEByM0wlNKVjb488Dflb2T7FrUEr4Jv1Z7MY3xSbakYqvqoA7X0rbnR1q87Fd25Rrjum9t
a6ucFtpeU4CsRrQfdFa3ctDCOCndMf5WByx1YgJUkPXSiyMj+SFiHCm2ANe4PaTFT9Us7GuYgpQ/
qtwZ15HdIQXR9mqXm2n8jZk3PrplpXcQPTR5EJ8OWa0uXHIUvHXQmLpuM2GuFtqGABxtRdbQ+dnX
oMofnKbCFyBJ5xPQM/1aCBsTDre0z6G09RiplPMlBXjOkrcnAkEib/qfsIGZAEuWmMHCmvEpHDwK
G9irAV0CtLimvCmD9WKywFZPezMM926PoAudJYT5kUrHLmRHKNbe+bZUV8piT9omVX+S0rncIPlf
nnZZ2U/IYJkZGtZGnlWrJKl3siv0crUC836hVfNZs2Hv7ckdH4cscI0NfOkq2PRpiEg6PazyYoQp
tqXrsDAPXJTrVqVTxuWutPAXWUVUfw5hYsybRbXByexWn+epQbMLX42lXBtIgEWdb1xRzl2mTT+Y
ww+4IWyRRa2bLl1zmC3V710tABKUmQ459Xttp0x+6efi4BnIKG1mxOcwk1i+WG1bbzAeBuhjLinA
05wFgUw0kzW3eyyFwzB4oGOFwD3kh9PGys2DikBLIyemur3qYCZcYAHrRut2KNJbzoHstjfyslwp
kEE4hmZV/qUP3QjAJYT35IDisInbrMNusOoBj/4wEB69NsZJBzhIhp+a4cxRBWNxI5RWJHfSQW7l
nFYmj1uw5ZXwl0w4joI/xxLy3mpJbRVrrUHX3WCYVd8kUCJOYtPl1FFW7tyn8EiXdWL5bXFmSKnD
n2i5SiSEnK1KOvO+QskNE9AOi9WFnd1cG7WyzhNvKk4XJkJI4wmNPtCGKQY0ZP1fLSxXUCE1kZeB
WQJ1w8K+7VoQWx6kllBGXUmpn1jChIBAlYHQfoUfUOjHOI6aQk1bdxwjuGA+jEVfxMFqEng4rfC2
cRqkv8VGRqgTrbw2NjeZo8qfQTBdI7aEIB8iJg3+y5BfkGkoqssgqNKPdhVMaw6DiJGJFnX1tJD+
m9m+l9nqEPyXPWdzJ+9etEgu7yoKbhd3Wf34KrF9/hcvia1PpYzkmE4yPGbd3XH/ldiiQkKBFxiT
R8FMV+D/lde6wV8aoEf0ENGFBe3I8fWS17rOXyYtGhJe9HhRGI2C/6RQptPWXzZHl6hE42lNnV0R
Kx63ehf2Tkcuhjo08RZnKG+5CPMPv4zGH1KY3y+hBYTBqkSUBAHo8Py/RqEcgyWJbaQOqK2uChWu
DOAGoc+Q/qua8P9wFX0Xv+TnoBeQcsLg/kADqze+N/Oj9Nb/f5eg3vHrJYIM1nIzcgkWfGBekUN3
6p107yhiB2esAUWAf3UAo4lary8xo4aySMKOg5SdtQ8mSOWrJHDiy9LGp1ktyM+PQ4Rim6jEO9He
60RTQ5z1pX14xeTWumz7+tKAoNGSsB0I1dANt0BpZQLhZwnWgWGWBBJJivBUioLa24OqB+3VBNSX
RWYHGBOPS7X09WWdPvKbIOOyQcfxalXjZzzS1CFBswzZNNgdb1/ut8moL0csQC5N6do6bnImAsSc
gfblgW6Jd9PZ3R6/qXnbQV3Zv32lo7bWy4BGFKBNlrLPC339ZJFSL++SJtL0ALhhXmmC3w8IdfPK
QO7qIll8c++HyrxLY6UOcjJeNKUe5v+dPDZ/WBV6bf02ulTUgfpqzfdjsEAROBJxShNnCmAWVx5y
kRdtgmPd24/6p0HlFRJrU+z/XcXH5ewHI2hB/SkSD5nNOCGxXOaV5ebtO+/vTw/kPmnTUyZkQzla
5sU81ONSYrUBA6zc2FPznfrOO5bB713jaJ1nnrT9bmSOQAC+UL7Yw118Pkz/7Xv54+Rg/pGYMxWp
aR5PjigPKZNIBBHqiYkwmPap3WBbopCt/5rCsNl29Wh+SOg6b5AiNU/Qt34P5UQl4PfVZ1FTZeGB
ZtJQ+qO9uQcAmuPuCrHJqMVDgzHsROZNlSaY2Oe8uCivHbPCgLDE/NzpzWE39w7CRfls7eEVTfus
FeLWTpWDA4vq842QwZXtVaO3Scf/y955LLmtZVn0V/oHUAFvpiBAgmQ6Kp2UE4RMCt5deHx9L2RV
dzwxGZmhHvegKqJe6QmEuzj3nL3XnsYrR8B3q0KCwzWkG1uFhsR9IqtUbVbRpw9YciZ0NlZ6bM3B
AsRXvxR27TGkaf28UoagTyHNvYUpSqgmvEyy4muSXWZwWD2u3USA/RV9uo/l3DrK9mJ+kwqrRChB
qvq13EjmMY9Iq1xk8qViyQBgGBU97yH8Wm+hkrzqnWJ5pFrPPepQdZNazU+TOuoQJgXhXFIzeK21
FDtdba8wwHWPUznrpxG1PIE0FmREEl/2eiFnbt4r+rYlsgs6aa1c2zKoWkTQE/u8afiiWRB/9czu
rqyFJmS12CrdY5By19jh+fimTrSJqj4+hekw/sS7OJ+GBfE2gp6JFXhIOV6yvI6lGX6N616kkJDz
5dEcTUPzMDy/CjGhazCw2f2WGhilGxLguidHTex4O5mdfhoGmb9ovcDAyq6r2YCWWpDUujGxonsF
bvmr3Aw1NC700PzQKC2s+62SEabHpqnPU+kmjfTXrmWNGueu/5Uu06O+qK8OpupvE+7Sjd5Lydcu
m9K9PDdcEhHzDSOP6nXpKuG48dgsQdrIkwtZmptA1Gf31KNIdouJ35FOVnYoHKN9wixrbXDUW8fC
7lmwijH0NWKRd307xqcxV9N9VPJeOKIWW/pWMl1wFQQqA7do40DoRB0CF5y+vB3R0NYh9FL1b1J1
MXFGpd2OLCnYI0Y63NNZ6u+7OuQPC6flwYBycsIgX6FmDbMDQwHmZ1LV+4Sl6be2w+V0G00JvULU
qgcEHswBcoV0j4q+YL+Odx0fMDHGmx7WwBe9D6PTjNr8Pi0xM2CUSIxbujXpLsZZt1N0Ef4ILRY6
nhIpvFFHBxJ3FltW7+rQYUD4hvotu37Vm/lWbKYlgqtZi4Y0PTZMSrEMe9OpzbsQueCurWPtzlKK
6GrUjaewaGj5sWMcMW4MctDHjanuG8GYrO+nfNpgKwt/oA4lYLgeCVTSQJruqjm2f+skz/2WolVC
I7XjUUCx/QENRfGjvtEZ3dGq9jGzOvglnPV6hHJmYv6YfuXwWcCyDFPu42aSIXcrc1AgeLkizEZ/
kKFE+MjV6OxCClZ2tlWKnTHq41dbDYeXkn78ScZaGQyJmpsQcifssFYywHJiMvRTyYA+NliRb5gu
jN8Fjb3rso+cW3a72kPudDO7ydaW/KlRjOOI/PZOG7IViSnsO8KMSsBHxngSIDjupjTubrCqmVfK
ZM3XbeMYx6ymf6k0oIfruTPv61mzofNTizSjRBPHkBm1uA1BXmw/1bA7CcQMJaPTMIN2aZqGl0Ct
3A7hKKP+g/DtxnkV3zdiSH8Zi9kGysAilNGo3PFoGN5kOsa2JuARkzIePA/IXutRwuo+tMDmmI/m
yh2omvhhQWMduRHMooKXJja91LHCjWqVy4FfGz2obEQPczY3R4AzJF9BeG02qVnKqWsUqbNHP25s
KxBYnqVHDE4Qj6NonCq/liNpJ+KMLkZpYuHZ2EwNMFzKnQ+UQuxJkcs5jcaetyENEt8KV3KgKufO
ZmDXHbsTfkO6ZjD3oeY0P8am61jGhuyU4/ffxamMpZNV4AWl6uJXg2UFgIaHV0sul60a2cZRJZBt
hwmf/p8tpTUgyEr50Vkl3ZTcScLfLcl2T3M7jbeoT7LD2x9XS9O4L2Jd7HFBMO9YDGu8HQGa3rZA
pPzBBjnu8wwvXF38kTghaA+8HRJgL90AWgTDpp9Vp0U438k/sqxrn62pa70BD75wdcGw+q3JXDKS
36gtXS29nMJvKSzupyEpit1bK90wltBPFkWmTJaLzdiQDCtPfXYgWOM7CohuTyOPIXrUpwZI60xe
K2uo8Tg9bpxO5vK9dUyF4iTXZjYN14rUAfmdlWoKKpzkqmvXirYXSKvpF9hDcUhbhY6JVZld7+lg
PgKmFvxgeaLR4ySZea9Mrfy1a4fllOgtt65e25gG4By2EmuLdql7DptkY3iYaF+6Ch5wKMo0N+vE
JO1Vmrj1tkbbo1q7hX2uxb8chT+d5al5XwjTOIYKxJHIbFtPbeAt8/ZL9o6tr9hjzM2eMIw4u5IR
y/3aovKNdbRhdyTvRplD33T92LWO0v47yX00LcmHveVsKqcl4jA0pztNzPp3BZawD0F2ORDdDX2R
J3pjyXrnF7pcvqZ8w/dqK7cPYBEgAkR2dGfGUnTbpb1zX6YF4yq9dXaJqMudLTTza8fuF3VqooZX
+Yi+ctMWpbNTscHf0Qmi0yfJw+tQhtJjARUAdXuXKp4tmf+5T1k3hb9nmR876dq4lXX4+AZhBQ9R
mLHIaNl8SIn38iVjSr5Bg7JPDkgLon174xmJrv48CEl/To16vuFLZW7jJpa8OUkkT0JSG7ADqa7J
whZfyMgsfZhRhS9lKKTfrnpnMMSoWtu+VTOZBLwSUaBo06MhQMs3Fc2oEvwymG5F3k5GJR+tJi79
EibFvpg7EIxNoWwmIeu8xJjBDz2EllvypaO9UsRzxhSasRAI/eXkSDrAHZobx4V0wBurhR1TYBPY
KHo3NIzEyuxWbtJib86T+dUJwwE2B9Wtayd8DOVF5/YvzXIN0my5VprW2UTQxIqNPGcxS6CifIG9
/kNkMyOduJn3ah2Wt7BAFg9MUU/INMOnJ3kii9otwRj4Sz+3W0shPj535tTtMyu91bJY2vaamh30
nqinlGjAO8UaJT8U9XTbWC2fbisuux2kLkkDawzvzVOZlST4CWPH59s07J0391qot8i5u7wkfRyI
zENfTeW2Z8GhBkJMd8QA0t020TIgSjGHDerY5XoelfrQhObqWWB25TZZKT38e3pvFwMVs66BaxpY
NuB48mp2Rp26S5sYqWcPDSniAJ13nVLmT2sotV+QCXFAba78wNzITKxoWnzaI11kbB89IFYGoyBX
wkPc8mImqJ1o0Y/LSWQW8O9Rn327m8XentUBF9A81KDhHHOY3G7AH+QSXbucZHPinZc0iAqbkP/x
oEtNBCk/jIerviNlI+SP3qUaiins400YtEqq7xJC2BFLheZuJPFoPaNbK54QJTkMzRme0MHvk+Je
nTLhV4B1/AX56g78WScIRZzVlxmoRcq3obnXBg0jTJZIxygc7nogam6l03MfU+nVZmS/VfTyK1NU
Bc7VHF5xGplHPCIrpxG1Ysu4ffSrPFJ3wPNx7VGXHPXQEP0GTpYFiD6OD/ViEKQZz3dqTcxn1poF
Pn/pJ2DZW5IjtK06jcVatzV7O7aIlVqSh7GKlw1A/yhgtdpxIYaNIuMmiEI6K1Acv0qlJhAZaXD+
GSUTpz6Cv8o0EC2y3REtYNQ6MPma8y1rAx5OT4uDFbu8xrF9XRPwylgUFbVJ5AOiCHgJu2VJCUno
BwNRGsmw7txPgw+CpLqvkbbQHI/kBvuYGh/j1KzvyjIjMTwC+8BXvfjW4sf8WQ+WeW8psIi83K6z
fT/MywG8dka3P+4DiCPG5FVRo9/ptlju0sgU93UE1AjwhDVvpkmA1V9M058sEaIqj+Nd7uAvwYZK
/w+g2CFKFYIUlY7ZtFiKo+JIWrBkWLtIQa0ibay3AA2y7NiWPyjvlW8oWuxrxek7eSNUozoNTSok
V636kThLPJ8dgvVdKhHB0NmYBdWikGsCLKWYgErBXfQAnfzQY70Z8fMv862udOmpNLpq2yez+IZx
DwfFBLXoZradjkDJ2DoQrV4+h7MlQxQpe+1JXr+QpoKPTI7tOJggHBzjxNavY+TKz2WHVmPqmvGQ
G9FwhICb/ez0lBF1TOiOWwGfuwNYVPwqWkveDKaifyd/oFJ5RWrroGSqfiU6ml8miE2srEOps9dt
9R4SRqc/aqVFoFNIKoGbDEN8U0nzazZY9le1skpfdhZ7g4FpAcaTp5t0KCC2GTHYJcFsugf6Mo2e
OQtWsjRPg7QechQrTEc86DvmYWZX4VWxtrijAumhrRfMXcWDlCdfpxIracQq79IlRtPokEqdKfWz
0FINmFJO4xATBQJDg8p4B7y/eKiyorrqllzdCxFSSjHaAkmFDi+DYywFpI5JRcB2yZRe5y7va+YR
xl7pTfupkxrYoHVv79jFwPiSkvAx16Tuio9ifkepmH6fiF14TJus+Vr39WTtasmYFaCcqI4JCjFC
A5k9JY0udeUJ3eZYYqdJphfShFQynHHKHga1f8W9MoJws5WrybFLhM4oE8paNkEQWq1nStnNUg15
5baalO863J6bkVsF0bUeYwbjdXdDhFt0k1IMARnMUwBsttFci8gMN61I1S+8/79WxBqm1m6AcYfW
HepMtxycqu3vMhTqnh7l8dMkCFuRZ0vxlbIITy0BFT80qX7R03Z80efpfumZjW0tE1MUEDMFesfC
yg6PE8Ron98jjx07UDON+GLIhNptQrPdEh8jb5dh6F2DJ56Rb6XvAHtaV2pmziwuorewJDnsTVM1
+mHMRuuSX165BhirrR1N1gNbHb4nkVO8hEwPvTpynknFGI9yrag7/hbVa6amu9cT/ZeV2+J2oJ/8
I1pCrN3ZaCdctzm9dpxl3A0CFr5T2fauWdNhXcnhomih9WwNsf6QDJXYpn3CCyscAh5Kaqo5Np2t
IRm7TovVO/YgT2uaye1UL+YB4AjR5WNn+nVeht+rNdg2F6MdrN45QhXCBYehxC5GBY8VTK0BZXAY
yy/kxkRUuNKpKArYaPZcnMJEMu+sRo48MzXVGyUetN8KZjQSqsbah40THcIy7m9LY4qvciMz7vUV
pxqR6BxK/bcU5xa8a0JdWW79odZqb+km+RSGvRnkY91vqi6rdvOg5fcdK67bT2VNHvYg70TeP2Cm
hOSF5v6g4Wva4W1+QWxnBWkU88WiEDywkEpBoTnDFaWcdRiZet+0UZNR/1bl775Lh8TLu/qH1qQI
+2zAf2wBmjj7sfJZ5aOC+IEwwTD16JYQnxS16kOvSngqJQeP0A0Kwgg+atk0E47IqiZEocRYurFj
4dyUs8gfSpg1bmHMzi5O2gjYl1M8mGr7Ok1dD5SWUkU0mjjIy/gTcllxMHKVqBTDYJNEV5NhaJbu
i8RRfLYTgaSq6YH332BGbz4VEbWxDgaBBJE+h05n/2xRTnmVPIcbmYguBs5j0E/md4styJQuV4aQ
T9RQJp0z2kRSbys/dScfjzqUb99sGGTKGYEMUagEgyOFv2NTM+4MWVJP7eT8biZdeop49R5RcYjY
AxnSoFUTU+iBT7JcqTSg0TlTT+58U3pmFw2uXdIB+Lh//b4Liu/JIiYNFCkMlnMrLehdtRwkm6ay
Tv9ukGjGJXXFM9ns2I8XnwwGLnXLZfwSTHnQzOKV+nMuYE2gicDE0i2v6JZjMDLIHifMO4/q3Pv4
xC4dCj8pkfUGCqR36ZVya9a0H2nMj7EdPZAGxycDktC13H2Kr7k0PsIGgiUafT9HPGuaK5kBWU/j
UCUWmass77LAFCuci4fXbaKp2FV4Lz+ZBlw6P1VB3kYfDiv++UGNJFRUqcJQ+jZ4UHUupSlo2bEn
/WyS8qcJ8t/THF5ohlQWQw5yHf68axmLP4QlSQTFjJLAzUltZ3Gz032m0tHMaX/c1W8jnnyJr3uy
vT6ZsVwaShAiz7AYvQUD4bOnBpJsHctZ1AZ2wXCAootGRjM+fvy8vH8RAMEAzAfZh2CG0dWfJ6kb
da9JFcrHSBF4e6tuZVxlzVUupc0+q53PTOzvT4rjYRVxWNpIcjyfxjVUOvZca01QwKE66uZ8siCF
fvJ2v39IQLysYH66LXir36wi/5gMO5HSLSLLmyDpsA20dZVsqnq4QquR/PXjiMQHnTi2ccXQ9PN1
xAGORbqxXQUMO3EdS+0R3PFDLdKnv75NiqUjq+ZesWDp67v4jzMyYbtojrCqYElkX+TfwbBu0qzc
JAgFPz6S+v6x55T+caizx55to4kdjkP1g0MvDT+FW4wWtsrJGXpiqcrlcTZYIg1aksJrdBpusmjC
b+joJZ9kws5PGcjsiO9r6ZmTcEIvd4FpaKf1odMmaY9xe7mG4EePrSnB90Y0cCl1Oh/Qf9odrAFd
2Fj1NJVAn+WwCazUHc1k+eREz1VijL95qWi1E4KKeMc4H3+TvidpQNm5pm3cPTvF6vMf7C+zaSbf
i6W3Dn2+BpPkiC5hsm2tbGYbM5l704RHbjAsUZo626j9YxFSq3RmvCmrAs2Vjc6cvV5RZQ3uGEKf
mkSzYLSkmroKigZXDKp1kFKp30x6pQeMm0av62x1w3FSj121dZXpaBnSzAk3ExNcIo2I7bOiydOZ
BTtcLRXqirO08g8L3u8nX6sLSwJ4JGXNZyFPA6rKn88aYQUNeoSZ65JK7dUAV2zPXZ8CDLEpKqVQ
G4OPH7n3Egh0a5g5cFsge4Hw8+cBmwpV1FgXVeDYnb6nBYK6OhLdlanV3S60o+4qphvyoCdO9Ff4
mHWJx+lNaUdkMQbod2WAIHNAQgRfBuw856+DOSoviJ2VB0Mx09e/PklmrqxGbD/4z/lqzqiCEnDu
8aENgkblsIIVac62npSWYg/uFWFZy8xrhshJH+3jg19YEFezN6LeNaqF0e+fV9jKop6dYFkGbYge
sRnRyk0R09d0Fp98tN4fCUQJ75OFwgiL77nDmG1ZG6EXzAPVtp/nec0yQ5vPW6Rpf/2YIkBAMIUw
ioIAutCf51S3VdVHUGUY9fWjt5j0QrT0FsazidPL/PW3F1CXIcSieNAVBjvnny1yautSBy0RMOnW
AqmeISCPM23WNtey9pNr+P4F5GCIHRALGMyYzj9fDePa2OwLzkzSH2JNem4W+1c6aQ/RaH6iSljf
5T/VIhyKStHk1Fjzz/lza6rEXErMRrU69zXaF06Frt/KB6j65XCgc/BZVXX5iA7iFBSevHTnnxe9
tuxqPWKjDIfMqb9X5M9qYsWLxCaepV69+vtbhxQHRw1VB0dcr/Y/Pp1GixKpC60skPr+MOdDoOvZ
bWLKnxzmfWGj4z+lWgP+QfVxXuODJZuShL86GCRVepCsUt/XAOb9j0/m/VLJUcASAoIizO5d2tIk
wTBJUyULBHRXl83XhqSA31ZpntKmY8aFowNy/SerpLrqpc+fknXhIFjacFgtz161sFg6ByFYFjgG
8uUV2MO3jnzs68lhcLaA7YfksgripUrPkFYvTk0nWrZ23URGJwlR+XakLCJTpfni9FnmRXVNcbCW
BU2lGkeUKuajo45mgILX+OTXX7wxtrPKoRRc/uc3hikhzEqdV5eGUemnMx4kaaL18PGNubTuGegq
2eWBKn1XchY63pgyqvKg7CxiiqshkDPlwba6z6qWS7cC8TiqShOn8TnwDNG8VtZNyUI01WD+pDDe
T6Y8bT8+m0srEO5LdsZrKgXX7s93ZklllRQWKWOe36buYPGZmgwE2W2b/xhS/e+raDZYyET5ZICE
gMLy5+HsLgEbEPOKzln4a712IjFPhQifPz6rSy8P5lBgOpBXOLGzx3hqsxJ9Py9Pnhj2XTYrdL1D
4xf9z2orIsP+SapqumcD337yqbq05qGI1amrCQV4t+mhmyHHmj5k4C7V266Uvi8pVg8IU+lyz4v4
ydEuPfBse/C/AvuAQnl2NXPO0TLrNgvqqM52Bd7706imkvfxxTwDyq61E6o8LqbK50hD5ny2rjq9
OpEP0sA770f5KSFtdSuhOHaJMVnxT601PqYr0qmvuuG2mcvsxiAqbRfbyKwADWO4i9LaU5qw9/PR
ZkTa9+lnW2jl4pUHe7u+mRpW3rNbLsJWNkbwfAF9Jzp3XfNd6ZwKt7vd7hPLfu4n9IpWHdNXLPEw
ZOOAg8CpXsiD2ixmDW5jLPQ9ulLHNfHJkjbNeXx8IS+8a4yZKEEtIE9rffjnw59b/Aa8klUwlsuv
elHgjtTom8KckfL8/eNjXbgcsJR4sY21d0LV/eexVGXGcmp3lPah8ktGgugVcPOwmJQBudGpT/eq
+6TCuPDSKQpNdCoavljvSuxB5PMk8K8GkDG/QjOSNiqDdFqLYlltYs1jI0ZA3Eo5BH9/rgrU41Xj
SIF4vlLqkoMCiJysgL3aDdgAbKMiP9Egi9w4i55m24j+vm7jgGsbgOxFAp7P7iTvyti1ZDAHkhw1
m1kZGBSSUnEaG6cICpON9MdneOGbw/GooUBroOA+J1YVodDjpOLSTgOey1wXo4epsfEgp1r/l0Nh
qSIKioIRN/yfD05t6UlXlGzRFKcq74y8WVwSAsxj0ivKJ8vXpWdU44VafQhr8+3sGR1QqZQLnYGg
LfqHPq5eDaMhTYD7l0TNye7L7q83RyxgmC5UA+cgFeLZbVPInarUdimDZXWvyThuRC+8mj7AJwe6
sDAjspeBlaJFx8ax3s9/VKL1Qo6EHLIFzCPjGfPvzl6ah08eCY2/46xU++MY56uylGapDqYyQGOr
AAJJ6kNrtMYXtQchAoag5SrKRK2NovZaM40eq1FYzO8Zn/S2yGj+9ZIvyK6D4DUhSgFc5Y/2nAeJ
1glCUfX4BP9t2pQzBsOQKIkdBCUmRZlNSsgQhfvYwPi8ECNzZygC+VzKRO3L4uAglEulzUgeakHn
DU3osIGaots0l6kOKzACZZaI23iy4p0i2hkbJqqpQYuJ6JLEENiZ85BUWbvhCmdbgkgYw8dodwL0
QoVbjUvth2TGo9/LxqtKJ6h8TNJ++/HlvfRs8hW3FJ4TkjDO10+su003mzybKPe+N1P33Y7rW12T
tlpR+YSqVP+H146am2IPQT8WkbN3wYjnsiHWtAyAt6w9p5tRzfZjV35SvL5v+ZGJQCN/7WXSpjtH
T+lTFmticsoAXeepxs+JjMf+2WSPzIWumRFvekN9iUT5yZZJu3xcurRcUTbX5wWZUxcN8doGPZFq
Xr7Gk4xLSOjSCe25nPuMsdnjNEYR+h1mTg+uo8K8qWQhb9RhbyC8NUiz2msyPmil08tNiFaLB67e
MYJgqOSkPwxlYKM+oc7JrCXynE4x6b1YixeRtKdmeruxCQx0sy7VyT5f6shP+T1el9evyLCVu5S4
q11NAuMWRxf/HDzlBqxG6luSpT41mvHZrbi0pptQk3Ew02bQlPWS/WONgEVpFGU2lIHcfZ8x8Li4
S3eZ0g2fPFmX1qJ/HOe8MBrqAfOjAxbJNnKZJDuz3xRAeT5+XS6VNiZZvMwVcOCYbzjvf5yM3ICa
aHRRBthQsE1iymYz/lxlMTLXdv7EdHbxYPQr2bMAiHtX9pqCxagkXA9JjFmwE112g15vEWUhb+yS
Ty7fpYUAWOQK6cCy9674zecZOB7ChgBy2UltCYhRwvm5ysUr7tJTEZufXMmzZNy3apvdA1v+tU3K
0O3sA7y0dc71pU4jIzTGeKEqB3sR416lF+9VmhQHet10G4AC2peEvPBgjtAZR1VSXtuRnW2dSp8f
cfvyRhG8on+WmnHpseU+45GlrbO6yv58bMcpbKUspswZm/pVc6In0o7uc43R7sdP1MXjWBiHqSjN
1cXy53HaQZrjGolMwE60ppvTfS9nafSqXnzyIb1UttKcYo4qr/9lnb2H2uggqkYOFXTIuOMW1dlY
nkRlHFJbuc2r5oGsqU8aFZce4H8c8rxgTRc9RzYjF4E0Truor14dPUdvah5ENXyy59AuPb/sSBmS
UT6yFz7bF3WjrdfLZBUsM+r80sX17xEU5GbIFRukLowsqZaSTcGK7CfNKv+VlFUsJdDhOEP7rNNU
eQ4buw16FRExRhOk/3En7qPFqTy7zPNNEbb2drJG+8k2WDVdk9QyQDXt5C3EiAVLpf6WwfX4VmV7
Uy2/pFV/w3S89jtKvsQeRreYtcTvi1m9r9FB8rFXjU+epktXwVmdurQ4eG7PLVl5XrdtiWQ4WOpl
v8A0dTtZfzZq40jP9LlLiPb6+PG9dItXs8Qb1Mp414evUyWaG4qhIGkcCalKD2GIWEDb06IwD9eY
svzp4yNeOEW+66vb2MEW82536ZizXXSqlgcElOp+LGbzuoyp0GZI3s+pUJYAVdCPj4/55uA8K0IZ
nEOiUXlF2dqePV2RNOdMZvMiMIvF2cREVN3rsTJsSo2kkbjK86daxXOf6gio3lTDb9Clogc50qHs
2UnjiID1kx91oYkJ6pOuz7pqQ/hV/1w6oskgBW3gjSbICHWZFulbNGLatg1Fu3MsE2qJCV4qN9ac
JRFvZmYyiKF1xfv4h2gX1rDVF45BE+Iog7azH0I8eWQWXVLgW041RiOr1DjR8uWE3LE0jtwua9+l
CARxPbRulNNEJpuHOWoi4uFu1EZ5O8+h/DXWKbyhVshfKYuhNI08UpgYsi06G2OHSvZ1Rh/Jkj34
xP3GPvI93RNS2QWx2VhrApTl2dFRrTLtPtPK6ZbXFl8IqK/lObZ755DL1je5n7NPNuaXzp8JGB50
a53QnzeOaLeledtpnH+eTfcxShGAg1PynBAlsf34Wl86FFpItAYrjefdtpWhU9MU62fJqbTYqwEH
U3nAWTuQYxQ9f3yst/t2/tSv3V+N3SufwfPtP4RuYuQgdQY1OSG22zEwxn+x6MouJO/SK61cOSqV
HN51kzreqKoUndROgshEmMOuLuF6vf2g/8c3fIJvWMecfM7/FyXwDt/w/Np2//WUiCgp/+Sd/uff
/B/gqfUvhqYmdGCaOqic1oCf/wBPbfVf2ObX5ir9JaqylYX6Hz6hLv+LgCG6bNQMhDrRH/1fjoMG
JhVnNvoXkofY/5vO33AcKDdZsf544ODCowUBDaHQO39HLI9mgpxLZIr7trD6Y2WXBonRar1qUAiZ
zHVSot2s15QvrSIBsCFUQU4mpIqyMgZZLKTURyJpbUXniHv6S6TXarnzlNhdvothBbkascDVsZqM
Zgv4q8sIg4uNfUveotj2aR8uGyKhR2B87CEMV89wlQ7OnHlGTQ4FmdOH0s565A5zJNyosKNHpWyd
0B0IntgA+f7qjFDsW8JZ4cW18yNxRAskMijQySARok2m5Am9hHIg0pP0hQmgp9+FZGZuFilsvhhz
k1zxryi1J2Rr2NWVdErCOm29eErHdUCGxWYEPIF/WX5ehBiOqSbPDyE2v+0s2vgOPxhcOCK+19ze
Mmt9tTATL2F6vTXRUaJ/ZsR7DwXB2KrahJ0UbotnyY1ydJTkscoqw43sbri2MdrYePU2EoHUpPMh
e3PbRO/uszq17kI4Pid2pmjGKlPoyrZC1gL/lcRDz+lpg9jWoPtqPSi0mHG485szT2s7faNXToHy
2kI8MmnPzM3qQEniK0uf1R2U+NvIXsidVGdZzz00vOpGx1qJfjha9KuOngkFBVmogDeWziU/LWC7
1z3q7Zymbo2LzZcGUoP1dNYKV7Slwf0w+it8ykGXyt+SVDW8nnNB6t49hUSGHpxRPGI61AmTlcsX
BNzzQYlri0LNRsgJQgLdleHlaRR9aUEcld5gVTl0kaK5ycu44FLnhDljUavM26hvzTskdqEnxdbw
LUSefiKUMfXJrJ2uoCC9UrVEs1uusb5IyqM7/EHtYXJyV6SQZBmeT9iXM3R5ihl6fSmFJ0XrvkZt
VW7wL2f7GMBOdBw7OR9OE5EFzXcRRe0Lob797wRJ5MkkAPiYRg1fP1OHq2ugYjRaHKKbbmDi6SJJ
Ede9Kr+Mk97fSDXFqjrKr/C3X6xxJIG9MMpmzzisd/NEk28pepRV8jTb3+wo7h8Wqa/Q/4c5qtgw
7zcwnnoKbr030m1oVmVOgss4vsTRUskeFoyk9lupWS3J1GXuwl32DUzkflK2g3waqiXfZHIsX9WN
QyI20d7haajVu9FQvi2t800W1BLIa3xhyUUdOGZS822x0KPvhpYnRo5U85kPE1uK+lVW+3B24cGj
r+ZrFhj5MNi3ca4zuHVwEBLvoQYRa84X/obItbQ2vmmb5GgThrsnShqwcGXq8bTpo3ZUr1unXaKd
HdLpxwZdfyvIn+m/iA7jj5DbLVInDBfkKriiyeprlNiY7Adz2vays5t1Ld5n2TI0J3VR7SLoQ6XA
QtjP6THT5DTzk7Yuc3eSK+O6NbTQt7QqRjUfKj7y/9HFUih5CtTPZ/KRZoM2zrHEubfOkuNdZueR
G5qqtDXCeXAdeR63pZ7CWJny7OtkaDPcs2Y82om11UvstnW4zgXtln5QJlLjFFdF5tdmNrjmGBcb
e8h0IoeK5pBmGjEEfV/TZ2iJpsSGfT0OxsgVwKj50OSysTc6W1zjsJSexsiL+/zYI+j0ipzdPH3Y
yvYnQku2aX3EX/dVDSfTIxpZ3U9LuND+autjbsjVtfK2kTZ0CdE+/X1V9oze0Kx9Zg42K5VoTmgD
tQf2elClIFB7MREt44Ywz3kXSmFlbZw8y74tqYPJnC3ZkYleCvt5eMkzHFvx0Md484m22q5CERx0
w02+RPPvPl4G/l/L2sZGhN/JSup+x07/px6ajWdaZLy6sVkqXqXK/T4sIJVVkB+A5/cvfFjMLTLx
ISiXZlzVs5VEjkg9jmTpEjr0Uy352vjw/MAsFKGzHSLlPmLXEBCDIx8TGX2dKO10l1vE4sQLdLva
ll3mPTYZrxjblFIaAoyTMugBqLahk8V7/HEIZS1bPprdKLt8se1tW8vqVY+h/TiVVuJPav6FEHkC
3YBT79ZoFxtpXvIbARh4iZkaEogka++oDKjhAczuGwfXvZtGWePJk3YnlGojVROu6/9m71x708a2
MPxXqvkO8v0inRnpQCANadI2baed+YJoYMD4Br4A5tefZ9smxU6azumONNbRsfqlTbpsL++99rq9
7zLZojcrsFa3nnJwhn6w6YFIYOi0qXnqhEEL0/E+314faCofKcdDOmfuNQPlyXiOYErbvMl0KLaP
ubG6So7uV6BOIbNxkvnWXeaj3N9/DUMQR4paqKM857hRk9WVk6TL1/k+0C/CqXNLD9ldlkb6rR5q
ZE6Bmb1nHlM4Tnrp7bJY3+VK2nu/X63fHdDrZHowNXZjcLu0wyMMET6YgoPH3KyBtUutsXlMEyY+
u3CTm7s8GwI4Kz4ZPhgjwre9cbcFhmFNjuusyG+KVFnGIwie1GSgeQedubOKzkS8gbGPC2VEq/JR
Ga2mzDH6AOu62/uyT7VDceExhgTkp8l0DWXnRzZMeL4aBMbIzlRoAzam98G0EzGbcHfElUn9wLjd
+fQlg2VQ9YG2XtN/qKhJuChi9UAjPdPw3mpM6cS1p5z4WYdj4nPICPuJDZr3Ot9G6eWW9FAGQMc+
kKIr/N1Esfw9pj8Aj37YrbLXEPsdRypDEKkw9KxZsXbWF/ByAU5S3FwfME81vHOOuTcJlTCFWtSE
T9jdjwtAR/OtBoECJMvmu7RwtsxF3zKiO8nWJDoizKsP/jCBAYhJbStlufzdKKYbJrqHTC7e+ClO
R8hoGcFZuQNKa+aMps9V8tdw7O3BS27062STh6tRpiUb8NNakbuQr693CsgyzraBA3MD3At2TpQB
SG4Cd0e0ZK5juoOFclXk1wGM1Fc9gDo4flMlZ7SJbrhvVbNnZUBijltv7JtbFzCne0wuVnoO28py
q/yRmuuVCtRDWb8HgrK9W7trykZkEuiiVoksU296GCcMKKPzbnXYgYg97JQB9AF2OrCTIvsc0P19
MQX0/SZcOyEk7Hz8L0fdM8ZWal7q2TTfDrxjlhcgO0R7rO8B1QIv+Xrp9fa7AaOGlyMahcNbg9Fi
glHe3pJPIpl1BcpJ+QzV7HoI2cR0NVzmOrnNTWFEO5YLgEQvybIvGO8j9CGpdR276lfDBoJfwK4W
Dvii0y2MhApMRW7iM0Y2y9cFEbipDbPMOm4gqF+Fb6MtUBT4j1f5KDNhIzGBQLr7MHuzz23zylo5
MOZGNIW/TwPI60epGQWXRmQlI5ePNnHyFA6ZIDKK+WHqrP508bk/aYVlX09ha7YYjLWz3wBlj6yL
6VJdujchFcOhVthfslBPPxdT2A+tpWmMg95xOdQOpgJcqjgmwxQ+hz90ZqEzStLZJFTkbOxAoLk3
oGiLBXQigsvQU2fYU2/i7XvqqNga1hcoHNNi6CehPR33tt4KjgvlSCtyBuy1ACp5l6uxPjItpqzE
he2PwFrCenoI8xFM5bvro73b3xYMxblLbT8RQ0YOw7Xpa4PY36xmBWywW8CfsTFWPdADg426SUbU
Z7JhGB88gbTbjnrWyhprZAnnWqQd3mxS73jrbI+bD5u9aptgsRlxHmdq+tGNlODLUlWC5YVZrN1J
XCynEw+a8omymW5pwTa31wqD6t/rx2w/3Cub+Eo7KtyAqUNwMRqbURHZKr6/Yo1Mcwryy85WPqY5
jMZ7a2NeroNedHVQ8MU3YJY+xvSlAtpPSDtt12890j7M3g13t2syz9cYid0FG5DNYu80HBYsn+4n
cBj3tpuRH66tUWGoIejjXbEdiLomHoOxvmZu3HQUhAqYCjcL7le+ZcJRx9xkUqm59dcO8o+5FR5W
zpBBoYebHcSu+nifGHGV/Ph//P/D+J8OvGfj/yImDbM8J3BkbIn4P6fJBIoB4yI96RahvULulBi+
jvxpuBBkjLBHiN4q/ZzA0eyLBmHRIUHOU7RKPAT+5AQwedQ44YcW6BcSpr/9q8Eclrb+fj5mpFW6
gyWQ8Tu0dtGuQBuBW+YXz6pq03yveiYszLd5OF+m0FgFX8+08a7KIJzfgBc/zys8uoHIYp/dIDkA
2tgcuIGztgb0aw1yd+btbj1SueH8+VuVFeyzHIYCqb9jQppN0gy+Qfp0m/cq1FQl4wo/1doMYHDa
UCKALNGCUNnR/K35Z7o+LB2mSk+dTLmEXzjtHZlkYxZeNKHld7sM57DfOvaSgNJYKa59OU2WymUB
ZJAiguJ44Zs8MWCwulYscvxB6q6nyUcHmpprC5an6cdim43XmmdOKOpS7iUC9QbFerqlywRbtRw4
emJC+b6zepyB+53uZsCrQ8CdHwBJLHeMcODsseMLHoJz3bMKDQRvrk0SdeN9Kg4Bp/B0m9uwvBXB
fhzuvEAPr+0MdggTDpdbBxTd/s9erFgDv7cMoazgtB+CWjH0t0bP3hyv15m76n1gCLTHnBhQ77A4
b4aZv4ag5NIOEq/uVfyfsRr1i4ik3ijKvKx4ny+S4m6RwtLxsIvET99R28w+xj/3S6ft+LSgmgz2
B3YIxJ7TtkPlQ5VP/JyMgDH28KnBNCvGJ+Fi0rD6y6sgjpicW/5zj2FMMKtSaHXBXoqLPiASnmfK
+d7rP/9mlR6f/53nnnxRfpKr+a+/kOCnAtNIwv7XL+/2sZjMoeT1q6ulBLNPmZ/GbtrfyosEabeU
AIhD9E7LacHuY+lhj7Ls6i05VxpLwekLIACN+fXPO7cUaHkWU3qktAA9ssDEqLRVgtfj4i3PtaAq
bt8yUBRNLf/QKriP8ygTpmjpxdG5c1GCQf7O27cknJkBtw+2BJQpYLWn3t5lp6h0oTyYg39KB98d
RVfV+f6OEloizpQgRslB6U/ppFIC9qW5BMy+adANa3VuB9DxKUpEcq9v9h2KRpQzgUiIC6f0/PUd
q0+NCj5l+5t6uGGHjgT83+rLVK7vw9n635yHWt+m8QcgJSdr6+3BI4gec1RUXv+QFWgt328Houoa
0kvA6HPk0+JGua+8WkoQwQnaAd1iUmXkqk7gDi0BQirpA9HgJenyY7JHpQQxhvF8KcCxT78s+ScU
UV6dMweg6GTPQ2rJAG8oTsP1dPrU50ogEd4XpsAGsFppoXv7wZR2EI0+a4C2JuAW5dVaCa7WJ04G
7MJMwPLqnINIrphnljoX2A6mTYs43tGTK8HGZOo0xar1CdQla2AQy8u+vtKneV04hsqTa4BWDX5C
KtT45jp17FiERI6zXGoRaE6fUUdgQuvNLuzLuTlACwSjusFkkWqRdM4mqngt0qESbTkGS91wcTXE
1fIQHb1PxgyMNimu8uqeFphfJusjGUafceYKPeL1YmhZRZqF6F5iSxA0du5QoNlA2iAqfTKjIhyq
vaT2XnD7NF7COuZ8Syt0yyIAWKwTOhKeMsEQpE6GGENSXq294JJWqNLRddqg8kg6dDrwkRxZu6i7
fTwkejFPHgCbq2EXrT4nIxogcCivDu4I0AeSp4Oh9UH9AvQ2nk6euDprAdw9OORKC2T8O7YjQNtJ
e4vsCIDggvGp8hRa0ZONXaAWwezOKnhSOqcFjnfBzSHlKZBRZg4SGB279ofadsHh9CCZRLrpQUvd
WgsQKQhsjJwWsH6gqKBjrNMFrTPSMbELEP9BNNhVuwCeQ9ZT0KlLOrhKEIlU37p1Uroq8RUkICBH
qp93Lq0oCK1ktYB1JFAmswq+vbxaa4F8AqARcku1He7QEcmoXkF5IbUVKE6rwN9dqrDVUm/lFW28
RRvoMbMHu7oISHZUtvrn3SWcZodmQ5fi/JOLAIMArZOLp1D/vHOHg6Amk3WXDJFDBtFAb0O1FtqH
gyEQDDrxanWnDm0FHcJ82UWAt8gsO5uKY+00t7ZCmV+FJxBwWwc/P1RxkqZAJ1cCdobdXm/11nng
kFMUJDrk37vqJ0KVIK0FPCDwHVA0Pm0QRVYRzwASiNoUdC5m4MAGWyR5LJBWJHssdsOTxwIlR1wH
KC1Pacfu7QjsVPVpfv5YEBbBhLD7IWZo+QaQ7rAlCBoAbpdqqtzzDtlFMqzMC5ZcC3of9BlO4ulb
t6JoUXERVhMv4mGtdCtmwFGSzrHqRl8QSVFRqXdESwsQmPRVUipUaDu4CogdZVeBxlhrVzNEkbW8
Wu9vm9TlFIV1UufdOmcR4FORr8GqNB3BgAXfVqWFtouExUBDhNffIsuu7QVw+bJrwSaTDs6VVtba
VWjm1dANahK16lPUUN6wS3bRYKHKakFnR0CfAYb9aS1oSp/aI3zIgrC9Y6sAR046clbID1CDroOF
R/UW2+4zWYDBN2e1uW5pAYOgStcbOBdITwocdrUKWnlFsRc4hYmr6taHDu0C8f7SuTR2AbhSzsba
IrbOBUesEkpuRE+Vfrp3LhA6yUYNJBBoy2aohdl6fervkHtaMM7WprJz4QKVMDEcgZ35844y/ZnQ
itKiCO1BebU3QWkKRea2jqqqG3ZpK1glQZmcFsiV8ZXp+q1TiY8DaNh/KdTDR3tyof6uQfwbqnro
fx+uvGBedr57i/SpBvnv/cJpCTz+ed31LVq7RT9r4xdFI3x176rdTfz9t0YjXNmGePbDU1tieZ/6
v9cv+PjWjXud3ur0j6+9RTJL7ldF+YOifszbWUj3/L+D2ddZODvvxcVEsT+/PcmvvzSe82wX/EBw
6rfkivkh0nIT7xhHTcFl26C8YH8WpbP09IjiM4LVZBPKSh7OAu+vGEbQxlNXHW7SsuMgTmbz+PSU
4qmrRmJ5yVG0uM+8+zxrCC/bsWSFXyyCGdPIF+eSKziEtGQvzRLvPnsV//UKmFMefm2qXYwYO931
SXTKg3V7bnWP0bo3b3xPjnYRP8s+/+UihnWnKZmQkWhEVvJrNO55Jznl8oauC09DVvDVfLZqLEC1
atGRlguZVsSgstMTlo9cdb9Ii47m3qxlRapeCmnJ8b758YyyOUFW7PVj21RVuqUFIyC/94uGkqvy
sazoN3HupY/UXBVlZWXfzLyoYT0ourzE8XIzS4pgFs3P1VGj1OQfOU1n96s8XWRZY03XFVpp+d49
5PCzJq6mqvvJi+YsSOOssbLrapq87DT1+ANpckPpalmseQnpUJu2RYsKiLToOII7taWSEsYlK/l2
8TWZtbynumAhL3o3a55bxN2iBiAveP/q9SzcpCuveazX2fWXkD9ZJOmiYanq6v5LCL9ZHLz7xjFW
Z8RfQvgfceKfdCyOMUSL1Jq06Jgh26+GsyTmpGyuxKob7GVucDHz23sfHsAXcEneMnzhpIVSLVW3
u+xTv/UDPJJmVFM3jEqLThbLNnSxzJLKCn63iCKmiOxmrTABPimRhJQVf7eK54tXV+mjs61CG8mK
/8BA+KcXYp0+e5kbPF6IdXZSVvxHtL9I00XDpaghifKyD82osq6xyMr9lM1Wp4UhNk/d3iEr9vdF
wpzDRsxHTVMk/6QlP8UnWsG/ZUV/nnHuREtoLk+PWWqkytpJC/8RGWqJ6P/5YPKzl97HUeo1n73K
tUk/+/eJXJ596qcyTQ9I2cf5pxMpwlP/rZlcE79xHyxmyW//AQAA//8=</cx:binary>
              </cx:geoCache>
            </cx:geography>
          </cx:layoutPr>
        </cx:series>
      </cx:plotAreaRegion>
    </cx:plotArea>
    <cx:legend pos="r" align="min" overlay="0">
      <cx:spPr>
        <a:solidFill>
          <a:schemeClr val="accent2">
            <a:lumMod val="75000"/>
          </a:schemeClr>
        </a:solidFill>
      </cx:sp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microsoft.com/office/2014/relationships/chartEx" Target="../charts/chartEx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image" Target="../media/image1.jpeg"/><Relationship Id="rId2" Type="http://schemas.openxmlformats.org/officeDocument/2006/relationships/chart" Target="../charts/chart5.xml"/><Relationship Id="rId1" Type="http://schemas.microsoft.com/office/2014/relationships/chartEx" Target="../charts/chartEx3.xml"/><Relationship Id="rId6" Type="http://schemas.microsoft.com/office/2014/relationships/chartEx" Target="../charts/chartEx4.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95250</xdr:colOff>
      <xdr:row>1</xdr:row>
      <xdr:rowOff>85724</xdr:rowOff>
    </xdr:from>
    <xdr:to>
      <xdr:col>15</xdr:col>
      <xdr:colOff>133350</xdr:colOff>
      <xdr:row>36</xdr:row>
      <xdr:rowOff>66674</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7E74F791-482E-4208-B64E-11E87B42B68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333875" y="247649"/>
              <a:ext cx="5524500" cy="56483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933450</xdr:colOff>
      <xdr:row>9</xdr:row>
      <xdr:rowOff>95250</xdr:rowOff>
    </xdr:from>
    <xdr:to>
      <xdr:col>9</xdr:col>
      <xdr:colOff>523875</xdr:colOff>
      <xdr:row>26</xdr:row>
      <xdr:rowOff>85725</xdr:rowOff>
    </xdr:to>
    <xdr:graphicFrame macro="">
      <xdr:nvGraphicFramePr>
        <xdr:cNvPr id="2" name="Chart 1">
          <a:extLst>
            <a:ext uri="{FF2B5EF4-FFF2-40B4-BE49-F238E27FC236}">
              <a16:creationId xmlns:a16="http://schemas.microsoft.com/office/drawing/2014/main" id="{615ACE3B-11D0-4232-8CA9-22DAA91340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76200</xdr:colOff>
      <xdr:row>2</xdr:row>
      <xdr:rowOff>9525</xdr:rowOff>
    </xdr:from>
    <xdr:to>
      <xdr:col>5</xdr:col>
      <xdr:colOff>76200</xdr:colOff>
      <xdr:row>16</xdr:row>
      <xdr:rowOff>66675</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3881C25D-6DEB-42E9-BC48-E7206E51EDA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876425" y="276225"/>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238125</xdr:colOff>
      <xdr:row>4</xdr:row>
      <xdr:rowOff>28575</xdr:rowOff>
    </xdr:from>
    <xdr:to>
      <xdr:col>12</xdr:col>
      <xdr:colOff>542925</xdr:colOff>
      <xdr:row>20</xdr:row>
      <xdr:rowOff>104775</xdr:rowOff>
    </xdr:to>
    <xdr:graphicFrame macro="">
      <xdr:nvGraphicFramePr>
        <xdr:cNvPr id="3" name="Chart 2">
          <a:extLst>
            <a:ext uri="{FF2B5EF4-FFF2-40B4-BE49-F238E27FC236}">
              <a16:creationId xmlns:a16="http://schemas.microsoft.com/office/drawing/2014/main" id="{8EF5D94D-7424-475F-9A1E-1A1D1146CB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238125</xdr:colOff>
      <xdr:row>2</xdr:row>
      <xdr:rowOff>114300</xdr:rowOff>
    </xdr:from>
    <xdr:to>
      <xdr:col>10</xdr:col>
      <xdr:colOff>428625</xdr:colOff>
      <xdr:row>23</xdr:row>
      <xdr:rowOff>114301</xdr:rowOff>
    </xdr:to>
    <xdr:graphicFrame macro="">
      <xdr:nvGraphicFramePr>
        <xdr:cNvPr id="2" name="Chart 1">
          <a:extLst>
            <a:ext uri="{FF2B5EF4-FFF2-40B4-BE49-F238E27FC236}">
              <a16:creationId xmlns:a16="http://schemas.microsoft.com/office/drawing/2014/main" id="{83985ECD-52DB-49E9-B1C2-9A466185A5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223836</xdr:colOff>
      <xdr:row>7</xdr:row>
      <xdr:rowOff>28575</xdr:rowOff>
    </xdr:from>
    <xdr:to>
      <xdr:col>14</xdr:col>
      <xdr:colOff>285749</xdr:colOff>
      <xdr:row>24</xdr:row>
      <xdr:rowOff>19050</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E7E0586F-96A3-46B4-ABF0-F8E37C3FE0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81511" y="1162050"/>
              <a:ext cx="4938713"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561975</xdr:colOff>
      <xdr:row>3</xdr:row>
      <xdr:rowOff>85725</xdr:rowOff>
    </xdr:from>
    <xdr:to>
      <xdr:col>10</xdr:col>
      <xdr:colOff>257175</xdr:colOff>
      <xdr:row>20</xdr:row>
      <xdr:rowOff>76200</xdr:rowOff>
    </xdr:to>
    <xdr:graphicFrame macro="">
      <xdr:nvGraphicFramePr>
        <xdr:cNvPr id="2" name="Chart 1">
          <a:extLst>
            <a:ext uri="{FF2B5EF4-FFF2-40B4-BE49-F238E27FC236}">
              <a16:creationId xmlns:a16="http://schemas.microsoft.com/office/drawing/2014/main" id="{47ACA806-1F1B-46F4-AF08-9FC7391F26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5</xdr:row>
      <xdr:rowOff>114301</xdr:rowOff>
    </xdr:from>
    <xdr:to>
      <xdr:col>5</xdr:col>
      <xdr:colOff>380997</xdr:colOff>
      <xdr:row>30</xdr:row>
      <xdr:rowOff>133350</xdr:rowOff>
    </xdr:to>
    <mc:AlternateContent xmlns:mc="http://schemas.openxmlformats.org/markup-compatibility/2006">
      <mc:Choice xmlns:cx2="http://schemas.microsoft.com/office/drawing/2015/10/21/chartex" Requires="cx2">
        <xdr:graphicFrame macro="">
          <xdr:nvGraphicFramePr>
            <xdr:cNvPr id="3" name="Chart 2">
              <a:extLst>
                <a:ext uri="{FF2B5EF4-FFF2-40B4-BE49-F238E27FC236}">
                  <a16:creationId xmlns:a16="http://schemas.microsoft.com/office/drawing/2014/main" id="{4D444617-2A27-4CEF-B796-6228F3DD4B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923926"/>
              <a:ext cx="3428997" cy="406717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409575</xdr:colOff>
      <xdr:row>17</xdr:row>
      <xdr:rowOff>114299</xdr:rowOff>
    </xdr:from>
    <xdr:to>
      <xdr:col>10</xdr:col>
      <xdr:colOff>476250</xdr:colOff>
      <xdr:row>30</xdr:row>
      <xdr:rowOff>38099</xdr:rowOff>
    </xdr:to>
    <xdr:graphicFrame macro="">
      <xdr:nvGraphicFramePr>
        <xdr:cNvPr id="5" name="Chart 4">
          <a:extLst>
            <a:ext uri="{FF2B5EF4-FFF2-40B4-BE49-F238E27FC236}">
              <a16:creationId xmlns:a16="http://schemas.microsoft.com/office/drawing/2014/main" id="{F05A7B10-2B43-4821-BC78-378C02DFC7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495301</xdr:colOff>
      <xdr:row>3</xdr:row>
      <xdr:rowOff>95251</xdr:rowOff>
    </xdr:from>
    <xdr:to>
      <xdr:col>16</xdr:col>
      <xdr:colOff>38100</xdr:colOff>
      <xdr:row>13</xdr:row>
      <xdr:rowOff>85725</xdr:rowOff>
    </xdr:to>
    <xdr:graphicFrame macro="">
      <xdr:nvGraphicFramePr>
        <xdr:cNvPr id="8" name="Chart 7">
          <a:extLst>
            <a:ext uri="{FF2B5EF4-FFF2-40B4-BE49-F238E27FC236}">
              <a16:creationId xmlns:a16="http://schemas.microsoft.com/office/drawing/2014/main" id="{84C6A1EA-6C36-4ECF-A9D2-3CD60E25FB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466724</xdr:colOff>
      <xdr:row>17</xdr:row>
      <xdr:rowOff>114300</xdr:rowOff>
    </xdr:from>
    <xdr:to>
      <xdr:col>16</xdr:col>
      <xdr:colOff>95249</xdr:colOff>
      <xdr:row>30</xdr:row>
      <xdr:rowOff>28575</xdr:rowOff>
    </xdr:to>
    <xdr:graphicFrame macro="">
      <xdr:nvGraphicFramePr>
        <xdr:cNvPr id="13" name="Chart 12">
          <a:extLst>
            <a:ext uri="{FF2B5EF4-FFF2-40B4-BE49-F238E27FC236}">
              <a16:creationId xmlns:a16="http://schemas.microsoft.com/office/drawing/2014/main" id="{8F76B1E0-0554-4F22-ACFB-2B267AD95C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400050</xdr:colOff>
      <xdr:row>2</xdr:row>
      <xdr:rowOff>133349</xdr:rowOff>
    </xdr:from>
    <xdr:to>
      <xdr:col>11</xdr:col>
      <xdr:colOff>504826</xdr:colOff>
      <xdr:row>17</xdr:row>
      <xdr:rowOff>104773</xdr:rowOff>
    </xdr:to>
    <xdr:graphicFrame macro="">
      <xdr:nvGraphicFramePr>
        <xdr:cNvPr id="15" name="Chart 14">
          <a:extLst>
            <a:ext uri="{FF2B5EF4-FFF2-40B4-BE49-F238E27FC236}">
              <a16:creationId xmlns:a16="http://schemas.microsoft.com/office/drawing/2014/main" id="{AAD7DD1D-9C2E-47D7-B2AB-3A7136D696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504826</xdr:colOff>
      <xdr:row>12</xdr:row>
      <xdr:rowOff>28575</xdr:rowOff>
    </xdr:from>
    <xdr:to>
      <xdr:col>16</xdr:col>
      <xdr:colOff>66676</xdr:colOff>
      <xdr:row>17</xdr:row>
      <xdr:rowOff>104774</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E22B71DC-F2F8-4C43-8019-460C6C6373C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7210426" y="1971675"/>
              <a:ext cx="2609850" cy="885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11</xdr:col>
      <xdr:colOff>523875</xdr:colOff>
      <xdr:row>0</xdr:row>
      <xdr:rowOff>28575</xdr:rowOff>
    </xdr:from>
    <xdr:to>
      <xdr:col>16</xdr:col>
      <xdr:colOff>0</xdr:colOff>
      <xdr:row>3</xdr:row>
      <xdr:rowOff>76200</xdr:rowOff>
    </xdr:to>
    <mc:AlternateContent xmlns:mc="http://schemas.openxmlformats.org/markup-compatibility/2006" xmlns:a14="http://schemas.microsoft.com/office/drawing/2010/main">
      <mc:Choice Requires="a14">
        <xdr:graphicFrame macro="">
          <xdr:nvGraphicFramePr>
            <xdr:cNvPr id="27" name="Year 1">
              <a:extLst>
                <a:ext uri="{FF2B5EF4-FFF2-40B4-BE49-F238E27FC236}">
                  <a16:creationId xmlns:a16="http://schemas.microsoft.com/office/drawing/2014/main" id="{9E74B464-23A1-4919-8F3F-3DF335242E0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7229475" y="28575"/>
              <a:ext cx="2524125" cy="533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142875</xdr:colOff>
      <xdr:row>0</xdr:row>
      <xdr:rowOff>28575</xdr:rowOff>
    </xdr:from>
    <xdr:to>
      <xdr:col>11</xdr:col>
      <xdr:colOff>504825</xdr:colOff>
      <xdr:row>2</xdr:row>
      <xdr:rowOff>133350</xdr:rowOff>
    </xdr:to>
    <xdr:sp macro="" textlink="">
      <xdr:nvSpPr>
        <xdr:cNvPr id="31" name="Rectangle: Rounded Corners 30">
          <a:extLst>
            <a:ext uri="{FF2B5EF4-FFF2-40B4-BE49-F238E27FC236}">
              <a16:creationId xmlns:a16="http://schemas.microsoft.com/office/drawing/2014/main" id="{03F9E84B-BCD7-44EE-AEB3-F2DCACA25AE2}"/>
            </a:ext>
          </a:extLst>
        </xdr:cNvPr>
        <xdr:cNvSpPr/>
      </xdr:nvSpPr>
      <xdr:spPr>
        <a:xfrm>
          <a:off x="142875" y="28575"/>
          <a:ext cx="7067550"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xdr:from>
      <xdr:col>0</xdr:col>
      <xdr:colOff>361950</xdr:colOff>
      <xdr:row>30</xdr:row>
      <xdr:rowOff>28575</xdr:rowOff>
    </xdr:from>
    <xdr:to>
      <xdr:col>16</xdr:col>
      <xdr:colOff>314325</xdr:colOff>
      <xdr:row>42</xdr:row>
      <xdr:rowOff>85725</xdr:rowOff>
    </xdr:to>
    <xdr:sp macro="" textlink="">
      <xdr:nvSpPr>
        <xdr:cNvPr id="33" name="Rectangle: Rounded Corners 32">
          <a:extLst>
            <a:ext uri="{FF2B5EF4-FFF2-40B4-BE49-F238E27FC236}">
              <a16:creationId xmlns:a16="http://schemas.microsoft.com/office/drawing/2014/main" id="{59691C9F-AD28-47E9-8DE2-7DBBFF384106}"/>
            </a:ext>
          </a:extLst>
        </xdr:cNvPr>
        <xdr:cNvSpPr/>
      </xdr:nvSpPr>
      <xdr:spPr>
        <a:xfrm>
          <a:off x="361950" y="4886325"/>
          <a:ext cx="9705975" cy="2000250"/>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r>
            <a:rPr lang="en-US"/>
            <a:t>The</a:t>
          </a:r>
          <a:r>
            <a:rPr lang="en-US" baseline="0"/>
            <a:t> least profit was made from fasteners, supplies, labels, envelopes and art and i recommend that a win price game should be attached to the products to attract more customers and increase higher purchase.</a:t>
          </a:r>
        </a:p>
        <a:p>
          <a:endParaRPr lang="en-US" baseline="0"/>
        </a:p>
        <a:p>
          <a:r>
            <a:rPr lang="en-US" baseline="0"/>
            <a:t>I also recommend that the phones which had the highest sales and profit should be increased in quauntity for more sales and profit.</a:t>
          </a:r>
          <a:endParaRPr lang="en-US"/>
        </a:p>
      </xdr:txBody>
    </xdr:sp>
    <xdr:clientData/>
  </xdr:twoCellAnchor>
  <xdr:oneCellAnchor>
    <xdr:from>
      <xdr:col>1</xdr:col>
      <xdr:colOff>47625</xdr:colOff>
      <xdr:row>0</xdr:row>
      <xdr:rowOff>95250</xdr:rowOff>
    </xdr:from>
    <xdr:ext cx="8626556" cy="298800"/>
    <xdr:sp macro="" textlink="">
      <xdr:nvSpPr>
        <xdr:cNvPr id="4" name="Rectangle 3">
          <a:extLst>
            <a:ext uri="{FF2B5EF4-FFF2-40B4-BE49-F238E27FC236}">
              <a16:creationId xmlns:a16="http://schemas.microsoft.com/office/drawing/2014/main" id="{22A3390D-7FF1-4545-9BAF-B5E483104BE1}"/>
            </a:ext>
          </a:extLst>
        </xdr:cNvPr>
        <xdr:cNvSpPr/>
      </xdr:nvSpPr>
      <xdr:spPr>
        <a:xfrm>
          <a:off x="657225" y="95250"/>
          <a:ext cx="8626556" cy="298800"/>
        </a:xfrm>
        <a:prstGeom prst="rect">
          <a:avLst/>
        </a:prstGeom>
        <a:noFill/>
      </xdr:spPr>
      <xdr:txBody>
        <a:bodyPr wrap="square" lIns="91440" tIns="45720" rIns="91440" bIns="45720">
          <a:spAutoFit/>
          <a:scene3d>
            <a:camera prst="orthographicFront"/>
            <a:lightRig rig="harsh" dir="t"/>
          </a:scene3d>
          <a:sp3d extrusionH="57150" prstMaterial="matte">
            <a:bevelT w="63500" h="12700" prst="angle"/>
            <a:contourClr>
              <a:schemeClr val="bg1">
                <a:lumMod val="65000"/>
              </a:schemeClr>
            </a:contourClr>
          </a:sp3d>
        </a:bodyPr>
        <a:lstStyle/>
        <a:p>
          <a:pPr algn="ctr"/>
          <a:r>
            <a:rPr lang="en-US" sz="1400" b="1" cap="none" spc="0">
              <a:ln/>
              <a:solidFill>
                <a:schemeClr val="accent3"/>
              </a:solidFill>
              <a:effectLst/>
            </a:rPr>
            <a:t>SUPREME</a:t>
          </a:r>
          <a:r>
            <a:rPr lang="en-US" sz="1400" b="1" cap="none" spc="0" baseline="0">
              <a:ln/>
              <a:solidFill>
                <a:schemeClr val="accent3"/>
              </a:solidFill>
              <a:effectLst/>
            </a:rPr>
            <a:t> SUPERMARKET DASHBOARD</a:t>
          </a:r>
          <a:endParaRPr lang="en-US" sz="1400" b="1" cap="none" spc="0">
            <a:ln/>
            <a:solidFill>
              <a:schemeClr val="accent3"/>
            </a:solidFill>
            <a:effectLst/>
          </a:endParaRPr>
        </a:p>
      </xdr:txBody>
    </xdr:sp>
    <xdr:clientData/>
  </xdr:oneCellAnchor>
  <xdr:twoCellAnchor editAs="oneCell">
    <xdr:from>
      <xdr:col>4</xdr:col>
      <xdr:colOff>270429</xdr:colOff>
      <xdr:row>0</xdr:row>
      <xdr:rowOff>85724</xdr:rowOff>
    </xdr:from>
    <xdr:to>
      <xdr:col>5</xdr:col>
      <xdr:colOff>85724</xdr:colOff>
      <xdr:row>2</xdr:row>
      <xdr:rowOff>123824</xdr:rowOff>
    </xdr:to>
    <xdr:pic>
      <xdr:nvPicPr>
        <xdr:cNvPr id="34" name="Picture 33" descr="Supermarket Logo Stock Illustrations – 34,617 Supermarket ...">
          <a:extLst>
            <a:ext uri="{FF2B5EF4-FFF2-40B4-BE49-F238E27FC236}">
              <a16:creationId xmlns:a16="http://schemas.microsoft.com/office/drawing/2014/main" id="{79FC0CF7-0BAC-4FC9-A34D-59DFB14EFD3C}"/>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flipV="1">
          <a:off x="2708829" y="85724"/>
          <a:ext cx="424895" cy="36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133350</xdr:colOff>
      <xdr:row>2</xdr:row>
      <xdr:rowOff>142875</xdr:rowOff>
    </xdr:from>
    <xdr:to>
      <xdr:col>1</xdr:col>
      <xdr:colOff>581025</xdr:colOff>
      <xdr:row>5</xdr:row>
      <xdr:rowOff>85725</xdr:rowOff>
    </xdr:to>
    <xdr:sp macro="" textlink="">
      <xdr:nvSpPr>
        <xdr:cNvPr id="14" name="Rectangle: Rounded Corners 13">
          <a:extLst>
            <a:ext uri="{FF2B5EF4-FFF2-40B4-BE49-F238E27FC236}">
              <a16:creationId xmlns:a16="http://schemas.microsoft.com/office/drawing/2014/main" id="{C24528F4-DAE0-4CF1-AC8F-F56CB05E64E5}"/>
            </a:ext>
          </a:extLst>
        </xdr:cNvPr>
        <xdr:cNvSpPr/>
      </xdr:nvSpPr>
      <xdr:spPr>
        <a:xfrm>
          <a:off x="133350" y="466725"/>
          <a:ext cx="1057275"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 $15,222</a:t>
          </a:r>
        </a:p>
      </xdr:txBody>
    </xdr:sp>
    <xdr:clientData/>
  </xdr:twoCellAnchor>
  <xdr:twoCellAnchor>
    <xdr:from>
      <xdr:col>1</xdr:col>
      <xdr:colOff>600074</xdr:colOff>
      <xdr:row>2</xdr:row>
      <xdr:rowOff>142875</xdr:rowOff>
    </xdr:from>
    <xdr:to>
      <xdr:col>3</xdr:col>
      <xdr:colOff>476249</xdr:colOff>
      <xdr:row>5</xdr:row>
      <xdr:rowOff>85725</xdr:rowOff>
    </xdr:to>
    <xdr:sp macro="" textlink="Kpis!A2">
      <xdr:nvSpPr>
        <xdr:cNvPr id="18" name="Rectangle: Rounded Corners 17">
          <a:extLst>
            <a:ext uri="{FF2B5EF4-FFF2-40B4-BE49-F238E27FC236}">
              <a16:creationId xmlns:a16="http://schemas.microsoft.com/office/drawing/2014/main" id="{BEB2C4FF-9929-40D1-BE70-0A02B8E39908}"/>
            </a:ext>
          </a:extLst>
        </xdr:cNvPr>
        <xdr:cNvSpPr/>
      </xdr:nvSpPr>
      <xdr:spPr>
        <a:xfrm>
          <a:off x="1209674" y="466725"/>
          <a:ext cx="1095375"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$200,924</a:t>
          </a:r>
        </a:p>
      </xdr:txBody>
    </xdr:sp>
    <xdr:clientData/>
  </xdr:twoCellAnchor>
  <xdr:twoCellAnchor>
    <xdr:from>
      <xdr:col>3</xdr:col>
      <xdr:colOff>476251</xdr:colOff>
      <xdr:row>2</xdr:row>
      <xdr:rowOff>133350</xdr:rowOff>
    </xdr:from>
    <xdr:to>
      <xdr:col>5</xdr:col>
      <xdr:colOff>400051</xdr:colOff>
      <xdr:row>5</xdr:row>
      <xdr:rowOff>76200</xdr:rowOff>
    </xdr:to>
    <xdr:sp macro="" textlink="'kpi customer'!A2">
      <xdr:nvSpPr>
        <xdr:cNvPr id="20" name="Rectangle: Rounded Corners 19">
          <a:extLst>
            <a:ext uri="{FF2B5EF4-FFF2-40B4-BE49-F238E27FC236}">
              <a16:creationId xmlns:a16="http://schemas.microsoft.com/office/drawing/2014/main" id="{EA486281-87EC-4EA5-A643-0758EE7F170F}"/>
            </a:ext>
          </a:extLst>
        </xdr:cNvPr>
        <xdr:cNvSpPr/>
      </xdr:nvSpPr>
      <xdr:spPr>
        <a:xfrm>
          <a:off x="2305051" y="457200"/>
          <a:ext cx="1143000" cy="428625"/>
        </a:xfrm>
        <a:prstGeom prst="round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a:t>668</a:t>
          </a:r>
        </a:p>
      </xdr:txBody>
    </xdr:sp>
    <xdr:clientData/>
  </xdr:twoCellAnchor>
  <xdr:twoCellAnchor>
    <xdr:from>
      <xdr:col>0</xdr:col>
      <xdr:colOff>161925</xdr:colOff>
      <xdr:row>4</xdr:row>
      <xdr:rowOff>133350</xdr:rowOff>
    </xdr:from>
    <xdr:to>
      <xdr:col>1</xdr:col>
      <xdr:colOff>285750</xdr:colOff>
      <xdr:row>6</xdr:row>
      <xdr:rowOff>28575</xdr:rowOff>
    </xdr:to>
    <xdr:sp macro="" textlink="">
      <xdr:nvSpPr>
        <xdr:cNvPr id="22" name="Rectangle: Rounded Corners 21">
          <a:extLst>
            <a:ext uri="{FF2B5EF4-FFF2-40B4-BE49-F238E27FC236}">
              <a16:creationId xmlns:a16="http://schemas.microsoft.com/office/drawing/2014/main" id="{4EC5982B-15A0-4138-BF48-7DC7FBF0AA24}"/>
            </a:ext>
          </a:extLst>
        </xdr:cNvPr>
        <xdr:cNvSpPr/>
      </xdr:nvSpPr>
      <xdr:spPr>
        <a:xfrm>
          <a:off x="161925" y="781050"/>
          <a:ext cx="733425" cy="219075"/>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algn="l"/>
          <a:r>
            <a:rPr lang="en-US" sz="800" u="none"/>
            <a:t>Total</a:t>
          </a:r>
          <a:r>
            <a:rPr lang="en-US" sz="800" baseline="0"/>
            <a:t> sales</a:t>
          </a:r>
          <a:endParaRPr lang="en-US" sz="800"/>
        </a:p>
      </xdr:txBody>
    </xdr:sp>
    <xdr:clientData/>
  </xdr:twoCellAnchor>
  <xdr:twoCellAnchor>
    <xdr:from>
      <xdr:col>3</xdr:col>
      <xdr:colOff>609599</xdr:colOff>
      <xdr:row>4</xdr:row>
      <xdr:rowOff>133350</xdr:rowOff>
    </xdr:from>
    <xdr:to>
      <xdr:col>5</xdr:col>
      <xdr:colOff>66674</xdr:colOff>
      <xdr:row>6</xdr:row>
      <xdr:rowOff>19050</xdr:rowOff>
    </xdr:to>
    <xdr:sp macro="" textlink="">
      <xdr:nvSpPr>
        <xdr:cNvPr id="25" name="Rectangle: Rounded Corners 24">
          <a:extLst>
            <a:ext uri="{FF2B5EF4-FFF2-40B4-BE49-F238E27FC236}">
              <a16:creationId xmlns:a16="http://schemas.microsoft.com/office/drawing/2014/main" id="{B7CE1F86-6D09-45E2-85ED-229DF1905608}"/>
            </a:ext>
          </a:extLst>
        </xdr:cNvPr>
        <xdr:cNvSpPr/>
      </xdr:nvSpPr>
      <xdr:spPr>
        <a:xfrm>
          <a:off x="2438399" y="781050"/>
          <a:ext cx="676275" cy="209550"/>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sz="800"/>
            <a:t>Total</a:t>
          </a:r>
          <a:r>
            <a:rPr lang="en-US" sz="800" baseline="0"/>
            <a:t> customers</a:t>
          </a:r>
          <a:endParaRPr lang="en-US" sz="800"/>
        </a:p>
      </xdr:txBody>
    </xdr:sp>
    <xdr:clientData/>
  </xdr:twoCellAnchor>
  <xdr:twoCellAnchor>
    <xdr:from>
      <xdr:col>2</xdr:col>
      <xdr:colOff>95249</xdr:colOff>
      <xdr:row>4</xdr:row>
      <xdr:rowOff>114300</xdr:rowOff>
    </xdr:from>
    <xdr:to>
      <xdr:col>3</xdr:col>
      <xdr:colOff>190500</xdr:colOff>
      <xdr:row>6</xdr:row>
      <xdr:rowOff>9524</xdr:rowOff>
    </xdr:to>
    <xdr:sp macro="" textlink="">
      <xdr:nvSpPr>
        <xdr:cNvPr id="29" name="Rectangle: Rounded Corners 28">
          <a:extLst>
            <a:ext uri="{FF2B5EF4-FFF2-40B4-BE49-F238E27FC236}">
              <a16:creationId xmlns:a16="http://schemas.microsoft.com/office/drawing/2014/main" id="{A191C5B7-EB18-44C6-A259-8BB96C4AD467}"/>
            </a:ext>
          </a:extLst>
        </xdr:cNvPr>
        <xdr:cNvSpPr/>
      </xdr:nvSpPr>
      <xdr:spPr>
        <a:xfrm>
          <a:off x="1314449" y="762000"/>
          <a:ext cx="704851" cy="219074"/>
        </a:xfrm>
        <a:prstGeom prst="round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r>
            <a:rPr lang="en-US" sz="800"/>
            <a:t>Total</a:t>
          </a:r>
          <a:r>
            <a:rPr lang="en-US" sz="800" baseline="0"/>
            <a:t> profit</a:t>
          </a:r>
          <a:endParaRPr lang="en-US" sz="800"/>
        </a:p>
      </xdr:txBody>
    </xdr:sp>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7.809831828701" createdVersion="6" refreshedVersion="6" minRefreshableVersion="3" recordCount="668" xr:uid="{B3C40997-516E-4DD0-8E5D-DEA4903197AC}">
  <cacheSource type="worksheet">
    <worksheetSource name="Table2"/>
  </cacheSource>
  <cacheFields count="2">
    <cacheField name="Year" numFmtId="0">
      <sharedItems count="4">
        <s v="2014"/>
        <s v="2015"/>
        <s v="2016"/>
        <s v="2017"/>
      </sharedItems>
    </cacheField>
    <cacheField name="Customer nam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30.45181111111" createdVersion="6" refreshedVersion="6" minRefreshableVersion="3" recordCount="759" xr:uid="{851F7F0B-98BF-46C9-BC93-1063BC0394C3}">
  <cacheSource type="worksheet">
    <worksheetSource name="Table1"/>
  </cacheSource>
  <cacheFields count="11">
    <cacheField name="Order Date" numFmtId="164">
      <sharedItems containsSemiMixedTypes="0" containsNonDate="0" containsDate="1" containsString="0" minDate="2014-01-02T00:00:00" maxDate="2017-12-29T00:00:00"/>
    </cacheField>
    <cacheField name="Month" numFmtId="164">
      <sharedItems count="12">
        <s v="Jan"/>
        <s v="Feb"/>
        <s v="Mar"/>
        <s v="Apr"/>
        <s v="May"/>
        <s v="Jun"/>
        <s v="Jul"/>
        <s v="Aug"/>
        <s v="Sep"/>
        <s v="Oct"/>
        <s v="Nov"/>
        <s v="Dec"/>
      </sharedItems>
    </cacheField>
    <cacheField name="Year" numFmtId="164">
      <sharedItems count="4">
        <s v="2014"/>
        <s v="2015"/>
        <s v="2016"/>
        <s v="2017"/>
      </sharedItems>
    </cacheField>
    <cacheField name="Customer Name" numFmtId="0">
      <sharedItems count="498">
        <s v="Darren Powers"/>
        <s v="Phillina Ober"/>
        <s v="Mick Brown"/>
        <s v="Lycoris Saunders"/>
        <s v="Vivek Sundaresam"/>
        <s v="Melanie Seite"/>
        <s v="Anthony Jacobs"/>
        <s v="Seth Vernon"/>
        <s v="Chris Selesnick"/>
        <s v="Brendan Sweed"/>
        <s v="Erica Hackney"/>
        <s v="Delfina Latchford"/>
        <s v="David Wiener"/>
        <s v="Toby Swindell"/>
        <s v="Hunter Lopez"/>
        <s v="Tom Boeckenhauer"/>
        <s v="Ionia McGrath"/>
        <s v="Shirley Daniels"/>
        <s v="Ed Jacobs"/>
        <s v="Jasper Cacioppo"/>
        <s v="Mike Vittorini"/>
        <s v="Liz Carlisle"/>
        <s v="Bradley Drucker"/>
        <s v="Cynthia Delaney"/>
        <s v="Deborah Brumfield"/>
        <s v="Neil Ducich"/>
        <s v="Cyma Kinney"/>
        <s v="Nathan Mautz"/>
        <s v="Sanjit Chand"/>
        <s v="Shui Tom"/>
        <s v="Barry Französisch"/>
        <s v="Michael Nguyen"/>
        <s v="Troy Blackwell"/>
        <s v="Linda Cazamias"/>
        <s v="Tamara Manning"/>
        <s v="Michael Grace"/>
        <s v="Joy Smith"/>
        <s v="Dave Brooks"/>
        <s v="Clay Ludtke"/>
        <s v="Aimee Bixby"/>
        <s v="Aaron Bergman"/>
        <s v="Scott Williamson"/>
        <s v="Chloris Kastensmidt"/>
        <s v="Alan Shonely"/>
        <s v="Kristina Nunn"/>
        <s v="Bradley Nguyen"/>
        <s v="Sean Miller"/>
        <s v="Matt Connell"/>
        <s v="Cassandra Brandow"/>
        <s v="Craig Carroll"/>
        <s v="Patrick O'Donnell"/>
        <s v="Carlos Daly"/>
        <s v="Annie Zypern"/>
        <s v="Jonathan Doherty"/>
        <s v="Christina VanderZanden"/>
        <s v="Mike Gockenbach"/>
        <s v="Kunst Miller"/>
        <s v="Alex Avila"/>
        <s v="Rob Dowd"/>
        <s v="Paul Knutson"/>
        <s v="Tracy Hopkins"/>
        <s v="Guy Phonely"/>
        <s v="Pauline Johnson"/>
        <s v="Jim Mitchum"/>
        <s v="Jay Kimmel"/>
        <s v="Kean Nguyen"/>
        <s v="Paul Stevenson"/>
        <s v="John Lee"/>
        <s v="Nicole Fjeld"/>
        <s v="Theresa Swint"/>
        <s v="Dianna Arnett"/>
        <s v="Aleksandra Gannaway"/>
        <s v="Muhammed Yedwab"/>
        <s v="Lauren Leatherbury"/>
        <s v="Andrew Roberts"/>
        <s v="Joni Sundaresam"/>
        <s v="Paul MacIntyre"/>
        <s v="Peter Fuller"/>
        <s v="Harold Pawlan"/>
        <s v="Carol Triggs"/>
        <s v="Kean Thornton"/>
        <s v="Patrick Gardner"/>
        <s v="Arianne Irving"/>
        <s v="Paul Gonzalez"/>
        <s v="Alejandro Grove"/>
        <s v="Anthony Johnson"/>
        <s v="Pete Armstrong"/>
        <s v="Bruce Stewart"/>
        <s v="John Huston"/>
        <s v="Randy Ferguson"/>
        <s v="Mitch Willingham"/>
        <s v="Evan Henry"/>
        <s v="Resi Pölking"/>
        <s v="Janet Lee"/>
        <s v="Maya Herman"/>
        <s v="Patrick Jones"/>
        <s v="Ellis Ballard"/>
        <s v="Jim Karlsson"/>
        <s v="Christine Kargatis"/>
        <s v="Steven Cartwright"/>
        <s v="Mark Packer"/>
        <s v="Bryan Mills"/>
        <s v="Bart Pistole"/>
        <s v="Carlos Soltero"/>
        <s v="Brosina Hoffman"/>
        <s v="Heather Kirkland"/>
        <s v="Sharelle Roach"/>
        <s v="Kelly Lampkin"/>
        <s v="Duane Benoit"/>
        <s v="Mick Crebagga"/>
        <s v="Sam Craven"/>
        <s v="Naresj Patel"/>
        <s v="Joel Eaton"/>
        <s v="Brian Stugart"/>
        <s v="Liz Pelletier"/>
        <s v="Noel Staavos"/>
        <s v="Liz MacKendrick"/>
        <s v="Cynthia Arntzen"/>
        <s v="Dan Lawera"/>
        <s v="Helen Abelman"/>
        <s v="Dorris liebe"/>
        <s v="Eric Hoffmann"/>
        <s v="Katrina Edelman"/>
        <s v="Michael Chen"/>
        <s v="Emily Phan"/>
        <s v="Michelle Huthwaite"/>
        <s v="Alyssa Crouse"/>
        <s v="Grace Kelly"/>
        <s v="Arthur Wiediger"/>
        <s v="Victoria Wilson"/>
        <s v="Adrian Hane"/>
        <s v="Christine Abelman"/>
        <s v="Katherine Murray"/>
        <s v="Michelle Ellison"/>
        <s v="Erin Mull"/>
        <s v="Arthur Gainer"/>
        <s v="Ken Lonsdale"/>
        <s v="Carl Ludwig"/>
        <s v="Giulietta Weimer"/>
        <s v="Tom Stivers"/>
        <s v="Barbara Fisher"/>
        <s v="Nick Zandusky"/>
        <s v="Valerie Dominguez"/>
        <s v="Chad Sievert"/>
        <s v="Roland Fjeld"/>
        <s v="Lena Radford"/>
        <s v="Andy Gerbode"/>
        <s v="Charles Sheldon"/>
        <s v="Keith Herrera"/>
        <s v="Troy Staebel"/>
        <s v="Ken Black"/>
        <s v="Craig Reiter"/>
        <s v="Deanra Eno"/>
        <s v="Rick Hansen"/>
        <s v="Robert Barroso"/>
        <s v="Zuschuss Donatelli"/>
        <s v="Hilary Holden"/>
        <s v="Annie Thurman"/>
        <s v="Shirley Jackson"/>
        <s v="Larry Tron"/>
        <s v="Justin MacKendrick"/>
        <s v="Allen Goldenen"/>
        <s v="Sean Braxton"/>
        <s v="Maribeth Schnelling"/>
        <s v="Liz Willingham"/>
        <s v="Erin Ashbrook"/>
        <s v="Jennifer Braxton"/>
        <s v="Monica Federle"/>
        <s v="Anthony Garverick"/>
        <s v="Philip Fox"/>
        <s v="Jack Garza"/>
        <s v="Julia Dunbar"/>
        <s v="Michelle Tran"/>
        <s v="Thomas Seio"/>
        <s v="George Zrebassa"/>
        <s v="Arthur Prichep"/>
        <s v="Russell Applegate"/>
        <s v="Erin Smith"/>
        <s v="David Flashing"/>
        <s v="Brian Derr"/>
        <s v="Xylona Preis"/>
        <s v="Tanja Norvell"/>
        <s v="Jill Fjeld"/>
        <s v="Zuschuss Carroll"/>
        <s v="Jim Epp"/>
        <s v="Lynn Smith"/>
        <s v="Alan Schoenberger"/>
        <s v="Jeremy Farry"/>
        <s v="Maureen Gastineau"/>
        <s v="Aaron Hawkins"/>
        <s v="Angele Hood"/>
        <s v="Todd Sumrall"/>
        <s v="Sue Ann Reed"/>
        <s v="Roger Demir"/>
        <s v="Maxwell Schwartz"/>
        <s v="George Ashbrook"/>
        <s v="Tamara Chand"/>
        <s v="Emily Burns"/>
        <s v="Ruben Dartt"/>
        <s v="Pete Kriz"/>
        <s v="Roy Französisch"/>
        <s v="Maris LaWare"/>
        <s v="Jamie Frazer"/>
        <s v="Rick Huthwaite"/>
        <s v="Pierre Wener"/>
        <s v="Robert Marley"/>
        <s v="Katharine Harms"/>
        <s v="Ruben Ausman"/>
        <s v="Nathan Gelder"/>
        <s v="Bart Folk"/>
        <s v="Corey-Lock"/>
        <s v="Jeremy Lonsdale"/>
        <s v="Cathy Prescott"/>
        <s v="Luke Foster"/>
        <s v="Patrick O'Brill"/>
        <s v="Thomas Boland"/>
        <s v="Nora Preis"/>
        <s v="Katherine Ducich"/>
        <s v="Mike Kennedy"/>
        <s v="Gary McGarr"/>
        <s v="Khloe Miller"/>
        <s v="Sarah Foster"/>
        <s v="Sung Pak"/>
        <s v="Debra Catini"/>
        <s v="Ken Brennan"/>
        <s v="Pamela Coakley"/>
        <s v="Steven Roelle"/>
        <s v="Yana Sorensen"/>
        <s v="Philip Brown"/>
        <s v="Carl Weiss"/>
        <s v="Elizabeth Moffitt"/>
        <s v="Joseph Holt"/>
        <s v="Jeremy Pistek"/>
        <s v="Karl Braun"/>
        <s v="Allen Armold"/>
        <s v="Damala Kotsonis"/>
        <s v="Lisa Hazard"/>
        <s v="Michael Stewart"/>
        <s v="Nona Balk"/>
        <s v="Roy Phan"/>
        <s v="Ann Blume"/>
        <s v="Penelope Sewall"/>
        <s v="Lindsay Castell"/>
        <s v="Dave Kipp"/>
        <s v="John Lucas"/>
        <s v="Eugene Moren"/>
        <s v="Edward Becker"/>
        <s v="Marc Crier"/>
        <s v="Karen Seio"/>
        <s v="Christopher Martinez"/>
        <s v="Harold Ryan"/>
        <s v="Jesus Ocampo"/>
        <s v="Bart Watters"/>
        <s v="Julia West"/>
        <s v="Dean Braden"/>
        <s v="Dennis Pardue"/>
        <s v="Benjamin Venier"/>
        <s v="Mark Van Huff"/>
        <s v="Alan Barnes"/>
        <s v="Sara Luxemburg"/>
        <s v="Scott Cohen"/>
        <s v="Michael Oakman"/>
        <s v="Greg Guthrie"/>
        <s v="Robert Dilbeck"/>
        <s v="Theone Pippenger"/>
        <s v="Juliana Krohn"/>
        <s v="Jill Stevenson"/>
        <s v="Jim Kriz"/>
        <s v="Noah Childs"/>
        <s v="Anna Gayman"/>
        <s v="Claudia Bergmann"/>
        <s v="Max Engle"/>
        <s v="Cindy Stewart"/>
        <s v="Anna Häberlin"/>
        <s v="Sheri Gordon"/>
        <s v="Sarah Brown"/>
        <s v="Justin Hirsh"/>
        <s v="Neil Knudson"/>
        <s v="Edward Nazzal"/>
        <s v="Stephanie Phelps"/>
        <s v="Eleni McCrary"/>
        <s v="Brian Dahlen"/>
        <s v="Jennifer Jackson"/>
        <s v="Alan Dominguez"/>
        <s v="Logan Haushalter"/>
        <s v="Stewart Carmichael"/>
        <s v="Rick Duston"/>
        <s v="Cathy Hwang"/>
        <s v="Laura Armstrong"/>
        <s v="Richard Bierner"/>
        <s v="Bruce Degenhardt"/>
        <s v="Irene Maddox"/>
        <s v="Kalyca Meade"/>
        <s v="Clytie Kelty"/>
        <s v="Natalie DeCherney"/>
        <s v="Toby Gnade"/>
        <s v="Jessica Myrick"/>
        <s v="Thais Sissman"/>
        <s v="Ralph Kennedy"/>
        <s v="Ross Baird"/>
        <s v="Pauline Chand"/>
        <s v="Thomas Thornton"/>
        <s v="David Smith"/>
        <s v="Odella Nelson"/>
        <s v="Tim Taslimi"/>
        <s v="John Murray"/>
        <s v="Shaun Chance"/>
        <s v="Dave Poirier"/>
        <s v="Tamara Dahlen"/>
        <s v="Chad Cunningham"/>
        <s v="Doug Bickford"/>
        <s v="Julie Creighton"/>
        <s v="Christine Sundaresam"/>
        <s v="Neoma Murray"/>
        <s v="Charles Crestani"/>
        <s v="Christina Anderson"/>
        <s v="Tracy Blumstein"/>
        <s v="Trudy Glocke"/>
        <s v="Stuart Van"/>
        <s v="Ed Braxton"/>
        <s v="Denny Joy"/>
        <s v="Joel Jenkins"/>
        <s v="Charlotte Melton"/>
        <s v="Liz Thompson"/>
        <s v="Maribeth Yedwab"/>
        <s v="Jas O'Carroll"/>
        <s v="Corinna Mitchell"/>
        <s v="George Bell"/>
        <s v="Karen Bern"/>
        <s v="Andrew Gjertsen"/>
        <s v="Lena Cacioppo"/>
        <s v="Philisse Overcash"/>
        <s v="Greg Hansen"/>
        <s v="Victoria Brennan"/>
        <s v="Denny Ordway"/>
        <s v="Dan Reichenbach"/>
        <s v="Sylvia Foulston"/>
        <s v="William Brown"/>
        <s v="Logan Currie"/>
        <s v="Dean Katz"/>
        <s v="Ritsa Hightower"/>
        <s v="Darren Koutras"/>
        <s v="Tonja Turnell"/>
        <s v="Keith Dawkins"/>
        <s v="John Stevenson"/>
        <s v="Joni Blumstein"/>
        <s v="Justin Deggeller"/>
        <s v="Steve Nguyen"/>
        <s v="Brendan Murry"/>
        <s v="Dianna Wilson"/>
        <s v="Jack O'Briant"/>
        <s v="Dean percer"/>
        <s v="Chuck Clark"/>
        <s v="Christy Brittain"/>
        <s v="Henry Goldwyn"/>
        <s v="Todd Boyes"/>
        <s v="Sample Company A"/>
        <s v="Adrian Barton"/>
        <s v="Alan Hwang"/>
        <s v="Matthew Clasen"/>
        <s v="Paul Van Hugh"/>
        <s v="Michael Granlund"/>
        <s v="Julia Barnett"/>
        <s v="Caroline Jumper"/>
        <s v="Tamara Willingham"/>
        <s v="Henia Zydlo"/>
        <s v="Paul Lucas"/>
        <s v="Rose O'Brian"/>
        <s v="Bobby Trafton"/>
        <s v="Kean Takahito"/>
        <s v="Toby Braunhardt"/>
        <s v="Aaron Smayling"/>
        <s v="Maria Etezadi"/>
        <s v="Gary Mitchum"/>
        <s v="Valerie Mitchum"/>
        <s v="Yoseph Carroll"/>
        <s v="Justin Ritter"/>
        <s v="Ben Ferrer"/>
        <s v="Clay Rozendal"/>
        <s v="Sibella Parks"/>
        <s v="Cathy Armstrong"/>
        <s v="Dennis Bolton"/>
        <s v="Bryan Davis"/>
        <s v="Brad Eason"/>
        <s v="Sonia Sunley"/>
        <s v="Eric Barreto"/>
        <s v="Laurel Elliston"/>
        <s v="Rick Bensley"/>
        <s v="Lisa DeCherney"/>
        <s v="Rob Lucas"/>
        <s v="Beth Paige"/>
        <s v="Christine Phan"/>
        <s v="Karen Daniels"/>
        <s v="Roy Collins"/>
        <s v="Olvera Toch"/>
        <s v="Mary Zewe"/>
        <s v="Bill Donatelli"/>
        <s v="Lena Hernandez"/>
        <s v="John Grady"/>
        <s v="Jay Fein"/>
        <s v="Anna Andreadi"/>
        <s v="Steve Chapman"/>
        <s v="Scot Coram"/>
        <s v="Kristen Hastings"/>
        <s v="Dionis Lloyd"/>
        <s v="Alex Grayson"/>
        <s v="Max Ludwig"/>
        <s v="Maureen Fritzler"/>
        <s v="Dorothy Wardle"/>
        <s v="Helen Andreada"/>
        <s v="Jill Matthias"/>
        <s v="Helen Wasserman"/>
        <s v="Stephanie Ulpright"/>
        <s v="Adam Bellavance"/>
        <s v="Parhena Norris"/>
        <s v="Kelly Collister"/>
        <s v="Ben Peterman"/>
        <s v="Henry MacAllister"/>
        <s v="Eugene Hildebrand"/>
        <s v="Greg Maxwell"/>
        <s v="Natalie Fritzler"/>
        <s v="Harry Marie"/>
        <s v="Linda Southworth"/>
        <s v="Tim Brockman"/>
        <s v="Patrick Bzostek"/>
        <s v="Christopher Schild"/>
        <s v="Max Jones"/>
        <s v="Claire Gute"/>
        <s v="Maurice Satty"/>
        <s v="Frank Merwin"/>
        <s v="Luke Schmidt"/>
        <s v="Heather Jas"/>
        <s v="Nick Crebassa"/>
        <s v="Gary Zandusky"/>
        <s v="Becky Martin"/>
        <s v="Gene Hale"/>
        <s v="Janet Molinari"/>
        <s v="Craig Carreira"/>
        <s v="Charles McCrossin"/>
        <s v="Alan Haines"/>
        <s v="Frank Preis"/>
        <s v="Guy Armstrong"/>
        <s v="Ricardo Sperren"/>
        <s v="Robert Waldorf"/>
        <s v="Darrin Sayre"/>
        <s v="Julie Kriz"/>
        <s v="Cynthia Voltz"/>
        <s v="Nicole Hansen"/>
        <s v="Liz Preis"/>
        <s v="Roland Murray"/>
        <s v="Mick Hernandez"/>
        <s v="Karen Ferguson"/>
        <s v="Catherine Glotzbach"/>
        <s v="Bill Eplett"/>
        <s v="Brian Moss"/>
        <s v="Tony Molinari"/>
        <s v="Katherine Hughes"/>
        <s v="Bryan Spruell"/>
        <s v="Luke Weiss"/>
        <s v="Sally Knutson"/>
        <s v="Filia McAdams"/>
        <s v="Nat Carroll"/>
        <s v="Kimberly Carter"/>
        <s v="Lindsay Williams"/>
        <s v="Gary Hansen"/>
        <s v="Dianna Vittorini"/>
        <s v="Clay Cheatham"/>
        <s v="Allen Rosenblatt"/>
        <s v="Dan Campbell"/>
        <s v="Victor Preis"/>
        <s v="Chuck Sachs"/>
        <s v="Cari Schnelling"/>
        <s v="Mark Hamilton"/>
        <s v="Raymond Buch"/>
        <s v="Matt Hagelstein"/>
        <s v="Fred McMath"/>
        <s v="Nat Gilpin"/>
        <s v="Speros Goranitis"/>
        <s v="Brenda Bowman"/>
        <s v="Barry Blumstein"/>
        <s v="Sanjit Jacobs"/>
        <s v="Ken Heidel"/>
        <s v="Amy Cox"/>
        <s v="Evan Bailliet"/>
        <s v="Scot Wooten"/>
        <s v="Frank Gastineau"/>
        <s v="Saphhira Shifley"/>
        <s v="Patricia Hirasaki"/>
        <s v="Tom Ashbrook"/>
        <s v="Grant Thornton"/>
        <s v="Roger Barcio"/>
        <s v="Dana Kaydos"/>
        <s v="Jonathan Howell"/>
        <s v="Janet Martin"/>
        <s v="Ted Trevino"/>
        <s v="Mike Pelletier"/>
        <s v="Michael Moore"/>
        <s v="Sandra Glassco"/>
      </sharedItems>
    </cacheField>
    <cacheField name="State" numFmtId="0">
      <sharedItems count="45">
        <s v="Texas"/>
        <s v="Illinois"/>
        <s v="Pennsylvania"/>
        <s v="California"/>
        <s v="Virginia"/>
        <s v="Delaware"/>
        <s v="Louisiana"/>
        <s v="Georgia"/>
        <s v="Oregon"/>
        <s v="Arizona"/>
        <s v="Arkansas"/>
        <s v="Florida"/>
        <s v="Nevada"/>
        <s v="New York"/>
        <s v="Michigan"/>
        <s v="Wisconsin"/>
        <s v="Washington"/>
        <s v="New Jersey"/>
        <s v="Indiana"/>
        <s v="Ohio"/>
        <s v="South Carolina"/>
        <s v="North Carolina"/>
        <s v="Minnesota"/>
        <s v="Iowa"/>
        <s v="Alabama"/>
        <s v="Maryland"/>
        <s v="Mississippi"/>
        <s v="Kentucky"/>
        <s v="Massachusetts"/>
        <s v="Utah"/>
        <s v="New Hampshire"/>
        <s v="Colorado"/>
        <s v="South Dakota"/>
        <s v="Connecticut"/>
        <s v="Missouri"/>
        <s v="Montana"/>
        <s v="New Mexico"/>
        <s v="Tennessee"/>
        <s v="Kansas"/>
        <s v="Oklahoma"/>
        <s v="Nebraska"/>
        <s v="Vermont"/>
        <s v="North Dakota"/>
        <s v="Idaho"/>
        <s v="Rhode Island"/>
      </sharedItems>
    </cacheField>
    <cacheField name="Category" numFmtId="0">
      <sharedItems count="3">
        <s v="Office Supplies"/>
        <s v="Furniture"/>
        <s v="Technology"/>
      </sharedItems>
    </cacheField>
    <cacheField name="Sub-Category" numFmtId="0">
      <sharedItems count="17">
        <s v="Paper"/>
        <s v="Labels"/>
        <s v="Art"/>
        <s v="Furnishings"/>
        <s v="Envelopes"/>
        <s v="Bookcases"/>
        <s v="Accessories"/>
        <s v="Appliances"/>
        <s v="Binders"/>
        <s v="Phones"/>
        <s v="Storage"/>
        <s v="Fasteners"/>
        <s v="Chairs"/>
        <s v="Machines"/>
        <s v="Tables"/>
        <s v="Copiers"/>
        <s v="Supplies"/>
      </sharedItems>
    </cacheField>
    <cacheField name="Product Name" numFmtId="0">
      <sharedItems/>
    </cacheField>
    <cacheField name="Sales" numFmtId="0">
      <sharedItems containsSemiMixedTypes="0" containsString="0" containsNumber="1" minValue="1.08" maxValue="11199.97"/>
    </cacheField>
    <cacheField name="Quantity" numFmtId="0">
      <sharedItems containsSemiMixedTypes="0" containsString="0" containsNumber="1" containsInteger="1" minValue="1" maxValue="14"/>
    </cacheField>
    <cacheField name="Profit" numFmtId="0">
      <sharedItems containsSemiMixedTypes="0" containsString="0" containsNumber="1" minValue="-3839.99" maxValue="3919.99"/>
    </cacheField>
  </cacheFields>
  <extLst>
    <ext xmlns:x14="http://schemas.microsoft.com/office/spreadsheetml/2009/9/main" uri="{725AE2AE-9491-48be-B2B4-4EB974FC3084}">
      <x14:pivotCacheDefinition pivotCacheId="20651587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8">
  <r>
    <x v="0"/>
    <s v="Phillina Ober"/>
  </r>
  <r>
    <x v="0"/>
    <s v="Mick Brown"/>
  </r>
  <r>
    <x v="0"/>
    <s v="Lycoris Saunders"/>
  </r>
  <r>
    <x v="0"/>
    <s v="Vivek Sundaresam"/>
  </r>
  <r>
    <x v="0"/>
    <s v="Melanie Seite"/>
  </r>
  <r>
    <x v="0"/>
    <s v="Anthony Jacobs"/>
  </r>
  <r>
    <x v="0"/>
    <s v="Seth Vernon"/>
  </r>
  <r>
    <x v="0"/>
    <s v="Chris Selesnick"/>
  </r>
  <r>
    <x v="0"/>
    <s v="Brendan Sweed"/>
  </r>
  <r>
    <x v="0"/>
    <s v="Erica Hackney"/>
  </r>
  <r>
    <x v="0"/>
    <s v="Delfina Latchford"/>
  </r>
  <r>
    <x v="0"/>
    <s v="David Wiener"/>
  </r>
  <r>
    <x v="0"/>
    <s v="Toby Swindell"/>
  </r>
  <r>
    <x v="0"/>
    <s v="Hunter Lopez"/>
  </r>
  <r>
    <x v="0"/>
    <s v="Tom Boeckenhauer"/>
  </r>
  <r>
    <x v="0"/>
    <s v="Ionia McGrath"/>
  </r>
  <r>
    <x v="0"/>
    <s v="Shirley Daniels"/>
  </r>
  <r>
    <x v="0"/>
    <s v="Ed Jacobs"/>
  </r>
  <r>
    <x v="0"/>
    <s v="Jasper Cacioppo"/>
  </r>
  <r>
    <x v="0"/>
    <s v="Mike Vittorini"/>
  </r>
  <r>
    <x v="0"/>
    <s v="Liz Carlisle"/>
  </r>
  <r>
    <x v="0"/>
    <s v="Bradley Drucker"/>
  </r>
  <r>
    <x v="0"/>
    <s v="Cynthia Delaney"/>
  </r>
  <r>
    <x v="0"/>
    <s v="Deborah Brumfield"/>
  </r>
  <r>
    <x v="0"/>
    <s v="Neil Ducich"/>
  </r>
  <r>
    <x v="0"/>
    <s v="Cyma Kinney"/>
  </r>
  <r>
    <x v="0"/>
    <s v="Nathan Mautz"/>
  </r>
  <r>
    <x v="0"/>
    <s v="Sanjit Chand"/>
  </r>
  <r>
    <x v="0"/>
    <s v="Shui Tom"/>
  </r>
  <r>
    <x v="0"/>
    <s v="Barry Französisch"/>
  </r>
  <r>
    <x v="0"/>
    <s v="Michael Nguyen"/>
  </r>
  <r>
    <x v="0"/>
    <s v="Troy Blackwell"/>
  </r>
  <r>
    <x v="0"/>
    <s v="Linda Cazamias"/>
  </r>
  <r>
    <x v="0"/>
    <s v="Tamara Manning"/>
  </r>
  <r>
    <x v="0"/>
    <s v="Michael Grace"/>
  </r>
  <r>
    <x v="0"/>
    <s v="Joy Smith"/>
  </r>
  <r>
    <x v="0"/>
    <s v="Dave Brooks"/>
  </r>
  <r>
    <x v="0"/>
    <s v="Clay Ludtke"/>
  </r>
  <r>
    <x v="0"/>
    <s v="Aimee Bixby"/>
  </r>
  <r>
    <x v="0"/>
    <s v="Aaron Bergman"/>
  </r>
  <r>
    <x v="0"/>
    <s v="Scott Williamson"/>
  </r>
  <r>
    <x v="0"/>
    <s v="Chloris Kastensmidt"/>
  </r>
  <r>
    <x v="0"/>
    <s v="Alan Shonely"/>
  </r>
  <r>
    <x v="0"/>
    <s v="Kristina Nunn"/>
  </r>
  <r>
    <x v="0"/>
    <s v="Bradley Nguyen"/>
  </r>
  <r>
    <x v="0"/>
    <s v="Sean Miller"/>
  </r>
  <r>
    <x v="0"/>
    <s v="Matt Connell"/>
  </r>
  <r>
    <x v="0"/>
    <s v="Cassandra Brandow"/>
  </r>
  <r>
    <x v="0"/>
    <s v="Craig Carroll"/>
  </r>
  <r>
    <x v="0"/>
    <s v="Patrick O'Donnell"/>
  </r>
  <r>
    <x v="0"/>
    <s v="Carlos Daly"/>
  </r>
  <r>
    <x v="0"/>
    <s v="Annie Zypern"/>
  </r>
  <r>
    <x v="0"/>
    <s v="Jonathan Doherty"/>
  </r>
  <r>
    <x v="0"/>
    <s v="Christina VanderZanden"/>
  </r>
  <r>
    <x v="0"/>
    <s v="Mike Gockenbach"/>
  </r>
  <r>
    <x v="0"/>
    <s v="Kunst Miller"/>
  </r>
  <r>
    <x v="0"/>
    <s v="Alex Avila"/>
  </r>
  <r>
    <x v="0"/>
    <s v="Rob Dowd"/>
  </r>
  <r>
    <x v="0"/>
    <s v="Paul Knutson"/>
  </r>
  <r>
    <x v="0"/>
    <s v="Tracy Hopkins"/>
  </r>
  <r>
    <x v="0"/>
    <s v="Guy Phonely"/>
  </r>
  <r>
    <x v="0"/>
    <s v="Pauline Johnson"/>
  </r>
  <r>
    <x v="0"/>
    <s v="Jim Mitchum"/>
  </r>
  <r>
    <x v="0"/>
    <s v="Jay Kimmel"/>
  </r>
  <r>
    <x v="0"/>
    <s v="Kean Nguyen"/>
  </r>
  <r>
    <x v="0"/>
    <s v="Paul Stevenson"/>
  </r>
  <r>
    <x v="0"/>
    <s v="John Lee"/>
  </r>
  <r>
    <x v="0"/>
    <s v="Nicole Fjeld"/>
  </r>
  <r>
    <x v="0"/>
    <s v="Theresa Swint"/>
  </r>
  <r>
    <x v="0"/>
    <s v="Dianna Arnett"/>
  </r>
  <r>
    <x v="0"/>
    <s v="Aleksandra Gannaway"/>
  </r>
  <r>
    <x v="0"/>
    <s v="Muhammed Yedwab"/>
  </r>
  <r>
    <x v="0"/>
    <s v="Lauren Leatherbury"/>
  </r>
  <r>
    <x v="0"/>
    <s v="Andrew Roberts"/>
  </r>
  <r>
    <x v="0"/>
    <s v="Joni Sundaresam"/>
  </r>
  <r>
    <x v="0"/>
    <s v="Paul MacIntyre"/>
  </r>
  <r>
    <x v="0"/>
    <s v="Peter Fuller"/>
  </r>
  <r>
    <x v="0"/>
    <s v="Harold Pawlan"/>
  </r>
  <r>
    <x v="0"/>
    <s v="Carol Triggs"/>
  </r>
  <r>
    <x v="0"/>
    <s v="Kean Thornton"/>
  </r>
  <r>
    <x v="0"/>
    <s v="Patrick Gardner"/>
  </r>
  <r>
    <x v="0"/>
    <s v="Arianne Irving"/>
  </r>
  <r>
    <x v="0"/>
    <s v="Paul Gonzalez"/>
  </r>
  <r>
    <x v="0"/>
    <s v="Alejandro Grove"/>
  </r>
  <r>
    <x v="0"/>
    <s v="Anthony Johnson"/>
  </r>
  <r>
    <x v="0"/>
    <s v="Pete Armstrong"/>
  </r>
  <r>
    <x v="0"/>
    <s v="Bruce Stewart"/>
  </r>
  <r>
    <x v="0"/>
    <s v="John Huston"/>
  </r>
  <r>
    <x v="0"/>
    <s v="Randy Ferguson"/>
  </r>
  <r>
    <x v="0"/>
    <s v="Mitch Willingham"/>
  </r>
  <r>
    <x v="0"/>
    <s v="Evan Henry"/>
  </r>
  <r>
    <x v="0"/>
    <s v="Resi Pölking"/>
  </r>
  <r>
    <x v="1"/>
    <s v="Janet Lee"/>
  </r>
  <r>
    <x v="1"/>
    <s v="Maya Herman"/>
  </r>
  <r>
    <x v="1"/>
    <s v="Patrick Jones"/>
  </r>
  <r>
    <x v="1"/>
    <s v="Ellis Ballard"/>
  </r>
  <r>
    <x v="1"/>
    <s v="Jim Karlsson"/>
  </r>
  <r>
    <x v="1"/>
    <s v="Christine Kargatis"/>
  </r>
  <r>
    <x v="1"/>
    <s v="Steven Cartwright"/>
  </r>
  <r>
    <x v="1"/>
    <s v="Mark Packer"/>
  </r>
  <r>
    <x v="1"/>
    <s v="Bryan Mills"/>
  </r>
  <r>
    <x v="1"/>
    <s v="Bart Pistole"/>
  </r>
  <r>
    <x v="1"/>
    <s v="Carlos Soltero"/>
  </r>
  <r>
    <x v="1"/>
    <s v="Brosina Hoffman"/>
  </r>
  <r>
    <x v="1"/>
    <s v="Heather Kirkland"/>
  </r>
  <r>
    <x v="1"/>
    <s v="Sharelle Roach"/>
  </r>
  <r>
    <x v="1"/>
    <s v="Kelly Lampkin"/>
  </r>
  <r>
    <x v="1"/>
    <s v="Duane Benoit"/>
  </r>
  <r>
    <x v="1"/>
    <s v="Mick Crebagga"/>
  </r>
  <r>
    <x v="1"/>
    <s v="Sam Craven"/>
  </r>
  <r>
    <x v="1"/>
    <s v="Naresj Patel"/>
  </r>
  <r>
    <x v="1"/>
    <s v="Joel Eaton"/>
  </r>
  <r>
    <x v="1"/>
    <s v="Brian Stugart"/>
  </r>
  <r>
    <x v="1"/>
    <s v="Liz Pelletier"/>
  </r>
  <r>
    <x v="1"/>
    <s v="Noel Staavos"/>
  </r>
  <r>
    <x v="1"/>
    <s v="Liz MacKendrick"/>
  </r>
  <r>
    <x v="1"/>
    <s v="Cynthia Arntzen"/>
  </r>
  <r>
    <x v="1"/>
    <s v="Dan Lawera"/>
  </r>
  <r>
    <x v="1"/>
    <s v="Helen Abelman"/>
  </r>
  <r>
    <x v="1"/>
    <s v="Dorris liebe"/>
  </r>
  <r>
    <x v="1"/>
    <s v="Eric Hoffmann"/>
  </r>
  <r>
    <x v="1"/>
    <s v="Katrina Edelman"/>
  </r>
  <r>
    <x v="1"/>
    <s v="Michael Chen"/>
  </r>
  <r>
    <x v="1"/>
    <s v="Emily Phan"/>
  </r>
  <r>
    <x v="1"/>
    <s v="John Lee"/>
  </r>
  <r>
    <x v="1"/>
    <s v="Michelle Huthwaite"/>
  </r>
  <r>
    <x v="1"/>
    <s v="Alyssa Crouse"/>
  </r>
  <r>
    <x v="1"/>
    <s v="Grace Kelly"/>
  </r>
  <r>
    <x v="1"/>
    <s v="Arthur Wiediger"/>
  </r>
  <r>
    <x v="1"/>
    <s v="Victoria Wilson"/>
  </r>
  <r>
    <x v="1"/>
    <s v="Adrian Hane"/>
  </r>
  <r>
    <x v="1"/>
    <s v="Christine Abelman"/>
  </r>
  <r>
    <x v="1"/>
    <s v="Katherine Murray"/>
  </r>
  <r>
    <x v="1"/>
    <s v="Michelle Ellison"/>
  </r>
  <r>
    <x v="1"/>
    <s v="Erin Mull"/>
  </r>
  <r>
    <x v="1"/>
    <s v="Arthur Gainer"/>
  </r>
  <r>
    <x v="1"/>
    <s v="Ken Lonsdale"/>
  </r>
  <r>
    <x v="1"/>
    <s v="Carl Ludwig"/>
  </r>
  <r>
    <x v="1"/>
    <s v="Giulietta Weimer"/>
  </r>
  <r>
    <x v="1"/>
    <s v="Chloris Kastensmidt"/>
  </r>
  <r>
    <x v="1"/>
    <s v="Tom Stivers"/>
  </r>
  <r>
    <x v="1"/>
    <s v="Barbara Fisher"/>
  </r>
  <r>
    <x v="1"/>
    <s v="Nick Zandusky"/>
  </r>
  <r>
    <x v="1"/>
    <s v="Bruce Stewart"/>
  </r>
  <r>
    <x v="1"/>
    <s v="Valerie Dominguez"/>
  </r>
  <r>
    <x v="1"/>
    <s v="Chad Sievert"/>
  </r>
  <r>
    <x v="1"/>
    <s v="Roland Fjeld"/>
  </r>
  <r>
    <x v="1"/>
    <s v="Lena Radford"/>
  </r>
  <r>
    <x v="1"/>
    <s v="Andy Gerbode"/>
  </r>
  <r>
    <x v="1"/>
    <s v="Charles Sheldon"/>
  </r>
  <r>
    <x v="1"/>
    <s v="Keith Herrera"/>
  </r>
  <r>
    <x v="1"/>
    <s v="Troy Staebel"/>
  </r>
  <r>
    <x v="1"/>
    <s v="Ken Black"/>
  </r>
  <r>
    <x v="1"/>
    <s v="Craig Reiter"/>
  </r>
  <r>
    <x v="1"/>
    <s v="Deanra Eno"/>
  </r>
  <r>
    <x v="1"/>
    <s v="Rick Hansen"/>
  </r>
  <r>
    <x v="1"/>
    <s v="Robert Barroso"/>
  </r>
  <r>
    <x v="1"/>
    <s v="Zuschuss Donatelli"/>
  </r>
  <r>
    <x v="1"/>
    <s v="Hilary Holden"/>
  </r>
  <r>
    <x v="1"/>
    <s v="Annie Thurman"/>
  </r>
  <r>
    <x v="1"/>
    <s v="Shirley Jackson"/>
  </r>
  <r>
    <x v="1"/>
    <s v="Larry Tron"/>
  </r>
  <r>
    <x v="1"/>
    <s v="Justin MacKendrick"/>
  </r>
  <r>
    <x v="1"/>
    <s v="Allen Goldenen"/>
  </r>
  <r>
    <x v="2"/>
    <s v="Sean Braxton"/>
  </r>
  <r>
    <x v="2"/>
    <s v="Maribeth Schnelling"/>
  </r>
  <r>
    <x v="2"/>
    <s v="Liz Willingham"/>
  </r>
  <r>
    <x v="2"/>
    <s v="Shirley Daniels"/>
  </r>
  <r>
    <x v="2"/>
    <s v="Erin Ashbrook"/>
  </r>
  <r>
    <x v="2"/>
    <s v="Jennifer Braxton"/>
  </r>
  <r>
    <x v="2"/>
    <s v="Monica Federle"/>
  </r>
  <r>
    <x v="2"/>
    <s v="Randy Ferguson"/>
  </r>
  <r>
    <x v="2"/>
    <s v="Anthony Garverick"/>
  </r>
  <r>
    <x v="2"/>
    <s v="Philip Fox"/>
  </r>
  <r>
    <x v="2"/>
    <s v="Jack Garza"/>
  </r>
  <r>
    <x v="2"/>
    <s v="Julia Dunbar"/>
  </r>
  <r>
    <x v="2"/>
    <s v="Michelle Tran"/>
  </r>
  <r>
    <x v="2"/>
    <s v="Thomas Seio"/>
  </r>
  <r>
    <x v="2"/>
    <s v="George Zrebassa"/>
  </r>
  <r>
    <x v="2"/>
    <s v="Arthur Prichep"/>
  </r>
  <r>
    <x v="2"/>
    <s v="Russell Applegate"/>
  </r>
  <r>
    <x v="2"/>
    <s v="Erin Smith"/>
  </r>
  <r>
    <x v="2"/>
    <s v="David Flashing"/>
  </r>
  <r>
    <x v="2"/>
    <s v="Brian Derr"/>
  </r>
  <r>
    <x v="2"/>
    <s v="Xylona Preis"/>
  </r>
  <r>
    <x v="2"/>
    <s v="Tanja Norvell"/>
  </r>
  <r>
    <x v="2"/>
    <s v="Jill Fjeld"/>
  </r>
  <r>
    <x v="2"/>
    <s v="Zuschuss Carroll"/>
  </r>
  <r>
    <x v="2"/>
    <s v="Jim Epp"/>
  </r>
  <r>
    <x v="2"/>
    <s v="Dan Lawera"/>
  </r>
  <r>
    <x v="2"/>
    <s v="Lynn Smith"/>
  </r>
  <r>
    <x v="2"/>
    <s v="Alan Schoenberger"/>
  </r>
  <r>
    <x v="2"/>
    <s v="Jeremy Farry"/>
  </r>
  <r>
    <x v="2"/>
    <s v="Maureen Gastineau"/>
  </r>
  <r>
    <x v="2"/>
    <s v="Aaron Hawkins"/>
  </r>
  <r>
    <x v="2"/>
    <s v="Angele Hood"/>
  </r>
  <r>
    <x v="2"/>
    <s v="Todd Sumrall"/>
  </r>
  <r>
    <x v="2"/>
    <s v="Sue Ann Reed"/>
  </r>
  <r>
    <x v="2"/>
    <s v="Roger Demir"/>
  </r>
  <r>
    <x v="2"/>
    <s v="Maxwell Schwartz"/>
  </r>
  <r>
    <x v="2"/>
    <s v="Nathan Mautz"/>
  </r>
  <r>
    <x v="2"/>
    <s v="Deanra Eno"/>
  </r>
  <r>
    <x v="2"/>
    <s v="George Ashbrook"/>
  </r>
  <r>
    <x v="2"/>
    <s v="Tamara Chand"/>
  </r>
  <r>
    <x v="2"/>
    <s v="Emily Burns"/>
  </r>
  <r>
    <x v="2"/>
    <s v="Ruben Dartt"/>
  </r>
  <r>
    <x v="2"/>
    <s v="Pete Kriz"/>
  </r>
  <r>
    <x v="2"/>
    <s v="Roy Französisch"/>
  </r>
  <r>
    <x v="2"/>
    <s v="Maris LaWare"/>
  </r>
  <r>
    <x v="2"/>
    <s v="Jamie Frazer"/>
  </r>
  <r>
    <x v="2"/>
    <s v="Rick Huthwaite"/>
  </r>
  <r>
    <x v="2"/>
    <s v="Mark Packer"/>
  </r>
  <r>
    <x v="2"/>
    <s v="Pierre Wener"/>
  </r>
  <r>
    <x v="2"/>
    <s v="Robert Marley"/>
  </r>
  <r>
    <x v="2"/>
    <s v="Katharine Harms"/>
  </r>
  <r>
    <x v="2"/>
    <s v="Ruben Ausman"/>
  </r>
  <r>
    <x v="2"/>
    <s v="Sanjit Chand"/>
  </r>
  <r>
    <x v="2"/>
    <s v="Nathan Gelder"/>
  </r>
  <r>
    <x v="2"/>
    <s v="Joel Eaton"/>
  </r>
  <r>
    <x v="2"/>
    <s v="Bart Folk"/>
  </r>
  <r>
    <x v="2"/>
    <s v="Corey-Lock"/>
  </r>
  <r>
    <x v="2"/>
    <s v="Jeremy Lonsdale"/>
  </r>
  <r>
    <x v="2"/>
    <s v="Resi Pölking"/>
  </r>
  <r>
    <x v="2"/>
    <s v="Cathy Prescott"/>
  </r>
  <r>
    <x v="2"/>
    <s v="Brendan Sweed"/>
  </r>
  <r>
    <x v="2"/>
    <s v="Luke Foster"/>
  </r>
  <r>
    <x v="2"/>
    <s v="Patrick O'Brill"/>
  </r>
  <r>
    <x v="2"/>
    <s v="Thomas Boland"/>
  </r>
  <r>
    <x v="2"/>
    <s v="Cyma Kinney"/>
  </r>
  <r>
    <x v="2"/>
    <s v="Nora Preis"/>
  </r>
  <r>
    <x v="2"/>
    <s v="Katherine Ducich"/>
  </r>
  <r>
    <x v="2"/>
    <s v="Mick Crebagga"/>
  </r>
  <r>
    <x v="2"/>
    <s v="Kean Nguyen"/>
  </r>
  <r>
    <x v="2"/>
    <s v="Mike Kennedy"/>
  </r>
  <r>
    <x v="3"/>
    <s v="Gary McGarr"/>
  </r>
  <r>
    <x v="3"/>
    <s v="Khloe Miller"/>
  </r>
  <r>
    <x v="3"/>
    <s v="Sarah Foster"/>
  </r>
  <r>
    <x v="3"/>
    <s v="Luke Foster"/>
  </r>
  <r>
    <x v="3"/>
    <s v="Sung Pak"/>
  </r>
  <r>
    <x v="3"/>
    <s v="Debra Catini"/>
  </r>
  <r>
    <x v="3"/>
    <s v="Ken Brennan"/>
  </r>
  <r>
    <x v="3"/>
    <s v="Pamela Coakley"/>
  </r>
  <r>
    <x v="3"/>
    <s v="Victoria Wilson"/>
  </r>
  <r>
    <x v="3"/>
    <s v="Steven Roelle"/>
  </r>
  <r>
    <x v="3"/>
    <s v="Yana Sorensen"/>
  </r>
  <r>
    <x v="3"/>
    <s v="Philip Brown"/>
  </r>
  <r>
    <x v="3"/>
    <s v="Joni Sundaresam"/>
  </r>
  <r>
    <x v="3"/>
    <s v="Carl Weiss"/>
  </r>
  <r>
    <x v="3"/>
    <s v="Elizabeth Moffitt"/>
  </r>
  <r>
    <x v="3"/>
    <s v="Seth Vernon"/>
  </r>
  <r>
    <x v="3"/>
    <s v="Joseph Holt"/>
  </r>
  <r>
    <x v="3"/>
    <s v="Jeremy Pistek"/>
  </r>
  <r>
    <x v="3"/>
    <s v="Karl Braun"/>
  </r>
  <r>
    <x v="3"/>
    <s v="Allen Armold"/>
  </r>
  <r>
    <x v="3"/>
    <s v="Damala Kotsonis"/>
  </r>
  <r>
    <x v="3"/>
    <s v="Lisa Hazard"/>
  </r>
  <r>
    <x v="3"/>
    <s v="Michael Stewart"/>
  </r>
  <r>
    <x v="3"/>
    <s v="Nona Balk"/>
  </r>
  <r>
    <x v="3"/>
    <s v="Roy Phan"/>
  </r>
  <r>
    <x v="3"/>
    <s v="Ann Blume"/>
  </r>
  <r>
    <x v="3"/>
    <s v="Liz MacKendrick"/>
  </r>
  <r>
    <x v="3"/>
    <s v="Penelope Sewall"/>
  </r>
  <r>
    <x v="3"/>
    <s v="Lindsay Castell"/>
  </r>
  <r>
    <x v="3"/>
    <s v="Valerie Dominguez"/>
  </r>
  <r>
    <x v="3"/>
    <s v="Shui Tom"/>
  </r>
  <r>
    <x v="3"/>
    <s v="Dave Kipp"/>
  </r>
  <r>
    <x v="3"/>
    <s v="John Lucas"/>
  </r>
  <r>
    <x v="3"/>
    <s v="Eugene Moren"/>
  </r>
  <r>
    <x v="3"/>
    <s v="Noel Staavos"/>
  </r>
  <r>
    <x v="3"/>
    <s v="Toby Swindell"/>
  </r>
  <r>
    <x v="3"/>
    <s v="Edward Becker"/>
  </r>
  <r>
    <x v="3"/>
    <s v="Marc Crier"/>
  </r>
  <r>
    <x v="3"/>
    <s v="Karen Seio"/>
  </r>
  <r>
    <x v="3"/>
    <s v="Christopher Martinez"/>
  </r>
  <r>
    <x v="3"/>
    <s v="Harold Ryan"/>
  </r>
  <r>
    <x v="3"/>
    <s v="Jesus Ocampo"/>
  </r>
  <r>
    <x v="3"/>
    <s v="Bart Watters"/>
  </r>
  <r>
    <x v="3"/>
    <s v="Julia West"/>
  </r>
  <r>
    <x v="3"/>
    <s v="Dean Braden"/>
  </r>
  <r>
    <x v="3"/>
    <s v="Dennis Pardue"/>
  </r>
  <r>
    <x v="3"/>
    <s v="Benjamin Venier"/>
  </r>
  <r>
    <x v="3"/>
    <s v="Mark Van Huff"/>
  </r>
  <r>
    <x v="3"/>
    <s v="Alan Barnes"/>
  </r>
  <r>
    <x v="3"/>
    <s v="Sara Luxemburg"/>
  </r>
  <r>
    <x v="3"/>
    <s v="Scott Cohen"/>
  </r>
  <r>
    <x v="0"/>
    <s v="Michael Oakman"/>
  </r>
  <r>
    <x v="1"/>
    <s v="Greg Guthrie"/>
  </r>
  <r>
    <x v="1"/>
    <s v="Peter Fuller"/>
  </r>
  <r>
    <x v="2"/>
    <s v="Jay Kimmel"/>
  </r>
  <r>
    <x v="3"/>
    <s v="Robert Dilbeck"/>
  </r>
  <r>
    <x v="0"/>
    <s v="Zuschuss Carroll"/>
  </r>
  <r>
    <x v="1"/>
    <s v="Theone Pippenger"/>
  </r>
  <r>
    <x v="0"/>
    <s v="George Ashbrook"/>
  </r>
  <r>
    <x v="1"/>
    <s v="Patrick Gardner"/>
  </r>
  <r>
    <x v="2"/>
    <s v="Juliana Krohn"/>
  </r>
  <r>
    <x v="1"/>
    <s v="Jill Stevenson"/>
  </r>
  <r>
    <x v="3"/>
    <s v="Russell Applegate"/>
  </r>
  <r>
    <x v="1"/>
    <s v="Jim Kriz"/>
  </r>
  <r>
    <x v="2"/>
    <s v="Paul Stevenson"/>
  </r>
  <r>
    <x v="0"/>
    <s v="Jennifer Braxton"/>
  </r>
  <r>
    <x v="3"/>
    <s v="Noah Childs"/>
  </r>
  <r>
    <x v="0"/>
    <s v="Alan Schoenberger"/>
  </r>
  <r>
    <x v="1"/>
    <s v="Anna Gayman"/>
  </r>
  <r>
    <x v="2"/>
    <s v="Claudia Bergmann"/>
  </r>
  <r>
    <x v="0"/>
    <s v="Max Engle"/>
  </r>
  <r>
    <x v="0"/>
    <s v="Dennis Pardue"/>
  </r>
  <r>
    <x v="0"/>
    <s v="Cindy Stewart"/>
  </r>
  <r>
    <x v="2"/>
    <s v="Anna Häberlin"/>
  </r>
  <r>
    <x v="1"/>
    <s v="Tracy Hopkins"/>
  </r>
  <r>
    <x v="2"/>
    <s v="Sheri Gordon"/>
  </r>
  <r>
    <x v="0"/>
    <s v="Joel Eaton"/>
  </r>
  <r>
    <x v="1"/>
    <s v="Sarah Brown"/>
  </r>
  <r>
    <x v="2"/>
    <s v="Justin Hirsh"/>
  </r>
  <r>
    <x v="0"/>
    <s v="Neil Knudson"/>
  </r>
  <r>
    <x v="1"/>
    <s v="John Lucas"/>
  </r>
  <r>
    <x v="2"/>
    <s v="Edward Nazzal"/>
  </r>
  <r>
    <x v="2"/>
    <s v="Stephanie Phelps"/>
  </r>
  <r>
    <x v="0"/>
    <s v="Katrina Edelman"/>
  </r>
  <r>
    <x v="1"/>
    <s v="Edward Becker"/>
  </r>
  <r>
    <x v="0"/>
    <s v="Eleni McCrary"/>
  </r>
  <r>
    <x v="0"/>
    <s v="Brian Dahlen"/>
  </r>
  <r>
    <x v="1"/>
    <s v="Jennifer Jackson"/>
  </r>
  <r>
    <x v="2"/>
    <s v="Alan Dominguez"/>
  </r>
  <r>
    <x v="2"/>
    <s v="Philip Brown"/>
  </r>
  <r>
    <x v="3"/>
    <s v="Logan Haushalter"/>
  </r>
  <r>
    <x v="0"/>
    <s v="Stewart Carmichael"/>
  </r>
  <r>
    <x v="2"/>
    <s v="Rick Duston"/>
  </r>
  <r>
    <x v="3"/>
    <s v="Cathy Hwang"/>
  </r>
  <r>
    <x v="0"/>
    <s v="Laura Armstrong"/>
  </r>
  <r>
    <x v="1"/>
    <s v="Richard Bierner"/>
  </r>
  <r>
    <x v="2"/>
    <s v="Bruce Degenhardt"/>
  </r>
  <r>
    <x v="0"/>
    <s v="Irene Maddox"/>
  </r>
  <r>
    <x v="1"/>
    <s v="Kalyca Meade"/>
  </r>
  <r>
    <x v="0"/>
    <s v="Eric Hoffmann"/>
  </r>
  <r>
    <x v="2"/>
    <s v="Clytie Kelty"/>
  </r>
  <r>
    <x v="1"/>
    <s v="Natalie DeCherney"/>
  </r>
  <r>
    <x v="2"/>
    <s v="Toby Gnade"/>
  </r>
  <r>
    <x v="2"/>
    <s v="Jessica Myrick"/>
  </r>
  <r>
    <x v="3"/>
    <s v="Roland Fjeld"/>
  </r>
  <r>
    <x v="0"/>
    <s v="Thais Sissman"/>
  </r>
  <r>
    <x v="2"/>
    <s v="Ralph Kennedy"/>
  </r>
  <r>
    <x v="0"/>
    <s v="Ross Baird"/>
  </r>
  <r>
    <x v="2"/>
    <s v="Patrick Gardner"/>
  </r>
  <r>
    <x v="0"/>
    <s v="Rick Hansen"/>
  </r>
  <r>
    <x v="2"/>
    <s v="Pauline Chand"/>
  </r>
  <r>
    <x v="3"/>
    <s v="Corey-Lock"/>
  </r>
  <r>
    <x v="0"/>
    <s v="Anna Häberlin"/>
  </r>
  <r>
    <x v="1"/>
    <s v="Michael Stewart"/>
  </r>
  <r>
    <x v="2"/>
    <s v="Thomas Thornton"/>
  </r>
  <r>
    <x v="3"/>
    <s v="David Smith"/>
  </r>
  <r>
    <x v="0"/>
    <s v="Odella Nelson"/>
  </r>
  <r>
    <x v="2"/>
    <s v="Tim Taslimi"/>
  </r>
  <r>
    <x v="3"/>
    <s v="John Murray"/>
  </r>
  <r>
    <x v="0"/>
    <s v="Shaun Chance"/>
  </r>
  <r>
    <x v="3"/>
    <s v="Nick Zandusky"/>
  </r>
  <r>
    <x v="0"/>
    <s v="Dave Poirier"/>
  </r>
  <r>
    <x v="0"/>
    <s v="Tamara Dahlen"/>
  </r>
  <r>
    <x v="1"/>
    <s v="Chad Cunningham"/>
  </r>
  <r>
    <x v="2"/>
    <s v="Doug Bickford"/>
  </r>
  <r>
    <x v="3"/>
    <s v="Julie Creighton"/>
  </r>
  <r>
    <x v="0"/>
    <s v="Christine Sundaresam"/>
  </r>
  <r>
    <x v="1"/>
    <s v="Neoma Murray"/>
  </r>
  <r>
    <x v="3"/>
    <s v="Charles Crestani"/>
  </r>
  <r>
    <x v="2"/>
    <s v="Paul Gonzalez"/>
  </r>
  <r>
    <x v="1"/>
    <s v="Christina Anderson"/>
  </r>
  <r>
    <x v="0"/>
    <s v="Tracy Blumstein"/>
  </r>
  <r>
    <x v="1"/>
    <s v="Trudy Glocke"/>
  </r>
  <r>
    <x v="3"/>
    <s v="Stuart Van"/>
  </r>
  <r>
    <x v="0"/>
    <s v="Emily Burns"/>
  </r>
  <r>
    <x v="2"/>
    <s v="Ed Braxton"/>
  </r>
  <r>
    <x v="1"/>
    <s v="Denny Joy"/>
  </r>
  <r>
    <x v="2"/>
    <s v="Joel Jenkins"/>
  </r>
  <r>
    <x v="3"/>
    <s v="Charlotte Melton"/>
  </r>
  <r>
    <x v="1"/>
    <s v="Tracy Blumstein"/>
  </r>
  <r>
    <x v="1"/>
    <s v="Liz Thompson"/>
  </r>
  <r>
    <x v="2"/>
    <s v="Maribeth Yedwab"/>
  </r>
  <r>
    <x v="2"/>
    <s v="Nona Balk"/>
  </r>
  <r>
    <x v="0"/>
    <s v="Cathy Hwang"/>
  </r>
  <r>
    <x v="1"/>
    <s v="Jas O'Carroll"/>
  </r>
  <r>
    <x v="0"/>
    <s v="Corinna Mitchell"/>
  </r>
  <r>
    <x v="1"/>
    <s v="George Bell"/>
  </r>
  <r>
    <x v="0"/>
    <s v="Karen Bern"/>
  </r>
  <r>
    <x v="1"/>
    <s v="Charlotte Melton"/>
  </r>
  <r>
    <x v="2"/>
    <s v="Andrew Gjertsen"/>
  </r>
  <r>
    <x v="3"/>
    <s v="Lena Cacioppo"/>
  </r>
  <r>
    <x v="0"/>
    <s v="Patrick Jones"/>
  </r>
  <r>
    <x v="1"/>
    <s v="Philisse Overcash"/>
  </r>
  <r>
    <x v="3"/>
    <s v="Greg Hansen"/>
  </r>
  <r>
    <x v="2"/>
    <s v="Harold Pawlan"/>
  </r>
  <r>
    <x v="3"/>
    <s v="Victoria Brennan"/>
  </r>
  <r>
    <x v="0"/>
    <s v="Denny Ordway"/>
  </r>
  <r>
    <x v="1"/>
    <s v="Dan Reichenbach"/>
  </r>
  <r>
    <x v="3"/>
    <s v="Sylvia Foulston"/>
  </r>
  <r>
    <x v="0"/>
    <s v="William Brown"/>
  </r>
  <r>
    <x v="2"/>
    <s v="Logan Currie"/>
  </r>
  <r>
    <x v="0"/>
    <s v="Dean Katz"/>
  </r>
  <r>
    <x v="2"/>
    <s v="Ritsa Hightower"/>
  </r>
  <r>
    <x v="0"/>
    <s v="Darren Koutras"/>
  </r>
  <r>
    <x v="1"/>
    <s v="Tonja Turnell"/>
  </r>
  <r>
    <x v="2"/>
    <s v="Keith Dawkins"/>
  </r>
  <r>
    <x v="0"/>
    <s v="Liz Thompson"/>
  </r>
  <r>
    <x v="2"/>
    <s v="Liz MacKendrick"/>
  </r>
  <r>
    <x v="0"/>
    <s v="John Stevenson"/>
  </r>
  <r>
    <x v="1"/>
    <s v="Bradley Drucker"/>
  </r>
  <r>
    <x v="2"/>
    <s v="Joni Blumstein"/>
  </r>
  <r>
    <x v="3"/>
    <s v="Justin Deggeller"/>
  </r>
  <r>
    <x v="1"/>
    <s v="Steve Nguyen"/>
  </r>
  <r>
    <x v="0"/>
    <s v="Brendan Murry"/>
  </r>
  <r>
    <x v="2"/>
    <s v="Anthony Johnson"/>
  </r>
  <r>
    <x v="1"/>
    <s v="Dianna Wilson"/>
  </r>
  <r>
    <x v="2"/>
    <s v="Jack O'Briant"/>
  </r>
  <r>
    <x v="3"/>
    <s v="Ken Black"/>
  </r>
  <r>
    <x v="3"/>
    <s v="Anna Gayman"/>
  </r>
  <r>
    <x v="0"/>
    <s v="Dean percer"/>
  </r>
  <r>
    <x v="1"/>
    <s v="Chuck Clark"/>
  </r>
  <r>
    <x v="2"/>
    <s v="Christy Brittain"/>
  </r>
  <r>
    <x v="3"/>
    <s v="Henry Goldwyn"/>
  </r>
  <r>
    <x v="0"/>
    <s v="Todd Boyes"/>
  </r>
  <r>
    <x v="1"/>
    <s v="Sample Company A"/>
  </r>
  <r>
    <x v="0"/>
    <s v="Adrian Barton"/>
  </r>
  <r>
    <x v="2"/>
    <s v="Liz Carlisle"/>
  </r>
  <r>
    <x v="3"/>
    <s v="Karen Bern"/>
  </r>
  <r>
    <x v="0"/>
    <s v="Christina Anderson"/>
  </r>
  <r>
    <x v="1"/>
    <s v="Cathy Hwang"/>
  </r>
  <r>
    <x v="2"/>
    <s v="John Stevenson"/>
  </r>
  <r>
    <x v="0"/>
    <s v="Erin Ashbrook"/>
  </r>
  <r>
    <x v="2"/>
    <s v="Alan Hwang"/>
  </r>
  <r>
    <x v="0"/>
    <s v="Matthew Clasen"/>
  </r>
  <r>
    <x v="1"/>
    <s v="Paul Van Hugh"/>
  </r>
  <r>
    <x v="0"/>
    <s v="Alyssa Crouse"/>
  </r>
  <r>
    <x v="3"/>
    <s v="Dan Lawera"/>
  </r>
  <r>
    <x v="0"/>
    <s v="Brosina Hoffman"/>
  </r>
  <r>
    <x v="2"/>
    <s v="Michael Granlund"/>
  </r>
  <r>
    <x v="3"/>
    <s v="Julia Barnett"/>
  </r>
  <r>
    <x v="0"/>
    <s v="Ed Braxton"/>
  </r>
  <r>
    <x v="1"/>
    <s v="Caroline Jumper"/>
  </r>
  <r>
    <x v="2"/>
    <s v="Tamara Willingham"/>
  </r>
  <r>
    <x v="1"/>
    <s v="Henia Zydlo"/>
  </r>
  <r>
    <x v="2"/>
    <s v="Paul Lucas"/>
  </r>
  <r>
    <x v="3"/>
    <s v="Rose O'Brian"/>
  </r>
  <r>
    <x v="0"/>
    <s v="Bobby Trafton"/>
  </r>
  <r>
    <x v="1"/>
    <s v="Kean Takahito"/>
  </r>
  <r>
    <x v="2"/>
    <s v="Robert Barroso"/>
  </r>
  <r>
    <x v="3"/>
    <s v="Dan Reichenbach"/>
  </r>
  <r>
    <x v="0"/>
    <s v="Toby Braunhardt"/>
  </r>
  <r>
    <x v="1"/>
    <s v="David Smith"/>
  </r>
  <r>
    <x v="2"/>
    <s v="Aaron Smayling"/>
  </r>
  <r>
    <x v="0"/>
    <s v="Maria Etezadi"/>
  </r>
  <r>
    <x v="2"/>
    <s v="Denny Joy"/>
  </r>
  <r>
    <x v="0"/>
    <s v="Carlos Soltero"/>
  </r>
  <r>
    <x v="2"/>
    <s v="Maria Etezadi"/>
  </r>
  <r>
    <x v="0"/>
    <s v="Gary Mitchum"/>
  </r>
  <r>
    <x v="1"/>
    <s v="Valerie Mitchum"/>
  </r>
  <r>
    <x v="2"/>
    <s v="Yoseph Carroll"/>
  </r>
  <r>
    <x v="3"/>
    <s v="Jeremy Lonsdale"/>
  </r>
  <r>
    <x v="0"/>
    <s v="Justin Ritter"/>
  </r>
  <r>
    <x v="3"/>
    <s v="Ben Ferrer"/>
  </r>
  <r>
    <x v="0"/>
    <s v="Clay Rozendal"/>
  </r>
  <r>
    <x v="2"/>
    <s v="Gary Mitchum"/>
  </r>
  <r>
    <x v="3"/>
    <s v="Sibella Parks"/>
  </r>
  <r>
    <x v="0"/>
    <s v="Cathy Armstrong"/>
  </r>
  <r>
    <x v="2"/>
    <s v="Dennis Bolton"/>
  </r>
  <r>
    <x v="1"/>
    <s v="Bryan Davis"/>
  </r>
  <r>
    <x v="3"/>
    <s v="Brad Eason"/>
  </r>
  <r>
    <x v="0"/>
    <s v="Caroline Jumper"/>
  </r>
  <r>
    <x v="1"/>
    <s v="Sonia Sunley"/>
  </r>
  <r>
    <x v="0"/>
    <s v="Logan Haushalter"/>
  </r>
  <r>
    <x v="0"/>
    <s v="Steve Nguyen"/>
  </r>
  <r>
    <x v="1"/>
    <s v="Roy Phan"/>
  </r>
  <r>
    <x v="2"/>
    <s v="Eric Barreto"/>
  </r>
  <r>
    <x v="0"/>
    <s v="Laurel Elliston"/>
  </r>
  <r>
    <x v="1"/>
    <s v="Rick Bensley"/>
  </r>
  <r>
    <x v="3"/>
    <s v="Lisa DeCherney"/>
  </r>
  <r>
    <x v="1"/>
    <s v="Julia Barnett"/>
  </r>
  <r>
    <x v="2"/>
    <s v="Laura Armstrong"/>
  </r>
  <r>
    <x v="0"/>
    <s v="Rob Lucas"/>
  </r>
  <r>
    <x v="1"/>
    <s v="Beth Paige"/>
  </r>
  <r>
    <x v="3"/>
    <s v="Christine Phan"/>
  </r>
  <r>
    <x v="1"/>
    <s v="Karen Daniels"/>
  </r>
  <r>
    <x v="2"/>
    <s v="Roy Collins"/>
  </r>
  <r>
    <x v="0"/>
    <s v="Olvera Toch"/>
  </r>
  <r>
    <x v="1"/>
    <s v="Mary Zewe"/>
  </r>
  <r>
    <x v="2"/>
    <s v="Sample Company A"/>
  </r>
  <r>
    <x v="0"/>
    <s v="Paul Van Hugh"/>
  </r>
  <r>
    <x v="1"/>
    <s v="Lynn Smith"/>
  </r>
  <r>
    <x v="0"/>
    <s v="Bill Donatelli"/>
  </r>
  <r>
    <x v="3"/>
    <s v="Bobby Trafton"/>
  </r>
  <r>
    <x v="0"/>
    <s v="Lena Hernandez"/>
  </r>
  <r>
    <x v="2"/>
    <s v="Irene Maddox"/>
  </r>
  <r>
    <x v="1"/>
    <s v="Theresa Swint"/>
  </r>
  <r>
    <x v="0"/>
    <s v="John Grady"/>
  </r>
  <r>
    <x v="1"/>
    <s v="Katharine Harms"/>
  </r>
  <r>
    <x v="3"/>
    <s v="Philip Fox"/>
  </r>
  <r>
    <x v="0"/>
    <s v="Jay Fein"/>
  </r>
  <r>
    <x v="2"/>
    <s v="Anna Andreadi"/>
  </r>
  <r>
    <x v="0"/>
    <s v="Steve Chapman"/>
  </r>
  <r>
    <x v="3"/>
    <s v="Scot Coram"/>
  </r>
  <r>
    <x v="0"/>
    <s v="Allen Armold"/>
  </r>
  <r>
    <x v="1"/>
    <s v="Kristen Hastings"/>
  </r>
  <r>
    <x v="0"/>
    <s v="Rick Huthwaite"/>
  </r>
  <r>
    <x v="1"/>
    <s v="Joy Smith"/>
  </r>
  <r>
    <x v="2"/>
    <s v="Pauline Johnson"/>
  </r>
  <r>
    <x v="3"/>
    <s v="Dionis Lloyd"/>
  </r>
  <r>
    <x v="3"/>
    <s v="Ken Lonsdale"/>
  </r>
  <r>
    <x v="3"/>
    <s v="Alex Grayson"/>
  </r>
  <r>
    <x v="0"/>
    <s v="Max Ludwig"/>
  </r>
  <r>
    <x v="2"/>
    <s v="Maureen Fritzler"/>
  </r>
  <r>
    <x v="0"/>
    <s v="Dorothy Wardle"/>
  </r>
  <r>
    <x v="1"/>
    <s v="Helen Andreada"/>
  </r>
  <r>
    <x v="2"/>
    <s v="Lena Cacioppo"/>
  </r>
  <r>
    <x v="0"/>
    <s v="Erin Mull"/>
  </r>
  <r>
    <x v="0"/>
    <s v="Jill Matthias"/>
  </r>
  <r>
    <x v="1"/>
    <s v="Max Engle"/>
  </r>
  <r>
    <x v="3"/>
    <s v="Helen Wasserman"/>
  </r>
  <r>
    <x v="2"/>
    <s v="Dianna Wilson"/>
  </r>
  <r>
    <x v="0"/>
    <s v="Stephanie Ulpright"/>
  </r>
  <r>
    <x v="2"/>
    <s v="Rick Bensley"/>
  </r>
  <r>
    <x v="3"/>
    <s v="Patrick O'Brill"/>
  </r>
  <r>
    <x v="0"/>
    <s v="Adam Bellavance"/>
  </r>
  <r>
    <x v="2"/>
    <s v="Paul Knutson"/>
  </r>
  <r>
    <x v="2"/>
    <s v="Parhena Norris"/>
  </r>
  <r>
    <x v="3"/>
    <s v="Kelly Collister"/>
  </r>
  <r>
    <x v="0"/>
    <s v="Ben Peterman"/>
  </r>
  <r>
    <x v="1"/>
    <s v="Dean Braden"/>
  </r>
  <r>
    <x v="2"/>
    <s v="Henry MacAllister"/>
  </r>
  <r>
    <x v="3"/>
    <s v="Eugene Hildebrand"/>
  </r>
  <r>
    <x v="1"/>
    <s v="Greg Maxwell"/>
  </r>
  <r>
    <x v="2"/>
    <s v="Kelly Lampkin"/>
  </r>
  <r>
    <x v="3"/>
    <s v="Pete Kriz"/>
  </r>
  <r>
    <x v="0"/>
    <s v="Natalie Fritzler"/>
  </r>
  <r>
    <x v="0"/>
    <s v="Harry Marie"/>
  </r>
  <r>
    <x v="2"/>
    <s v="Linda Southworth"/>
  </r>
  <r>
    <x v="0"/>
    <s v="Tim Taslimi"/>
  </r>
  <r>
    <x v="3"/>
    <s v="Tim Brockman"/>
  </r>
  <r>
    <x v="0"/>
    <s v="Bart Watters"/>
  </r>
  <r>
    <x v="1"/>
    <s v="Christine Phan"/>
  </r>
  <r>
    <x v="2"/>
    <s v="Patrick Bzostek"/>
  </r>
  <r>
    <x v="3"/>
    <s v="Neil Knudson"/>
  </r>
  <r>
    <x v="1"/>
    <s v="Christopher Schild"/>
  </r>
  <r>
    <x v="2"/>
    <s v="Max Jones"/>
  </r>
  <r>
    <x v="3"/>
    <s v="Claire Gute"/>
  </r>
  <r>
    <x v="2"/>
    <s v="Pamela Coakley"/>
  </r>
  <r>
    <x v="3"/>
    <s v="Bryan Davis"/>
  </r>
  <r>
    <x v="0"/>
    <s v="Maurice Satty"/>
  </r>
  <r>
    <x v="2"/>
    <s v="Frank Merwin"/>
  </r>
  <r>
    <x v="1"/>
    <s v="Stewart Carmichael"/>
  </r>
  <r>
    <x v="2"/>
    <s v="Arthur Wiediger"/>
  </r>
  <r>
    <x v="0"/>
    <s v="Justin Hirsh"/>
  </r>
  <r>
    <x v="1"/>
    <s v="Todd Boyes"/>
  </r>
  <r>
    <x v="2"/>
    <s v="Luke Schmidt"/>
  </r>
  <r>
    <x v="3"/>
    <s v="Heather Jas"/>
  </r>
  <r>
    <x v="0"/>
    <s v="Nick Crebassa"/>
  </r>
  <r>
    <x v="2"/>
    <s v="Gary Zandusky"/>
  </r>
  <r>
    <x v="0"/>
    <s v="Becky Martin"/>
  </r>
  <r>
    <x v="1"/>
    <s v="Gene Hale"/>
  </r>
  <r>
    <x v="2"/>
    <s v="Janet Molinari"/>
  </r>
  <r>
    <x v="3"/>
    <s v="Michael Chen"/>
  </r>
  <r>
    <x v="3"/>
    <s v="Craig Carreira"/>
  </r>
  <r>
    <x v="0"/>
    <s v="Charles McCrossin"/>
  </r>
  <r>
    <x v="1"/>
    <s v="Alan Haines"/>
  </r>
  <r>
    <x v="0"/>
    <s v="Erin Smith"/>
  </r>
  <r>
    <x v="1"/>
    <s v="Ross Baird"/>
  </r>
  <r>
    <x v="2"/>
    <s v="Grace Kelly"/>
  </r>
  <r>
    <x v="0"/>
    <s v="Frank Preis"/>
  </r>
  <r>
    <x v="1"/>
    <s v="Troy Blackwell"/>
  </r>
  <r>
    <x v="0"/>
    <s v="Kelly Lampkin"/>
  </r>
  <r>
    <x v="1"/>
    <s v="Guy Armstrong"/>
  </r>
  <r>
    <x v="3"/>
    <s v="Aaron Smayling"/>
  </r>
  <r>
    <x v="2"/>
    <s v="Dennis Pardue"/>
  </r>
  <r>
    <x v="3"/>
    <s v="Ricardo Sperren"/>
  </r>
  <r>
    <x v="1"/>
    <s v="Robert Waldorf"/>
  </r>
  <r>
    <x v="0"/>
    <s v="Darrin Sayre"/>
  </r>
  <r>
    <x v="1"/>
    <s v="Alan Dominguez"/>
  </r>
  <r>
    <x v="3"/>
    <s v="Theone Pippenger"/>
  </r>
  <r>
    <x v="1"/>
    <s v="Benjamin Venier"/>
  </r>
  <r>
    <x v="2"/>
    <s v="Mark Van Huff"/>
  </r>
  <r>
    <x v="0"/>
    <s v="Luke Foster"/>
  </r>
  <r>
    <x v="1"/>
    <s v="Julie Kriz"/>
  </r>
  <r>
    <x v="3"/>
    <s v="Cynthia Voltz"/>
  </r>
  <r>
    <x v="0"/>
    <s v="Nicole Hansen"/>
  </r>
  <r>
    <x v="3"/>
    <s v="Michelle Huthwaite"/>
  </r>
  <r>
    <x v="1"/>
    <s v="Liz Preis"/>
  </r>
  <r>
    <x v="0"/>
    <s v="Pete Kriz"/>
  </r>
  <r>
    <x v="2"/>
    <s v="Roland Murray"/>
  </r>
  <r>
    <x v="1"/>
    <s v="Mick Hernandez"/>
  </r>
  <r>
    <x v="3"/>
    <s v="Karen Ferguson"/>
  </r>
  <r>
    <x v="3"/>
    <s v="Catherine Glotzbach"/>
  </r>
  <r>
    <x v="2"/>
    <s v="Bill Eplett"/>
  </r>
  <r>
    <x v="0"/>
    <s v="Brian Moss"/>
  </r>
  <r>
    <x v="2"/>
    <s v="Gary McGarr"/>
  </r>
  <r>
    <x v="1"/>
    <s v="Cyma Kinney"/>
  </r>
  <r>
    <x v="0"/>
    <s v="Roger Demir"/>
  </r>
  <r>
    <x v="3"/>
    <s v="Tony Molinari"/>
  </r>
  <r>
    <x v="0"/>
    <s v="David Smith"/>
  </r>
  <r>
    <x v="2"/>
    <s v="Katherine Hughes"/>
  </r>
  <r>
    <x v="1"/>
    <s v="Bryan Spruell"/>
  </r>
  <r>
    <x v="3"/>
    <s v="Luke Weiss"/>
  </r>
  <r>
    <x v="3"/>
    <s v="Sally Knutson"/>
  </r>
  <r>
    <x v="0"/>
    <s v="Damala Kotsonis"/>
  </r>
  <r>
    <x v="1"/>
    <s v="Cynthia Voltz"/>
  </r>
  <r>
    <x v="1"/>
    <s v="Filia McAdams"/>
  </r>
  <r>
    <x v="1"/>
    <s v="Max Ludwig"/>
  </r>
  <r>
    <x v="2"/>
    <s v="John Murray"/>
  </r>
  <r>
    <x v="3"/>
    <s v="Nat Carroll"/>
  </r>
  <r>
    <x v="0"/>
    <s v="Mick Hernandez"/>
  </r>
  <r>
    <x v="1"/>
    <s v="Kimberly Carter"/>
  </r>
  <r>
    <x v="0"/>
    <s v="Heather Kirkland"/>
  </r>
  <r>
    <x v="1"/>
    <s v="Lindsay Williams"/>
  </r>
  <r>
    <x v="0"/>
    <s v="Gary Hansen"/>
  </r>
  <r>
    <x v="0"/>
    <s v="Dorris liebe"/>
  </r>
  <r>
    <x v="3"/>
    <s v="Dianna Vittorini"/>
  </r>
  <r>
    <x v="0"/>
    <s v="Clay Cheatham"/>
  </r>
  <r>
    <x v="0"/>
    <s v="Allen Rosenblatt"/>
  </r>
  <r>
    <x v="1"/>
    <s v="Dan Campbell"/>
  </r>
  <r>
    <x v="1"/>
    <s v="Victor Preis"/>
  </r>
  <r>
    <x v="0"/>
    <s v="Chuck Sachs"/>
  </r>
  <r>
    <x v="3"/>
    <s v="Linda Southworth"/>
  </r>
  <r>
    <x v="1"/>
    <s v="Cari Schnelling"/>
  </r>
  <r>
    <x v="2"/>
    <s v="Mark Hamilton"/>
  </r>
  <r>
    <x v="3"/>
    <s v="Raymond Buch"/>
  </r>
  <r>
    <x v="0"/>
    <s v="George Zrebassa"/>
  </r>
  <r>
    <x v="1"/>
    <s v="Matt Hagelstein"/>
  </r>
  <r>
    <x v="1"/>
    <s v="Fred McMath"/>
  </r>
  <r>
    <x v="2"/>
    <s v="Nat Gilpin"/>
  </r>
  <r>
    <x v="0"/>
    <s v="Patrick O'Brill"/>
  </r>
  <r>
    <x v="3"/>
    <s v="Alan Haines"/>
  </r>
  <r>
    <x v="0"/>
    <s v="Guy Armstrong"/>
  </r>
  <r>
    <x v="1"/>
    <s v="Allen Rosenblatt"/>
  </r>
  <r>
    <x v="2"/>
    <s v="Bradley Nguyen"/>
  </r>
  <r>
    <x v="0"/>
    <s v="Emily Phan"/>
  </r>
  <r>
    <x v="2"/>
    <s v="Linda Cazamias"/>
  </r>
  <r>
    <x v="0"/>
    <s v="Jessica Myrick"/>
  </r>
  <r>
    <x v="1"/>
    <s v="Speros Goranitis"/>
  </r>
  <r>
    <x v="3"/>
    <s v="Brenda Bowman"/>
  </r>
  <r>
    <x v="0"/>
    <s v="Barry Blumstein"/>
  </r>
  <r>
    <x v="1"/>
    <s v="Seth Vernon"/>
  </r>
  <r>
    <x v="2"/>
    <s v="Rick Hansen"/>
  </r>
  <r>
    <x v="3"/>
    <s v="Sanjit Jacobs"/>
  </r>
  <r>
    <x v="0"/>
    <s v="Ken Heidel"/>
  </r>
  <r>
    <x v="1"/>
    <s v="Amy Cox"/>
  </r>
  <r>
    <x v="2"/>
    <s v="Nick Zandusky"/>
  </r>
  <r>
    <x v="1"/>
    <s v="Evan Bailliet"/>
  </r>
  <r>
    <x v="3"/>
    <s v="Scot Wooten"/>
  </r>
  <r>
    <x v="3"/>
    <s v="Frank Gastineau"/>
  </r>
  <r>
    <x v="0"/>
    <s v="Saphhira Shifley"/>
  </r>
  <r>
    <x v="1"/>
    <s v="Patricia Hirasaki"/>
  </r>
  <r>
    <x v="0"/>
    <s v="Tom Ashbrook"/>
  </r>
  <r>
    <x v="1"/>
    <s v="Patrick O'Brill"/>
  </r>
  <r>
    <x v="2"/>
    <s v="George Bell"/>
  </r>
  <r>
    <x v="3"/>
    <s v="Grant Thornton"/>
  </r>
  <r>
    <x v="0"/>
    <s v="Troy Staebel"/>
  </r>
  <r>
    <x v="0"/>
    <s v="Roger Barcio"/>
  </r>
  <r>
    <x v="1"/>
    <s v="Dana Kaydos"/>
  </r>
  <r>
    <x v="1"/>
    <s v="Jonathan Howell"/>
  </r>
  <r>
    <x v="2"/>
    <s v="Janet Martin"/>
  </r>
  <r>
    <x v="3"/>
    <s v="Lynn Smith"/>
  </r>
  <r>
    <x v="1"/>
    <s v="Ted Trevino"/>
  </r>
  <r>
    <x v="1"/>
    <s v="Joseph Holt"/>
  </r>
  <r>
    <x v="2"/>
    <s v="Victoria Wilson"/>
  </r>
  <r>
    <x v="1"/>
    <s v="Ken Brennan"/>
  </r>
  <r>
    <x v="2"/>
    <s v="Ben Peterman"/>
  </r>
  <r>
    <x v="3"/>
    <s v="Mike Vittorini"/>
  </r>
  <r>
    <x v="0"/>
    <s v="Mike Pelletier"/>
  </r>
  <r>
    <x v="1"/>
    <s v="Paul Lucas"/>
  </r>
  <r>
    <x v="1"/>
    <s v="Michael Moore"/>
  </r>
  <r>
    <x v="2"/>
    <s v="Sandra Glassco"/>
  </r>
  <r>
    <x v="0"/>
    <s v="Gary Zandusky"/>
  </r>
  <r>
    <x v="2"/>
    <s v="Kristen Hasting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9">
  <r>
    <d v="2014-01-02T00:00:00"/>
    <x v="0"/>
    <x v="0"/>
    <x v="0"/>
    <x v="0"/>
    <x v="0"/>
    <x v="0"/>
    <s v="Message Book, Wirebound, Four 5 1/2&quot; X 4&quot; Forms/Pg., 200 Dupl. Sets/Book"/>
    <n v="16.45"/>
    <n v="2"/>
    <n v="5.55"/>
  </r>
  <r>
    <d v="2014-01-03T00:00:00"/>
    <x v="0"/>
    <x v="0"/>
    <x v="1"/>
    <x v="1"/>
    <x v="0"/>
    <x v="1"/>
    <s v="Avery 508"/>
    <n v="11.78"/>
    <n v="3"/>
    <n v="4.2699999999999996"/>
  </r>
  <r>
    <d v="2014-01-04T00:00:00"/>
    <x v="0"/>
    <x v="0"/>
    <x v="2"/>
    <x v="2"/>
    <x v="0"/>
    <x v="2"/>
    <s v="Avery Hi-Liter EverBold Pen Style Fluorescent Highlighters, 4/Pack"/>
    <n v="19.54"/>
    <n v="3"/>
    <n v="4.88"/>
  </r>
  <r>
    <d v="2014-01-07T00:00:00"/>
    <x v="0"/>
    <x v="0"/>
    <x v="3"/>
    <x v="3"/>
    <x v="0"/>
    <x v="0"/>
    <s v="Xerox 225"/>
    <n v="19.440000000000001"/>
    <n v="3"/>
    <n v="9.33"/>
  </r>
  <r>
    <d v="2014-01-08T00:00:00"/>
    <x v="0"/>
    <x v="0"/>
    <x v="4"/>
    <x v="0"/>
    <x v="1"/>
    <x v="3"/>
    <s v="Howard Miller 14-1/2&quot; Diameter Chrome Round Wall Clock"/>
    <n v="76.73"/>
    <n v="3"/>
    <n v="-53.71"/>
  </r>
  <r>
    <d v="2014-01-09T00:00:00"/>
    <x v="0"/>
    <x v="0"/>
    <x v="5"/>
    <x v="0"/>
    <x v="0"/>
    <x v="2"/>
    <s v="Newell 312"/>
    <n v="9.34"/>
    <n v="2"/>
    <n v="1.17"/>
  </r>
  <r>
    <d v="2014-01-11T00:00:00"/>
    <x v="0"/>
    <x v="0"/>
    <x v="6"/>
    <x v="4"/>
    <x v="0"/>
    <x v="1"/>
    <s v="Avery 482"/>
    <n v="2.89"/>
    <n v="1"/>
    <n v="1.36"/>
  </r>
  <r>
    <d v="2014-01-12T00:00:00"/>
    <x v="0"/>
    <x v="0"/>
    <x v="7"/>
    <x v="5"/>
    <x v="1"/>
    <x v="3"/>
    <s v="DAX Value U-Channel Document Frames, Easel Back"/>
    <n v="9.94"/>
    <n v="2"/>
    <n v="3.08"/>
  </r>
  <r>
    <d v="2014-02-02T00:00:00"/>
    <x v="1"/>
    <x v="0"/>
    <x v="8"/>
    <x v="6"/>
    <x v="0"/>
    <x v="4"/>
    <s v="Staple envelope"/>
    <n v="11.36"/>
    <n v="2"/>
    <n v="5.34"/>
  </r>
  <r>
    <d v="2014-02-04T00:00:00"/>
    <x v="1"/>
    <x v="0"/>
    <x v="9"/>
    <x v="2"/>
    <x v="1"/>
    <x v="5"/>
    <s v="Sauder Cornerstone Collection Library"/>
    <n v="61.96"/>
    <n v="4"/>
    <n v="-53.29"/>
  </r>
  <r>
    <d v="2014-02-05T00:00:00"/>
    <x v="1"/>
    <x v="0"/>
    <x v="10"/>
    <x v="7"/>
    <x v="2"/>
    <x v="6"/>
    <s v="Logitech 910-002974 M325 Wireless Mouse for Web Scrolling"/>
    <n v="149.94999999999999"/>
    <n v="5"/>
    <n v="65.98"/>
  </r>
  <r>
    <d v="2014-02-06T00:00:00"/>
    <x v="1"/>
    <x v="0"/>
    <x v="11"/>
    <x v="2"/>
    <x v="1"/>
    <x v="3"/>
    <s v="DAX Black Cherry Wood-Tone Poster Frame"/>
    <n v="127.1"/>
    <n v="6"/>
    <n v="28.6"/>
  </r>
  <r>
    <d v="2014-02-07T00:00:00"/>
    <x v="1"/>
    <x v="0"/>
    <x v="12"/>
    <x v="8"/>
    <x v="0"/>
    <x v="7"/>
    <s v="Fellowes Mighty 8 Compact Surge Protector"/>
    <n v="64.86"/>
    <n v="4"/>
    <n v="6.49"/>
  </r>
  <r>
    <d v="2014-02-08T00:00:00"/>
    <x v="1"/>
    <x v="0"/>
    <x v="13"/>
    <x v="9"/>
    <x v="0"/>
    <x v="8"/>
    <s v="GBC Standard Recycled Report Covers, Clear Plastic Sheets"/>
    <n v="32.340000000000003"/>
    <n v="10"/>
    <n v="-23.72"/>
  </r>
  <r>
    <d v="2014-02-09T00:00:00"/>
    <x v="1"/>
    <x v="0"/>
    <x v="14"/>
    <x v="10"/>
    <x v="2"/>
    <x v="9"/>
    <s v="Apple iPhone 5C"/>
    <n v="699.93"/>
    <n v="7"/>
    <n v="181.98"/>
  </r>
  <r>
    <d v="2014-02-10T00:00:00"/>
    <x v="1"/>
    <x v="0"/>
    <x v="15"/>
    <x v="11"/>
    <x v="1"/>
    <x v="3"/>
    <s v="Ultra Door Pull Handle"/>
    <n v="25.25"/>
    <n v="3"/>
    <n v="4.0999999999999996"/>
  </r>
  <r>
    <d v="2014-02-11T00:00:00"/>
    <x v="1"/>
    <x v="0"/>
    <x v="16"/>
    <x v="12"/>
    <x v="0"/>
    <x v="0"/>
    <s v="Xerox 195"/>
    <n v="40.08"/>
    <n v="6"/>
    <n v="19.239999999999998"/>
  </r>
  <r>
    <d v="2014-03-01T00:00:00"/>
    <x v="2"/>
    <x v="0"/>
    <x v="17"/>
    <x v="4"/>
    <x v="1"/>
    <x v="3"/>
    <s v="GE General Use Halogen Bulbs, 100 Watts, 1 Bulb per Pack"/>
    <n v="62.82"/>
    <n v="3"/>
    <n v="30.78"/>
  </r>
  <r>
    <d v="2014-03-02T00:00:00"/>
    <x v="2"/>
    <x v="0"/>
    <x v="18"/>
    <x v="3"/>
    <x v="0"/>
    <x v="10"/>
    <s v="Recycled Steel Personal File for Hanging File Folders"/>
    <n v="57.23"/>
    <n v="1"/>
    <n v="14.31"/>
  </r>
  <r>
    <d v="2014-03-05T00:00:00"/>
    <x v="2"/>
    <x v="0"/>
    <x v="19"/>
    <x v="13"/>
    <x v="0"/>
    <x v="8"/>
    <s v="Pressboard Covers with Storage Hooks, 9 1/2&quot; x 11&quot;, Light Blue"/>
    <n v="3.93"/>
    <n v="1"/>
    <n v="1.33"/>
  </r>
  <r>
    <d v="2014-03-06T00:00:00"/>
    <x v="2"/>
    <x v="0"/>
    <x v="20"/>
    <x v="14"/>
    <x v="0"/>
    <x v="0"/>
    <s v="Xerox 1972"/>
    <n v="10.56"/>
    <n v="2"/>
    <n v="4.75"/>
  </r>
  <r>
    <d v="2014-03-08T00:00:00"/>
    <x v="2"/>
    <x v="0"/>
    <x v="21"/>
    <x v="3"/>
    <x v="1"/>
    <x v="5"/>
    <s v="Sauder Facets Collection Library, Sky Alder Finish"/>
    <n v="290.67"/>
    <n v="2"/>
    <n v="3.42"/>
  </r>
  <r>
    <d v="2014-03-09T00:00:00"/>
    <x v="2"/>
    <x v="0"/>
    <x v="22"/>
    <x v="15"/>
    <x v="2"/>
    <x v="6"/>
    <s v="Enermax Aurora Lite Keyboard"/>
    <n v="468.9"/>
    <n v="6"/>
    <n v="206.32"/>
  </r>
  <r>
    <d v="2014-03-11T00:00:00"/>
    <x v="2"/>
    <x v="0"/>
    <x v="23"/>
    <x v="3"/>
    <x v="0"/>
    <x v="11"/>
    <s v="Staples"/>
    <n v="12.35"/>
    <n v="5"/>
    <n v="5.8"/>
  </r>
  <r>
    <d v="2014-03-12T00:00:00"/>
    <x v="2"/>
    <x v="0"/>
    <x v="15"/>
    <x v="16"/>
    <x v="0"/>
    <x v="8"/>
    <s v="Ibico Laser Imprintable Binding System Covers"/>
    <n v="83.84"/>
    <n v="2"/>
    <n v="27.25"/>
  </r>
  <r>
    <d v="2014-04-01T00:00:00"/>
    <x v="3"/>
    <x v="0"/>
    <x v="24"/>
    <x v="3"/>
    <x v="0"/>
    <x v="8"/>
    <s v="GBC Recycled Grain Textured Covers"/>
    <n v="82.9"/>
    <n v="3"/>
    <n v="29.01"/>
  </r>
  <r>
    <d v="2014-04-02T00:00:00"/>
    <x v="3"/>
    <x v="0"/>
    <x v="25"/>
    <x v="4"/>
    <x v="0"/>
    <x v="1"/>
    <s v="Avery 480"/>
    <n v="15"/>
    <n v="4"/>
    <n v="7.2"/>
  </r>
  <r>
    <d v="2014-04-03T00:00:00"/>
    <x v="3"/>
    <x v="0"/>
    <x v="26"/>
    <x v="17"/>
    <x v="2"/>
    <x v="6"/>
    <s v="Maxell DVD-RAM Discs"/>
    <n v="115.36"/>
    <n v="7"/>
    <n v="49.6"/>
  </r>
  <r>
    <d v="2014-04-04T00:00:00"/>
    <x v="3"/>
    <x v="0"/>
    <x v="27"/>
    <x v="12"/>
    <x v="1"/>
    <x v="3"/>
    <s v="Master Caster Door Stop, Large Brown"/>
    <n v="14.56"/>
    <n v="2"/>
    <n v="5.53"/>
  </r>
  <r>
    <d v="2014-04-05T00:00:00"/>
    <x v="3"/>
    <x v="0"/>
    <x v="28"/>
    <x v="3"/>
    <x v="1"/>
    <x v="12"/>
    <s v="Global Geo Office Task Chair, Gray"/>
    <n v="129.57"/>
    <n v="2"/>
    <n v="-24.29"/>
  </r>
  <r>
    <d v="2014-04-06T00:00:00"/>
    <x v="3"/>
    <x v="0"/>
    <x v="29"/>
    <x v="0"/>
    <x v="0"/>
    <x v="0"/>
    <s v="Memo Book, 100 Message Capacity, 5 3/8 x 11"/>
    <n v="16.18"/>
    <n v="3"/>
    <n v="6.07"/>
  </r>
  <r>
    <d v="2014-04-07T00:00:00"/>
    <x v="3"/>
    <x v="0"/>
    <x v="30"/>
    <x v="16"/>
    <x v="0"/>
    <x v="8"/>
    <s v="Pressboard Data Binders by Wilson Jones"/>
    <n v="21.36"/>
    <n v="5"/>
    <n v="7.21"/>
  </r>
  <r>
    <d v="2014-04-08T00:00:00"/>
    <x v="3"/>
    <x v="0"/>
    <x v="31"/>
    <x v="0"/>
    <x v="0"/>
    <x v="8"/>
    <s v="Wilson Jones Easy Flow II Sheet Lifters"/>
    <n v="1.08"/>
    <n v="3"/>
    <n v="-1.73"/>
  </r>
  <r>
    <d v="2014-04-10T00:00:00"/>
    <x v="3"/>
    <x v="0"/>
    <x v="11"/>
    <x v="1"/>
    <x v="0"/>
    <x v="2"/>
    <s v="Staples in misc. colors"/>
    <n v="54.21"/>
    <n v="14"/>
    <n v="8.81"/>
  </r>
  <r>
    <d v="2014-04-11T00:00:00"/>
    <x v="3"/>
    <x v="0"/>
    <x v="32"/>
    <x v="0"/>
    <x v="1"/>
    <x v="3"/>
    <s v="DAX Copper Panel Document Frame, 5 x 7 Size"/>
    <n v="25.16"/>
    <n v="5"/>
    <n v="-11.32"/>
  </r>
  <r>
    <d v="2014-04-12T00:00:00"/>
    <x v="3"/>
    <x v="0"/>
    <x v="33"/>
    <x v="18"/>
    <x v="2"/>
    <x v="6"/>
    <s v="Enermax Briskie RF Wireless Keyboard and Mouse Combo"/>
    <n v="62.31"/>
    <n v="3"/>
    <n v="22.43"/>
  </r>
  <r>
    <d v="2014-05-01T00:00:00"/>
    <x v="4"/>
    <x v="0"/>
    <x v="34"/>
    <x v="1"/>
    <x v="0"/>
    <x v="8"/>
    <s v="GBC Standard Plastic Binding Systems Combs"/>
    <n v="8.85"/>
    <n v="5"/>
    <n v="-13.72"/>
  </r>
  <r>
    <d v="2014-05-03T00:00:00"/>
    <x v="4"/>
    <x v="0"/>
    <x v="35"/>
    <x v="0"/>
    <x v="0"/>
    <x v="1"/>
    <s v="Staple-on labels"/>
    <n v="6.94"/>
    <n v="3"/>
    <n v="2.34"/>
  </r>
  <r>
    <d v="2014-05-04T00:00:00"/>
    <x v="4"/>
    <x v="0"/>
    <x v="36"/>
    <x v="19"/>
    <x v="0"/>
    <x v="2"/>
    <s v="Zebra Zazzle Fluorescent Highlighters"/>
    <n v="19.46"/>
    <n v="4"/>
    <n v="3.4"/>
  </r>
  <r>
    <d v="2014-05-05T00:00:00"/>
    <x v="4"/>
    <x v="0"/>
    <x v="37"/>
    <x v="16"/>
    <x v="1"/>
    <x v="12"/>
    <s v="Global Deluxe High-Back Manager's Chair"/>
    <n v="457.57"/>
    <n v="2"/>
    <n v="51.48"/>
  </r>
  <r>
    <d v="2014-05-07T00:00:00"/>
    <x v="4"/>
    <x v="0"/>
    <x v="38"/>
    <x v="20"/>
    <x v="0"/>
    <x v="10"/>
    <s v="Sensible Storage WireTech Storage Systems"/>
    <n v="354.9"/>
    <n v="5"/>
    <n v="17.75"/>
  </r>
  <r>
    <d v="2014-05-08T00:00:00"/>
    <x v="4"/>
    <x v="0"/>
    <x v="39"/>
    <x v="13"/>
    <x v="0"/>
    <x v="2"/>
    <s v="Newell 345"/>
    <n v="59.52"/>
    <n v="3"/>
    <n v="15.48"/>
  </r>
  <r>
    <d v="2014-05-10T00:00:00"/>
    <x v="4"/>
    <x v="0"/>
    <x v="40"/>
    <x v="16"/>
    <x v="1"/>
    <x v="12"/>
    <s v="Global Push Button Manager's Chair, Indigo"/>
    <n v="48.71"/>
    <n v="1"/>
    <n v="5.48"/>
  </r>
  <r>
    <d v="2014-05-11T00:00:00"/>
    <x v="4"/>
    <x v="0"/>
    <x v="41"/>
    <x v="14"/>
    <x v="0"/>
    <x v="0"/>
    <s v="Geographics Note Cards, Blank, White, 8 1/2&quot; x 11&quot;"/>
    <n v="22.38"/>
    <n v="2"/>
    <n v="10.74"/>
  </r>
  <r>
    <d v="2014-05-12T00:00:00"/>
    <x v="4"/>
    <x v="0"/>
    <x v="42"/>
    <x v="19"/>
    <x v="1"/>
    <x v="3"/>
    <s v="Eldon Wave Desk Accessories"/>
    <n v="8.32"/>
    <n v="5"/>
    <n v="2.29"/>
  </r>
  <r>
    <d v="2014-06-01T00:00:00"/>
    <x v="5"/>
    <x v="0"/>
    <x v="43"/>
    <x v="11"/>
    <x v="0"/>
    <x v="10"/>
    <s v="Hot File 7-Pocket, Floor Stand"/>
    <n v="142.78"/>
    <n v="1"/>
    <n v="17.850000000000001"/>
  </r>
  <r>
    <d v="2014-06-02T00:00:00"/>
    <x v="5"/>
    <x v="0"/>
    <x v="44"/>
    <x v="21"/>
    <x v="2"/>
    <x v="9"/>
    <s v="Polycom VoiceStation 500 Conference phone"/>
    <n v="471.92"/>
    <n v="2"/>
    <n v="29.5"/>
  </r>
  <r>
    <d v="2014-06-04T00:00:00"/>
    <x v="5"/>
    <x v="0"/>
    <x v="45"/>
    <x v="22"/>
    <x v="0"/>
    <x v="7"/>
    <s v="Bionaire Personal Warm Mist Humidifier/Vaporizer"/>
    <n v="93.78"/>
    <n v="2"/>
    <n v="36.57"/>
  </r>
  <r>
    <d v="2014-06-05T00:00:00"/>
    <x v="5"/>
    <x v="0"/>
    <x v="46"/>
    <x v="11"/>
    <x v="2"/>
    <x v="13"/>
    <s v="Hewlett-Packard Deskjet 6540 Color Inkjet Printer"/>
    <n v="821.3"/>
    <n v="4"/>
    <n v="-16.43"/>
  </r>
  <r>
    <d v="2014-06-06T00:00:00"/>
    <x v="5"/>
    <x v="0"/>
    <x v="47"/>
    <x v="11"/>
    <x v="2"/>
    <x v="9"/>
    <s v="Cisco 8x8 Inc. 6753i IP Business Phone System"/>
    <n v="323.98"/>
    <n v="3"/>
    <n v="28.35"/>
  </r>
  <r>
    <d v="2014-06-07T00:00:00"/>
    <x v="5"/>
    <x v="0"/>
    <x v="48"/>
    <x v="19"/>
    <x v="0"/>
    <x v="2"/>
    <s v="Binney &amp; Smith Crayola Metallic Colored Pencils, 8-Color Set"/>
    <n v="7.41"/>
    <n v="2"/>
    <n v="1.2"/>
  </r>
  <r>
    <d v="2014-06-08T00:00:00"/>
    <x v="5"/>
    <x v="0"/>
    <x v="49"/>
    <x v="21"/>
    <x v="0"/>
    <x v="8"/>
    <s v="C-Line Peel &amp; Stick Add-On Filing Pockets, 8-3/4 x 5-1/8, 10/Pack"/>
    <n v="7.64"/>
    <n v="4"/>
    <n v="-5.86"/>
  </r>
  <r>
    <d v="2014-06-10T00:00:00"/>
    <x v="5"/>
    <x v="0"/>
    <x v="50"/>
    <x v="3"/>
    <x v="0"/>
    <x v="10"/>
    <s v="Economy Rollaway Files"/>
    <n v="330.4"/>
    <n v="2"/>
    <n v="85.9"/>
  </r>
  <r>
    <d v="2014-06-11T00:00:00"/>
    <x v="5"/>
    <x v="0"/>
    <x v="51"/>
    <x v="13"/>
    <x v="0"/>
    <x v="0"/>
    <s v="Xerox 190"/>
    <n v="24.9"/>
    <n v="5"/>
    <n v="11.7"/>
  </r>
  <r>
    <d v="2014-06-12T00:00:00"/>
    <x v="5"/>
    <x v="0"/>
    <x v="52"/>
    <x v="13"/>
    <x v="1"/>
    <x v="12"/>
    <s v="Iceberg Nesting Folding Chair, 19w x 6d x 43h"/>
    <n v="366.79"/>
    <n v="7"/>
    <n v="65.209999999999994"/>
  </r>
  <r>
    <d v="2014-07-01T00:00:00"/>
    <x v="6"/>
    <x v="0"/>
    <x v="53"/>
    <x v="3"/>
    <x v="2"/>
    <x v="6"/>
    <s v="SanDisk Ultra 32 GB MicroSDHC Class 10 Memory Card"/>
    <n v="66.3"/>
    <n v="3"/>
    <n v="8.6199999999999992"/>
  </r>
  <r>
    <d v="2014-07-02T00:00:00"/>
    <x v="6"/>
    <x v="0"/>
    <x v="54"/>
    <x v="23"/>
    <x v="0"/>
    <x v="4"/>
    <s v="Poly String Tie Envelopes"/>
    <n v="6.12"/>
    <n v="3"/>
    <n v="2.88"/>
  </r>
  <r>
    <d v="2014-07-03T00:00:00"/>
    <x v="6"/>
    <x v="0"/>
    <x v="55"/>
    <x v="0"/>
    <x v="1"/>
    <x v="14"/>
    <s v="Bush Advantage Collection Racetrack Conference Table"/>
    <n v="890.84"/>
    <n v="3"/>
    <n v="-152.72"/>
  </r>
  <r>
    <d v="2014-07-04T00:00:00"/>
    <x v="6"/>
    <x v="0"/>
    <x v="56"/>
    <x v="13"/>
    <x v="0"/>
    <x v="2"/>
    <s v="Peel-Off China Markers"/>
    <n v="49.65"/>
    <n v="5"/>
    <n v="20.85"/>
  </r>
  <r>
    <d v="2014-07-05T00:00:00"/>
    <x v="6"/>
    <x v="0"/>
    <x v="57"/>
    <x v="3"/>
    <x v="0"/>
    <x v="8"/>
    <s v="GBC DocuBind 200 Manual Binding Machine"/>
    <n v="673.57"/>
    <n v="2"/>
    <n v="252.59"/>
  </r>
  <r>
    <d v="2014-07-06T00:00:00"/>
    <x v="6"/>
    <x v="0"/>
    <x v="56"/>
    <x v="3"/>
    <x v="0"/>
    <x v="1"/>
    <s v="Avery 490"/>
    <n v="29.6"/>
    <n v="2"/>
    <n v="14.8"/>
  </r>
  <r>
    <d v="2014-07-07T00:00:00"/>
    <x v="6"/>
    <x v="0"/>
    <x v="58"/>
    <x v="7"/>
    <x v="0"/>
    <x v="0"/>
    <s v="Xerox 1990"/>
    <n v="15.84"/>
    <n v="3"/>
    <n v="7.13"/>
  </r>
  <r>
    <d v="2014-07-09T00:00:00"/>
    <x v="6"/>
    <x v="0"/>
    <x v="59"/>
    <x v="3"/>
    <x v="0"/>
    <x v="1"/>
    <s v="Avery 518"/>
    <n v="18.899999999999999"/>
    <n v="6"/>
    <n v="9.07"/>
  </r>
  <r>
    <d v="2014-07-11T00:00:00"/>
    <x v="6"/>
    <x v="0"/>
    <x v="60"/>
    <x v="13"/>
    <x v="0"/>
    <x v="0"/>
    <s v="Eaton Premium Continuous-Feed Paper, 25% Cotton, Letter Size, White, 1000 Shts/Box"/>
    <n v="55.48"/>
    <n v="1"/>
    <n v="26.63"/>
  </r>
  <r>
    <d v="2014-07-12T00:00:00"/>
    <x v="6"/>
    <x v="0"/>
    <x v="61"/>
    <x v="2"/>
    <x v="0"/>
    <x v="8"/>
    <s v="Large Capacity Hanging Post Binders"/>
    <n v="44.91"/>
    <n v="6"/>
    <n v="-35.93"/>
  </r>
  <r>
    <d v="2014-08-02T00:00:00"/>
    <x v="7"/>
    <x v="0"/>
    <x v="62"/>
    <x v="24"/>
    <x v="1"/>
    <x v="3"/>
    <s v="Stacking Tray, Side-Loading, Legal, Smoke"/>
    <n v="8.9600000000000009"/>
    <n v="2"/>
    <n v="2.78"/>
  </r>
  <r>
    <d v="2014-08-04T00:00:00"/>
    <x v="7"/>
    <x v="0"/>
    <x v="63"/>
    <x v="9"/>
    <x v="0"/>
    <x v="11"/>
    <s v="Binder Clips by OIC"/>
    <n v="2.37"/>
    <n v="2"/>
    <n v="0.83"/>
  </r>
  <r>
    <d v="2014-08-05T00:00:00"/>
    <x v="7"/>
    <x v="0"/>
    <x v="64"/>
    <x v="11"/>
    <x v="0"/>
    <x v="11"/>
    <s v="Acco Banker's Clasps, 5 3/4&quot;-Long"/>
    <n v="6.91"/>
    <n v="3"/>
    <n v="2.33"/>
  </r>
  <r>
    <d v="2014-08-06T00:00:00"/>
    <x v="7"/>
    <x v="0"/>
    <x v="65"/>
    <x v="3"/>
    <x v="2"/>
    <x v="9"/>
    <s v="Pyle PMP37LED"/>
    <n v="1075.0899999999999"/>
    <n v="14"/>
    <n v="94.07"/>
  </r>
  <r>
    <d v="2014-08-07T00:00:00"/>
    <x v="7"/>
    <x v="0"/>
    <x v="53"/>
    <x v="2"/>
    <x v="0"/>
    <x v="2"/>
    <s v="Newell 314"/>
    <n v="17.86"/>
    <n v="4"/>
    <n v="1.1200000000000001"/>
  </r>
  <r>
    <d v="2014-08-08T00:00:00"/>
    <x v="7"/>
    <x v="0"/>
    <x v="66"/>
    <x v="3"/>
    <x v="0"/>
    <x v="7"/>
    <s v="Belkin F9G930V10-GRY 9 Outlet Surge"/>
    <n v="106.96"/>
    <n v="2"/>
    <n v="31.02"/>
  </r>
  <r>
    <d v="2014-08-10T00:00:00"/>
    <x v="7"/>
    <x v="0"/>
    <x v="67"/>
    <x v="3"/>
    <x v="2"/>
    <x v="13"/>
    <s v="Ativa MDM8000 8-Sheet Micro-Cut Shredder"/>
    <n v="287.97000000000003"/>
    <n v="4"/>
    <n v="97.19"/>
  </r>
  <r>
    <d v="2014-08-11T00:00:00"/>
    <x v="7"/>
    <x v="0"/>
    <x v="68"/>
    <x v="3"/>
    <x v="1"/>
    <x v="3"/>
    <s v="Executive Impressions 13&quot; Chairman Wall Clock"/>
    <n v="76.14"/>
    <n v="3"/>
    <n v="26.65"/>
  </r>
  <r>
    <d v="2014-08-12T00:00:00"/>
    <x v="7"/>
    <x v="0"/>
    <x v="7"/>
    <x v="0"/>
    <x v="1"/>
    <x v="14"/>
    <s v="Bush Advantage Collection Round Conference Table"/>
    <n v="744.1"/>
    <n v="5"/>
    <n v="-95.67"/>
  </r>
  <r>
    <d v="2014-09-01T00:00:00"/>
    <x v="8"/>
    <x v="0"/>
    <x v="69"/>
    <x v="2"/>
    <x v="0"/>
    <x v="8"/>
    <s v="Wilson Jones Suede Grain Vinyl Binders"/>
    <n v="2.5"/>
    <n v="3"/>
    <n v="-1.75"/>
  </r>
  <r>
    <d v="2014-09-05T00:00:00"/>
    <x v="8"/>
    <x v="0"/>
    <x v="70"/>
    <x v="0"/>
    <x v="0"/>
    <x v="0"/>
    <s v="Xerox 1985"/>
    <n v="10.37"/>
    <n v="2"/>
    <n v="3.63"/>
  </r>
  <r>
    <d v="2014-09-06T00:00:00"/>
    <x v="8"/>
    <x v="0"/>
    <x v="71"/>
    <x v="3"/>
    <x v="1"/>
    <x v="12"/>
    <s v="Bevis Steel Folding Chairs"/>
    <n v="230.28"/>
    <n v="3"/>
    <n v="23.03"/>
  </r>
  <r>
    <d v="2014-09-08T00:00:00"/>
    <x v="8"/>
    <x v="0"/>
    <x v="72"/>
    <x v="25"/>
    <x v="0"/>
    <x v="8"/>
    <s v="Acco Data Flex Cable Posts For Top &amp; Bottom Load Binders, 6&quot; Capacity"/>
    <n v="20.86"/>
    <n v="2"/>
    <n v="9.39"/>
  </r>
  <r>
    <d v="2014-09-09T00:00:00"/>
    <x v="8"/>
    <x v="0"/>
    <x v="73"/>
    <x v="13"/>
    <x v="1"/>
    <x v="3"/>
    <s v="Dax Clear Box Frame"/>
    <n v="17.46"/>
    <n v="2"/>
    <n v="5.94"/>
  </r>
  <r>
    <d v="2014-09-12T00:00:00"/>
    <x v="8"/>
    <x v="0"/>
    <x v="34"/>
    <x v="26"/>
    <x v="2"/>
    <x v="6"/>
    <s v="Maxell 4.7GB DVD-RW 3/Pack"/>
    <n v="47.79"/>
    <n v="3"/>
    <n v="16.25"/>
  </r>
  <r>
    <d v="2014-10-01T00:00:00"/>
    <x v="9"/>
    <x v="0"/>
    <x v="74"/>
    <x v="19"/>
    <x v="0"/>
    <x v="7"/>
    <s v="Belkin 6 Outlet Metallic Surge Strip"/>
    <n v="26.14"/>
    <n v="3"/>
    <n v="1.96"/>
  </r>
  <r>
    <d v="2014-10-03T00:00:00"/>
    <x v="9"/>
    <x v="0"/>
    <x v="75"/>
    <x v="15"/>
    <x v="0"/>
    <x v="1"/>
    <s v="Avery 481"/>
    <n v="21.56"/>
    <n v="7"/>
    <n v="10.35"/>
  </r>
  <r>
    <d v="2014-10-05T00:00:00"/>
    <x v="9"/>
    <x v="0"/>
    <x v="76"/>
    <x v="14"/>
    <x v="0"/>
    <x v="8"/>
    <s v="Fellowes Binding Cases"/>
    <n v="46.8"/>
    <n v="4"/>
    <n v="21.06"/>
  </r>
  <r>
    <d v="2014-10-06T00:00:00"/>
    <x v="9"/>
    <x v="0"/>
    <x v="77"/>
    <x v="27"/>
    <x v="0"/>
    <x v="0"/>
    <s v="Adams &quot;While You Were Out&quot; Message Pads"/>
    <n v="9.42"/>
    <n v="3"/>
    <n v="4.24"/>
  </r>
  <r>
    <d v="2014-10-10T00:00:00"/>
    <x v="9"/>
    <x v="0"/>
    <x v="78"/>
    <x v="3"/>
    <x v="0"/>
    <x v="8"/>
    <s v="Wilson Jones Legal Size Ring Binders"/>
    <n v="140.74"/>
    <n v="8"/>
    <n v="52.78"/>
  </r>
  <r>
    <d v="2014-10-11T00:00:00"/>
    <x v="9"/>
    <x v="0"/>
    <x v="79"/>
    <x v="28"/>
    <x v="0"/>
    <x v="8"/>
    <s v="Acco PRESSTEX Data Binder with Storage Hooks, Dark Blue, 14 7/8&quot; X 11&quot;"/>
    <n v="16.14"/>
    <n v="3"/>
    <n v="7.91"/>
  </r>
  <r>
    <d v="2014-11-01T00:00:00"/>
    <x v="10"/>
    <x v="0"/>
    <x v="80"/>
    <x v="2"/>
    <x v="2"/>
    <x v="15"/>
    <s v="Hewlett Packard LaserJet 3310 Copier"/>
    <n v="1799.97"/>
    <n v="5"/>
    <n v="240"/>
  </r>
  <r>
    <d v="2014-11-03T00:00:00"/>
    <x v="10"/>
    <x v="0"/>
    <x v="81"/>
    <x v="3"/>
    <x v="2"/>
    <x v="6"/>
    <s v="Kingston Digital DataTraveler 32GB USB 2.0"/>
    <n v="67.8"/>
    <n v="4"/>
    <n v="4.07"/>
  </r>
  <r>
    <d v="2014-11-04T00:00:00"/>
    <x v="10"/>
    <x v="0"/>
    <x v="82"/>
    <x v="16"/>
    <x v="0"/>
    <x v="4"/>
    <s v="Strathmore #10 Envelopes, Ultimate White"/>
    <n v="158.13"/>
    <n v="3"/>
    <n v="77.48"/>
  </r>
  <r>
    <d v="2014-11-05T00:00:00"/>
    <x v="10"/>
    <x v="0"/>
    <x v="83"/>
    <x v="0"/>
    <x v="2"/>
    <x v="6"/>
    <s v="SanDisk Cruzer 64 GB USB Flash Drive"/>
    <n v="58.11"/>
    <n v="2"/>
    <n v="7.26"/>
  </r>
  <r>
    <d v="2014-11-09T00:00:00"/>
    <x v="10"/>
    <x v="0"/>
    <x v="84"/>
    <x v="29"/>
    <x v="0"/>
    <x v="10"/>
    <s v="Fellowes Super Stor/Drawer"/>
    <n v="55.5"/>
    <n v="2"/>
    <n v="9.99"/>
  </r>
  <r>
    <d v="2014-11-10T00:00:00"/>
    <x v="10"/>
    <x v="0"/>
    <x v="85"/>
    <x v="11"/>
    <x v="1"/>
    <x v="3"/>
    <s v="Electrix Halogen Magnifier Lamp"/>
    <n v="310.88"/>
    <n v="2"/>
    <n v="23.32"/>
  </r>
  <r>
    <d v="2014-11-11T00:00:00"/>
    <x v="10"/>
    <x v="0"/>
    <x v="86"/>
    <x v="15"/>
    <x v="0"/>
    <x v="8"/>
    <s v="Surelock Post Binders"/>
    <n v="91.68"/>
    <n v="3"/>
    <n v="45.84"/>
  </r>
  <r>
    <d v="2014-12-02T00:00:00"/>
    <x v="11"/>
    <x v="0"/>
    <x v="87"/>
    <x v="19"/>
    <x v="2"/>
    <x v="9"/>
    <s v="Apple iPhone 5"/>
    <n v="779.8"/>
    <n v="2"/>
    <n v="-168.96"/>
  </r>
  <r>
    <d v="2014-12-04T00:00:00"/>
    <x v="11"/>
    <x v="0"/>
    <x v="88"/>
    <x v="14"/>
    <x v="0"/>
    <x v="8"/>
    <s v="Avery Heavy-Duty EZD View Binder with Locking Rings"/>
    <n v="57.42"/>
    <n v="9"/>
    <n v="26.41"/>
  </r>
  <r>
    <d v="2014-12-07T00:00:00"/>
    <x v="11"/>
    <x v="0"/>
    <x v="89"/>
    <x v="30"/>
    <x v="0"/>
    <x v="7"/>
    <s v="Acco 6 Outlet Guardian Basic Surge Suppressor"/>
    <n v="33.28"/>
    <n v="4"/>
    <n v="9.32"/>
  </r>
  <r>
    <d v="2014-12-08T00:00:00"/>
    <x v="11"/>
    <x v="0"/>
    <x v="90"/>
    <x v="4"/>
    <x v="0"/>
    <x v="8"/>
    <s v="Fellowes PB300 Plastic Comb Binding Machine"/>
    <n v="2715.93"/>
    <n v="7"/>
    <n v="1276.49"/>
  </r>
  <r>
    <d v="2014-12-09T00:00:00"/>
    <x v="11"/>
    <x v="0"/>
    <x v="91"/>
    <x v="24"/>
    <x v="2"/>
    <x v="9"/>
    <s v="Nortel Networks T7316 E Nt8 B27"/>
    <n v="135.97999999999999"/>
    <n v="2"/>
    <n v="34"/>
  </r>
  <r>
    <d v="2014-12-11T00:00:00"/>
    <x v="11"/>
    <x v="0"/>
    <x v="74"/>
    <x v="2"/>
    <x v="0"/>
    <x v="8"/>
    <s v="Angle-D Ring Binders"/>
    <n v="3.28"/>
    <n v="2"/>
    <n v="-2.63"/>
  </r>
  <r>
    <d v="2014-12-12T00:00:00"/>
    <x v="11"/>
    <x v="0"/>
    <x v="92"/>
    <x v="25"/>
    <x v="0"/>
    <x v="0"/>
    <s v="Xerox 1944"/>
    <n v="116.28"/>
    <n v="3"/>
    <n v="56.98"/>
  </r>
  <r>
    <d v="2015-01-03T00:00:00"/>
    <x v="0"/>
    <x v="1"/>
    <x v="93"/>
    <x v="1"/>
    <x v="0"/>
    <x v="7"/>
    <s v="Harmony Air Purifier"/>
    <n v="75.599999999999994"/>
    <n v="2"/>
    <n v="-166.32"/>
  </r>
  <r>
    <d v="2015-01-05T00:00:00"/>
    <x v="0"/>
    <x v="1"/>
    <x v="94"/>
    <x v="3"/>
    <x v="1"/>
    <x v="14"/>
    <s v="KI Conference Tables"/>
    <n v="567.12"/>
    <n v="10"/>
    <n v="-28.36"/>
  </r>
  <r>
    <d v="2015-01-06T00:00:00"/>
    <x v="0"/>
    <x v="1"/>
    <x v="95"/>
    <x v="16"/>
    <x v="2"/>
    <x v="9"/>
    <s v="I Need's 3d Hello Kitty Hybrid Silicone Case Cover for HTC One X 4g with 3d Hello Kitty Stylus Pen Green/pink"/>
    <n v="57.41"/>
    <n v="6"/>
    <n v="5.74"/>
  </r>
  <r>
    <d v="2015-01-08T00:00:00"/>
    <x v="0"/>
    <x v="1"/>
    <x v="96"/>
    <x v="4"/>
    <x v="0"/>
    <x v="0"/>
    <s v="Ampad Poly Cover Wirebound Steno Book, 6&quot; x 9&quot; Assorted Colors, Gregg Ruled"/>
    <n v="13.62"/>
    <n v="3"/>
    <n v="6.13"/>
  </r>
  <r>
    <d v="2015-01-09T00:00:00"/>
    <x v="0"/>
    <x v="1"/>
    <x v="97"/>
    <x v="26"/>
    <x v="2"/>
    <x v="9"/>
    <s v="Samsung Galaxy Note 3"/>
    <n v="659.97"/>
    <n v="3"/>
    <n v="197.99"/>
  </r>
  <r>
    <d v="2015-01-10T00:00:00"/>
    <x v="0"/>
    <x v="1"/>
    <x v="98"/>
    <x v="29"/>
    <x v="0"/>
    <x v="8"/>
    <s v="GBC Standard Therm-A-Bind Covers"/>
    <n v="59.81"/>
    <n v="3"/>
    <n v="19.440000000000001"/>
  </r>
  <r>
    <d v="2015-01-12T00:00:00"/>
    <x v="0"/>
    <x v="1"/>
    <x v="99"/>
    <x v="16"/>
    <x v="1"/>
    <x v="14"/>
    <s v="KI Adjustable-Height Table"/>
    <n v="515.88"/>
    <n v="6"/>
    <n v="113.49"/>
  </r>
  <r>
    <d v="2015-02-01T00:00:00"/>
    <x v="1"/>
    <x v="1"/>
    <x v="100"/>
    <x v="19"/>
    <x v="0"/>
    <x v="0"/>
    <s v="Easy-staple paper"/>
    <n v="16.22"/>
    <n v="2"/>
    <n v="5.88"/>
  </r>
  <r>
    <d v="2015-02-03T00:00:00"/>
    <x v="1"/>
    <x v="1"/>
    <x v="101"/>
    <x v="13"/>
    <x v="0"/>
    <x v="2"/>
    <s v="Sanford Liquid Accent Highlighters"/>
    <n v="13.36"/>
    <n v="2"/>
    <n v="4.9400000000000004"/>
  </r>
  <r>
    <d v="2015-02-04T00:00:00"/>
    <x v="1"/>
    <x v="1"/>
    <x v="102"/>
    <x v="1"/>
    <x v="0"/>
    <x v="8"/>
    <s v="Wilson Jones Century Plastic Molded Ring Binders"/>
    <n v="12.46"/>
    <n v="3"/>
    <n v="-20.56"/>
  </r>
  <r>
    <d v="2015-02-05T00:00:00"/>
    <x v="1"/>
    <x v="1"/>
    <x v="103"/>
    <x v="16"/>
    <x v="1"/>
    <x v="12"/>
    <s v="Hon Deluxe Fabric Upholstered Stacking Chairs, Squared Back"/>
    <n v="585.54999999999995"/>
    <n v="3"/>
    <n v="73.19"/>
  </r>
  <r>
    <d v="2015-02-07T00:00:00"/>
    <x v="1"/>
    <x v="1"/>
    <x v="104"/>
    <x v="3"/>
    <x v="1"/>
    <x v="3"/>
    <s v="Eldon Expressions Wood and Plastic Desk Accessories, Cherry Wood"/>
    <n v="48.86"/>
    <n v="7"/>
    <n v="14.17"/>
  </r>
  <r>
    <d v="2015-02-08T00:00:00"/>
    <x v="1"/>
    <x v="1"/>
    <x v="105"/>
    <x v="14"/>
    <x v="0"/>
    <x v="1"/>
    <s v="Dot Matrix Printer Tape Reel Labels, White, 5000/Box"/>
    <n v="491.55"/>
    <n v="5"/>
    <n v="240.86"/>
  </r>
  <r>
    <d v="2015-02-10T00:00:00"/>
    <x v="1"/>
    <x v="1"/>
    <x v="106"/>
    <x v="14"/>
    <x v="1"/>
    <x v="5"/>
    <s v="Hon Metal Bookcases, Gray"/>
    <n v="212.94"/>
    <n v="3"/>
    <n v="57.49"/>
  </r>
  <r>
    <d v="2015-02-11T00:00:00"/>
    <x v="1"/>
    <x v="1"/>
    <x v="107"/>
    <x v="0"/>
    <x v="1"/>
    <x v="14"/>
    <s v="Lesro Sheffield Collection Coffee Table, End Table, Center Table, Corner Table"/>
    <n v="99.92"/>
    <n v="2"/>
    <n v="-18.559999999999999"/>
  </r>
  <r>
    <d v="2015-03-02T00:00:00"/>
    <x v="2"/>
    <x v="1"/>
    <x v="108"/>
    <x v="5"/>
    <x v="2"/>
    <x v="13"/>
    <s v="Texas Instruments TI-34 Scientific Calculator"/>
    <n v="65.97"/>
    <n v="3"/>
    <n v="31.01"/>
  </r>
  <r>
    <d v="2015-03-07T00:00:00"/>
    <x v="2"/>
    <x v="1"/>
    <x v="109"/>
    <x v="3"/>
    <x v="2"/>
    <x v="9"/>
    <s v="Plantronics Cordless Phone Headset with In-line Volume - M214C"/>
    <n v="139.80000000000001"/>
    <n v="5"/>
    <n v="12.23"/>
  </r>
  <r>
    <d v="2015-03-09T00:00:00"/>
    <x v="2"/>
    <x v="1"/>
    <x v="110"/>
    <x v="0"/>
    <x v="2"/>
    <x v="9"/>
    <s v="HTC One Mini"/>
    <n v="201.58"/>
    <n v="2"/>
    <n v="20.16"/>
  </r>
  <r>
    <d v="2015-03-11T00:00:00"/>
    <x v="2"/>
    <x v="1"/>
    <x v="111"/>
    <x v="4"/>
    <x v="1"/>
    <x v="3"/>
    <s v="Luxo Professional Magnifying Clamp-On Fluorescent Lamps"/>
    <n v="104.01"/>
    <n v="1"/>
    <n v="14.56"/>
  </r>
  <r>
    <d v="2015-03-12T00:00:00"/>
    <x v="2"/>
    <x v="1"/>
    <x v="112"/>
    <x v="31"/>
    <x v="2"/>
    <x v="6"/>
    <s v="KeyTronic 6101 Series - Keyboard - Black"/>
    <n v="196.75"/>
    <n v="6"/>
    <n v="56.57"/>
  </r>
  <r>
    <d v="2015-04-05T00:00:00"/>
    <x v="3"/>
    <x v="1"/>
    <x v="113"/>
    <x v="2"/>
    <x v="2"/>
    <x v="6"/>
    <s v="Sony 64GB Class 10 Micro SDHC R40 Memory Card"/>
    <n v="86.38"/>
    <n v="3"/>
    <n v="1.08"/>
  </r>
  <r>
    <d v="2015-04-07T00:00:00"/>
    <x v="3"/>
    <x v="1"/>
    <x v="114"/>
    <x v="9"/>
    <x v="1"/>
    <x v="3"/>
    <s v="Acrylic Self-Standing Desk Frames"/>
    <n v="4.2699999999999996"/>
    <n v="2"/>
    <n v="0.96"/>
  </r>
  <r>
    <d v="2015-04-09T00:00:00"/>
    <x v="3"/>
    <x v="1"/>
    <x v="115"/>
    <x v="3"/>
    <x v="1"/>
    <x v="14"/>
    <s v="Hon 4060 Series Tables"/>
    <n v="447.84"/>
    <n v="5"/>
    <n v="11.2"/>
  </r>
  <r>
    <d v="2015-04-10T00:00:00"/>
    <x v="3"/>
    <x v="1"/>
    <x v="116"/>
    <x v="26"/>
    <x v="0"/>
    <x v="10"/>
    <s v="SAFCO Commercial Wire Shelving, 72h"/>
    <n v="306.2"/>
    <n v="5"/>
    <n v="0"/>
  </r>
  <r>
    <d v="2015-04-12T00:00:00"/>
    <x v="3"/>
    <x v="1"/>
    <x v="117"/>
    <x v="2"/>
    <x v="0"/>
    <x v="0"/>
    <s v="Xerox 1995"/>
    <n v="41.47"/>
    <n v="8"/>
    <n v="14.52"/>
  </r>
  <r>
    <d v="2015-05-01T00:00:00"/>
    <x v="4"/>
    <x v="1"/>
    <x v="118"/>
    <x v="19"/>
    <x v="0"/>
    <x v="2"/>
    <s v="Dixon My First Ticonderoga Pencil, #2"/>
    <n v="32.76"/>
    <n v="7"/>
    <n v="3.69"/>
  </r>
  <r>
    <d v="2015-05-04T00:00:00"/>
    <x v="4"/>
    <x v="1"/>
    <x v="119"/>
    <x v="13"/>
    <x v="0"/>
    <x v="8"/>
    <s v="GBC Recycled Regency Composition Covers"/>
    <n v="334.77"/>
    <n v="7"/>
    <n v="108.8"/>
  </r>
  <r>
    <d v="2015-05-06T00:00:00"/>
    <x v="4"/>
    <x v="1"/>
    <x v="120"/>
    <x v="16"/>
    <x v="0"/>
    <x v="8"/>
    <s v="Cardinal Holdit Business Card Pockets"/>
    <n v="19.920000000000002"/>
    <n v="5"/>
    <n v="6.97"/>
  </r>
  <r>
    <d v="2015-05-08T00:00:00"/>
    <x v="4"/>
    <x v="1"/>
    <x v="121"/>
    <x v="17"/>
    <x v="2"/>
    <x v="9"/>
    <s v="Logitech B530 USB Headset - headset - Full size, Binaural"/>
    <n v="73.98"/>
    <n v="2"/>
    <n v="19.97"/>
  </r>
  <r>
    <d v="2015-05-09T00:00:00"/>
    <x v="4"/>
    <x v="1"/>
    <x v="122"/>
    <x v="31"/>
    <x v="0"/>
    <x v="0"/>
    <s v="Xerox 194"/>
    <n v="177.54"/>
    <n v="4"/>
    <n v="62.14"/>
  </r>
  <r>
    <d v="2015-05-10T00:00:00"/>
    <x v="4"/>
    <x v="1"/>
    <x v="123"/>
    <x v="26"/>
    <x v="2"/>
    <x v="6"/>
    <s v="NETGEAR AC1750 Dual Band Gigabit Smart WiFi Router"/>
    <n v="479.97"/>
    <n v="3"/>
    <n v="163.19"/>
  </r>
  <r>
    <d v="2015-05-11T00:00:00"/>
    <x v="4"/>
    <x v="1"/>
    <x v="124"/>
    <x v="13"/>
    <x v="2"/>
    <x v="15"/>
    <s v="Canon Imageclass D680 Copier / Fax"/>
    <n v="559.99"/>
    <n v="1"/>
    <n v="175"/>
  </r>
  <r>
    <d v="2015-06-03T00:00:00"/>
    <x v="5"/>
    <x v="1"/>
    <x v="67"/>
    <x v="2"/>
    <x v="1"/>
    <x v="12"/>
    <s v="Global High-Back Leather Tilter, Burgundy"/>
    <n v="172.19"/>
    <n v="2"/>
    <n v="-46.74"/>
  </r>
  <r>
    <d v="2015-06-07T00:00:00"/>
    <x v="5"/>
    <x v="1"/>
    <x v="125"/>
    <x v="13"/>
    <x v="1"/>
    <x v="12"/>
    <s v="Situations Contoured Folding Chairs, 4/Set"/>
    <n v="63.88"/>
    <n v="1"/>
    <n v="10.65"/>
  </r>
  <r>
    <d v="2015-06-08T00:00:00"/>
    <x v="5"/>
    <x v="1"/>
    <x v="126"/>
    <x v="3"/>
    <x v="0"/>
    <x v="8"/>
    <s v="Tuff Stuff Recycled Round Ring Binders"/>
    <n v="7.71"/>
    <n v="2"/>
    <n v="2.8"/>
  </r>
  <r>
    <d v="2015-07-02T00:00:00"/>
    <x v="6"/>
    <x v="1"/>
    <x v="127"/>
    <x v="3"/>
    <x v="1"/>
    <x v="14"/>
    <s v="Bevis Round Conference Table Top &amp; Single Column Base"/>
    <n v="351.22"/>
    <n v="3"/>
    <n v="4.3899999999999997"/>
  </r>
  <r>
    <d v="2015-07-03T00:00:00"/>
    <x v="6"/>
    <x v="1"/>
    <x v="128"/>
    <x v="1"/>
    <x v="0"/>
    <x v="8"/>
    <s v="Acco D-Ring Binder w/DublLock"/>
    <n v="29.93"/>
    <n v="7"/>
    <n v="-46.39"/>
  </r>
  <r>
    <d v="2015-07-04T00:00:00"/>
    <x v="6"/>
    <x v="1"/>
    <x v="129"/>
    <x v="32"/>
    <x v="2"/>
    <x v="6"/>
    <s v="Maxell 4.7GB DVD-R 5/Pack"/>
    <n v="2.97"/>
    <n v="3"/>
    <n v="1.31"/>
  </r>
  <r>
    <d v="2015-07-05T00:00:00"/>
    <x v="6"/>
    <x v="1"/>
    <x v="130"/>
    <x v="9"/>
    <x v="1"/>
    <x v="12"/>
    <s v="Office Star - Ergonomically Designed Knee Chair"/>
    <n v="259.14"/>
    <n v="4"/>
    <n v="-25.91"/>
  </r>
  <r>
    <d v="2015-07-06T00:00:00"/>
    <x v="6"/>
    <x v="1"/>
    <x v="131"/>
    <x v="33"/>
    <x v="2"/>
    <x v="9"/>
    <s v="Polycom VVX 310 VoIP phone"/>
    <n v="359.98"/>
    <n v="2"/>
    <n v="93.59"/>
  </r>
  <r>
    <d v="2015-07-11T00:00:00"/>
    <x v="6"/>
    <x v="1"/>
    <x v="132"/>
    <x v="0"/>
    <x v="0"/>
    <x v="10"/>
    <s v="Letter Size Cart"/>
    <n v="342.86"/>
    <n v="3"/>
    <n v="38.57"/>
  </r>
  <r>
    <d v="2015-07-12T00:00:00"/>
    <x v="6"/>
    <x v="1"/>
    <x v="133"/>
    <x v="3"/>
    <x v="0"/>
    <x v="2"/>
    <s v="Newell 334"/>
    <n v="99.2"/>
    <n v="5"/>
    <n v="25.79"/>
  </r>
  <r>
    <d v="2015-08-02T00:00:00"/>
    <x v="7"/>
    <x v="1"/>
    <x v="134"/>
    <x v="13"/>
    <x v="0"/>
    <x v="2"/>
    <s v="Premium Writing Pencils, Soft, #2 by Central Association for the Blind"/>
    <n v="5.96"/>
    <n v="2"/>
    <n v="1.67"/>
  </r>
  <r>
    <d v="2015-08-05T00:00:00"/>
    <x v="7"/>
    <x v="1"/>
    <x v="135"/>
    <x v="9"/>
    <x v="0"/>
    <x v="8"/>
    <s v="Wilson Jones Custom Binder Spines &amp; Labels"/>
    <n v="8.16"/>
    <n v="5"/>
    <n v="-5.71"/>
  </r>
  <r>
    <d v="2015-08-08T00:00:00"/>
    <x v="7"/>
    <x v="1"/>
    <x v="136"/>
    <x v="3"/>
    <x v="0"/>
    <x v="10"/>
    <s v="Fellowes Personal Hanging Folder Files, Navy"/>
    <n v="53.72"/>
    <n v="4"/>
    <n v="15.04"/>
  </r>
  <r>
    <d v="2015-08-09T00:00:00"/>
    <x v="7"/>
    <x v="1"/>
    <x v="137"/>
    <x v="1"/>
    <x v="0"/>
    <x v="10"/>
    <s v="Belkin 19&quot; Vented Equipment Shelf, Black"/>
    <n v="123.55"/>
    <n v="3"/>
    <n v="-29.34"/>
  </r>
  <r>
    <d v="2015-08-11T00:00:00"/>
    <x v="7"/>
    <x v="1"/>
    <x v="138"/>
    <x v="3"/>
    <x v="2"/>
    <x v="6"/>
    <s v="WD My Passport Ultra 2TB Portable External Hard Drive"/>
    <n v="238"/>
    <n v="2"/>
    <n v="38.08"/>
  </r>
  <r>
    <d v="2015-08-12T00:00:00"/>
    <x v="7"/>
    <x v="1"/>
    <x v="42"/>
    <x v="11"/>
    <x v="0"/>
    <x v="11"/>
    <s v="OIC Colored Binder Clips, Assorted Sizes"/>
    <n v="14.32"/>
    <n v="5"/>
    <n v="5.19"/>
  </r>
  <r>
    <d v="2015-09-02T00:00:00"/>
    <x v="8"/>
    <x v="1"/>
    <x v="139"/>
    <x v="16"/>
    <x v="1"/>
    <x v="5"/>
    <s v="Rush Hierlooms Collection 1&quot; Thick Stackable Bookcases"/>
    <n v="1367.84"/>
    <n v="8"/>
    <n v="259.89"/>
  </r>
  <r>
    <d v="2015-09-03T00:00:00"/>
    <x v="8"/>
    <x v="1"/>
    <x v="140"/>
    <x v="21"/>
    <x v="0"/>
    <x v="1"/>
    <s v="Self-Adhesive Address Labels for Typewriters by Universal"/>
    <n v="17.54"/>
    <n v="3"/>
    <n v="5.92"/>
  </r>
  <r>
    <d v="2015-09-04T00:00:00"/>
    <x v="8"/>
    <x v="1"/>
    <x v="141"/>
    <x v="34"/>
    <x v="0"/>
    <x v="8"/>
    <s v="Wilson Jones 14 Line Acrylic Coated Pressboard Data Binders"/>
    <n v="26.7"/>
    <n v="5"/>
    <n v="12.55"/>
  </r>
  <r>
    <d v="2015-09-05T00:00:00"/>
    <x v="8"/>
    <x v="1"/>
    <x v="87"/>
    <x v="31"/>
    <x v="1"/>
    <x v="14"/>
    <s v="BoxOffice By Design Rectangular and Half-Moon Meeting Room Tables"/>
    <n v="218.75"/>
    <n v="2"/>
    <n v="-161.88"/>
  </r>
  <r>
    <d v="2015-09-06T00:00:00"/>
    <x v="8"/>
    <x v="1"/>
    <x v="142"/>
    <x v="29"/>
    <x v="0"/>
    <x v="7"/>
    <s v="Hoover WindTunnel Plus Canister Vacuum"/>
    <n v="1089.75"/>
    <n v="3"/>
    <n v="305.13"/>
  </r>
  <r>
    <d v="2015-09-07T00:00:00"/>
    <x v="8"/>
    <x v="1"/>
    <x v="143"/>
    <x v="3"/>
    <x v="0"/>
    <x v="0"/>
    <s v="Adams Phone Message Book, Professional, 400 Message Capacity, 5 3/6 x 11"/>
    <n v="20.94"/>
    <n v="3"/>
    <n v="9.84"/>
  </r>
  <r>
    <d v="2015-09-08T00:00:00"/>
    <x v="8"/>
    <x v="1"/>
    <x v="144"/>
    <x v="20"/>
    <x v="2"/>
    <x v="6"/>
    <s v="Maxell 74 Minute CD-R Spindle, 50/Pack"/>
    <n v="62.91"/>
    <n v="3"/>
    <n v="22.65"/>
  </r>
  <r>
    <d v="2015-09-11T00:00:00"/>
    <x v="8"/>
    <x v="1"/>
    <x v="145"/>
    <x v="3"/>
    <x v="0"/>
    <x v="7"/>
    <s v="Fellowes Superior 10 Outlet Split Surge Protector"/>
    <n v="76.12"/>
    <n v="2"/>
    <n v="22.07"/>
  </r>
  <r>
    <d v="2015-10-02T00:00:00"/>
    <x v="9"/>
    <x v="1"/>
    <x v="146"/>
    <x v="11"/>
    <x v="2"/>
    <x v="9"/>
    <s v="AT&amp;T 1070 Corded Phone"/>
    <n v="178.38"/>
    <n v="2"/>
    <n v="22.3"/>
  </r>
  <r>
    <d v="2015-10-03T00:00:00"/>
    <x v="9"/>
    <x v="1"/>
    <x v="147"/>
    <x v="17"/>
    <x v="0"/>
    <x v="8"/>
    <s v="Performers Binder/Pad Holder, Black"/>
    <n v="196.21"/>
    <n v="7"/>
    <n v="98.11"/>
  </r>
  <r>
    <d v="2015-10-05T00:00:00"/>
    <x v="9"/>
    <x v="1"/>
    <x v="148"/>
    <x v="0"/>
    <x v="0"/>
    <x v="8"/>
    <s v="GBC Durable Plastic Covers"/>
    <n v="30.96"/>
    <n v="8"/>
    <n v="-52.63"/>
  </r>
  <r>
    <d v="2015-10-07T00:00:00"/>
    <x v="9"/>
    <x v="1"/>
    <x v="149"/>
    <x v="2"/>
    <x v="1"/>
    <x v="14"/>
    <s v="Chromcraft Rectangular Conference Tables"/>
    <n v="853.09"/>
    <n v="6"/>
    <n v="-227.49"/>
  </r>
  <r>
    <d v="2015-10-09T00:00:00"/>
    <x v="9"/>
    <x v="1"/>
    <x v="150"/>
    <x v="0"/>
    <x v="0"/>
    <x v="0"/>
    <s v="Xerox 203"/>
    <n v="15.55"/>
    <n v="3"/>
    <n v="5.44"/>
  </r>
  <r>
    <d v="2015-10-12T00:00:00"/>
    <x v="9"/>
    <x v="1"/>
    <x v="97"/>
    <x v="19"/>
    <x v="0"/>
    <x v="2"/>
    <s v="Turquoise Lead Holder with Pocket Clip"/>
    <n v="10.72"/>
    <n v="2"/>
    <n v="1.74"/>
  </r>
  <r>
    <d v="2015-11-05T00:00:00"/>
    <x v="10"/>
    <x v="1"/>
    <x v="151"/>
    <x v="1"/>
    <x v="1"/>
    <x v="12"/>
    <s v="Global Leather and Oak Executive Chair, Black"/>
    <n v="421.37"/>
    <n v="2"/>
    <n v="-6.02"/>
  </r>
  <r>
    <d v="2015-11-06T00:00:00"/>
    <x v="10"/>
    <x v="1"/>
    <x v="152"/>
    <x v="19"/>
    <x v="0"/>
    <x v="2"/>
    <s v="Faber Castell Col-Erase Pencils"/>
    <n v="3.91"/>
    <n v="1"/>
    <n v="1.03"/>
  </r>
  <r>
    <d v="2015-11-07T00:00:00"/>
    <x v="10"/>
    <x v="1"/>
    <x v="153"/>
    <x v="13"/>
    <x v="0"/>
    <x v="0"/>
    <s v="Xerox 1994"/>
    <n v="25.92"/>
    <n v="4"/>
    <n v="12.44"/>
  </r>
  <r>
    <d v="2015-11-09T00:00:00"/>
    <x v="10"/>
    <x v="1"/>
    <x v="154"/>
    <x v="35"/>
    <x v="0"/>
    <x v="8"/>
    <s v="SlimView Poly Binder, 3/8&quot;"/>
    <n v="8.2899999999999991"/>
    <n v="2"/>
    <n v="2.69"/>
  </r>
  <r>
    <d v="2015-11-11T00:00:00"/>
    <x v="10"/>
    <x v="1"/>
    <x v="155"/>
    <x v="3"/>
    <x v="0"/>
    <x v="2"/>
    <s v="Newell 341"/>
    <n v="8.56"/>
    <n v="2"/>
    <n v="2.48"/>
  </r>
  <r>
    <d v="2015-12-01T00:00:00"/>
    <x v="11"/>
    <x v="1"/>
    <x v="156"/>
    <x v="3"/>
    <x v="0"/>
    <x v="0"/>
    <s v="Xerox 1940"/>
    <n v="109.92"/>
    <n v="2"/>
    <n v="53.86"/>
  </r>
  <r>
    <d v="2015-12-03T00:00:00"/>
    <x v="11"/>
    <x v="1"/>
    <x v="157"/>
    <x v="33"/>
    <x v="0"/>
    <x v="8"/>
    <s v="Wilson Jones Standard D-Ring Binders"/>
    <n v="25.3"/>
    <n v="5"/>
    <n v="11.89"/>
  </r>
  <r>
    <d v="2015-12-04T00:00:00"/>
    <x v="11"/>
    <x v="1"/>
    <x v="158"/>
    <x v="36"/>
    <x v="2"/>
    <x v="6"/>
    <s v="KeyTronic KT400U2 - Keyboard - Black"/>
    <n v="92.52"/>
    <n v="9"/>
    <n v="18.5"/>
  </r>
  <r>
    <d v="2015-12-05T00:00:00"/>
    <x v="11"/>
    <x v="1"/>
    <x v="159"/>
    <x v="3"/>
    <x v="0"/>
    <x v="2"/>
    <s v="BOSTON Model 1800 Electric Pencil Sharpeners, Putty/Woodgrain"/>
    <n v="53.94"/>
    <n v="3"/>
    <n v="15.64"/>
  </r>
  <r>
    <d v="2015-12-09T00:00:00"/>
    <x v="11"/>
    <x v="1"/>
    <x v="160"/>
    <x v="13"/>
    <x v="0"/>
    <x v="7"/>
    <s v="Holmes Cool Mist Humidifier for the Whole House with 8-Gallon Output per Day, Extended Life Filter"/>
    <n v="19.899999999999999"/>
    <n v="1"/>
    <n v="8.9600000000000009"/>
  </r>
  <r>
    <d v="2015-12-12T00:00:00"/>
    <x v="11"/>
    <x v="1"/>
    <x v="161"/>
    <x v="13"/>
    <x v="0"/>
    <x v="1"/>
    <s v="Avery 514"/>
    <n v="14.4"/>
    <n v="5"/>
    <n v="7.06"/>
  </r>
  <r>
    <d v="2016-01-02T00:00:00"/>
    <x v="0"/>
    <x v="2"/>
    <x v="162"/>
    <x v="2"/>
    <x v="0"/>
    <x v="10"/>
    <s v="Carina 42&quot;Hx23 3/4&quot;W Media Storage Unit"/>
    <n v="64.78"/>
    <n v="1"/>
    <n v="-14.58"/>
  </r>
  <r>
    <d v="2016-01-07T00:00:00"/>
    <x v="0"/>
    <x v="2"/>
    <x v="163"/>
    <x v="14"/>
    <x v="0"/>
    <x v="1"/>
    <s v="Alphabetical Labels for Top Tab Filing"/>
    <n v="103.6"/>
    <n v="7"/>
    <n v="51.8"/>
  </r>
  <r>
    <d v="2016-01-09T00:00:00"/>
    <x v="0"/>
    <x v="2"/>
    <x v="164"/>
    <x v="3"/>
    <x v="1"/>
    <x v="3"/>
    <s v="Deflect-o DuraMat Lighweight, Studded, Beveled Mat for Low Pile Carpeting"/>
    <n v="127.95"/>
    <n v="3"/>
    <n v="21.75"/>
  </r>
  <r>
    <d v="2016-01-11T00:00:00"/>
    <x v="0"/>
    <x v="2"/>
    <x v="17"/>
    <x v="13"/>
    <x v="2"/>
    <x v="13"/>
    <s v="Epson WorkForce WF-2530 All-in-One Printer, Copier Scanner"/>
    <n v="69.989999999999995"/>
    <n v="1"/>
    <n v="30.1"/>
  </r>
  <r>
    <d v="2016-01-12T00:00:00"/>
    <x v="0"/>
    <x v="2"/>
    <x v="165"/>
    <x v="21"/>
    <x v="0"/>
    <x v="8"/>
    <s v="GBC Instant Index System for Binding Systems"/>
    <n v="18.649999999999999"/>
    <n v="7"/>
    <n v="-12.43"/>
  </r>
  <r>
    <d v="2016-02-01T00:00:00"/>
    <x v="1"/>
    <x v="2"/>
    <x v="166"/>
    <x v="1"/>
    <x v="0"/>
    <x v="7"/>
    <s v="Kensington 7 Outlet MasterPiece HOMEOFFICE Power Control Center"/>
    <n v="52.45"/>
    <n v="2"/>
    <n v="-131.12"/>
  </r>
  <r>
    <d v="2016-02-02T00:00:00"/>
    <x v="1"/>
    <x v="2"/>
    <x v="167"/>
    <x v="2"/>
    <x v="1"/>
    <x v="3"/>
    <s v="Seth Thomas 16&quot; Steel Case Clock"/>
    <n v="103.94"/>
    <n v="4"/>
    <n v="16.89"/>
  </r>
  <r>
    <d v="2016-02-04T00:00:00"/>
    <x v="1"/>
    <x v="2"/>
    <x v="89"/>
    <x v="13"/>
    <x v="0"/>
    <x v="8"/>
    <s v="Avery Trapezoid Extra Heavy Duty 4&quot; Binders"/>
    <n v="33.549999999999997"/>
    <n v="1"/>
    <n v="12.58"/>
  </r>
  <r>
    <d v="2016-02-05T00:00:00"/>
    <x v="1"/>
    <x v="2"/>
    <x v="168"/>
    <x v="2"/>
    <x v="0"/>
    <x v="8"/>
    <s v="Acco Pressboard Covers with Storage Hooks, 14 7/8&quot; x 11&quot;, Light Blue"/>
    <n v="5.89"/>
    <n v="4"/>
    <n v="-4.12"/>
  </r>
  <r>
    <d v="2016-02-07T00:00:00"/>
    <x v="1"/>
    <x v="2"/>
    <x v="162"/>
    <x v="0"/>
    <x v="2"/>
    <x v="13"/>
    <s v="Lexmark MX611dhe Monochrome Laser Printer"/>
    <n v="3059.98"/>
    <n v="3"/>
    <n v="-510"/>
  </r>
  <r>
    <d v="2016-02-08T00:00:00"/>
    <x v="1"/>
    <x v="2"/>
    <x v="169"/>
    <x v="1"/>
    <x v="1"/>
    <x v="14"/>
    <s v="Bevis 44 x 96 Conference Tables"/>
    <n v="617.70000000000005"/>
    <n v="6"/>
    <n v="-407.68"/>
  </r>
  <r>
    <d v="2016-02-09T00:00:00"/>
    <x v="1"/>
    <x v="2"/>
    <x v="170"/>
    <x v="16"/>
    <x v="2"/>
    <x v="9"/>
    <s v="Nortel Meridian M3904 Professional Digital phone"/>
    <n v="246.38"/>
    <n v="2"/>
    <n v="27.72"/>
  </r>
  <r>
    <d v="2016-02-10T00:00:00"/>
    <x v="1"/>
    <x v="2"/>
    <x v="171"/>
    <x v="3"/>
    <x v="0"/>
    <x v="10"/>
    <s v="Gould Plastics 9-Pocket Panel Bin, 18-3/8w x 5-1/4d x 20-1/2h, Black"/>
    <n v="211.96"/>
    <n v="4"/>
    <n v="8.48"/>
  </r>
  <r>
    <d v="2016-03-02T00:00:00"/>
    <x v="2"/>
    <x v="2"/>
    <x v="172"/>
    <x v="0"/>
    <x v="0"/>
    <x v="0"/>
    <s v="Xerox 1954"/>
    <n v="33.79"/>
    <n v="8"/>
    <n v="10.56"/>
  </r>
  <r>
    <d v="2016-03-03T00:00:00"/>
    <x v="2"/>
    <x v="2"/>
    <x v="173"/>
    <x v="17"/>
    <x v="1"/>
    <x v="3"/>
    <s v="Deflect-o SuperTray Unbreakable Stackable Tray, Letter, Black"/>
    <n v="87.54"/>
    <n v="3"/>
    <n v="37.64"/>
  </r>
  <r>
    <d v="2016-03-04T00:00:00"/>
    <x v="2"/>
    <x v="2"/>
    <x v="174"/>
    <x v="28"/>
    <x v="0"/>
    <x v="10"/>
    <s v="Decoflex Hanging Personal Folder File, Blue"/>
    <n v="46.26"/>
    <n v="3"/>
    <n v="12.49"/>
  </r>
  <r>
    <d v="2016-03-05T00:00:00"/>
    <x v="2"/>
    <x v="2"/>
    <x v="175"/>
    <x v="3"/>
    <x v="1"/>
    <x v="3"/>
    <s v="Luxo Professional Combination Clamp-On Lamps"/>
    <n v="204.6"/>
    <n v="2"/>
    <n v="53.2"/>
  </r>
  <r>
    <d v="2016-03-06T00:00:00"/>
    <x v="2"/>
    <x v="2"/>
    <x v="176"/>
    <x v="13"/>
    <x v="0"/>
    <x v="0"/>
    <s v="Tops Green Bar Computer Printout Paper"/>
    <n v="48.94"/>
    <n v="1"/>
    <n v="24.47"/>
  </r>
  <r>
    <d v="2016-03-08T00:00:00"/>
    <x v="2"/>
    <x v="2"/>
    <x v="177"/>
    <x v="9"/>
    <x v="0"/>
    <x v="0"/>
    <s v="Adams Telephone Message Book W/Dividers/Space For Phone Numbers, 5 1/4&quot;X8 1/2&quot;, 300/Messages"/>
    <n v="9.41"/>
    <n v="2"/>
    <n v="3.41"/>
  </r>
  <r>
    <d v="2016-03-09T00:00:00"/>
    <x v="2"/>
    <x v="2"/>
    <x v="178"/>
    <x v="3"/>
    <x v="0"/>
    <x v="1"/>
    <s v="Avery 512"/>
    <n v="14.45"/>
    <n v="5"/>
    <n v="6.79"/>
  </r>
  <r>
    <d v="2016-03-11T00:00:00"/>
    <x v="2"/>
    <x v="2"/>
    <x v="179"/>
    <x v="19"/>
    <x v="0"/>
    <x v="7"/>
    <s v="Belkin F5C206VTEL 6 Outlet Surge"/>
    <n v="91.92"/>
    <n v="5"/>
    <n v="11.49"/>
  </r>
  <r>
    <d v="2016-04-02T00:00:00"/>
    <x v="3"/>
    <x v="2"/>
    <x v="180"/>
    <x v="3"/>
    <x v="2"/>
    <x v="6"/>
    <s v="Imation USB 2.0 Swivel Flash Drive USB flash drive - 4 GB - Pink"/>
    <n v="9.09"/>
    <n v="3"/>
    <n v="1.91"/>
  </r>
  <r>
    <d v="2016-04-03T00:00:00"/>
    <x v="3"/>
    <x v="2"/>
    <x v="170"/>
    <x v="21"/>
    <x v="2"/>
    <x v="6"/>
    <s v="Maxell 74 Minute CDR, 10/Pack"/>
    <n v="23.47"/>
    <n v="3"/>
    <n v="4.99"/>
  </r>
  <r>
    <d v="2016-04-04T00:00:00"/>
    <x v="3"/>
    <x v="2"/>
    <x v="181"/>
    <x v="3"/>
    <x v="1"/>
    <x v="12"/>
    <s v="Global Deluxe Stacking Chair, Gray"/>
    <n v="122.35"/>
    <n v="3"/>
    <n v="13.76"/>
  </r>
  <r>
    <d v="2016-04-06T00:00:00"/>
    <x v="3"/>
    <x v="2"/>
    <x v="182"/>
    <x v="2"/>
    <x v="0"/>
    <x v="10"/>
    <s v="Fellowes High-Stak Drawer Files"/>
    <n v="281.89999999999998"/>
    <n v="2"/>
    <n v="10.57"/>
  </r>
  <r>
    <d v="2016-04-07T00:00:00"/>
    <x v="3"/>
    <x v="2"/>
    <x v="183"/>
    <x v="16"/>
    <x v="0"/>
    <x v="2"/>
    <s v="Newell 32"/>
    <n v="11.52"/>
    <n v="4"/>
    <n v="3.23"/>
  </r>
  <r>
    <d v="2016-04-08T00:00:00"/>
    <x v="3"/>
    <x v="2"/>
    <x v="184"/>
    <x v="30"/>
    <x v="0"/>
    <x v="8"/>
    <s v="Avery Metallic Poly Binders"/>
    <n v="22.92"/>
    <n v="4"/>
    <n v="11"/>
  </r>
  <r>
    <d v="2016-04-12T00:00:00"/>
    <x v="3"/>
    <x v="2"/>
    <x v="118"/>
    <x v="11"/>
    <x v="1"/>
    <x v="3"/>
    <s v="Executive Impressions 13&quot; Clairmont Wall Clock"/>
    <n v="15.38"/>
    <n v="1"/>
    <n v="4.04"/>
  </r>
  <r>
    <d v="2016-05-01T00:00:00"/>
    <x v="4"/>
    <x v="2"/>
    <x v="185"/>
    <x v="3"/>
    <x v="0"/>
    <x v="8"/>
    <s v="Avery Non-Stick Heavy Duty View Round Locking Ring Binders"/>
    <n v="14.35"/>
    <n v="3"/>
    <n v="5.0199999999999996"/>
  </r>
  <r>
    <d v="2016-05-04T00:00:00"/>
    <x v="4"/>
    <x v="2"/>
    <x v="186"/>
    <x v="24"/>
    <x v="0"/>
    <x v="10"/>
    <s v="Gould Plastics 18-Pocket Panel Bin, 34w x 5-1/4d x 20-1/2h"/>
    <n v="275.97000000000003"/>
    <n v="3"/>
    <n v="11.04"/>
  </r>
  <r>
    <d v="2016-05-08T00:00:00"/>
    <x v="4"/>
    <x v="2"/>
    <x v="187"/>
    <x v="3"/>
    <x v="0"/>
    <x v="0"/>
    <s v="Spiral Phone Message Books with Labels by Adams"/>
    <n v="13.44"/>
    <n v="3"/>
    <n v="6.59"/>
  </r>
  <r>
    <d v="2016-05-11T00:00:00"/>
    <x v="4"/>
    <x v="2"/>
    <x v="188"/>
    <x v="19"/>
    <x v="1"/>
    <x v="3"/>
    <s v="Seth Thomas 14&quot; Putty-Colored Wall Clock"/>
    <n v="93.89"/>
    <n v="4"/>
    <n v="12.91"/>
  </r>
  <r>
    <d v="2016-06-02T00:00:00"/>
    <x v="5"/>
    <x v="2"/>
    <x v="189"/>
    <x v="3"/>
    <x v="0"/>
    <x v="8"/>
    <s v="GBC VeloBind Cover Sets"/>
    <n v="49.41"/>
    <n v="4"/>
    <n v="18.53"/>
  </r>
  <r>
    <d v="2016-06-03T00:00:00"/>
    <x v="5"/>
    <x v="2"/>
    <x v="190"/>
    <x v="16"/>
    <x v="1"/>
    <x v="3"/>
    <s v="Tenex Chairmats For Use With Carpeted Floors"/>
    <n v="63.92"/>
    <n v="4"/>
    <n v="3.2"/>
  </r>
  <r>
    <d v="2016-06-04T00:00:00"/>
    <x v="5"/>
    <x v="2"/>
    <x v="191"/>
    <x v="3"/>
    <x v="0"/>
    <x v="8"/>
    <s v="Avery Non-Stick Binders"/>
    <n v="7.18"/>
    <n v="2"/>
    <n v="2.25"/>
  </r>
  <r>
    <d v="2016-06-05T00:00:00"/>
    <x v="5"/>
    <x v="2"/>
    <x v="192"/>
    <x v="1"/>
    <x v="2"/>
    <x v="9"/>
    <s v="Apple iPhone 5S"/>
    <n v="2735.95"/>
    <n v="6"/>
    <n v="341.99"/>
  </r>
  <r>
    <d v="2016-06-06T00:00:00"/>
    <x v="5"/>
    <x v="2"/>
    <x v="176"/>
    <x v="31"/>
    <x v="0"/>
    <x v="2"/>
    <s v="Model L Table or Wall-Mount Pencil Sharpener"/>
    <n v="43.18"/>
    <n v="3"/>
    <n v="4.32"/>
  </r>
  <r>
    <d v="2016-07-01T00:00:00"/>
    <x v="6"/>
    <x v="2"/>
    <x v="193"/>
    <x v="13"/>
    <x v="0"/>
    <x v="1"/>
    <s v="Avery 499"/>
    <n v="34.86"/>
    <n v="7"/>
    <n v="16.04"/>
  </r>
  <r>
    <d v="2016-07-02T00:00:00"/>
    <x v="6"/>
    <x v="2"/>
    <x v="194"/>
    <x v="2"/>
    <x v="0"/>
    <x v="16"/>
    <s v="Compact Automatic Electric Letter Opener"/>
    <n v="286.33999999999997"/>
    <n v="3"/>
    <n v="-64.430000000000007"/>
  </r>
  <r>
    <d v="2016-07-03T00:00:00"/>
    <x v="6"/>
    <x v="2"/>
    <x v="27"/>
    <x v="13"/>
    <x v="1"/>
    <x v="12"/>
    <s v="DMI Arturo Collection Mission-style Design Wood Chair"/>
    <n v="135.88"/>
    <n v="1"/>
    <n v="24.16"/>
  </r>
  <r>
    <d v="2016-07-04T00:00:00"/>
    <x v="6"/>
    <x v="2"/>
    <x v="152"/>
    <x v="3"/>
    <x v="1"/>
    <x v="3"/>
    <s v="OIC Stacking Trays"/>
    <n v="20.04"/>
    <n v="6"/>
    <n v="8.82"/>
  </r>
  <r>
    <d v="2016-07-05T00:00:00"/>
    <x v="6"/>
    <x v="2"/>
    <x v="195"/>
    <x v="7"/>
    <x v="0"/>
    <x v="0"/>
    <s v="Array Parchment Paper, Assorted Colors"/>
    <n v="43.68"/>
    <n v="6"/>
    <n v="20.97"/>
  </r>
  <r>
    <d v="2016-07-07T00:00:00"/>
    <x v="6"/>
    <x v="2"/>
    <x v="196"/>
    <x v="0"/>
    <x v="0"/>
    <x v="8"/>
    <s v="Satellite Sectional Post Binders"/>
    <n v="26.05"/>
    <n v="3"/>
    <n v="-44.28"/>
  </r>
  <r>
    <d v="2016-07-08T00:00:00"/>
    <x v="6"/>
    <x v="2"/>
    <x v="197"/>
    <x v="3"/>
    <x v="2"/>
    <x v="9"/>
    <s v="Toshiba IPT2010-SD IP Telephone"/>
    <n v="333.58"/>
    <n v="3"/>
    <n v="25.02"/>
  </r>
  <r>
    <d v="2016-07-10T00:00:00"/>
    <x v="6"/>
    <x v="2"/>
    <x v="198"/>
    <x v="3"/>
    <x v="2"/>
    <x v="9"/>
    <s v="Jabra SPEAK 410"/>
    <n v="601.54"/>
    <n v="8"/>
    <n v="60.15"/>
  </r>
  <r>
    <d v="2016-07-11T00:00:00"/>
    <x v="6"/>
    <x v="2"/>
    <x v="199"/>
    <x v="15"/>
    <x v="0"/>
    <x v="10"/>
    <s v="Stur-D-Stor Shelving, Vertical 5-Shelf: 72&quot;H x 36&quot;W x 18 1/2&quot;D"/>
    <n v="665.88"/>
    <n v="6"/>
    <n v="13.32"/>
  </r>
  <r>
    <d v="2016-08-01T00:00:00"/>
    <x v="7"/>
    <x v="2"/>
    <x v="200"/>
    <x v="0"/>
    <x v="0"/>
    <x v="10"/>
    <s v="Personal Filing Tote with Lid, Black/Gray"/>
    <n v="49.63"/>
    <n v="4"/>
    <n v="4.96"/>
  </r>
  <r>
    <d v="2016-08-02T00:00:00"/>
    <x v="7"/>
    <x v="2"/>
    <x v="201"/>
    <x v="33"/>
    <x v="2"/>
    <x v="9"/>
    <s v="Polycom SoundPoint Pro SE-225 Corded phone"/>
    <n v="832.93"/>
    <n v="7"/>
    <n v="233.22"/>
  </r>
  <r>
    <d v="2016-08-03T00:00:00"/>
    <x v="7"/>
    <x v="2"/>
    <x v="202"/>
    <x v="37"/>
    <x v="0"/>
    <x v="2"/>
    <s v="Newell 310"/>
    <n v="4.22"/>
    <n v="3"/>
    <n v="0.48"/>
  </r>
  <r>
    <d v="2016-08-04T00:00:00"/>
    <x v="7"/>
    <x v="2"/>
    <x v="203"/>
    <x v="38"/>
    <x v="2"/>
    <x v="9"/>
    <s v="Jawbone MINI JAMBOX Wireless Bluetooth Speaker"/>
    <n v="273.95999999999998"/>
    <n v="2"/>
    <n v="10.96"/>
  </r>
  <r>
    <d v="2016-08-07T00:00:00"/>
    <x v="7"/>
    <x v="2"/>
    <x v="100"/>
    <x v="22"/>
    <x v="1"/>
    <x v="12"/>
    <s v="Global Super Steno Chair"/>
    <n v="479.9"/>
    <n v="5"/>
    <n v="81.58"/>
  </r>
  <r>
    <d v="2016-08-09T00:00:00"/>
    <x v="7"/>
    <x v="2"/>
    <x v="204"/>
    <x v="31"/>
    <x v="1"/>
    <x v="14"/>
    <s v="Bevis Rectangular Conference Tables"/>
    <n v="145.97999999999999"/>
    <n v="2"/>
    <n v="-99.27"/>
  </r>
  <r>
    <d v="2016-08-10T00:00:00"/>
    <x v="7"/>
    <x v="2"/>
    <x v="205"/>
    <x v="6"/>
    <x v="2"/>
    <x v="9"/>
    <s v="AT&amp;T TR1909W"/>
    <n v="503.96"/>
    <n v="4"/>
    <n v="131.03"/>
  </r>
  <r>
    <d v="2016-08-11T00:00:00"/>
    <x v="7"/>
    <x v="2"/>
    <x v="206"/>
    <x v="13"/>
    <x v="0"/>
    <x v="4"/>
    <s v="Peel &amp; Seel Recycled Catalog Envelopes, Brown"/>
    <n v="34.74"/>
    <n v="3"/>
    <n v="17.37"/>
  </r>
  <r>
    <d v="2016-08-12T00:00:00"/>
    <x v="7"/>
    <x v="2"/>
    <x v="207"/>
    <x v="7"/>
    <x v="0"/>
    <x v="4"/>
    <s v="Fashion Color Clasp Envelopes"/>
    <n v="16.23"/>
    <n v="3"/>
    <n v="7.95"/>
  </r>
  <r>
    <d v="2016-09-01T00:00:00"/>
    <x v="8"/>
    <x v="2"/>
    <x v="28"/>
    <x v="3"/>
    <x v="1"/>
    <x v="12"/>
    <s v="Novimex Swivel Fabric Task Chair"/>
    <n v="603.91999999999996"/>
    <n v="5"/>
    <n v="-67.94"/>
  </r>
  <r>
    <d v="2016-09-05T00:00:00"/>
    <x v="8"/>
    <x v="2"/>
    <x v="208"/>
    <x v="19"/>
    <x v="0"/>
    <x v="2"/>
    <s v="Crayola Colored Pencils"/>
    <n v="2.62"/>
    <n v="1"/>
    <n v="0.43"/>
  </r>
  <r>
    <d v="2016-09-08T00:00:00"/>
    <x v="8"/>
    <x v="2"/>
    <x v="112"/>
    <x v="0"/>
    <x v="1"/>
    <x v="3"/>
    <s v="Eldon Expressions Desk Accessory, Wood Pencil Holder, Oak"/>
    <n v="19.3"/>
    <n v="5"/>
    <n v="-14.48"/>
  </r>
  <r>
    <d v="2016-10-01T00:00:00"/>
    <x v="9"/>
    <x v="2"/>
    <x v="209"/>
    <x v="24"/>
    <x v="0"/>
    <x v="2"/>
    <s v="Newell 331"/>
    <n v="14.67"/>
    <n v="3"/>
    <n v="3.96"/>
  </r>
  <r>
    <d v="2016-10-03T00:00:00"/>
    <x v="9"/>
    <x v="2"/>
    <x v="210"/>
    <x v="2"/>
    <x v="0"/>
    <x v="1"/>
    <s v="Avery 488"/>
    <n v="5.04"/>
    <n v="2"/>
    <n v="1.76"/>
  </r>
  <r>
    <d v="2016-10-04T00:00:00"/>
    <x v="9"/>
    <x v="2"/>
    <x v="211"/>
    <x v="13"/>
    <x v="0"/>
    <x v="4"/>
    <s v="Park Ridge Embossed Executive Business Envelopes"/>
    <n v="62.28"/>
    <n v="4"/>
    <n v="29.27"/>
  </r>
  <r>
    <d v="2016-10-05T00:00:00"/>
    <x v="9"/>
    <x v="2"/>
    <x v="92"/>
    <x v="15"/>
    <x v="1"/>
    <x v="12"/>
    <s v="Office Star - Professional Matrix Back Chair with 2-to-1 Synchro Tilt and Mesh Fabric Seat"/>
    <n v="2807.84"/>
    <n v="8"/>
    <n v="673.88"/>
  </r>
  <r>
    <d v="2016-10-06T00:00:00"/>
    <x v="9"/>
    <x v="2"/>
    <x v="208"/>
    <x v="39"/>
    <x v="2"/>
    <x v="9"/>
    <s v="Jabra Supreme Plus Driver Edition Headset"/>
    <n v="479.96"/>
    <n v="4"/>
    <n v="134.38999999999999"/>
  </r>
  <r>
    <d v="2016-10-07T00:00:00"/>
    <x v="9"/>
    <x v="2"/>
    <x v="212"/>
    <x v="13"/>
    <x v="2"/>
    <x v="9"/>
    <s v="Plantronics Voyager Pro HD - Bluetooth Headset"/>
    <n v="129.97999999999999"/>
    <n v="2"/>
    <n v="62.39"/>
  </r>
  <r>
    <d v="2016-10-09T00:00:00"/>
    <x v="9"/>
    <x v="2"/>
    <x v="9"/>
    <x v="9"/>
    <x v="0"/>
    <x v="2"/>
    <s v="Hunt BOSTON Model 1606 High-Volume Electric Pencil Sharpener, Beige"/>
    <n v="1113.02"/>
    <n v="8"/>
    <n v="111.3"/>
  </r>
  <r>
    <d v="2016-10-11T00:00:00"/>
    <x v="9"/>
    <x v="2"/>
    <x v="213"/>
    <x v="0"/>
    <x v="1"/>
    <x v="3"/>
    <s v="12-1/2 Diameter Round Wall Clock"/>
    <n v="23.98"/>
    <n v="3"/>
    <n v="-14.39"/>
  </r>
  <r>
    <d v="2016-11-06T00:00:00"/>
    <x v="10"/>
    <x v="2"/>
    <x v="214"/>
    <x v="4"/>
    <x v="0"/>
    <x v="0"/>
    <s v="Xerox 1909"/>
    <n v="105.52"/>
    <n v="4"/>
    <n v="48.54"/>
  </r>
  <r>
    <d v="2016-11-09T00:00:00"/>
    <x v="10"/>
    <x v="2"/>
    <x v="215"/>
    <x v="0"/>
    <x v="0"/>
    <x v="10"/>
    <s v="Companion Letter/Legal File, Black"/>
    <n v="60.42"/>
    <n v="2"/>
    <n v="6.04"/>
  </r>
  <r>
    <d v="2016-11-11T00:00:00"/>
    <x v="10"/>
    <x v="2"/>
    <x v="26"/>
    <x v="3"/>
    <x v="0"/>
    <x v="0"/>
    <s v="Xerox 1987"/>
    <n v="34.68"/>
    <n v="6"/>
    <n v="16.989999999999998"/>
  </r>
  <r>
    <d v="2016-11-12T00:00:00"/>
    <x v="10"/>
    <x v="2"/>
    <x v="216"/>
    <x v="3"/>
    <x v="1"/>
    <x v="14"/>
    <s v="Hon Non-Folding Utility Tables"/>
    <n v="764.69"/>
    <n v="6"/>
    <n v="95.59"/>
  </r>
  <r>
    <d v="2016-12-02T00:00:00"/>
    <x v="11"/>
    <x v="2"/>
    <x v="217"/>
    <x v="3"/>
    <x v="0"/>
    <x v="0"/>
    <s v="White GlueTop Scratch Pads"/>
    <n v="90.24"/>
    <n v="6"/>
    <n v="41.51"/>
  </r>
  <r>
    <d v="2016-12-07T00:00:00"/>
    <x v="11"/>
    <x v="2"/>
    <x v="109"/>
    <x v="0"/>
    <x v="2"/>
    <x v="9"/>
    <s v="ARKON Windshield Dashboard Air Vent Car Mount Holder"/>
    <n v="40.68"/>
    <n v="3"/>
    <n v="-9.15"/>
  </r>
  <r>
    <d v="2016-12-08T00:00:00"/>
    <x v="11"/>
    <x v="2"/>
    <x v="65"/>
    <x v="11"/>
    <x v="0"/>
    <x v="8"/>
    <s v="Avery Binder Labels"/>
    <n v="1.17"/>
    <n v="1"/>
    <n v="-0.86"/>
  </r>
  <r>
    <d v="2016-12-09T00:00:00"/>
    <x v="11"/>
    <x v="2"/>
    <x v="200"/>
    <x v="7"/>
    <x v="0"/>
    <x v="2"/>
    <s v="Stanley Contemporary Battery Pencil Sharpeners"/>
    <n v="40.049999999999997"/>
    <n v="3"/>
    <n v="11.21"/>
  </r>
  <r>
    <d v="2016-12-11T00:00:00"/>
    <x v="11"/>
    <x v="2"/>
    <x v="218"/>
    <x v="11"/>
    <x v="0"/>
    <x v="8"/>
    <s v="Insertable Tab Post Binder Dividers"/>
    <n v="4.8099999999999996"/>
    <n v="2"/>
    <n v="-3.69"/>
  </r>
  <r>
    <d v="2017-01-01T00:00:00"/>
    <x v="0"/>
    <x v="3"/>
    <x v="219"/>
    <x v="3"/>
    <x v="1"/>
    <x v="12"/>
    <s v="SAFCO Arco Folding Chair"/>
    <n v="1325.76"/>
    <n v="6"/>
    <n v="149.15"/>
  </r>
  <r>
    <d v="2017-01-09T00:00:00"/>
    <x v="0"/>
    <x v="3"/>
    <x v="220"/>
    <x v="3"/>
    <x v="0"/>
    <x v="2"/>
    <s v="Newell 332"/>
    <n v="11.76"/>
    <n v="4"/>
    <n v="3.18"/>
  </r>
  <r>
    <d v="2017-01-10T00:00:00"/>
    <x v="0"/>
    <x v="3"/>
    <x v="221"/>
    <x v="18"/>
    <x v="0"/>
    <x v="7"/>
    <s v="Belkin F9H710-06 7 Outlet SurgeMaster Surge Protector"/>
    <n v="207.24"/>
    <n v="11"/>
    <n v="58.03"/>
  </r>
  <r>
    <d v="2017-01-12T00:00:00"/>
    <x v="0"/>
    <x v="3"/>
    <x v="213"/>
    <x v="11"/>
    <x v="0"/>
    <x v="0"/>
    <s v="Xerox 1974"/>
    <n v="9.57"/>
    <n v="2"/>
    <n v="3.47"/>
  </r>
  <r>
    <d v="2017-02-01T00:00:00"/>
    <x v="1"/>
    <x v="3"/>
    <x v="222"/>
    <x v="2"/>
    <x v="0"/>
    <x v="2"/>
    <s v="Boston School Pro Electric Pencil Sharpener, 1670"/>
    <n v="99.14"/>
    <n v="4"/>
    <n v="8.67"/>
  </r>
  <r>
    <d v="2017-02-03T00:00:00"/>
    <x v="1"/>
    <x v="3"/>
    <x v="223"/>
    <x v="22"/>
    <x v="0"/>
    <x v="10"/>
    <s v="Recycled Eldon Regeneration Jumbo File"/>
    <n v="24.56"/>
    <n v="2"/>
    <n v="6.88"/>
  </r>
  <r>
    <d v="2017-02-05T00:00:00"/>
    <x v="1"/>
    <x v="3"/>
    <x v="224"/>
    <x v="14"/>
    <x v="0"/>
    <x v="2"/>
    <s v="Newell 350"/>
    <n v="9.84"/>
    <n v="3"/>
    <n v="2.85"/>
  </r>
  <r>
    <d v="2017-02-12T00:00:00"/>
    <x v="1"/>
    <x v="3"/>
    <x v="225"/>
    <x v="13"/>
    <x v="1"/>
    <x v="5"/>
    <s v="Atlantic Metals Mobile 4-Shelf Bookcases, Custom Colors"/>
    <n v="1573.49"/>
    <n v="7"/>
    <n v="196.69"/>
  </r>
  <r>
    <d v="2017-03-01T00:00:00"/>
    <x v="2"/>
    <x v="3"/>
    <x v="129"/>
    <x v="19"/>
    <x v="0"/>
    <x v="1"/>
    <s v="Avery 505"/>
    <n v="23.68"/>
    <n v="2"/>
    <n v="8.8800000000000008"/>
  </r>
  <r>
    <d v="2017-03-03T00:00:00"/>
    <x v="2"/>
    <x v="3"/>
    <x v="226"/>
    <x v="16"/>
    <x v="1"/>
    <x v="12"/>
    <s v="Global Deluxe Steno Chair"/>
    <n v="61.58"/>
    <n v="1"/>
    <n v="-6.93"/>
  </r>
  <r>
    <d v="2017-03-04T00:00:00"/>
    <x v="2"/>
    <x v="3"/>
    <x v="227"/>
    <x v="5"/>
    <x v="0"/>
    <x v="10"/>
    <s v="Dual Level, Single-Width Filing Carts"/>
    <n v="465.18"/>
    <n v="3"/>
    <n v="120.95"/>
  </r>
  <r>
    <d v="2017-03-06T00:00:00"/>
    <x v="2"/>
    <x v="3"/>
    <x v="228"/>
    <x v="3"/>
    <x v="0"/>
    <x v="8"/>
    <s v="Binding Machine Supplies"/>
    <n v="70.010000000000005"/>
    <n v="3"/>
    <n v="24.5"/>
  </r>
  <r>
    <d v="2017-03-07T00:00:00"/>
    <x v="2"/>
    <x v="3"/>
    <x v="75"/>
    <x v="1"/>
    <x v="1"/>
    <x v="3"/>
    <s v="Eldon ClusterMat Chair Mat with Cordless Antistatic Protection"/>
    <n v="254.74"/>
    <n v="7"/>
    <n v="-312.06"/>
  </r>
  <r>
    <d v="2017-03-08T00:00:00"/>
    <x v="2"/>
    <x v="3"/>
    <x v="229"/>
    <x v="35"/>
    <x v="0"/>
    <x v="0"/>
    <s v="Wirebound Service Call Books, 5 1/2&quot; x 4&quot;"/>
    <n v="29.04"/>
    <n v="3"/>
    <n v="13.94"/>
  </r>
  <r>
    <d v="2017-03-09T00:00:00"/>
    <x v="2"/>
    <x v="3"/>
    <x v="230"/>
    <x v="3"/>
    <x v="0"/>
    <x v="0"/>
    <s v="Xerox 1991"/>
    <n v="182.72"/>
    <n v="8"/>
    <n v="84.05"/>
  </r>
  <r>
    <d v="2017-03-10T00:00:00"/>
    <x v="2"/>
    <x v="3"/>
    <x v="7"/>
    <x v="19"/>
    <x v="1"/>
    <x v="12"/>
    <s v="High-Back Leather Manager's Chair"/>
    <n v="181.99"/>
    <n v="2"/>
    <n v="-54.6"/>
  </r>
  <r>
    <d v="2017-04-06T00:00:00"/>
    <x v="3"/>
    <x v="3"/>
    <x v="231"/>
    <x v="21"/>
    <x v="1"/>
    <x v="14"/>
    <s v="Chromcraft Bull-Nose Wood Oval Conference Tables &amp; Bases"/>
    <n v="4297.6400000000003"/>
    <n v="13"/>
    <n v="-1862.31"/>
  </r>
  <r>
    <d v="2017-04-11T00:00:00"/>
    <x v="3"/>
    <x v="3"/>
    <x v="232"/>
    <x v="0"/>
    <x v="0"/>
    <x v="0"/>
    <s v="Rediform Voice Mail Log Books"/>
    <n v="14.3"/>
    <n v="6"/>
    <n v="5.01"/>
  </r>
  <r>
    <d v="2017-05-03T00:00:00"/>
    <x v="4"/>
    <x v="3"/>
    <x v="233"/>
    <x v="22"/>
    <x v="0"/>
    <x v="0"/>
    <s v="Xerox 1999"/>
    <n v="12.96"/>
    <n v="2"/>
    <n v="6.22"/>
  </r>
  <r>
    <d v="2017-05-07T00:00:00"/>
    <x v="4"/>
    <x v="3"/>
    <x v="234"/>
    <x v="40"/>
    <x v="1"/>
    <x v="3"/>
    <s v="Coloredge Poster Frame"/>
    <n v="28.4"/>
    <n v="2"/>
    <n v="11.08"/>
  </r>
  <r>
    <d v="2017-05-11T00:00:00"/>
    <x v="4"/>
    <x v="3"/>
    <x v="235"/>
    <x v="4"/>
    <x v="0"/>
    <x v="4"/>
    <s v="Cameo Buff Policy Envelopes"/>
    <n v="311.14999999999998"/>
    <n v="5"/>
    <n v="146.24"/>
  </r>
  <r>
    <d v="2017-06-01T00:00:00"/>
    <x v="5"/>
    <x v="3"/>
    <x v="236"/>
    <x v="19"/>
    <x v="2"/>
    <x v="9"/>
    <s v="JBL Micro Wireless Portable Bluetooth Speaker"/>
    <n v="107.98"/>
    <n v="3"/>
    <n v="-27"/>
  </r>
  <r>
    <d v="2017-06-02T00:00:00"/>
    <x v="5"/>
    <x v="3"/>
    <x v="237"/>
    <x v="0"/>
    <x v="2"/>
    <x v="6"/>
    <s v="Memorex Micro Travel Drive 8 GB"/>
    <n v="20.8"/>
    <n v="2"/>
    <n v="6.5"/>
  </r>
  <r>
    <d v="2017-06-03T00:00:00"/>
    <x v="5"/>
    <x v="3"/>
    <x v="238"/>
    <x v="2"/>
    <x v="0"/>
    <x v="10"/>
    <s v="Eldon ProFile File 'N Store Portable File Tub Letter/Legal Size Black"/>
    <n v="77.239999999999995"/>
    <n v="5"/>
    <n v="7.72"/>
  </r>
  <r>
    <d v="2017-06-05T00:00:00"/>
    <x v="5"/>
    <x v="3"/>
    <x v="239"/>
    <x v="15"/>
    <x v="2"/>
    <x v="9"/>
    <s v="Innergie mMini Combo Duo USB Travel Charging Kit"/>
    <n v="134.97"/>
    <n v="3"/>
    <n v="64.790000000000006"/>
  </r>
  <r>
    <d v="2017-06-06T00:00:00"/>
    <x v="5"/>
    <x v="3"/>
    <x v="222"/>
    <x v="30"/>
    <x v="0"/>
    <x v="0"/>
    <s v="Xerox 1920"/>
    <n v="35.880000000000003"/>
    <n v="6"/>
    <n v="16.149999999999999"/>
  </r>
  <r>
    <d v="2017-06-10T00:00:00"/>
    <x v="5"/>
    <x v="3"/>
    <x v="240"/>
    <x v="3"/>
    <x v="0"/>
    <x v="1"/>
    <s v="Smead Alpha-Z Color-Coded Second Alphabetical Labels and Starter Set"/>
    <n v="9.24"/>
    <n v="3"/>
    <n v="4.4400000000000004"/>
  </r>
  <r>
    <d v="2017-06-11T00:00:00"/>
    <x v="5"/>
    <x v="3"/>
    <x v="116"/>
    <x v="10"/>
    <x v="2"/>
    <x v="6"/>
    <s v="Anker Ultrathin Bluetooth Wireless Keyboard Aluminum Cover with Stand"/>
    <n v="29.99"/>
    <n v="1"/>
    <n v="3"/>
  </r>
  <r>
    <d v="2017-07-07T00:00:00"/>
    <x v="6"/>
    <x v="3"/>
    <x v="241"/>
    <x v="14"/>
    <x v="0"/>
    <x v="2"/>
    <s v="Newell 34"/>
    <n v="79.36"/>
    <n v="4"/>
    <n v="20.63"/>
  </r>
  <r>
    <d v="2017-07-08T00:00:00"/>
    <x v="6"/>
    <x v="3"/>
    <x v="242"/>
    <x v="13"/>
    <x v="0"/>
    <x v="7"/>
    <s v="Hoover Portapower Portable Vacuum"/>
    <n v="26.88"/>
    <n v="6"/>
    <n v="6.72"/>
  </r>
  <r>
    <d v="2017-07-12T00:00:00"/>
    <x v="6"/>
    <x v="3"/>
    <x v="142"/>
    <x v="37"/>
    <x v="1"/>
    <x v="12"/>
    <s v="Global Low Back Tilter Chair"/>
    <n v="161.57"/>
    <n v="2"/>
    <n v="-28.27"/>
  </r>
  <r>
    <d v="2017-08-01T00:00:00"/>
    <x v="7"/>
    <x v="3"/>
    <x v="29"/>
    <x v="7"/>
    <x v="0"/>
    <x v="8"/>
    <s v="XtraLife ClearVue Slant-D Ring Binder, White, 3&quot;"/>
    <n v="58.72"/>
    <n v="4"/>
    <n v="27.01"/>
  </r>
  <r>
    <d v="2017-08-06T00:00:00"/>
    <x v="7"/>
    <x v="3"/>
    <x v="243"/>
    <x v="16"/>
    <x v="1"/>
    <x v="14"/>
    <s v="Hon Racetrack Conference Tables"/>
    <n v="787.53"/>
    <n v="3"/>
    <n v="165.38"/>
  </r>
  <r>
    <d v="2017-08-10T00:00:00"/>
    <x v="7"/>
    <x v="3"/>
    <x v="244"/>
    <x v="3"/>
    <x v="1"/>
    <x v="3"/>
    <s v="Deflect-o Glass Clear Studded Chair Mats"/>
    <n v="435.26"/>
    <n v="7"/>
    <n v="95.76"/>
  </r>
  <r>
    <d v="2017-09-04T00:00:00"/>
    <x v="8"/>
    <x v="3"/>
    <x v="245"/>
    <x v="5"/>
    <x v="2"/>
    <x v="6"/>
    <s v="Microsoft Sculpt Comfort Mouse"/>
    <n v="119.85"/>
    <n v="3"/>
    <n v="52.73"/>
  </r>
  <r>
    <d v="2017-09-10T00:00:00"/>
    <x v="8"/>
    <x v="3"/>
    <x v="115"/>
    <x v="0"/>
    <x v="2"/>
    <x v="6"/>
    <s v="Maxell 4.7GB DVD-R"/>
    <n v="113.52"/>
    <n v="5"/>
    <n v="29.8"/>
  </r>
  <r>
    <d v="2017-09-11T00:00:00"/>
    <x v="8"/>
    <x v="3"/>
    <x v="13"/>
    <x v="0"/>
    <x v="0"/>
    <x v="8"/>
    <s v="Acco Suede Grain Vinyl Round Ring Binder"/>
    <n v="1.1100000000000001"/>
    <n v="2"/>
    <n v="-1.89"/>
  </r>
  <r>
    <d v="2017-09-12T00:00:00"/>
    <x v="8"/>
    <x v="3"/>
    <x v="246"/>
    <x v="11"/>
    <x v="0"/>
    <x v="4"/>
    <s v="Convenience Packs of Business Envelopes"/>
    <n v="8.69"/>
    <n v="3"/>
    <n v="2.93"/>
  </r>
  <r>
    <d v="2017-10-03T00:00:00"/>
    <x v="9"/>
    <x v="3"/>
    <x v="247"/>
    <x v="16"/>
    <x v="1"/>
    <x v="5"/>
    <s v="Safco Value Mate Series Steel Bookcases, Baked Enamel Finish on Steel, Gray"/>
    <n v="141.96"/>
    <n v="2"/>
    <n v="39.75"/>
  </r>
  <r>
    <d v="2017-10-09T00:00:00"/>
    <x v="9"/>
    <x v="3"/>
    <x v="248"/>
    <x v="29"/>
    <x v="2"/>
    <x v="9"/>
    <s v="SmartStand Mobile Device Holder, Assorted Colors"/>
    <n v="16.78"/>
    <n v="3"/>
    <n v="1.68"/>
  </r>
  <r>
    <d v="2017-10-10T00:00:00"/>
    <x v="9"/>
    <x v="3"/>
    <x v="249"/>
    <x v="7"/>
    <x v="0"/>
    <x v="2"/>
    <s v="Rogers Handheld Barrel Pencil Sharpener"/>
    <n v="2.74"/>
    <n v="1"/>
    <n v="0.74"/>
  </r>
  <r>
    <d v="2017-10-12T00:00:00"/>
    <x v="9"/>
    <x v="3"/>
    <x v="250"/>
    <x v="13"/>
    <x v="2"/>
    <x v="6"/>
    <s v="KeyTronic KT800P2 - Keyboard - Black"/>
    <n v="15.02"/>
    <n v="1"/>
    <n v="2.7"/>
  </r>
  <r>
    <d v="2017-11-02T00:00:00"/>
    <x v="10"/>
    <x v="3"/>
    <x v="251"/>
    <x v="16"/>
    <x v="2"/>
    <x v="9"/>
    <s v="Wireless Extenders zBoost YX545 SOHO Signal Booster"/>
    <n v="453.58"/>
    <n v="3"/>
    <n v="39.69"/>
  </r>
  <r>
    <d v="2017-11-03T00:00:00"/>
    <x v="10"/>
    <x v="3"/>
    <x v="252"/>
    <x v="15"/>
    <x v="0"/>
    <x v="0"/>
    <s v="Xerox 205"/>
    <n v="51.84"/>
    <n v="8"/>
    <n v="24.88"/>
  </r>
  <r>
    <d v="2017-11-04T00:00:00"/>
    <x v="10"/>
    <x v="3"/>
    <x v="253"/>
    <x v="21"/>
    <x v="0"/>
    <x v="7"/>
    <s v="Honeywell Enviracaire Portable HEPA Air Cleaner for 17' x 22' Room"/>
    <n v="962.08"/>
    <n v="4"/>
    <n v="156.34"/>
  </r>
  <r>
    <d v="2017-11-06T00:00:00"/>
    <x v="10"/>
    <x v="3"/>
    <x v="254"/>
    <x v="0"/>
    <x v="2"/>
    <x v="6"/>
    <s v="Verbatim 25 GB 6x Blu-ray Single Layer Recordable Disc, 25/Pack"/>
    <n v="18.39"/>
    <n v="1"/>
    <n v="5.29"/>
  </r>
  <r>
    <d v="2017-11-11T00:00:00"/>
    <x v="10"/>
    <x v="3"/>
    <x v="255"/>
    <x v="1"/>
    <x v="1"/>
    <x v="5"/>
    <s v="Sauder Inglewood Library Bookcases"/>
    <n v="359.06"/>
    <n v="3"/>
    <n v="-35.909999999999997"/>
  </r>
  <r>
    <d v="2017-11-12T00:00:00"/>
    <x v="10"/>
    <x v="3"/>
    <x v="256"/>
    <x v="11"/>
    <x v="0"/>
    <x v="0"/>
    <s v="Xerox 1988"/>
    <n v="74.349999999999994"/>
    <n v="3"/>
    <n v="23.24"/>
  </r>
  <r>
    <d v="2017-12-06T00:00:00"/>
    <x v="11"/>
    <x v="3"/>
    <x v="257"/>
    <x v="16"/>
    <x v="0"/>
    <x v="10"/>
    <s v="Rogers Profile Extra Capacity Storage Tub"/>
    <n v="83.7"/>
    <n v="5"/>
    <n v="3.35"/>
  </r>
  <r>
    <d v="2017-12-07T00:00:00"/>
    <x v="11"/>
    <x v="3"/>
    <x v="258"/>
    <x v="3"/>
    <x v="2"/>
    <x v="6"/>
    <s v="Imation Bio 8GB USB Flash Drive Imation Corp"/>
    <n v="166.24"/>
    <n v="1"/>
    <n v="24.94"/>
  </r>
  <r>
    <d v="2017-12-09T00:00:00"/>
    <x v="11"/>
    <x v="3"/>
    <x v="259"/>
    <x v="11"/>
    <x v="1"/>
    <x v="12"/>
    <s v="Hon 4070 Series Pagoda Armless Upholstered Stacking Chairs"/>
    <n v="1166.92"/>
    <n v="5"/>
    <n v="131.28"/>
  </r>
  <r>
    <d v="2017-12-10T00:00:00"/>
    <x v="11"/>
    <x v="3"/>
    <x v="260"/>
    <x v="11"/>
    <x v="2"/>
    <x v="9"/>
    <s v="PureGear Roll-On Screen Protector"/>
    <n v="79.959999999999994"/>
    <n v="5"/>
    <n v="27.99"/>
  </r>
  <r>
    <d v="2014-01-13T00:00:00"/>
    <x v="0"/>
    <x v="0"/>
    <x v="261"/>
    <x v="0"/>
    <x v="0"/>
    <x v="7"/>
    <s v="APC 7 Outlet Network SurgeArrest Surge Protector"/>
    <n v="32.19"/>
    <n v="2"/>
    <n v="-80.48"/>
  </r>
  <r>
    <d v="2015-01-13T00:00:00"/>
    <x v="0"/>
    <x v="1"/>
    <x v="262"/>
    <x v="37"/>
    <x v="0"/>
    <x v="8"/>
    <s v="GBC DocuBind 300 Electric Binding Machine"/>
    <n v="157.79"/>
    <n v="1"/>
    <n v="-115.72"/>
  </r>
  <r>
    <d v="2015-03-13T00:00:00"/>
    <x v="2"/>
    <x v="1"/>
    <x v="77"/>
    <x v="0"/>
    <x v="0"/>
    <x v="7"/>
    <s v="Hoover Upright Vacuum With Dirt Cup"/>
    <n v="463.25"/>
    <n v="8"/>
    <n v="-1181.28"/>
  </r>
  <r>
    <d v="2016-03-13T00:00:00"/>
    <x v="2"/>
    <x v="2"/>
    <x v="64"/>
    <x v="3"/>
    <x v="1"/>
    <x v="14"/>
    <s v="Laminate Occasional Tables"/>
    <n v="369.91"/>
    <n v="3"/>
    <n v="-13.87"/>
  </r>
  <r>
    <d v="2017-03-13T00:00:00"/>
    <x v="2"/>
    <x v="3"/>
    <x v="263"/>
    <x v="16"/>
    <x v="0"/>
    <x v="10"/>
    <s v="Rogers Jumbo File, Granite"/>
    <n v="40.74"/>
    <n v="3"/>
    <n v="0.41"/>
  </r>
  <r>
    <d v="2014-04-13T00:00:00"/>
    <x v="3"/>
    <x v="0"/>
    <x v="183"/>
    <x v="3"/>
    <x v="2"/>
    <x v="6"/>
    <s v="Plantronics Audio 478 Stereo USB Headset"/>
    <n v="199.96"/>
    <n v="4"/>
    <n v="69.989999999999995"/>
  </r>
  <r>
    <d v="2015-04-13T00:00:00"/>
    <x v="3"/>
    <x v="1"/>
    <x v="264"/>
    <x v="8"/>
    <x v="0"/>
    <x v="7"/>
    <s v="Acco Smartsocket Color-Coded Six-Outlet AC Adapter Model Surge Protectors"/>
    <n v="35.21"/>
    <n v="1"/>
    <n v="2.64"/>
  </r>
  <r>
    <d v="2014-05-13T00:00:00"/>
    <x v="4"/>
    <x v="0"/>
    <x v="195"/>
    <x v="3"/>
    <x v="0"/>
    <x v="2"/>
    <s v="Prang Drawing Pencil Set"/>
    <n v="5.56"/>
    <n v="2"/>
    <n v="2.2200000000000002"/>
  </r>
  <r>
    <d v="2015-06-13T00:00:00"/>
    <x v="5"/>
    <x v="1"/>
    <x v="81"/>
    <x v="0"/>
    <x v="0"/>
    <x v="7"/>
    <s v="Fellowes Premier Superior Surge Suppressor, 10-Outlet, With Phone and Remote"/>
    <n v="19.57"/>
    <n v="2"/>
    <n v="-52.83"/>
  </r>
  <r>
    <d v="2016-06-13T00:00:00"/>
    <x v="5"/>
    <x v="2"/>
    <x v="265"/>
    <x v="27"/>
    <x v="1"/>
    <x v="12"/>
    <s v="Global Deluxe Office Fabric Chairs"/>
    <n v="191.96"/>
    <n v="2"/>
    <n v="51.83"/>
  </r>
  <r>
    <d v="2014-07-13T00:00:00"/>
    <x v="6"/>
    <x v="0"/>
    <x v="24"/>
    <x v="13"/>
    <x v="0"/>
    <x v="2"/>
    <s v="BOSTON Ranger #55 Pencil Sharpener, Black"/>
    <n v="25.99"/>
    <n v="1"/>
    <n v="7.54"/>
  </r>
  <r>
    <d v="2015-07-13T00:00:00"/>
    <x v="6"/>
    <x v="1"/>
    <x v="266"/>
    <x v="3"/>
    <x v="0"/>
    <x v="8"/>
    <s v="Fellowes Black Plastic Comb Bindings"/>
    <n v="13.94"/>
    <n v="3"/>
    <n v="4.53"/>
  </r>
  <r>
    <d v="2017-07-13T00:00:00"/>
    <x v="6"/>
    <x v="3"/>
    <x v="176"/>
    <x v="0"/>
    <x v="0"/>
    <x v="7"/>
    <s v="Holmes Odor Grabber"/>
    <n v="8.65"/>
    <n v="3"/>
    <n v="-20.329999999999998"/>
  </r>
  <r>
    <d v="2015-08-13T00:00:00"/>
    <x v="7"/>
    <x v="1"/>
    <x v="267"/>
    <x v="2"/>
    <x v="0"/>
    <x v="0"/>
    <s v="Xerox 1949"/>
    <n v="7.97"/>
    <n v="2"/>
    <n v="2.89"/>
  </r>
  <r>
    <d v="2016-08-13T00:00:00"/>
    <x v="7"/>
    <x v="2"/>
    <x v="66"/>
    <x v="1"/>
    <x v="1"/>
    <x v="12"/>
    <s v="Global Value Mid-Back Manager's Chair, Gray"/>
    <n v="213.12"/>
    <n v="5"/>
    <n v="-15.22"/>
  </r>
  <r>
    <d v="2014-09-13T00:00:00"/>
    <x v="8"/>
    <x v="0"/>
    <x v="166"/>
    <x v="3"/>
    <x v="2"/>
    <x v="9"/>
    <s v="OtterBox Defender Series Case - iPhone 5c"/>
    <n v="88.75"/>
    <n v="3"/>
    <n v="11.09"/>
  </r>
  <r>
    <d v="2017-09-13T00:00:00"/>
    <x v="8"/>
    <x v="3"/>
    <x v="268"/>
    <x v="0"/>
    <x v="0"/>
    <x v="1"/>
    <s v="Avery 501"/>
    <n v="8.86"/>
    <n v="3"/>
    <n v="2.99"/>
  </r>
  <r>
    <d v="2014-10-13T00:00:00"/>
    <x v="9"/>
    <x v="0"/>
    <x v="186"/>
    <x v="13"/>
    <x v="1"/>
    <x v="3"/>
    <s v="Electrix 20W Halogen Replacement Bulb for Zoom-In Desk Lamp"/>
    <n v="26.8"/>
    <n v="2"/>
    <n v="12.86"/>
  </r>
  <r>
    <d v="2015-11-13T00:00:00"/>
    <x v="10"/>
    <x v="1"/>
    <x v="269"/>
    <x v="0"/>
    <x v="1"/>
    <x v="14"/>
    <s v="Chromcraft Round Conference Tables"/>
    <n v="244.01"/>
    <n v="2"/>
    <n v="-31.37"/>
  </r>
  <r>
    <d v="2016-11-13T00:00:00"/>
    <x v="10"/>
    <x v="2"/>
    <x v="270"/>
    <x v="19"/>
    <x v="1"/>
    <x v="3"/>
    <s v="Eldon Regeneration Recycled Desk Accessories, Smoke"/>
    <n v="8.35"/>
    <n v="6"/>
    <n v="1.25"/>
  </r>
  <r>
    <d v="2014-12-13T00:00:00"/>
    <x v="11"/>
    <x v="0"/>
    <x v="271"/>
    <x v="27"/>
    <x v="0"/>
    <x v="8"/>
    <s v="Acco Flexible ACCOHIDE Square Ring Data Binder, Dark Blue, 11 1/2&quot; X 14&quot; 7/8&quot;"/>
    <n v="48.81"/>
    <n v="3"/>
    <n v="23.92"/>
  </r>
  <r>
    <d v="2014-01-14T00:00:00"/>
    <x v="0"/>
    <x v="0"/>
    <x v="255"/>
    <x v="1"/>
    <x v="0"/>
    <x v="7"/>
    <s v="Tripp Lite Isotel 8 Ultra 8 Outlet Metal Surge"/>
    <n v="70.97"/>
    <n v="5"/>
    <n v="-191.62"/>
  </r>
  <r>
    <d v="2016-01-14T00:00:00"/>
    <x v="0"/>
    <x v="2"/>
    <x v="66"/>
    <x v="9"/>
    <x v="1"/>
    <x v="12"/>
    <s v="Global Chrome Stack Chair"/>
    <n v="191.97"/>
    <n v="7"/>
    <n v="16.8"/>
  </r>
  <r>
    <d v="2014-02-14T00:00:00"/>
    <x v="1"/>
    <x v="0"/>
    <x v="272"/>
    <x v="3"/>
    <x v="0"/>
    <x v="0"/>
    <s v="Xerox 1962"/>
    <n v="12.84"/>
    <n v="3"/>
    <n v="5.78"/>
  </r>
  <r>
    <d v="2016-03-14T00:00:00"/>
    <x v="2"/>
    <x v="2"/>
    <x v="273"/>
    <x v="7"/>
    <x v="0"/>
    <x v="4"/>
    <s v="Wausau Papers Astrobrights Colored Envelopes"/>
    <n v="17.940000000000001"/>
    <n v="3"/>
    <n v="8.7899999999999991"/>
  </r>
  <r>
    <d v="2015-04-14T00:00:00"/>
    <x v="3"/>
    <x v="1"/>
    <x v="60"/>
    <x v="11"/>
    <x v="2"/>
    <x v="6"/>
    <s v="Razer Kraken PRO Over Ear PC and Music Headset"/>
    <n v="255.97"/>
    <n v="4"/>
    <n v="32"/>
  </r>
  <r>
    <d v="2014-05-14T00:00:00"/>
    <x v="4"/>
    <x v="0"/>
    <x v="6"/>
    <x v="3"/>
    <x v="0"/>
    <x v="0"/>
    <s v="Wirebound Message Book, 4 per Page"/>
    <n v="10.86"/>
    <n v="2"/>
    <n v="5.32"/>
  </r>
  <r>
    <d v="2016-05-14T00:00:00"/>
    <x v="4"/>
    <x v="2"/>
    <x v="274"/>
    <x v="21"/>
    <x v="1"/>
    <x v="3"/>
    <s v="Dana Fluorescent Magnifying Lamp, White, 36&quot;"/>
    <n v="163.13999999999999"/>
    <n v="4"/>
    <n v="20.39"/>
  </r>
  <r>
    <d v="2014-06-14T00:00:00"/>
    <x v="5"/>
    <x v="0"/>
    <x v="112"/>
    <x v="1"/>
    <x v="0"/>
    <x v="7"/>
    <s v="Fellowes Basic Home/Office Series Surge Protectors"/>
    <n v="20.77"/>
    <n v="8"/>
    <n v="-52.96"/>
  </r>
  <r>
    <d v="2015-06-14T00:00:00"/>
    <x v="5"/>
    <x v="1"/>
    <x v="275"/>
    <x v="3"/>
    <x v="0"/>
    <x v="1"/>
    <s v="Avery 476"/>
    <n v="8.26"/>
    <n v="2"/>
    <n v="3.8"/>
  </r>
  <r>
    <d v="2016-06-14T00:00:00"/>
    <x v="5"/>
    <x v="2"/>
    <x v="276"/>
    <x v="31"/>
    <x v="0"/>
    <x v="7"/>
    <s v="Kensington 4 Outlet MasterPiece Compact Power Control Center"/>
    <n v="845.73"/>
    <n v="13"/>
    <n v="84.57"/>
  </r>
  <r>
    <d v="2014-07-14T00:00:00"/>
    <x v="6"/>
    <x v="0"/>
    <x v="277"/>
    <x v="16"/>
    <x v="0"/>
    <x v="2"/>
    <s v="Newell 311"/>
    <n v="6.63"/>
    <n v="3"/>
    <n v="1.79"/>
  </r>
  <r>
    <d v="2015-07-14T00:00:00"/>
    <x v="6"/>
    <x v="1"/>
    <x v="244"/>
    <x v="16"/>
    <x v="0"/>
    <x v="0"/>
    <s v="Xerox 1894"/>
    <n v="32.4"/>
    <n v="5"/>
    <n v="15.55"/>
  </r>
  <r>
    <d v="2016-07-14T00:00:00"/>
    <x v="6"/>
    <x v="2"/>
    <x v="278"/>
    <x v="13"/>
    <x v="2"/>
    <x v="9"/>
    <s v="RCA H5401RE1 DECT 6.0 4-Line Cordless Handset With Caller ID/Call Waiting"/>
    <n v="239.97"/>
    <n v="3"/>
    <n v="2.4"/>
  </r>
  <r>
    <d v="2016-08-14T00:00:00"/>
    <x v="7"/>
    <x v="2"/>
    <x v="279"/>
    <x v="3"/>
    <x v="0"/>
    <x v="0"/>
    <s v="Southworth 25% Cotton Antique Laid Paper &amp; Envelopes"/>
    <n v="58.38"/>
    <n v="7"/>
    <n v="26.27"/>
  </r>
  <r>
    <d v="2014-09-14T00:00:00"/>
    <x v="8"/>
    <x v="0"/>
    <x v="122"/>
    <x v="0"/>
    <x v="0"/>
    <x v="8"/>
    <s v="Avery Poly Binder Pockets"/>
    <n v="5.73"/>
    <n v="8"/>
    <n v="-9.16"/>
  </r>
  <r>
    <d v="2015-09-14T00:00:00"/>
    <x v="8"/>
    <x v="1"/>
    <x v="246"/>
    <x v="13"/>
    <x v="1"/>
    <x v="12"/>
    <s v="Hon Every-Day Series Multi-Task Chairs"/>
    <n v="1522.64"/>
    <n v="9"/>
    <n v="169.18"/>
  </r>
  <r>
    <d v="2014-10-14T00:00:00"/>
    <x v="9"/>
    <x v="0"/>
    <x v="280"/>
    <x v="3"/>
    <x v="0"/>
    <x v="8"/>
    <s v="3-ring staple pack"/>
    <n v="7.52"/>
    <n v="5"/>
    <n v="2.63"/>
  </r>
  <r>
    <d v="2016-10-14T00:00:00"/>
    <x v="9"/>
    <x v="2"/>
    <x v="168"/>
    <x v="4"/>
    <x v="0"/>
    <x v="8"/>
    <s v="Vinyl Sectional Post Binders"/>
    <n v="113.1"/>
    <n v="3"/>
    <n v="56.55"/>
  </r>
  <r>
    <d v="2014-11-14T00:00:00"/>
    <x v="10"/>
    <x v="0"/>
    <x v="281"/>
    <x v="6"/>
    <x v="2"/>
    <x v="6"/>
    <s v="Kingston Digital DataTraveler 16GB USB 2.0"/>
    <n v="53.7"/>
    <n v="6"/>
    <n v="10.199999999999999"/>
  </r>
  <r>
    <d v="2015-11-14T00:00:00"/>
    <x v="10"/>
    <x v="1"/>
    <x v="282"/>
    <x v="3"/>
    <x v="0"/>
    <x v="8"/>
    <s v="Aluminum Screw Posts"/>
    <n v="36.619999999999997"/>
    <n v="3"/>
    <n v="13.73"/>
  </r>
  <r>
    <d v="2016-11-14T00:00:00"/>
    <x v="10"/>
    <x v="2"/>
    <x v="283"/>
    <x v="2"/>
    <x v="1"/>
    <x v="3"/>
    <s v="Eldon Expressions Punched Metal &amp; Wood Desk Accessories, Pewter &amp; Cherry"/>
    <n v="51.07"/>
    <n v="6"/>
    <n v="5.1100000000000003"/>
  </r>
  <r>
    <d v="2016-12-14T00:00:00"/>
    <x v="11"/>
    <x v="2"/>
    <x v="228"/>
    <x v="2"/>
    <x v="0"/>
    <x v="4"/>
    <s v="Peel &amp; Seel Envelopes"/>
    <n v="6.21"/>
    <n v="2"/>
    <n v="2.17"/>
  </r>
  <r>
    <d v="2017-12-14T00:00:00"/>
    <x v="11"/>
    <x v="3"/>
    <x v="284"/>
    <x v="3"/>
    <x v="1"/>
    <x v="3"/>
    <s v="Eldon 200 Class Desk Accessories"/>
    <n v="12.56"/>
    <n v="2"/>
    <n v="4.0199999999999996"/>
  </r>
  <r>
    <d v="2014-01-15T00:00:00"/>
    <x v="0"/>
    <x v="0"/>
    <x v="285"/>
    <x v="3"/>
    <x v="1"/>
    <x v="3"/>
    <s v="Howard Miller 13&quot; Diameter Pewter Finish Round Wall Clock"/>
    <n v="257.64"/>
    <n v="6"/>
    <n v="100.48"/>
  </r>
  <r>
    <d v="2016-01-15T00:00:00"/>
    <x v="0"/>
    <x v="2"/>
    <x v="286"/>
    <x v="16"/>
    <x v="2"/>
    <x v="9"/>
    <s v="Pyle PRT45 Retro Home Telephone"/>
    <n v="201.57"/>
    <n v="4"/>
    <n v="22.68"/>
  </r>
  <r>
    <d v="2017-01-15T00:00:00"/>
    <x v="0"/>
    <x v="3"/>
    <x v="287"/>
    <x v="2"/>
    <x v="0"/>
    <x v="0"/>
    <s v="Xerox 211"/>
    <n v="31.1"/>
    <n v="6"/>
    <n v="10.89"/>
  </r>
  <r>
    <d v="2014-02-15T00:00:00"/>
    <x v="1"/>
    <x v="0"/>
    <x v="288"/>
    <x v="14"/>
    <x v="2"/>
    <x v="6"/>
    <s v="Sony 32GB Class 10 Micro SDHC R40 Memory Card"/>
    <n v="41.9"/>
    <n v="2"/>
    <n v="8.8000000000000007"/>
  </r>
  <r>
    <d v="2015-02-15T00:00:00"/>
    <x v="1"/>
    <x v="1"/>
    <x v="289"/>
    <x v="0"/>
    <x v="0"/>
    <x v="7"/>
    <s v="Belkin 8 Outlet Surge Protector"/>
    <n v="32.78"/>
    <n v="4"/>
    <n v="-85.24"/>
  </r>
  <r>
    <d v="2016-02-15T00:00:00"/>
    <x v="1"/>
    <x v="2"/>
    <x v="290"/>
    <x v="27"/>
    <x v="1"/>
    <x v="12"/>
    <s v="Novimex High-Tech Fabric Mesh Task Chair"/>
    <n v="70.98"/>
    <n v="1"/>
    <n v="4.97"/>
  </r>
  <r>
    <d v="2014-03-15T00:00:00"/>
    <x v="2"/>
    <x v="0"/>
    <x v="291"/>
    <x v="15"/>
    <x v="2"/>
    <x v="9"/>
    <s v="Mitel MiVoice 5330e IP Phone"/>
    <n v="1099.96"/>
    <n v="4"/>
    <n v="285.99"/>
  </r>
  <r>
    <d v="2015-03-15T00:00:00"/>
    <x v="2"/>
    <x v="1"/>
    <x v="292"/>
    <x v="13"/>
    <x v="1"/>
    <x v="3"/>
    <s v="G.E. Halogen Desk Lamp Bulbs"/>
    <n v="13.96"/>
    <n v="2"/>
    <n v="6.7"/>
  </r>
  <r>
    <d v="2016-03-15T00:00:00"/>
    <x v="2"/>
    <x v="2"/>
    <x v="270"/>
    <x v="28"/>
    <x v="0"/>
    <x v="0"/>
    <s v="Tops Wirebound Message Log Books"/>
    <n v="6.58"/>
    <n v="2"/>
    <n v="3.03"/>
  </r>
  <r>
    <d v="2014-04-15T00:00:00"/>
    <x v="3"/>
    <x v="0"/>
    <x v="121"/>
    <x v="9"/>
    <x v="0"/>
    <x v="8"/>
    <s v="Accohide Poly Flexible Ring Binders"/>
    <n v="3.37"/>
    <n v="3"/>
    <n v="-2.2400000000000002"/>
  </r>
  <r>
    <d v="2016-04-15T00:00:00"/>
    <x v="3"/>
    <x v="2"/>
    <x v="293"/>
    <x v="2"/>
    <x v="1"/>
    <x v="3"/>
    <s v="Howard Miller 13-3/4&quot; Diameter Brushed Chrome Round Wall Clock"/>
    <n v="289.8"/>
    <n v="7"/>
    <n v="36.229999999999997"/>
  </r>
  <r>
    <d v="2015-05-15T00:00:00"/>
    <x v="4"/>
    <x v="1"/>
    <x v="294"/>
    <x v="13"/>
    <x v="0"/>
    <x v="8"/>
    <s v="GBC Plastic Binding Combs"/>
    <n v="11.81"/>
    <n v="2"/>
    <n v="4.28"/>
  </r>
  <r>
    <d v="2016-05-15T00:00:00"/>
    <x v="4"/>
    <x v="2"/>
    <x v="295"/>
    <x v="9"/>
    <x v="0"/>
    <x v="10"/>
    <s v="SAFCO Boltless Steel Shelving"/>
    <n v="272.74"/>
    <n v="3"/>
    <n v="-64.77"/>
  </r>
  <r>
    <d v="2014-06-15T00:00:00"/>
    <x v="5"/>
    <x v="0"/>
    <x v="280"/>
    <x v="3"/>
    <x v="1"/>
    <x v="12"/>
    <s v="Hon 2090 Pillow Soft Series Mid Back Swivel/Tilt Chairs"/>
    <n v="1348.7"/>
    <n v="6"/>
    <n v="-219.16"/>
  </r>
  <r>
    <d v="2016-06-15T00:00:00"/>
    <x v="5"/>
    <x v="2"/>
    <x v="296"/>
    <x v="3"/>
    <x v="1"/>
    <x v="5"/>
    <s v="Sauder Camden County Collection Libraries, Planked Cherry Finish"/>
    <n v="195.47"/>
    <n v="2"/>
    <n v="-13.8"/>
  </r>
  <r>
    <d v="2017-06-15T00:00:00"/>
    <x v="5"/>
    <x v="3"/>
    <x v="144"/>
    <x v="3"/>
    <x v="2"/>
    <x v="6"/>
    <s v="Logitech G35 7.1-Channel Surround Sound Headset"/>
    <n v="519.96"/>
    <n v="4"/>
    <n v="176.79"/>
  </r>
  <r>
    <d v="2014-07-15T00:00:00"/>
    <x v="6"/>
    <x v="0"/>
    <x v="297"/>
    <x v="9"/>
    <x v="0"/>
    <x v="8"/>
    <s v="Wilson Jones DublLock D-Ring Binders"/>
    <n v="2.0299999999999998"/>
    <n v="1"/>
    <n v="-1.35"/>
  </r>
  <r>
    <d v="2016-07-15T00:00:00"/>
    <x v="6"/>
    <x v="2"/>
    <x v="298"/>
    <x v="18"/>
    <x v="0"/>
    <x v="10"/>
    <s v="Multi-Use Personal File Cart and Caster Set, Three Stacking Bins"/>
    <n v="34.76"/>
    <n v="1"/>
    <n v="9.73"/>
  </r>
  <r>
    <d v="2014-08-15T00:00:00"/>
    <x v="7"/>
    <x v="0"/>
    <x v="299"/>
    <x v="2"/>
    <x v="0"/>
    <x v="8"/>
    <s v="GBC Premium Transparent Covers with Diagonal Lined Pattern"/>
    <n v="25.18"/>
    <n v="4"/>
    <n v="-18.46"/>
  </r>
  <r>
    <d v="2015-08-15T00:00:00"/>
    <x v="7"/>
    <x v="1"/>
    <x v="117"/>
    <x v="9"/>
    <x v="1"/>
    <x v="14"/>
    <s v="Bevis Boat-Shaped Conference Table"/>
    <n v="393.17"/>
    <n v="3"/>
    <n v="-204.45"/>
  </r>
  <r>
    <d v="2016-08-15T00:00:00"/>
    <x v="7"/>
    <x v="2"/>
    <x v="81"/>
    <x v="27"/>
    <x v="2"/>
    <x v="9"/>
    <s v="Mediabridge Sport Armband iPhone 5s"/>
    <n v="29.97"/>
    <n v="3"/>
    <n v="0.3"/>
  </r>
  <r>
    <d v="2014-09-15T00:00:00"/>
    <x v="8"/>
    <x v="0"/>
    <x v="153"/>
    <x v="13"/>
    <x v="2"/>
    <x v="6"/>
    <s v="Plantronics CS510 - Over-the-Head monaural Wireless Headset System"/>
    <n v="2309.65"/>
    <n v="7"/>
    <n v="762.18"/>
  </r>
  <r>
    <d v="2016-09-15T00:00:00"/>
    <x v="8"/>
    <x v="2"/>
    <x v="300"/>
    <x v="3"/>
    <x v="0"/>
    <x v="2"/>
    <s v="Prang Dustless Chalk Sticks"/>
    <n v="6.72"/>
    <n v="4"/>
    <n v="3.36"/>
  </r>
  <r>
    <d v="2017-09-15T00:00:00"/>
    <x v="8"/>
    <x v="3"/>
    <x v="210"/>
    <x v="16"/>
    <x v="0"/>
    <x v="8"/>
    <s v="Ibico Presentation Index for Binding Systems"/>
    <n v="6.37"/>
    <n v="2"/>
    <n v="2.15"/>
  </r>
  <r>
    <d v="2014-10-15T00:00:00"/>
    <x v="9"/>
    <x v="0"/>
    <x v="273"/>
    <x v="0"/>
    <x v="0"/>
    <x v="10"/>
    <s v="Perma STOR-ALL Hanging File Box, 13 1/8&quot;W x 12 1/4&quot;D x 10 1/2&quot;H"/>
    <n v="33.49"/>
    <n v="7"/>
    <n v="-1.26"/>
  </r>
  <r>
    <d v="2015-10-15T00:00:00"/>
    <x v="9"/>
    <x v="1"/>
    <x v="237"/>
    <x v="0"/>
    <x v="0"/>
    <x v="0"/>
    <s v="Xerox 188"/>
    <n v="27.22"/>
    <n v="3"/>
    <n v="9.8699999999999992"/>
  </r>
  <r>
    <d v="2016-10-15T00:00:00"/>
    <x v="9"/>
    <x v="2"/>
    <x v="301"/>
    <x v="3"/>
    <x v="0"/>
    <x v="8"/>
    <s v="ACCOHIDE 3-Ring Binder, Blue, 1&quot;"/>
    <n v="6.61"/>
    <n v="2"/>
    <n v="2.23"/>
  </r>
  <r>
    <d v="2017-10-15T00:00:00"/>
    <x v="9"/>
    <x v="3"/>
    <x v="302"/>
    <x v="14"/>
    <x v="0"/>
    <x v="2"/>
    <s v="Sanford Uni-Blazer View Highlighters, Chisel Tip, Yellow"/>
    <n v="2.2000000000000002"/>
    <n v="1"/>
    <n v="0.97"/>
  </r>
  <r>
    <d v="2014-11-15T00:00:00"/>
    <x v="10"/>
    <x v="0"/>
    <x v="303"/>
    <x v="3"/>
    <x v="0"/>
    <x v="2"/>
    <s v="50 Colored Long Pencils"/>
    <n v="50.8"/>
    <n v="5"/>
    <n v="13.21"/>
  </r>
  <r>
    <d v="2016-11-15T00:00:00"/>
    <x v="10"/>
    <x v="2"/>
    <x v="304"/>
    <x v="3"/>
    <x v="0"/>
    <x v="10"/>
    <s v="Fellowes Super Stor/Drawer Files"/>
    <n v="323.10000000000002"/>
    <n v="2"/>
    <n v="61.39"/>
  </r>
  <r>
    <d v="2017-11-15T00:00:00"/>
    <x v="10"/>
    <x v="3"/>
    <x v="305"/>
    <x v="9"/>
    <x v="0"/>
    <x v="2"/>
    <s v="Newell 346"/>
    <n v="2.2999999999999998"/>
    <n v="1"/>
    <n v="0.26"/>
  </r>
  <r>
    <d v="2014-12-15T00:00:00"/>
    <x v="11"/>
    <x v="0"/>
    <x v="306"/>
    <x v="28"/>
    <x v="0"/>
    <x v="8"/>
    <s v="Wilson Jones Snap Scratch Pad Binder Tool for Ring Binders"/>
    <n v="52.2"/>
    <n v="9"/>
    <n v="23.49"/>
  </r>
  <r>
    <d v="2017-12-15T00:00:00"/>
    <x v="11"/>
    <x v="3"/>
    <x v="141"/>
    <x v="3"/>
    <x v="1"/>
    <x v="12"/>
    <s v="Hon GuestStacker Chair"/>
    <n v="544.01"/>
    <n v="3"/>
    <n v="40.799999999999997"/>
  </r>
  <r>
    <d v="2014-01-16T00:00:00"/>
    <x v="0"/>
    <x v="0"/>
    <x v="307"/>
    <x v="13"/>
    <x v="0"/>
    <x v="8"/>
    <s v="Avery 3 1/2&quot; Diskette Storage Pages, 10/Pack"/>
    <n v="50.11"/>
    <n v="6"/>
    <n v="16.29"/>
  </r>
  <r>
    <d v="2014-02-16T00:00:00"/>
    <x v="1"/>
    <x v="0"/>
    <x v="308"/>
    <x v="1"/>
    <x v="0"/>
    <x v="16"/>
    <s v="Acme Tagit Stainless Steel Antibacterial Scissors"/>
    <n v="31.68"/>
    <n v="4"/>
    <n v="2.77"/>
  </r>
  <r>
    <d v="2015-02-16T00:00:00"/>
    <x v="1"/>
    <x v="1"/>
    <x v="309"/>
    <x v="14"/>
    <x v="2"/>
    <x v="9"/>
    <s v="Samsung Rugby III"/>
    <n v="131.97999999999999"/>
    <n v="2"/>
    <n v="35.630000000000003"/>
  </r>
  <r>
    <d v="2016-02-16T00:00:00"/>
    <x v="1"/>
    <x v="2"/>
    <x v="310"/>
    <x v="3"/>
    <x v="0"/>
    <x v="8"/>
    <s v="Storex Dura Pro Binders"/>
    <n v="4.75"/>
    <n v="1"/>
    <n v="1.6"/>
  </r>
  <r>
    <d v="2017-02-16T00:00:00"/>
    <x v="1"/>
    <x v="3"/>
    <x v="311"/>
    <x v="21"/>
    <x v="0"/>
    <x v="4"/>
    <s v="Jet-Pak Recycled Peel 'N' Seal Padded Mailers"/>
    <n v="200.98"/>
    <n v="7"/>
    <n v="62.81"/>
  </r>
  <r>
    <d v="2014-03-16T00:00:00"/>
    <x v="2"/>
    <x v="0"/>
    <x v="312"/>
    <x v="7"/>
    <x v="0"/>
    <x v="0"/>
    <s v="Xerox 1908"/>
    <n v="279.89999999999998"/>
    <n v="5"/>
    <n v="137.15"/>
  </r>
  <r>
    <d v="2015-03-16T00:00:00"/>
    <x v="2"/>
    <x v="1"/>
    <x v="135"/>
    <x v="3"/>
    <x v="1"/>
    <x v="5"/>
    <s v="Sauder Camden County Barrister Bookcase, Planked Cherry Finish"/>
    <n v="411.33"/>
    <n v="4"/>
    <n v="-4.84"/>
  </r>
  <r>
    <d v="2015-05-16T00:00:00"/>
    <x v="4"/>
    <x v="1"/>
    <x v="313"/>
    <x v="3"/>
    <x v="0"/>
    <x v="0"/>
    <s v="Xerox 1928"/>
    <n v="26.4"/>
    <n v="5"/>
    <n v="11.88"/>
  </r>
  <r>
    <d v="2017-05-16T00:00:00"/>
    <x v="4"/>
    <x v="3"/>
    <x v="314"/>
    <x v="3"/>
    <x v="0"/>
    <x v="16"/>
    <s v="Martin-Yale Premier Letter Opener"/>
    <n v="51.52"/>
    <n v="4"/>
    <n v="1.55"/>
  </r>
  <r>
    <d v="2015-06-16T00:00:00"/>
    <x v="5"/>
    <x v="1"/>
    <x v="99"/>
    <x v="3"/>
    <x v="0"/>
    <x v="2"/>
    <s v="Boston 19500 Mighty Mite Electric Pencil Sharpener"/>
    <n v="181.35"/>
    <n v="9"/>
    <n v="48.96"/>
  </r>
  <r>
    <d v="2016-06-16T00:00:00"/>
    <x v="5"/>
    <x v="2"/>
    <x v="83"/>
    <x v="13"/>
    <x v="2"/>
    <x v="15"/>
    <s v="Hewlett Packard 310 Color Digital Copier"/>
    <n v="479.98"/>
    <n v="2"/>
    <n v="60"/>
  </r>
  <r>
    <d v="2015-07-16T00:00:00"/>
    <x v="6"/>
    <x v="1"/>
    <x v="315"/>
    <x v="29"/>
    <x v="1"/>
    <x v="14"/>
    <s v="Lesro Round Back Collection Coffee Table, End Table"/>
    <n v="912.75"/>
    <n v="5"/>
    <n v="118.66"/>
  </r>
  <r>
    <d v="2014-08-16T00:00:00"/>
    <x v="7"/>
    <x v="0"/>
    <x v="316"/>
    <x v="2"/>
    <x v="1"/>
    <x v="5"/>
    <s v="Riverside Palais Royal Lawyers Bookcase, Royale Cherry Finish"/>
    <n v="3083.43"/>
    <n v="7"/>
    <n v="-1665.05"/>
  </r>
  <r>
    <d v="2015-08-16T00:00:00"/>
    <x v="7"/>
    <x v="1"/>
    <x v="317"/>
    <x v="3"/>
    <x v="0"/>
    <x v="0"/>
    <s v="Personal Creations Ink Jet Cards and Labels"/>
    <n v="160.72"/>
    <n v="14"/>
    <n v="78.75"/>
  </r>
  <r>
    <d v="2014-09-16T00:00:00"/>
    <x v="8"/>
    <x v="0"/>
    <x v="84"/>
    <x v="28"/>
    <x v="0"/>
    <x v="8"/>
    <s v="GBC Standard Plastic Binding Systems' Combs"/>
    <n v="37.68"/>
    <n v="6"/>
    <n v="16.96"/>
  </r>
  <r>
    <d v="2017-09-16T00:00:00"/>
    <x v="8"/>
    <x v="3"/>
    <x v="318"/>
    <x v="0"/>
    <x v="2"/>
    <x v="9"/>
    <s v="ShoreTel ShorePhone IP 230 VoIP phone"/>
    <n v="946.34"/>
    <n v="7"/>
    <n v="118.29"/>
  </r>
  <r>
    <d v="2014-10-16T00:00:00"/>
    <x v="9"/>
    <x v="0"/>
    <x v="303"/>
    <x v="2"/>
    <x v="0"/>
    <x v="2"/>
    <s v="Newell 320"/>
    <n v="6.85"/>
    <n v="2"/>
    <n v="0.6"/>
  </r>
  <r>
    <d v="2014-11-16T00:00:00"/>
    <x v="10"/>
    <x v="0"/>
    <x v="197"/>
    <x v="29"/>
    <x v="1"/>
    <x v="14"/>
    <s v="Bretford CR4500 Series Slim Rectangular Table"/>
    <n v="1044.6300000000001"/>
    <n v="3"/>
    <n v="240.26"/>
  </r>
  <r>
    <d v="2015-11-16T00:00:00"/>
    <x v="10"/>
    <x v="1"/>
    <x v="99"/>
    <x v="0"/>
    <x v="0"/>
    <x v="8"/>
    <s v="Round Ring Binders"/>
    <n v="2.08"/>
    <n v="5"/>
    <n v="-3.43"/>
  </r>
  <r>
    <d v="2014-12-16T00:00:00"/>
    <x v="11"/>
    <x v="0"/>
    <x v="306"/>
    <x v="31"/>
    <x v="0"/>
    <x v="10"/>
    <s v="Trav-L-File Heavy-Duty Shuttle II, Black"/>
    <n v="139.41999999999999"/>
    <n v="4"/>
    <n v="17.43"/>
  </r>
  <r>
    <d v="2016-12-16T00:00:00"/>
    <x v="11"/>
    <x v="2"/>
    <x v="319"/>
    <x v="3"/>
    <x v="0"/>
    <x v="8"/>
    <s v="GBC Personal VeloBind Strips"/>
    <n v="57.5"/>
    <n v="6"/>
    <n v="20.13"/>
  </r>
  <r>
    <d v="2015-01-17T00:00:00"/>
    <x v="0"/>
    <x v="1"/>
    <x v="320"/>
    <x v="7"/>
    <x v="1"/>
    <x v="12"/>
    <s v="Office Star - Mesh Screen back chair with Vinyl seat"/>
    <n v="392.94"/>
    <n v="3"/>
    <n v="43.22"/>
  </r>
  <r>
    <d v="2016-01-17T00:00:00"/>
    <x v="0"/>
    <x v="2"/>
    <x v="321"/>
    <x v="4"/>
    <x v="0"/>
    <x v="2"/>
    <s v="Newell 324"/>
    <n v="46.2"/>
    <n v="4"/>
    <n v="12.94"/>
  </r>
  <r>
    <d v="2014-02-17T00:00:00"/>
    <x v="1"/>
    <x v="0"/>
    <x v="86"/>
    <x v="1"/>
    <x v="2"/>
    <x v="6"/>
    <s v="Logitech Gaming G510s - Keyboard"/>
    <n v="339.96"/>
    <n v="5"/>
    <n v="67.989999999999995"/>
  </r>
  <r>
    <d v="2017-02-17T00:00:00"/>
    <x v="1"/>
    <x v="3"/>
    <x v="322"/>
    <x v="3"/>
    <x v="0"/>
    <x v="10"/>
    <s v="Eldon Base for stackable storage shelf, platinum"/>
    <n v="77.88"/>
    <n v="2"/>
    <n v="3.89"/>
  </r>
  <r>
    <d v="2014-03-17T00:00:00"/>
    <x v="2"/>
    <x v="0"/>
    <x v="44"/>
    <x v="0"/>
    <x v="2"/>
    <x v="6"/>
    <s v="Verbatim Slim CD and DVD Storage Cases, 50/Pack"/>
    <n v="27.7"/>
    <n v="3"/>
    <n v="3.46"/>
  </r>
  <r>
    <d v="2015-03-17T00:00:00"/>
    <x v="2"/>
    <x v="1"/>
    <x v="316"/>
    <x v="30"/>
    <x v="0"/>
    <x v="0"/>
    <s v="Southworth 100% Cotton The Best Paper"/>
    <n v="34.44"/>
    <n v="3"/>
    <n v="17.22"/>
  </r>
  <r>
    <d v="2015-04-17T00:00:00"/>
    <x v="3"/>
    <x v="1"/>
    <x v="323"/>
    <x v="1"/>
    <x v="0"/>
    <x v="8"/>
    <s v="GBC Instant Report Kit"/>
    <n v="5.18"/>
    <n v="4"/>
    <n v="-7.76"/>
  </r>
  <r>
    <d v="2016-04-17T00:00:00"/>
    <x v="3"/>
    <x v="2"/>
    <x v="324"/>
    <x v="3"/>
    <x v="0"/>
    <x v="1"/>
    <s v="Avery 507"/>
    <n v="5.76"/>
    <n v="2"/>
    <n v="2.65"/>
  </r>
  <r>
    <d v="2014-05-17T00:00:00"/>
    <x v="4"/>
    <x v="0"/>
    <x v="58"/>
    <x v="27"/>
    <x v="0"/>
    <x v="4"/>
    <s v="Laser &amp; Ink Jet Business Envelopes"/>
    <n v="10.67"/>
    <n v="1"/>
    <n v="4.91"/>
  </r>
  <r>
    <d v="2016-05-17T00:00:00"/>
    <x v="4"/>
    <x v="2"/>
    <x v="238"/>
    <x v="3"/>
    <x v="0"/>
    <x v="0"/>
    <s v="Xerox 1898"/>
    <n v="33.4"/>
    <n v="5"/>
    <n v="16.03"/>
  </r>
  <r>
    <d v="2014-06-17T00:00:00"/>
    <x v="5"/>
    <x v="0"/>
    <x v="287"/>
    <x v="14"/>
    <x v="2"/>
    <x v="9"/>
    <s v="Panasonic KX T7736-B Digital phone"/>
    <n v="299.89999999999998"/>
    <n v="2"/>
    <n v="74.98"/>
  </r>
  <r>
    <d v="2015-07-17T00:00:00"/>
    <x v="6"/>
    <x v="1"/>
    <x v="325"/>
    <x v="3"/>
    <x v="1"/>
    <x v="14"/>
    <s v="Bevis Round Bullnose 29&quot; High Table Top"/>
    <n v="1038.8399999999999"/>
    <n v="5"/>
    <n v="51.94"/>
  </r>
  <r>
    <d v="2014-08-17T00:00:00"/>
    <x v="7"/>
    <x v="0"/>
    <x v="326"/>
    <x v="3"/>
    <x v="2"/>
    <x v="9"/>
    <s v="Cisco IP Phone 7961G-GE VoIP phone"/>
    <n v="1212.8499999999999"/>
    <n v="7"/>
    <n v="106.12"/>
  </r>
  <r>
    <d v="2015-08-17T00:00:00"/>
    <x v="7"/>
    <x v="1"/>
    <x v="327"/>
    <x v="21"/>
    <x v="1"/>
    <x v="12"/>
    <s v="Harbour Creations Steel Folding Chair"/>
    <n v="207"/>
    <n v="3"/>
    <n v="25.88"/>
  </r>
  <r>
    <d v="2014-09-17T00:00:00"/>
    <x v="8"/>
    <x v="0"/>
    <x v="328"/>
    <x v="3"/>
    <x v="1"/>
    <x v="12"/>
    <s v="Safco Contoured Stacking Chairs"/>
    <n v="190.72"/>
    <n v="1"/>
    <n v="11.92"/>
  </r>
  <r>
    <d v="2015-09-17T00:00:00"/>
    <x v="8"/>
    <x v="1"/>
    <x v="119"/>
    <x v="28"/>
    <x v="0"/>
    <x v="2"/>
    <s v="American Pencil"/>
    <n v="11.65"/>
    <n v="5"/>
    <n v="3.38"/>
  </r>
  <r>
    <d v="2015-10-17T00:00:00"/>
    <x v="9"/>
    <x v="1"/>
    <x v="322"/>
    <x v="2"/>
    <x v="0"/>
    <x v="0"/>
    <s v="While You Were Out Pads, 50 per Pad, 4 x 5 1/4, Green Cycle"/>
    <n v="11.35"/>
    <n v="3"/>
    <n v="4.12"/>
  </r>
  <r>
    <d v="2016-10-17T00:00:00"/>
    <x v="9"/>
    <x v="2"/>
    <x v="329"/>
    <x v="14"/>
    <x v="0"/>
    <x v="10"/>
    <s v="Advantus 10-Drawer Portable Organizer, Chrome Metal Frame, Smoke Drawers"/>
    <n v="418.32"/>
    <n v="7"/>
    <n v="117.13"/>
  </r>
  <r>
    <d v="2017-10-17T00:00:00"/>
    <x v="9"/>
    <x v="3"/>
    <x v="330"/>
    <x v="31"/>
    <x v="2"/>
    <x v="6"/>
    <s v="Logitech K350 2.4Ghz Wireless Keyboard"/>
    <n v="238.9"/>
    <n v="6"/>
    <n v="-26.88"/>
  </r>
  <r>
    <d v="2014-11-17T00:00:00"/>
    <x v="10"/>
    <x v="0"/>
    <x v="95"/>
    <x v="13"/>
    <x v="2"/>
    <x v="6"/>
    <s v="Imation Clip USB flash drive - 8 GB"/>
    <n v="37.6"/>
    <n v="2"/>
    <n v="2.2599999999999998"/>
  </r>
  <r>
    <d v="2015-11-17T00:00:00"/>
    <x v="10"/>
    <x v="1"/>
    <x v="331"/>
    <x v="13"/>
    <x v="0"/>
    <x v="7"/>
    <s v="Eureka The Boss Plus 12-Amp Hard Box Upright Vacuum, Red"/>
    <n v="523.25"/>
    <n v="5"/>
    <n v="141.28"/>
  </r>
  <r>
    <d v="2017-11-17T00:00:00"/>
    <x v="10"/>
    <x v="3"/>
    <x v="332"/>
    <x v="1"/>
    <x v="0"/>
    <x v="16"/>
    <s v="Acme Box Cutter Scissors"/>
    <n v="40.92"/>
    <n v="5"/>
    <n v="3.07"/>
  </r>
  <r>
    <d v="2014-12-17T00:00:00"/>
    <x v="11"/>
    <x v="0"/>
    <x v="112"/>
    <x v="19"/>
    <x v="1"/>
    <x v="12"/>
    <s v="Padded Folding Chairs, Black, 4/Carton"/>
    <n v="396.8"/>
    <n v="7"/>
    <n v="-11.34"/>
  </r>
  <r>
    <d v="2016-12-17T00:00:00"/>
    <x v="11"/>
    <x v="2"/>
    <x v="78"/>
    <x v="0"/>
    <x v="0"/>
    <x v="7"/>
    <s v="Holmes Replacement Filter for HEPA Air Cleaner, Very Large Room, HEPA Filter"/>
    <n v="68.81"/>
    <n v="5"/>
    <n v="-123.86"/>
  </r>
  <r>
    <d v="2017-12-17T00:00:00"/>
    <x v="11"/>
    <x v="3"/>
    <x v="333"/>
    <x v="0"/>
    <x v="0"/>
    <x v="0"/>
    <s v="Xerox 1915"/>
    <n v="335.52"/>
    <n v="4"/>
    <n v="117.43"/>
  </r>
  <r>
    <d v="2014-01-18T00:00:00"/>
    <x v="0"/>
    <x v="0"/>
    <x v="56"/>
    <x v="3"/>
    <x v="2"/>
    <x v="6"/>
    <s v="Verbatim 25 GB 6x Blu-ray Single Layer Recordable Disc, 3/Pack"/>
    <n v="13.98"/>
    <n v="2"/>
    <n v="6.15"/>
  </r>
  <r>
    <d v="2014-02-18T00:00:00"/>
    <x v="1"/>
    <x v="0"/>
    <x v="334"/>
    <x v="11"/>
    <x v="1"/>
    <x v="14"/>
    <s v="Hon Practical Foundations 30 x 60 Training Table, Light Gray/Charcoal"/>
    <n v="375.46"/>
    <n v="3"/>
    <n v="-157.01"/>
  </r>
  <r>
    <d v="2015-02-18T00:00:00"/>
    <x v="1"/>
    <x v="1"/>
    <x v="335"/>
    <x v="1"/>
    <x v="1"/>
    <x v="3"/>
    <s v="Eldon 100 Class Desk Accessories"/>
    <n v="12.13"/>
    <n v="9"/>
    <n v="-8.49"/>
  </r>
  <r>
    <d v="2017-02-18T00:00:00"/>
    <x v="1"/>
    <x v="3"/>
    <x v="336"/>
    <x v="14"/>
    <x v="1"/>
    <x v="12"/>
    <s v="Global Manager's Adjustable Task Chair, Storm"/>
    <n v="301.95999999999998"/>
    <n v="2"/>
    <n v="87.57"/>
  </r>
  <r>
    <d v="2014-03-18T00:00:00"/>
    <x v="2"/>
    <x v="0"/>
    <x v="337"/>
    <x v="2"/>
    <x v="0"/>
    <x v="8"/>
    <s v="Fellowes PB200 Plastic Comb Binding Machine"/>
    <n v="152.99"/>
    <n v="3"/>
    <n v="-122.39"/>
  </r>
  <r>
    <d v="2016-03-18T00:00:00"/>
    <x v="2"/>
    <x v="2"/>
    <x v="338"/>
    <x v="16"/>
    <x v="0"/>
    <x v="8"/>
    <s v="Wilson Jones Heavy-Duty Casebound Ring Binders with Metal Hinges"/>
    <n v="55.42"/>
    <n v="2"/>
    <n v="19.399999999999999"/>
  </r>
  <r>
    <d v="2014-04-18T00:00:00"/>
    <x v="3"/>
    <x v="0"/>
    <x v="339"/>
    <x v="2"/>
    <x v="2"/>
    <x v="13"/>
    <s v="Lexmark MarkNet N8150 Wireless Print Server"/>
    <n v="482.34"/>
    <n v="4"/>
    <n v="-337.64"/>
  </r>
  <r>
    <d v="2016-04-18T00:00:00"/>
    <x v="3"/>
    <x v="2"/>
    <x v="340"/>
    <x v="11"/>
    <x v="0"/>
    <x v="8"/>
    <s v="SpineVue Locking Slant-D Ring Binders by Cardinal"/>
    <n v="8.23"/>
    <n v="3"/>
    <n v="-6.03"/>
  </r>
  <r>
    <d v="2014-05-18T00:00:00"/>
    <x v="4"/>
    <x v="0"/>
    <x v="341"/>
    <x v="27"/>
    <x v="0"/>
    <x v="7"/>
    <s v="Eureka The Boss Cordless Rechargeable Stick Vac"/>
    <n v="152.94"/>
    <n v="3"/>
    <n v="41.29"/>
  </r>
  <r>
    <d v="2015-05-18T00:00:00"/>
    <x v="4"/>
    <x v="1"/>
    <x v="342"/>
    <x v="0"/>
    <x v="0"/>
    <x v="0"/>
    <s v="Xerox 1945"/>
    <n v="360.71"/>
    <n v="11"/>
    <n v="130.76"/>
  </r>
  <r>
    <d v="2016-05-18T00:00:00"/>
    <x v="4"/>
    <x v="2"/>
    <x v="343"/>
    <x v="14"/>
    <x v="0"/>
    <x v="2"/>
    <s v="Avery Hi-Liter Comfort Grip Fluorescent Highlighter, Yellow Ink"/>
    <n v="3.9"/>
    <n v="2"/>
    <n v="1.52"/>
  </r>
  <r>
    <d v="2014-06-18T00:00:00"/>
    <x v="5"/>
    <x v="0"/>
    <x v="323"/>
    <x v="3"/>
    <x v="1"/>
    <x v="12"/>
    <s v="Lifetime Advantage Folding Chairs, 4/Carton"/>
    <n v="348.93"/>
    <n v="2"/>
    <n v="34.89"/>
  </r>
  <r>
    <d v="2016-06-18T00:00:00"/>
    <x v="5"/>
    <x v="2"/>
    <x v="116"/>
    <x v="19"/>
    <x v="0"/>
    <x v="10"/>
    <s v="Fellowes Officeware Wire Shelving"/>
    <n v="646.78"/>
    <n v="9"/>
    <n v="-145.52000000000001"/>
  </r>
  <r>
    <d v="2014-07-18T00:00:00"/>
    <x v="6"/>
    <x v="0"/>
    <x v="344"/>
    <x v="16"/>
    <x v="1"/>
    <x v="14"/>
    <s v="Bevis 36 x 72 Conference Tables"/>
    <n v="1618.37"/>
    <n v="13"/>
    <n v="356.04"/>
  </r>
  <r>
    <d v="2015-07-18T00:00:00"/>
    <x v="6"/>
    <x v="1"/>
    <x v="22"/>
    <x v="4"/>
    <x v="0"/>
    <x v="7"/>
    <s v="Belkin Premiere Surge Master II 8-outlet surge protector"/>
    <n v="194.32"/>
    <n v="4"/>
    <n v="56.35"/>
  </r>
  <r>
    <d v="2016-08-18T00:00:00"/>
    <x v="7"/>
    <x v="2"/>
    <x v="345"/>
    <x v="19"/>
    <x v="0"/>
    <x v="11"/>
    <s v="OIC Bulk Pack Metal Binder Clips"/>
    <n v="5.58"/>
    <n v="2"/>
    <n v="1.81"/>
  </r>
  <r>
    <d v="2017-08-18T00:00:00"/>
    <x v="7"/>
    <x v="3"/>
    <x v="346"/>
    <x v="2"/>
    <x v="1"/>
    <x v="3"/>
    <s v="Tenex Antistatic Computer Chair Mats"/>
    <n v="547.14"/>
    <n v="4"/>
    <n v="-68.39"/>
  </r>
  <r>
    <d v="2015-09-18T00:00:00"/>
    <x v="8"/>
    <x v="1"/>
    <x v="347"/>
    <x v="0"/>
    <x v="0"/>
    <x v="4"/>
    <s v="#10-4 1/8&quot; x 9 1/2&quot; Premium Diagonal Seam Envelopes"/>
    <n v="113.33"/>
    <n v="9"/>
    <n v="35.42"/>
  </r>
  <r>
    <d v="2016-09-18T00:00:00"/>
    <x v="8"/>
    <x v="2"/>
    <x v="200"/>
    <x v="13"/>
    <x v="0"/>
    <x v="16"/>
    <s v="Acme Serrated Blade Letter Opener"/>
    <n v="6.36"/>
    <n v="2"/>
    <n v="0.06"/>
  </r>
  <r>
    <d v="2014-10-18T00:00:00"/>
    <x v="9"/>
    <x v="0"/>
    <x v="38"/>
    <x v="3"/>
    <x v="0"/>
    <x v="0"/>
    <s v="Xerox 1929"/>
    <n v="68.52"/>
    <n v="3"/>
    <n v="31.52"/>
  </r>
  <r>
    <d v="2015-10-18T00:00:00"/>
    <x v="9"/>
    <x v="1"/>
    <x v="325"/>
    <x v="35"/>
    <x v="0"/>
    <x v="8"/>
    <s v="Ibico Hi-Tech Manual Binding System"/>
    <n v="487.98"/>
    <n v="2"/>
    <n v="152.5"/>
  </r>
  <r>
    <d v="2014-11-18T00:00:00"/>
    <x v="10"/>
    <x v="0"/>
    <x v="348"/>
    <x v="25"/>
    <x v="1"/>
    <x v="5"/>
    <s v="Bush Westfield Collection Bookcases, Medium Cherry Finish"/>
    <n v="173.94"/>
    <n v="3"/>
    <n v="38.270000000000003"/>
  </r>
  <r>
    <d v="2016-11-18T00:00:00"/>
    <x v="10"/>
    <x v="2"/>
    <x v="85"/>
    <x v="11"/>
    <x v="2"/>
    <x v="6"/>
    <s v="Logitech MX Performance Wireless Mouse"/>
    <n v="191.47"/>
    <n v="6"/>
    <n v="40.69"/>
  </r>
  <r>
    <d v="2015-12-18T00:00:00"/>
    <x v="11"/>
    <x v="1"/>
    <x v="349"/>
    <x v="3"/>
    <x v="0"/>
    <x v="2"/>
    <s v="Panasonic KP-350BK Electric Pencil Sharpener with Auto Stop"/>
    <n v="34.58"/>
    <n v="1"/>
    <n v="10.029999999999999"/>
  </r>
  <r>
    <d v="2016-12-18T00:00:00"/>
    <x v="11"/>
    <x v="2"/>
    <x v="350"/>
    <x v="15"/>
    <x v="1"/>
    <x v="5"/>
    <s v="Atlantic Metals Mobile 3-Shelf Bookcases, Custom Colors"/>
    <n v="1565.88"/>
    <n v="6"/>
    <n v="407.13"/>
  </r>
  <r>
    <d v="2014-01-19T00:00:00"/>
    <x v="0"/>
    <x v="0"/>
    <x v="288"/>
    <x v="3"/>
    <x v="2"/>
    <x v="6"/>
    <s v="Logitech G500s Laser Gaming Mouse with Adjustable Weight Tuning"/>
    <n v="349.95"/>
    <n v="5"/>
    <n v="118.98"/>
  </r>
  <r>
    <d v="2017-01-19T00:00:00"/>
    <x v="0"/>
    <x v="3"/>
    <x v="150"/>
    <x v="16"/>
    <x v="1"/>
    <x v="3"/>
    <s v="24-Hour Round Wall Clock"/>
    <n v="79.92"/>
    <n v="4"/>
    <n v="34.369999999999997"/>
  </r>
  <r>
    <d v="2017-02-19T00:00:00"/>
    <x v="1"/>
    <x v="3"/>
    <x v="269"/>
    <x v="21"/>
    <x v="0"/>
    <x v="0"/>
    <s v="Xerox 1882"/>
    <n v="89.57"/>
    <n v="2"/>
    <n v="32.47"/>
  </r>
  <r>
    <d v="2014-03-19T00:00:00"/>
    <x v="2"/>
    <x v="0"/>
    <x v="351"/>
    <x v="17"/>
    <x v="0"/>
    <x v="4"/>
    <s v="Quality Park Security Envelopes"/>
    <n v="52.34"/>
    <n v="2"/>
    <n v="24.6"/>
  </r>
  <r>
    <d v="2015-03-19T00:00:00"/>
    <x v="2"/>
    <x v="1"/>
    <x v="352"/>
    <x v="30"/>
    <x v="1"/>
    <x v="3"/>
    <s v="Tenex Contemporary Contur Chairmats for Low and Medium Pile Carpet, Computer, 39&quot; x 49&quot;"/>
    <n v="322.58999999999997"/>
    <n v="3"/>
    <n v="64.52"/>
  </r>
  <r>
    <d v="2016-03-19T00:00:00"/>
    <x v="2"/>
    <x v="2"/>
    <x v="353"/>
    <x v="3"/>
    <x v="1"/>
    <x v="3"/>
    <s v="DAX Cubicle Frames, 8-1/2 x 11"/>
    <n v="59.99"/>
    <n v="7"/>
    <n v="21.6"/>
  </r>
  <r>
    <d v="2017-03-19T00:00:00"/>
    <x v="2"/>
    <x v="3"/>
    <x v="354"/>
    <x v="26"/>
    <x v="0"/>
    <x v="8"/>
    <s v="XtraLife ClearVue Slant-D Ring Binders by Cardinal"/>
    <n v="31.36"/>
    <n v="4"/>
    <n v="15.68"/>
  </r>
  <r>
    <d v="2014-04-19T00:00:00"/>
    <x v="3"/>
    <x v="0"/>
    <x v="355"/>
    <x v="17"/>
    <x v="0"/>
    <x v="2"/>
    <s v="Dixon Ticonderoga Maple Cedar Pencil, #2"/>
    <n v="9.2100000000000009"/>
    <n v="3"/>
    <n v="2.2999999999999998"/>
  </r>
  <r>
    <d v="2015-04-19T00:00:00"/>
    <x v="3"/>
    <x v="1"/>
    <x v="356"/>
    <x v="3"/>
    <x v="2"/>
    <x v="9"/>
    <s v="AT&amp;T 1080 Phone"/>
    <n v="109.59"/>
    <n v="1"/>
    <n v="8.2200000000000006"/>
  </r>
  <r>
    <d v="2016-04-19T00:00:00"/>
    <x v="3"/>
    <x v="2"/>
    <x v="26"/>
    <x v="4"/>
    <x v="0"/>
    <x v="10"/>
    <s v="X-Rack File for Hanging Folders"/>
    <n v="56.45"/>
    <n v="5"/>
    <n v="14.68"/>
  </r>
  <r>
    <d v="2014-05-19T00:00:00"/>
    <x v="4"/>
    <x v="0"/>
    <x v="357"/>
    <x v="13"/>
    <x v="0"/>
    <x v="10"/>
    <s v="Belkin 19&quot; Center-Weighted Shelf, Gray"/>
    <n v="117.96"/>
    <n v="2"/>
    <n v="5.9"/>
  </r>
  <r>
    <d v="2016-05-19T00:00:00"/>
    <x v="4"/>
    <x v="2"/>
    <x v="21"/>
    <x v="27"/>
    <x v="1"/>
    <x v="12"/>
    <s v="Hon Multipurpose Stacking Arm Chairs"/>
    <n v="866.4"/>
    <n v="4"/>
    <n v="225.26"/>
  </r>
  <r>
    <d v="2015-06-19T00:00:00"/>
    <x v="5"/>
    <x v="1"/>
    <x v="316"/>
    <x v="9"/>
    <x v="1"/>
    <x v="3"/>
    <s v="Nu-Dell Float Frame 11 x 14 1/2"/>
    <n v="14.37"/>
    <n v="2"/>
    <n v="3.95"/>
  </r>
  <r>
    <d v="2017-06-19T00:00:00"/>
    <x v="5"/>
    <x v="3"/>
    <x v="328"/>
    <x v="37"/>
    <x v="1"/>
    <x v="3"/>
    <s v="Deflect-o EconoMat Studded, No Bevel Mat for Low Pile Carpeting"/>
    <n v="132.22"/>
    <n v="4"/>
    <n v="-18.18"/>
  </r>
  <r>
    <d v="2014-07-19T00:00:00"/>
    <x v="6"/>
    <x v="0"/>
    <x v="315"/>
    <x v="4"/>
    <x v="2"/>
    <x v="6"/>
    <s v="Micro Innovations USB RF Wireless Keyboard with Mouse"/>
    <n v="100"/>
    <n v="4"/>
    <n v="21"/>
  </r>
  <r>
    <d v="2015-07-19T00:00:00"/>
    <x v="6"/>
    <x v="1"/>
    <x v="287"/>
    <x v="21"/>
    <x v="2"/>
    <x v="9"/>
    <s v="Samsung Galaxy S4 Mini"/>
    <n v="1127.98"/>
    <n v="3"/>
    <n v="126.9"/>
  </r>
  <r>
    <d v="2016-07-19T00:00:00"/>
    <x v="6"/>
    <x v="2"/>
    <x v="344"/>
    <x v="7"/>
    <x v="0"/>
    <x v="10"/>
    <s v="Tennsco Double-Tier Lockers"/>
    <n v="1350.12"/>
    <n v="6"/>
    <n v="175.52"/>
  </r>
  <r>
    <d v="2014-08-19T00:00:00"/>
    <x v="7"/>
    <x v="0"/>
    <x v="81"/>
    <x v="13"/>
    <x v="0"/>
    <x v="8"/>
    <s v="GBC DocuBind P100 Manual Binding Machine"/>
    <n v="398.35"/>
    <n v="3"/>
    <n v="124.49"/>
  </r>
  <r>
    <d v="2014-09-19T00:00:00"/>
    <x v="8"/>
    <x v="0"/>
    <x v="165"/>
    <x v="1"/>
    <x v="0"/>
    <x v="7"/>
    <s v="Honeywell Enviracaire Portable Air Cleaner for up to 8 x 10 Room"/>
    <n v="92.06"/>
    <n v="6"/>
    <n v="-225.56"/>
  </r>
  <r>
    <d v="2016-09-19T00:00:00"/>
    <x v="8"/>
    <x v="2"/>
    <x v="358"/>
    <x v="37"/>
    <x v="0"/>
    <x v="0"/>
    <s v="Speediset Carbonless Redi-Letter 7&quot; x 8 1/2&quot;"/>
    <n v="16.5"/>
    <n v="2"/>
    <n v="5.57"/>
  </r>
  <r>
    <d v="2014-10-19T00:00:00"/>
    <x v="9"/>
    <x v="0"/>
    <x v="359"/>
    <x v="3"/>
    <x v="2"/>
    <x v="6"/>
    <s v="SanDisk Ultra 16 GB MicroSDHC Class 10 Memory Card"/>
    <n v="12.99"/>
    <n v="1"/>
    <n v="0.78"/>
  </r>
  <r>
    <d v="2015-10-19T00:00:00"/>
    <x v="9"/>
    <x v="1"/>
    <x v="360"/>
    <x v="15"/>
    <x v="0"/>
    <x v="7"/>
    <s v="Belkin 5 Outlet SurgeMaster Power Centers"/>
    <n v="490.32"/>
    <n v="9"/>
    <n v="137.29"/>
  </r>
  <r>
    <d v="2014-11-19T00:00:00"/>
    <x v="10"/>
    <x v="0"/>
    <x v="126"/>
    <x v="2"/>
    <x v="0"/>
    <x v="4"/>
    <s v="Recycled Interoffice Envelopes with String and Button Closure, 10 x 13"/>
    <n v="57.58"/>
    <n v="3"/>
    <n v="21.59"/>
  </r>
  <r>
    <d v="2017-11-19T00:00:00"/>
    <x v="10"/>
    <x v="3"/>
    <x v="118"/>
    <x v="13"/>
    <x v="0"/>
    <x v="7"/>
    <s v="Conquest 14 Commercial Heavy-Duty Upright Vacuum, Collection System, Accessory Kit"/>
    <n v="170.88"/>
    <n v="3"/>
    <n v="49.56"/>
  </r>
  <r>
    <d v="2014-12-19T00:00:00"/>
    <x v="11"/>
    <x v="0"/>
    <x v="104"/>
    <x v="5"/>
    <x v="0"/>
    <x v="8"/>
    <s v="GBC ProClick Punch Binding System"/>
    <n v="447.86"/>
    <n v="7"/>
    <n v="219.45"/>
  </r>
  <r>
    <d v="2016-12-19T00:00:00"/>
    <x v="11"/>
    <x v="2"/>
    <x v="361"/>
    <x v="3"/>
    <x v="0"/>
    <x v="2"/>
    <s v="Berol Giant Pencil Sharpener"/>
    <n v="16.989999999999998"/>
    <n v="1"/>
    <n v="4.93"/>
  </r>
  <r>
    <d v="2017-12-19T00:00:00"/>
    <x v="11"/>
    <x v="3"/>
    <x v="362"/>
    <x v="2"/>
    <x v="2"/>
    <x v="9"/>
    <s v="Wilson SignalBoost 841262 DB PRO Amplifier Kit"/>
    <n v="431.94"/>
    <n v="2"/>
    <n v="-71.989999999999995"/>
  </r>
  <r>
    <d v="2014-01-20T00:00:00"/>
    <x v="0"/>
    <x v="0"/>
    <x v="319"/>
    <x v="0"/>
    <x v="2"/>
    <x v="9"/>
    <s v="Belkin Grip Candy Sheer Case / Cover for iPhone 5 and 5S"/>
    <n v="21.07"/>
    <n v="3"/>
    <n v="1.58"/>
  </r>
  <r>
    <d v="2014-02-20T00:00:00"/>
    <x v="1"/>
    <x v="0"/>
    <x v="183"/>
    <x v="11"/>
    <x v="2"/>
    <x v="9"/>
    <s v="Cisco Unified IP Phone 7945G VoIP phone"/>
    <n v="1363.96"/>
    <n v="5"/>
    <n v="85.25"/>
  </r>
  <r>
    <d v="2015-02-20T00:00:00"/>
    <x v="1"/>
    <x v="1"/>
    <x v="363"/>
    <x v="13"/>
    <x v="1"/>
    <x v="5"/>
    <s v="O'Sullivan Living Dimensions 5-Shelf Bookcases"/>
    <n v="176.78"/>
    <n v="1"/>
    <n v="-22.1"/>
  </r>
  <r>
    <d v="2016-02-20T00:00:00"/>
    <x v="1"/>
    <x v="2"/>
    <x v="364"/>
    <x v="9"/>
    <x v="0"/>
    <x v="7"/>
    <s v="Belkin 7 Outlet SurgeMaster Surge Protector with Phone Protection"/>
    <n v="157.91999999999999"/>
    <n v="5"/>
    <n v="17.77"/>
  </r>
  <r>
    <d v="2015-03-20T00:00:00"/>
    <x v="2"/>
    <x v="1"/>
    <x v="365"/>
    <x v="19"/>
    <x v="1"/>
    <x v="3"/>
    <s v="Advantus Panel Wall Acrylic Frame"/>
    <n v="21.88"/>
    <n v="5"/>
    <n v="6.29"/>
  </r>
  <r>
    <d v="2016-03-20T00:00:00"/>
    <x v="2"/>
    <x v="2"/>
    <x v="366"/>
    <x v="2"/>
    <x v="2"/>
    <x v="6"/>
    <s v="V7 USB Numeric Keypad"/>
    <n v="83.98"/>
    <n v="3"/>
    <n v="-13.65"/>
  </r>
  <r>
    <d v="2017-03-20T00:00:00"/>
    <x v="2"/>
    <x v="3"/>
    <x v="367"/>
    <x v="37"/>
    <x v="1"/>
    <x v="14"/>
    <s v="Balt Solid Wood Rectangular Table"/>
    <n v="189.88"/>
    <n v="3"/>
    <n v="-94.94"/>
  </r>
  <r>
    <d v="2014-04-20T00:00:00"/>
    <x v="3"/>
    <x v="0"/>
    <x v="368"/>
    <x v="31"/>
    <x v="1"/>
    <x v="5"/>
    <s v="Atlantic Metals Mobile 2-Shelf Bookcases, Custom Colors"/>
    <n v="72.290000000000006"/>
    <n v="1"/>
    <n v="-98.8"/>
  </r>
  <r>
    <d v="2014-05-20T00:00:00"/>
    <x v="4"/>
    <x v="0"/>
    <x v="183"/>
    <x v="8"/>
    <x v="2"/>
    <x v="9"/>
    <s v="i.Sound Portable Power - 8000 mAh"/>
    <n v="84.78"/>
    <n v="2"/>
    <n v="-20.14"/>
  </r>
  <r>
    <d v="2015-05-20T00:00:00"/>
    <x v="4"/>
    <x v="1"/>
    <x v="369"/>
    <x v="1"/>
    <x v="0"/>
    <x v="8"/>
    <s v="Avery Durable Slant Ring Binders"/>
    <n v="3.17"/>
    <n v="2"/>
    <n v="-4.75"/>
  </r>
  <r>
    <d v="2016-05-20T00:00:00"/>
    <x v="4"/>
    <x v="2"/>
    <x v="154"/>
    <x v="12"/>
    <x v="2"/>
    <x v="6"/>
    <s v="Logitech ClearChat Comfort/USB Headset H390"/>
    <n v="58.58"/>
    <n v="2"/>
    <n v="19.329999999999998"/>
  </r>
  <r>
    <d v="2017-05-20T00:00:00"/>
    <x v="4"/>
    <x v="3"/>
    <x v="335"/>
    <x v="8"/>
    <x v="2"/>
    <x v="9"/>
    <s v="BlackBerry Q10"/>
    <n v="403.17"/>
    <n v="4"/>
    <n v="25.2"/>
  </r>
  <r>
    <d v="2014-06-20T00:00:00"/>
    <x v="5"/>
    <x v="0"/>
    <x v="370"/>
    <x v="39"/>
    <x v="2"/>
    <x v="6"/>
    <s v="Logitech P710e Mobile Speakerphone"/>
    <n v="1287.45"/>
    <n v="5"/>
    <n v="244.62"/>
  </r>
  <r>
    <d v="2015-06-20T00:00:00"/>
    <x v="5"/>
    <x v="1"/>
    <x v="302"/>
    <x v="7"/>
    <x v="1"/>
    <x v="3"/>
    <s v="DAX Two-Tone Silver Metal Document Frame"/>
    <n v="20.239999999999998"/>
    <n v="1"/>
    <n v="8.6999999999999993"/>
  </r>
  <r>
    <d v="2016-06-20T00:00:00"/>
    <x v="5"/>
    <x v="2"/>
    <x v="371"/>
    <x v="4"/>
    <x v="0"/>
    <x v="10"/>
    <s v="Hanging Personal Folder File"/>
    <n v="31.4"/>
    <n v="2"/>
    <n v="7.85"/>
  </r>
  <r>
    <d v="2014-07-20T00:00:00"/>
    <x v="6"/>
    <x v="0"/>
    <x v="372"/>
    <x v="1"/>
    <x v="0"/>
    <x v="0"/>
    <s v="Computer Printout Paper with Letter-Trim Perforations"/>
    <n v="45.53"/>
    <n v="3"/>
    <n v="15.93"/>
  </r>
  <r>
    <d v="2015-07-20T00:00:00"/>
    <x v="6"/>
    <x v="1"/>
    <x v="103"/>
    <x v="2"/>
    <x v="2"/>
    <x v="9"/>
    <s v="LG Exalt"/>
    <n v="280.77999999999997"/>
    <n v="3"/>
    <n v="-60.84"/>
  </r>
  <r>
    <d v="2016-07-20T00:00:00"/>
    <x v="6"/>
    <x v="2"/>
    <x v="320"/>
    <x v="15"/>
    <x v="1"/>
    <x v="12"/>
    <s v="Global Executive Mid-Back Manager's Chair"/>
    <n v="1454.9"/>
    <n v="5"/>
    <n v="378.27"/>
  </r>
  <r>
    <d v="2014-08-20T00:00:00"/>
    <x v="7"/>
    <x v="0"/>
    <x v="103"/>
    <x v="2"/>
    <x v="0"/>
    <x v="8"/>
    <s v="GBC Velobind Prepunched Cover Sets, Regency Series"/>
    <n v="99.85"/>
    <n v="9"/>
    <n v="-83.21"/>
  </r>
  <r>
    <d v="2016-08-20T00:00:00"/>
    <x v="7"/>
    <x v="2"/>
    <x v="372"/>
    <x v="4"/>
    <x v="2"/>
    <x v="9"/>
    <s v="Anker Astro 15000mAh USB Portable Charger"/>
    <n v="149.97"/>
    <n v="3"/>
    <n v="6"/>
  </r>
  <r>
    <d v="2014-09-20T00:00:00"/>
    <x v="8"/>
    <x v="0"/>
    <x v="373"/>
    <x v="0"/>
    <x v="0"/>
    <x v="10"/>
    <s v="Eldon Portable Mobile Manager"/>
    <n v="158.37"/>
    <n v="7"/>
    <n v="13.86"/>
  </r>
  <r>
    <d v="2015-09-20T00:00:00"/>
    <x v="8"/>
    <x v="1"/>
    <x v="374"/>
    <x v="41"/>
    <x v="2"/>
    <x v="9"/>
    <s v="Nortel Meridian M5316 Digital phone"/>
    <n v="1294.75"/>
    <n v="5"/>
    <n v="336.64"/>
  </r>
  <r>
    <d v="2016-09-20T00:00:00"/>
    <x v="8"/>
    <x v="2"/>
    <x v="375"/>
    <x v="3"/>
    <x v="2"/>
    <x v="15"/>
    <s v="Hewlett Packard 610 Color Digital Copier / Printer"/>
    <n v="1199.98"/>
    <n v="3"/>
    <n v="374.99"/>
  </r>
  <r>
    <d v="2017-09-20T00:00:00"/>
    <x v="8"/>
    <x v="3"/>
    <x v="211"/>
    <x v="13"/>
    <x v="1"/>
    <x v="5"/>
    <s v="Sauder Barrister Bookcases"/>
    <n v="388.7"/>
    <n v="6"/>
    <n v="-4.8600000000000003"/>
  </r>
  <r>
    <d v="2014-11-20T00:00:00"/>
    <x v="10"/>
    <x v="0"/>
    <x v="376"/>
    <x v="19"/>
    <x v="0"/>
    <x v="8"/>
    <s v="Wilson Jones Hanging Recycled Pressboard Data Binders"/>
    <n v="8.9"/>
    <n v="2"/>
    <n v="-6.53"/>
  </r>
  <r>
    <d v="2014-01-21T00:00:00"/>
    <x v="0"/>
    <x v="0"/>
    <x v="299"/>
    <x v="21"/>
    <x v="0"/>
    <x v="8"/>
    <s v="GBC ProClick 150 Presentation Binding System"/>
    <n v="189.59"/>
    <n v="2"/>
    <n v="-145.35"/>
  </r>
  <r>
    <d v="2017-01-21T00:00:00"/>
    <x v="0"/>
    <x v="3"/>
    <x v="377"/>
    <x v="21"/>
    <x v="2"/>
    <x v="9"/>
    <s v="Motorola L804"/>
    <n v="36.79"/>
    <n v="1"/>
    <n v="4.1399999999999997"/>
  </r>
  <r>
    <d v="2014-02-21T00:00:00"/>
    <x v="1"/>
    <x v="0"/>
    <x v="378"/>
    <x v="1"/>
    <x v="0"/>
    <x v="10"/>
    <s v="Safco Industrial Wire Shelving"/>
    <n v="230.38"/>
    <n v="3"/>
    <n v="-48.95"/>
  </r>
  <r>
    <d v="2016-02-21T00:00:00"/>
    <x v="1"/>
    <x v="2"/>
    <x v="373"/>
    <x v="19"/>
    <x v="1"/>
    <x v="14"/>
    <s v="Bush Andora Conference Table, Maple/Graphite Gray Finish"/>
    <n v="205.18"/>
    <n v="2"/>
    <n v="-58.13"/>
  </r>
  <r>
    <d v="2017-02-21T00:00:00"/>
    <x v="1"/>
    <x v="3"/>
    <x v="379"/>
    <x v="1"/>
    <x v="0"/>
    <x v="10"/>
    <s v="Fellowes Bankers Box Stor/Drawer Steel Plus"/>
    <n v="102.34"/>
    <n v="4"/>
    <n v="-12.79"/>
  </r>
  <r>
    <d v="2014-03-21T00:00:00"/>
    <x v="2"/>
    <x v="0"/>
    <x v="380"/>
    <x v="0"/>
    <x v="2"/>
    <x v="6"/>
    <s v="Plantronics S12 Corded Telephone Headset System"/>
    <n v="258.7"/>
    <n v="3"/>
    <n v="64.67"/>
  </r>
  <r>
    <d v="2015-03-21T00:00:00"/>
    <x v="2"/>
    <x v="1"/>
    <x v="244"/>
    <x v="2"/>
    <x v="2"/>
    <x v="9"/>
    <s v="AT&amp;T 841000 Phone"/>
    <n v="82.8"/>
    <n v="2"/>
    <n v="-20.7"/>
  </r>
  <r>
    <d v="2016-03-21T00:00:00"/>
    <x v="2"/>
    <x v="2"/>
    <x v="381"/>
    <x v="13"/>
    <x v="1"/>
    <x v="12"/>
    <s v="Office Star - Mid Back Dual function Ergonomic High Back Chair with 2-Way Adjustable Arms"/>
    <n v="434.65"/>
    <n v="3"/>
    <n v="62.78"/>
  </r>
  <r>
    <d v="2015-04-21T00:00:00"/>
    <x v="3"/>
    <x v="1"/>
    <x v="382"/>
    <x v="0"/>
    <x v="0"/>
    <x v="2"/>
    <s v="Panasonic KP-380BK Classic Electric Pencil Sharpener"/>
    <n v="86.35"/>
    <n v="3"/>
    <n v="5.4"/>
  </r>
  <r>
    <d v="2016-04-21T00:00:00"/>
    <x v="3"/>
    <x v="2"/>
    <x v="353"/>
    <x v="1"/>
    <x v="0"/>
    <x v="8"/>
    <s v="Heavy-Duty E-Z-D Binders"/>
    <n v="2.1800000000000002"/>
    <n v="1"/>
    <n v="-3.6"/>
  </r>
  <r>
    <d v="2017-04-21T00:00:00"/>
    <x v="3"/>
    <x v="3"/>
    <x v="383"/>
    <x v="19"/>
    <x v="0"/>
    <x v="11"/>
    <s v="Advantus T-Pin Paper Clips"/>
    <n v="7.22"/>
    <n v="2"/>
    <n v="1.71"/>
  </r>
  <r>
    <d v="2014-05-21T00:00:00"/>
    <x v="4"/>
    <x v="0"/>
    <x v="363"/>
    <x v="13"/>
    <x v="0"/>
    <x v="8"/>
    <s v="GBC Twin Loop Wire Binding Elements, 9/16&quot; Spine, Black"/>
    <n v="85.23"/>
    <n v="7"/>
    <n v="30.9"/>
  </r>
  <r>
    <d v="2015-05-21T00:00:00"/>
    <x v="4"/>
    <x v="1"/>
    <x v="384"/>
    <x v="16"/>
    <x v="2"/>
    <x v="6"/>
    <s v="Sony Micro Vault Click 8 GB USB 2.0 Flash Drive"/>
    <n v="93.98"/>
    <n v="2"/>
    <n v="13.16"/>
  </r>
  <r>
    <d v="2016-05-21T00:00:00"/>
    <x v="4"/>
    <x v="2"/>
    <x v="193"/>
    <x v="16"/>
    <x v="0"/>
    <x v="0"/>
    <s v="Xerox 1965"/>
    <n v="11.96"/>
    <n v="2"/>
    <n v="5.86"/>
  </r>
  <r>
    <d v="2014-06-21T00:00:00"/>
    <x v="5"/>
    <x v="0"/>
    <x v="284"/>
    <x v="19"/>
    <x v="1"/>
    <x v="3"/>
    <s v="GE 48&quot; Fluorescent Tube, Cool White Energy Saver, 34 Watts, 30/Box"/>
    <n v="79.38"/>
    <n v="1"/>
    <n v="29.77"/>
  </r>
  <r>
    <d v="2014-07-21T00:00:00"/>
    <x v="6"/>
    <x v="0"/>
    <x v="347"/>
    <x v="26"/>
    <x v="0"/>
    <x v="8"/>
    <s v="GBC DocuBind P50 Personal Binding Machine"/>
    <n v="511.84"/>
    <n v="8"/>
    <n v="240.56"/>
  </r>
  <r>
    <d v="2015-08-21T00:00:00"/>
    <x v="7"/>
    <x v="1"/>
    <x v="239"/>
    <x v="11"/>
    <x v="0"/>
    <x v="8"/>
    <s v="Pressboard Hanging Data Binders for Unburst Sheets"/>
    <n v="2.95"/>
    <n v="2"/>
    <n v="-2.16"/>
  </r>
  <r>
    <d v="2016-08-21T00:00:00"/>
    <x v="7"/>
    <x v="2"/>
    <x v="385"/>
    <x v="3"/>
    <x v="0"/>
    <x v="10"/>
    <s v="Home/Office Personal File Carts"/>
    <n v="104.28"/>
    <n v="3"/>
    <n v="26.07"/>
  </r>
  <r>
    <d v="2014-09-21T00:00:00"/>
    <x v="8"/>
    <x v="0"/>
    <x v="386"/>
    <x v="4"/>
    <x v="1"/>
    <x v="12"/>
    <s v="Hon 4070 Series Pagoda Round Back Stacking Chairs"/>
    <n v="641.96"/>
    <n v="2"/>
    <n v="179.75"/>
  </r>
  <r>
    <d v="2015-09-21T00:00:00"/>
    <x v="8"/>
    <x v="1"/>
    <x v="387"/>
    <x v="3"/>
    <x v="1"/>
    <x v="3"/>
    <s v="Luxo Professional Fluorescent Magnifier Lamp with Clamp-Mount Base"/>
    <n v="1049.2"/>
    <n v="5"/>
    <n v="272.79000000000002"/>
  </r>
  <r>
    <d v="2017-09-21T00:00:00"/>
    <x v="8"/>
    <x v="3"/>
    <x v="284"/>
    <x v="3"/>
    <x v="2"/>
    <x v="9"/>
    <s v="Motorola HK250 Universal Bluetooth Headset"/>
    <n v="55.18"/>
    <n v="3"/>
    <n v="-12.41"/>
  </r>
  <r>
    <d v="2017-10-21T00:00:00"/>
    <x v="9"/>
    <x v="3"/>
    <x v="388"/>
    <x v="3"/>
    <x v="1"/>
    <x v="3"/>
    <s v="Eldon Image Series Desk Accessories, Ebony"/>
    <n v="37.049999999999997"/>
    <n v="3"/>
    <n v="16.3"/>
  </r>
  <r>
    <d v="2015-11-21T00:00:00"/>
    <x v="10"/>
    <x v="1"/>
    <x v="362"/>
    <x v="7"/>
    <x v="1"/>
    <x v="3"/>
    <s v="Eldon Expressions Mahogany Wood Desk Collection"/>
    <n v="24.96"/>
    <n v="4"/>
    <n v="6.24"/>
  </r>
  <r>
    <d v="2016-11-21T00:00:00"/>
    <x v="10"/>
    <x v="2"/>
    <x v="288"/>
    <x v="14"/>
    <x v="1"/>
    <x v="12"/>
    <s v="HON 5400 Series Task Chairs for Big and Tall"/>
    <n v="3504.9"/>
    <n v="5"/>
    <n v="700.98"/>
  </r>
  <r>
    <d v="2014-12-21T00:00:00"/>
    <x v="11"/>
    <x v="0"/>
    <x v="389"/>
    <x v="24"/>
    <x v="2"/>
    <x v="9"/>
    <s v="Panasonic KX-TG9471B"/>
    <n v="979.95"/>
    <n v="5"/>
    <n v="274.39"/>
  </r>
  <r>
    <d v="2015-12-21T00:00:00"/>
    <x v="11"/>
    <x v="1"/>
    <x v="390"/>
    <x v="1"/>
    <x v="1"/>
    <x v="3"/>
    <s v="Executive Impressions 16-1/2&quot; Circular Wall Clock"/>
    <n v="32.06"/>
    <n v="3"/>
    <n v="-12.83"/>
  </r>
  <r>
    <d v="2017-01-22T00:00:00"/>
    <x v="0"/>
    <x v="3"/>
    <x v="391"/>
    <x v="3"/>
    <x v="1"/>
    <x v="14"/>
    <s v="Hon 61000 Series Interactive Training Tables"/>
    <n v="71.09"/>
    <n v="2"/>
    <n v="-1.78"/>
  </r>
  <r>
    <d v="2015-02-22T00:00:00"/>
    <x v="1"/>
    <x v="1"/>
    <x v="392"/>
    <x v="4"/>
    <x v="0"/>
    <x v="0"/>
    <s v="Snap-A-Way Black Print Carbonless Ruled Speed Letter, Triplicate"/>
    <n v="75.88"/>
    <n v="2"/>
    <n v="35.659999999999997"/>
  </r>
  <r>
    <d v="2016-02-22T00:00:00"/>
    <x v="1"/>
    <x v="2"/>
    <x v="393"/>
    <x v="1"/>
    <x v="2"/>
    <x v="9"/>
    <s v="Cisco Small Business SPA 502G VoIP phone"/>
    <n v="328.22"/>
    <n v="4"/>
    <n v="28.72"/>
  </r>
  <r>
    <d v="2014-03-22T00:00:00"/>
    <x v="2"/>
    <x v="0"/>
    <x v="394"/>
    <x v="3"/>
    <x v="0"/>
    <x v="1"/>
    <s v="Avery 473"/>
    <n v="20.7"/>
    <n v="2"/>
    <n v="9.94"/>
  </r>
  <r>
    <d v="2015-03-22T00:00:00"/>
    <x v="2"/>
    <x v="1"/>
    <x v="395"/>
    <x v="0"/>
    <x v="0"/>
    <x v="8"/>
    <s v="Computer Printout Index Tabs"/>
    <n v="1.34"/>
    <n v="4"/>
    <n v="-2.15"/>
  </r>
  <r>
    <d v="2016-03-22T00:00:00"/>
    <x v="2"/>
    <x v="2"/>
    <x v="356"/>
    <x v="14"/>
    <x v="2"/>
    <x v="9"/>
    <s v="Ooma Telo VoIP Home Phone System"/>
    <n v="377.97"/>
    <n v="3"/>
    <n v="94.49"/>
  </r>
  <r>
    <d v="2014-05-22T00:00:00"/>
    <x v="4"/>
    <x v="0"/>
    <x v="360"/>
    <x v="3"/>
    <x v="0"/>
    <x v="2"/>
    <s v="Newell 326"/>
    <n v="7.04"/>
    <n v="4"/>
    <n v="2.04"/>
  </r>
  <r>
    <d v="2015-05-22T00:00:00"/>
    <x v="4"/>
    <x v="1"/>
    <x v="185"/>
    <x v="0"/>
    <x v="0"/>
    <x v="0"/>
    <s v="Xerox 19"/>
    <n v="173.49"/>
    <n v="7"/>
    <n v="54.22"/>
  </r>
  <r>
    <d v="2014-06-22T00:00:00"/>
    <x v="5"/>
    <x v="0"/>
    <x v="396"/>
    <x v="3"/>
    <x v="0"/>
    <x v="0"/>
    <s v="Wirebound Message Books, Four 2 3/4&quot; x 5&quot; Forms per Page, 600 Sets per Book"/>
    <n v="46.35"/>
    <n v="5"/>
    <n v="21.78"/>
  </r>
  <r>
    <d v="2017-06-22T00:00:00"/>
    <x v="5"/>
    <x v="3"/>
    <x v="368"/>
    <x v="1"/>
    <x v="0"/>
    <x v="0"/>
    <s v="Xerox 1937"/>
    <n v="76.86"/>
    <n v="2"/>
    <n v="26.9"/>
  </r>
  <r>
    <d v="2014-07-22T00:00:00"/>
    <x v="6"/>
    <x v="0"/>
    <x v="397"/>
    <x v="5"/>
    <x v="2"/>
    <x v="6"/>
    <s v="Imation 8gb Micro Traveldrive Usb 2.0 Flash Drive"/>
    <n v="45"/>
    <n v="3"/>
    <n v="4.95"/>
  </r>
  <r>
    <d v="2016-07-22T00:00:00"/>
    <x v="6"/>
    <x v="2"/>
    <x v="291"/>
    <x v="13"/>
    <x v="0"/>
    <x v="1"/>
    <s v="Avery 4027 File Folder Labels for Dot Matrix Printers, 5000 Labels per Box, White"/>
    <n v="122.12"/>
    <n v="4"/>
    <n v="56.18"/>
  </r>
  <r>
    <d v="2014-08-22T00:00:00"/>
    <x v="7"/>
    <x v="0"/>
    <x v="396"/>
    <x v="3"/>
    <x v="2"/>
    <x v="9"/>
    <s v="Macally Suction Cup Mount"/>
    <n v="38.24"/>
    <n v="4"/>
    <n v="-9.56"/>
  </r>
  <r>
    <d v="2015-08-22T00:00:00"/>
    <x v="7"/>
    <x v="1"/>
    <x v="69"/>
    <x v="2"/>
    <x v="1"/>
    <x v="12"/>
    <s v="Global Leather Highback Executive Chair with Pneumatic Height Adjustment, Black"/>
    <n v="422.06"/>
    <n v="3"/>
    <n v="-18.09"/>
  </r>
  <r>
    <d v="2014-10-22T00:00:00"/>
    <x v="9"/>
    <x v="0"/>
    <x v="398"/>
    <x v="13"/>
    <x v="0"/>
    <x v="2"/>
    <s v="Prang Colored Pencils"/>
    <n v="14.7"/>
    <n v="5"/>
    <n v="6.62"/>
  </r>
  <r>
    <d v="2015-10-22T00:00:00"/>
    <x v="9"/>
    <x v="1"/>
    <x v="206"/>
    <x v="1"/>
    <x v="0"/>
    <x v="0"/>
    <s v="Wirebound Message Books, Four 2 3/4 x 5 White Forms per Page"/>
    <n v="37.46"/>
    <n v="7"/>
    <n v="12.18"/>
  </r>
  <r>
    <d v="2017-10-22T00:00:00"/>
    <x v="9"/>
    <x v="3"/>
    <x v="169"/>
    <x v="7"/>
    <x v="0"/>
    <x v="2"/>
    <s v="Bulldog Vacuum Base Pencil Sharpener"/>
    <n v="35.97"/>
    <n v="3"/>
    <n v="9.7100000000000009"/>
  </r>
  <r>
    <d v="2014-11-22T00:00:00"/>
    <x v="10"/>
    <x v="0"/>
    <x v="399"/>
    <x v="20"/>
    <x v="0"/>
    <x v="8"/>
    <s v="Wilson Jones Hanging View Binder, White, 1&quot;"/>
    <n v="14.2"/>
    <n v="2"/>
    <n v="6.53"/>
  </r>
  <r>
    <d v="2015-11-22T00:00:00"/>
    <x v="10"/>
    <x v="1"/>
    <x v="327"/>
    <x v="3"/>
    <x v="1"/>
    <x v="12"/>
    <s v="Hon Deluxe Fabric Upholstered Stacking Chairs"/>
    <n v="195.18"/>
    <n v="1"/>
    <n v="19.52"/>
  </r>
  <r>
    <d v="2016-11-22T00:00:00"/>
    <x v="10"/>
    <x v="2"/>
    <x v="400"/>
    <x v="3"/>
    <x v="1"/>
    <x v="3"/>
    <s v="Master Caster Door Stop, Brown"/>
    <n v="25.4"/>
    <n v="5"/>
    <n v="8.64"/>
  </r>
  <r>
    <d v="2014-12-22T00:00:00"/>
    <x v="11"/>
    <x v="0"/>
    <x v="401"/>
    <x v="11"/>
    <x v="0"/>
    <x v="16"/>
    <s v="Acme Softgrip Scissors"/>
    <n v="45.58"/>
    <n v="7"/>
    <n v="5.13"/>
  </r>
  <r>
    <d v="2017-12-22T00:00:00"/>
    <x v="11"/>
    <x v="3"/>
    <x v="402"/>
    <x v="0"/>
    <x v="2"/>
    <x v="9"/>
    <s v="Cisco SPA 502G IP Phone"/>
    <n v="863.64"/>
    <n v="9"/>
    <n v="107.96"/>
  </r>
  <r>
    <d v="2014-01-23T00:00:00"/>
    <x v="0"/>
    <x v="0"/>
    <x v="234"/>
    <x v="9"/>
    <x v="0"/>
    <x v="10"/>
    <s v="Sterilite Officeware Hinged File Box"/>
    <n v="16.77"/>
    <n v="2"/>
    <n v="1.47"/>
  </r>
  <r>
    <d v="2015-01-23T00:00:00"/>
    <x v="0"/>
    <x v="1"/>
    <x v="403"/>
    <x v="3"/>
    <x v="2"/>
    <x v="9"/>
    <s v="Cisco SPA525G2 IP Phone - Wireless"/>
    <n v="95.76"/>
    <n v="6"/>
    <n v="7.18"/>
  </r>
  <r>
    <d v="2016-01-23T00:00:00"/>
    <x v="0"/>
    <x v="2"/>
    <x v="177"/>
    <x v="9"/>
    <x v="2"/>
    <x v="9"/>
    <s v="LG Electronics Tone+ HBS-730 Bluetooth Headset"/>
    <n v="380.86"/>
    <n v="8"/>
    <n v="38.090000000000003"/>
  </r>
  <r>
    <d v="2014-02-23T00:00:00"/>
    <x v="1"/>
    <x v="0"/>
    <x v="203"/>
    <x v="29"/>
    <x v="0"/>
    <x v="16"/>
    <s v="Fiskars Home &amp; Office Scissors"/>
    <n v="44.4"/>
    <n v="5"/>
    <n v="12.43"/>
  </r>
  <r>
    <d v="2015-02-23T00:00:00"/>
    <x v="1"/>
    <x v="1"/>
    <x v="36"/>
    <x v="26"/>
    <x v="1"/>
    <x v="3"/>
    <s v="Advantus Employee of the Month Certificate Frame, 11 x 13-1/2"/>
    <n v="185.58"/>
    <n v="6"/>
    <n v="76.09"/>
  </r>
  <r>
    <d v="2016-02-23T00:00:00"/>
    <x v="1"/>
    <x v="2"/>
    <x v="62"/>
    <x v="13"/>
    <x v="2"/>
    <x v="9"/>
    <s v="invisibleSHIELD by ZAGG Smudge-Free Screen Protector"/>
    <n v="89.95"/>
    <n v="5"/>
    <n v="43.18"/>
  </r>
  <r>
    <d v="2017-02-23T00:00:00"/>
    <x v="1"/>
    <x v="3"/>
    <x v="404"/>
    <x v="3"/>
    <x v="0"/>
    <x v="1"/>
    <s v="Self-Adhesive Removable Labels"/>
    <n v="6.3"/>
    <n v="2"/>
    <n v="3.02"/>
  </r>
  <r>
    <d v="2014-03-23T00:00:00"/>
    <x v="2"/>
    <x v="0"/>
    <x v="28"/>
    <x v="3"/>
    <x v="0"/>
    <x v="8"/>
    <s v="Clear Mylar Reinforcing Strips"/>
    <n v="119.62"/>
    <n v="8"/>
    <n v="40.369999999999997"/>
  </r>
  <r>
    <d v="2017-03-23T00:00:00"/>
    <x v="2"/>
    <x v="3"/>
    <x v="136"/>
    <x v="14"/>
    <x v="0"/>
    <x v="7"/>
    <s v="Honeywell Quietcare HEPA Air Cleaner"/>
    <n v="283.14"/>
    <n v="4"/>
    <n v="72.36"/>
  </r>
  <r>
    <d v="2014-04-23T00:00:00"/>
    <x v="3"/>
    <x v="0"/>
    <x v="30"/>
    <x v="3"/>
    <x v="1"/>
    <x v="14"/>
    <s v="Barricks Non-Folding Utility Table with Steel Legs, Laminate Tops"/>
    <n v="136.46"/>
    <n v="2"/>
    <n v="15.35"/>
  </r>
  <r>
    <d v="2017-04-23T00:00:00"/>
    <x v="3"/>
    <x v="3"/>
    <x v="405"/>
    <x v="39"/>
    <x v="0"/>
    <x v="4"/>
    <s v="Tyvek  Top-Opening Peel &amp; Seel Envelopes, Plain White"/>
    <n v="81.540000000000006"/>
    <n v="3"/>
    <n v="38.32"/>
  </r>
  <r>
    <d v="2014-05-23T00:00:00"/>
    <x v="4"/>
    <x v="0"/>
    <x v="406"/>
    <x v="4"/>
    <x v="0"/>
    <x v="16"/>
    <s v="Acme 10&quot; Easy Grip Assistive Scissors"/>
    <n v="35.06"/>
    <n v="2"/>
    <n v="10.52"/>
  </r>
  <r>
    <d v="2016-05-23T00:00:00"/>
    <x v="4"/>
    <x v="2"/>
    <x v="407"/>
    <x v="24"/>
    <x v="0"/>
    <x v="2"/>
    <s v="Boston Model 1800 Electric Pencil Sharpener, Gray"/>
    <n v="197.05"/>
    <n v="7"/>
    <n v="59.12"/>
  </r>
  <r>
    <d v="2014-06-23T00:00:00"/>
    <x v="5"/>
    <x v="0"/>
    <x v="408"/>
    <x v="16"/>
    <x v="2"/>
    <x v="6"/>
    <s v="Logitech Illuminated - Keyboard"/>
    <n v="179.97"/>
    <n v="3"/>
    <n v="86.39"/>
  </r>
  <r>
    <d v="2015-06-23T00:00:00"/>
    <x v="5"/>
    <x v="1"/>
    <x v="409"/>
    <x v="21"/>
    <x v="0"/>
    <x v="0"/>
    <s v="Xerox 199"/>
    <n v="30.82"/>
    <n v="9"/>
    <n v="9.6300000000000008"/>
  </r>
  <r>
    <d v="2016-06-23T00:00:00"/>
    <x v="5"/>
    <x v="2"/>
    <x v="330"/>
    <x v="23"/>
    <x v="0"/>
    <x v="0"/>
    <s v="Xerox 224"/>
    <n v="6.48"/>
    <n v="1"/>
    <n v="3.11"/>
  </r>
  <r>
    <d v="2014-07-23T00:00:00"/>
    <x v="6"/>
    <x v="0"/>
    <x v="134"/>
    <x v="21"/>
    <x v="0"/>
    <x v="8"/>
    <s v="Acco Translucent Poly Ring Binders"/>
    <n v="11.23"/>
    <n v="8"/>
    <n v="-8.24"/>
  </r>
  <r>
    <d v="2014-08-23T00:00:00"/>
    <x v="7"/>
    <x v="0"/>
    <x v="410"/>
    <x v="3"/>
    <x v="0"/>
    <x v="0"/>
    <s v="Array Memo Cubes"/>
    <n v="15.54"/>
    <n v="3"/>
    <n v="7.61"/>
  </r>
  <r>
    <d v="2015-08-23T00:00:00"/>
    <x v="7"/>
    <x v="1"/>
    <x v="271"/>
    <x v="31"/>
    <x v="0"/>
    <x v="8"/>
    <s v="Premium Transparent Presentation Covers by GBC"/>
    <n v="18.88"/>
    <n v="3"/>
    <n v="-13.85"/>
  </r>
  <r>
    <d v="2017-08-23T00:00:00"/>
    <x v="7"/>
    <x v="3"/>
    <x v="411"/>
    <x v="13"/>
    <x v="0"/>
    <x v="7"/>
    <s v="Belkin 7 Outlet SurgeMaster II"/>
    <n v="355.32"/>
    <n v="9"/>
    <n v="99.49"/>
  </r>
  <r>
    <d v="2016-09-23T00:00:00"/>
    <x v="8"/>
    <x v="2"/>
    <x v="349"/>
    <x v="14"/>
    <x v="2"/>
    <x v="9"/>
    <s v="SKILCRAFT Telephone Shoulder Rest, 2&quot; x 6.5&quot; x 2.5&quot;, Black"/>
    <n v="14.78"/>
    <n v="2"/>
    <n v="3.99"/>
  </r>
  <r>
    <d v="2014-11-23T00:00:00"/>
    <x v="10"/>
    <x v="0"/>
    <x v="412"/>
    <x v="21"/>
    <x v="0"/>
    <x v="1"/>
    <s v="Avery 49"/>
    <n v="9.2200000000000006"/>
    <n v="4"/>
    <n v="3.34"/>
  </r>
  <r>
    <d v="2015-11-23T00:00:00"/>
    <x v="10"/>
    <x v="1"/>
    <x v="143"/>
    <x v="31"/>
    <x v="0"/>
    <x v="0"/>
    <s v="Wirebound Four 2-3/4 x 5 Forms per Page, 400 Sets per Book"/>
    <n v="15.48"/>
    <n v="3"/>
    <n v="5.61"/>
  </r>
  <r>
    <d v="2016-11-23T00:00:00"/>
    <x v="10"/>
    <x v="2"/>
    <x v="387"/>
    <x v="1"/>
    <x v="0"/>
    <x v="0"/>
    <s v="Avery Personal Creations Heavyweight Cards"/>
    <n v="64.62"/>
    <n v="7"/>
    <n v="22.62"/>
  </r>
  <r>
    <d v="2017-11-23T00:00:00"/>
    <x v="10"/>
    <x v="3"/>
    <x v="214"/>
    <x v="2"/>
    <x v="2"/>
    <x v="9"/>
    <s v="Aastra 57i VoIP phone"/>
    <n v="290.89999999999998"/>
    <n v="3"/>
    <n v="-67.88"/>
  </r>
  <r>
    <d v="2014-12-23T00:00:00"/>
    <x v="11"/>
    <x v="0"/>
    <x v="413"/>
    <x v="13"/>
    <x v="2"/>
    <x v="6"/>
    <s v="Sabrent 4-Port USB 2.0 Hub"/>
    <n v="6.79"/>
    <n v="1"/>
    <n v="2.31"/>
  </r>
  <r>
    <d v="2015-12-23T00:00:00"/>
    <x v="11"/>
    <x v="1"/>
    <x v="392"/>
    <x v="13"/>
    <x v="0"/>
    <x v="2"/>
    <s v="Panasonic KP-150 Electric Pencil Sharpener"/>
    <n v="75.48"/>
    <n v="2"/>
    <n v="19.62"/>
  </r>
  <r>
    <d v="2016-12-23T00:00:00"/>
    <x v="11"/>
    <x v="2"/>
    <x v="59"/>
    <x v="2"/>
    <x v="0"/>
    <x v="8"/>
    <s v="GBC Ibimaster 500 Manual ProClick Binding System"/>
    <n v="1141.47"/>
    <n v="5"/>
    <n v="-760.98"/>
  </r>
  <r>
    <d v="2017-12-23T00:00:00"/>
    <x v="11"/>
    <x v="3"/>
    <x v="269"/>
    <x v="0"/>
    <x v="0"/>
    <x v="10"/>
    <s v="Super Decoflex Portable Personal File"/>
    <n v="35.950000000000003"/>
    <n v="3"/>
    <n v="3.6"/>
  </r>
  <r>
    <d v="2016-01-24T00:00:00"/>
    <x v="0"/>
    <x v="2"/>
    <x v="414"/>
    <x v="13"/>
    <x v="0"/>
    <x v="10"/>
    <s v="Acco Perma 2700 Stacking Storage Drawers"/>
    <n v="59.48"/>
    <n v="2"/>
    <n v="8.92"/>
  </r>
  <r>
    <d v="2017-01-24T00:00:00"/>
    <x v="0"/>
    <x v="3"/>
    <x v="415"/>
    <x v="3"/>
    <x v="0"/>
    <x v="0"/>
    <s v="Wirebound Message Books, Two 4 1/4&quot; x 5&quot; Forms per Page"/>
    <n v="7.61"/>
    <n v="1"/>
    <n v="3.58"/>
  </r>
  <r>
    <d v="2014-03-24T00:00:00"/>
    <x v="2"/>
    <x v="0"/>
    <x v="416"/>
    <x v="31"/>
    <x v="1"/>
    <x v="3"/>
    <s v="C-Line Cubicle Keepers Polyproplyene Holder With Velcro Backings"/>
    <n v="15.14"/>
    <n v="4"/>
    <n v="3.59"/>
  </r>
  <r>
    <d v="2015-03-24T00:00:00"/>
    <x v="2"/>
    <x v="1"/>
    <x v="254"/>
    <x v="2"/>
    <x v="0"/>
    <x v="0"/>
    <s v="Xerox 1968"/>
    <n v="5.34"/>
    <n v="1"/>
    <n v="1.87"/>
  </r>
  <r>
    <d v="2016-03-24T00:00:00"/>
    <x v="2"/>
    <x v="2"/>
    <x v="417"/>
    <x v="13"/>
    <x v="0"/>
    <x v="8"/>
    <s v="Avery Binding System Hidden Tab Executive Style Index Sets"/>
    <n v="4.62"/>
    <n v="1"/>
    <n v="1.73"/>
  </r>
  <r>
    <d v="2017-03-24T00:00:00"/>
    <x v="2"/>
    <x v="3"/>
    <x v="418"/>
    <x v="1"/>
    <x v="1"/>
    <x v="12"/>
    <s v="Global Troy Executive Leather Low-Back Tilter"/>
    <n v="701.37"/>
    <n v="2"/>
    <n v="-50.1"/>
  </r>
  <r>
    <d v="2015-04-24T00:00:00"/>
    <x v="3"/>
    <x v="1"/>
    <x v="419"/>
    <x v="3"/>
    <x v="0"/>
    <x v="0"/>
    <s v="Strathmore Photo Frame Cards"/>
    <n v="65.790000000000006"/>
    <n v="9"/>
    <n v="30.26"/>
  </r>
  <r>
    <d v="2016-04-24T00:00:00"/>
    <x v="3"/>
    <x v="2"/>
    <x v="107"/>
    <x v="19"/>
    <x v="1"/>
    <x v="3"/>
    <s v="Rubbermaid ClusterMat Chairmats, Mat Size- 66&quot; x 60&quot;, Lip 20&quot; x 11&quot; -90 Degree Angle"/>
    <n v="532.70000000000005"/>
    <n v="6"/>
    <n v="-26.64"/>
  </r>
  <r>
    <d v="2017-04-24T00:00:00"/>
    <x v="3"/>
    <x v="3"/>
    <x v="199"/>
    <x v="19"/>
    <x v="1"/>
    <x v="12"/>
    <s v="Office Star - Contemporary Task Swivel Chair"/>
    <n v="155.37"/>
    <n v="2"/>
    <n v="-13.32"/>
  </r>
  <r>
    <d v="2014-05-24T00:00:00"/>
    <x v="4"/>
    <x v="0"/>
    <x v="420"/>
    <x v="1"/>
    <x v="1"/>
    <x v="12"/>
    <s v="Hon 4700 Series Mobuis Mid-Back Task Chairs with Adjustable Arms"/>
    <n v="747.56"/>
    <n v="3"/>
    <n v="-96.11"/>
  </r>
  <r>
    <d v="2014-06-24T00:00:00"/>
    <x v="5"/>
    <x v="0"/>
    <x v="421"/>
    <x v="0"/>
    <x v="1"/>
    <x v="5"/>
    <s v="O'Sullivan Plantations 2-Door Library in Landvery Oak"/>
    <n v="956.66"/>
    <n v="7"/>
    <n v="-225.1"/>
  </r>
  <r>
    <d v="2016-06-24T00:00:00"/>
    <x v="5"/>
    <x v="2"/>
    <x v="422"/>
    <x v="2"/>
    <x v="0"/>
    <x v="1"/>
    <s v="Avery 483"/>
    <n v="15.94"/>
    <n v="4"/>
    <n v="5.18"/>
  </r>
  <r>
    <d v="2014-08-24T00:00:00"/>
    <x v="7"/>
    <x v="0"/>
    <x v="304"/>
    <x v="13"/>
    <x v="0"/>
    <x v="7"/>
    <s v="Kensington 6 Outlet Guardian Standard Surge Protector"/>
    <n v="61.44"/>
    <n v="3"/>
    <n v="16.59"/>
  </r>
  <r>
    <d v="2017-08-24T00:00:00"/>
    <x v="7"/>
    <x v="3"/>
    <x v="423"/>
    <x v="3"/>
    <x v="0"/>
    <x v="8"/>
    <s v="GBC Recycled VeloBinder Covers"/>
    <n v="27.26"/>
    <n v="2"/>
    <n v="8.86"/>
  </r>
  <r>
    <d v="2014-09-24T00:00:00"/>
    <x v="8"/>
    <x v="0"/>
    <x v="252"/>
    <x v="0"/>
    <x v="1"/>
    <x v="3"/>
    <s v="Contemporary Wood/Metal Frame"/>
    <n v="51.71"/>
    <n v="8"/>
    <n v="-32.32"/>
  </r>
  <r>
    <d v="2015-09-24T00:00:00"/>
    <x v="8"/>
    <x v="1"/>
    <x v="391"/>
    <x v="16"/>
    <x v="2"/>
    <x v="6"/>
    <s v="WD My Passport Ultra 500GB Portable External Hard Drive"/>
    <n v="177"/>
    <n v="3"/>
    <n v="30.09"/>
  </r>
  <r>
    <d v="2016-09-24T00:00:00"/>
    <x v="8"/>
    <x v="2"/>
    <x v="424"/>
    <x v="29"/>
    <x v="0"/>
    <x v="0"/>
    <s v="Xerox 1982"/>
    <n v="45.68"/>
    <n v="2"/>
    <n v="21.01"/>
  </r>
  <r>
    <d v="2017-10-24T00:00:00"/>
    <x v="9"/>
    <x v="3"/>
    <x v="277"/>
    <x v="3"/>
    <x v="0"/>
    <x v="8"/>
    <s v="Avery Durable Plastic 1&quot; Binders"/>
    <n v="18.16"/>
    <n v="5"/>
    <n v="6.58"/>
  </r>
  <r>
    <d v="2014-11-24T00:00:00"/>
    <x v="10"/>
    <x v="0"/>
    <x v="396"/>
    <x v="2"/>
    <x v="1"/>
    <x v="12"/>
    <s v="Hon Olson Stacker Stools"/>
    <n v="492.84"/>
    <n v="5"/>
    <n v="-14.08"/>
  </r>
  <r>
    <d v="2015-11-24T00:00:00"/>
    <x v="10"/>
    <x v="1"/>
    <x v="132"/>
    <x v="4"/>
    <x v="2"/>
    <x v="9"/>
    <s v="LF Elite 3D Dazzle Designer Hard Case Cover, Lf Stylus Pen and Wiper For Apple Iphone 5c Mini Lite"/>
    <n v="21.8"/>
    <n v="2"/>
    <n v="6.1"/>
  </r>
  <r>
    <d v="2014-12-24T00:00:00"/>
    <x v="11"/>
    <x v="0"/>
    <x v="38"/>
    <x v="23"/>
    <x v="0"/>
    <x v="2"/>
    <s v="Hunt PowerHouse Electric Pencil Sharpener, Blue"/>
    <n v="75.959999999999994"/>
    <n v="2"/>
    <n v="22.79"/>
  </r>
  <r>
    <d v="2015-12-24T00:00:00"/>
    <x v="11"/>
    <x v="1"/>
    <x v="425"/>
    <x v="3"/>
    <x v="0"/>
    <x v="8"/>
    <s v="Cardinal Holdit Data Disk Pockets"/>
    <n v="29.12"/>
    <n v="5"/>
    <n v="9.83"/>
  </r>
  <r>
    <d v="2016-12-24T00:00:00"/>
    <x v="11"/>
    <x v="2"/>
    <x v="426"/>
    <x v="16"/>
    <x v="0"/>
    <x v="8"/>
    <s v="Wilson Jones International Size A4 Ring Binders"/>
    <n v="27.68"/>
    <n v="2"/>
    <n v="9.69"/>
  </r>
  <r>
    <d v="2017-12-24T00:00:00"/>
    <x v="11"/>
    <x v="3"/>
    <x v="427"/>
    <x v="27"/>
    <x v="1"/>
    <x v="5"/>
    <s v="Bush Somerset Collection Bookcase"/>
    <n v="261.95999999999998"/>
    <n v="2"/>
    <n v="41.91"/>
  </r>
  <r>
    <d v="2016-01-25T00:00:00"/>
    <x v="0"/>
    <x v="2"/>
    <x v="225"/>
    <x v="3"/>
    <x v="0"/>
    <x v="10"/>
    <s v="File Shuttle I and Handi-File"/>
    <n v="155.82"/>
    <n v="7"/>
    <n v="42.07"/>
  </r>
  <r>
    <d v="2017-02-25T00:00:00"/>
    <x v="1"/>
    <x v="3"/>
    <x v="382"/>
    <x v="13"/>
    <x v="2"/>
    <x v="6"/>
    <s v="Micropad Numeric Keypads"/>
    <n v="59.97"/>
    <n v="3"/>
    <n v="14.99"/>
  </r>
  <r>
    <d v="2014-03-25T00:00:00"/>
    <x v="2"/>
    <x v="0"/>
    <x v="428"/>
    <x v="9"/>
    <x v="0"/>
    <x v="8"/>
    <s v="Avery Durable Slant Ring Binders With Label Holder"/>
    <n v="6.27"/>
    <n v="5"/>
    <n v="-4.5999999999999996"/>
  </r>
  <r>
    <d v="2016-03-25T00:00:00"/>
    <x v="2"/>
    <x v="2"/>
    <x v="429"/>
    <x v="16"/>
    <x v="0"/>
    <x v="2"/>
    <s v="Boston 16801 Nautilus Battery Pencil Sharpener"/>
    <n v="44.02"/>
    <n v="2"/>
    <n v="11.45"/>
  </r>
  <r>
    <d v="2014-04-25T00:00:00"/>
    <x v="3"/>
    <x v="0"/>
    <x v="234"/>
    <x v="7"/>
    <x v="2"/>
    <x v="6"/>
    <s v="Logitech diNovo Edge Keyboard"/>
    <n v="499.98"/>
    <n v="2"/>
    <n v="115"/>
  </r>
  <r>
    <d v="2015-04-25T00:00:00"/>
    <x v="3"/>
    <x v="1"/>
    <x v="285"/>
    <x v="3"/>
    <x v="2"/>
    <x v="6"/>
    <s v="Imation 16GB Mini TravelDrive USB 2.0 Flash Drive"/>
    <n v="99.39"/>
    <n v="3"/>
    <n v="40.75"/>
  </r>
  <r>
    <d v="2016-04-25T00:00:00"/>
    <x v="3"/>
    <x v="2"/>
    <x v="128"/>
    <x v="39"/>
    <x v="0"/>
    <x v="10"/>
    <s v="Tennsco Snap-Together Open Shelving Units, Starter Sets and Add-On Units"/>
    <n v="1117.92"/>
    <n v="4"/>
    <n v="55.9"/>
  </r>
  <r>
    <d v="2014-05-25T00:00:00"/>
    <x v="4"/>
    <x v="0"/>
    <x v="276"/>
    <x v="8"/>
    <x v="1"/>
    <x v="12"/>
    <s v="Novimex Fabric Task Chair"/>
    <n v="195.14"/>
    <n v="4"/>
    <n v="-12.2"/>
  </r>
  <r>
    <d v="2015-05-25T00:00:00"/>
    <x v="4"/>
    <x v="1"/>
    <x v="355"/>
    <x v="13"/>
    <x v="1"/>
    <x v="3"/>
    <s v="Luxo Economy Swing Arm Lamp"/>
    <n v="39.880000000000003"/>
    <n v="2"/>
    <n v="11.17"/>
  </r>
  <r>
    <d v="2016-05-25T00:00:00"/>
    <x v="4"/>
    <x v="2"/>
    <x v="430"/>
    <x v="2"/>
    <x v="0"/>
    <x v="11"/>
    <s v="Advantus Map Pennant Flags and Round Head Tacks"/>
    <n v="15.8"/>
    <n v="5"/>
    <n v="2.37"/>
  </r>
  <r>
    <d v="2017-05-25T00:00:00"/>
    <x v="4"/>
    <x v="3"/>
    <x v="431"/>
    <x v="11"/>
    <x v="0"/>
    <x v="0"/>
    <s v="Telephone Message Books with Fax/Mobile Section, 5 1/2&quot; x 3 3/16&quot;"/>
    <n v="5.08"/>
    <n v="1"/>
    <n v="1.65"/>
  </r>
  <r>
    <d v="2014-06-25T00:00:00"/>
    <x v="5"/>
    <x v="0"/>
    <x v="432"/>
    <x v="0"/>
    <x v="2"/>
    <x v="6"/>
    <s v="Memorex Micro Travel Drive 32 GB"/>
    <n v="58.42"/>
    <n v="2"/>
    <n v="16.79"/>
  </r>
  <r>
    <d v="2015-06-25T00:00:00"/>
    <x v="5"/>
    <x v="1"/>
    <x v="254"/>
    <x v="21"/>
    <x v="2"/>
    <x v="9"/>
    <s v="AT&amp;T 17929 Lendline Telephone"/>
    <n v="36.19"/>
    <n v="1"/>
    <n v="2.71"/>
  </r>
  <r>
    <d v="2016-06-25T00:00:00"/>
    <x v="5"/>
    <x v="2"/>
    <x v="433"/>
    <x v="22"/>
    <x v="0"/>
    <x v="0"/>
    <s v="Universal Premium White Copier/Laser Paper (20Lb. and 87 Bright)"/>
    <n v="23.92"/>
    <n v="4"/>
    <n v="11.72"/>
  </r>
  <r>
    <d v="2014-07-25T00:00:00"/>
    <x v="6"/>
    <x v="0"/>
    <x v="434"/>
    <x v="13"/>
    <x v="1"/>
    <x v="3"/>
    <s v="Eldon Delta Triangular Chair Mat, 52&quot; x 58&quot;, Clear"/>
    <n v="113.79"/>
    <n v="3"/>
    <n v="20.48"/>
  </r>
  <r>
    <d v="2015-07-25T00:00:00"/>
    <x v="6"/>
    <x v="1"/>
    <x v="435"/>
    <x v="0"/>
    <x v="2"/>
    <x v="9"/>
    <s v="GE 30524EE4"/>
    <n v="1097.54"/>
    <n v="7"/>
    <n v="123.47"/>
  </r>
  <r>
    <d v="2016-07-25T00:00:00"/>
    <x v="6"/>
    <x v="2"/>
    <x v="436"/>
    <x v="13"/>
    <x v="0"/>
    <x v="11"/>
    <s v="Advantus Push Pins"/>
    <n v="15.26"/>
    <n v="7"/>
    <n v="6.26"/>
  </r>
  <r>
    <d v="2017-07-25T00:00:00"/>
    <x v="6"/>
    <x v="3"/>
    <x v="123"/>
    <x v="26"/>
    <x v="1"/>
    <x v="3"/>
    <s v="Executive Impressions 14&quot;"/>
    <n v="133.38"/>
    <n v="6"/>
    <n v="58.69"/>
  </r>
  <r>
    <d v="2017-08-25T00:00:00"/>
    <x v="7"/>
    <x v="3"/>
    <x v="437"/>
    <x v="1"/>
    <x v="0"/>
    <x v="8"/>
    <s v="Cardinal Hold-It CD Pocket"/>
    <n v="4.79"/>
    <n v="3"/>
    <n v="-7.9"/>
  </r>
  <r>
    <d v="2014-09-25T00:00:00"/>
    <x v="8"/>
    <x v="0"/>
    <x v="438"/>
    <x v="3"/>
    <x v="1"/>
    <x v="14"/>
    <s v="Bretford Just In Time Height-Adjustable Multi-Task Work Tables"/>
    <n v="2003.52"/>
    <n v="6"/>
    <n v="-325.57"/>
  </r>
  <r>
    <d v="2015-09-25T00:00:00"/>
    <x v="8"/>
    <x v="1"/>
    <x v="439"/>
    <x v="11"/>
    <x v="0"/>
    <x v="8"/>
    <s v="GBC VeloBinder Electric Binding Machine"/>
    <n v="254.06"/>
    <n v="7"/>
    <n v="-169.37"/>
  </r>
  <r>
    <d v="2014-10-25T00:00:00"/>
    <x v="9"/>
    <x v="0"/>
    <x v="177"/>
    <x v="9"/>
    <x v="1"/>
    <x v="14"/>
    <s v="SAFCO PlanMaster Boards, 60w x 37-1/2d, White Melamine"/>
    <n v="455.97"/>
    <n v="6"/>
    <n v="-218.87"/>
  </r>
  <r>
    <d v="2016-11-25T00:00:00"/>
    <x v="10"/>
    <x v="2"/>
    <x v="338"/>
    <x v="4"/>
    <x v="1"/>
    <x v="3"/>
    <s v="Electrix Architect's Clamp-On Swing Arm Lamp, Black"/>
    <n v="572.76"/>
    <n v="6"/>
    <n v="166.1"/>
  </r>
  <r>
    <d v="2015-12-25T00:00:00"/>
    <x v="11"/>
    <x v="1"/>
    <x v="299"/>
    <x v="21"/>
    <x v="0"/>
    <x v="8"/>
    <s v="GBC Linen Binding Covers"/>
    <n v="27.88"/>
    <n v="3"/>
    <n v="-20.45"/>
  </r>
  <r>
    <d v="2016-12-25T00:00:00"/>
    <x v="11"/>
    <x v="2"/>
    <x v="127"/>
    <x v="3"/>
    <x v="2"/>
    <x v="9"/>
    <s v="Samsung Galaxy Note 2"/>
    <n v="2575.94"/>
    <n v="7"/>
    <n v="257.58999999999997"/>
  </r>
  <r>
    <d v="2014-01-26T00:00:00"/>
    <x v="0"/>
    <x v="0"/>
    <x v="440"/>
    <x v="16"/>
    <x v="0"/>
    <x v="0"/>
    <s v="Strathmore Photo Mount Cards"/>
    <n v="33.9"/>
    <n v="5"/>
    <n v="15.59"/>
  </r>
  <r>
    <d v="2015-01-26T00:00:00"/>
    <x v="0"/>
    <x v="1"/>
    <x v="32"/>
    <x v="15"/>
    <x v="1"/>
    <x v="12"/>
    <s v="Global Leather &amp; Oak Executive Chair, Burgundy"/>
    <n v="754.45"/>
    <n v="5"/>
    <n v="60.36"/>
  </r>
  <r>
    <d v="2014-03-26T00:00:00"/>
    <x v="2"/>
    <x v="0"/>
    <x v="107"/>
    <x v="12"/>
    <x v="0"/>
    <x v="2"/>
    <s v="Crayola Anti Dust Chalk, 12/Pack"/>
    <n v="3.64"/>
    <n v="2"/>
    <n v="1.64"/>
  </r>
  <r>
    <d v="2015-03-26T00:00:00"/>
    <x v="2"/>
    <x v="1"/>
    <x v="441"/>
    <x v="19"/>
    <x v="1"/>
    <x v="3"/>
    <s v="Linden 10&quot; Round Wall Clock, Black"/>
    <n v="48.9"/>
    <n v="4"/>
    <n v="8.56"/>
  </r>
  <r>
    <d v="2017-03-26T00:00:00"/>
    <x v="2"/>
    <x v="3"/>
    <x v="371"/>
    <x v="21"/>
    <x v="2"/>
    <x v="13"/>
    <s v="Cisco CP-7937G Unified IP Conference Station Phone"/>
    <n v="695.7"/>
    <n v="2"/>
    <n v="-27.83"/>
  </r>
  <r>
    <d v="2014-04-26T00:00:00"/>
    <x v="3"/>
    <x v="0"/>
    <x v="11"/>
    <x v="3"/>
    <x v="0"/>
    <x v="0"/>
    <s v="Xerox 1905"/>
    <n v="38.880000000000003"/>
    <n v="6"/>
    <n v="18.66"/>
  </r>
  <r>
    <d v="2016-04-26T00:00:00"/>
    <x v="3"/>
    <x v="2"/>
    <x v="255"/>
    <x v="24"/>
    <x v="0"/>
    <x v="8"/>
    <s v="Wilson Jones Turn Tabs Binder Tool for Ring Binders"/>
    <n v="33.74"/>
    <n v="7"/>
    <n v="15.52"/>
  </r>
  <r>
    <d v="2017-05-26T00:00:00"/>
    <x v="4"/>
    <x v="3"/>
    <x v="442"/>
    <x v="16"/>
    <x v="1"/>
    <x v="14"/>
    <s v="Balt Solid Wood Round Tables"/>
    <n v="892.98"/>
    <n v="2"/>
    <n v="80.37"/>
  </r>
  <r>
    <d v="2015-06-26T00:00:00"/>
    <x v="5"/>
    <x v="1"/>
    <x v="443"/>
    <x v="2"/>
    <x v="0"/>
    <x v="7"/>
    <s v="Belkin F9M820V08 8 Outlet Surge"/>
    <n v="34.380000000000003"/>
    <n v="1"/>
    <n v="3.87"/>
  </r>
  <r>
    <d v="2016-06-26T00:00:00"/>
    <x v="5"/>
    <x v="2"/>
    <x v="118"/>
    <x v="0"/>
    <x v="0"/>
    <x v="1"/>
    <s v="Avery 510"/>
    <n v="6"/>
    <n v="2"/>
    <n v="2.1"/>
  </r>
  <r>
    <d v="2014-07-26T00:00:00"/>
    <x v="6"/>
    <x v="0"/>
    <x v="444"/>
    <x v="16"/>
    <x v="0"/>
    <x v="10"/>
    <s v="Carina Double Wide Media Storage Towers in Natural &amp; Black"/>
    <n v="242.94"/>
    <n v="3"/>
    <n v="9.7200000000000006"/>
  </r>
  <r>
    <d v="2015-07-26T00:00:00"/>
    <x v="6"/>
    <x v="1"/>
    <x v="283"/>
    <x v="35"/>
    <x v="2"/>
    <x v="15"/>
    <s v="Canon Image Class D660 Copier"/>
    <n v="2999.95"/>
    <n v="5"/>
    <n v="1379.98"/>
  </r>
  <r>
    <d v="2017-07-26T00:00:00"/>
    <x v="6"/>
    <x v="3"/>
    <x v="264"/>
    <x v="7"/>
    <x v="0"/>
    <x v="11"/>
    <s v="Revere Boxed Rubber Bands by Revere"/>
    <n v="5.67"/>
    <n v="3"/>
    <n v="0.11"/>
  </r>
  <r>
    <d v="2015-09-26T00:00:00"/>
    <x v="8"/>
    <x v="1"/>
    <x v="256"/>
    <x v="23"/>
    <x v="0"/>
    <x v="8"/>
    <s v="Cardinal EasyOpen D-Ring Binders"/>
    <n v="18.28"/>
    <n v="2"/>
    <n v="9.14"/>
  </r>
  <r>
    <d v="2016-09-26T00:00:00"/>
    <x v="8"/>
    <x v="2"/>
    <x v="257"/>
    <x v="4"/>
    <x v="1"/>
    <x v="5"/>
    <s v="Bush Andora Bookcase, Maple/Graphite Gray Finish"/>
    <n v="359.97"/>
    <n v="3"/>
    <n v="79.19"/>
  </r>
  <r>
    <d v="2017-09-26T00:00:00"/>
    <x v="8"/>
    <x v="3"/>
    <x v="129"/>
    <x v="3"/>
    <x v="0"/>
    <x v="8"/>
    <s v="Acco Pressboard Covers with Storage Hooks, 14 7/8&quot; x 11&quot;, Dark Blue"/>
    <n v="21.34"/>
    <n v="7"/>
    <n v="7.73"/>
  </r>
  <r>
    <d v="2014-10-26T00:00:00"/>
    <x v="9"/>
    <x v="0"/>
    <x v="213"/>
    <x v="13"/>
    <x v="0"/>
    <x v="0"/>
    <s v="Xerox 1912"/>
    <n v="37.94"/>
    <n v="2"/>
    <n v="18.21"/>
  </r>
  <r>
    <d v="2015-10-26T00:00:00"/>
    <x v="9"/>
    <x v="1"/>
    <x v="445"/>
    <x v="1"/>
    <x v="1"/>
    <x v="14"/>
    <s v="Chromcraft 48&quot; x 96&quot; Racetrack Double Pedestal Table"/>
    <n v="480.96"/>
    <n v="3"/>
    <n v="-269.33999999999997"/>
  </r>
  <r>
    <d v="2017-10-26T00:00:00"/>
    <x v="9"/>
    <x v="3"/>
    <x v="446"/>
    <x v="3"/>
    <x v="2"/>
    <x v="9"/>
    <s v="iHome FM Clock Radio with Lightning Dock"/>
    <n v="167.98"/>
    <n v="3"/>
    <n v="10.5"/>
  </r>
  <r>
    <d v="2014-11-26T00:00:00"/>
    <x v="10"/>
    <x v="0"/>
    <x v="447"/>
    <x v="7"/>
    <x v="0"/>
    <x v="7"/>
    <s v="Kensington 7 Outlet MasterPiece Power Center"/>
    <n v="1245.8599999999999"/>
    <n v="7"/>
    <n v="361.3"/>
  </r>
  <r>
    <d v="2017-11-26T00:00:00"/>
    <x v="10"/>
    <x v="3"/>
    <x v="243"/>
    <x v="0"/>
    <x v="2"/>
    <x v="6"/>
    <s v="Microsoft Natural Keyboard Elite"/>
    <n v="47.9"/>
    <n v="1"/>
    <n v="-2.99"/>
  </r>
  <r>
    <d v="2016-12-26T00:00:00"/>
    <x v="11"/>
    <x v="2"/>
    <x v="293"/>
    <x v="3"/>
    <x v="0"/>
    <x v="0"/>
    <s v="Ampad Phone Message Book, Recycled, 400 Message Capacity, 5 ¾ x 11"/>
    <n v="37.44"/>
    <n v="6"/>
    <n v="16.850000000000001"/>
  </r>
  <r>
    <d v="2017-12-26T00:00:00"/>
    <x v="11"/>
    <x v="3"/>
    <x v="125"/>
    <x v="1"/>
    <x v="0"/>
    <x v="8"/>
    <s v="Avery Hidden Tab Dividers for Binding Systems"/>
    <n v="1.79"/>
    <n v="3"/>
    <n v="-3.04"/>
  </r>
  <r>
    <d v="2014-01-27T00:00:00"/>
    <x v="0"/>
    <x v="0"/>
    <x v="285"/>
    <x v="0"/>
    <x v="0"/>
    <x v="16"/>
    <s v="Staple remover"/>
    <n v="6.98"/>
    <n v="4"/>
    <n v="-1.4"/>
  </r>
  <r>
    <d v="2015-01-27T00:00:00"/>
    <x v="0"/>
    <x v="1"/>
    <x v="448"/>
    <x v="27"/>
    <x v="0"/>
    <x v="7"/>
    <s v="Acco 6 Outlet Guardian Premium Surge Suppressor"/>
    <n v="72.8"/>
    <n v="5"/>
    <n v="19.66"/>
  </r>
  <r>
    <d v="2014-02-27T00:00:00"/>
    <x v="1"/>
    <x v="0"/>
    <x v="199"/>
    <x v="15"/>
    <x v="0"/>
    <x v="1"/>
    <s v="Avery 515"/>
    <n v="25.06"/>
    <n v="2"/>
    <n v="11.78"/>
  </r>
  <r>
    <d v="2016-02-27T00:00:00"/>
    <x v="1"/>
    <x v="2"/>
    <x v="449"/>
    <x v="13"/>
    <x v="0"/>
    <x v="0"/>
    <s v="Xerox 1883"/>
    <n v="26.38"/>
    <n v="1"/>
    <n v="12.13"/>
  </r>
  <r>
    <d v="2015-03-27T00:00:00"/>
    <x v="2"/>
    <x v="1"/>
    <x v="450"/>
    <x v="2"/>
    <x v="0"/>
    <x v="2"/>
    <s v="Newell 337"/>
    <n v="5.25"/>
    <n v="2"/>
    <n v="0.59"/>
  </r>
  <r>
    <d v="2016-03-27T00:00:00"/>
    <x v="2"/>
    <x v="2"/>
    <x v="426"/>
    <x v="14"/>
    <x v="0"/>
    <x v="8"/>
    <s v="GBC DocuBind TL200 Manual Binding Machine"/>
    <n v="895.92"/>
    <n v="4"/>
    <n v="421.08"/>
  </r>
  <r>
    <d v="2017-03-27T00:00:00"/>
    <x v="2"/>
    <x v="3"/>
    <x v="451"/>
    <x v="3"/>
    <x v="0"/>
    <x v="0"/>
    <s v="Multicolor Computer Printout Paper"/>
    <n v="314.55"/>
    <n v="3"/>
    <n v="150.97999999999999"/>
  </r>
  <r>
    <d v="2017-04-27T00:00:00"/>
    <x v="3"/>
    <x v="3"/>
    <x v="452"/>
    <x v="13"/>
    <x v="0"/>
    <x v="1"/>
    <s v="Avery 506"/>
    <n v="28.91"/>
    <n v="7"/>
    <n v="13.3"/>
  </r>
  <r>
    <d v="2014-05-27T00:00:00"/>
    <x v="4"/>
    <x v="0"/>
    <x v="32"/>
    <x v="18"/>
    <x v="1"/>
    <x v="3"/>
    <s v="GE General Purpose, Extra Long Life, Showcase &amp; Floodlight Incandescent Bulbs"/>
    <n v="2.91"/>
    <n v="1"/>
    <n v="1.37"/>
  </r>
  <r>
    <d v="2016-05-27T00:00:00"/>
    <x v="4"/>
    <x v="2"/>
    <x v="453"/>
    <x v="3"/>
    <x v="1"/>
    <x v="3"/>
    <s v="DAX Natural Wood-Tone Poster Frame"/>
    <n v="211.84"/>
    <n v="8"/>
    <n v="76.260000000000005"/>
  </r>
  <r>
    <d v="2014-06-27T00:00:00"/>
    <x v="5"/>
    <x v="0"/>
    <x v="454"/>
    <x v="13"/>
    <x v="0"/>
    <x v="0"/>
    <s v="Xerox 1888"/>
    <n v="221.92"/>
    <n v="4"/>
    <n v="106.52"/>
  </r>
  <r>
    <d v="2016-06-27T00:00:00"/>
    <x v="5"/>
    <x v="2"/>
    <x v="219"/>
    <x v="13"/>
    <x v="1"/>
    <x v="5"/>
    <s v="Sauder Forest Hills Library with Doors, Woodland Oak Finish"/>
    <n v="257.57"/>
    <n v="2"/>
    <n v="-28.98"/>
  </r>
  <r>
    <d v="2014-07-27T00:00:00"/>
    <x v="6"/>
    <x v="0"/>
    <x v="84"/>
    <x v="2"/>
    <x v="1"/>
    <x v="3"/>
    <s v="Eldon Expressions Punched Metal &amp; Wood Desk Accessories, Black &amp; Cherry"/>
    <n v="15.01"/>
    <n v="2"/>
    <n v="1.5"/>
  </r>
  <r>
    <d v="2015-07-27T00:00:00"/>
    <x v="6"/>
    <x v="1"/>
    <x v="26"/>
    <x v="11"/>
    <x v="0"/>
    <x v="8"/>
    <s v="Canvas Sectional Post Binders"/>
    <n v="68.739999999999995"/>
    <n v="9"/>
    <n v="-48.12"/>
  </r>
  <r>
    <d v="2014-08-27T00:00:00"/>
    <x v="7"/>
    <x v="0"/>
    <x v="193"/>
    <x v="18"/>
    <x v="0"/>
    <x v="10"/>
    <s v="Adjustable Personal File Tote"/>
    <n v="81.400000000000006"/>
    <n v="5"/>
    <n v="21.16"/>
  </r>
  <r>
    <d v="2017-08-27T00:00:00"/>
    <x v="7"/>
    <x v="3"/>
    <x v="455"/>
    <x v="39"/>
    <x v="0"/>
    <x v="4"/>
    <s v="Multimedia Mailers"/>
    <n v="325.86"/>
    <n v="2"/>
    <n v="149.9"/>
  </r>
  <r>
    <d v="2014-09-27T00:00:00"/>
    <x v="8"/>
    <x v="0"/>
    <x v="302"/>
    <x v="0"/>
    <x v="1"/>
    <x v="5"/>
    <s v="Bush Mission Pointe Library"/>
    <n v="205.33"/>
    <n v="2"/>
    <n v="-36.24"/>
  </r>
  <r>
    <d v="2016-09-27T00:00:00"/>
    <x v="8"/>
    <x v="2"/>
    <x v="456"/>
    <x v="2"/>
    <x v="1"/>
    <x v="3"/>
    <s v="Staple-based wall hangings"/>
    <n v="25.47"/>
    <n v="4"/>
    <n v="7.64"/>
  </r>
  <r>
    <d v="2015-11-27T00:00:00"/>
    <x v="10"/>
    <x v="1"/>
    <x v="457"/>
    <x v="13"/>
    <x v="0"/>
    <x v="1"/>
    <s v="Color-Coded Legal Exhibit Labels"/>
    <n v="9.82"/>
    <n v="2"/>
    <n v="4.8099999999999996"/>
  </r>
  <r>
    <d v="2017-11-27T00:00:00"/>
    <x v="10"/>
    <x v="3"/>
    <x v="458"/>
    <x v="3"/>
    <x v="2"/>
    <x v="6"/>
    <s v="SanDisk Ultra 64 GB MicroSDHC Class 10 Memory Card"/>
    <n v="199.95"/>
    <n v="5"/>
    <n v="21.99"/>
  </r>
  <r>
    <d v="2015-12-27T00:00:00"/>
    <x v="11"/>
    <x v="1"/>
    <x v="158"/>
    <x v="0"/>
    <x v="0"/>
    <x v="7"/>
    <s v="Acco 7-Outlet Masterpiece Power Center, Wihtout Fax/Phone Line Protection"/>
    <n v="97.26"/>
    <n v="4"/>
    <n v="-243.16"/>
  </r>
  <r>
    <d v="2017-12-27T00:00:00"/>
    <x v="11"/>
    <x v="3"/>
    <x v="459"/>
    <x v="13"/>
    <x v="0"/>
    <x v="7"/>
    <s v="Tripp Lite Isotel 6 Outlet Surge Protector with Fax/Modem Protection"/>
    <n v="121.94"/>
    <n v="2"/>
    <n v="35.36"/>
  </r>
  <r>
    <d v="2014-01-28T00:00:00"/>
    <x v="0"/>
    <x v="0"/>
    <x v="235"/>
    <x v="2"/>
    <x v="0"/>
    <x v="7"/>
    <s v="Acco Smartsocket Table Surge Protector, 6 Color-Coded Adapter Outlets"/>
    <n v="99.28"/>
    <n v="2"/>
    <n v="12.41"/>
  </r>
  <r>
    <d v="2015-01-28T00:00:00"/>
    <x v="0"/>
    <x v="1"/>
    <x v="446"/>
    <x v="0"/>
    <x v="0"/>
    <x v="1"/>
    <s v="Avery Address/Shipping Labels for Typewriters, 4&quot; x 2&quot;"/>
    <n v="33.119999999999997"/>
    <n v="4"/>
    <n v="11.59"/>
  </r>
  <r>
    <d v="2015-02-28T00:00:00"/>
    <x v="1"/>
    <x v="1"/>
    <x v="460"/>
    <x v="19"/>
    <x v="1"/>
    <x v="14"/>
    <s v="SAFCO PlanMaster Heigh-Adjustable Drafting Table Base, 43w x 30d x 30-37h, Black"/>
    <n v="1048.3499999999999"/>
    <n v="5"/>
    <n v="-69.89"/>
  </r>
  <r>
    <d v="2014-03-28T00:00:00"/>
    <x v="2"/>
    <x v="0"/>
    <x v="408"/>
    <x v="17"/>
    <x v="1"/>
    <x v="3"/>
    <s v="Eldon Advantage Chair Mats for Low to Medium Pile Carpets"/>
    <n v="129.93"/>
    <n v="3"/>
    <n v="12.99"/>
  </r>
  <r>
    <d v="2015-03-28T00:00:00"/>
    <x v="2"/>
    <x v="1"/>
    <x v="406"/>
    <x v="1"/>
    <x v="0"/>
    <x v="2"/>
    <s v="Blackstonian Pencils"/>
    <n v="6.41"/>
    <n v="3"/>
    <n v="0.64"/>
  </r>
  <r>
    <d v="2016-03-28T00:00:00"/>
    <x v="2"/>
    <x v="2"/>
    <x v="305"/>
    <x v="19"/>
    <x v="0"/>
    <x v="10"/>
    <s v="SAFCO Commercial Wire Shelving, Black"/>
    <n v="221.02"/>
    <n v="2"/>
    <n v="-55.26"/>
  </r>
  <r>
    <d v="2017-03-28T00:00:00"/>
    <x v="2"/>
    <x v="3"/>
    <x v="461"/>
    <x v="42"/>
    <x v="0"/>
    <x v="2"/>
    <s v="Boston 1645 Deluxe Heavier-Duty Electric Pencil Sharpener"/>
    <n v="131.94"/>
    <n v="3"/>
    <n v="35.619999999999997"/>
  </r>
  <r>
    <d v="2014-04-28T00:00:00"/>
    <x v="3"/>
    <x v="0"/>
    <x v="450"/>
    <x v="7"/>
    <x v="0"/>
    <x v="8"/>
    <s v="Recycled Easel Ring Binders"/>
    <n v="29.84"/>
    <n v="2"/>
    <n v="13.43"/>
  </r>
  <r>
    <d v="2015-04-28T00:00:00"/>
    <x v="3"/>
    <x v="1"/>
    <x v="462"/>
    <x v="27"/>
    <x v="0"/>
    <x v="7"/>
    <s v="Belkin 8-Outlet Premiere SurgeMaster II Surge Protectors"/>
    <n v="208.44"/>
    <n v="3"/>
    <n v="62.53"/>
  </r>
  <r>
    <d v="2014-05-28T00:00:00"/>
    <x v="4"/>
    <x v="0"/>
    <x v="105"/>
    <x v="37"/>
    <x v="1"/>
    <x v="3"/>
    <s v="Eldon 200 Class Desk Accessories, Burgundy"/>
    <n v="35.17"/>
    <n v="7"/>
    <n v="9.67"/>
  </r>
  <r>
    <d v="2015-05-28T00:00:00"/>
    <x v="4"/>
    <x v="1"/>
    <x v="463"/>
    <x v="21"/>
    <x v="1"/>
    <x v="3"/>
    <s v="Telescoping Adjustable Floor Lamp"/>
    <n v="31.98"/>
    <n v="2"/>
    <n v="2"/>
  </r>
  <r>
    <d v="2014-06-28T00:00:00"/>
    <x v="5"/>
    <x v="0"/>
    <x v="464"/>
    <x v="3"/>
    <x v="1"/>
    <x v="3"/>
    <s v="Eldon 300 Class Desk Accessories, Black"/>
    <n v="4.95"/>
    <n v="1"/>
    <n v="2.1800000000000002"/>
  </r>
  <r>
    <d v="2014-07-28T00:00:00"/>
    <x v="6"/>
    <x v="0"/>
    <x v="120"/>
    <x v="0"/>
    <x v="0"/>
    <x v="7"/>
    <s v="Eureka Disposable Bags for Sanitaire Vibra Groomer I Upright Vac"/>
    <n v="1.62"/>
    <n v="2"/>
    <n v="-4.47"/>
  </r>
  <r>
    <d v="2017-07-28T00:00:00"/>
    <x v="6"/>
    <x v="3"/>
    <x v="465"/>
    <x v="3"/>
    <x v="0"/>
    <x v="0"/>
    <s v="White Dual Perf Computer Printout Paper, 2700 Sheets, 1 Part, Heavyweight, 20 lbs., 14 7/8 x 11"/>
    <n v="122.97"/>
    <n v="3"/>
    <n v="60.26"/>
  </r>
  <r>
    <d v="2016-08-28T00:00:00"/>
    <x v="7"/>
    <x v="2"/>
    <x v="372"/>
    <x v="7"/>
    <x v="0"/>
    <x v="8"/>
    <s v="Ibico Plastic Spiral Binding Combs"/>
    <n v="91.2"/>
    <n v="3"/>
    <n v="41.95"/>
  </r>
  <r>
    <d v="2014-09-28T00:00:00"/>
    <x v="8"/>
    <x v="0"/>
    <x v="466"/>
    <x v="3"/>
    <x v="2"/>
    <x v="9"/>
    <s v="Anker 36W 4-Port USB Wall Charger Travel Power Adapter for iPhone 5s 5c 5"/>
    <n v="47.98"/>
    <n v="3"/>
    <n v="4.8"/>
  </r>
  <r>
    <d v="2014-10-28T00:00:00"/>
    <x v="9"/>
    <x v="0"/>
    <x v="467"/>
    <x v="13"/>
    <x v="0"/>
    <x v="0"/>
    <s v="Xerox 1943"/>
    <n v="97.82"/>
    <n v="2"/>
    <n v="45.98"/>
  </r>
  <r>
    <d v="2015-10-28T00:00:00"/>
    <x v="9"/>
    <x v="1"/>
    <x v="468"/>
    <x v="11"/>
    <x v="0"/>
    <x v="4"/>
    <s v="#10 White Business Envelopes,4 1/8 x 9 1/2"/>
    <n v="37.61"/>
    <n v="3"/>
    <n v="12.69"/>
  </r>
  <r>
    <d v="2014-11-28T00:00:00"/>
    <x v="10"/>
    <x v="0"/>
    <x v="339"/>
    <x v="3"/>
    <x v="0"/>
    <x v="10"/>
    <s v="Tennsco 16-Compartment Lockers with Coat Rack"/>
    <n v="1295.78"/>
    <n v="2"/>
    <n v="310.99"/>
  </r>
  <r>
    <d v="2015-11-28T00:00:00"/>
    <x v="10"/>
    <x v="1"/>
    <x v="469"/>
    <x v="12"/>
    <x v="0"/>
    <x v="8"/>
    <s v="Tuf-Vin Binders"/>
    <n v="75.790000000000006"/>
    <n v="3"/>
    <n v="25.58"/>
  </r>
  <r>
    <d v="2014-12-28T00:00:00"/>
    <x v="11"/>
    <x v="0"/>
    <x v="470"/>
    <x v="7"/>
    <x v="1"/>
    <x v="3"/>
    <s v="Westinghouse Floor Lamp with Metal Mesh Shade, Black"/>
    <n v="23.99"/>
    <n v="1"/>
    <n v="5.52"/>
  </r>
  <r>
    <d v="2017-12-28T00:00:00"/>
    <x v="11"/>
    <x v="3"/>
    <x v="422"/>
    <x v="0"/>
    <x v="1"/>
    <x v="3"/>
    <s v="Deflect-o RollaMat Studded, Beveled Mat for Medium Pile Carpeting"/>
    <n v="332.03"/>
    <n v="9"/>
    <n v="-348.63"/>
  </r>
  <r>
    <d v="2014-03-29T00:00:00"/>
    <x v="2"/>
    <x v="0"/>
    <x v="312"/>
    <x v="13"/>
    <x v="0"/>
    <x v="8"/>
    <s v="Wilson Jones Active Use Binders"/>
    <n v="17.47"/>
    <n v="3"/>
    <n v="6.33"/>
  </r>
  <r>
    <d v="2015-03-29T00:00:00"/>
    <x v="2"/>
    <x v="1"/>
    <x v="471"/>
    <x v="19"/>
    <x v="0"/>
    <x v="0"/>
    <s v="Wirebound Message Books, Four 2 3/4 x 5 Forms per Page, 200 Sets per Book"/>
    <n v="3.82"/>
    <n v="1"/>
    <n v="1.19"/>
  </r>
  <r>
    <d v="2016-03-29T00:00:00"/>
    <x v="2"/>
    <x v="2"/>
    <x v="472"/>
    <x v="2"/>
    <x v="2"/>
    <x v="9"/>
    <s v="Cisco SPA508G"/>
    <n v="39.590000000000003"/>
    <n v="1"/>
    <n v="-7.26"/>
  </r>
  <r>
    <d v="2017-03-29T00:00:00"/>
    <x v="2"/>
    <x v="3"/>
    <x v="473"/>
    <x v="32"/>
    <x v="0"/>
    <x v="1"/>
    <s v="Avery 498"/>
    <n v="20.23"/>
    <n v="7"/>
    <n v="9.51"/>
  </r>
  <r>
    <d v="2014-04-29T00:00:00"/>
    <x v="3"/>
    <x v="0"/>
    <x v="174"/>
    <x v="3"/>
    <x v="2"/>
    <x v="6"/>
    <s v="Logitech Z-906 Speaker sys - home theater - 5.1-CH"/>
    <n v="1649.95"/>
    <n v="5"/>
    <n v="659.98"/>
  </r>
  <r>
    <d v="2015-04-29T00:00:00"/>
    <x v="3"/>
    <x v="1"/>
    <x v="474"/>
    <x v="3"/>
    <x v="0"/>
    <x v="8"/>
    <s v="Zipper Ring Binder Pockets"/>
    <n v="9.98"/>
    <n v="4"/>
    <n v="3.62"/>
  </r>
  <r>
    <d v="2017-04-29T00:00:00"/>
    <x v="3"/>
    <x v="3"/>
    <x v="322"/>
    <x v="1"/>
    <x v="1"/>
    <x v="5"/>
    <s v="O'Sullivan Elevations Bookcase, Cherry Finish"/>
    <n v="183.37"/>
    <n v="2"/>
    <n v="-36.67"/>
  </r>
  <r>
    <d v="2015-05-29T00:00:00"/>
    <x v="4"/>
    <x v="1"/>
    <x v="475"/>
    <x v="21"/>
    <x v="2"/>
    <x v="6"/>
    <s v="Logitech G700s Rechargeable Gaming Mouse"/>
    <n v="79.989999999999995"/>
    <n v="1"/>
    <n v="22"/>
  </r>
  <r>
    <d v="2016-05-29T00:00:00"/>
    <x v="4"/>
    <x v="2"/>
    <x v="476"/>
    <x v="13"/>
    <x v="1"/>
    <x v="3"/>
    <s v="DAX Metal Frame, Desktop, Stepped-Edge"/>
    <n v="40.479999999999997"/>
    <n v="2"/>
    <n v="15.79"/>
  </r>
  <r>
    <d v="2014-06-29T00:00:00"/>
    <x v="5"/>
    <x v="0"/>
    <x v="214"/>
    <x v="11"/>
    <x v="2"/>
    <x v="9"/>
    <s v="Samsung Galaxy Mega 6.3"/>
    <n v="4367.8999999999996"/>
    <n v="13"/>
    <n v="327.58999999999997"/>
  </r>
  <r>
    <d v="2017-06-29T00:00:00"/>
    <x v="5"/>
    <x v="3"/>
    <x v="439"/>
    <x v="13"/>
    <x v="0"/>
    <x v="8"/>
    <s v="DXL Angle-View Binders with Locking Rings by Samsill"/>
    <n v="24.67"/>
    <n v="4"/>
    <n v="7.71"/>
  </r>
  <r>
    <d v="2014-08-29T00:00:00"/>
    <x v="7"/>
    <x v="0"/>
    <x v="441"/>
    <x v="21"/>
    <x v="0"/>
    <x v="0"/>
    <s v="Xerox 1910"/>
    <n v="192.16"/>
    <n v="5"/>
    <n v="67.260000000000005"/>
  </r>
  <r>
    <d v="2015-08-29T00:00:00"/>
    <x v="7"/>
    <x v="1"/>
    <x v="467"/>
    <x v="28"/>
    <x v="1"/>
    <x v="14"/>
    <s v="Office Impressions End Table, 20-1/2&quot;H x 24&quot;W x 20&quot;D"/>
    <n v="1488.42"/>
    <n v="7"/>
    <n v="-297.68"/>
  </r>
  <r>
    <d v="2016-08-29T00:00:00"/>
    <x v="7"/>
    <x v="2"/>
    <x v="45"/>
    <x v="13"/>
    <x v="1"/>
    <x v="3"/>
    <s v="Seth Thomas 12&quot; Clock w/ Goldtone Case"/>
    <n v="114.9"/>
    <n v="5"/>
    <n v="39.07"/>
  </r>
  <r>
    <d v="2014-09-29T00:00:00"/>
    <x v="8"/>
    <x v="0"/>
    <x v="124"/>
    <x v="1"/>
    <x v="0"/>
    <x v="8"/>
    <s v="Premier Elliptical Ring Binder, Black"/>
    <n v="42.62"/>
    <n v="7"/>
    <n v="-68.19"/>
  </r>
  <r>
    <d v="2016-09-29T00:00:00"/>
    <x v="8"/>
    <x v="2"/>
    <x v="33"/>
    <x v="1"/>
    <x v="2"/>
    <x v="9"/>
    <s v="Panasonic Kx-TS550"/>
    <n v="147.16999999999999"/>
    <n v="4"/>
    <n v="16.559999999999999"/>
  </r>
  <r>
    <d v="2014-10-29T00:00:00"/>
    <x v="9"/>
    <x v="0"/>
    <x v="296"/>
    <x v="3"/>
    <x v="1"/>
    <x v="3"/>
    <s v="Eldon Image Series Desk Accessories, Burgundy"/>
    <n v="8.36"/>
    <n v="2"/>
    <n v="3.01"/>
  </r>
  <r>
    <d v="2015-10-29T00:00:00"/>
    <x v="9"/>
    <x v="1"/>
    <x v="477"/>
    <x v="21"/>
    <x v="0"/>
    <x v="2"/>
    <s v="Fluorescent Highlighters by Dixon"/>
    <n v="15.92"/>
    <n v="5"/>
    <n v="2.79"/>
  </r>
  <r>
    <d v="2017-10-29T00:00:00"/>
    <x v="9"/>
    <x v="3"/>
    <x v="478"/>
    <x v="0"/>
    <x v="0"/>
    <x v="0"/>
    <s v="Xerox 1897"/>
    <n v="31.87"/>
    <n v="8"/>
    <n v="11.55"/>
  </r>
  <r>
    <d v="2014-11-29T00:00:00"/>
    <x v="10"/>
    <x v="0"/>
    <x v="479"/>
    <x v="3"/>
    <x v="0"/>
    <x v="0"/>
    <s v="Ampad Gold Fibre Wirebound Steno Books, 6&quot; x 9&quot;, Gregg Ruled"/>
    <n v="8.82"/>
    <n v="2"/>
    <n v="4.0599999999999996"/>
  </r>
  <r>
    <d v="2015-11-29T00:00:00"/>
    <x v="10"/>
    <x v="1"/>
    <x v="7"/>
    <x v="13"/>
    <x v="1"/>
    <x v="12"/>
    <s v="Hon Valutask Swivel Chairs"/>
    <n v="272.64999999999998"/>
    <n v="3"/>
    <n v="18.18"/>
  </r>
  <r>
    <d v="2016-11-29T00:00:00"/>
    <x v="10"/>
    <x v="2"/>
    <x v="153"/>
    <x v="22"/>
    <x v="0"/>
    <x v="8"/>
    <s v="Avery Durable Binders"/>
    <n v="20.16"/>
    <n v="7"/>
    <n v="9.8800000000000008"/>
  </r>
  <r>
    <d v="2017-11-29T00:00:00"/>
    <x v="10"/>
    <x v="3"/>
    <x v="480"/>
    <x v="11"/>
    <x v="1"/>
    <x v="12"/>
    <s v="Office Star - Contemporary Task Swivel chair with Loop Arms, Charcoal"/>
    <n v="419.14"/>
    <n v="4"/>
    <n v="-57.63"/>
  </r>
  <r>
    <d v="2014-12-29T00:00:00"/>
    <x v="11"/>
    <x v="0"/>
    <x v="481"/>
    <x v="0"/>
    <x v="0"/>
    <x v="2"/>
    <s v="Design Ebony Sketching Pencil"/>
    <n v="6.67"/>
    <n v="6"/>
    <n v="0.5"/>
  </r>
  <r>
    <d v="2015-12-29T00:00:00"/>
    <x v="11"/>
    <x v="1"/>
    <x v="482"/>
    <x v="22"/>
    <x v="0"/>
    <x v="8"/>
    <s v="GBC DocuBind TL300 Electric Binding System"/>
    <n v="1793.98"/>
    <n v="2"/>
    <n v="843.17"/>
  </r>
  <r>
    <d v="2016-12-29T00:00:00"/>
    <x v="11"/>
    <x v="2"/>
    <x v="141"/>
    <x v="43"/>
    <x v="1"/>
    <x v="3"/>
    <s v="36X48 HARDFLOOR CHAIRMAT"/>
    <n v="41.96"/>
    <n v="2"/>
    <n v="2.94"/>
  </r>
  <r>
    <d v="2014-01-30T00:00:00"/>
    <x v="0"/>
    <x v="0"/>
    <x v="8"/>
    <x v="3"/>
    <x v="2"/>
    <x v="9"/>
    <s v="Digium D40 VoIP phone"/>
    <n v="103.19"/>
    <n v="1"/>
    <n v="11.61"/>
  </r>
  <r>
    <d v="2015-01-30T00:00:00"/>
    <x v="0"/>
    <x v="1"/>
    <x v="483"/>
    <x v="21"/>
    <x v="0"/>
    <x v="0"/>
    <s v="Avoid Verbal Orders Carbonless Minifold Book"/>
    <n v="10.82"/>
    <n v="4"/>
    <n v="3.52"/>
  </r>
  <r>
    <d v="2017-01-30T00:00:00"/>
    <x v="0"/>
    <x v="3"/>
    <x v="484"/>
    <x v="1"/>
    <x v="1"/>
    <x v="12"/>
    <s v="Hon Comfortask Task/Swivel Chairs"/>
    <n v="239.36"/>
    <n v="3"/>
    <n v="-47.87"/>
  </r>
  <r>
    <d v="2014-03-30T00:00:00"/>
    <x v="2"/>
    <x v="0"/>
    <x v="347"/>
    <x v="1"/>
    <x v="1"/>
    <x v="12"/>
    <s v="Global Stack Chair without Arms, Black"/>
    <n v="254.6"/>
    <n v="14"/>
    <n v="-18.190000000000001"/>
  </r>
  <r>
    <d v="2017-03-30T00:00:00"/>
    <x v="2"/>
    <x v="3"/>
    <x v="485"/>
    <x v="3"/>
    <x v="0"/>
    <x v="2"/>
    <s v="Panasonic KP-310 Heavy-Duty Electric Pencil Sharpener"/>
    <n v="87.92"/>
    <n v="4"/>
    <n v="26.38"/>
  </r>
  <r>
    <d v="2014-04-30T00:00:00"/>
    <x v="3"/>
    <x v="0"/>
    <x v="486"/>
    <x v="44"/>
    <x v="0"/>
    <x v="10"/>
    <s v="2300 Heavy-Duty Transfer File Systems by Perma"/>
    <n v="49.96"/>
    <n v="2"/>
    <n v="9.49"/>
  </r>
  <r>
    <d v="2015-04-30T00:00:00"/>
    <x v="3"/>
    <x v="1"/>
    <x v="487"/>
    <x v="11"/>
    <x v="1"/>
    <x v="12"/>
    <s v="Global Commerce Series High-Back Swivel/Tilt Chairs"/>
    <n v="683.95"/>
    <n v="3"/>
    <n v="42.75"/>
  </r>
  <r>
    <d v="2014-05-30T00:00:00"/>
    <x v="4"/>
    <x v="0"/>
    <x v="488"/>
    <x v="13"/>
    <x v="2"/>
    <x v="15"/>
    <s v="Canon imageCLASS 2200 Advanced Copier"/>
    <n v="11199.97"/>
    <n v="4"/>
    <n v="3919.99"/>
  </r>
  <r>
    <d v="2015-05-30T00:00:00"/>
    <x v="4"/>
    <x v="1"/>
    <x v="214"/>
    <x v="0"/>
    <x v="1"/>
    <x v="14"/>
    <s v="Hon 2111 Invitation Series Straight Table"/>
    <n v="517.41"/>
    <n v="5"/>
    <n v="-81.31"/>
  </r>
  <r>
    <d v="2014-06-30T00:00:00"/>
    <x v="5"/>
    <x v="0"/>
    <x v="83"/>
    <x v="22"/>
    <x v="2"/>
    <x v="6"/>
    <s v="Logitech LS21 Speaker System - PC Multimedia - 2.1-CH - Wired"/>
    <n v="19.989999999999998"/>
    <n v="1"/>
    <n v="6.8"/>
  </r>
  <r>
    <d v="2016-06-30T00:00:00"/>
    <x v="5"/>
    <x v="2"/>
    <x v="327"/>
    <x v="13"/>
    <x v="0"/>
    <x v="0"/>
    <s v="Things To Do Today Pad"/>
    <n v="46.96"/>
    <n v="8"/>
    <n v="22.54"/>
  </r>
  <r>
    <d v="2017-06-30T00:00:00"/>
    <x v="5"/>
    <x v="3"/>
    <x v="489"/>
    <x v="21"/>
    <x v="2"/>
    <x v="13"/>
    <s v="Cubify CubeX 3D Printer Triple Head Print"/>
    <n v="7999.98"/>
    <n v="4"/>
    <n v="-3839.99"/>
  </r>
  <r>
    <d v="2014-07-30T00:00:00"/>
    <x v="6"/>
    <x v="0"/>
    <x v="149"/>
    <x v="9"/>
    <x v="0"/>
    <x v="8"/>
    <s v="Avery Durable Slant Ring Binders, No Labels"/>
    <n v="2.39"/>
    <n v="2"/>
    <n v="-1.83"/>
  </r>
  <r>
    <d v="2014-08-30T00:00:00"/>
    <x v="7"/>
    <x v="0"/>
    <x v="490"/>
    <x v="8"/>
    <x v="0"/>
    <x v="8"/>
    <s v="Flexible Leather- Look Classic Collection Ring Binder"/>
    <n v="5.68"/>
    <n v="1"/>
    <n v="-3.79"/>
  </r>
  <r>
    <d v="2016-08-30T00:00:00"/>
    <x v="7"/>
    <x v="2"/>
    <x v="414"/>
    <x v="13"/>
    <x v="1"/>
    <x v="3"/>
    <s v="9-3/4 Diameter Round Wall Clock"/>
    <n v="96.53"/>
    <n v="7"/>
    <n v="40.54"/>
  </r>
  <r>
    <d v="2014-09-30T00:00:00"/>
    <x v="8"/>
    <x v="0"/>
    <x v="308"/>
    <x v="0"/>
    <x v="0"/>
    <x v="1"/>
    <s v="Permanent Self-Adhesive File Folder Labels for Typewriters by Universal"/>
    <n v="10.44"/>
    <n v="5"/>
    <n v="3.39"/>
  </r>
  <r>
    <d v="2015-10-30T00:00:00"/>
    <x v="9"/>
    <x v="1"/>
    <x v="491"/>
    <x v="11"/>
    <x v="1"/>
    <x v="3"/>
    <s v="Howard Miller 13-1/2&quot; Diameter Rosebrook Wall Clock"/>
    <n v="220.06"/>
    <n v="4"/>
    <n v="55.02"/>
  </r>
  <r>
    <d v="2014-11-30T00:00:00"/>
    <x v="10"/>
    <x v="0"/>
    <x v="312"/>
    <x v="4"/>
    <x v="0"/>
    <x v="7"/>
    <s v="Bionaire 99.97% HEPA Air Cleaner"/>
    <n v="35.04"/>
    <n v="2"/>
    <n v="12.26"/>
  </r>
  <r>
    <d v="2015-11-30T00:00:00"/>
    <x v="10"/>
    <x v="1"/>
    <x v="492"/>
    <x v="1"/>
    <x v="1"/>
    <x v="14"/>
    <s v="BPI Conference Tables"/>
    <n v="219.08"/>
    <n v="3"/>
    <n v="-131.44999999999999"/>
  </r>
  <r>
    <d v="2016-11-30T00:00:00"/>
    <x v="10"/>
    <x v="2"/>
    <x v="493"/>
    <x v="21"/>
    <x v="2"/>
    <x v="6"/>
    <s v="Memorex Mini Travel Drive 8 GB USB 2.0 Flash Drive"/>
    <n v="74.11"/>
    <n v="8"/>
    <n v="17.600000000000001"/>
  </r>
  <r>
    <d v="2017-11-30T00:00:00"/>
    <x v="10"/>
    <x v="3"/>
    <x v="185"/>
    <x v="34"/>
    <x v="1"/>
    <x v="3"/>
    <s v="Executive Impressions Supervisor Wall Clock"/>
    <n v="126.3"/>
    <n v="3"/>
    <n v="40.42"/>
  </r>
  <r>
    <d v="2014-12-30T00:00:00"/>
    <x v="11"/>
    <x v="0"/>
    <x v="454"/>
    <x v="15"/>
    <x v="1"/>
    <x v="3"/>
    <s v="Howard Miller 13&quot; Diameter Goldtone Round Wall Clock"/>
    <n v="46.94"/>
    <n v="1"/>
    <n v="19.25"/>
  </r>
  <r>
    <d v="2015-12-30T00:00:00"/>
    <x v="11"/>
    <x v="1"/>
    <x v="494"/>
    <x v="37"/>
    <x v="1"/>
    <x v="12"/>
    <s v="Hon Deluxe Fabric Upholstered Stacking Chairs, Rounded Back"/>
    <n v="390.37"/>
    <n v="2"/>
    <n v="48.8"/>
  </r>
  <r>
    <d v="2014-01-31T00:00:00"/>
    <x v="0"/>
    <x v="0"/>
    <x v="78"/>
    <x v="13"/>
    <x v="0"/>
    <x v="8"/>
    <s v="Lock-Up Easel 'Spel-Binder'"/>
    <n v="68.47"/>
    <n v="3"/>
    <n v="23.11"/>
  </r>
  <r>
    <d v="2015-01-31T00:00:00"/>
    <x v="0"/>
    <x v="1"/>
    <x v="231"/>
    <x v="14"/>
    <x v="0"/>
    <x v="10"/>
    <s v="Tennsco Lockers, Gray"/>
    <n v="83.92"/>
    <n v="4"/>
    <n v="5.87"/>
  </r>
  <r>
    <d v="2016-01-31T00:00:00"/>
    <x v="0"/>
    <x v="2"/>
    <x v="129"/>
    <x v="3"/>
    <x v="0"/>
    <x v="10"/>
    <s v="Fellowes Mobile File Cart, Black"/>
    <n v="559.62"/>
    <n v="9"/>
    <n v="151.1"/>
  </r>
  <r>
    <d v="2014-03-31T00:00:00"/>
    <x v="2"/>
    <x v="0"/>
    <x v="440"/>
    <x v="3"/>
    <x v="2"/>
    <x v="9"/>
    <s v="Cisco SPA301"/>
    <n v="374.38"/>
    <n v="3"/>
    <n v="46.8"/>
  </r>
  <r>
    <d v="2015-03-31T00:00:00"/>
    <x v="2"/>
    <x v="1"/>
    <x v="224"/>
    <x v="0"/>
    <x v="0"/>
    <x v="8"/>
    <s v="Economy Binders"/>
    <n v="1.25"/>
    <n v="3"/>
    <n v="-1.93"/>
  </r>
  <r>
    <d v="2016-03-31T00:00:00"/>
    <x v="2"/>
    <x v="2"/>
    <x v="416"/>
    <x v="3"/>
    <x v="0"/>
    <x v="8"/>
    <s v="Avery Hole Reinforcements"/>
    <n v="19.940000000000001"/>
    <n v="4"/>
    <n v="7.23"/>
  </r>
  <r>
    <d v="2017-03-31T00:00:00"/>
    <x v="2"/>
    <x v="3"/>
    <x v="20"/>
    <x v="13"/>
    <x v="0"/>
    <x v="8"/>
    <s v="Angle-D Binders with Locking Rings, Label Holders"/>
    <n v="23.36"/>
    <n v="4"/>
    <n v="7.88"/>
  </r>
  <r>
    <d v="2014-05-31T00:00:00"/>
    <x v="4"/>
    <x v="0"/>
    <x v="495"/>
    <x v="3"/>
    <x v="1"/>
    <x v="3"/>
    <s v="Eldon 400 Class Desk Accessories, Black Carbon"/>
    <n v="26.25"/>
    <n v="3"/>
    <n v="11.03"/>
  </r>
  <r>
    <d v="2015-05-31T00:00:00"/>
    <x v="4"/>
    <x v="1"/>
    <x v="366"/>
    <x v="16"/>
    <x v="1"/>
    <x v="3"/>
    <s v="Master Giant Foot Doorstop, Safety Yellow"/>
    <n v="22.77"/>
    <n v="3"/>
    <n v="9.7899999999999991"/>
  </r>
  <r>
    <d v="2016-05-31T00:00:00"/>
    <x v="4"/>
    <x v="2"/>
    <x v="338"/>
    <x v="0"/>
    <x v="0"/>
    <x v="7"/>
    <s v="Eureka Sanitaire  Commercial Upright"/>
    <n v="66.28"/>
    <n v="2"/>
    <n v="-178.97"/>
  </r>
  <r>
    <d v="2015-07-31T00:00:00"/>
    <x v="6"/>
    <x v="1"/>
    <x v="496"/>
    <x v="3"/>
    <x v="0"/>
    <x v="8"/>
    <s v="Deluxe Heavy-Duty Vinyl Round Ring Binder"/>
    <n v="36.67"/>
    <n v="2"/>
    <n v="11.46"/>
  </r>
  <r>
    <d v="2016-07-31T00:00:00"/>
    <x v="6"/>
    <x v="2"/>
    <x v="497"/>
    <x v="34"/>
    <x v="0"/>
    <x v="7"/>
    <s v="Sanyo 2.5 Cubic Foot Mid-Size Office Refrigerators"/>
    <n v="839.43"/>
    <n v="3"/>
    <n v="218.25"/>
  </r>
  <r>
    <d v="2014-08-31T00:00:00"/>
    <x v="7"/>
    <x v="0"/>
    <x v="433"/>
    <x v="3"/>
    <x v="0"/>
    <x v="2"/>
    <s v="Binney &amp; Smith Crayola Metallic Crayons, 16-Color Pack"/>
    <n v="13.48"/>
    <n v="4"/>
    <n v="5.93"/>
  </r>
  <r>
    <d v="2016-10-31T00:00:00"/>
    <x v="9"/>
    <x v="2"/>
    <x v="200"/>
    <x v="13"/>
    <x v="0"/>
    <x v="7"/>
    <s v="Staple holder"/>
    <n v="35.909999999999997"/>
    <n v="3"/>
    <n v="9.6999999999999993"/>
  </r>
  <r>
    <d v="2014-12-31T00:00:00"/>
    <x v="11"/>
    <x v="0"/>
    <x v="214"/>
    <x v="23"/>
    <x v="0"/>
    <x v="0"/>
    <s v="Recycled Desk Saver Line &quot;While You Were Out&quot; Book, 5 1/2&quot; X 4&quot;"/>
    <n v="44.75"/>
    <n v="5"/>
    <n v="20.59"/>
  </r>
  <r>
    <d v="2015-12-31T00:00:00"/>
    <x v="11"/>
    <x v="1"/>
    <x v="335"/>
    <x v="19"/>
    <x v="2"/>
    <x v="9"/>
    <s v="AT&amp;T 1080 Corded phone"/>
    <n v="164.39"/>
    <n v="2"/>
    <n v="-35.619999999999997"/>
  </r>
  <r>
    <d v="2016-12-31T00:00:00"/>
    <x v="11"/>
    <x v="2"/>
    <x v="403"/>
    <x v="3"/>
    <x v="0"/>
    <x v="10"/>
    <s v="Adjustable Depth Letter/Legal Cart"/>
    <n v="725.84"/>
    <n v="4"/>
    <n v="210.4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E17C57-664B-485E-A5A1-8E2ADE2FA9A0}" name="PivotTable6"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20" firstHeaderRow="1" firstDataRow="1" firstDataCol="1"/>
  <pivotFields count="11">
    <pivotField numFmtId="164" showAll="0"/>
    <pivotField showAll="0"/>
    <pivotField showAll="0">
      <items count="5">
        <item h="1" x="0"/>
        <item x="1"/>
        <item h="1" x="2"/>
        <item h="1" x="3"/>
        <item t="default"/>
      </items>
    </pivotField>
    <pivotField showAll="0"/>
    <pivotField showAll="0"/>
    <pivotField showAll="0"/>
    <pivotField axis="axisRow" showAll="0" sortType="descending">
      <items count="18">
        <item x="6"/>
        <item x="7"/>
        <item x="2"/>
        <item x="8"/>
        <item x="5"/>
        <item x="12"/>
        <item x="15"/>
        <item x="4"/>
        <item x="11"/>
        <item x="3"/>
        <item x="1"/>
        <item x="13"/>
        <item x="0"/>
        <item x="9"/>
        <item x="10"/>
        <item x="16"/>
        <item x="1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s>
  <rowFields count="1">
    <field x="6"/>
  </rowFields>
  <rowItems count="17">
    <i>
      <x v="16"/>
    </i>
    <i>
      <x v="5"/>
    </i>
    <i>
      <x v="13"/>
    </i>
    <i>
      <x v="3"/>
    </i>
    <i>
      <x v="6"/>
    </i>
    <i>
      <x v="1"/>
    </i>
    <i>
      <x v="9"/>
    </i>
    <i>
      <x v="4"/>
    </i>
    <i>
      <x/>
    </i>
    <i>
      <x v="12"/>
    </i>
    <i>
      <x v="14"/>
    </i>
    <i>
      <x v="2"/>
    </i>
    <i>
      <x v="10"/>
    </i>
    <i>
      <x v="7"/>
    </i>
    <i>
      <x v="11"/>
    </i>
    <i>
      <x v="8"/>
    </i>
    <i t="grand">
      <x/>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1AD0BF-E3B4-4422-A0BB-A4FA62A10EAE}" name="PivotTable10"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E6" firstHeaderRow="1" firstDataRow="2" firstDataCol="1"/>
  <pivotFields count="11">
    <pivotField numFmtId="164" showAll="0"/>
    <pivotField showAll="0"/>
    <pivotField axis="axisRow" showAll="0">
      <items count="5">
        <item h="1" x="0"/>
        <item x="1"/>
        <item h="1" x="2"/>
        <item h="1" x="3"/>
        <item t="default"/>
      </items>
    </pivotField>
    <pivotField showAll="0"/>
    <pivotField showAll="0"/>
    <pivotField axis="axisCol" showAll="0">
      <items count="4">
        <item x="1"/>
        <item x="0"/>
        <item x="2"/>
        <item t="default"/>
      </items>
    </pivotField>
    <pivotField showAll="0"/>
    <pivotField showAll="0"/>
    <pivotField showAll="0"/>
    <pivotField showAll="0"/>
    <pivotField dataField="1" showAll="0"/>
  </pivotFields>
  <rowFields count="1">
    <field x="2"/>
  </rowFields>
  <rowItems count="2">
    <i>
      <x v="1"/>
    </i>
    <i t="grand">
      <x/>
    </i>
  </rowItems>
  <colFields count="1">
    <field x="5"/>
  </colFields>
  <colItems count="4">
    <i>
      <x/>
    </i>
    <i>
      <x v="1"/>
    </i>
    <i>
      <x v="2"/>
    </i>
    <i t="grand">
      <x/>
    </i>
  </colItems>
  <dataFields count="1">
    <dataField name="Sum of Profit" fld="10" baseField="0" baseItem="0"/>
  </dataFields>
  <chartFormats count="6">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3" format="6" series="1">
      <pivotArea type="data" outline="0" fieldPosition="0">
        <references count="2">
          <reference field="4294967294" count="1" selected="0">
            <x v="0"/>
          </reference>
          <reference field="5" count="1" selected="0">
            <x v="0"/>
          </reference>
        </references>
      </pivotArea>
    </chartFormat>
    <chartFormat chart="3" format="7" series="1">
      <pivotArea type="data" outline="0" fieldPosition="0">
        <references count="2">
          <reference field="4294967294" count="1" selected="0">
            <x v="0"/>
          </reference>
          <reference field="5" count="1" selected="0">
            <x v="1"/>
          </reference>
        </references>
      </pivotArea>
    </chartFormat>
    <chartFormat chart="3" format="8"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46A9F3-D298-4673-A949-53F817ECE354}" name="PivotTable1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B16" firstHeaderRow="1" firstDataRow="1" firstDataCol="1"/>
  <pivotFields count="11">
    <pivotField numFmtId="164" showAll="0"/>
    <pivotField axis="axisRow" showAll="0">
      <items count="13">
        <item x="0"/>
        <item x="1"/>
        <item x="2"/>
        <item x="3"/>
        <item x="4"/>
        <item x="5"/>
        <item x="6"/>
        <item x="7"/>
        <item x="8"/>
        <item x="9"/>
        <item x="10"/>
        <item x="11"/>
        <item t="default"/>
      </items>
    </pivotField>
    <pivotField showAll="0">
      <items count="5">
        <item h="1" x="0"/>
        <item x="1"/>
        <item h="1" x="2"/>
        <item h="1" x="3"/>
        <item t="default"/>
      </items>
    </pivotField>
    <pivotField showAll="0"/>
    <pivotField showAll="0"/>
    <pivotField showAll="0"/>
    <pivotField showAll="0"/>
    <pivotField showAll="0"/>
    <pivotField dataField="1" showAll="0"/>
    <pivotField showAll="0"/>
    <pivotField showAll="0"/>
  </pivotFields>
  <rowFields count="1">
    <field x="1"/>
  </rowFields>
  <rowItems count="13">
    <i>
      <x/>
    </i>
    <i>
      <x v="1"/>
    </i>
    <i>
      <x v="2"/>
    </i>
    <i>
      <x v="3"/>
    </i>
    <i>
      <x v="4"/>
    </i>
    <i>
      <x v="5"/>
    </i>
    <i>
      <x v="6"/>
    </i>
    <i>
      <x v="7"/>
    </i>
    <i>
      <x v="8"/>
    </i>
    <i>
      <x v="9"/>
    </i>
    <i>
      <x v="10"/>
    </i>
    <i>
      <x v="11"/>
    </i>
    <i t="grand">
      <x/>
    </i>
  </rowItems>
  <colItems count="1">
    <i/>
  </colItems>
  <dataFields count="1">
    <dataField name="Sum of Sales" fld="8"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BF5C26-E6D5-47BF-8B5B-6CB9745904C9}" name="PivotTable1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9" firstHeaderRow="1" firstDataRow="1" firstDataCol="1"/>
  <pivotFields count="11">
    <pivotField numFmtId="164" showAll="0"/>
    <pivotField showAll="0"/>
    <pivotField showAll="0">
      <items count="5">
        <item h="1" x="0"/>
        <item x="1"/>
        <item h="1" x="2"/>
        <item h="1" x="3"/>
        <item t="default"/>
      </items>
    </pivotField>
    <pivotField axis="axisRow" showAll="0" measureFilter="1" sortType="descending">
      <items count="499">
        <item x="40"/>
        <item x="189"/>
        <item x="371"/>
        <item x="413"/>
        <item x="357"/>
        <item x="130"/>
        <item x="39"/>
        <item x="258"/>
        <item x="283"/>
        <item x="439"/>
        <item x="358"/>
        <item x="186"/>
        <item x="43"/>
        <item x="84"/>
        <item x="71"/>
        <item x="57"/>
        <item x="405"/>
        <item x="234"/>
        <item x="161"/>
        <item x="467"/>
        <item x="126"/>
        <item x="482"/>
        <item x="329"/>
        <item x="74"/>
        <item x="146"/>
        <item x="190"/>
        <item x="240"/>
        <item x="400"/>
        <item x="269"/>
        <item x="273"/>
        <item x="157"/>
        <item x="52"/>
        <item x="168"/>
        <item x="6"/>
        <item x="85"/>
        <item x="82"/>
        <item x="135"/>
        <item x="175"/>
        <item x="128"/>
        <item x="140"/>
        <item x="479"/>
        <item x="30"/>
        <item x="209"/>
        <item x="102"/>
        <item x="252"/>
        <item x="434"/>
        <item x="377"/>
        <item x="416"/>
        <item x="256"/>
        <item x="390"/>
        <item x="396"/>
        <item x="453"/>
        <item x="368"/>
        <item x="383"/>
        <item x="22"/>
        <item x="45"/>
        <item x="478"/>
        <item x="348"/>
        <item x="9"/>
        <item x="281"/>
        <item x="179"/>
        <item x="454"/>
        <item x="113"/>
        <item x="104"/>
        <item x="290"/>
        <item x="87"/>
        <item x="382"/>
        <item x="101"/>
        <item x="457"/>
        <item x="471"/>
        <item x="137"/>
        <item x="229"/>
        <item x="51"/>
        <item x="103"/>
        <item x="79"/>
        <item x="363"/>
        <item x="48"/>
        <item x="452"/>
        <item x="380"/>
        <item x="287"/>
        <item x="212"/>
        <item x="309"/>
        <item x="143"/>
        <item x="314"/>
        <item x="438"/>
        <item x="147"/>
        <item x="322"/>
        <item x="42"/>
        <item x="8"/>
        <item x="315"/>
        <item x="54"/>
        <item x="131"/>
        <item x="98"/>
        <item x="391"/>
        <item x="312"/>
        <item x="249"/>
        <item x="425"/>
        <item x="353"/>
        <item x="352"/>
        <item x="470"/>
        <item x="272"/>
        <item x="427"/>
        <item x="270"/>
        <item x="466"/>
        <item x="38"/>
        <item x="378"/>
        <item x="293"/>
        <item x="210"/>
        <item x="326"/>
        <item x="437"/>
        <item x="49"/>
        <item x="151"/>
        <item x="26"/>
        <item x="117"/>
        <item x="23"/>
        <item x="446"/>
        <item x="235"/>
        <item x="468"/>
        <item x="118"/>
        <item x="335"/>
        <item x="491"/>
        <item x="341"/>
        <item x="0"/>
        <item x="444"/>
        <item x="37"/>
        <item x="243"/>
        <item x="307"/>
        <item x="178"/>
        <item x="302"/>
        <item x="12"/>
        <item x="254"/>
        <item x="339"/>
        <item x="351"/>
        <item x="152"/>
        <item x="24"/>
        <item x="223"/>
        <item x="11"/>
        <item x="381"/>
        <item x="255"/>
        <item x="320"/>
        <item x="334"/>
        <item x="70"/>
        <item x="465"/>
        <item x="349"/>
        <item x="404"/>
        <item x="408"/>
        <item x="120"/>
        <item x="310"/>
        <item x="108"/>
        <item x="319"/>
        <item x="18"/>
        <item x="246"/>
        <item x="278"/>
        <item x="280"/>
        <item x="230"/>
        <item x="96"/>
        <item x="197"/>
        <item x="124"/>
        <item x="385"/>
        <item x="121"/>
        <item x="10"/>
        <item x="165"/>
        <item x="134"/>
        <item x="177"/>
        <item x="418"/>
        <item x="245"/>
        <item x="483"/>
        <item x="91"/>
        <item x="460"/>
        <item x="485"/>
        <item x="429"/>
        <item x="440"/>
        <item x="475"/>
        <item x="464"/>
        <item x="219"/>
        <item x="373"/>
        <item x="433"/>
        <item x="435"/>
        <item x="195"/>
        <item x="327"/>
        <item x="174"/>
        <item x="138"/>
        <item x="127"/>
        <item x="489"/>
        <item x="262"/>
        <item x="332"/>
        <item x="419"/>
        <item x="441"/>
        <item x="61"/>
        <item x="78"/>
        <item x="250"/>
        <item x="421"/>
        <item x="431"/>
        <item x="105"/>
        <item x="119"/>
        <item x="409"/>
        <item x="411"/>
        <item x="365"/>
        <item x="354"/>
        <item x="417"/>
        <item x="156"/>
        <item x="14"/>
        <item x="16"/>
        <item x="291"/>
        <item x="170"/>
        <item x="350"/>
        <item x="202"/>
        <item x="93"/>
        <item x="493"/>
        <item x="436"/>
        <item x="325"/>
        <item x="19"/>
        <item x="399"/>
        <item x="64"/>
        <item x="166"/>
        <item x="282"/>
        <item x="187"/>
        <item x="211"/>
        <item x="232"/>
        <item x="296"/>
        <item x="251"/>
        <item x="182"/>
        <item x="410"/>
        <item x="266"/>
        <item x="184"/>
        <item x="97"/>
        <item x="267"/>
        <item x="63"/>
        <item x="112"/>
        <item x="321"/>
        <item x="398"/>
        <item x="88"/>
        <item x="67"/>
        <item x="244"/>
        <item x="305"/>
        <item x="344"/>
        <item x="53"/>
        <item x="492"/>
        <item x="345"/>
        <item x="75"/>
        <item x="231"/>
        <item x="36"/>
        <item x="362"/>
        <item x="171"/>
        <item x="253"/>
        <item x="265"/>
        <item x="311"/>
        <item x="445"/>
        <item x="346"/>
        <item x="276"/>
        <item x="160"/>
        <item x="376"/>
        <item x="292"/>
        <item x="328"/>
        <item x="392"/>
        <item x="451"/>
        <item x="248"/>
        <item x="233"/>
        <item x="206"/>
        <item x="217"/>
        <item x="456"/>
        <item x="132"/>
        <item x="122"/>
        <item x="65"/>
        <item x="369"/>
        <item x="80"/>
        <item x="343"/>
        <item x="148"/>
        <item x="415"/>
        <item x="107"/>
        <item x="150"/>
        <item x="224"/>
        <item x="481"/>
        <item x="136"/>
        <item x="220"/>
        <item x="462"/>
        <item x="403"/>
        <item x="44"/>
        <item x="56"/>
        <item x="159"/>
        <item x="288"/>
        <item x="386"/>
        <item x="73"/>
        <item x="330"/>
        <item x="397"/>
        <item x="145"/>
        <item x="33"/>
        <item x="422"/>
        <item x="242"/>
        <item x="463"/>
        <item x="388"/>
        <item x="236"/>
        <item x="21"/>
        <item x="116"/>
        <item x="114"/>
        <item x="448"/>
        <item x="323"/>
        <item x="164"/>
        <item x="338"/>
        <item x="284"/>
        <item x="213"/>
        <item x="430"/>
        <item x="458"/>
        <item x="3"/>
        <item x="185"/>
        <item x="247"/>
        <item x="372"/>
        <item x="163"/>
        <item x="324"/>
        <item x="201"/>
        <item x="472"/>
        <item x="100"/>
        <item x="257"/>
        <item x="395"/>
        <item x="47"/>
        <item x="474"/>
        <item x="359"/>
        <item x="407"/>
        <item x="188"/>
        <item x="428"/>
        <item x="271"/>
        <item x="426"/>
        <item x="406"/>
        <item x="194"/>
        <item x="94"/>
        <item x="5"/>
        <item x="123"/>
        <item x="35"/>
        <item x="361"/>
        <item x="496"/>
        <item x="31"/>
        <item x="261"/>
        <item x="237"/>
        <item x="133"/>
        <item x="125"/>
        <item x="172"/>
        <item x="2"/>
        <item x="109"/>
        <item x="450"/>
        <item x="55"/>
        <item x="218"/>
        <item x="495"/>
        <item x="20"/>
        <item x="90"/>
        <item x="167"/>
        <item x="72"/>
        <item x="111"/>
        <item x="461"/>
        <item x="476"/>
        <item x="294"/>
        <item x="420"/>
        <item x="208"/>
        <item x="27"/>
        <item x="25"/>
        <item x="277"/>
        <item x="313"/>
        <item x="432"/>
        <item x="141"/>
        <item x="68"/>
        <item x="447"/>
        <item x="268"/>
        <item x="115"/>
        <item x="238"/>
        <item x="216"/>
        <item x="303"/>
        <item x="394"/>
        <item x="225"/>
        <item x="414"/>
        <item x="487"/>
        <item x="424"/>
        <item x="81"/>
        <item x="95"/>
        <item x="214"/>
        <item x="50"/>
        <item x="83"/>
        <item x="59"/>
        <item x="366"/>
        <item x="76"/>
        <item x="66"/>
        <item x="360"/>
        <item x="300"/>
        <item x="62"/>
        <item x="241"/>
        <item x="86"/>
        <item x="199"/>
        <item x="77"/>
        <item x="228"/>
        <item x="169"/>
        <item x="331"/>
        <item x="1"/>
        <item x="204"/>
        <item x="298"/>
        <item x="89"/>
        <item x="473"/>
        <item x="92"/>
        <item x="442"/>
        <item x="289"/>
        <item x="387"/>
        <item x="286"/>
        <item x="153"/>
        <item x="203"/>
        <item x="340"/>
        <item x="58"/>
        <item x="389"/>
        <item x="154"/>
        <item x="263"/>
        <item x="205"/>
        <item x="443"/>
        <item x="490"/>
        <item x="193"/>
        <item x="144"/>
        <item x="449"/>
        <item x="367"/>
        <item x="299"/>
        <item x="393"/>
        <item x="200"/>
        <item x="239"/>
        <item x="207"/>
        <item x="198"/>
        <item x="176"/>
        <item x="459"/>
        <item x="110"/>
        <item x="356"/>
        <item x="497"/>
        <item x="28"/>
        <item x="480"/>
        <item x="486"/>
        <item x="259"/>
        <item x="275"/>
        <item x="221"/>
        <item x="402"/>
        <item x="484"/>
        <item x="260"/>
        <item x="41"/>
        <item x="162"/>
        <item x="46"/>
        <item x="7"/>
        <item x="106"/>
        <item x="306"/>
        <item x="274"/>
        <item x="17"/>
        <item x="158"/>
        <item x="29"/>
        <item x="379"/>
        <item x="384"/>
        <item x="477"/>
        <item x="279"/>
        <item x="412"/>
        <item x="401"/>
        <item x="347"/>
        <item x="99"/>
        <item x="226"/>
        <item x="285"/>
        <item x="318"/>
        <item x="192"/>
        <item x="222"/>
        <item x="336"/>
        <item x="196"/>
        <item x="308"/>
        <item x="34"/>
        <item x="364"/>
        <item x="181"/>
        <item x="494"/>
        <item x="297"/>
        <item x="264"/>
        <item x="69"/>
        <item x="215"/>
        <item x="173"/>
        <item x="301"/>
        <item x="423"/>
        <item x="304"/>
        <item x="370"/>
        <item x="295"/>
        <item x="13"/>
        <item x="355"/>
        <item x="191"/>
        <item x="488"/>
        <item x="15"/>
        <item x="139"/>
        <item x="342"/>
        <item x="455"/>
        <item x="316"/>
        <item x="60"/>
        <item x="32"/>
        <item x="149"/>
        <item x="317"/>
        <item x="142"/>
        <item x="374"/>
        <item x="469"/>
        <item x="333"/>
        <item x="129"/>
        <item x="4"/>
        <item x="337"/>
        <item x="180"/>
        <item x="227"/>
        <item x="375"/>
        <item x="183"/>
        <item x="1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s>
  <rowFields count="1">
    <field x="3"/>
  </rowFields>
  <rowItems count="6">
    <i>
      <x v="8"/>
    </i>
    <i>
      <x v="21"/>
    </i>
    <i>
      <x v="487"/>
    </i>
    <i>
      <x v="486"/>
    </i>
    <i>
      <x v="397"/>
    </i>
    <i t="grand">
      <x/>
    </i>
  </rowItems>
  <colItems count="1">
    <i/>
  </colItems>
  <dataFields count="1">
    <dataField name="Sum of Profit" fld="10" baseField="0" baseItem="0"/>
  </dataFields>
  <chartFormats count="84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3" count="1" selected="0">
            <x v="476"/>
          </reference>
        </references>
      </pivotArea>
    </chartFormat>
    <chartFormat chart="1" format="3">
      <pivotArea type="data" outline="0" fieldPosition="0">
        <references count="2">
          <reference field="4294967294" count="1" selected="0">
            <x v="0"/>
          </reference>
          <reference field="3" count="1" selected="0">
            <x v="8"/>
          </reference>
        </references>
      </pivotArea>
    </chartFormat>
    <chartFormat chart="1" format="4">
      <pivotArea type="data" outline="0" fieldPosition="0">
        <references count="2">
          <reference field="4294967294" count="1" selected="0">
            <x v="0"/>
          </reference>
          <reference field="3" count="1" selected="0">
            <x v="343"/>
          </reference>
        </references>
      </pivotArea>
    </chartFormat>
    <chartFormat chart="1" format="5">
      <pivotArea type="data" outline="0" fieldPosition="0">
        <references count="2">
          <reference field="4294967294" count="1" selected="0">
            <x v="0"/>
          </reference>
          <reference field="3" count="1" selected="0">
            <x v="21"/>
          </reference>
        </references>
      </pivotArea>
    </chartFormat>
    <chartFormat chart="1" format="6">
      <pivotArea type="data" outline="0" fieldPosition="0">
        <references count="2">
          <reference field="4294967294" count="1" selected="0">
            <x v="0"/>
          </reference>
          <reference field="3" count="1" selected="0">
            <x v="280"/>
          </reference>
        </references>
      </pivotArea>
    </chartFormat>
    <chartFormat chart="1" format="7">
      <pivotArea type="data" outline="0" fieldPosition="0">
        <references count="2">
          <reference field="4294967294" count="1" selected="0">
            <x v="0"/>
          </reference>
          <reference field="3" count="1" selected="0">
            <x v="399"/>
          </reference>
        </references>
      </pivotArea>
    </chartFormat>
    <chartFormat chart="1" format="8">
      <pivotArea type="data" outline="0" fieldPosition="0">
        <references count="2">
          <reference field="4294967294" count="1" selected="0">
            <x v="0"/>
          </reference>
          <reference field="3" count="1" selected="0">
            <x v="394"/>
          </reference>
        </references>
      </pivotArea>
    </chartFormat>
    <chartFormat chart="1" format="9">
      <pivotArea type="data" outline="0" fieldPosition="0">
        <references count="2">
          <reference field="4294967294" count="1" selected="0">
            <x v="0"/>
          </reference>
          <reference field="3" count="1" selected="0">
            <x v="180"/>
          </reference>
        </references>
      </pivotArea>
    </chartFormat>
    <chartFormat chart="1" format="10">
      <pivotArea type="data" outline="0" fieldPosition="0">
        <references count="2">
          <reference field="4294967294" count="1" selected="0">
            <x v="0"/>
          </reference>
          <reference field="3" count="1" selected="0">
            <x v="235"/>
          </reference>
        </references>
      </pivotArea>
    </chartFormat>
    <chartFormat chart="1" format="11">
      <pivotArea type="data" outline="0" fieldPosition="0">
        <references count="2">
          <reference field="4294967294" count="1" selected="0">
            <x v="0"/>
          </reference>
          <reference field="3" count="1" selected="0">
            <x v="321"/>
          </reference>
        </references>
      </pivotArea>
    </chartFormat>
    <chartFormat chart="1" format="12">
      <pivotArea type="data" outline="0" fieldPosition="0">
        <references count="2">
          <reference field="4294967294" count="1" selected="0">
            <x v="0"/>
          </reference>
          <reference field="3" count="1" selected="0">
            <x v="139"/>
          </reference>
        </references>
      </pivotArea>
    </chartFormat>
    <chartFormat chart="1" format="13">
      <pivotArea type="data" outline="0" fieldPosition="0">
        <references count="2">
          <reference field="4294967294" count="1" selected="0">
            <x v="0"/>
          </reference>
          <reference field="3" count="1" selected="0">
            <x v="205"/>
          </reference>
        </references>
      </pivotArea>
    </chartFormat>
    <chartFormat chart="1" format="14">
      <pivotArea type="data" outline="0" fieldPosition="0">
        <references count="2">
          <reference field="4294967294" count="1" selected="0">
            <x v="0"/>
          </reference>
          <reference field="3" count="1" selected="0">
            <x v="495"/>
          </reference>
        </references>
      </pivotArea>
    </chartFormat>
    <chartFormat chart="1" format="15">
      <pivotArea type="data" outline="0" fieldPosition="0">
        <references count="2">
          <reference field="4294967294" count="1" selected="0">
            <x v="0"/>
          </reference>
          <reference field="3" count="1" selected="0">
            <x v="359"/>
          </reference>
        </references>
      </pivotArea>
    </chartFormat>
    <chartFormat chart="1" format="16">
      <pivotArea type="data" outline="0" fieldPosition="0">
        <references count="2">
          <reference field="4294967294" count="1" selected="0">
            <x v="0"/>
          </reference>
          <reference field="3" count="1" selected="0">
            <x v="203"/>
          </reference>
        </references>
      </pivotArea>
    </chartFormat>
    <chartFormat chart="1" format="17">
      <pivotArea type="data" outline="0" fieldPosition="0">
        <references count="2">
          <reference field="4294967294" count="1" selected="0">
            <x v="0"/>
          </reference>
          <reference field="3" count="1" selected="0">
            <x v="454"/>
          </reference>
        </references>
      </pivotArea>
    </chartFormat>
    <chartFormat chart="1" format="18">
      <pivotArea type="data" outline="0" fieldPosition="0">
        <references count="2">
          <reference field="4294967294" count="1" selected="0">
            <x v="0"/>
          </reference>
          <reference field="3" count="1" selected="0">
            <x v="487"/>
          </reference>
        </references>
      </pivotArea>
    </chartFormat>
    <chartFormat chart="1" format="19">
      <pivotArea type="data" outline="0" fieldPosition="0">
        <references count="2">
          <reference field="4294967294" count="1" selected="0">
            <x v="0"/>
          </reference>
          <reference field="3" count="1" selected="0">
            <x v="397"/>
          </reference>
        </references>
      </pivotArea>
    </chartFormat>
    <chartFormat chart="1" format="20">
      <pivotArea type="data" outline="0" fieldPosition="0">
        <references count="2">
          <reference field="4294967294" count="1" selected="0">
            <x v="0"/>
          </reference>
          <reference field="3" count="1" selected="0">
            <x v="486"/>
          </reference>
        </references>
      </pivotArea>
    </chartFormat>
    <chartFormat chart="1" format="21">
      <pivotArea type="data" outline="0" fieldPosition="0">
        <references count="2">
          <reference field="4294967294" count="1" selected="0">
            <x v="0"/>
          </reference>
          <reference field="3" count="1" selected="0">
            <x v="403"/>
          </reference>
        </references>
      </pivotArea>
    </chartFormat>
    <chartFormat chart="1" format="22">
      <pivotArea type="data" outline="0" fieldPosition="0">
        <references count="2">
          <reference field="4294967294" count="1" selected="0">
            <x v="0"/>
          </reference>
          <reference field="3" count="1" selected="0">
            <x v="156"/>
          </reference>
        </references>
      </pivotArea>
    </chartFormat>
    <chartFormat chart="1" format="23">
      <pivotArea type="data" outline="0" fieldPosition="0">
        <references count="2">
          <reference field="4294967294" count="1" selected="0">
            <x v="0"/>
          </reference>
          <reference field="3" count="1" selected="0">
            <x v="54"/>
          </reference>
        </references>
      </pivotArea>
    </chartFormat>
    <chartFormat chart="1" format="24">
      <pivotArea type="data" outline="0" fieldPosition="0">
        <references count="2">
          <reference field="4294967294" count="1" selected="0">
            <x v="0"/>
          </reference>
          <reference field="3" count="1" selected="0">
            <x v="182"/>
          </reference>
        </references>
      </pivotArea>
    </chartFormat>
    <chartFormat chart="1" format="25">
      <pivotArea type="data" outline="0" fieldPosition="0">
        <references count="2">
          <reference field="4294967294" count="1" selected="0">
            <x v="0"/>
          </reference>
          <reference field="3" count="1" selected="0">
            <x v="478"/>
          </reference>
        </references>
      </pivotArea>
    </chartFormat>
    <chartFormat chart="1" format="26">
      <pivotArea type="data" outline="0" fieldPosition="0">
        <references count="2">
          <reference field="4294967294" count="1" selected="0">
            <x v="0"/>
          </reference>
          <reference field="3" count="1" selected="0">
            <x v="449"/>
          </reference>
        </references>
      </pivotArea>
    </chartFormat>
    <chartFormat chart="1" format="27">
      <pivotArea type="data" outline="0" fieldPosition="0">
        <references count="2">
          <reference field="4294967294" count="1" selected="0">
            <x v="0"/>
          </reference>
          <reference field="3" count="1" selected="0">
            <x v="15"/>
          </reference>
        </references>
      </pivotArea>
    </chartFormat>
    <chartFormat chart="1" format="28">
      <pivotArea type="data" outline="0" fieldPosition="0">
        <references count="2">
          <reference field="4294967294" count="1" selected="0">
            <x v="0"/>
          </reference>
          <reference field="3" count="1" selected="0">
            <x v="193"/>
          </reference>
        </references>
      </pivotArea>
    </chartFormat>
    <chartFormat chart="1" format="29">
      <pivotArea type="data" outline="0" fieldPosition="0">
        <references count="2">
          <reference field="4294967294" count="1" selected="0">
            <x v="0"/>
          </reference>
          <reference field="3" count="1" selected="0">
            <x v="372"/>
          </reference>
        </references>
      </pivotArea>
    </chartFormat>
    <chartFormat chart="1" format="30">
      <pivotArea type="data" outline="0" fieldPosition="0">
        <references count="2">
          <reference field="4294967294" count="1" selected="0">
            <x v="0"/>
          </reference>
          <reference field="3" count="1" selected="0">
            <x v="471"/>
          </reference>
        </references>
      </pivotArea>
    </chartFormat>
    <chartFormat chart="1" format="31">
      <pivotArea type="data" outline="0" fieldPosition="0">
        <references count="2">
          <reference field="4294967294" count="1" selected="0">
            <x v="0"/>
          </reference>
          <reference field="3" count="1" selected="0">
            <x v="265"/>
          </reference>
        </references>
      </pivotArea>
    </chartFormat>
    <chartFormat chart="1" format="32">
      <pivotArea type="data" outline="0" fieldPosition="0">
        <references count="2">
          <reference field="4294967294" count="1" selected="0">
            <x v="0"/>
          </reference>
          <reference field="3" count="1" selected="0">
            <x v="366"/>
          </reference>
        </references>
      </pivotArea>
    </chartFormat>
    <chartFormat chart="1" format="33">
      <pivotArea type="data" outline="0" fieldPosition="0">
        <references count="2">
          <reference field="4294967294" count="1" selected="0">
            <x v="0"/>
          </reference>
          <reference field="3" count="1" selected="0">
            <x v="63"/>
          </reference>
        </references>
      </pivotArea>
    </chartFormat>
    <chartFormat chart="1" format="34">
      <pivotArea type="data" outline="0" fieldPosition="0">
        <references count="2">
          <reference field="4294967294" count="1" selected="0">
            <x v="0"/>
          </reference>
          <reference field="3" count="1" selected="0">
            <x v="309"/>
          </reference>
        </references>
      </pivotArea>
    </chartFormat>
    <chartFormat chart="1" format="35">
      <pivotArea type="data" outline="0" fieldPosition="0">
        <references count="2">
          <reference field="4294967294" count="1" selected="0">
            <x v="0"/>
          </reference>
          <reference field="3" count="1" selected="0">
            <x v="292"/>
          </reference>
        </references>
      </pivotArea>
    </chartFormat>
    <chartFormat chart="1" format="36">
      <pivotArea type="data" outline="0" fieldPosition="0">
        <references count="2">
          <reference field="4294967294" count="1" selected="0">
            <x v="0"/>
          </reference>
          <reference field="3" count="1" selected="0">
            <x v="326"/>
          </reference>
        </references>
      </pivotArea>
    </chartFormat>
    <chartFormat chart="1" format="37">
      <pivotArea type="data" outline="0" fieldPosition="0">
        <references count="2">
          <reference field="4294967294" count="1" selected="0">
            <x v="0"/>
          </reference>
          <reference field="3" count="1" selected="0">
            <x v="423"/>
          </reference>
        </references>
      </pivotArea>
    </chartFormat>
    <chartFormat chart="1" format="38">
      <pivotArea type="data" outline="0" fieldPosition="0">
        <references count="2">
          <reference field="4294967294" count="1" selected="0">
            <x v="0"/>
          </reference>
          <reference field="3" count="1" selected="0">
            <x v="276"/>
          </reference>
        </references>
      </pivotArea>
    </chartFormat>
    <chartFormat chart="1" format="39">
      <pivotArea type="data" outline="0" fieldPosition="0">
        <references count="2">
          <reference field="4294967294" count="1" selected="0">
            <x v="0"/>
          </reference>
          <reference field="3" count="1" selected="0">
            <x v="79"/>
          </reference>
        </references>
      </pivotArea>
    </chartFormat>
    <chartFormat chart="1" format="40">
      <pivotArea type="data" outline="0" fieldPosition="0">
        <references count="2">
          <reference field="4294967294" count="1" selected="0">
            <x v="0"/>
          </reference>
          <reference field="3" count="1" selected="0">
            <x v="210"/>
          </reference>
        </references>
      </pivotArea>
    </chartFormat>
    <chartFormat chart="1" format="41">
      <pivotArea type="data" outline="0" fieldPosition="0">
        <references count="2">
          <reference field="4294967294" count="1" selected="0">
            <x v="0"/>
          </reference>
          <reference field="3" count="1" selected="0">
            <x v="225"/>
          </reference>
        </references>
      </pivotArea>
    </chartFormat>
    <chartFormat chart="1" format="42">
      <pivotArea type="data" outline="0" fieldPosition="0">
        <references count="2">
          <reference field="4294967294" count="1" selected="0">
            <x v="0"/>
          </reference>
          <reference field="3" count="1" selected="0">
            <x v="410"/>
          </reference>
        </references>
      </pivotArea>
    </chartFormat>
    <chartFormat chart="1" format="43">
      <pivotArea type="data" outline="0" fieldPosition="0">
        <references count="2">
          <reference field="4294967294" count="1" selected="0">
            <x v="0"/>
          </reference>
          <reference field="3" count="1" selected="0">
            <x v="201"/>
          </reference>
        </references>
      </pivotArea>
    </chartFormat>
    <chartFormat chart="1" format="44">
      <pivotArea type="data" outline="0" fieldPosition="0">
        <references count="2">
          <reference field="4294967294" count="1" selected="0">
            <x v="0"/>
          </reference>
          <reference field="3" count="1" selected="0">
            <x v="281"/>
          </reference>
        </references>
      </pivotArea>
    </chartFormat>
    <chartFormat chart="1" format="45">
      <pivotArea type="data" outline="0" fieldPosition="0">
        <references count="2">
          <reference field="4294967294" count="1" selected="0">
            <x v="0"/>
          </reference>
          <reference field="3" count="1" selected="0">
            <x v="151"/>
          </reference>
        </references>
      </pivotArea>
    </chartFormat>
    <chartFormat chart="1" format="46">
      <pivotArea type="data" outline="0" fieldPosition="0">
        <references count="2">
          <reference field="4294967294" count="1" selected="0">
            <x v="0"/>
          </reference>
          <reference field="3" count="1" selected="0">
            <x v="490"/>
          </reference>
        </references>
      </pivotArea>
    </chartFormat>
    <chartFormat chart="1" format="47">
      <pivotArea type="data" outline="0" fieldPosition="0">
        <references count="2">
          <reference field="4294967294" count="1" selected="0">
            <x v="0"/>
          </reference>
          <reference field="3" count="1" selected="0">
            <x v="125"/>
          </reference>
        </references>
      </pivotArea>
    </chartFormat>
    <chartFormat chart="1" format="48">
      <pivotArea type="data" outline="0" fieldPosition="0">
        <references count="2">
          <reference field="4294967294" count="1" selected="0">
            <x v="0"/>
          </reference>
          <reference field="3" count="1" selected="0">
            <x v="450"/>
          </reference>
        </references>
      </pivotArea>
    </chartFormat>
    <chartFormat chart="1" format="49">
      <pivotArea type="data" outline="0" fieldPosition="0">
        <references count="2">
          <reference field="4294967294" count="1" selected="0">
            <x v="0"/>
          </reference>
          <reference field="3" count="1" selected="0">
            <x v="116"/>
          </reference>
        </references>
      </pivotArea>
    </chartFormat>
    <chartFormat chart="1" format="50">
      <pivotArea type="data" outline="0" fieldPosition="0">
        <references count="2">
          <reference field="4294967294" count="1" selected="0">
            <x v="0"/>
          </reference>
          <reference field="3" count="1" selected="0">
            <x v="244"/>
          </reference>
        </references>
      </pivotArea>
    </chartFormat>
    <chartFormat chart="1" format="51">
      <pivotArea type="data" outline="0" fieldPosition="0">
        <references count="2">
          <reference field="4294967294" count="1" selected="0">
            <x v="0"/>
          </reference>
          <reference field="3" count="1" selected="0">
            <x v="94"/>
          </reference>
        </references>
      </pivotArea>
    </chartFormat>
    <chartFormat chart="1" format="52">
      <pivotArea type="data" outline="0" fieldPosition="0">
        <references count="2">
          <reference field="4294967294" count="1" selected="0">
            <x v="0"/>
          </reference>
          <reference field="3" count="1" selected="0">
            <x v="255"/>
          </reference>
        </references>
      </pivotArea>
    </chartFormat>
    <chartFormat chart="1" format="53">
      <pivotArea type="data" outline="0" fieldPosition="0">
        <references count="2">
          <reference field="4294967294" count="1" selected="0">
            <x v="0"/>
          </reference>
          <reference field="3" count="1" selected="0">
            <x v="480"/>
          </reference>
        </references>
      </pivotArea>
    </chartFormat>
    <chartFormat chart="1" format="54">
      <pivotArea type="data" outline="0" fieldPosition="0">
        <references count="2">
          <reference field="4294967294" count="1" selected="0">
            <x v="0"/>
          </reference>
          <reference field="3" count="1" selected="0">
            <x v="388"/>
          </reference>
        </references>
      </pivotArea>
    </chartFormat>
    <chartFormat chart="1" format="55">
      <pivotArea type="data" outline="0" fieldPosition="0">
        <references count="2">
          <reference field="4294967294" count="1" selected="0">
            <x v="0"/>
          </reference>
          <reference field="3" count="1" selected="0">
            <x v="452"/>
          </reference>
        </references>
      </pivotArea>
    </chartFormat>
    <chartFormat chart="1" format="56">
      <pivotArea type="data" outline="0" fieldPosition="0">
        <references count="2">
          <reference field="4294967294" count="1" selected="0">
            <x v="0"/>
          </reference>
          <reference field="3" count="1" selected="0">
            <x v="89"/>
          </reference>
        </references>
      </pivotArea>
    </chartFormat>
    <chartFormat chart="1" format="57">
      <pivotArea type="data" outline="0" fieldPosition="0">
        <references count="2">
          <reference field="4294967294" count="1" selected="0">
            <x v="0"/>
          </reference>
          <reference field="3" count="1" selected="0">
            <x v="379"/>
          </reference>
        </references>
      </pivotArea>
    </chartFormat>
    <chartFormat chart="1" format="58">
      <pivotArea type="data" outline="0" fieldPosition="0">
        <references count="2">
          <reference field="4294967294" count="1" selected="0">
            <x v="0"/>
          </reference>
          <reference field="3" count="1" selected="0">
            <x v="496"/>
          </reference>
        </references>
      </pivotArea>
    </chartFormat>
    <chartFormat chart="1" format="59">
      <pivotArea type="data" outline="0" fieldPosition="0">
        <references count="2">
          <reference field="4294967294" count="1" selected="0">
            <x v="0"/>
          </reference>
          <reference field="3" count="1" selected="0">
            <x v="351"/>
          </reference>
        </references>
      </pivotArea>
    </chartFormat>
    <chartFormat chart="1" format="60">
      <pivotArea type="data" outline="0" fieldPosition="0">
        <references count="2">
          <reference field="4294967294" count="1" selected="0">
            <x v="0"/>
          </reference>
          <reference field="3" count="1" selected="0">
            <x v="427"/>
          </reference>
        </references>
      </pivotArea>
    </chartFormat>
    <chartFormat chart="1" format="61">
      <pivotArea type="data" outline="0" fieldPosition="0">
        <references count="2">
          <reference field="4294967294" count="1" selected="0">
            <x v="0"/>
          </reference>
          <reference field="3" count="1" selected="0">
            <x v="406"/>
          </reference>
        </references>
      </pivotArea>
    </chartFormat>
    <chartFormat chart="1" format="62">
      <pivotArea type="data" outline="0" fieldPosition="0">
        <references count="2">
          <reference field="4294967294" count="1" selected="0">
            <x v="0"/>
          </reference>
          <reference field="3" count="1" selected="0">
            <x v="479"/>
          </reference>
        </references>
      </pivotArea>
    </chartFormat>
    <chartFormat chart="1" format="63">
      <pivotArea type="data" outline="0" fieldPosition="0">
        <references count="2">
          <reference field="4294967294" count="1" selected="0">
            <x v="0"/>
          </reference>
          <reference field="3" count="1" selected="0">
            <x v="17"/>
          </reference>
        </references>
      </pivotArea>
    </chartFormat>
    <chartFormat chart="1" format="64">
      <pivotArea type="data" outline="0" fieldPosition="0">
        <references count="2">
          <reference field="4294967294" count="1" selected="0">
            <x v="0"/>
          </reference>
          <reference field="3" count="1" selected="0">
            <x v="61"/>
          </reference>
        </references>
      </pivotArea>
    </chartFormat>
    <chartFormat chart="1" format="65">
      <pivotArea type="data" outline="0" fieldPosition="0">
        <references count="2">
          <reference field="4294967294" count="1" selected="0">
            <x v="0"/>
          </reference>
          <reference field="3" count="1" selected="0">
            <x v="177"/>
          </reference>
        </references>
      </pivotArea>
    </chartFormat>
    <chartFormat chart="1" format="66">
      <pivotArea type="data" outline="0" fieldPosition="0">
        <references count="2">
          <reference field="4294967294" count="1" selected="0">
            <x v="0"/>
          </reference>
          <reference field="3" count="1" selected="0">
            <x v="494"/>
          </reference>
        </references>
      </pivotArea>
    </chartFormat>
    <chartFormat chart="1" format="67">
      <pivotArea type="data" outline="0" fieldPosition="0">
        <references count="2">
          <reference field="4294967294" count="1" selected="0">
            <x v="0"/>
          </reference>
          <reference field="3" count="1" selected="0">
            <x v="174"/>
          </reference>
        </references>
      </pivotArea>
    </chartFormat>
    <chartFormat chart="1" format="68">
      <pivotArea type="data" outline="0" fieldPosition="0">
        <references count="2">
          <reference field="4294967294" count="1" selected="0">
            <x v="0"/>
          </reference>
          <reference field="3" count="1" selected="0">
            <x v="453"/>
          </reference>
        </references>
      </pivotArea>
    </chartFormat>
    <chartFormat chart="1" format="69">
      <pivotArea type="data" outline="0" fieldPosition="0">
        <references count="2">
          <reference field="4294967294" count="1" selected="0">
            <x v="0"/>
          </reference>
          <reference field="3" count="1" selected="0">
            <x v="489"/>
          </reference>
        </references>
      </pivotArea>
    </chartFormat>
    <chartFormat chart="1" format="70">
      <pivotArea type="data" outline="0" fieldPosition="0">
        <references count="2">
          <reference field="4294967294" count="1" selected="0">
            <x v="0"/>
          </reference>
          <reference field="3" count="1" selected="0">
            <x v="22"/>
          </reference>
        </references>
      </pivotArea>
    </chartFormat>
    <chartFormat chart="1" format="71">
      <pivotArea type="data" outline="0" fieldPosition="0">
        <references count="2">
          <reference field="4294967294" count="1" selected="0">
            <x v="0"/>
          </reference>
          <reference field="3" count="1" selected="0">
            <x v="383"/>
          </reference>
        </references>
      </pivotArea>
    </chartFormat>
    <chartFormat chart="1" format="72">
      <pivotArea type="data" outline="0" fieldPosition="0">
        <references count="2">
          <reference field="4294967294" count="1" selected="0">
            <x v="0"/>
          </reference>
          <reference field="3" count="1" selected="0">
            <x v="194"/>
          </reference>
        </references>
      </pivotArea>
    </chartFormat>
    <chartFormat chart="1" format="73">
      <pivotArea type="data" outline="0" fieldPosition="0">
        <references count="2">
          <reference field="4294967294" count="1" selected="0">
            <x v="0"/>
          </reference>
          <reference field="3" count="1" selected="0">
            <x v="430"/>
          </reference>
        </references>
      </pivotArea>
    </chartFormat>
    <chartFormat chart="1" format="74">
      <pivotArea type="data" outline="0" fieldPosition="0">
        <references count="2">
          <reference field="4294967294" count="1" selected="0">
            <x v="0"/>
          </reference>
          <reference field="3" count="1" selected="0">
            <x v="157"/>
          </reference>
        </references>
      </pivotArea>
    </chartFormat>
    <chartFormat chart="1" format="75">
      <pivotArea type="data" outline="0" fieldPosition="0">
        <references count="2">
          <reference field="4294967294" count="1" selected="0">
            <x v="0"/>
          </reference>
          <reference field="3" count="1" selected="0">
            <x v="108"/>
          </reference>
        </references>
      </pivotArea>
    </chartFormat>
    <chartFormat chart="1" format="76">
      <pivotArea type="data" outline="0" fieldPosition="0">
        <references count="2">
          <reference field="4294967294" count="1" selected="0">
            <x v="0"/>
          </reference>
          <reference field="3" count="1" selected="0">
            <x v="422"/>
          </reference>
        </references>
      </pivotArea>
    </chartFormat>
    <chartFormat chart="1" format="77">
      <pivotArea type="data" outline="0" fieldPosition="0">
        <references count="2">
          <reference field="4294967294" count="1" selected="0">
            <x v="0"/>
          </reference>
          <reference field="3" count="1" selected="0">
            <x v="304"/>
          </reference>
        </references>
      </pivotArea>
    </chartFormat>
    <chartFormat chart="1" format="78">
      <pivotArea type="data" outline="0" fieldPosition="0">
        <references count="2">
          <reference field="4294967294" count="1" selected="0">
            <x v="0"/>
          </reference>
          <reference field="3" count="1" selected="0">
            <x v="196"/>
          </reference>
        </references>
      </pivotArea>
    </chartFormat>
    <chartFormat chart="1" format="79">
      <pivotArea type="data" outline="0" fieldPosition="0">
        <references count="2">
          <reference field="4294967294" count="1" selected="0">
            <x v="0"/>
          </reference>
          <reference field="3" count="1" selected="0">
            <x v="145"/>
          </reference>
        </references>
      </pivotArea>
    </chartFormat>
    <chartFormat chart="1" format="80">
      <pivotArea type="data" outline="0" fieldPosition="0">
        <references count="2">
          <reference field="4294967294" count="1" selected="0">
            <x v="0"/>
          </reference>
          <reference field="3" count="1" selected="0">
            <x v="85"/>
          </reference>
        </references>
      </pivotArea>
    </chartFormat>
    <chartFormat chart="1" format="81">
      <pivotArea type="data" outline="0" fieldPosition="0">
        <references count="2">
          <reference field="4294967294" count="1" selected="0">
            <x v="0"/>
          </reference>
          <reference field="3" count="1" selected="0">
            <x v="363"/>
          </reference>
        </references>
      </pivotArea>
    </chartFormat>
    <chartFormat chart="1" format="82">
      <pivotArea type="data" outline="0" fieldPosition="0">
        <references count="2">
          <reference field="4294967294" count="1" selected="0">
            <x v="0"/>
          </reference>
          <reference field="3" count="1" selected="0">
            <x v="91"/>
          </reference>
        </references>
      </pivotArea>
    </chartFormat>
    <chartFormat chart="1" format="83">
      <pivotArea type="data" outline="0" fieldPosition="0">
        <references count="2">
          <reference field="4294967294" count="1" selected="0">
            <x v="0"/>
          </reference>
          <reference field="3" count="1" selected="0">
            <x v="263"/>
          </reference>
        </references>
      </pivotArea>
    </chartFormat>
    <chartFormat chart="1" format="84">
      <pivotArea type="data" outline="0" fieldPosition="0">
        <references count="2">
          <reference field="4294967294" count="1" selected="0">
            <x v="0"/>
          </reference>
          <reference field="3" count="1" selected="0">
            <x v="233"/>
          </reference>
        </references>
      </pivotArea>
    </chartFormat>
    <chartFormat chart="1" format="85">
      <pivotArea type="data" outline="0" fieldPosition="0">
        <references count="2">
          <reference field="4294967294" count="1" selected="0">
            <x v="0"/>
          </reference>
          <reference field="3" count="1" selected="0">
            <x v="456"/>
          </reference>
        </references>
      </pivotArea>
    </chartFormat>
    <chartFormat chart="1" format="86">
      <pivotArea type="data" outline="0" fieldPosition="0">
        <references count="2">
          <reference field="4294967294" count="1" selected="0">
            <x v="0"/>
          </reference>
          <reference field="3" count="1" selected="0">
            <x v="311"/>
          </reference>
        </references>
      </pivotArea>
    </chartFormat>
    <chartFormat chart="1" format="87">
      <pivotArea type="data" outline="0" fieldPosition="0">
        <references count="2">
          <reference field="4294967294" count="1" selected="0">
            <x v="0"/>
          </reference>
          <reference field="3" count="1" selected="0">
            <x v="273"/>
          </reference>
        </references>
      </pivotArea>
    </chartFormat>
    <chartFormat chart="1" format="88">
      <pivotArea type="data" outline="0" fieldPosition="0">
        <references count="2">
          <reference field="4294967294" count="1" selected="0">
            <x v="0"/>
          </reference>
          <reference field="3" count="1" selected="0">
            <x v="373"/>
          </reference>
        </references>
      </pivotArea>
    </chartFormat>
    <chartFormat chart="1" format="89">
      <pivotArea type="data" outline="0" fieldPosition="0">
        <references count="2">
          <reference field="4294967294" count="1" selected="0">
            <x v="0"/>
          </reference>
          <reference field="3" count="1" selected="0">
            <x v="154"/>
          </reference>
        </references>
      </pivotArea>
    </chartFormat>
    <chartFormat chart="1" format="90">
      <pivotArea type="data" outline="0" fieldPosition="0">
        <references count="2">
          <reference field="4294967294" count="1" selected="0">
            <x v="0"/>
          </reference>
          <reference field="3" count="1" selected="0">
            <x v="312"/>
          </reference>
        </references>
      </pivotArea>
    </chartFormat>
    <chartFormat chart="1" format="91">
      <pivotArea type="data" outline="0" fieldPosition="0">
        <references count="2">
          <reference field="4294967294" count="1" selected="0">
            <x v="0"/>
          </reference>
          <reference field="3" count="1" selected="0">
            <x v="395"/>
          </reference>
        </references>
      </pivotArea>
    </chartFormat>
    <chartFormat chart="1" format="92">
      <pivotArea type="data" outline="0" fieldPosition="0">
        <references count="2">
          <reference field="4294967294" count="1" selected="0">
            <x v="0"/>
          </reference>
          <reference field="3" count="1" selected="0">
            <x v="241"/>
          </reference>
        </references>
      </pivotArea>
    </chartFormat>
    <chartFormat chart="1" format="93">
      <pivotArea type="data" outline="0" fieldPosition="0">
        <references count="2">
          <reference field="4294967294" count="1" selected="0">
            <x v="0"/>
          </reference>
          <reference field="3" count="1" selected="0">
            <x v="485"/>
          </reference>
        </references>
      </pivotArea>
    </chartFormat>
    <chartFormat chart="1" format="94">
      <pivotArea type="data" outline="0" fieldPosition="0">
        <references count="2">
          <reference field="4294967294" count="1" selected="0">
            <x v="0"/>
          </reference>
          <reference field="3" count="1" selected="0">
            <x v="470"/>
          </reference>
        </references>
      </pivotArea>
    </chartFormat>
    <chartFormat chart="1" format="95">
      <pivotArea type="data" outline="0" fieldPosition="0">
        <references count="2">
          <reference field="4294967294" count="1" selected="0">
            <x v="0"/>
          </reference>
          <reference field="3" count="1" selected="0">
            <x v="35"/>
          </reference>
        </references>
      </pivotArea>
    </chartFormat>
    <chartFormat chart="1" format="96">
      <pivotArea type="data" outline="0" fieldPosition="0">
        <references count="2">
          <reference field="4294967294" count="1" selected="0">
            <x v="0"/>
          </reference>
          <reference field="3" count="1" selected="0">
            <x v="51"/>
          </reference>
        </references>
      </pivotArea>
    </chartFormat>
    <chartFormat chart="1" format="97">
      <pivotArea type="data" outline="0" fieldPosition="0">
        <references count="2">
          <reference field="4294967294" count="1" selected="0">
            <x v="0"/>
          </reference>
          <reference field="3" count="1" selected="0">
            <x v="370"/>
          </reference>
        </references>
      </pivotArea>
    </chartFormat>
    <chartFormat chart="1" format="98">
      <pivotArea type="data" outline="0" fieldPosition="0">
        <references count="2">
          <reference field="4294967294" count="1" selected="0">
            <x v="0"/>
          </reference>
          <reference field="3" count="1" selected="0">
            <x v="187"/>
          </reference>
        </references>
      </pivotArea>
    </chartFormat>
    <chartFormat chart="1" format="99">
      <pivotArea type="data" outline="0" fieldPosition="0">
        <references count="2">
          <reference field="4294967294" count="1" selected="0">
            <x v="0"/>
          </reference>
          <reference field="3" count="1" selected="0">
            <x v="55"/>
          </reference>
        </references>
      </pivotArea>
    </chartFormat>
    <chartFormat chart="1" format="100">
      <pivotArea type="data" outline="0" fieldPosition="0">
        <references count="2">
          <reference field="4294967294" count="1" selected="0">
            <x v="0"/>
          </reference>
          <reference field="3" count="1" selected="0">
            <x v="374"/>
          </reference>
        </references>
      </pivotArea>
    </chartFormat>
    <chartFormat chart="1" format="101">
      <pivotArea type="data" outline="0" fieldPosition="0">
        <references count="2">
          <reference field="4294967294" count="1" selected="0">
            <x v="0"/>
          </reference>
          <reference field="3" count="1" selected="0">
            <x v="249"/>
          </reference>
        </references>
      </pivotArea>
    </chartFormat>
    <chartFormat chart="1" format="102">
      <pivotArea type="data" outline="0" fieldPosition="0">
        <references count="2">
          <reference field="4294967294" count="1" selected="0">
            <x v="0"/>
          </reference>
          <reference field="3" count="1" selected="0">
            <x v="104"/>
          </reference>
        </references>
      </pivotArea>
    </chartFormat>
    <chartFormat chart="1" format="103">
      <pivotArea type="data" outline="0" fieldPosition="0">
        <references count="2">
          <reference field="4294967294" count="1" selected="0">
            <x v="0"/>
          </reference>
          <reference field="3" count="1" selected="0">
            <x v="179"/>
          </reference>
        </references>
      </pivotArea>
    </chartFormat>
    <chartFormat chart="1" format="104">
      <pivotArea type="data" outline="0" fieldPosition="0">
        <references count="2">
          <reference field="4294967294" count="1" selected="0">
            <x v="0"/>
          </reference>
          <reference field="3" count="1" selected="0">
            <x v="160"/>
          </reference>
        </references>
      </pivotArea>
    </chartFormat>
    <chartFormat chart="1" format="105">
      <pivotArea type="data" outline="0" fieldPosition="0">
        <references count="2">
          <reference field="4294967294" count="1" selected="0">
            <x v="0"/>
          </reference>
          <reference field="3" count="1" selected="0">
            <x v="31"/>
          </reference>
        </references>
      </pivotArea>
    </chartFormat>
    <chartFormat chart="1" format="106">
      <pivotArea type="data" outline="0" fieldPosition="0">
        <references count="2">
          <reference field="4294967294" count="1" selected="0">
            <x v="0"/>
          </reference>
          <reference field="3" count="1" selected="0">
            <x v="78"/>
          </reference>
        </references>
      </pivotArea>
    </chartFormat>
    <chartFormat chart="1" format="107">
      <pivotArea type="data" outline="0" fieldPosition="0">
        <references count="2">
          <reference field="4294967294" count="1" selected="0">
            <x v="0"/>
          </reference>
          <reference field="3" count="1" selected="0">
            <x v="98"/>
          </reference>
        </references>
      </pivotArea>
    </chartFormat>
    <chartFormat chart="1" format="108">
      <pivotArea type="data" outline="0" fieldPosition="0">
        <references count="2">
          <reference field="4294967294" count="1" selected="0">
            <x v="0"/>
          </reference>
          <reference field="3" count="1" selected="0">
            <x v="34"/>
          </reference>
        </references>
      </pivotArea>
    </chartFormat>
    <chartFormat chart="1" format="109">
      <pivotArea type="data" outline="0" fieldPosition="0">
        <references count="2">
          <reference field="4294967294" count="1" selected="0">
            <x v="0"/>
          </reference>
          <reference field="3" count="1" selected="0">
            <x v="306"/>
          </reference>
        </references>
      </pivotArea>
    </chartFormat>
    <chartFormat chart="1" format="110">
      <pivotArea type="data" outline="0" fieldPosition="0">
        <references count="2">
          <reference field="4294967294" count="1" selected="0">
            <x v="0"/>
          </reference>
          <reference field="3" count="1" selected="0">
            <x v="246"/>
          </reference>
        </references>
      </pivotArea>
    </chartFormat>
    <chartFormat chart="1" format="111">
      <pivotArea type="data" outline="0" fieldPosition="0">
        <references count="2">
          <reference field="4294967294" count="1" selected="0">
            <x v="0"/>
          </reference>
          <reference field="3" count="1" selected="0">
            <x v="137"/>
          </reference>
        </references>
      </pivotArea>
    </chartFormat>
    <chartFormat chart="1" format="112">
      <pivotArea type="data" outline="0" fieldPosition="0">
        <references count="2">
          <reference field="4294967294" count="1" selected="0">
            <x v="0"/>
          </reference>
          <reference field="3" count="1" selected="0">
            <x v="416"/>
          </reference>
        </references>
      </pivotArea>
    </chartFormat>
    <chartFormat chart="1" format="113">
      <pivotArea type="data" outline="0" fieldPosition="0">
        <references count="2">
          <reference field="4294967294" count="1" selected="0">
            <x v="0"/>
          </reference>
          <reference field="3" count="1" selected="0">
            <x v="275"/>
          </reference>
        </references>
      </pivotArea>
    </chartFormat>
    <chartFormat chart="1" format="114">
      <pivotArea type="data" outline="0" fieldPosition="0">
        <references count="2">
          <reference field="4294967294" count="1" selected="0">
            <x v="0"/>
          </reference>
          <reference field="3" count="1" selected="0">
            <x v="80"/>
          </reference>
        </references>
      </pivotArea>
    </chartFormat>
    <chartFormat chart="1" format="115">
      <pivotArea type="data" outline="0" fieldPosition="0">
        <references count="2">
          <reference field="4294967294" count="1" selected="0">
            <x v="0"/>
          </reference>
          <reference field="3" count="1" selected="0">
            <x v="171"/>
          </reference>
        </references>
      </pivotArea>
    </chartFormat>
    <chartFormat chart="1" format="116">
      <pivotArea type="data" outline="0" fieldPosition="0">
        <references count="2">
          <reference field="4294967294" count="1" selected="0">
            <x v="0"/>
          </reference>
          <reference field="3" count="1" selected="0">
            <x v="440"/>
          </reference>
        </references>
      </pivotArea>
    </chartFormat>
    <chartFormat chart="1" format="117">
      <pivotArea type="data" outline="0" fieldPosition="0">
        <references count="2">
          <reference field="4294967294" count="1" selected="0">
            <x v="0"/>
          </reference>
          <reference field="3" count="1" selected="0">
            <x v="142"/>
          </reference>
        </references>
      </pivotArea>
    </chartFormat>
    <chartFormat chart="1" format="118">
      <pivotArea type="data" outline="0" fieldPosition="0">
        <references count="2">
          <reference field="4294967294" count="1" selected="0">
            <x v="0"/>
          </reference>
          <reference field="3" count="1" selected="0">
            <x v="418"/>
          </reference>
        </references>
      </pivotArea>
    </chartFormat>
    <chartFormat chart="1" format="119">
      <pivotArea type="data" outline="0" fieldPosition="0">
        <references count="2">
          <reference field="4294967294" count="1" selected="0">
            <x v="0"/>
          </reference>
          <reference field="3" count="1" selected="0">
            <x v="118"/>
          </reference>
        </references>
      </pivotArea>
    </chartFormat>
    <chartFormat chart="1" format="120">
      <pivotArea type="data" outline="0" fieldPosition="0">
        <references count="2">
          <reference field="4294967294" count="1" selected="0">
            <x v="0"/>
          </reference>
          <reference field="3" count="1" selected="0">
            <x v="317"/>
          </reference>
        </references>
      </pivotArea>
    </chartFormat>
    <chartFormat chart="1" format="121">
      <pivotArea type="data" outline="0" fieldPosition="0">
        <references count="2">
          <reference field="4294967294" count="1" selected="0">
            <x v="0"/>
          </reference>
          <reference field="3" count="1" selected="0">
            <x v="482"/>
          </reference>
        </references>
      </pivotArea>
    </chartFormat>
    <chartFormat chart="1" format="122">
      <pivotArea type="data" outline="0" fieldPosition="0">
        <references count="2">
          <reference field="4294967294" count="1" selected="0">
            <x v="0"/>
          </reference>
          <reference field="3" count="1" selected="0">
            <x v="429"/>
          </reference>
        </references>
      </pivotArea>
    </chartFormat>
    <chartFormat chart="1" format="123">
      <pivotArea type="data" outline="0" fieldPosition="0">
        <references count="2">
          <reference field="4294967294" count="1" selected="0">
            <x v="0"/>
          </reference>
          <reference field="3" count="1" selected="0">
            <x v="58"/>
          </reference>
        </references>
      </pivotArea>
    </chartFormat>
    <chartFormat chart="1" format="124">
      <pivotArea type="data" outline="0" fieldPosition="0">
        <references count="2">
          <reference field="4294967294" count="1" selected="0">
            <x v="0"/>
          </reference>
          <reference field="3" count="1" selected="0">
            <x v="437"/>
          </reference>
        </references>
      </pivotArea>
    </chartFormat>
    <chartFormat chart="1" format="125">
      <pivotArea type="data" outline="0" fieldPosition="0">
        <references count="2">
          <reference field="4294967294" count="1" selected="0">
            <x v="0"/>
          </reference>
          <reference field="3" count="1" selected="0">
            <x v="357"/>
          </reference>
        </references>
      </pivotArea>
    </chartFormat>
    <chartFormat chart="1" format="126">
      <pivotArea type="data" outline="0" fieldPosition="0">
        <references count="2">
          <reference field="4294967294" count="1" selected="0">
            <x v="0"/>
          </reference>
          <reference field="3" count="1" selected="0">
            <x v="136"/>
          </reference>
        </references>
      </pivotArea>
    </chartFormat>
    <chartFormat chart="1" format="127">
      <pivotArea type="data" outline="0" fieldPosition="0">
        <references count="2">
          <reference field="4294967294" count="1" selected="0">
            <x v="0"/>
          </reference>
          <reference field="3" count="1" selected="0">
            <x v="254"/>
          </reference>
        </references>
      </pivotArea>
    </chartFormat>
    <chartFormat chart="1" format="128">
      <pivotArea type="data" outline="0" fieldPosition="0">
        <references count="2">
          <reference field="4294967294" count="1" selected="0">
            <x v="0"/>
          </reference>
          <reference field="3" count="1" selected="0">
            <x v="120"/>
          </reference>
        </references>
      </pivotArea>
    </chartFormat>
    <chartFormat chart="1" format="129">
      <pivotArea type="data" outline="0" fieldPosition="0">
        <references count="2">
          <reference field="4294967294" count="1" selected="0">
            <x v="0"/>
          </reference>
          <reference field="3" count="1" selected="0">
            <x v="200"/>
          </reference>
        </references>
      </pivotArea>
    </chartFormat>
    <chartFormat chart="1" format="130">
      <pivotArea type="data" outline="0" fieldPosition="0">
        <references count="2">
          <reference field="4294967294" count="1" selected="0">
            <x v="0"/>
          </reference>
          <reference field="3" count="1" selected="0">
            <x v="37"/>
          </reference>
        </references>
      </pivotArea>
    </chartFormat>
    <chartFormat chart="1" format="131">
      <pivotArea type="data" outline="0" fieldPosition="0">
        <references count="2">
          <reference field="4294967294" count="1" selected="0">
            <x v="0"/>
          </reference>
          <reference field="3" count="1" selected="0">
            <x v="106"/>
          </reference>
        </references>
      </pivotArea>
    </chartFormat>
    <chartFormat chart="1" format="132">
      <pivotArea type="data" outline="0" fieldPosition="0">
        <references count="2">
          <reference field="4294967294" count="1" selected="0">
            <x v="0"/>
          </reference>
          <reference field="3" count="1" selected="0">
            <x v="262"/>
          </reference>
        </references>
      </pivotArea>
    </chartFormat>
    <chartFormat chart="1" format="133">
      <pivotArea type="data" outline="0" fieldPosition="0">
        <references count="2">
          <reference field="4294967294" count="1" selected="0">
            <x v="0"/>
          </reference>
          <reference field="3" count="1" selected="0">
            <x v="165"/>
          </reference>
        </references>
      </pivotArea>
    </chartFormat>
    <chartFormat chart="1" format="134">
      <pivotArea type="data" outline="0" fieldPosition="0">
        <references count="2">
          <reference field="4294967294" count="1" selected="0">
            <x v="0"/>
          </reference>
          <reference field="3" count="1" selected="0">
            <x v="32"/>
          </reference>
        </references>
      </pivotArea>
    </chartFormat>
    <chartFormat chart="1" format="135">
      <pivotArea type="data" outline="0" fieldPosition="0">
        <references count="2">
          <reference field="4294967294" count="1" selected="0">
            <x v="0"/>
          </reference>
          <reference field="3" count="1" selected="0">
            <x v="245"/>
          </reference>
        </references>
      </pivotArea>
    </chartFormat>
    <chartFormat chart="1" format="136">
      <pivotArea type="data" outline="0" fieldPosition="0">
        <references count="2">
          <reference field="4294967294" count="1" selected="0">
            <x v="0"/>
          </reference>
          <reference field="3" count="1" selected="0">
            <x v="307"/>
          </reference>
        </references>
      </pivotArea>
    </chartFormat>
    <chartFormat chart="1" format="137">
      <pivotArea type="data" outline="0" fieldPosition="0">
        <references count="2">
          <reference field="4294967294" count="1" selected="0">
            <x v="0"/>
          </reference>
          <reference field="3" count="1" selected="0">
            <x v="124"/>
          </reference>
        </references>
      </pivotArea>
    </chartFormat>
    <chartFormat chart="1" format="138">
      <pivotArea type="data" outline="0" fieldPosition="0">
        <references count="2">
          <reference field="4294967294" count="1" selected="0">
            <x v="0"/>
          </reference>
          <reference field="3" count="1" selected="0">
            <x v="232"/>
          </reference>
        </references>
      </pivotArea>
    </chartFormat>
    <chartFormat chart="1" format="139">
      <pivotArea type="data" outline="0" fieldPosition="0">
        <references count="2">
          <reference field="4294967294" count="1" selected="0">
            <x v="0"/>
          </reference>
          <reference field="3" count="1" selected="0">
            <x v="483"/>
          </reference>
        </references>
      </pivotArea>
    </chartFormat>
    <chartFormat chart="1" format="140">
      <pivotArea type="data" outline="0" fieldPosition="0">
        <references count="2">
          <reference field="4294967294" count="1" selected="0">
            <x v="0"/>
          </reference>
          <reference field="3" count="1" selected="0">
            <x v="367"/>
          </reference>
        </references>
      </pivotArea>
    </chartFormat>
    <chartFormat chart="1" format="141">
      <pivotArea type="data" outline="0" fieldPosition="0">
        <references count="2">
          <reference field="4294967294" count="1" selected="0">
            <x v="0"/>
          </reference>
          <reference field="3" count="1" selected="0">
            <x v="462"/>
          </reference>
        </references>
      </pivotArea>
    </chartFormat>
    <chartFormat chart="1" format="142">
      <pivotArea type="data" outline="0" fieldPosition="0">
        <references count="2">
          <reference field="4294967294" count="1" selected="0">
            <x v="0"/>
          </reference>
          <reference field="3" count="1" selected="0">
            <x v="381"/>
          </reference>
        </references>
      </pivotArea>
    </chartFormat>
    <chartFormat chart="1" format="143">
      <pivotArea type="data" outline="0" fieldPosition="0">
        <references count="2">
          <reference field="4294967294" count="1" selected="0">
            <x v="0"/>
          </reference>
          <reference field="3" count="1" selected="0">
            <x v="261"/>
          </reference>
        </references>
      </pivotArea>
    </chartFormat>
    <chartFormat chart="1" format="144">
      <pivotArea type="data" outline="0" fieldPosition="0">
        <references count="2">
          <reference field="4294967294" count="1" selected="0">
            <x v="0"/>
          </reference>
          <reference field="3" count="1" selected="0">
            <x v="409"/>
          </reference>
        </references>
      </pivotArea>
    </chartFormat>
    <chartFormat chart="1" format="145">
      <pivotArea type="data" outline="0" fieldPosition="0">
        <references count="2">
          <reference field="4294967294" count="1" selected="0">
            <x v="0"/>
          </reference>
          <reference field="3" count="1" selected="0">
            <x v="368"/>
          </reference>
        </references>
      </pivotArea>
    </chartFormat>
    <chartFormat chart="1" format="146">
      <pivotArea type="data" outline="0" fieldPosition="0">
        <references count="2">
          <reference field="4294967294" count="1" selected="0">
            <x v="0"/>
          </reference>
          <reference field="3" count="1" selected="0">
            <x v="101"/>
          </reference>
        </references>
      </pivotArea>
    </chartFormat>
    <chartFormat chart="1" format="147">
      <pivotArea type="data" outline="0" fieldPosition="0">
        <references count="2">
          <reference field="4294967294" count="1" selected="0">
            <x v="0"/>
          </reference>
          <reference field="3" count="1" selected="0">
            <x v="278"/>
          </reference>
        </references>
      </pivotArea>
    </chartFormat>
    <chartFormat chart="1" format="148">
      <pivotArea type="data" outline="0" fieldPosition="0">
        <references count="2">
          <reference field="4294967294" count="1" selected="0">
            <x v="0"/>
          </reference>
          <reference field="3" count="1" selected="0">
            <x v="259"/>
          </reference>
        </references>
      </pivotArea>
    </chartFormat>
    <chartFormat chart="1" format="149">
      <pivotArea type="data" outline="0" fieldPosition="0">
        <references count="2">
          <reference field="4294967294" count="1" selected="0">
            <x v="0"/>
          </reference>
          <reference field="3" count="1" selected="0">
            <x v="121"/>
          </reference>
        </references>
      </pivotArea>
    </chartFormat>
    <chartFormat chart="1" format="150">
      <pivotArea type="data" outline="0" fieldPosition="0">
        <references count="2">
          <reference field="4294967294" count="1" selected="0">
            <x v="0"/>
          </reference>
          <reference field="3" count="1" selected="0">
            <x v="361"/>
          </reference>
        </references>
      </pivotArea>
    </chartFormat>
    <chartFormat chart="1" format="151">
      <pivotArea type="data" outline="0" fieldPosition="0">
        <references count="2">
          <reference field="4294967294" count="1" selected="0">
            <x v="0"/>
          </reference>
          <reference field="3" count="1" selected="0">
            <x v="438"/>
          </reference>
        </references>
      </pivotArea>
    </chartFormat>
    <chartFormat chart="1" format="152">
      <pivotArea type="data" outline="0" fieldPosition="0">
        <references count="2">
          <reference field="4294967294" count="1" selected="0">
            <x v="0"/>
          </reference>
          <reference field="3" count="1" selected="0">
            <x v="270"/>
          </reference>
        </references>
      </pivotArea>
    </chartFormat>
    <chartFormat chart="1" format="153">
      <pivotArea type="data" outline="0" fieldPosition="0">
        <references count="2">
          <reference field="4294967294" count="1" selected="0">
            <x v="0"/>
          </reference>
          <reference field="3" count="1" selected="0">
            <x v="305"/>
          </reference>
        </references>
      </pivotArea>
    </chartFormat>
    <chartFormat chart="1" format="154">
      <pivotArea type="data" outline="0" fieldPosition="0">
        <references count="2">
          <reference field="4294967294" count="1" selected="0">
            <x v="0"/>
          </reference>
          <reference field="3" count="1" selected="0">
            <x v="220"/>
          </reference>
        </references>
      </pivotArea>
    </chartFormat>
    <chartFormat chart="1" format="155">
      <pivotArea type="data" outline="0" fieldPosition="0">
        <references count="2">
          <reference field="4294967294" count="1" selected="0">
            <x v="0"/>
          </reference>
          <reference field="3" count="1" selected="0">
            <x v="286"/>
          </reference>
        </references>
      </pivotArea>
    </chartFormat>
    <chartFormat chart="1" format="156">
      <pivotArea type="data" outline="0" fieldPosition="0">
        <references count="2">
          <reference field="4294967294" count="1" selected="0">
            <x v="0"/>
          </reference>
          <reference field="3" count="1" selected="0">
            <x v="16"/>
          </reference>
        </references>
      </pivotArea>
    </chartFormat>
    <chartFormat chart="1" format="157">
      <pivotArea type="data" outline="0" fieldPosition="0">
        <references count="2">
          <reference field="4294967294" count="1" selected="0">
            <x v="0"/>
          </reference>
          <reference field="3" count="1" selected="0">
            <x v="57"/>
          </reference>
        </references>
      </pivotArea>
    </chartFormat>
    <chartFormat chart="1" format="158">
      <pivotArea type="data" outline="0" fieldPosition="0">
        <references count="2">
          <reference field="4294967294" count="1" selected="0">
            <x v="0"/>
          </reference>
          <reference field="3" count="1" selected="0">
            <x v="181"/>
          </reference>
        </references>
      </pivotArea>
    </chartFormat>
    <chartFormat chart="1" format="159">
      <pivotArea type="data" outline="0" fieldPosition="0">
        <references count="2">
          <reference field="4294967294" count="1" selected="0">
            <x v="0"/>
          </reference>
          <reference field="3" count="1" selected="0">
            <x v="467"/>
          </reference>
        </references>
      </pivotArea>
    </chartFormat>
    <chartFormat chart="1" format="160">
      <pivotArea type="data" outline="0" fieldPosition="0">
        <references count="2">
          <reference field="4294967294" count="1" selected="0">
            <x v="0"/>
          </reference>
          <reference field="3" count="1" selected="0">
            <x v="134"/>
          </reference>
        </references>
      </pivotArea>
    </chartFormat>
    <chartFormat chart="1" format="161">
      <pivotArea type="data" outline="0" fieldPosition="0">
        <references count="2">
          <reference field="4294967294" count="1" selected="0">
            <x v="0"/>
          </reference>
          <reference field="3" count="1" selected="0">
            <x v="81"/>
          </reference>
        </references>
      </pivotArea>
    </chartFormat>
    <chartFormat chart="1" format="162">
      <pivotArea type="data" outline="0" fieldPosition="0">
        <references count="2">
          <reference field="4294967294" count="1" selected="0">
            <x v="0"/>
          </reference>
          <reference field="3" count="1" selected="0">
            <x v="347"/>
          </reference>
        </references>
      </pivotArea>
    </chartFormat>
    <chartFormat chart="1" format="163">
      <pivotArea type="data" outline="0" fieldPosition="0">
        <references count="2">
          <reference field="4294967294" count="1" selected="0">
            <x v="0"/>
          </reference>
          <reference field="3" count="1" selected="0">
            <x v="420"/>
          </reference>
        </references>
      </pivotArea>
    </chartFormat>
    <chartFormat chart="1" format="164">
      <pivotArea type="data" outline="0" fieldPosition="0">
        <references count="2">
          <reference field="4294967294" count="1" selected="0">
            <x v="0"/>
          </reference>
          <reference field="3" count="1" selected="0">
            <x v="167"/>
          </reference>
        </references>
      </pivotArea>
    </chartFormat>
    <chartFormat chart="1" format="165">
      <pivotArea type="data" outline="0" fieldPosition="0">
        <references count="2">
          <reference field="4294967294" count="1" selected="0">
            <x v="0"/>
          </reference>
          <reference field="3" count="1" selected="0">
            <x v="112"/>
          </reference>
        </references>
      </pivotArea>
    </chartFormat>
    <chartFormat chart="1" format="166">
      <pivotArea type="data" outline="0" fieldPosition="0">
        <references count="2">
          <reference field="4294967294" count="1" selected="0">
            <x v="0"/>
          </reference>
          <reference field="3" count="1" selected="0">
            <x v="442"/>
          </reference>
        </references>
      </pivotArea>
    </chartFormat>
    <chartFormat chart="1" format="167">
      <pivotArea type="data" outline="0" fieldPosition="0">
        <references count="2">
          <reference field="4294967294" count="1" selected="0">
            <x v="0"/>
          </reference>
          <reference field="3" count="1" selected="0">
            <x v="277"/>
          </reference>
        </references>
      </pivotArea>
    </chartFormat>
    <chartFormat chart="1" format="168">
      <pivotArea type="data" outline="0" fieldPosition="0">
        <references count="2">
          <reference field="4294967294" count="1" selected="0">
            <x v="0"/>
          </reference>
          <reference field="3" count="1" selected="0">
            <x v="204"/>
          </reference>
        </references>
      </pivotArea>
    </chartFormat>
    <chartFormat chart="1" format="169">
      <pivotArea type="data" outline="0" fieldPosition="0">
        <references count="2">
          <reference field="4294967294" count="1" selected="0">
            <x v="0"/>
          </reference>
          <reference field="3" count="1" selected="0">
            <x v="378"/>
          </reference>
        </references>
      </pivotArea>
    </chartFormat>
    <chartFormat chart="1" format="170">
      <pivotArea type="data" outline="0" fieldPosition="0">
        <references count="2">
          <reference field="4294967294" count="1" selected="0">
            <x v="0"/>
          </reference>
          <reference field="3" count="1" selected="0">
            <x v="48"/>
          </reference>
        </references>
      </pivotArea>
    </chartFormat>
    <chartFormat chart="1" format="171">
      <pivotArea type="data" outline="0" fieldPosition="0">
        <references count="2">
          <reference field="4294967294" count="1" selected="0">
            <x v="0"/>
          </reference>
          <reference field="3" count="1" selected="0">
            <x v="477"/>
          </reference>
        </references>
      </pivotArea>
    </chartFormat>
    <chartFormat chart="1" format="172">
      <pivotArea type="data" outline="0" fieldPosition="0">
        <references count="2">
          <reference field="4294967294" count="1" selected="0">
            <x v="0"/>
          </reference>
          <reference field="3" count="1" selected="0">
            <x v="148"/>
          </reference>
        </references>
      </pivotArea>
    </chartFormat>
    <chartFormat chart="1" format="173">
      <pivotArea type="data" outline="0" fieldPosition="0">
        <references count="2">
          <reference field="4294967294" count="1" selected="0">
            <x v="0"/>
          </reference>
          <reference field="3" count="1" selected="0">
            <x v="186"/>
          </reference>
        </references>
      </pivotArea>
    </chartFormat>
    <chartFormat chart="1" format="174">
      <pivotArea type="data" outline="0" fieldPosition="0">
        <references count="2">
          <reference field="4294967294" count="1" selected="0">
            <x v="0"/>
          </reference>
          <reference field="3" count="1" selected="0">
            <x v="352"/>
          </reference>
        </references>
      </pivotArea>
    </chartFormat>
    <chartFormat chart="1" format="175">
      <pivotArea type="data" outline="0" fieldPosition="0">
        <references count="2">
          <reference field="4294967294" count="1" selected="0">
            <x v="0"/>
          </reference>
          <reference field="3" count="1" selected="0">
            <x v="258"/>
          </reference>
        </references>
      </pivotArea>
    </chartFormat>
    <chartFormat chart="1" format="176">
      <pivotArea type="data" outline="0" fieldPosition="0">
        <references count="2">
          <reference field="4294967294" count="1" selected="0">
            <x v="0"/>
          </reference>
          <reference field="3" count="1" selected="0">
            <x v="414"/>
          </reference>
        </references>
      </pivotArea>
    </chartFormat>
    <chartFormat chart="1" format="177">
      <pivotArea type="data" outline="0" fieldPosition="0">
        <references count="2">
          <reference field="4294967294" count="1" selected="0">
            <x v="0"/>
          </reference>
          <reference field="3" count="1" selected="0">
            <x v="13"/>
          </reference>
        </references>
      </pivotArea>
    </chartFormat>
    <chartFormat chart="1" format="178">
      <pivotArea type="data" outline="0" fieldPosition="0">
        <references count="2">
          <reference field="4294967294" count="1" selected="0">
            <x v="0"/>
          </reference>
          <reference field="3" count="1" selected="0">
            <x v="314"/>
          </reference>
        </references>
      </pivotArea>
    </chartFormat>
    <chartFormat chart="1" format="179">
      <pivotArea type="data" outline="0" fieldPosition="0">
        <references count="2">
          <reference field="4294967294" count="1" selected="0">
            <x v="0"/>
          </reference>
          <reference field="3" count="1" selected="0">
            <x v="93"/>
          </reference>
        </references>
      </pivotArea>
    </chartFormat>
    <chartFormat chart="1" format="180">
      <pivotArea type="data" outline="0" fieldPosition="0">
        <references count="2">
          <reference field="4294967294" count="1" selected="0">
            <x v="0"/>
          </reference>
          <reference field="3" count="1" selected="0">
            <x v="432"/>
          </reference>
        </references>
      </pivotArea>
    </chartFormat>
    <chartFormat chart="1" format="181">
      <pivotArea type="data" outline="0" fieldPosition="0">
        <references count="2">
          <reference field="4294967294" count="1" selected="0">
            <x v="0"/>
          </reference>
          <reference field="3" count="1" selected="0">
            <x v="296"/>
          </reference>
        </references>
      </pivotArea>
    </chartFormat>
    <chartFormat chart="1" format="182">
      <pivotArea type="data" outline="0" fieldPosition="0">
        <references count="2">
          <reference field="4294967294" count="1" selected="0">
            <x v="0"/>
          </reference>
          <reference field="3" count="1" selected="0">
            <x v="386"/>
          </reference>
        </references>
      </pivotArea>
    </chartFormat>
    <chartFormat chart="1" format="183">
      <pivotArea type="data" outline="0" fieldPosition="0">
        <references count="2">
          <reference field="4294967294" count="1" selected="0">
            <x v="0"/>
          </reference>
          <reference field="3" count="1" selected="0">
            <x v="358"/>
          </reference>
        </references>
      </pivotArea>
    </chartFormat>
    <chartFormat chart="1" format="184">
      <pivotArea type="data" outline="0" fieldPosition="0">
        <references count="2">
          <reference field="4294967294" count="1" selected="0">
            <x v="0"/>
          </reference>
          <reference field="3" count="1" selected="0">
            <x v="231"/>
          </reference>
        </references>
      </pivotArea>
    </chartFormat>
    <chartFormat chart="1" format="185">
      <pivotArea type="data" outline="0" fieldPosition="0">
        <references count="2">
          <reference field="4294967294" count="1" selected="0">
            <x v="0"/>
          </reference>
          <reference field="3" count="1" selected="0">
            <x v="169"/>
          </reference>
        </references>
      </pivotArea>
    </chartFormat>
    <chartFormat chart="1" format="186">
      <pivotArea type="data" outline="0" fieldPosition="0">
        <references count="2">
          <reference field="4294967294" count="1" selected="0">
            <x v="0"/>
          </reference>
          <reference field="3" count="1" selected="0">
            <x v="446"/>
          </reference>
        </references>
      </pivotArea>
    </chartFormat>
    <chartFormat chart="1" format="187">
      <pivotArea type="data" outline="0" fieldPosition="0">
        <references count="2">
          <reference field="4294967294" count="1" selected="0">
            <x v="0"/>
          </reference>
          <reference field="3" count="1" selected="0">
            <x v="158"/>
          </reference>
        </references>
      </pivotArea>
    </chartFormat>
    <chartFormat chart="1" format="188">
      <pivotArea type="data" outline="0" fieldPosition="0">
        <references count="2">
          <reference field="4294967294" count="1" selected="0">
            <x v="0"/>
          </reference>
          <reference field="3" count="1" selected="0">
            <x v="415"/>
          </reference>
        </references>
      </pivotArea>
    </chartFormat>
    <chartFormat chart="1" format="189">
      <pivotArea type="data" outline="0" fieldPosition="0">
        <references count="2">
          <reference field="4294967294" count="1" selected="0">
            <x v="0"/>
          </reference>
          <reference field="3" count="1" selected="0">
            <x v="333"/>
          </reference>
        </references>
      </pivotArea>
    </chartFormat>
    <chartFormat chart="1" format="190">
      <pivotArea type="data" outline="0" fieldPosition="0">
        <references count="2">
          <reference field="4294967294" count="1" selected="0">
            <x v="0"/>
          </reference>
          <reference field="3" count="1" selected="0">
            <x v="488"/>
          </reference>
        </references>
      </pivotArea>
    </chartFormat>
    <chartFormat chart="1" format="191">
      <pivotArea type="data" outline="0" fieldPosition="0">
        <references count="2">
          <reference field="4294967294" count="1" selected="0">
            <x v="0"/>
          </reference>
          <reference field="3" count="1" selected="0">
            <x v="7"/>
          </reference>
        </references>
      </pivotArea>
    </chartFormat>
    <chartFormat chart="1" format="192">
      <pivotArea type="data" outline="0" fieldPosition="0">
        <references count="2">
          <reference field="4294967294" count="1" selected="0">
            <x v="0"/>
          </reference>
          <reference field="3" count="1" selected="0">
            <x v="455"/>
          </reference>
        </references>
      </pivotArea>
    </chartFormat>
    <chartFormat chart="1" format="193">
      <pivotArea type="data" outline="0" fieldPosition="0">
        <references count="2">
          <reference field="4294967294" count="1" selected="0">
            <x v="0"/>
          </reference>
          <reference field="3" count="1" selected="0">
            <x v="132"/>
          </reference>
        </references>
      </pivotArea>
    </chartFormat>
    <chartFormat chart="1" format="194">
      <pivotArea type="data" outline="0" fieldPosition="0">
        <references count="2">
          <reference field="4294967294" count="1" selected="0">
            <x v="0"/>
          </reference>
          <reference field="3" count="1" selected="0">
            <x v="217"/>
          </reference>
        </references>
      </pivotArea>
    </chartFormat>
    <chartFormat chart="1" format="195">
      <pivotArea type="data" outline="0" fieldPosition="0">
        <references count="2">
          <reference field="4294967294" count="1" selected="0">
            <x v="0"/>
          </reference>
          <reference field="3" count="1" selected="0">
            <x v="20"/>
          </reference>
        </references>
      </pivotArea>
    </chartFormat>
    <chartFormat chart="1" format="196">
      <pivotArea type="data" outline="0" fieldPosition="0">
        <references count="2">
          <reference field="4294967294" count="1" selected="0">
            <x v="0"/>
          </reference>
          <reference field="3" count="1" selected="0">
            <x v="11"/>
          </reference>
        </references>
      </pivotArea>
    </chartFormat>
    <chartFormat chart="1" format="197">
      <pivotArea type="data" outline="0" fieldPosition="0">
        <references count="2">
          <reference field="4294967294" count="1" selected="0">
            <x v="0"/>
          </reference>
          <reference field="3" count="1" selected="0">
            <x v="362"/>
          </reference>
        </references>
      </pivotArea>
    </chartFormat>
    <chartFormat chart="1" format="198">
      <pivotArea type="data" outline="0" fieldPosition="0">
        <references count="2">
          <reference field="4294967294" count="1" selected="0">
            <x v="0"/>
          </reference>
          <reference field="3" count="1" selected="0">
            <x v="400"/>
          </reference>
        </references>
      </pivotArea>
    </chartFormat>
    <chartFormat chart="1" format="199">
      <pivotArea type="data" outline="0" fieldPosition="0">
        <references count="2">
          <reference field="4294967294" count="1" selected="0">
            <x v="0"/>
          </reference>
          <reference field="3" count="1" selected="0">
            <x v="178"/>
          </reference>
        </references>
      </pivotArea>
    </chartFormat>
    <chartFormat chart="1" format="200">
      <pivotArea type="data" outline="0" fieldPosition="0">
        <references count="2">
          <reference field="4294967294" count="1" selected="0">
            <x v="0"/>
          </reference>
          <reference field="3" count="1" selected="0">
            <x v="14"/>
          </reference>
        </references>
      </pivotArea>
    </chartFormat>
    <chartFormat chart="1" format="201">
      <pivotArea type="data" outline="0" fieldPosition="0">
        <references count="2">
          <reference field="4294967294" count="1" selected="0">
            <x v="0"/>
          </reference>
          <reference field="3" count="1" selected="0">
            <x v="398"/>
          </reference>
        </references>
      </pivotArea>
    </chartFormat>
    <chartFormat chart="1" format="202">
      <pivotArea type="data" outline="0" fieldPosition="0">
        <references count="2">
          <reference field="4294967294" count="1" selected="0">
            <x v="0"/>
          </reference>
          <reference field="3" count="1" selected="0">
            <x v="41"/>
          </reference>
        </references>
      </pivotArea>
    </chartFormat>
    <chartFormat chart="1" format="203">
      <pivotArea type="data" outline="0" fieldPosition="0">
        <references count="2">
          <reference field="4294967294" count="1" selected="0">
            <x v="0"/>
          </reference>
          <reference field="3" count="1" selected="0">
            <x v="24"/>
          </reference>
        </references>
      </pivotArea>
    </chartFormat>
    <chartFormat chart="1" format="204">
      <pivotArea type="data" outline="0" fieldPosition="0">
        <references count="2">
          <reference field="4294967294" count="1" selected="0">
            <x v="0"/>
          </reference>
          <reference field="3" count="1" selected="0">
            <x v="115"/>
          </reference>
        </references>
      </pivotArea>
    </chartFormat>
    <chartFormat chart="1" format="205">
      <pivotArea type="data" outline="0" fieldPosition="0">
        <references count="2">
          <reference field="4294967294" count="1" selected="0">
            <x v="0"/>
          </reference>
          <reference field="3" count="1" selected="0">
            <x v="285"/>
          </reference>
        </references>
      </pivotArea>
    </chartFormat>
    <chartFormat chart="1" format="206">
      <pivotArea type="data" outline="0" fieldPosition="0">
        <references count="2">
          <reference field="4294967294" count="1" selected="0">
            <x v="0"/>
          </reference>
          <reference field="3" count="1" selected="0">
            <x v="404"/>
          </reference>
        </references>
      </pivotArea>
    </chartFormat>
    <chartFormat chart="1" format="207">
      <pivotArea type="data" outline="0" fieldPosition="0">
        <references count="2">
          <reference field="4294967294" count="1" selected="0">
            <x v="0"/>
          </reference>
          <reference field="3" count="1" selected="0">
            <x v="172"/>
          </reference>
        </references>
      </pivotArea>
    </chartFormat>
    <chartFormat chart="1" format="208">
      <pivotArea type="data" outline="0" fieldPosition="0">
        <references count="2">
          <reference field="4294967294" count="1" selected="0">
            <x v="0"/>
          </reference>
          <reference field="3" count="1" selected="0">
            <x v="302"/>
          </reference>
        </references>
      </pivotArea>
    </chartFormat>
    <chartFormat chart="1" format="209">
      <pivotArea type="data" outline="0" fieldPosition="0">
        <references count="2">
          <reference field="4294967294" count="1" selected="0">
            <x v="0"/>
          </reference>
          <reference field="3" count="1" selected="0">
            <x v="392"/>
          </reference>
        </references>
      </pivotArea>
    </chartFormat>
    <chartFormat chart="1" format="210">
      <pivotArea type="data" outline="0" fieldPosition="0">
        <references count="2">
          <reference field="4294967294" count="1" selected="0">
            <x v="0"/>
          </reference>
          <reference field="3" count="1" selected="0">
            <x v="297"/>
          </reference>
        </references>
      </pivotArea>
    </chartFormat>
    <chartFormat chart="1" format="211">
      <pivotArea type="data" outline="0" fieldPosition="0">
        <references count="2">
          <reference field="4294967294" count="1" selected="0">
            <x v="0"/>
          </reference>
          <reference field="3" count="1" selected="0">
            <x v="149"/>
          </reference>
        </references>
      </pivotArea>
    </chartFormat>
    <chartFormat chart="1" format="212">
      <pivotArea type="data" outline="0" fieldPosition="0">
        <references count="2">
          <reference field="4294967294" count="1" selected="0">
            <x v="0"/>
          </reference>
          <reference field="3" count="1" selected="0">
            <x v="299"/>
          </reference>
        </references>
      </pivotArea>
    </chartFormat>
    <chartFormat chart="1" format="213">
      <pivotArea type="data" outline="0" fieldPosition="0">
        <references count="2">
          <reference field="4294967294" count="1" selected="0">
            <x v="0"/>
          </reference>
          <reference field="3" count="1" selected="0">
            <x v="377"/>
          </reference>
        </references>
      </pivotArea>
    </chartFormat>
    <chartFormat chart="1" format="214">
      <pivotArea type="data" outline="0" fieldPosition="0">
        <references count="2">
          <reference field="4294967294" count="1" selected="0">
            <x v="0"/>
          </reference>
          <reference field="3" count="1" selected="0">
            <x v="369"/>
          </reference>
        </references>
      </pivotArea>
    </chartFormat>
    <chartFormat chart="1" format="215">
      <pivotArea type="data" outline="0" fieldPosition="0">
        <references count="2">
          <reference field="4294967294" count="1" selected="0">
            <x v="0"/>
          </reference>
          <reference field="3" count="1" selected="0">
            <x v="382"/>
          </reference>
        </references>
      </pivotArea>
    </chartFormat>
    <chartFormat chart="1" format="216">
      <pivotArea type="data" outline="0" fieldPosition="0">
        <references count="2">
          <reference field="4294967294" count="1" selected="0">
            <x v="0"/>
          </reference>
          <reference field="3" count="1" selected="0">
            <x v="45"/>
          </reference>
        </references>
      </pivotArea>
    </chartFormat>
    <chartFormat chart="1" format="217">
      <pivotArea type="data" outline="0" fieldPosition="0">
        <references count="2">
          <reference field="4294967294" count="1" selected="0">
            <x v="0"/>
          </reference>
          <reference field="3" count="1" selected="0">
            <x v="439"/>
          </reference>
        </references>
      </pivotArea>
    </chartFormat>
    <chartFormat chart="1" format="218">
      <pivotArea type="data" outline="0" fieldPosition="0">
        <references count="2">
          <reference field="4294967294" count="1" selected="0">
            <x v="0"/>
          </reference>
          <reference field="3" count="1" selected="0">
            <x v="66"/>
          </reference>
        </references>
      </pivotArea>
    </chartFormat>
    <chartFormat chart="1" format="219">
      <pivotArea type="data" outline="0" fieldPosition="0">
        <references count="2">
          <reference field="4294967294" count="1" selected="0">
            <x v="0"/>
          </reference>
          <reference field="3" count="1" selected="0">
            <x v="421"/>
          </reference>
        </references>
      </pivotArea>
    </chartFormat>
    <chartFormat chart="1" format="220">
      <pivotArea type="data" outline="0" fieldPosition="0">
        <references count="2">
          <reference field="4294967294" count="1" selected="0">
            <x v="0"/>
          </reference>
          <reference field="3" count="1" selected="0">
            <x v="295"/>
          </reference>
        </references>
      </pivotArea>
    </chartFormat>
    <chartFormat chart="1" format="221">
      <pivotArea type="data" outline="0" fieldPosition="0">
        <references count="2">
          <reference field="4294967294" count="1" selected="0">
            <x v="0"/>
          </reference>
          <reference field="3" count="1" selected="0">
            <x v="92"/>
          </reference>
        </references>
      </pivotArea>
    </chartFormat>
    <chartFormat chart="1" format="222">
      <pivotArea type="data" outline="0" fieldPosition="0">
        <references count="2">
          <reference field="4294967294" count="1" selected="0">
            <x v="0"/>
          </reference>
          <reference field="3" count="1" selected="0">
            <x v="202"/>
          </reference>
        </references>
      </pivotArea>
    </chartFormat>
    <chartFormat chart="1" format="223">
      <pivotArea type="data" outline="0" fieldPosition="0">
        <references count="2">
          <reference field="4294967294" count="1" selected="0">
            <x v="0"/>
          </reference>
          <reference field="3" count="1" selected="0">
            <x v="1"/>
          </reference>
        </references>
      </pivotArea>
    </chartFormat>
    <chartFormat chart="1" format="224">
      <pivotArea type="data" outline="0" fieldPosition="0">
        <references count="2">
          <reference field="4294967294" count="1" selected="0">
            <x v="0"/>
          </reference>
          <reference field="3" count="1" selected="0">
            <x v="97"/>
          </reference>
        </references>
      </pivotArea>
    </chartFormat>
    <chartFormat chart="1" format="225">
      <pivotArea type="data" outline="0" fieldPosition="0">
        <references count="2">
          <reference field="4294967294" count="1" selected="0">
            <x v="0"/>
          </reference>
          <reference field="3" count="1" selected="0">
            <x v="12"/>
          </reference>
        </references>
      </pivotArea>
    </chartFormat>
    <chartFormat chart="1" format="226">
      <pivotArea type="data" outline="0" fieldPosition="0">
        <references count="2">
          <reference field="4294967294" count="1" selected="0">
            <x v="0"/>
          </reference>
          <reference field="3" count="1" selected="0">
            <x v="460"/>
          </reference>
        </references>
      </pivotArea>
    </chartFormat>
    <chartFormat chart="1" format="227">
      <pivotArea type="data" outline="0" fieldPosition="0">
        <references count="2">
          <reference field="4294967294" count="1" selected="0">
            <x v="0"/>
          </reference>
          <reference field="3" count="1" selected="0">
            <x v="159"/>
          </reference>
        </references>
      </pivotArea>
    </chartFormat>
    <chartFormat chart="1" format="228">
      <pivotArea type="data" outline="0" fieldPosition="0">
        <references count="2">
          <reference field="4294967294" count="1" selected="0">
            <x v="0"/>
          </reference>
          <reference field="3" count="1" selected="0">
            <x v="176"/>
          </reference>
        </references>
      </pivotArea>
    </chartFormat>
    <chartFormat chart="1" format="229">
      <pivotArea type="data" outline="0" fieldPosition="0">
        <references count="2">
          <reference field="4294967294" count="1" selected="0">
            <x v="0"/>
          </reference>
          <reference field="3" count="1" selected="0">
            <x v="208"/>
          </reference>
        </references>
      </pivotArea>
    </chartFormat>
    <chartFormat chart="1" format="230">
      <pivotArea type="data" outline="0" fieldPosition="0">
        <references count="2">
          <reference field="4294967294" count="1" selected="0">
            <x v="0"/>
          </reference>
          <reference field="3" count="1" selected="0">
            <x v="88"/>
          </reference>
        </references>
      </pivotArea>
    </chartFormat>
    <chartFormat chart="1" format="231">
      <pivotArea type="data" outline="0" fieldPosition="0">
        <references count="2">
          <reference field="4294967294" count="1" selected="0">
            <x v="0"/>
          </reference>
          <reference field="3" count="1" selected="0">
            <x v="344"/>
          </reference>
        </references>
      </pivotArea>
    </chartFormat>
    <chartFormat chart="1" format="232">
      <pivotArea type="data" outline="0" fieldPosition="0">
        <references count="2">
          <reference field="4294967294" count="1" selected="0">
            <x v="0"/>
          </reference>
          <reference field="3" count="1" selected="0">
            <x v="356"/>
          </reference>
        </references>
      </pivotArea>
    </chartFormat>
    <chartFormat chart="1" format="233">
      <pivotArea type="data" outline="0" fieldPosition="0">
        <references count="2">
          <reference field="4294967294" count="1" selected="0">
            <x v="0"/>
          </reference>
          <reference field="3" count="1" selected="0">
            <x v="332"/>
          </reference>
        </references>
      </pivotArea>
    </chartFormat>
    <chartFormat chart="1" format="234">
      <pivotArea type="data" outline="0" fieldPosition="0">
        <references count="2">
          <reference field="4294967294" count="1" selected="0">
            <x v="0"/>
          </reference>
          <reference field="3" count="1" selected="0">
            <x v="290"/>
          </reference>
        </references>
      </pivotArea>
    </chartFormat>
    <chartFormat chart="1" format="235">
      <pivotArea type="data" outline="0" fieldPosition="0">
        <references count="2">
          <reference field="4294967294" count="1" selected="0">
            <x v="0"/>
          </reference>
          <reference field="3" count="1" selected="0">
            <x v="126"/>
          </reference>
        </references>
      </pivotArea>
    </chartFormat>
    <chartFormat chart="1" format="236">
      <pivotArea type="data" outline="0" fieldPosition="0">
        <references count="2">
          <reference field="4294967294" count="1" selected="0">
            <x v="0"/>
          </reference>
          <reference field="3" count="1" selected="0">
            <x v="348"/>
          </reference>
        </references>
      </pivotArea>
    </chartFormat>
    <chartFormat chart="1" format="237">
      <pivotArea type="data" outline="0" fieldPosition="0">
        <references count="2">
          <reference field="4294967294" count="1" selected="0">
            <x v="0"/>
          </reference>
          <reference field="3" count="1" selected="0">
            <x v="198"/>
          </reference>
        </references>
      </pivotArea>
    </chartFormat>
    <chartFormat chart="1" format="238">
      <pivotArea type="data" outline="0" fieldPosition="0">
        <references count="2">
          <reference field="4294967294" count="1" selected="0">
            <x v="0"/>
          </reference>
          <reference field="3" count="1" selected="0">
            <x v="279"/>
          </reference>
        </references>
      </pivotArea>
    </chartFormat>
    <chartFormat chart="1" format="239">
      <pivotArea type="data" outline="0" fieldPosition="0">
        <references count="2">
          <reference field="4294967294" count="1" selected="0">
            <x v="0"/>
          </reference>
          <reference field="3" count="1" selected="0">
            <x v="6"/>
          </reference>
        </references>
      </pivotArea>
    </chartFormat>
    <chartFormat chart="1" format="240">
      <pivotArea type="data" outline="0" fieldPosition="0">
        <references count="2">
          <reference field="4294967294" count="1" selected="0">
            <x v="0"/>
          </reference>
          <reference field="3" count="1" selected="0">
            <x v="82"/>
          </reference>
        </references>
      </pivotArea>
    </chartFormat>
    <chartFormat chart="1" format="241">
      <pivotArea type="data" outline="0" fieldPosition="0">
        <references count="2">
          <reference field="4294967294" count="1" selected="0">
            <x v="0"/>
          </reference>
          <reference field="3" count="1" selected="0">
            <x v="346"/>
          </reference>
        </references>
      </pivotArea>
    </chartFormat>
    <chartFormat chart="1" format="242">
      <pivotArea type="data" outline="0" fieldPosition="0">
        <references count="2">
          <reference field="4294967294" count="1" selected="0">
            <x v="0"/>
          </reference>
          <reference field="3" count="1" selected="0">
            <x v="150"/>
          </reference>
        </references>
      </pivotArea>
    </chartFormat>
    <chartFormat chart="1" format="243">
      <pivotArea type="data" outline="0" fieldPosition="0">
        <references count="2">
          <reference field="4294967294" count="1" selected="0">
            <x v="0"/>
          </reference>
          <reference field="3" count="1" selected="0">
            <x v="143"/>
          </reference>
        </references>
      </pivotArea>
    </chartFormat>
    <chartFormat chart="1" format="244">
      <pivotArea type="data" outline="0" fieldPosition="0">
        <references count="2">
          <reference field="4294967294" count="1" selected="0">
            <x v="0"/>
          </reference>
          <reference field="3" count="1" selected="0">
            <x v="338"/>
          </reference>
        </references>
      </pivotArea>
    </chartFormat>
    <chartFormat chart="1" format="245">
      <pivotArea type="data" outline="0" fieldPosition="0">
        <references count="2">
          <reference field="4294967294" count="1" selected="0">
            <x v="0"/>
          </reference>
          <reference field="3" count="1" selected="0">
            <x v="71"/>
          </reference>
        </references>
      </pivotArea>
    </chartFormat>
    <chartFormat chart="1" format="246">
      <pivotArea type="data" outline="0" fieldPosition="0">
        <references count="2">
          <reference field="4294967294" count="1" selected="0">
            <x v="0"/>
          </reference>
          <reference field="3" count="1" selected="0">
            <x v="364"/>
          </reference>
        </references>
      </pivotArea>
    </chartFormat>
    <chartFormat chart="1" format="247">
      <pivotArea type="data" outline="0" fieldPosition="0">
        <references count="2">
          <reference field="4294967294" count="1" selected="0">
            <x v="0"/>
          </reference>
          <reference field="3" count="1" selected="0">
            <x v="461"/>
          </reference>
        </references>
      </pivotArea>
    </chartFormat>
    <chartFormat chart="1" format="248">
      <pivotArea type="data" outline="0" fieldPosition="0">
        <references count="2">
          <reference field="4294967294" count="1" selected="0">
            <x v="0"/>
          </reference>
          <reference field="3" count="1" selected="0">
            <x v="215"/>
          </reference>
        </references>
      </pivotArea>
    </chartFormat>
    <chartFormat chart="1" format="249">
      <pivotArea type="data" outline="0" fieldPosition="0">
        <references count="2">
          <reference field="4294967294" count="1" selected="0">
            <x v="0"/>
          </reference>
          <reference field="3" count="1" selected="0">
            <x v="474"/>
          </reference>
        </references>
      </pivotArea>
    </chartFormat>
    <chartFormat chart="1" format="250">
      <pivotArea type="data" outline="0" fieldPosition="0">
        <references count="2">
          <reference field="4294967294" count="1" selected="0">
            <x v="0"/>
          </reference>
          <reference field="3" count="1" selected="0">
            <x v="77"/>
          </reference>
        </references>
      </pivotArea>
    </chartFormat>
    <chartFormat chart="1" format="251">
      <pivotArea type="data" outline="0" fieldPosition="0">
        <references count="2">
          <reference field="4294967294" count="1" selected="0">
            <x v="0"/>
          </reference>
          <reference field="3" count="1" selected="0">
            <x v="444"/>
          </reference>
        </references>
      </pivotArea>
    </chartFormat>
    <chartFormat chart="1" format="252">
      <pivotArea type="data" outline="0" fieldPosition="0">
        <references count="2">
          <reference field="4294967294" count="1" selected="0">
            <x v="0"/>
          </reference>
          <reference field="3" count="1" selected="0">
            <x v="229"/>
          </reference>
        </references>
      </pivotArea>
    </chartFormat>
    <chartFormat chart="1" format="253">
      <pivotArea type="data" outline="0" fieldPosition="0">
        <references count="2">
          <reference field="4294967294" count="1" selected="0">
            <x v="0"/>
          </reference>
          <reference field="3" count="1" selected="0">
            <x v="318"/>
          </reference>
        </references>
      </pivotArea>
    </chartFormat>
    <chartFormat chart="1" format="254">
      <pivotArea type="data" outline="0" fieldPosition="0">
        <references count="2">
          <reference field="4294967294" count="1" selected="0">
            <x v="0"/>
          </reference>
          <reference field="3" count="1" selected="0">
            <x v="117"/>
          </reference>
        </references>
      </pivotArea>
    </chartFormat>
    <chartFormat chart="1" format="255">
      <pivotArea type="data" outline="0" fieldPosition="0">
        <references count="2">
          <reference field="4294967294" count="1" selected="0">
            <x v="0"/>
          </reference>
          <reference field="3" count="1" selected="0">
            <x v="342"/>
          </reference>
        </references>
      </pivotArea>
    </chartFormat>
    <chartFormat chart="1" format="256">
      <pivotArea type="data" outline="0" fieldPosition="0">
        <references count="2">
          <reference field="4294967294" count="1" selected="0">
            <x v="0"/>
          </reference>
          <reference field="3" count="1" selected="0">
            <x v="411"/>
          </reference>
        </references>
      </pivotArea>
    </chartFormat>
    <chartFormat chart="1" format="257">
      <pivotArea type="data" outline="0" fieldPosition="0">
        <references count="2">
          <reference field="4294967294" count="1" selected="0">
            <x v="0"/>
          </reference>
          <reference field="3" count="1" selected="0">
            <x v="402"/>
          </reference>
        </references>
      </pivotArea>
    </chartFormat>
    <chartFormat chart="1" format="258">
      <pivotArea type="data" outline="0" fieldPosition="0">
        <references count="2">
          <reference field="4294967294" count="1" selected="0">
            <x v="0"/>
          </reference>
          <reference field="3" count="1" selected="0">
            <x v="30"/>
          </reference>
        </references>
      </pivotArea>
    </chartFormat>
    <chartFormat chart="1" format="259">
      <pivotArea type="data" outline="0" fieldPosition="0">
        <references count="2">
          <reference field="4294967294" count="1" selected="0">
            <x v="0"/>
          </reference>
          <reference field="3" count="1" selected="0">
            <x v="355"/>
          </reference>
        </references>
      </pivotArea>
    </chartFormat>
    <chartFormat chart="1" format="260">
      <pivotArea type="data" outline="0" fieldPosition="0">
        <references count="2">
          <reference field="4294967294" count="1" selected="0">
            <x v="0"/>
          </reference>
          <reference field="3" count="1" selected="0">
            <x v="384"/>
          </reference>
        </references>
      </pivotArea>
    </chartFormat>
    <chartFormat chart="1" format="261">
      <pivotArea type="data" outline="0" fieldPosition="0">
        <references count="2">
          <reference field="4294967294" count="1" selected="0">
            <x v="0"/>
          </reference>
          <reference field="3" count="1" selected="0">
            <x v="72"/>
          </reference>
        </references>
      </pivotArea>
    </chartFormat>
    <chartFormat chart="1" format="262">
      <pivotArea type="data" outline="0" fieldPosition="0">
        <references count="2">
          <reference field="4294967294" count="1" selected="0">
            <x v="0"/>
          </reference>
          <reference field="3" count="1" selected="0">
            <x v="56"/>
          </reference>
        </references>
      </pivotArea>
    </chartFormat>
    <chartFormat chart="1" format="263">
      <pivotArea type="data" outline="0" fieldPosition="0">
        <references count="2">
          <reference field="4294967294" count="1" selected="0">
            <x v="0"/>
          </reference>
          <reference field="3" count="1" selected="0">
            <x v="60"/>
          </reference>
        </references>
      </pivotArea>
    </chartFormat>
    <chartFormat chart="1" format="264">
      <pivotArea type="data" outline="0" fieldPosition="0">
        <references count="2">
          <reference field="4294967294" count="1" selected="0">
            <x v="0"/>
          </reference>
          <reference field="3" count="1" selected="0">
            <x v="329"/>
          </reference>
        </references>
      </pivotArea>
    </chartFormat>
    <chartFormat chart="1" format="265">
      <pivotArea type="data" outline="0" fieldPosition="0">
        <references count="2">
          <reference field="4294967294" count="1" selected="0">
            <x v="0"/>
          </reference>
          <reference field="3" count="1" selected="0">
            <x v="170"/>
          </reference>
        </references>
      </pivotArea>
    </chartFormat>
    <chartFormat chart="1" format="266">
      <pivotArea type="data" outline="0" fieldPosition="0">
        <references count="2">
          <reference field="4294967294" count="1" selected="0">
            <x v="0"/>
          </reference>
          <reference field="3" count="1" selected="0">
            <x v="322"/>
          </reference>
        </references>
      </pivotArea>
    </chartFormat>
    <chartFormat chart="1" format="267">
      <pivotArea type="data" outline="0" fieldPosition="0">
        <references count="2">
          <reference field="4294967294" count="1" selected="0">
            <x v="0"/>
          </reference>
          <reference field="3" count="1" selected="0">
            <x v="341"/>
          </reference>
        </references>
      </pivotArea>
    </chartFormat>
    <chartFormat chart="1" format="268">
      <pivotArea type="data" outline="0" fieldPosition="0">
        <references count="2">
          <reference field="4294967294" count="1" selected="0">
            <x v="0"/>
          </reference>
          <reference field="3" count="1" selected="0">
            <x v="224"/>
          </reference>
        </references>
      </pivotArea>
    </chartFormat>
    <chartFormat chart="1" format="269">
      <pivotArea type="data" outline="0" fieldPosition="0">
        <references count="2">
          <reference field="4294967294" count="1" selected="0">
            <x v="0"/>
          </reference>
          <reference field="3" count="1" selected="0">
            <x v="47"/>
          </reference>
        </references>
      </pivotArea>
    </chartFormat>
    <chartFormat chart="1" format="270">
      <pivotArea type="data" outline="0" fieldPosition="0">
        <references count="2">
          <reference field="4294967294" count="1" selected="0">
            <x v="0"/>
          </reference>
          <reference field="3" count="1" selected="0">
            <x v="433"/>
          </reference>
        </references>
      </pivotArea>
    </chartFormat>
    <chartFormat chart="1" format="271">
      <pivotArea type="data" outline="0" fieldPosition="0">
        <references count="2">
          <reference field="4294967294" count="1" selected="0">
            <x v="0"/>
          </reference>
          <reference field="3" count="1" selected="0">
            <x v="221"/>
          </reference>
        </references>
      </pivotArea>
    </chartFormat>
    <chartFormat chart="1" format="272">
      <pivotArea type="data" outline="0" fieldPosition="0">
        <references count="2">
          <reference field="4294967294" count="1" selected="0">
            <x v="0"/>
          </reference>
          <reference field="3" count="1" selected="0">
            <x v="335"/>
          </reference>
        </references>
      </pivotArea>
    </chartFormat>
    <chartFormat chart="1" format="273">
      <pivotArea type="data" outline="0" fieldPosition="0">
        <references count="2">
          <reference field="4294967294" count="1" selected="0">
            <x v="0"/>
          </reference>
          <reference field="3" count="1" selected="0">
            <x v="59"/>
          </reference>
        </references>
      </pivotArea>
    </chartFormat>
    <chartFormat chart="1" format="274">
      <pivotArea type="data" outline="0" fieldPosition="0">
        <references count="2">
          <reference field="4294967294" count="1" selected="0">
            <x v="0"/>
          </reference>
          <reference field="3" count="1" selected="0">
            <x v="320"/>
          </reference>
        </references>
      </pivotArea>
    </chartFormat>
    <chartFormat chart="0" format="1">
      <pivotArea type="data" outline="0" fieldPosition="0">
        <references count="2">
          <reference field="4294967294" count="1" selected="0">
            <x v="0"/>
          </reference>
          <reference field="3" count="1" selected="0">
            <x v="476"/>
          </reference>
        </references>
      </pivotArea>
    </chartFormat>
    <chartFormat chart="0" format="2">
      <pivotArea type="data" outline="0" fieldPosition="0">
        <references count="2">
          <reference field="4294967294" count="1" selected="0">
            <x v="0"/>
          </reference>
          <reference field="3" count="1" selected="0">
            <x v="8"/>
          </reference>
        </references>
      </pivotArea>
    </chartFormat>
    <chartFormat chart="0" format="3">
      <pivotArea type="data" outline="0" fieldPosition="0">
        <references count="2">
          <reference field="4294967294" count="1" selected="0">
            <x v="0"/>
          </reference>
          <reference field="3" count="1" selected="0">
            <x v="343"/>
          </reference>
        </references>
      </pivotArea>
    </chartFormat>
    <chartFormat chart="0" format="4">
      <pivotArea type="data" outline="0" fieldPosition="0">
        <references count="2">
          <reference field="4294967294" count="1" selected="0">
            <x v="0"/>
          </reference>
          <reference field="3" count="1" selected="0">
            <x v="21"/>
          </reference>
        </references>
      </pivotArea>
    </chartFormat>
    <chartFormat chart="0" format="5">
      <pivotArea type="data" outline="0" fieldPosition="0">
        <references count="2">
          <reference field="4294967294" count="1" selected="0">
            <x v="0"/>
          </reference>
          <reference field="3" count="1" selected="0">
            <x v="280"/>
          </reference>
        </references>
      </pivotArea>
    </chartFormat>
    <chartFormat chart="0" format="6">
      <pivotArea type="data" outline="0" fieldPosition="0">
        <references count="2">
          <reference field="4294967294" count="1" selected="0">
            <x v="0"/>
          </reference>
          <reference field="3" count="1" selected="0">
            <x v="399"/>
          </reference>
        </references>
      </pivotArea>
    </chartFormat>
    <chartFormat chart="0" format="7">
      <pivotArea type="data" outline="0" fieldPosition="0">
        <references count="2">
          <reference field="4294967294" count="1" selected="0">
            <x v="0"/>
          </reference>
          <reference field="3" count="1" selected="0">
            <x v="394"/>
          </reference>
        </references>
      </pivotArea>
    </chartFormat>
    <chartFormat chart="0" format="8">
      <pivotArea type="data" outline="0" fieldPosition="0">
        <references count="2">
          <reference field="4294967294" count="1" selected="0">
            <x v="0"/>
          </reference>
          <reference field="3" count="1" selected="0">
            <x v="180"/>
          </reference>
        </references>
      </pivotArea>
    </chartFormat>
    <chartFormat chart="0" format="9">
      <pivotArea type="data" outline="0" fieldPosition="0">
        <references count="2">
          <reference field="4294967294" count="1" selected="0">
            <x v="0"/>
          </reference>
          <reference field="3" count="1" selected="0">
            <x v="235"/>
          </reference>
        </references>
      </pivotArea>
    </chartFormat>
    <chartFormat chart="0" format="10">
      <pivotArea type="data" outline="0" fieldPosition="0">
        <references count="2">
          <reference field="4294967294" count="1" selected="0">
            <x v="0"/>
          </reference>
          <reference field="3" count="1" selected="0">
            <x v="321"/>
          </reference>
        </references>
      </pivotArea>
    </chartFormat>
    <chartFormat chart="0" format="11">
      <pivotArea type="data" outline="0" fieldPosition="0">
        <references count="2">
          <reference field="4294967294" count="1" selected="0">
            <x v="0"/>
          </reference>
          <reference field="3" count="1" selected="0">
            <x v="139"/>
          </reference>
        </references>
      </pivotArea>
    </chartFormat>
    <chartFormat chart="0" format="12">
      <pivotArea type="data" outline="0" fieldPosition="0">
        <references count="2">
          <reference field="4294967294" count="1" selected="0">
            <x v="0"/>
          </reference>
          <reference field="3" count="1" selected="0">
            <x v="205"/>
          </reference>
        </references>
      </pivotArea>
    </chartFormat>
    <chartFormat chart="0" format="13">
      <pivotArea type="data" outline="0" fieldPosition="0">
        <references count="2">
          <reference field="4294967294" count="1" selected="0">
            <x v="0"/>
          </reference>
          <reference field="3" count="1" selected="0">
            <x v="495"/>
          </reference>
        </references>
      </pivotArea>
    </chartFormat>
    <chartFormat chart="0" format="14">
      <pivotArea type="data" outline="0" fieldPosition="0">
        <references count="2">
          <reference field="4294967294" count="1" selected="0">
            <x v="0"/>
          </reference>
          <reference field="3" count="1" selected="0">
            <x v="359"/>
          </reference>
        </references>
      </pivotArea>
    </chartFormat>
    <chartFormat chart="0" format="15">
      <pivotArea type="data" outline="0" fieldPosition="0">
        <references count="2">
          <reference field="4294967294" count="1" selected="0">
            <x v="0"/>
          </reference>
          <reference field="3" count="1" selected="0">
            <x v="203"/>
          </reference>
        </references>
      </pivotArea>
    </chartFormat>
    <chartFormat chart="0" format="16">
      <pivotArea type="data" outline="0" fieldPosition="0">
        <references count="2">
          <reference field="4294967294" count="1" selected="0">
            <x v="0"/>
          </reference>
          <reference field="3" count="1" selected="0">
            <x v="454"/>
          </reference>
        </references>
      </pivotArea>
    </chartFormat>
    <chartFormat chart="0" format="17">
      <pivotArea type="data" outline="0" fieldPosition="0">
        <references count="2">
          <reference field="4294967294" count="1" selected="0">
            <x v="0"/>
          </reference>
          <reference field="3" count="1" selected="0">
            <x v="487"/>
          </reference>
        </references>
      </pivotArea>
    </chartFormat>
    <chartFormat chart="0" format="18">
      <pivotArea type="data" outline="0" fieldPosition="0">
        <references count="2">
          <reference field="4294967294" count="1" selected="0">
            <x v="0"/>
          </reference>
          <reference field="3" count="1" selected="0">
            <x v="397"/>
          </reference>
        </references>
      </pivotArea>
    </chartFormat>
    <chartFormat chart="0" format="19">
      <pivotArea type="data" outline="0" fieldPosition="0">
        <references count="2">
          <reference field="4294967294" count="1" selected="0">
            <x v="0"/>
          </reference>
          <reference field="3" count="1" selected="0">
            <x v="486"/>
          </reference>
        </references>
      </pivotArea>
    </chartFormat>
    <chartFormat chart="0" format="20">
      <pivotArea type="data" outline="0" fieldPosition="0">
        <references count="2">
          <reference field="4294967294" count="1" selected="0">
            <x v="0"/>
          </reference>
          <reference field="3" count="1" selected="0">
            <x v="403"/>
          </reference>
        </references>
      </pivotArea>
    </chartFormat>
    <chartFormat chart="0" format="21">
      <pivotArea type="data" outline="0" fieldPosition="0">
        <references count="2">
          <reference field="4294967294" count="1" selected="0">
            <x v="0"/>
          </reference>
          <reference field="3" count="1" selected="0">
            <x v="156"/>
          </reference>
        </references>
      </pivotArea>
    </chartFormat>
    <chartFormat chart="0" format="22">
      <pivotArea type="data" outline="0" fieldPosition="0">
        <references count="2">
          <reference field="4294967294" count="1" selected="0">
            <x v="0"/>
          </reference>
          <reference field="3" count="1" selected="0">
            <x v="54"/>
          </reference>
        </references>
      </pivotArea>
    </chartFormat>
    <chartFormat chart="0" format="23">
      <pivotArea type="data" outline="0" fieldPosition="0">
        <references count="2">
          <reference field="4294967294" count="1" selected="0">
            <x v="0"/>
          </reference>
          <reference field="3" count="1" selected="0">
            <x v="182"/>
          </reference>
        </references>
      </pivotArea>
    </chartFormat>
    <chartFormat chart="0" format="24">
      <pivotArea type="data" outline="0" fieldPosition="0">
        <references count="2">
          <reference field="4294967294" count="1" selected="0">
            <x v="0"/>
          </reference>
          <reference field="3" count="1" selected="0">
            <x v="478"/>
          </reference>
        </references>
      </pivotArea>
    </chartFormat>
    <chartFormat chart="0" format="25">
      <pivotArea type="data" outline="0" fieldPosition="0">
        <references count="2">
          <reference field="4294967294" count="1" selected="0">
            <x v="0"/>
          </reference>
          <reference field="3" count="1" selected="0">
            <x v="449"/>
          </reference>
        </references>
      </pivotArea>
    </chartFormat>
    <chartFormat chart="0" format="26">
      <pivotArea type="data" outline="0" fieldPosition="0">
        <references count="2">
          <reference field="4294967294" count="1" selected="0">
            <x v="0"/>
          </reference>
          <reference field="3" count="1" selected="0">
            <x v="15"/>
          </reference>
        </references>
      </pivotArea>
    </chartFormat>
    <chartFormat chart="0" format="27">
      <pivotArea type="data" outline="0" fieldPosition="0">
        <references count="2">
          <reference field="4294967294" count="1" selected="0">
            <x v="0"/>
          </reference>
          <reference field="3" count="1" selected="0">
            <x v="193"/>
          </reference>
        </references>
      </pivotArea>
    </chartFormat>
    <chartFormat chart="0" format="28">
      <pivotArea type="data" outline="0" fieldPosition="0">
        <references count="2">
          <reference field="4294967294" count="1" selected="0">
            <x v="0"/>
          </reference>
          <reference field="3" count="1" selected="0">
            <x v="372"/>
          </reference>
        </references>
      </pivotArea>
    </chartFormat>
    <chartFormat chart="0" format="29">
      <pivotArea type="data" outline="0" fieldPosition="0">
        <references count="2">
          <reference field="4294967294" count="1" selected="0">
            <x v="0"/>
          </reference>
          <reference field="3" count="1" selected="0">
            <x v="471"/>
          </reference>
        </references>
      </pivotArea>
    </chartFormat>
    <chartFormat chart="0" format="30">
      <pivotArea type="data" outline="0" fieldPosition="0">
        <references count="2">
          <reference field="4294967294" count="1" selected="0">
            <x v="0"/>
          </reference>
          <reference field="3" count="1" selected="0">
            <x v="265"/>
          </reference>
        </references>
      </pivotArea>
    </chartFormat>
    <chartFormat chart="0" format="31">
      <pivotArea type="data" outline="0" fieldPosition="0">
        <references count="2">
          <reference field="4294967294" count="1" selected="0">
            <x v="0"/>
          </reference>
          <reference field="3" count="1" selected="0">
            <x v="366"/>
          </reference>
        </references>
      </pivotArea>
    </chartFormat>
    <chartFormat chart="0" format="32">
      <pivotArea type="data" outline="0" fieldPosition="0">
        <references count="2">
          <reference field="4294967294" count="1" selected="0">
            <x v="0"/>
          </reference>
          <reference field="3" count="1" selected="0">
            <x v="63"/>
          </reference>
        </references>
      </pivotArea>
    </chartFormat>
    <chartFormat chart="0" format="33">
      <pivotArea type="data" outline="0" fieldPosition="0">
        <references count="2">
          <reference field="4294967294" count="1" selected="0">
            <x v="0"/>
          </reference>
          <reference field="3" count="1" selected="0">
            <x v="309"/>
          </reference>
        </references>
      </pivotArea>
    </chartFormat>
    <chartFormat chart="0" format="34">
      <pivotArea type="data" outline="0" fieldPosition="0">
        <references count="2">
          <reference field="4294967294" count="1" selected="0">
            <x v="0"/>
          </reference>
          <reference field="3" count="1" selected="0">
            <x v="292"/>
          </reference>
        </references>
      </pivotArea>
    </chartFormat>
    <chartFormat chart="0" format="35">
      <pivotArea type="data" outline="0" fieldPosition="0">
        <references count="2">
          <reference field="4294967294" count="1" selected="0">
            <x v="0"/>
          </reference>
          <reference field="3" count="1" selected="0">
            <x v="326"/>
          </reference>
        </references>
      </pivotArea>
    </chartFormat>
    <chartFormat chart="0" format="36">
      <pivotArea type="data" outline="0" fieldPosition="0">
        <references count="2">
          <reference field="4294967294" count="1" selected="0">
            <x v="0"/>
          </reference>
          <reference field="3" count="1" selected="0">
            <x v="423"/>
          </reference>
        </references>
      </pivotArea>
    </chartFormat>
    <chartFormat chart="0" format="37">
      <pivotArea type="data" outline="0" fieldPosition="0">
        <references count="2">
          <reference field="4294967294" count="1" selected="0">
            <x v="0"/>
          </reference>
          <reference field="3" count="1" selected="0">
            <x v="276"/>
          </reference>
        </references>
      </pivotArea>
    </chartFormat>
    <chartFormat chart="0" format="38">
      <pivotArea type="data" outline="0" fieldPosition="0">
        <references count="2">
          <reference field="4294967294" count="1" selected="0">
            <x v="0"/>
          </reference>
          <reference field="3" count="1" selected="0">
            <x v="79"/>
          </reference>
        </references>
      </pivotArea>
    </chartFormat>
    <chartFormat chart="0" format="39">
      <pivotArea type="data" outline="0" fieldPosition="0">
        <references count="2">
          <reference field="4294967294" count="1" selected="0">
            <x v="0"/>
          </reference>
          <reference field="3" count="1" selected="0">
            <x v="210"/>
          </reference>
        </references>
      </pivotArea>
    </chartFormat>
    <chartFormat chart="0" format="40">
      <pivotArea type="data" outline="0" fieldPosition="0">
        <references count="2">
          <reference field="4294967294" count="1" selected="0">
            <x v="0"/>
          </reference>
          <reference field="3" count="1" selected="0">
            <x v="225"/>
          </reference>
        </references>
      </pivotArea>
    </chartFormat>
    <chartFormat chart="0" format="41">
      <pivotArea type="data" outline="0" fieldPosition="0">
        <references count="2">
          <reference field="4294967294" count="1" selected="0">
            <x v="0"/>
          </reference>
          <reference field="3" count="1" selected="0">
            <x v="410"/>
          </reference>
        </references>
      </pivotArea>
    </chartFormat>
    <chartFormat chart="0" format="42">
      <pivotArea type="data" outline="0" fieldPosition="0">
        <references count="2">
          <reference field="4294967294" count="1" selected="0">
            <x v="0"/>
          </reference>
          <reference field="3" count="1" selected="0">
            <x v="201"/>
          </reference>
        </references>
      </pivotArea>
    </chartFormat>
    <chartFormat chart="0" format="43">
      <pivotArea type="data" outline="0" fieldPosition="0">
        <references count="2">
          <reference field="4294967294" count="1" selected="0">
            <x v="0"/>
          </reference>
          <reference field="3" count="1" selected="0">
            <x v="281"/>
          </reference>
        </references>
      </pivotArea>
    </chartFormat>
    <chartFormat chart="0" format="44">
      <pivotArea type="data" outline="0" fieldPosition="0">
        <references count="2">
          <reference field="4294967294" count="1" selected="0">
            <x v="0"/>
          </reference>
          <reference field="3" count="1" selected="0">
            <x v="151"/>
          </reference>
        </references>
      </pivotArea>
    </chartFormat>
    <chartFormat chart="0" format="45">
      <pivotArea type="data" outline="0" fieldPosition="0">
        <references count="2">
          <reference field="4294967294" count="1" selected="0">
            <x v="0"/>
          </reference>
          <reference field="3" count="1" selected="0">
            <x v="490"/>
          </reference>
        </references>
      </pivotArea>
    </chartFormat>
    <chartFormat chart="0" format="46">
      <pivotArea type="data" outline="0" fieldPosition="0">
        <references count="2">
          <reference field="4294967294" count="1" selected="0">
            <x v="0"/>
          </reference>
          <reference field="3" count="1" selected="0">
            <x v="125"/>
          </reference>
        </references>
      </pivotArea>
    </chartFormat>
    <chartFormat chart="0" format="47">
      <pivotArea type="data" outline="0" fieldPosition="0">
        <references count="2">
          <reference field="4294967294" count="1" selected="0">
            <x v="0"/>
          </reference>
          <reference field="3" count="1" selected="0">
            <x v="450"/>
          </reference>
        </references>
      </pivotArea>
    </chartFormat>
    <chartFormat chart="0" format="48">
      <pivotArea type="data" outline="0" fieldPosition="0">
        <references count="2">
          <reference field="4294967294" count="1" selected="0">
            <x v="0"/>
          </reference>
          <reference field="3" count="1" selected="0">
            <x v="116"/>
          </reference>
        </references>
      </pivotArea>
    </chartFormat>
    <chartFormat chart="0" format="49">
      <pivotArea type="data" outline="0" fieldPosition="0">
        <references count="2">
          <reference field="4294967294" count="1" selected="0">
            <x v="0"/>
          </reference>
          <reference field="3" count="1" selected="0">
            <x v="244"/>
          </reference>
        </references>
      </pivotArea>
    </chartFormat>
    <chartFormat chart="0" format="50">
      <pivotArea type="data" outline="0" fieldPosition="0">
        <references count="2">
          <reference field="4294967294" count="1" selected="0">
            <x v="0"/>
          </reference>
          <reference field="3" count="1" selected="0">
            <x v="94"/>
          </reference>
        </references>
      </pivotArea>
    </chartFormat>
    <chartFormat chart="0" format="51">
      <pivotArea type="data" outline="0" fieldPosition="0">
        <references count="2">
          <reference field="4294967294" count="1" selected="0">
            <x v="0"/>
          </reference>
          <reference field="3" count="1" selected="0">
            <x v="255"/>
          </reference>
        </references>
      </pivotArea>
    </chartFormat>
    <chartFormat chart="0" format="52">
      <pivotArea type="data" outline="0" fieldPosition="0">
        <references count="2">
          <reference field="4294967294" count="1" selected="0">
            <x v="0"/>
          </reference>
          <reference field="3" count="1" selected="0">
            <x v="480"/>
          </reference>
        </references>
      </pivotArea>
    </chartFormat>
    <chartFormat chart="0" format="53">
      <pivotArea type="data" outline="0" fieldPosition="0">
        <references count="2">
          <reference field="4294967294" count="1" selected="0">
            <x v="0"/>
          </reference>
          <reference field="3" count="1" selected="0">
            <x v="388"/>
          </reference>
        </references>
      </pivotArea>
    </chartFormat>
    <chartFormat chart="0" format="54">
      <pivotArea type="data" outline="0" fieldPosition="0">
        <references count="2">
          <reference field="4294967294" count="1" selected="0">
            <x v="0"/>
          </reference>
          <reference field="3" count="1" selected="0">
            <x v="452"/>
          </reference>
        </references>
      </pivotArea>
    </chartFormat>
    <chartFormat chart="0" format="55">
      <pivotArea type="data" outline="0" fieldPosition="0">
        <references count="2">
          <reference field="4294967294" count="1" selected="0">
            <x v="0"/>
          </reference>
          <reference field="3" count="1" selected="0">
            <x v="89"/>
          </reference>
        </references>
      </pivotArea>
    </chartFormat>
    <chartFormat chart="0" format="56">
      <pivotArea type="data" outline="0" fieldPosition="0">
        <references count="2">
          <reference field="4294967294" count="1" selected="0">
            <x v="0"/>
          </reference>
          <reference field="3" count="1" selected="0">
            <x v="379"/>
          </reference>
        </references>
      </pivotArea>
    </chartFormat>
    <chartFormat chart="0" format="57">
      <pivotArea type="data" outline="0" fieldPosition="0">
        <references count="2">
          <reference field="4294967294" count="1" selected="0">
            <x v="0"/>
          </reference>
          <reference field="3" count="1" selected="0">
            <x v="496"/>
          </reference>
        </references>
      </pivotArea>
    </chartFormat>
    <chartFormat chart="0" format="58">
      <pivotArea type="data" outline="0" fieldPosition="0">
        <references count="2">
          <reference field="4294967294" count="1" selected="0">
            <x v="0"/>
          </reference>
          <reference field="3" count="1" selected="0">
            <x v="351"/>
          </reference>
        </references>
      </pivotArea>
    </chartFormat>
    <chartFormat chart="0" format="59">
      <pivotArea type="data" outline="0" fieldPosition="0">
        <references count="2">
          <reference field="4294967294" count="1" selected="0">
            <x v="0"/>
          </reference>
          <reference field="3" count="1" selected="0">
            <x v="427"/>
          </reference>
        </references>
      </pivotArea>
    </chartFormat>
    <chartFormat chart="0" format="60">
      <pivotArea type="data" outline="0" fieldPosition="0">
        <references count="2">
          <reference field="4294967294" count="1" selected="0">
            <x v="0"/>
          </reference>
          <reference field="3" count="1" selected="0">
            <x v="406"/>
          </reference>
        </references>
      </pivotArea>
    </chartFormat>
    <chartFormat chart="0" format="61">
      <pivotArea type="data" outline="0" fieldPosition="0">
        <references count="2">
          <reference field="4294967294" count="1" selected="0">
            <x v="0"/>
          </reference>
          <reference field="3" count="1" selected="0">
            <x v="479"/>
          </reference>
        </references>
      </pivotArea>
    </chartFormat>
    <chartFormat chart="0" format="62">
      <pivotArea type="data" outline="0" fieldPosition="0">
        <references count="2">
          <reference field="4294967294" count="1" selected="0">
            <x v="0"/>
          </reference>
          <reference field="3" count="1" selected="0">
            <x v="17"/>
          </reference>
        </references>
      </pivotArea>
    </chartFormat>
    <chartFormat chart="0" format="63">
      <pivotArea type="data" outline="0" fieldPosition="0">
        <references count="2">
          <reference field="4294967294" count="1" selected="0">
            <x v="0"/>
          </reference>
          <reference field="3" count="1" selected="0">
            <x v="61"/>
          </reference>
        </references>
      </pivotArea>
    </chartFormat>
    <chartFormat chart="0" format="64">
      <pivotArea type="data" outline="0" fieldPosition="0">
        <references count="2">
          <reference field="4294967294" count="1" selected="0">
            <x v="0"/>
          </reference>
          <reference field="3" count="1" selected="0">
            <x v="177"/>
          </reference>
        </references>
      </pivotArea>
    </chartFormat>
    <chartFormat chart="0" format="65">
      <pivotArea type="data" outline="0" fieldPosition="0">
        <references count="2">
          <reference field="4294967294" count="1" selected="0">
            <x v="0"/>
          </reference>
          <reference field="3" count="1" selected="0">
            <x v="494"/>
          </reference>
        </references>
      </pivotArea>
    </chartFormat>
    <chartFormat chart="0" format="66">
      <pivotArea type="data" outline="0" fieldPosition="0">
        <references count="2">
          <reference field="4294967294" count="1" selected="0">
            <x v="0"/>
          </reference>
          <reference field="3" count="1" selected="0">
            <x v="174"/>
          </reference>
        </references>
      </pivotArea>
    </chartFormat>
    <chartFormat chart="0" format="67">
      <pivotArea type="data" outline="0" fieldPosition="0">
        <references count="2">
          <reference field="4294967294" count="1" selected="0">
            <x v="0"/>
          </reference>
          <reference field="3" count="1" selected="0">
            <x v="453"/>
          </reference>
        </references>
      </pivotArea>
    </chartFormat>
    <chartFormat chart="0" format="68">
      <pivotArea type="data" outline="0" fieldPosition="0">
        <references count="2">
          <reference field="4294967294" count="1" selected="0">
            <x v="0"/>
          </reference>
          <reference field="3" count="1" selected="0">
            <x v="489"/>
          </reference>
        </references>
      </pivotArea>
    </chartFormat>
    <chartFormat chart="0" format="69">
      <pivotArea type="data" outline="0" fieldPosition="0">
        <references count="2">
          <reference field="4294967294" count="1" selected="0">
            <x v="0"/>
          </reference>
          <reference field="3" count="1" selected="0">
            <x v="22"/>
          </reference>
        </references>
      </pivotArea>
    </chartFormat>
    <chartFormat chart="0" format="70">
      <pivotArea type="data" outline="0" fieldPosition="0">
        <references count="2">
          <reference field="4294967294" count="1" selected="0">
            <x v="0"/>
          </reference>
          <reference field="3" count="1" selected="0">
            <x v="383"/>
          </reference>
        </references>
      </pivotArea>
    </chartFormat>
    <chartFormat chart="0" format="71">
      <pivotArea type="data" outline="0" fieldPosition="0">
        <references count="2">
          <reference field="4294967294" count="1" selected="0">
            <x v="0"/>
          </reference>
          <reference field="3" count="1" selected="0">
            <x v="194"/>
          </reference>
        </references>
      </pivotArea>
    </chartFormat>
    <chartFormat chart="0" format="72">
      <pivotArea type="data" outline="0" fieldPosition="0">
        <references count="2">
          <reference field="4294967294" count="1" selected="0">
            <x v="0"/>
          </reference>
          <reference field="3" count="1" selected="0">
            <x v="430"/>
          </reference>
        </references>
      </pivotArea>
    </chartFormat>
    <chartFormat chart="0" format="73">
      <pivotArea type="data" outline="0" fieldPosition="0">
        <references count="2">
          <reference field="4294967294" count="1" selected="0">
            <x v="0"/>
          </reference>
          <reference field="3" count="1" selected="0">
            <x v="157"/>
          </reference>
        </references>
      </pivotArea>
    </chartFormat>
    <chartFormat chart="0" format="74">
      <pivotArea type="data" outline="0" fieldPosition="0">
        <references count="2">
          <reference field="4294967294" count="1" selected="0">
            <x v="0"/>
          </reference>
          <reference field="3" count="1" selected="0">
            <x v="108"/>
          </reference>
        </references>
      </pivotArea>
    </chartFormat>
    <chartFormat chart="0" format="75">
      <pivotArea type="data" outline="0" fieldPosition="0">
        <references count="2">
          <reference field="4294967294" count="1" selected="0">
            <x v="0"/>
          </reference>
          <reference field="3" count="1" selected="0">
            <x v="422"/>
          </reference>
        </references>
      </pivotArea>
    </chartFormat>
    <chartFormat chart="0" format="76">
      <pivotArea type="data" outline="0" fieldPosition="0">
        <references count="2">
          <reference field="4294967294" count="1" selected="0">
            <x v="0"/>
          </reference>
          <reference field="3" count="1" selected="0">
            <x v="304"/>
          </reference>
        </references>
      </pivotArea>
    </chartFormat>
    <chartFormat chart="0" format="77">
      <pivotArea type="data" outline="0" fieldPosition="0">
        <references count="2">
          <reference field="4294967294" count="1" selected="0">
            <x v="0"/>
          </reference>
          <reference field="3" count="1" selected="0">
            <x v="196"/>
          </reference>
        </references>
      </pivotArea>
    </chartFormat>
    <chartFormat chart="0" format="78">
      <pivotArea type="data" outline="0" fieldPosition="0">
        <references count="2">
          <reference field="4294967294" count="1" selected="0">
            <x v="0"/>
          </reference>
          <reference field="3" count="1" selected="0">
            <x v="145"/>
          </reference>
        </references>
      </pivotArea>
    </chartFormat>
    <chartFormat chart="0" format="79">
      <pivotArea type="data" outline="0" fieldPosition="0">
        <references count="2">
          <reference field="4294967294" count="1" selected="0">
            <x v="0"/>
          </reference>
          <reference field="3" count="1" selected="0">
            <x v="85"/>
          </reference>
        </references>
      </pivotArea>
    </chartFormat>
    <chartFormat chart="0" format="80">
      <pivotArea type="data" outline="0" fieldPosition="0">
        <references count="2">
          <reference field="4294967294" count="1" selected="0">
            <x v="0"/>
          </reference>
          <reference field="3" count="1" selected="0">
            <x v="363"/>
          </reference>
        </references>
      </pivotArea>
    </chartFormat>
    <chartFormat chart="0" format="81">
      <pivotArea type="data" outline="0" fieldPosition="0">
        <references count="2">
          <reference field="4294967294" count="1" selected="0">
            <x v="0"/>
          </reference>
          <reference field="3" count="1" selected="0">
            <x v="91"/>
          </reference>
        </references>
      </pivotArea>
    </chartFormat>
    <chartFormat chart="0" format="82">
      <pivotArea type="data" outline="0" fieldPosition="0">
        <references count="2">
          <reference field="4294967294" count="1" selected="0">
            <x v="0"/>
          </reference>
          <reference field="3" count="1" selected="0">
            <x v="263"/>
          </reference>
        </references>
      </pivotArea>
    </chartFormat>
    <chartFormat chart="0" format="83">
      <pivotArea type="data" outline="0" fieldPosition="0">
        <references count="2">
          <reference field="4294967294" count="1" selected="0">
            <x v="0"/>
          </reference>
          <reference field="3" count="1" selected="0">
            <x v="233"/>
          </reference>
        </references>
      </pivotArea>
    </chartFormat>
    <chartFormat chart="0" format="84">
      <pivotArea type="data" outline="0" fieldPosition="0">
        <references count="2">
          <reference field="4294967294" count="1" selected="0">
            <x v="0"/>
          </reference>
          <reference field="3" count="1" selected="0">
            <x v="456"/>
          </reference>
        </references>
      </pivotArea>
    </chartFormat>
    <chartFormat chart="0" format="85">
      <pivotArea type="data" outline="0" fieldPosition="0">
        <references count="2">
          <reference field="4294967294" count="1" selected="0">
            <x v="0"/>
          </reference>
          <reference field="3" count="1" selected="0">
            <x v="311"/>
          </reference>
        </references>
      </pivotArea>
    </chartFormat>
    <chartFormat chart="0" format="86">
      <pivotArea type="data" outline="0" fieldPosition="0">
        <references count="2">
          <reference field="4294967294" count="1" selected="0">
            <x v="0"/>
          </reference>
          <reference field="3" count="1" selected="0">
            <x v="273"/>
          </reference>
        </references>
      </pivotArea>
    </chartFormat>
    <chartFormat chart="0" format="87">
      <pivotArea type="data" outline="0" fieldPosition="0">
        <references count="2">
          <reference field="4294967294" count="1" selected="0">
            <x v="0"/>
          </reference>
          <reference field="3" count="1" selected="0">
            <x v="373"/>
          </reference>
        </references>
      </pivotArea>
    </chartFormat>
    <chartFormat chart="0" format="88">
      <pivotArea type="data" outline="0" fieldPosition="0">
        <references count="2">
          <reference field="4294967294" count="1" selected="0">
            <x v="0"/>
          </reference>
          <reference field="3" count="1" selected="0">
            <x v="154"/>
          </reference>
        </references>
      </pivotArea>
    </chartFormat>
    <chartFormat chart="0" format="89">
      <pivotArea type="data" outline="0" fieldPosition="0">
        <references count="2">
          <reference field="4294967294" count="1" selected="0">
            <x v="0"/>
          </reference>
          <reference field="3" count="1" selected="0">
            <x v="312"/>
          </reference>
        </references>
      </pivotArea>
    </chartFormat>
    <chartFormat chart="0" format="90">
      <pivotArea type="data" outline="0" fieldPosition="0">
        <references count="2">
          <reference field="4294967294" count="1" selected="0">
            <x v="0"/>
          </reference>
          <reference field="3" count="1" selected="0">
            <x v="395"/>
          </reference>
        </references>
      </pivotArea>
    </chartFormat>
    <chartFormat chart="0" format="91">
      <pivotArea type="data" outline="0" fieldPosition="0">
        <references count="2">
          <reference field="4294967294" count="1" selected="0">
            <x v="0"/>
          </reference>
          <reference field="3" count="1" selected="0">
            <x v="241"/>
          </reference>
        </references>
      </pivotArea>
    </chartFormat>
    <chartFormat chart="0" format="92">
      <pivotArea type="data" outline="0" fieldPosition="0">
        <references count="2">
          <reference field="4294967294" count="1" selected="0">
            <x v="0"/>
          </reference>
          <reference field="3" count="1" selected="0">
            <x v="485"/>
          </reference>
        </references>
      </pivotArea>
    </chartFormat>
    <chartFormat chart="0" format="93">
      <pivotArea type="data" outline="0" fieldPosition="0">
        <references count="2">
          <reference field="4294967294" count="1" selected="0">
            <x v="0"/>
          </reference>
          <reference field="3" count="1" selected="0">
            <x v="470"/>
          </reference>
        </references>
      </pivotArea>
    </chartFormat>
    <chartFormat chart="0" format="94">
      <pivotArea type="data" outline="0" fieldPosition="0">
        <references count="2">
          <reference field="4294967294" count="1" selected="0">
            <x v="0"/>
          </reference>
          <reference field="3" count="1" selected="0">
            <x v="35"/>
          </reference>
        </references>
      </pivotArea>
    </chartFormat>
    <chartFormat chart="0" format="95">
      <pivotArea type="data" outline="0" fieldPosition="0">
        <references count="2">
          <reference field="4294967294" count="1" selected="0">
            <x v="0"/>
          </reference>
          <reference field="3" count="1" selected="0">
            <x v="51"/>
          </reference>
        </references>
      </pivotArea>
    </chartFormat>
    <chartFormat chart="0" format="96">
      <pivotArea type="data" outline="0" fieldPosition="0">
        <references count="2">
          <reference field="4294967294" count="1" selected="0">
            <x v="0"/>
          </reference>
          <reference field="3" count="1" selected="0">
            <x v="370"/>
          </reference>
        </references>
      </pivotArea>
    </chartFormat>
    <chartFormat chart="0" format="97">
      <pivotArea type="data" outline="0" fieldPosition="0">
        <references count="2">
          <reference field="4294967294" count="1" selected="0">
            <x v="0"/>
          </reference>
          <reference field="3" count="1" selected="0">
            <x v="187"/>
          </reference>
        </references>
      </pivotArea>
    </chartFormat>
    <chartFormat chart="0" format="98">
      <pivotArea type="data" outline="0" fieldPosition="0">
        <references count="2">
          <reference field="4294967294" count="1" selected="0">
            <x v="0"/>
          </reference>
          <reference field="3" count="1" selected="0">
            <x v="55"/>
          </reference>
        </references>
      </pivotArea>
    </chartFormat>
    <chartFormat chart="0" format="99">
      <pivotArea type="data" outline="0" fieldPosition="0">
        <references count="2">
          <reference field="4294967294" count="1" selected="0">
            <x v="0"/>
          </reference>
          <reference field="3" count="1" selected="0">
            <x v="374"/>
          </reference>
        </references>
      </pivotArea>
    </chartFormat>
    <chartFormat chart="0" format="100">
      <pivotArea type="data" outline="0" fieldPosition="0">
        <references count="2">
          <reference field="4294967294" count="1" selected="0">
            <x v="0"/>
          </reference>
          <reference field="3" count="1" selected="0">
            <x v="249"/>
          </reference>
        </references>
      </pivotArea>
    </chartFormat>
    <chartFormat chart="0" format="101">
      <pivotArea type="data" outline="0" fieldPosition="0">
        <references count="2">
          <reference field="4294967294" count="1" selected="0">
            <x v="0"/>
          </reference>
          <reference field="3" count="1" selected="0">
            <x v="104"/>
          </reference>
        </references>
      </pivotArea>
    </chartFormat>
    <chartFormat chart="0" format="102">
      <pivotArea type="data" outline="0" fieldPosition="0">
        <references count="2">
          <reference field="4294967294" count="1" selected="0">
            <x v="0"/>
          </reference>
          <reference field="3" count="1" selected="0">
            <x v="179"/>
          </reference>
        </references>
      </pivotArea>
    </chartFormat>
    <chartFormat chart="0" format="103">
      <pivotArea type="data" outline="0" fieldPosition="0">
        <references count="2">
          <reference field="4294967294" count="1" selected="0">
            <x v="0"/>
          </reference>
          <reference field="3" count="1" selected="0">
            <x v="160"/>
          </reference>
        </references>
      </pivotArea>
    </chartFormat>
    <chartFormat chart="0" format="104">
      <pivotArea type="data" outline="0" fieldPosition="0">
        <references count="2">
          <reference field="4294967294" count="1" selected="0">
            <x v="0"/>
          </reference>
          <reference field="3" count="1" selected="0">
            <x v="31"/>
          </reference>
        </references>
      </pivotArea>
    </chartFormat>
    <chartFormat chart="0" format="105">
      <pivotArea type="data" outline="0" fieldPosition="0">
        <references count="2">
          <reference field="4294967294" count="1" selected="0">
            <x v="0"/>
          </reference>
          <reference field="3" count="1" selected="0">
            <x v="78"/>
          </reference>
        </references>
      </pivotArea>
    </chartFormat>
    <chartFormat chart="0" format="106">
      <pivotArea type="data" outline="0" fieldPosition="0">
        <references count="2">
          <reference field="4294967294" count="1" selected="0">
            <x v="0"/>
          </reference>
          <reference field="3" count="1" selected="0">
            <x v="98"/>
          </reference>
        </references>
      </pivotArea>
    </chartFormat>
    <chartFormat chart="0" format="107">
      <pivotArea type="data" outline="0" fieldPosition="0">
        <references count="2">
          <reference field="4294967294" count="1" selected="0">
            <x v="0"/>
          </reference>
          <reference field="3" count="1" selected="0">
            <x v="34"/>
          </reference>
        </references>
      </pivotArea>
    </chartFormat>
    <chartFormat chart="0" format="108">
      <pivotArea type="data" outline="0" fieldPosition="0">
        <references count="2">
          <reference field="4294967294" count="1" selected="0">
            <x v="0"/>
          </reference>
          <reference field="3" count="1" selected="0">
            <x v="306"/>
          </reference>
        </references>
      </pivotArea>
    </chartFormat>
    <chartFormat chart="0" format="109">
      <pivotArea type="data" outline="0" fieldPosition="0">
        <references count="2">
          <reference field="4294967294" count="1" selected="0">
            <x v="0"/>
          </reference>
          <reference field="3" count="1" selected="0">
            <x v="246"/>
          </reference>
        </references>
      </pivotArea>
    </chartFormat>
    <chartFormat chart="0" format="110">
      <pivotArea type="data" outline="0" fieldPosition="0">
        <references count="2">
          <reference field="4294967294" count="1" selected="0">
            <x v="0"/>
          </reference>
          <reference field="3" count="1" selected="0">
            <x v="137"/>
          </reference>
        </references>
      </pivotArea>
    </chartFormat>
    <chartFormat chart="0" format="111">
      <pivotArea type="data" outline="0" fieldPosition="0">
        <references count="2">
          <reference field="4294967294" count="1" selected="0">
            <x v="0"/>
          </reference>
          <reference field="3" count="1" selected="0">
            <x v="416"/>
          </reference>
        </references>
      </pivotArea>
    </chartFormat>
    <chartFormat chart="0" format="112">
      <pivotArea type="data" outline="0" fieldPosition="0">
        <references count="2">
          <reference field="4294967294" count="1" selected="0">
            <x v="0"/>
          </reference>
          <reference field="3" count="1" selected="0">
            <x v="275"/>
          </reference>
        </references>
      </pivotArea>
    </chartFormat>
    <chartFormat chart="0" format="113">
      <pivotArea type="data" outline="0" fieldPosition="0">
        <references count="2">
          <reference field="4294967294" count="1" selected="0">
            <x v="0"/>
          </reference>
          <reference field="3" count="1" selected="0">
            <x v="80"/>
          </reference>
        </references>
      </pivotArea>
    </chartFormat>
    <chartFormat chart="0" format="114">
      <pivotArea type="data" outline="0" fieldPosition="0">
        <references count="2">
          <reference field="4294967294" count="1" selected="0">
            <x v="0"/>
          </reference>
          <reference field="3" count="1" selected="0">
            <x v="171"/>
          </reference>
        </references>
      </pivotArea>
    </chartFormat>
    <chartFormat chart="0" format="115">
      <pivotArea type="data" outline="0" fieldPosition="0">
        <references count="2">
          <reference field="4294967294" count="1" selected="0">
            <x v="0"/>
          </reference>
          <reference field="3" count="1" selected="0">
            <x v="440"/>
          </reference>
        </references>
      </pivotArea>
    </chartFormat>
    <chartFormat chart="0" format="116">
      <pivotArea type="data" outline="0" fieldPosition="0">
        <references count="2">
          <reference field="4294967294" count="1" selected="0">
            <x v="0"/>
          </reference>
          <reference field="3" count="1" selected="0">
            <x v="142"/>
          </reference>
        </references>
      </pivotArea>
    </chartFormat>
    <chartFormat chart="0" format="117">
      <pivotArea type="data" outline="0" fieldPosition="0">
        <references count="2">
          <reference field="4294967294" count="1" selected="0">
            <x v="0"/>
          </reference>
          <reference field="3" count="1" selected="0">
            <x v="418"/>
          </reference>
        </references>
      </pivotArea>
    </chartFormat>
    <chartFormat chart="0" format="118">
      <pivotArea type="data" outline="0" fieldPosition="0">
        <references count="2">
          <reference field="4294967294" count="1" selected="0">
            <x v="0"/>
          </reference>
          <reference field="3" count="1" selected="0">
            <x v="118"/>
          </reference>
        </references>
      </pivotArea>
    </chartFormat>
    <chartFormat chart="0" format="119">
      <pivotArea type="data" outline="0" fieldPosition="0">
        <references count="2">
          <reference field="4294967294" count="1" selected="0">
            <x v="0"/>
          </reference>
          <reference field="3" count="1" selected="0">
            <x v="317"/>
          </reference>
        </references>
      </pivotArea>
    </chartFormat>
    <chartFormat chart="0" format="120">
      <pivotArea type="data" outline="0" fieldPosition="0">
        <references count="2">
          <reference field="4294967294" count="1" selected="0">
            <x v="0"/>
          </reference>
          <reference field="3" count="1" selected="0">
            <x v="482"/>
          </reference>
        </references>
      </pivotArea>
    </chartFormat>
    <chartFormat chart="0" format="121">
      <pivotArea type="data" outline="0" fieldPosition="0">
        <references count="2">
          <reference field="4294967294" count="1" selected="0">
            <x v="0"/>
          </reference>
          <reference field="3" count="1" selected="0">
            <x v="429"/>
          </reference>
        </references>
      </pivotArea>
    </chartFormat>
    <chartFormat chart="0" format="122">
      <pivotArea type="data" outline="0" fieldPosition="0">
        <references count="2">
          <reference field="4294967294" count="1" selected="0">
            <x v="0"/>
          </reference>
          <reference field="3" count="1" selected="0">
            <x v="58"/>
          </reference>
        </references>
      </pivotArea>
    </chartFormat>
    <chartFormat chart="0" format="123">
      <pivotArea type="data" outline="0" fieldPosition="0">
        <references count="2">
          <reference field="4294967294" count="1" selected="0">
            <x v="0"/>
          </reference>
          <reference field="3" count="1" selected="0">
            <x v="437"/>
          </reference>
        </references>
      </pivotArea>
    </chartFormat>
    <chartFormat chart="0" format="124">
      <pivotArea type="data" outline="0" fieldPosition="0">
        <references count="2">
          <reference field="4294967294" count="1" selected="0">
            <x v="0"/>
          </reference>
          <reference field="3" count="1" selected="0">
            <x v="357"/>
          </reference>
        </references>
      </pivotArea>
    </chartFormat>
    <chartFormat chart="0" format="125">
      <pivotArea type="data" outline="0" fieldPosition="0">
        <references count="2">
          <reference field="4294967294" count="1" selected="0">
            <x v="0"/>
          </reference>
          <reference field="3" count="1" selected="0">
            <x v="136"/>
          </reference>
        </references>
      </pivotArea>
    </chartFormat>
    <chartFormat chart="0" format="126">
      <pivotArea type="data" outline="0" fieldPosition="0">
        <references count="2">
          <reference field="4294967294" count="1" selected="0">
            <x v="0"/>
          </reference>
          <reference field="3" count="1" selected="0">
            <x v="254"/>
          </reference>
        </references>
      </pivotArea>
    </chartFormat>
    <chartFormat chart="0" format="127">
      <pivotArea type="data" outline="0" fieldPosition="0">
        <references count="2">
          <reference field="4294967294" count="1" selected="0">
            <x v="0"/>
          </reference>
          <reference field="3" count="1" selected="0">
            <x v="120"/>
          </reference>
        </references>
      </pivotArea>
    </chartFormat>
    <chartFormat chart="0" format="128">
      <pivotArea type="data" outline="0" fieldPosition="0">
        <references count="2">
          <reference field="4294967294" count="1" selected="0">
            <x v="0"/>
          </reference>
          <reference field="3" count="1" selected="0">
            <x v="200"/>
          </reference>
        </references>
      </pivotArea>
    </chartFormat>
    <chartFormat chart="0" format="129">
      <pivotArea type="data" outline="0" fieldPosition="0">
        <references count="2">
          <reference field="4294967294" count="1" selected="0">
            <x v="0"/>
          </reference>
          <reference field="3" count="1" selected="0">
            <x v="37"/>
          </reference>
        </references>
      </pivotArea>
    </chartFormat>
    <chartFormat chart="0" format="130">
      <pivotArea type="data" outline="0" fieldPosition="0">
        <references count="2">
          <reference field="4294967294" count="1" selected="0">
            <x v="0"/>
          </reference>
          <reference field="3" count="1" selected="0">
            <x v="106"/>
          </reference>
        </references>
      </pivotArea>
    </chartFormat>
    <chartFormat chart="0" format="131">
      <pivotArea type="data" outline="0" fieldPosition="0">
        <references count="2">
          <reference field="4294967294" count="1" selected="0">
            <x v="0"/>
          </reference>
          <reference field="3" count="1" selected="0">
            <x v="262"/>
          </reference>
        </references>
      </pivotArea>
    </chartFormat>
    <chartFormat chart="0" format="132">
      <pivotArea type="data" outline="0" fieldPosition="0">
        <references count="2">
          <reference field="4294967294" count="1" selected="0">
            <x v="0"/>
          </reference>
          <reference field="3" count="1" selected="0">
            <x v="165"/>
          </reference>
        </references>
      </pivotArea>
    </chartFormat>
    <chartFormat chart="0" format="133">
      <pivotArea type="data" outline="0" fieldPosition="0">
        <references count="2">
          <reference field="4294967294" count="1" selected="0">
            <x v="0"/>
          </reference>
          <reference field="3" count="1" selected="0">
            <x v="32"/>
          </reference>
        </references>
      </pivotArea>
    </chartFormat>
    <chartFormat chart="0" format="134">
      <pivotArea type="data" outline="0" fieldPosition="0">
        <references count="2">
          <reference field="4294967294" count="1" selected="0">
            <x v="0"/>
          </reference>
          <reference field="3" count="1" selected="0">
            <x v="245"/>
          </reference>
        </references>
      </pivotArea>
    </chartFormat>
    <chartFormat chart="0" format="135">
      <pivotArea type="data" outline="0" fieldPosition="0">
        <references count="2">
          <reference field="4294967294" count="1" selected="0">
            <x v="0"/>
          </reference>
          <reference field="3" count="1" selected="0">
            <x v="307"/>
          </reference>
        </references>
      </pivotArea>
    </chartFormat>
    <chartFormat chart="0" format="136">
      <pivotArea type="data" outline="0" fieldPosition="0">
        <references count="2">
          <reference field="4294967294" count="1" selected="0">
            <x v="0"/>
          </reference>
          <reference field="3" count="1" selected="0">
            <x v="124"/>
          </reference>
        </references>
      </pivotArea>
    </chartFormat>
    <chartFormat chart="0" format="137">
      <pivotArea type="data" outline="0" fieldPosition="0">
        <references count="2">
          <reference field="4294967294" count="1" selected="0">
            <x v="0"/>
          </reference>
          <reference field="3" count="1" selected="0">
            <x v="232"/>
          </reference>
        </references>
      </pivotArea>
    </chartFormat>
    <chartFormat chart="0" format="138">
      <pivotArea type="data" outline="0" fieldPosition="0">
        <references count="2">
          <reference field="4294967294" count="1" selected="0">
            <x v="0"/>
          </reference>
          <reference field="3" count="1" selected="0">
            <x v="483"/>
          </reference>
        </references>
      </pivotArea>
    </chartFormat>
    <chartFormat chart="0" format="139">
      <pivotArea type="data" outline="0" fieldPosition="0">
        <references count="2">
          <reference field="4294967294" count="1" selected="0">
            <x v="0"/>
          </reference>
          <reference field="3" count="1" selected="0">
            <x v="367"/>
          </reference>
        </references>
      </pivotArea>
    </chartFormat>
    <chartFormat chart="0" format="140">
      <pivotArea type="data" outline="0" fieldPosition="0">
        <references count="2">
          <reference field="4294967294" count="1" selected="0">
            <x v="0"/>
          </reference>
          <reference field="3" count="1" selected="0">
            <x v="462"/>
          </reference>
        </references>
      </pivotArea>
    </chartFormat>
    <chartFormat chart="0" format="141">
      <pivotArea type="data" outline="0" fieldPosition="0">
        <references count="2">
          <reference field="4294967294" count="1" selected="0">
            <x v="0"/>
          </reference>
          <reference field="3" count="1" selected="0">
            <x v="381"/>
          </reference>
        </references>
      </pivotArea>
    </chartFormat>
    <chartFormat chart="0" format="142">
      <pivotArea type="data" outline="0" fieldPosition="0">
        <references count="2">
          <reference field="4294967294" count="1" selected="0">
            <x v="0"/>
          </reference>
          <reference field="3" count="1" selected="0">
            <x v="261"/>
          </reference>
        </references>
      </pivotArea>
    </chartFormat>
    <chartFormat chart="0" format="143">
      <pivotArea type="data" outline="0" fieldPosition="0">
        <references count="2">
          <reference field="4294967294" count="1" selected="0">
            <x v="0"/>
          </reference>
          <reference field="3" count="1" selected="0">
            <x v="409"/>
          </reference>
        </references>
      </pivotArea>
    </chartFormat>
    <chartFormat chart="0" format="144">
      <pivotArea type="data" outline="0" fieldPosition="0">
        <references count="2">
          <reference field="4294967294" count="1" selected="0">
            <x v="0"/>
          </reference>
          <reference field="3" count="1" selected="0">
            <x v="368"/>
          </reference>
        </references>
      </pivotArea>
    </chartFormat>
    <chartFormat chart="0" format="145">
      <pivotArea type="data" outline="0" fieldPosition="0">
        <references count="2">
          <reference field="4294967294" count="1" selected="0">
            <x v="0"/>
          </reference>
          <reference field="3" count="1" selected="0">
            <x v="101"/>
          </reference>
        </references>
      </pivotArea>
    </chartFormat>
    <chartFormat chart="0" format="146">
      <pivotArea type="data" outline="0" fieldPosition="0">
        <references count="2">
          <reference field="4294967294" count="1" selected="0">
            <x v="0"/>
          </reference>
          <reference field="3" count="1" selected="0">
            <x v="278"/>
          </reference>
        </references>
      </pivotArea>
    </chartFormat>
    <chartFormat chart="0" format="147">
      <pivotArea type="data" outline="0" fieldPosition="0">
        <references count="2">
          <reference field="4294967294" count="1" selected="0">
            <x v="0"/>
          </reference>
          <reference field="3" count="1" selected="0">
            <x v="259"/>
          </reference>
        </references>
      </pivotArea>
    </chartFormat>
    <chartFormat chart="0" format="148">
      <pivotArea type="data" outline="0" fieldPosition="0">
        <references count="2">
          <reference field="4294967294" count="1" selected="0">
            <x v="0"/>
          </reference>
          <reference field="3" count="1" selected="0">
            <x v="121"/>
          </reference>
        </references>
      </pivotArea>
    </chartFormat>
    <chartFormat chart="0" format="149">
      <pivotArea type="data" outline="0" fieldPosition="0">
        <references count="2">
          <reference field="4294967294" count="1" selected="0">
            <x v="0"/>
          </reference>
          <reference field="3" count="1" selected="0">
            <x v="361"/>
          </reference>
        </references>
      </pivotArea>
    </chartFormat>
    <chartFormat chart="0" format="150">
      <pivotArea type="data" outline="0" fieldPosition="0">
        <references count="2">
          <reference field="4294967294" count="1" selected="0">
            <x v="0"/>
          </reference>
          <reference field="3" count="1" selected="0">
            <x v="438"/>
          </reference>
        </references>
      </pivotArea>
    </chartFormat>
    <chartFormat chart="0" format="151">
      <pivotArea type="data" outline="0" fieldPosition="0">
        <references count="2">
          <reference field="4294967294" count="1" selected="0">
            <x v="0"/>
          </reference>
          <reference field="3" count="1" selected="0">
            <x v="270"/>
          </reference>
        </references>
      </pivotArea>
    </chartFormat>
    <chartFormat chart="0" format="152">
      <pivotArea type="data" outline="0" fieldPosition="0">
        <references count="2">
          <reference field="4294967294" count="1" selected="0">
            <x v="0"/>
          </reference>
          <reference field="3" count="1" selected="0">
            <x v="305"/>
          </reference>
        </references>
      </pivotArea>
    </chartFormat>
    <chartFormat chart="0" format="153">
      <pivotArea type="data" outline="0" fieldPosition="0">
        <references count="2">
          <reference field="4294967294" count="1" selected="0">
            <x v="0"/>
          </reference>
          <reference field="3" count="1" selected="0">
            <x v="220"/>
          </reference>
        </references>
      </pivotArea>
    </chartFormat>
    <chartFormat chart="0" format="154">
      <pivotArea type="data" outline="0" fieldPosition="0">
        <references count="2">
          <reference field="4294967294" count="1" selected="0">
            <x v="0"/>
          </reference>
          <reference field="3" count="1" selected="0">
            <x v="286"/>
          </reference>
        </references>
      </pivotArea>
    </chartFormat>
    <chartFormat chart="0" format="155">
      <pivotArea type="data" outline="0" fieldPosition="0">
        <references count="2">
          <reference field="4294967294" count="1" selected="0">
            <x v="0"/>
          </reference>
          <reference field="3" count="1" selected="0">
            <x v="16"/>
          </reference>
        </references>
      </pivotArea>
    </chartFormat>
    <chartFormat chart="0" format="156">
      <pivotArea type="data" outline="0" fieldPosition="0">
        <references count="2">
          <reference field="4294967294" count="1" selected="0">
            <x v="0"/>
          </reference>
          <reference field="3" count="1" selected="0">
            <x v="57"/>
          </reference>
        </references>
      </pivotArea>
    </chartFormat>
    <chartFormat chart="0" format="157">
      <pivotArea type="data" outline="0" fieldPosition="0">
        <references count="2">
          <reference field="4294967294" count="1" selected="0">
            <x v="0"/>
          </reference>
          <reference field="3" count="1" selected="0">
            <x v="181"/>
          </reference>
        </references>
      </pivotArea>
    </chartFormat>
    <chartFormat chart="0" format="158">
      <pivotArea type="data" outline="0" fieldPosition="0">
        <references count="2">
          <reference field="4294967294" count="1" selected="0">
            <x v="0"/>
          </reference>
          <reference field="3" count="1" selected="0">
            <x v="467"/>
          </reference>
        </references>
      </pivotArea>
    </chartFormat>
    <chartFormat chart="0" format="159">
      <pivotArea type="data" outline="0" fieldPosition="0">
        <references count="2">
          <reference field="4294967294" count="1" selected="0">
            <x v="0"/>
          </reference>
          <reference field="3" count="1" selected="0">
            <x v="134"/>
          </reference>
        </references>
      </pivotArea>
    </chartFormat>
    <chartFormat chart="0" format="160">
      <pivotArea type="data" outline="0" fieldPosition="0">
        <references count="2">
          <reference field="4294967294" count="1" selected="0">
            <x v="0"/>
          </reference>
          <reference field="3" count="1" selected="0">
            <x v="81"/>
          </reference>
        </references>
      </pivotArea>
    </chartFormat>
    <chartFormat chart="0" format="161">
      <pivotArea type="data" outline="0" fieldPosition="0">
        <references count="2">
          <reference field="4294967294" count="1" selected="0">
            <x v="0"/>
          </reference>
          <reference field="3" count="1" selected="0">
            <x v="347"/>
          </reference>
        </references>
      </pivotArea>
    </chartFormat>
    <chartFormat chart="0" format="162">
      <pivotArea type="data" outline="0" fieldPosition="0">
        <references count="2">
          <reference field="4294967294" count="1" selected="0">
            <x v="0"/>
          </reference>
          <reference field="3" count="1" selected="0">
            <x v="420"/>
          </reference>
        </references>
      </pivotArea>
    </chartFormat>
    <chartFormat chart="0" format="163">
      <pivotArea type="data" outline="0" fieldPosition="0">
        <references count="2">
          <reference field="4294967294" count="1" selected="0">
            <x v="0"/>
          </reference>
          <reference field="3" count="1" selected="0">
            <x v="167"/>
          </reference>
        </references>
      </pivotArea>
    </chartFormat>
    <chartFormat chart="0" format="164">
      <pivotArea type="data" outline="0" fieldPosition="0">
        <references count="2">
          <reference field="4294967294" count="1" selected="0">
            <x v="0"/>
          </reference>
          <reference field="3" count="1" selected="0">
            <x v="112"/>
          </reference>
        </references>
      </pivotArea>
    </chartFormat>
    <chartFormat chart="0" format="165">
      <pivotArea type="data" outline="0" fieldPosition="0">
        <references count="2">
          <reference field="4294967294" count="1" selected="0">
            <x v="0"/>
          </reference>
          <reference field="3" count="1" selected="0">
            <x v="442"/>
          </reference>
        </references>
      </pivotArea>
    </chartFormat>
    <chartFormat chart="0" format="166">
      <pivotArea type="data" outline="0" fieldPosition="0">
        <references count="2">
          <reference field="4294967294" count="1" selected="0">
            <x v="0"/>
          </reference>
          <reference field="3" count="1" selected="0">
            <x v="277"/>
          </reference>
        </references>
      </pivotArea>
    </chartFormat>
    <chartFormat chart="0" format="167">
      <pivotArea type="data" outline="0" fieldPosition="0">
        <references count="2">
          <reference field="4294967294" count="1" selected="0">
            <x v="0"/>
          </reference>
          <reference field="3" count="1" selected="0">
            <x v="204"/>
          </reference>
        </references>
      </pivotArea>
    </chartFormat>
    <chartFormat chart="0" format="168">
      <pivotArea type="data" outline="0" fieldPosition="0">
        <references count="2">
          <reference field="4294967294" count="1" selected="0">
            <x v="0"/>
          </reference>
          <reference field="3" count="1" selected="0">
            <x v="378"/>
          </reference>
        </references>
      </pivotArea>
    </chartFormat>
    <chartFormat chart="0" format="169">
      <pivotArea type="data" outline="0" fieldPosition="0">
        <references count="2">
          <reference field="4294967294" count="1" selected="0">
            <x v="0"/>
          </reference>
          <reference field="3" count="1" selected="0">
            <x v="48"/>
          </reference>
        </references>
      </pivotArea>
    </chartFormat>
    <chartFormat chart="0" format="170">
      <pivotArea type="data" outline="0" fieldPosition="0">
        <references count="2">
          <reference field="4294967294" count="1" selected="0">
            <x v="0"/>
          </reference>
          <reference field="3" count="1" selected="0">
            <x v="477"/>
          </reference>
        </references>
      </pivotArea>
    </chartFormat>
    <chartFormat chart="0" format="171">
      <pivotArea type="data" outline="0" fieldPosition="0">
        <references count="2">
          <reference field="4294967294" count="1" selected="0">
            <x v="0"/>
          </reference>
          <reference field="3" count="1" selected="0">
            <x v="148"/>
          </reference>
        </references>
      </pivotArea>
    </chartFormat>
    <chartFormat chart="0" format="172">
      <pivotArea type="data" outline="0" fieldPosition="0">
        <references count="2">
          <reference field="4294967294" count="1" selected="0">
            <x v="0"/>
          </reference>
          <reference field="3" count="1" selected="0">
            <x v="186"/>
          </reference>
        </references>
      </pivotArea>
    </chartFormat>
    <chartFormat chart="0" format="173">
      <pivotArea type="data" outline="0" fieldPosition="0">
        <references count="2">
          <reference field="4294967294" count="1" selected="0">
            <x v="0"/>
          </reference>
          <reference field="3" count="1" selected="0">
            <x v="352"/>
          </reference>
        </references>
      </pivotArea>
    </chartFormat>
    <chartFormat chart="0" format="174">
      <pivotArea type="data" outline="0" fieldPosition="0">
        <references count="2">
          <reference field="4294967294" count="1" selected="0">
            <x v="0"/>
          </reference>
          <reference field="3" count="1" selected="0">
            <x v="258"/>
          </reference>
        </references>
      </pivotArea>
    </chartFormat>
    <chartFormat chart="0" format="175">
      <pivotArea type="data" outline="0" fieldPosition="0">
        <references count="2">
          <reference field="4294967294" count="1" selected="0">
            <x v="0"/>
          </reference>
          <reference field="3" count="1" selected="0">
            <x v="414"/>
          </reference>
        </references>
      </pivotArea>
    </chartFormat>
    <chartFormat chart="0" format="176">
      <pivotArea type="data" outline="0" fieldPosition="0">
        <references count="2">
          <reference field="4294967294" count="1" selected="0">
            <x v="0"/>
          </reference>
          <reference field="3" count="1" selected="0">
            <x v="13"/>
          </reference>
        </references>
      </pivotArea>
    </chartFormat>
    <chartFormat chart="0" format="177">
      <pivotArea type="data" outline="0" fieldPosition="0">
        <references count="2">
          <reference field="4294967294" count="1" selected="0">
            <x v="0"/>
          </reference>
          <reference field="3" count="1" selected="0">
            <x v="314"/>
          </reference>
        </references>
      </pivotArea>
    </chartFormat>
    <chartFormat chart="0" format="178">
      <pivotArea type="data" outline="0" fieldPosition="0">
        <references count="2">
          <reference field="4294967294" count="1" selected="0">
            <x v="0"/>
          </reference>
          <reference field="3" count="1" selected="0">
            <x v="93"/>
          </reference>
        </references>
      </pivotArea>
    </chartFormat>
    <chartFormat chart="0" format="179">
      <pivotArea type="data" outline="0" fieldPosition="0">
        <references count="2">
          <reference field="4294967294" count="1" selected="0">
            <x v="0"/>
          </reference>
          <reference field="3" count="1" selected="0">
            <x v="432"/>
          </reference>
        </references>
      </pivotArea>
    </chartFormat>
    <chartFormat chart="0" format="180">
      <pivotArea type="data" outline="0" fieldPosition="0">
        <references count="2">
          <reference field="4294967294" count="1" selected="0">
            <x v="0"/>
          </reference>
          <reference field="3" count="1" selected="0">
            <x v="296"/>
          </reference>
        </references>
      </pivotArea>
    </chartFormat>
    <chartFormat chart="0" format="181">
      <pivotArea type="data" outline="0" fieldPosition="0">
        <references count="2">
          <reference field="4294967294" count="1" selected="0">
            <x v="0"/>
          </reference>
          <reference field="3" count="1" selected="0">
            <x v="386"/>
          </reference>
        </references>
      </pivotArea>
    </chartFormat>
    <chartFormat chart="0" format="182">
      <pivotArea type="data" outline="0" fieldPosition="0">
        <references count="2">
          <reference field="4294967294" count="1" selected="0">
            <x v="0"/>
          </reference>
          <reference field="3" count="1" selected="0">
            <x v="358"/>
          </reference>
        </references>
      </pivotArea>
    </chartFormat>
    <chartFormat chart="0" format="183">
      <pivotArea type="data" outline="0" fieldPosition="0">
        <references count="2">
          <reference field="4294967294" count="1" selected="0">
            <x v="0"/>
          </reference>
          <reference field="3" count="1" selected="0">
            <x v="231"/>
          </reference>
        </references>
      </pivotArea>
    </chartFormat>
    <chartFormat chart="0" format="184">
      <pivotArea type="data" outline="0" fieldPosition="0">
        <references count="2">
          <reference field="4294967294" count="1" selected="0">
            <x v="0"/>
          </reference>
          <reference field="3" count="1" selected="0">
            <x v="169"/>
          </reference>
        </references>
      </pivotArea>
    </chartFormat>
    <chartFormat chart="0" format="185">
      <pivotArea type="data" outline="0" fieldPosition="0">
        <references count="2">
          <reference field="4294967294" count="1" selected="0">
            <x v="0"/>
          </reference>
          <reference field="3" count="1" selected="0">
            <x v="446"/>
          </reference>
        </references>
      </pivotArea>
    </chartFormat>
    <chartFormat chart="0" format="186">
      <pivotArea type="data" outline="0" fieldPosition="0">
        <references count="2">
          <reference field="4294967294" count="1" selected="0">
            <x v="0"/>
          </reference>
          <reference field="3" count="1" selected="0">
            <x v="158"/>
          </reference>
        </references>
      </pivotArea>
    </chartFormat>
    <chartFormat chart="0" format="187">
      <pivotArea type="data" outline="0" fieldPosition="0">
        <references count="2">
          <reference field="4294967294" count="1" selected="0">
            <x v="0"/>
          </reference>
          <reference field="3" count="1" selected="0">
            <x v="415"/>
          </reference>
        </references>
      </pivotArea>
    </chartFormat>
    <chartFormat chart="0" format="188">
      <pivotArea type="data" outline="0" fieldPosition="0">
        <references count="2">
          <reference field="4294967294" count="1" selected="0">
            <x v="0"/>
          </reference>
          <reference field="3" count="1" selected="0">
            <x v="333"/>
          </reference>
        </references>
      </pivotArea>
    </chartFormat>
    <chartFormat chart="0" format="189">
      <pivotArea type="data" outline="0" fieldPosition="0">
        <references count="2">
          <reference field="4294967294" count="1" selected="0">
            <x v="0"/>
          </reference>
          <reference field="3" count="1" selected="0">
            <x v="488"/>
          </reference>
        </references>
      </pivotArea>
    </chartFormat>
    <chartFormat chart="0" format="190">
      <pivotArea type="data" outline="0" fieldPosition="0">
        <references count="2">
          <reference field="4294967294" count="1" selected="0">
            <x v="0"/>
          </reference>
          <reference field="3" count="1" selected="0">
            <x v="7"/>
          </reference>
        </references>
      </pivotArea>
    </chartFormat>
    <chartFormat chart="0" format="191">
      <pivotArea type="data" outline="0" fieldPosition="0">
        <references count="2">
          <reference field="4294967294" count="1" selected="0">
            <x v="0"/>
          </reference>
          <reference field="3" count="1" selected="0">
            <x v="455"/>
          </reference>
        </references>
      </pivotArea>
    </chartFormat>
    <chartFormat chart="0" format="192">
      <pivotArea type="data" outline="0" fieldPosition="0">
        <references count="2">
          <reference field="4294967294" count="1" selected="0">
            <x v="0"/>
          </reference>
          <reference field="3" count="1" selected="0">
            <x v="132"/>
          </reference>
        </references>
      </pivotArea>
    </chartFormat>
    <chartFormat chart="0" format="193">
      <pivotArea type="data" outline="0" fieldPosition="0">
        <references count="2">
          <reference field="4294967294" count="1" selected="0">
            <x v="0"/>
          </reference>
          <reference field="3" count="1" selected="0">
            <x v="217"/>
          </reference>
        </references>
      </pivotArea>
    </chartFormat>
    <chartFormat chart="0" format="194">
      <pivotArea type="data" outline="0" fieldPosition="0">
        <references count="2">
          <reference field="4294967294" count="1" selected="0">
            <x v="0"/>
          </reference>
          <reference field="3" count="1" selected="0">
            <x v="20"/>
          </reference>
        </references>
      </pivotArea>
    </chartFormat>
    <chartFormat chart="0" format="195">
      <pivotArea type="data" outline="0" fieldPosition="0">
        <references count="2">
          <reference field="4294967294" count="1" selected="0">
            <x v="0"/>
          </reference>
          <reference field="3" count="1" selected="0">
            <x v="11"/>
          </reference>
        </references>
      </pivotArea>
    </chartFormat>
    <chartFormat chart="0" format="196">
      <pivotArea type="data" outline="0" fieldPosition="0">
        <references count="2">
          <reference field="4294967294" count="1" selected="0">
            <x v="0"/>
          </reference>
          <reference field="3" count="1" selected="0">
            <x v="362"/>
          </reference>
        </references>
      </pivotArea>
    </chartFormat>
    <chartFormat chart="0" format="197">
      <pivotArea type="data" outline="0" fieldPosition="0">
        <references count="2">
          <reference field="4294967294" count="1" selected="0">
            <x v="0"/>
          </reference>
          <reference field="3" count="1" selected="0">
            <x v="400"/>
          </reference>
        </references>
      </pivotArea>
    </chartFormat>
    <chartFormat chart="0" format="198">
      <pivotArea type="data" outline="0" fieldPosition="0">
        <references count="2">
          <reference field="4294967294" count="1" selected="0">
            <x v="0"/>
          </reference>
          <reference field="3" count="1" selected="0">
            <x v="178"/>
          </reference>
        </references>
      </pivotArea>
    </chartFormat>
    <chartFormat chart="0" format="199">
      <pivotArea type="data" outline="0" fieldPosition="0">
        <references count="2">
          <reference field="4294967294" count="1" selected="0">
            <x v="0"/>
          </reference>
          <reference field="3" count="1" selected="0">
            <x v="14"/>
          </reference>
        </references>
      </pivotArea>
    </chartFormat>
    <chartFormat chart="0" format="200">
      <pivotArea type="data" outline="0" fieldPosition="0">
        <references count="2">
          <reference field="4294967294" count="1" selected="0">
            <x v="0"/>
          </reference>
          <reference field="3" count="1" selected="0">
            <x v="398"/>
          </reference>
        </references>
      </pivotArea>
    </chartFormat>
    <chartFormat chart="0" format="201">
      <pivotArea type="data" outline="0" fieldPosition="0">
        <references count="2">
          <reference field="4294967294" count="1" selected="0">
            <x v="0"/>
          </reference>
          <reference field="3" count="1" selected="0">
            <x v="41"/>
          </reference>
        </references>
      </pivotArea>
    </chartFormat>
    <chartFormat chart="0" format="202">
      <pivotArea type="data" outline="0" fieldPosition="0">
        <references count="2">
          <reference field="4294967294" count="1" selected="0">
            <x v="0"/>
          </reference>
          <reference field="3" count="1" selected="0">
            <x v="24"/>
          </reference>
        </references>
      </pivotArea>
    </chartFormat>
    <chartFormat chart="0" format="203">
      <pivotArea type="data" outline="0" fieldPosition="0">
        <references count="2">
          <reference field="4294967294" count="1" selected="0">
            <x v="0"/>
          </reference>
          <reference field="3" count="1" selected="0">
            <x v="115"/>
          </reference>
        </references>
      </pivotArea>
    </chartFormat>
    <chartFormat chart="0" format="204">
      <pivotArea type="data" outline="0" fieldPosition="0">
        <references count="2">
          <reference field="4294967294" count="1" selected="0">
            <x v="0"/>
          </reference>
          <reference field="3" count="1" selected="0">
            <x v="285"/>
          </reference>
        </references>
      </pivotArea>
    </chartFormat>
    <chartFormat chart="0" format="205">
      <pivotArea type="data" outline="0" fieldPosition="0">
        <references count="2">
          <reference field="4294967294" count="1" selected="0">
            <x v="0"/>
          </reference>
          <reference field="3" count="1" selected="0">
            <x v="404"/>
          </reference>
        </references>
      </pivotArea>
    </chartFormat>
    <chartFormat chart="0" format="206">
      <pivotArea type="data" outline="0" fieldPosition="0">
        <references count="2">
          <reference field="4294967294" count="1" selected="0">
            <x v="0"/>
          </reference>
          <reference field="3" count="1" selected="0">
            <x v="172"/>
          </reference>
        </references>
      </pivotArea>
    </chartFormat>
    <chartFormat chart="0" format="207">
      <pivotArea type="data" outline="0" fieldPosition="0">
        <references count="2">
          <reference field="4294967294" count="1" selected="0">
            <x v="0"/>
          </reference>
          <reference field="3" count="1" selected="0">
            <x v="302"/>
          </reference>
        </references>
      </pivotArea>
    </chartFormat>
    <chartFormat chart="0" format="208">
      <pivotArea type="data" outline="0" fieldPosition="0">
        <references count="2">
          <reference field="4294967294" count="1" selected="0">
            <x v="0"/>
          </reference>
          <reference field="3" count="1" selected="0">
            <x v="392"/>
          </reference>
        </references>
      </pivotArea>
    </chartFormat>
    <chartFormat chart="0" format="209">
      <pivotArea type="data" outline="0" fieldPosition="0">
        <references count="2">
          <reference field="4294967294" count="1" selected="0">
            <x v="0"/>
          </reference>
          <reference field="3" count="1" selected="0">
            <x v="297"/>
          </reference>
        </references>
      </pivotArea>
    </chartFormat>
    <chartFormat chart="0" format="210">
      <pivotArea type="data" outline="0" fieldPosition="0">
        <references count="2">
          <reference field="4294967294" count="1" selected="0">
            <x v="0"/>
          </reference>
          <reference field="3" count="1" selected="0">
            <x v="149"/>
          </reference>
        </references>
      </pivotArea>
    </chartFormat>
    <chartFormat chart="0" format="211">
      <pivotArea type="data" outline="0" fieldPosition="0">
        <references count="2">
          <reference field="4294967294" count="1" selected="0">
            <x v="0"/>
          </reference>
          <reference field="3" count="1" selected="0">
            <x v="299"/>
          </reference>
        </references>
      </pivotArea>
    </chartFormat>
    <chartFormat chart="0" format="212">
      <pivotArea type="data" outline="0" fieldPosition="0">
        <references count="2">
          <reference field="4294967294" count="1" selected="0">
            <x v="0"/>
          </reference>
          <reference field="3" count="1" selected="0">
            <x v="377"/>
          </reference>
        </references>
      </pivotArea>
    </chartFormat>
    <chartFormat chart="0" format="213">
      <pivotArea type="data" outline="0" fieldPosition="0">
        <references count="2">
          <reference field="4294967294" count="1" selected="0">
            <x v="0"/>
          </reference>
          <reference field="3" count="1" selected="0">
            <x v="369"/>
          </reference>
        </references>
      </pivotArea>
    </chartFormat>
    <chartFormat chart="0" format="214">
      <pivotArea type="data" outline="0" fieldPosition="0">
        <references count="2">
          <reference field="4294967294" count="1" selected="0">
            <x v="0"/>
          </reference>
          <reference field="3" count="1" selected="0">
            <x v="382"/>
          </reference>
        </references>
      </pivotArea>
    </chartFormat>
    <chartFormat chart="0" format="215">
      <pivotArea type="data" outline="0" fieldPosition="0">
        <references count="2">
          <reference field="4294967294" count="1" selected="0">
            <x v="0"/>
          </reference>
          <reference field="3" count="1" selected="0">
            <x v="45"/>
          </reference>
        </references>
      </pivotArea>
    </chartFormat>
    <chartFormat chart="0" format="216">
      <pivotArea type="data" outline="0" fieldPosition="0">
        <references count="2">
          <reference field="4294967294" count="1" selected="0">
            <x v="0"/>
          </reference>
          <reference field="3" count="1" selected="0">
            <x v="439"/>
          </reference>
        </references>
      </pivotArea>
    </chartFormat>
    <chartFormat chart="0" format="217">
      <pivotArea type="data" outline="0" fieldPosition="0">
        <references count="2">
          <reference field="4294967294" count="1" selected="0">
            <x v="0"/>
          </reference>
          <reference field="3" count="1" selected="0">
            <x v="66"/>
          </reference>
        </references>
      </pivotArea>
    </chartFormat>
    <chartFormat chart="0" format="218">
      <pivotArea type="data" outline="0" fieldPosition="0">
        <references count="2">
          <reference field="4294967294" count="1" selected="0">
            <x v="0"/>
          </reference>
          <reference field="3" count="1" selected="0">
            <x v="421"/>
          </reference>
        </references>
      </pivotArea>
    </chartFormat>
    <chartFormat chart="0" format="219">
      <pivotArea type="data" outline="0" fieldPosition="0">
        <references count="2">
          <reference field="4294967294" count="1" selected="0">
            <x v="0"/>
          </reference>
          <reference field="3" count="1" selected="0">
            <x v="295"/>
          </reference>
        </references>
      </pivotArea>
    </chartFormat>
    <chartFormat chart="0" format="220">
      <pivotArea type="data" outline="0" fieldPosition="0">
        <references count="2">
          <reference field="4294967294" count="1" selected="0">
            <x v="0"/>
          </reference>
          <reference field="3" count="1" selected="0">
            <x v="92"/>
          </reference>
        </references>
      </pivotArea>
    </chartFormat>
    <chartFormat chart="0" format="221">
      <pivotArea type="data" outline="0" fieldPosition="0">
        <references count="2">
          <reference field="4294967294" count="1" selected="0">
            <x v="0"/>
          </reference>
          <reference field="3" count="1" selected="0">
            <x v="202"/>
          </reference>
        </references>
      </pivotArea>
    </chartFormat>
    <chartFormat chart="0" format="222">
      <pivotArea type="data" outline="0" fieldPosition="0">
        <references count="2">
          <reference field="4294967294" count="1" selected="0">
            <x v="0"/>
          </reference>
          <reference field="3" count="1" selected="0">
            <x v="1"/>
          </reference>
        </references>
      </pivotArea>
    </chartFormat>
    <chartFormat chart="0" format="223">
      <pivotArea type="data" outline="0" fieldPosition="0">
        <references count="2">
          <reference field="4294967294" count="1" selected="0">
            <x v="0"/>
          </reference>
          <reference field="3" count="1" selected="0">
            <x v="97"/>
          </reference>
        </references>
      </pivotArea>
    </chartFormat>
    <chartFormat chart="0" format="224">
      <pivotArea type="data" outline="0" fieldPosition="0">
        <references count="2">
          <reference field="4294967294" count="1" selected="0">
            <x v="0"/>
          </reference>
          <reference field="3" count="1" selected="0">
            <x v="12"/>
          </reference>
        </references>
      </pivotArea>
    </chartFormat>
    <chartFormat chart="0" format="225">
      <pivotArea type="data" outline="0" fieldPosition="0">
        <references count="2">
          <reference field="4294967294" count="1" selected="0">
            <x v="0"/>
          </reference>
          <reference field="3" count="1" selected="0">
            <x v="460"/>
          </reference>
        </references>
      </pivotArea>
    </chartFormat>
    <chartFormat chart="0" format="226">
      <pivotArea type="data" outline="0" fieldPosition="0">
        <references count="2">
          <reference field="4294967294" count="1" selected="0">
            <x v="0"/>
          </reference>
          <reference field="3" count="1" selected="0">
            <x v="159"/>
          </reference>
        </references>
      </pivotArea>
    </chartFormat>
    <chartFormat chart="0" format="227">
      <pivotArea type="data" outline="0" fieldPosition="0">
        <references count="2">
          <reference field="4294967294" count="1" selected="0">
            <x v="0"/>
          </reference>
          <reference field="3" count="1" selected="0">
            <x v="176"/>
          </reference>
        </references>
      </pivotArea>
    </chartFormat>
    <chartFormat chart="0" format="228">
      <pivotArea type="data" outline="0" fieldPosition="0">
        <references count="2">
          <reference field="4294967294" count="1" selected="0">
            <x v="0"/>
          </reference>
          <reference field="3" count="1" selected="0">
            <x v="208"/>
          </reference>
        </references>
      </pivotArea>
    </chartFormat>
    <chartFormat chart="0" format="229">
      <pivotArea type="data" outline="0" fieldPosition="0">
        <references count="2">
          <reference field="4294967294" count="1" selected="0">
            <x v="0"/>
          </reference>
          <reference field="3" count="1" selected="0">
            <x v="88"/>
          </reference>
        </references>
      </pivotArea>
    </chartFormat>
    <chartFormat chart="0" format="230">
      <pivotArea type="data" outline="0" fieldPosition="0">
        <references count="2">
          <reference field="4294967294" count="1" selected="0">
            <x v="0"/>
          </reference>
          <reference field="3" count="1" selected="0">
            <x v="344"/>
          </reference>
        </references>
      </pivotArea>
    </chartFormat>
    <chartFormat chart="0" format="231">
      <pivotArea type="data" outline="0" fieldPosition="0">
        <references count="2">
          <reference field="4294967294" count="1" selected="0">
            <x v="0"/>
          </reference>
          <reference field="3" count="1" selected="0">
            <x v="356"/>
          </reference>
        </references>
      </pivotArea>
    </chartFormat>
    <chartFormat chart="0" format="232">
      <pivotArea type="data" outline="0" fieldPosition="0">
        <references count="2">
          <reference field="4294967294" count="1" selected="0">
            <x v="0"/>
          </reference>
          <reference field="3" count="1" selected="0">
            <x v="332"/>
          </reference>
        </references>
      </pivotArea>
    </chartFormat>
    <chartFormat chart="0" format="233">
      <pivotArea type="data" outline="0" fieldPosition="0">
        <references count="2">
          <reference field="4294967294" count="1" selected="0">
            <x v="0"/>
          </reference>
          <reference field="3" count="1" selected="0">
            <x v="290"/>
          </reference>
        </references>
      </pivotArea>
    </chartFormat>
    <chartFormat chart="0" format="234">
      <pivotArea type="data" outline="0" fieldPosition="0">
        <references count="2">
          <reference field="4294967294" count="1" selected="0">
            <x v="0"/>
          </reference>
          <reference field="3" count="1" selected="0">
            <x v="126"/>
          </reference>
        </references>
      </pivotArea>
    </chartFormat>
    <chartFormat chart="0" format="235">
      <pivotArea type="data" outline="0" fieldPosition="0">
        <references count="2">
          <reference field="4294967294" count="1" selected="0">
            <x v="0"/>
          </reference>
          <reference field="3" count="1" selected="0">
            <x v="348"/>
          </reference>
        </references>
      </pivotArea>
    </chartFormat>
    <chartFormat chart="0" format="236">
      <pivotArea type="data" outline="0" fieldPosition="0">
        <references count="2">
          <reference field="4294967294" count="1" selected="0">
            <x v="0"/>
          </reference>
          <reference field="3" count="1" selected="0">
            <x v="198"/>
          </reference>
        </references>
      </pivotArea>
    </chartFormat>
    <chartFormat chart="0" format="237">
      <pivotArea type="data" outline="0" fieldPosition="0">
        <references count="2">
          <reference field="4294967294" count="1" selected="0">
            <x v="0"/>
          </reference>
          <reference field="3" count="1" selected="0">
            <x v="279"/>
          </reference>
        </references>
      </pivotArea>
    </chartFormat>
    <chartFormat chart="0" format="238">
      <pivotArea type="data" outline="0" fieldPosition="0">
        <references count="2">
          <reference field="4294967294" count="1" selected="0">
            <x v="0"/>
          </reference>
          <reference field="3" count="1" selected="0">
            <x v="6"/>
          </reference>
        </references>
      </pivotArea>
    </chartFormat>
    <chartFormat chart="0" format="239">
      <pivotArea type="data" outline="0" fieldPosition="0">
        <references count="2">
          <reference field="4294967294" count="1" selected="0">
            <x v="0"/>
          </reference>
          <reference field="3" count="1" selected="0">
            <x v="82"/>
          </reference>
        </references>
      </pivotArea>
    </chartFormat>
    <chartFormat chart="0" format="240">
      <pivotArea type="data" outline="0" fieldPosition="0">
        <references count="2">
          <reference field="4294967294" count="1" selected="0">
            <x v="0"/>
          </reference>
          <reference field="3" count="1" selected="0">
            <x v="346"/>
          </reference>
        </references>
      </pivotArea>
    </chartFormat>
    <chartFormat chart="0" format="241">
      <pivotArea type="data" outline="0" fieldPosition="0">
        <references count="2">
          <reference field="4294967294" count="1" selected="0">
            <x v="0"/>
          </reference>
          <reference field="3" count="1" selected="0">
            <x v="150"/>
          </reference>
        </references>
      </pivotArea>
    </chartFormat>
    <chartFormat chart="0" format="242">
      <pivotArea type="data" outline="0" fieldPosition="0">
        <references count="2">
          <reference field="4294967294" count="1" selected="0">
            <x v="0"/>
          </reference>
          <reference field="3" count="1" selected="0">
            <x v="143"/>
          </reference>
        </references>
      </pivotArea>
    </chartFormat>
    <chartFormat chart="0" format="243">
      <pivotArea type="data" outline="0" fieldPosition="0">
        <references count="2">
          <reference field="4294967294" count="1" selected="0">
            <x v="0"/>
          </reference>
          <reference field="3" count="1" selected="0">
            <x v="338"/>
          </reference>
        </references>
      </pivotArea>
    </chartFormat>
    <chartFormat chart="0" format="244">
      <pivotArea type="data" outline="0" fieldPosition="0">
        <references count="2">
          <reference field="4294967294" count="1" selected="0">
            <x v="0"/>
          </reference>
          <reference field="3" count="1" selected="0">
            <x v="71"/>
          </reference>
        </references>
      </pivotArea>
    </chartFormat>
    <chartFormat chart="0" format="245">
      <pivotArea type="data" outline="0" fieldPosition="0">
        <references count="2">
          <reference field="4294967294" count="1" selected="0">
            <x v="0"/>
          </reference>
          <reference field="3" count="1" selected="0">
            <x v="364"/>
          </reference>
        </references>
      </pivotArea>
    </chartFormat>
    <chartFormat chart="0" format="246">
      <pivotArea type="data" outline="0" fieldPosition="0">
        <references count="2">
          <reference field="4294967294" count="1" selected="0">
            <x v="0"/>
          </reference>
          <reference field="3" count="1" selected="0">
            <x v="461"/>
          </reference>
        </references>
      </pivotArea>
    </chartFormat>
    <chartFormat chart="0" format="247">
      <pivotArea type="data" outline="0" fieldPosition="0">
        <references count="2">
          <reference field="4294967294" count="1" selected="0">
            <x v="0"/>
          </reference>
          <reference field="3" count="1" selected="0">
            <x v="215"/>
          </reference>
        </references>
      </pivotArea>
    </chartFormat>
    <chartFormat chart="0" format="248">
      <pivotArea type="data" outline="0" fieldPosition="0">
        <references count="2">
          <reference field="4294967294" count="1" selected="0">
            <x v="0"/>
          </reference>
          <reference field="3" count="1" selected="0">
            <x v="474"/>
          </reference>
        </references>
      </pivotArea>
    </chartFormat>
    <chartFormat chart="0" format="249">
      <pivotArea type="data" outline="0" fieldPosition="0">
        <references count="2">
          <reference field="4294967294" count="1" selected="0">
            <x v="0"/>
          </reference>
          <reference field="3" count="1" selected="0">
            <x v="77"/>
          </reference>
        </references>
      </pivotArea>
    </chartFormat>
    <chartFormat chart="0" format="250">
      <pivotArea type="data" outline="0" fieldPosition="0">
        <references count="2">
          <reference field="4294967294" count="1" selected="0">
            <x v="0"/>
          </reference>
          <reference field="3" count="1" selected="0">
            <x v="444"/>
          </reference>
        </references>
      </pivotArea>
    </chartFormat>
    <chartFormat chart="0" format="251">
      <pivotArea type="data" outline="0" fieldPosition="0">
        <references count="2">
          <reference field="4294967294" count="1" selected="0">
            <x v="0"/>
          </reference>
          <reference field="3" count="1" selected="0">
            <x v="229"/>
          </reference>
        </references>
      </pivotArea>
    </chartFormat>
    <chartFormat chart="0" format="252">
      <pivotArea type="data" outline="0" fieldPosition="0">
        <references count="2">
          <reference field="4294967294" count="1" selected="0">
            <x v="0"/>
          </reference>
          <reference field="3" count="1" selected="0">
            <x v="318"/>
          </reference>
        </references>
      </pivotArea>
    </chartFormat>
    <chartFormat chart="0" format="253">
      <pivotArea type="data" outline="0" fieldPosition="0">
        <references count="2">
          <reference field="4294967294" count="1" selected="0">
            <x v="0"/>
          </reference>
          <reference field="3" count="1" selected="0">
            <x v="117"/>
          </reference>
        </references>
      </pivotArea>
    </chartFormat>
    <chartFormat chart="0" format="254">
      <pivotArea type="data" outline="0" fieldPosition="0">
        <references count="2">
          <reference field="4294967294" count="1" selected="0">
            <x v="0"/>
          </reference>
          <reference field="3" count="1" selected="0">
            <x v="342"/>
          </reference>
        </references>
      </pivotArea>
    </chartFormat>
    <chartFormat chart="0" format="255">
      <pivotArea type="data" outline="0" fieldPosition="0">
        <references count="2">
          <reference field="4294967294" count="1" selected="0">
            <x v="0"/>
          </reference>
          <reference field="3" count="1" selected="0">
            <x v="411"/>
          </reference>
        </references>
      </pivotArea>
    </chartFormat>
    <chartFormat chart="0" format="256">
      <pivotArea type="data" outline="0" fieldPosition="0">
        <references count="2">
          <reference field="4294967294" count="1" selected="0">
            <x v="0"/>
          </reference>
          <reference field="3" count="1" selected="0">
            <x v="402"/>
          </reference>
        </references>
      </pivotArea>
    </chartFormat>
    <chartFormat chart="0" format="257">
      <pivotArea type="data" outline="0" fieldPosition="0">
        <references count="2">
          <reference field="4294967294" count="1" selected="0">
            <x v="0"/>
          </reference>
          <reference field="3" count="1" selected="0">
            <x v="30"/>
          </reference>
        </references>
      </pivotArea>
    </chartFormat>
    <chartFormat chart="0" format="258">
      <pivotArea type="data" outline="0" fieldPosition="0">
        <references count="2">
          <reference field="4294967294" count="1" selected="0">
            <x v="0"/>
          </reference>
          <reference field="3" count="1" selected="0">
            <x v="355"/>
          </reference>
        </references>
      </pivotArea>
    </chartFormat>
    <chartFormat chart="0" format="259">
      <pivotArea type="data" outline="0" fieldPosition="0">
        <references count="2">
          <reference field="4294967294" count="1" selected="0">
            <x v="0"/>
          </reference>
          <reference field="3" count="1" selected="0">
            <x v="384"/>
          </reference>
        </references>
      </pivotArea>
    </chartFormat>
    <chartFormat chart="0" format="260">
      <pivotArea type="data" outline="0" fieldPosition="0">
        <references count="2">
          <reference field="4294967294" count="1" selected="0">
            <x v="0"/>
          </reference>
          <reference field="3" count="1" selected="0">
            <x v="72"/>
          </reference>
        </references>
      </pivotArea>
    </chartFormat>
    <chartFormat chart="0" format="261">
      <pivotArea type="data" outline="0" fieldPosition="0">
        <references count="2">
          <reference field="4294967294" count="1" selected="0">
            <x v="0"/>
          </reference>
          <reference field="3" count="1" selected="0">
            <x v="56"/>
          </reference>
        </references>
      </pivotArea>
    </chartFormat>
    <chartFormat chart="0" format="262">
      <pivotArea type="data" outline="0" fieldPosition="0">
        <references count="2">
          <reference field="4294967294" count="1" selected="0">
            <x v="0"/>
          </reference>
          <reference field="3" count="1" selected="0">
            <x v="60"/>
          </reference>
        </references>
      </pivotArea>
    </chartFormat>
    <chartFormat chart="0" format="263">
      <pivotArea type="data" outline="0" fieldPosition="0">
        <references count="2">
          <reference field="4294967294" count="1" selected="0">
            <x v="0"/>
          </reference>
          <reference field="3" count="1" selected="0">
            <x v="329"/>
          </reference>
        </references>
      </pivotArea>
    </chartFormat>
    <chartFormat chart="0" format="264">
      <pivotArea type="data" outline="0" fieldPosition="0">
        <references count="2">
          <reference field="4294967294" count="1" selected="0">
            <x v="0"/>
          </reference>
          <reference field="3" count="1" selected="0">
            <x v="170"/>
          </reference>
        </references>
      </pivotArea>
    </chartFormat>
    <chartFormat chart="0" format="265">
      <pivotArea type="data" outline="0" fieldPosition="0">
        <references count="2">
          <reference field="4294967294" count="1" selected="0">
            <x v="0"/>
          </reference>
          <reference field="3" count="1" selected="0">
            <x v="322"/>
          </reference>
        </references>
      </pivotArea>
    </chartFormat>
    <chartFormat chart="0" format="266">
      <pivotArea type="data" outline="0" fieldPosition="0">
        <references count="2">
          <reference field="4294967294" count="1" selected="0">
            <x v="0"/>
          </reference>
          <reference field="3" count="1" selected="0">
            <x v="341"/>
          </reference>
        </references>
      </pivotArea>
    </chartFormat>
    <chartFormat chart="0" format="267">
      <pivotArea type="data" outline="0" fieldPosition="0">
        <references count="2">
          <reference field="4294967294" count="1" selected="0">
            <x v="0"/>
          </reference>
          <reference field="3" count="1" selected="0">
            <x v="224"/>
          </reference>
        </references>
      </pivotArea>
    </chartFormat>
    <chartFormat chart="0" format="268">
      <pivotArea type="data" outline="0" fieldPosition="0">
        <references count="2">
          <reference field="4294967294" count="1" selected="0">
            <x v="0"/>
          </reference>
          <reference field="3" count="1" selected="0">
            <x v="47"/>
          </reference>
        </references>
      </pivotArea>
    </chartFormat>
    <chartFormat chart="0" format="269">
      <pivotArea type="data" outline="0" fieldPosition="0">
        <references count="2">
          <reference field="4294967294" count="1" selected="0">
            <x v="0"/>
          </reference>
          <reference field="3" count="1" selected="0">
            <x v="433"/>
          </reference>
        </references>
      </pivotArea>
    </chartFormat>
    <chartFormat chart="0" format="270">
      <pivotArea type="data" outline="0" fieldPosition="0">
        <references count="2">
          <reference field="4294967294" count="1" selected="0">
            <x v="0"/>
          </reference>
          <reference field="3" count="1" selected="0">
            <x v="221"/>
          </reference>
        </references>
      </pivotArea>
    </chartFormat>
    <chartFormat chart="0" format="271">
      <pivotArea type="data" outline="0" fieldPosition="0">
        <references count="2">
          <reference field="4294967294" count="1" selected="0">
            <x v="0"/>
          </reference>
          <reference field="3" count="1" selected="0">
            <x v="335"/>
          </reference>
        </references>
      </pivotArea>
    </chartFormat>
    <chartFormat chart="0" format="272">
      <pivotArea type="data" outline="0" fieldPosition="0">
        <references count="2">
          <reference field="4294967294" count="1" selected="0">
            <x v="0"/>
          </reference>
          <reference field="3" count="1" selected="0">
            <x v="59"/>
          </reference>
        </references>
      </pivotArea>
    </chartFormat>
    <chartFormat chart="0" format="273">
      <pivotArea type="data" outline="0" fieldPosition="0">
        <references count="2">
          <reference field="4294967294" count="1" selected="0">
            <x v="0"/>
          </reference>
          <reference field="3" count="1" selected="0">
            <x v="320"/>
          </reference>
        </references>
      </pivotArea>
    </chartFormat>
    <chartFormat chart="6" format="823" series="1">
      <pivotArea type="data" outline="0" fieldPosition="0">
        <references count="1">
          <reference field="4294967294" count="1" selected="0">
            <x v="0"/>
          </reference>
        </references>
      </pivotArea>
    </chartFormat>
    <chartFormat chart="6" format="824">
      <pivotArea type="data" outline="0" fieldPosition="0">
        <references count="2">
          <reference field="4294967294" count="1" selected="0">
            <x v="0"/>
          </reference>
          <reference field="3" count="1" selected="0">
            <x v="476"/>
          </reference>
        </references>
      </pivotArea>
    </chartFormat>
    <chartFormat chart="6" format="825">
      <pivotArea type="data" outline="0" fieldPosition="0">
        <references count="2">
          <reference field="4294967294" count="1" selected="0">
            <x v="0"/>
          </reference>
          <reference field="3" count="1" selected="0">
            <x v="8"/>
          </reference>
        </references>
      </pivotArea>
    </chartFormat>
    <chartFormat chart="6" format="826">
      <pivotArea type="data" outline="0" fieldPosition="0">
        <references count="2">
          <reference field="4294967294" count="1" selected="0">
            <x v="0"/>
          </reference>
          <reference field="3" count="1" selected="0">
            <x v="343"/>
          </reference>
        </references>
      </pivotArea>
    </chartFormat>
    <chartFormat chart="6" format="827">
      <pivotArea type="data" outline="0" fieldPosition="0">
        <references count="2">
          <reference field="4294967294" count="1" selected="0">
            <x v="0"/>
          </reference>
          <reference field="3" count="1" selected="0">
            <x v="21"/>
          </reference>
        </references>
      </pivotArea>
    </chartFormat>
    <chartFormat chart="6" format="828">
      <pivotArea type="data" outline="0" fieldPosition="0">
        <references count="2">
          <reference field="4294967294" count="1" selected="0">
            <x v="0"/>
          </reference>
          <reference field="3" count="1" selected="0">
            <x v="280"/>
          </reference>
        </references>
      </pivotArea>
    </chartFormat>
    <chartFormat chart="6" format="829">
      <pivotArea type="data" outline="0" fieldPosition="0">
        <references count="2">
          <reference field="4294967294" count="1" selected="0">
            <x v="0"/>
          </reference>
          <reference field="3" count="1" selected="0">
            <x v="399"/>
          </reference>
        </references>
      </pivotArea>
    </chartFormat>
    <chartFormat chart="6" format="830">
      <pivotArea type="data" outline="0" fieldPosition="0">
        <references count="2">
          <reference field="4294967294" count="1" selected="0">
            <x v="0"/>
          </reference>
          <reference field="3" count="1" selected="0">
            <x v="394"/>
          </reference>
        </references>
      </pivotArea>
    </chartFormat>
    <chartFormat chart="6" format="831">
      <pivotArea type="data" outline="0" fieldPosition="0">
        <references count="2">
          <reference field="4294967294" count="1" selected="0">
            <x v="0"/>
          </reference>
          <reference field="3" count="1" selected="0">
            <x v="180"/>
          </reference>
        </references>
      </pivotArea>
    </chartFormat>
    <chartFormat chart="6" format="832">
      <pivotArea type="data" outline="0" fieldPosition="0">
        <references count="2">
          <reference field="4294967294" count="1" selected="0">
            <x v="0"/>
          </reference>
          <reference field="3" count="1" selected="0">
            <x v="235"/>
          </reference>
        </references>
      </pivotArea>
    </chartFormat>
    <chartFormat chart="6" format="833">
      <pivotArea type="data" outline="0" fieldPosition="0">
        <references count="2">
          <reference field="4294967294" count="1" selected="0">
            <x v="0"/>
          </reference>
          <reference field="3" count="1" selected="0">
            <x v="321"/>
          </reference>
        </references>
      </pivotArea>
    </chartFormat>
    <chartFormat chart="6" format="834">
      <pivotArea type="data" outline="0" fieldPosition="0">
        <references count="2">
          <reference field="4294967294" count="1" selected="0">
            <x v="0"/>
          </reference>
          <reference field="3" count="1" selected="0">
            <x v="139"/>
          </reference>
        </references>
      </pivotArea>
    </chartFormat>
    <chartFormat chart="6" format="835">
      <pivotArea type="data" outline="0" fieldPosition="0">
        <references count="2">
          <reference field="4294967294" count="1" selected="0">
            <x v="0"/>
          </reference>
          <reference field="3" count="1" selected="0">
            <x v="205"/>
          </reference>
        </references>
      </pivotArea>
    </chartFormat>
    <chartFormat chart="6" format="836">
      <pivotArea type="data" outline="0" fieldPosition="0">
        <references count="2">
          <reference field="4294967294" count="1" selected="0">
            <x v="0"/>
          </reference>
          <reference field="3" count="1" selected="0">
            <x v="495"/>
          </reference>
        </references>
      </pivotArea>
    </chartFormat>
    <chartFormat chart="6" format="837">
      <pivotArea type="data" outline="0" fieldPosition="0">
        <references count="2">
          <reference field="4294967294" count="1" selected="0">
            <x v="0"/>
          </reference>
          <reference field="3" count="1" selected="0">
            <x v="359"/>
          </reference>
        </references>
      </pivotArea>
    </chartFormat>
    <chartFormat chart="6" format="838">
      <pivotArea type="data" outline="0" fieldPosition="0">
        <references count="2">
          <reference field="4294967294" count="1" selected="0">
            <x v="0"/>
          </reference>
          <reference field="3" count="1" selected="0">
            <x v="203"/>
          </reference>
        </references>
      </pivotArea>
    </chartFormat>
    <chartFormat chart="6" format="839">
      <pivotArea type="data" outline="0" fieldPosition="0">
        <references count="2">
          <reference field="4294967294" count="1" selected="0">
            <x v="0"/>
          </reference>
          <reference field="3" count="1" selected="0">
            <x v="454"/>
          </reference>
        </references>
      </pivotArea>
    </chartFormat>
    <chartFormat chart="6" format="840">
      <pivotArea type="data" outline="0" fieldPosition="0">
        <references count="2">
          <reference field="4294967294" count="1" selected="0">
            <x v="0"/>
          </reference>
          <reference field="3" count="1" selected="0">
            <x v="487"/>
          </reference>
        </references>
      </pivotArea>
    </chartFormat>
    <chartFormat chart="6" format="841">
      <pivotArea type="data" outline="0" fieldPosition="0">
        <references count="2">
          <reference field="4294967294" count="1" selected="0">
            <x v="0"/>
          </reference>
          <reference field="3" count="1" selected="0">
            <x v="397"/>
          </reference>
        </references>
      </pivotArea>
    </chartFormat>
    <chartFormat chart="6" format="842">
      <pivotArea type="data" outline="0" fieldPosition="0">
        <references count="2">
          <reference field="4294967294" count="1" selected="0">
            <x v="0"/>
          </reference>
          <reference field="3" count="1" selected="0">
            <x v="486"/>
          </reference>
        </references>
      </pivotArea>
    </chartFormat>
    <chartFormat chart="6" format="843">
      <pivotArea type="data" outline="0" fieldPosition="0">
        <references count="2">
          <reference field="4294967294" count="1" selected="0">
            <x v="0"/>
          </reference>
          <reference field="3" count="1" selected="0">
            <x v="403"/>
          </reference>
        </references>
      </pivotArea>
    </chartFormat>
    <chartFormat chart="6" format="844">
      <pivotArea type="data" outline="0" fieldPosition="0">
        <references count="2">
          <reference field="4294967294" count="1" selected="0">
            <x v="0"/>
          </reference>
          <reference field="3" count="1" selected="0">
            <x v="156"/>
          </reference>
        </references>
      </pivotArea>
    </chartFormat>
    <chartFormat chart="6" format="845">
      <pivotArea type="data" outline="0" fieldPosition="0">
        <references count="2">
          <reference field="4294967294" count="1" selected="0">
            <x v="0"/>
          </reference>
          <reference field="3" count="1" selected="0">
            <x v="54"/>
          </reference>
        </references>
      </pivotArea>
    </chartFormat>
    <chartFormat chart="6" format="846">
      <pivotArea type="data" outline="0" fieldPosition="0">
        <references count="2">
          <reference field="4294967294" count="1" selected="0">
            <x v="0"/>
          </reference>
          <reference field="3" count="1" selected="0">
            <x v="182"/>
          </reference>
        </references>
      </pivotArea>
    </chartFormat>
    <chartFormat chart="6" format="847">
      <pivotArea type="data" outline="0" fieldPosition="0">
        <references count="2">
          <reference field="4294967294" count="1" selected="0">
            <x v="0"/>
          </reference>
          <reference field="3" count="1" selected="0">
            <x v="478"/>
          </reference>
        </references>
      </pivotArea>
    </chartFormat>
    <chartFormat chart="6" format="848">
      <pivotArea type="data" outline="0" fieldPosition="0">
        <references count="2">
          <reference field="4294967294" count="1" selected="0">
            <x v="0"/>
          </reference>
          <reference field="3" count="1" selected="0">
            <x v="449"/>
          </reference>
        </references>
      </pivotArea>
    </chartFormat>
    <chartFormat chart="6" format="849">
      <pivotArea type="data" outline="0" fieldPosition="0">
        <references count="2">
          <reference field="4294967294" count="1" selected="0">
            <x v="0"/>
          </reference>
          <reference field="3" count="1" selected="0">
            <x v="15"/>
          </reference>
        </references>
      </pivotArea>
    </chartFormat>
    <chartFormat chart="6" format="850">
      <pivotArea type="data" outline="0" fieldPosition="0">
        <references count="2">
          <reference field="4294967294" count="1" selected="0">
            <x v="0"/>
          </reference>
          <reference field="3" count="1" selected="0">
            <x v="193"/>
          </reference>
        </references>
      </pivotArea>
    </chartFormat>
    <chartFormat chart="6" format="851">
      <pivotArea type="data" outline="0" fieldPosition="0">
        <references count="2">
          <reference field="4294967294" count="1" selected="0">
            <x v="0"/>
          </reference>
          <reference field="3" count="1" selected="0">
            <x v="372"/>
          </reference>
        </references>
      </pivotArea>
    </chartFormat>
    <chartFormat chart="6" format="852">
      <pivotArea type="data" outline="0" fieldPosition="0">
        <references count="2">
          <reference field="4294967294" count="1" selected="0">
            <x v="0"/>
          </reference>
          <reference field="3" count="1" selected="0">
            <x v="471"/>
          </reference>
        </references>
      </pivotArea>
    </chartFormat>
    <chartFormat chart="6" format="853">
      <pivotArea type="data" outline="0" fieldPosition="0">
        <references count="2">
          <reference field="4294967294" count="1" selected="0">
            <x v="0"/>
          </reference>
          <reference field="3" count="1" selected="0">
            <x v="265"/>
          </reference>
        </references>
      </pivotArea>
    </chartFormat>
    <chartFormat chart="6" format="854">
      <pivotArea type="data" outline="0" fieldPosition="0">
        <references count="2">
          <reference field="4294967294" count="1" selected="0">
            <x v="0"/>
          </reference>
          <reference field="3" count="1" selected="0">
            <x v="366"/>
          </reference>
        </references>
      </pivotArea>
    </chartFormat>
    <chartFormat chart="6" format="855">
      <pivotArea type="data" outline="0" fieldPosition="0">
        <references count="2">
          <reference field="4294967294" count="1" selected="0">
            <x v="0"/>
          </reference>
          <reference field="3" count="1" selected="0">
            <x v="63"/>
          </reference>
        </references>
      </pivotArea>
    </chartFormat>
    <chartFormat chart="6" format="856">
      <pivotArea type="data" outline="0" fieldPosition="0">
        <references count="2">
          <reference field="4294967294" count="1" selected="0">
            <x v="0"/>
          </reference>
          <reference field="3" count="1" selected="0">
            <x v="309"/>
          </reference>
        </references>
      </pivotArea>
    </chartFormat>
    <chartFormat chart="6" format="857">
      <pivotArea type="data" outline="0" fieldPosition="0">
        <references count="2">
          <reference field="4294967294" count="1" selected="0">
            <x v="0"/>
          </reference>
          <reference field="3" count="1" selected="0">
            <x v="292"/>
          </reference>
        </references>
      </pivotArea>
    </chartFormat>
    <chartFormat chart="6" format="858">
      <pivotArea type="data" outline="0" fieldPosition="0">
        <references count="2">
          <reference field="4294967294" count="1" selected="0">
            <x v="0"/>
          </reference>
          <reference field="3" count="1" selected="0">
            <x v="326"/>
          </reference>
        </references>
      </pivotArea>
    </chartFormat>
    <chartFormat chart="6" format="859">
      <pivotArea type="data" outline="0" fieldPosition="0">
        <references count="2">
          <reference field="4294967294" count="1" selected="0">
            <x v="0"/>
          </reference>
          <reference field="3" count="1" selected="0">
            <x v="423"/>
          </reference>
        </references>
      </pivotArea>
    </chartFormat>
    <chartFormat chart="6" format="860">
      <pivotArea type="data" outline="0" fieldPosition="0">
        <references count="2">
          <reference field="4294967294" count="1" selected="0">
            <x v="0"/>
          </reference>
          <reference field="3" count="1" selected="0">
            <x v="276"/>
          </reference>
        </references>
      </pivotArea>
    </chartFormat>
    <chartFormat chart="6" format="861">
      <pivotArea type="data" outline="0" fieldPosition="0">
        <references count="2">
          <reference field="4294967294" count="1" selected="0">
            <x v="0"/>
          </reference>
          <reference field="3" count="1" selected="0">
            <x v="79"/>
          </reference>
        </references>
      </pivotArea>
    </chartFormat>
    <chartFormat chart="6" format="862">
      <pivotArea type="data" outline="0" fieldPosition="0">
        <references count="2">
          <reference field="4294967294" count="1" selected="0">
            <x v="0"/>
          </reference>
          <reference field="3" count="1" selected="0">
            <x v="210"/>
          </reference>
        </references>
      </pivotArea>
    </chartFormat>
    <chartFormat chart="6" format="863">
      <pivotArea type="data" outline="0" fieldPosition="0">
        <references count="2">
          <reference field="4294967294" count="1" selected="0">
            <x v="0"/>
          </reference>
          <reference field="3" count="1" selected="0">
            <x v="225"/>
          </reference>
        </references>
      </pivotArea>
    </chartFormat>
    <chartFormat chart="6" format="864">
      <pivotArea type="data" outline="0" fieldPosition="0">
        <references count="2">
          <reference field="4294967294" count="1" selected="0">
            <x v="0"/>
          </reference>
          <reference field="3" count="1" selected="0">
            <x v="410"/>
          </reference>
        </references>
      </pivotArea>
    </chartFormat>
    <chartFormat chart="6" format="865">
      <pivotArea type="data" outline="0" fieldPosition="0">
        <references count="2">
          <reference field="4294967294" count="1" selected="0">
            <x v="0"/>
          </reference>
          <reference field="3" count="1" selected="0">
            <x v="201"/>
          </reference>
        </references>
      </pivotArea>
    </chartFormat>
    <chartFormat chart="6" format="866">
      <pivotArea type="data" outline="0" fieldPosition="0">
        <references count="2">
          <reference field="4294967294" count="1" selected="0">
            <x v="0"/>
          </reference>
          <reference field="3" count="1" selected="0">
            <x v="281"/>
          </reference>
        </references>
      </pivotArea>
    </chartFormat>
    <chartFormat chart="6" format="867">
      <pivotArea type="data" outline="0" fieldPosition="0">
        <references count="2">
          <reference field="4294967294" count="1" selected="0">
            <x v="0"/>
          </reference>
          <reference field="3" count="1" selected="0">
            <x v="151"/>
          </reference>
        </references>
      </pivotArea>
    </chartFormat>
    <chartFormat chart="6" format="868">
      <pivotArea type="data" outline="0" fieldPosition="0">
        <references count="2">
          <reference field="4294967294" count="1" selected="0">
            <x v="0"/>
          </reference>
          <reference field="3" count="1" selected="0">
            <x v="490"/>
          </reference>
        </references>
      </pivotArea>
    </chartFormat>
    <chartFormat chart="6" format="869">
      <pivotArea type="data" outline="0" fieldPosition="0">
        <references count="2">
          <reference field="4294967294" count="1" selected="0">
            <x v="0"/>
          </reference>
          <reference field="3" count="1" selected="0">
            <x v="125"/>
          </reference>
        </references>
      </pivotArea>
    </chartFormat>
    <chartFormat chart="6" format="870">
      <pivotArea type="data" outline="0" fieldPosition="0">
        <references count="2">
          <reference field="4294967294" count="1" selected="0">
            <x v="0"/>
          </reference>
          <reference field="3" count="1" selected="0">
            <x v="450"/>
          </reference>
        </references>
      </pivotArea>
    </chartFormat>
    <chartFormat chart="6" format="871">
      <pivotArea type="data" outline="0" fieldPosition="0">
        <references count="2">
          <reference field="4294967294" count="1" selected="0">
            <x v="0"/>
          </reference>
          <reference field="3" count="1" selected="0">
            <x v="116"/>
          </reference>
        </references>
      </pivotArea>
    </chartFormat>
    <chartFormat chart="6" format="872">
      <pivotArea type="data" outline="0" fieldPosition="0">
        <references count="2">
          <reference field="4294967294" count="1" selected="0">
            <x v="0"/>
          </reference>
          <reference field="3" count="1" selected="0">
            <x v="244"/>
          </reference>
        </references>
      </pivotArea>
    </chartFormat>
    <chartFormat chart="6" format="873">
      <pivotArea type="data" outline="0" fieldPosition="0">
        <references count="2">
          <reference field="4294967294" count="1" selected="0">
            <x v="0"/>
          </reference>
          <reference field="3" count="1" selected="0">
            <x v="94"/>
          </reference>
        </references>
      </pivotArea>
    </chartFormat>
    <chartFormat chart="6" format="874">
      <pivotArea type="data" outline="0" fieldPosition="0">
        <references count="2">
          <reference field="4294967294" count="1" selected="0">
            <x v="0"/>
          </reference>
          <reference field="3" count="1" selected="0">
            <x v="255"/>
          </reference>
        </references>
      </pivotArea>
    </chartFormat>
    <chartFormat chart="6" format="875">
      <pivotArea type="data" outline="0" fieldPosition="0">
        <references count="2">
          <reference field="4294967294" count="1" selected="0">
            <x v="0"/>
          </reference>
          <reference field="3" count="1" selected="0">
            <x v="480"/>
          </reference>
        </references>
      </pivotArea>
    </chartFormat>
    <chartFormat chart="6" format="876">
      <pivotArea type="data" outline="0" fieldPosition="0">
        <references count="2">
          <reference field="4294967294" count="1" selected="0">
            <x v="0"/>
          </reference>
          <reference field="3" count="1" selected="0">
            <x v="388"/>
          </reference>
        </references>
      </pivotArea>
    </chartFormat>
    <chartFormat chart="6" format="877">
      <pivotArea type="data" outline="0" fieldPosition="0">
        <references count="2">
          <reference field="4294967294" count="1" selected="0">
            <x v="0"/>
          </reference>
          <reference field="3" count="1" selected="0">
            <x v="452"/>
          </reference>
        </references>
      </pivotArea>
    </chartFormat>
    <chartFormat chart="6" format="878">
      <pivotArea type="data" outline="0" fieldPosition="0">
        <references count="2">
          <reference field="4294967294" count="1" selected="0">
            <x v="0"/>
          </reference>
          <reference field="3" count="1" selected="0">
            <x v="89"/>
          </reference>
        </references>
      </pivotArea>
    </chartFormat>
    <chartFormat chart="6" format="879">
      <pivotArea type="data" outline="0" fieldPosition="0">
        <references count="2">
          <reference field="4294967294" count="1" selected="0">
            <x v="0"/>
          </reference>
          <reference field="3" count="1" selected="0">
            <x v="379"/>
          </reference>
        </references>
      </pivotArea>
    </chartFormat>
    <chartFormat chart="6" format="880">
      <pivotArea type="data" outline="0" fieldPosition="0">
        <references count="2">
          <reference field="4294967294" count="1" selected="0">
            <x v="0"/>
          </reference>
          <reference field="3" count="1" selected="0">
            <x v="496"/>
          </reference>
        </references>
      </pivotArea>
    </chartFormat>
    <chartFormat chart="6" format="881">
      <pivotArea type="data" outline="0" fieldPosition="0">
        <references count="2">
          <reference field="4294967294" count="1" selected="0">
            <x v="0"/>
          </reference>
          <reference field="3" count="1" selected="0">
            <x v="351"/>
          </reference>
        </references>
      </pivotArea>
    </chartFormat>
    <chartFormat chart="6" format="882">
      <pivotArea type="data" outline="0" fieldPosition="0">
        <references count="2">
          <reference field="4294967294" count="1" selected="0">
            <x v="0"/>
          </reference>
          <reference field="3" count="1" selected="0">
            <x v="427"/>
          </reference>
        </references>
      </pivotArea>
    </chartFormat>
    <chartFormat chart="6" format="883">
      <pivotArea type="data" outline="0" fieldPosition="0">
        <references count="2">
          <reference field="4294967294" count="1" selected="0">
            <x v="0"/>
          </reference>
          <reference field="3" count="1" selected="0">
            <x v="406"/>
          </reference>
        </references>
      </pivotArea>
    </chartFormat>
    <chartFormat chart="6" format="884">
      <pivotArea type="data" outline="0" fieldPosition="0">
        <references count="2">
          <reference field="4294967294" count="1" selected="0">
            <x v="0"/>
          </reference>
          <reference field="3" count="1" selected="0">
            <x v="479"/>
          </reference>
        </references>
      </pivotArea>
    </chartFormat>
    <chartFormat chart="6" format="885">
      <pivotArea type="data" outline="0" fieldPosition="0">
        <references count="2">
          <reference field="4294967294" count="1" selected="0">
            <x v="0"/>
          </reference>
          <reference field="3" count="1" selected="0">
            <x v="17"/>
          </reference>
        </references>
      </pivotArea>
    </chartFormat>
    <chartFormat chart="6" format="886">
      <pivotArea type="data" outline="0" fieldPosition="0">
        <references count="2">
          <reference field="4294967294" count="1" selected="0">
            <x v="0"/>
          </reference>
          <reference field="3" count="1" selected="0">
            <x v="61"/>
          </reference>
        </references>
      </pivotArea>
    </chartFormat>
    <chartFormat chart="6" format="887">
      <pivotArea type="data" outline="0" fieldPosition="0">
        <references count="2">
          <reference field="4294967294" count="1" selected="0">
            <x v="0"/>
          </reference>
          <reference field="3" count="1" selected="0">
            <x v="177"/>
          </reference>
        </references>
      </pivotArea>
    </chartFormat>
    <chartFormat chart="6" format="888">
      <pivotArea type="data" outline="0" fieldPosition="0">
        <references count="2">
          <reference field="4294967294" count="1" selected="0">
            <x v="0"/>
          </reference>
          <reference field="3" count="1" selected="0">
            <x v="494"/>
          </reference>
        </references>
      </pivotArea>
    </chartFormat>
    <chartFormat chart="6" format="889">
      <pivotArea type="data" outline="0" fieldPosition="0">
        <references count="2">
          <reference field="4294967294" count="1" selected="0">
            <x v="0"/>
          </reference>
          <reference field="3" count="1" selected="0">
            <x v="174"/>
          </reference>
        </references>
      </pivotArea>
    </chartFormat>
    <chartFormat chart="6" format="890">
      <pivotArea type="data" outline="0" fieldPosition="0">
        <references count="2">
          <reference field="4294967294" count="1" selected="0">
            <x v="0"/>
          </reference>
          <reference field="3" count="1" selected="0">
            <x v="453"/>
          </reference>
        </references>
      </pivotArea>
    </chartFormat>
    <chartFormat chart="6" format="891">
      <pivotArea type="data" outline="0" fieldPosition="0">
        <references count="2">
          <reference field="4294967294" count="1" selected="0">
            <x v="0"/>
          </reference>
          <reference field="3" count="1" selected="0">
            <x v="489"/>
          </reference>
        </references>
      </pivotArea>
    </chartFormat>
    <chartFormat chart="6" format="892">
      <pivotArea type="data" outline="0" fieldPosition="0">
        <references count="2">
          <reference field="4294967294" count="1" selected="0">
            <x v="0"/>
          </reference>
          <reference field="3" count="1" selected="0">
            <x v="22"/>
          </reference>
        </references>
      </pivotArea>
    </chartFormat>
    <chartFormat chart="6" format="893">
      <pivotArea type="data" outline="0" fieldPosition="0">
        <references count="2">
          <reference field="4294967294" count="1" selected="0">
            <x v="0"/>
          </reference>
          <reference field="3" count="1" selected="0">
            <x v="383"/>
          </reference>
        </references>
      </pivotArea>
    </chartFormat>
    <chartFormat chart="6" format="894">
      <pivotArea type="data" outline="0" fieldPosition="0">
        <references count="2">
          <reference field="4294967294" count="1" selected="0">
            <x v="0"/>
          </reference>
          <reference field="3" count="1" selected="0">
            <x v="194"/>
          </reference>
        </references>
      </pivotArea>
    </chartFormat>
    <chartFormat chart="6" format="895">
      <pivotArea type="data" outline="0" fieldPosition="0">
        <references count="2">
          <reference field="4294967294" count="1" selected="0">
            <x v="0"/>
          </reference>
          <reference field="3" count="1" selected="0">
            <x v="430"/>
          </reference>
        </references>
      </pivotArea>
    </chartFormat>
    <chartFormat chart="6" format="896">
      <pivotArea type="data" outline="0" fieldPosition="0">
        <references count="2">
          <reference field="4294967294" count="1" selected="0">
            <x v="0"/>
          </reference>
          <reference field="3" count="1" selected="0">
            <x v="157"/>
          </reference>
        </references>
      </pivotArea>
    </chartFormat>
    <chartFormat chart="6" format="897">
      <pivotArea type="data" outline="0" fieldPosition="0">
        <references count="2">
          <reference field="4294967294" count="1" selected="0">
            <x v="0"/>
          </reference>
          <reference field="3" count="1" selected="0">
            <x v="108"/>
          </reference>
        </references>
      </pivotArea>
    </chartFormat>
    <chartFormat chart="6" format="898">
      <pivotArea type="data" outline="0" fieldPosition="0">
        <references count="2">
          <reference field="4294967294" count="1" selected="0">
            <x v="0"/>
          </reference>
          <reference field="3" count="1" selected="0">
            <x v="422"/>
          </reference>
        </references>
      </pivotArea>
    </chartFormat>
    <chartFormat chart="6" format="899">
      <pivotArea type="data" outline="0" fieldPosition="0">
        <references count="2">
          <reference field="4294967294" count="1" selected="0">
            <x v="0"/>
          </reference>
          <reference field="3" count="1" selected="0">
            <x v="304"/>
          </reference>
        </references>
      </pivotArea>
    </chartFormat>
    <chartFormat chart="6" format="900">
      <pivotArea type="data" outline="0" fieldPosition="0">
        <references count="2">
          <reference field="4294967294" count="1" selected="0">
            <x v="0"/>
          </reference>
          <reference field="3" count="1" selected="0">
            <x v="196"/>
          </reference>
        </references>
      </pivotArea>
    </chartFormat>
    <chartFormat chart="6" format="901">
      <pivotArea type="data" outline="0" fieldPosition="0">
        <references count="2">
          <reference field="4294967294" count="1" selected="0">
            <x v="0"/>
          </reference>
          <reference field="3" count="1" selected="0">
            <x v="145"/>
          </reference>
        </references>
      </pivotArea>
    </chartFormat>
    <chartFormat chart="6" format="902">
      <pivotArea type="data" outline="0" fieldPosition="0">
        <references count="2">
          <reference field="4294967294" count="1" selected="0">
            <x v="0"/>
          </reference>
          <reference field="3" count="1" selected="0">
            <x v="85"/>
          </reference>
        </references>
      </pivotArea>
    </chartFormat>
    <chartFormat chart="6" format="903">
      <pivotArea type="data" outline="0" fieldPosition="0">
        <references count="2">
          <reference field="4294967294" count="1" selected="0">
            <x v="0"/>
          </reference>
          <reference field="3" count="1" selected="0">
            <x v="363"/>
          </reference>
        </references>
      </pivotArea>
    </chartFormat>
    <chartFormat chart="6" format="904">
      <pivotArea type="data" outline="0" fieldPosition="0">
        <references count="2">
          <reference field="4294967294" count="1" selected="0">
            <x v="0"/>
          </reference>
          <reference field="3" count="1" selected="0">
            <x v="91"/>
          </reference>
        </references>
      </pivotArea>
    </chartFormat>
    <chartFormat chart="6" format="905">
      <pivotArea type="data" outline="0" fieldPosition="0">
        <references count="2">
          <reference field="4294967294" count="1" selected="0">
            <x v="0"/>
          </reference>
          <reference field="3" count="1" selected="0">
            <x v="263"/>
          </reference>
        </references>
      </pivotArea>
    </chartFormat>
    <chartFormat chart="6" format="906">
      <pivotArea type="data" outline="0" fieldPosition="0">
        <references count="2">
          <reference field="4294967294" count="1" selected="0">
            <x v="0"/>
          </reference>
          <reference field="3" count="1" selected="0">
            <x v="233"/>
          </reference>
        </references>
      </pivotArea>
    </chartFormat>
    <chartFormat chart="6" format="907">
      <pivotArea type="data" outline="0" fieldPosition="0">
        <references count="2">
          <reference field="4294967294" count="1" selected="0">
            <x v="0"/>
          </reference>
          <reference field="3" count="1" selected="0">
            <x v="456"/>
          </reference>
        </references>
      </pivotArea>
    </chartFormat>
    <chartFormat chart="6" format="908">
      <pivotArea type="data" outline="0" fieldPosition="0">
        <references count="2">
          <reference field="4294967294" count="1" selected="0">
            <x v="0"/>
          </reference>
          <reference field="3" count="1" selected="0">
            <x v="311"/>
          </reference>
        </references>
      </pivotArea>
    </chartFormat>
    <chartFormat chart="6" format="909">
      <pivotArea type="data" outline="0" fieldPosition="0">
        <references count="2">
          <reference field="4294967294" count="1" selected="0">
            <x v="0"/>
          </reference>
          <reference field="3" count="1" selected="0">
            <x v="273"/>
          </reference>
        </references>
      </pivotArea>
    </chartFormat>
    <chartFormat chart="6" format="910">
      <pivotArea type="data" outline="0" fieldPosition="0">
        <references count="2">
          <reference field="4294967294" count="1" selected="0">
            <x v="0"/>
          </reference>
          <reference field="3" count="1" selected="0">
            <x v="373"/>
          </reference>
        </references>
      </pivotArea>
    </chartFormat>
    <chartFormat chart="6" format="911">
      <pivotArea type="data" outline="0" fieldPosition="0">
        <references count="2">
          <reference field="4294967294" count="1" selected="0">
            <x v="0"/>
          </reference>
          <reference field="3" count="1" selected="0">
            <x v="154"/>
          </reference>
        </references>
      </pivotArea>
    </chartFormat>
    <chartFormat chart="6" format="912">
      <pivotArea type="data" outline="0" fieldPosition="0">
        <references count="2">
          <reference field="4294967294" count="1" selected="0">
            <x v="0"/>
          </reference>
          <reference field="3" count="1" selected="0">
            <x v="312"/>
          </reference>
        </references>
      </pivotArea>
    </chartFormat>
    <chartFormat chart="6" format="913">
      <pivotArea type="data" outline="0" fieldPosition="0">
        <references count="2">
          <reference field="4294967294" count="1" selected="0">
            <x v="0"/>
          </reference>
          <reference field="3" count="1" selected="0">
            <x v="395"/>
          </reference>
        </references>
      </pivotArea>
    </chartFormat>
    <chartFormat chart="6" format="914">
      <pivotArea type="data" outline="0" fieldPosition="0">
        <references count="2">
          <reference field="4294967294" count="1" selected="0">
            <x v="0"/>
          </reference>
          <reference field="3" count="1" selected="0">
            <x v="241"/>
          </reference>
        </references>
      </pivotArea>
    </chartFormat>
    <chartFormat chart="6" format="915">
      <pivotArea type="data" outline="0" fieldPosition="0">
        <references count="2">
          <reference field="4294967294" count="1" selected="0">
            <x v="0"/>
          </reference>
          <reference field="3" count="1" selected="0">
            <x v="485"/>
          </reference>
        </references>
      </pivotArea>
    </chartFormat>
    <chartFormat chart="6" format="916">
      <pivotArea type="data" outline="0" fieldPosition="0">
        <references count="2">
          <reference field="4294967294" count="1" selected="0">
            <x v="0"/>
          </reference>
          <reference field="3" count="1" selected="0">
            <x v="470"/>
          </reference>
        </references>
      </pivotArea>
    </chartFormat>
    <chartFormat chart="6" format="917">
      <pivotArea type="data" outline="0" fieldPosition="0">
        <references count="2">
          <reference field="4294967294" count="1" selected="0">
            <x v="0"/>
          </reference>
          <reference field="3" count="1" selected="0">
            <x v="35"/>
          </reference>
        </references>
      </pivotArea>
    </chartFormat>
    <chartFormat chart="6" format="918">
      <pivotArea type="data" outline="0" fieldPosition="0">
        <references count="2">
          <reference field="4294967294" count="1" selected="0">
            <x v="0"/>
          </reference>
          <reference field="3" count="1" selected="0">
            <x v="51"/>
          </reference>
        </references>
      </pivotArea>
    </chartFormat>
    <chartFormat chart="6" format="919">
      <pivotArea type="data" outline="0" fieldPosition="0">
        <references count="2">
          <reference field="4294967294" count="1" selected="0">
            <x v="0"/>
          </reference>
          <reference field="3" count="1" selected="0">
            <x v="370"/>
          </reference>
        </references>
      </pivotArea>
    </chartFormat>
    <chartFormat chart="6" format="920">
      <pivotArea type="data" outline="0" fieldPosition="0">
        <references count="2">
          <reference field="4294967294" count="1" selected="0">
            <x v="0"/>
          </reference>
          <reference field="3" count="1" selected="0">
            <x v="187"/>
          </reference>
        </references>
      </pivotArea>
    </chartFormat>
    <chartFormat chart="6" format="921">
      <pivotArea type="data" outline="0" fieldPosition="0">
        <references count="2">
          <reference field="4294967294" count="1" selected="0">
            <x v="0"/>
          </reference>
          <reference field="3" count="1" selected="0">
            <x v="55"/>
          </reference>
        </references>
      </pivotArea>
    </chartFormat>
    <chartFormat chart="6" format="922">
      <pivotArea type="data" outline="0" fieldPosition="0">
        <references count="2">
          <reference field="4294967294" count="1" selected="0">
            <x v="0"/>
          </reference>
          <reference field="3" count="1" selected="0">
            <x v="374"/>
          </reference>
        </references>
      </pivotArea>
    </chartFormat>
    <chartFormat chart="6" format="923">
      <pivotArea type="data" outline="0" fieldPosition="0">
        <references count="2">
          <reference field="4294967294" count="1" selected="0">
            <x v="0"/>
          </reference>
          <reference field="3" count="1" selected="0">
            <x v="249"/>
          </reference>
        </references>
      </pivotArea>
    </chartFormat>
    <chartFormat chart="6" format="924">
      <pivotArea type="data" outline="0" fieldPosition="0">
        <references count="2">
          <reference field="4294967294" count="1" selected="0">
            <x v="0"/>
          </reference>
          <reference field="3" count="1" selected="0">
            <x v="104"/>
          </reference>
        </references>
      </pivotArea>
    </chartFormat>
    <chartFormat chart="6" format="925">
      <pivotArea type="data" outline="0" fieldPosition="0">
        <references count="2">
          <reference field="4294967294" count="1" selected="0">
            <x v="0"/>
          </reference>
          <reference field="3" count="1" selected="0">
            <x v="179"/>
          </reference>
        </references>
      </pivotArea>
    </chartFormat>
    <chartFormat chart="6" format="926">
      <pivotArea type="data" outline="0" fieldPosition="0">
        <references count="2">
          <reference field="4294967294" count="1" selected="0">
            <x v="0"/>
          </reference>
          <reference field="3" count="1" selected="0">
            <x v="160"/>
          </reference>
        </references>
      </pivotArea>
    </chartFormat>
    <chartFormat chart="6" format="927">
      <pivotArea type="data" outline="0" fieldPosition="0">
        <references count="2">
          <reference field="4294967294" count="1" selected="0">
            <x v="0"/>
          </reference>
          <reference field="3" count="1" selected="0">
            <x v="31"/>
          </reference>
        </references>
      </pivotArea>
    </chartFormat>
    <chartFormat chart="6" format="928">
      <pivotArea type="data" outline="0" fieldPosition="0">
        <references count="2">
          <reference field="4294967294" count="1" selected="0">
            <x v="0"/>
          </reference>
          <reference field="3" count="1" selected="0">
            <x v="78"/>
          </reference>
        </references>
      </pivotArea>
    </chartFormat>
    <chartFormat chart="6" format="929">
      <pivotArea type="data" outline="0" fieldPosition="0">
        <references count="2">
          <reference field="4294967294" count="1" selected="0">
            <x v="0"/>
          </reference>
          <reference field="3" count="1" selected="0">
            <x v="98"/>
          </reference>
        </references>
      </pivotArea>
    </chartFormat>
    <chartFormat chart="6" format="930">
      <pivotArea type="data" outline="0" fieldPosition="0">
        <references count="2">
          <reference field="4294967294" count="1" selected="0">
            <x v="0"/>
          </reference>
          <reference field="3" count="1" selected="0">
            <x v="34"/>
          </reference>
        </references>
      </pivotArea>
    </chartFormat>
    <chartFormat chart="6" format="931">
      <pivotArea type="data" outline="0" fieldPosition="0">
        <references count="2">
          <reference field="4294967294" count="1" selected="0">
            <x v="0"/>
          </reference>
          <reference field="3" count="1" selected="0">
            <x v="306"/>
          </reference>
        </references>
      </pivotArea>
    </chartFormat>
    <chartFormat chart="6" format="932">
      <pivotArea type="data" outline="0" fieldPosition="0">
        <references count="2">
          <reference field="4294967294" count="1" selected="0">
            <x v="0"/>
          </reference>
          <reference field="3" count="1" selected="0">
            <x v="246"/>
          </reference>
        </references>
      </pivotArea>
    </chartFormat>
    <chartFormat chart="6" format="933">
      <pivotArea type="data" outline="0" fieldPosition="0">
        <references count="2">
          <reference field="4294967294" count="1" selected="0">
            <x v="0"/>
          </reference>
          <reference field="3" count="1" selected="0">
            <x v="137"/>
          </reference>
        </references>
      </pivotArea>
    </chartFormat>
    <chartFormat chart="6" format="934">
      <pivotArea type="data" outline="0" fieldPosition="0">
        <references count="2">
          <reference field="4294967294" count="1" selected="0">
            <x v="0"/>
          </reference>
          <reference field="3" count="1" selected="0">
            <x v="416"/>
          </reference>
        </references>
      </pivotArea>
    </chartFormat>
    <chartFormat chart="6" format="935">
      <pivotArea type="data" outline="0" fieldPosition="0">
        <references count="2">
          <reference field="4294967294" count="1" selected="0">
            <x v="0"/>
          </reference>
          <reference field="3" count="1" selected="0">
            <x v="275"/>
          </reference>
        </references>
      </pivotArea>
    </chartFormat>
    <chartFormat chart="6" format="936">
      <pivotArea type="data" outline="0" fieldPosition="0">
        <references count="2">
          <reference field="4294967294" count="1" selected="0">
            <x v="0"/>
          </reference>
          <reference field="3" count="1" selected="0">
            <x v="80"/>
          </reference>
        </references>
      </pivotArea>
    </chartFormat>
    <chartFormat chart="6" format="937">
      <pivotArea type="data" outline="0" fieldPosition="0">
        <references count="2">
          <reference field="4294967294" count="1" selected="0">
            <x v="0"/>
          </reference>
          <reference field="3" count="1" selected="0">
            <x v="171"/>
          </reference>
        </references>
      </pivotArea>
    </chartFormat>
    <chartFormat chart="6" format="938">
      <pivotArea type="data" outline="0" fieldPosition="0">
        <references count="2">
          <reference field="4294967294" count="1" selected="0">
            <x v="0"/>
          </reference>
          <reference field="3" count="1" selected="0">
            <x v="440"/>
          </reference>
        </references>
      </pivotArea>
    </chartFormat>
    <chartFormat chart="6" format="939">
      <pivotArea type="data" outline="0" fieldPosition="0">
        <references count="2">
          <reference field="4294967294" count="1" selected="0">
            <x v="0"/>
          </reference>
          <reference field="3" count="1" selected="0">
            <x v="142"/>
          </reference>
        </references>
      </pivotArea>
    </chartFormat>
    <chartFormat chart="6" format="940">
      <pivotArea type="data" outline="0" fieldPosition="0">
        <references count="2">
          <reference field="4294967294" count="1" selected="0">
            <x v="0"/>
          </reference>
          <reference field="3" count="1" selected="0">
            <x v="418"/>
          </reference>
        </references>
      </pivotArea>
    </chartFormat>
    <chartFormat chart="6" format="941">
      <pivotArea type="data" outline="0" fieldPosition="0">
        <references count="2">
          <reference field="4294967294" count="1" selected="0">
            <x v="0"/>
          </reference>
          <reference field="3" count="1" selected="0">
            <x v="118"/>
          </reference>
        </references>
      </pivotArea>
    </chartFormat>
    <chartFormat chart="6" format="942">
      <pivotArea type="data" outline="0" fieldPosition="0">
        <references count="2">
          <reference field="4294967294" count="1" selected="0">
            <x v="0"/>
          </reference>
          <reference field="3" count="1" selected="0">
            <x v="317"/>
          </reference>
        </references>
      </pivotArea>
    </chartFormat>
    <chartFormat chart="6" format="943">
      <pivotArea type="data" outline="0" fieldPosition="0">
        <references count="2">
          <reference field="4294967294" count="1" selected="0">
            <x v="0"/>
          </reference>
          <reference field="3" count="1" selected="0">
            <x v="482"/>
          </reference>
        </references>
      </pivotArea>
    </chartFormat>
    <chartFormat chart="6" format="944">
      <pivotArea type="data" outline="0" fieldPosition="0">
        <references count="2">
          <reference field="4294967294" count="1" selected="0">
            <x v="0"/>
          </reference>
          <reference field="3" count="1" selected="0">
            <x v="429"/>
          </reference>
        </references>
      </pivotArea>
    </chartFormat>
    <chartFormat chart="6" format="945">
      <pivotArea type="data" outline="0" fieldPosition="0">
        <references count="2">
          <reference field="4294967294" count="1" selected="0">
            <x v="0"/>
          </reference>
          <reference field="3" count="1" selected="0">
            <x v="58"/>
          </reference>
        </references>
      </pivotArea>
    </chartFormat>
    <chartFormat chart="6" format="946">
      <pivotArea type="data" outline="0" fieldPosition="0">
        <references count="2">
          <reference field="4294967294" count="1" selected="0">
            <x v="0"/>
          </reference>
          <reference field="3" count="1" selected="0">
            <x v="437"/>
          </reference>
        </references>
      </pivotArea>
    </chartFormat>
    <chartFormat chart="6" format="947">
      <pivotArea type="data" outline="0" fieldPosition="0">
        <references count="2">
          <reference field="4294967294" count="1" selected="0">
            <x v="0"/>
          </reference>
          <reference field="3" count="1" selected="0">
            <x v="357"/>
          </reference>
        </references>
      </pivotArea>
    </chartFormat>
    <chartFormat chart="6" format="948">
      <pivotArea type="data" outline="0" fieldPosition="0">
        <references count="2">
          <reference field="4294967294" count="1" selected="0">
            <x v="0"/>
          </reference>
          <reference field="3" count="1" selected="0">
            <x v="136"/>
          </reference>
        </references>
      </pivotArea>
    </chartFormat>
    <chartFormat chart="6" format="949">
      <pivotArea type="data" outline="0" fieldPosition="0">
        <references count="2">
          <reference field="4294967294" count="1" selected="0">
            <x v="0"/>
          </reference>
          <reference field="3" count="1" selected="0">
            <x v="254"/>
          </reference>
        </references>
      </pivotArea>
    </chartFormat>
    <chartFormat chart="6" format="950">
      <pivotArea type="data" outline="0" fieldPosition="0">
        <references count="2">
          <reference field="4294967294" count="1" selected="0">
            <x v="0"/>
          </reference>
          <reference field="3" count="1" selected="0">
            <x v="120"/>
          </reference>
        </references>
      </pivotArea>
    </chartFormat>
    <chartFormat chart="6" format="951">
      <pivotArea type="data" outline="0" fieldPosition="0">
        <references count="2">
          <reference field="4294967294" count="1" selected="0">
            <x v="0"/>
          </reference>
          <reference field="3" count="1" selected="0">
            <x v="200"/>
          </reference>
        </references>
      </pivotArea>
    </chartFormat>
    <chartFormat chart="6" format="952">
      <pivotArea type="data" outline="0" fieldPosition="0">
        <references count="2">
          <reference field="4294967294" count="1" selected="0">
            <x v="0"/>
          </reference>
          <reference field="3" count="1" selected="0">
            <x v="37"/>
          </reference>
        </references>
      </pivotArea>
    </chartFormat>
    <chartFormat chart="6" format="953">
      <pivotArea type="data" outline="0" fieldPosition="0">
        <references count="2">
          <reference field="4294967294" count="1" selected="0">
            <x v="0"/>
          </reference>
          <reference field="3" count="1" selected="0">
            <x v="106"/>
          </reference>
        </references>
      </pivotArea>
    </chartFormat>
    <chartFormat chart="6" format="954">
      <pivotArea type="data" outline="0" fieldPosition="0">
        <references count="2">
          <reference field="4294967294" count="1" selected="0">
            <x v="0"/>
          </reference>
          <reference field="3" count="1" selected="0">
            <x v="262"/>
          </reference>
        </references>
      </pivotArea>
    </chartFormat>
    <chartFormat chart="6" format="955">
      <pivotArea type="data" outline="0" fieldPosition="0">
        <references count="2">
          <reference field="4294967294" count="1" selected="0">
            <x v="0"/>
          </reference>
          <reference field="3" count="1" selected="0">
            <x v="165"/>
          </reference>
        </references>
      </pivotArea>
    </chartFormat>
    <chartFormat chart="6" format="956">
      <pivotArea type="data" outline="0" fieldPosition="0">
        <references count="2">
          <reference field="4294967294" count="1" selected="0">
            <x v="0"/>
          </reference>
          <reference field="3" count="1" selected="0">
            <x v="32"/>
          </reference>
        </references>
      </pivotArea>
    </chartFormat>
    <chartFormat chart="6" format="957">
      <pivotArea type="data" outline="0" fieldPosition="0">
        <references count="2">
          <reference field="4294967294" count="1" selected="0">
            <x v="0"/>
          </reference>
          <reference field="3" count="1" selected="0">
            <x v="245"/>
          </reference>
        </references>
      </pivotArea>
    </chartFormat>
    <chartFormat chart="6" format="958">
      <pivotArea type="data" outline="0" fieldPosition="0">
        <references count="2">
          <reference field="4294967294" count="1" selected="0">
            <x v="0"/>
          </reference>
          <reference field="3" count="1" selected="0">
            <x v="307"/>
          </reference>
        </references>
      </pivotArea>
    </chartFormat>
    <chartFormat chart="6" format="959">
      <pivotArea type="data" outline="0" fieldPosition="0">
        <references count="2">
          <reference field="4294967294" count="1" selected="0">
            <x v="0"/>
          </reference>
          <reference field="3" count="1" selected="0">
            <x v="124"/>
          </reference>
        </references>
      </pivotArea>
    </chartFormat>
    <chartFormat chart="6" format="960">
      <pivotArea type="data" outline="0" fieldPosition="0">
        <references count="2">
          <reference field="4294967294" count="1" selected="0">
            <x v="0"/>
          </reference>
          <reference field="3" count="1" selected="0">
            <x v="232"/>
          </reference>
        </references>
      </pivotArea>
    </chartFormat>
    <chartFormat chart="6" format="961">
      <pivotArea type="data" outline="0" fieldPosition="0">
        <references count="2">
          <reference field="4294967294" count="1" selected="0">
            <x v="0"/>
          </reference>
          <reference field="3" count="1" selected="0">
            <x v="483"/>
          </reference>
        </references>
      </pivotArea>
    </chartFormat>
    <chartFormat chart="6" format="962">
      <pivotArea type="data" outline="0" fieldPosition="0">
        <references count="2">
          <reference field="4294967294" count="1" selected="0">
            <x v="0"/>
          </reference>
          <reference field="3" count="1" selected="0">
            <x v="367"/>
          </reference>
        </references>
      </pivotArea>
    </chartFormat>
    <chartFormat chart="6" format="963">
      <pivotArea type="data" outline="0" fieldPosition="0">
        <references count="2">
          <reference field="4294967294" count="1" selected="0">
            <x v="0"/>
          </reference>
          <reference field="3" count="1" selected="0">
            <x v="462"/>
          </reference>
        </references>
      </pivotArea>
    </chartFormat>
    <chartFormat chart="6" format="964">
      <pivotArea type="data" outline="0" fieldPosition="0">
        <references count="2">
          <reference field="4294967294" count="1" selected="0">
            <x v="0"/>
          </reference>
          <reference field="3" count="1" selected="0">
            <x v="381"/>
          </reference>
        </references>
      </pivotArea>
    </chartFormat>
    <chartFormat chart="6" format="965">
      <pivotArea type="data" outline="0" fieldPosition="0">
        <references count="2">
          <reference field="4294967294" count="1" selected="0">
            <x v="0"/>
          </reference>
          <reference field="3" count="1" selected="0">
            <x v="261"/>
          </reference>
        </references>
      </pivotArea>
    </chartFormat>
    <chartFormat chart="6" format="966">
      <pivotArea type="data" outline="0" fieldPosition="0">
        <references count="2">
          <reference field="4294967294" count="1" selected="0">
            <x v="0"/>
          </reference>
          <reference field="3" count="1" selected="0">
            <x v="409"/>
          </reference>
        </references>
      </pivotArea>
    </chartFormat>
    <chartFormat chart="6" format="967">
      <pivotArea type="data" outline="0" fieldPosition="0">
        <references count="2">
          <reference field="4294967294" count="1" selected="0">
            <x v="0"/>
          </reference>
          <reference field="3" count="1" selected="0">
            <x v="368"/>
          </reference>
        </references>
      </pivotArea>
    </chartFormat>
    <chartFormat chart="6" format="968">
      <pivotArea type="data" outline="0" fieldPosition="0">
        <references count="2">
          <reference field="4294967294" count="1" selected="0">
            <x v="0"/>
          </reference>
          <reference field="3" count="1" selected="0">
            <x v="101"/>
          </reference>
        </references>
      </pivotArea>
    </chartFormat>
    <chartFormat chart="6" format="969">
      <pivotArea type="data" outline="0" fieldPosition="0">
        <references count="2">
          <reference field="4294967294" count="1" selected="0">
            <x v="0"/>
          </reference>
          <reference field="3" count="1" selected="0">
            <x v="278"/>
          </reference>
        </references>
      </pivotArea>
    </chartFormat>
    <chartFormat chart="6" format="970">
      <pivotArea type="data" outline="0" fieldPosition="0">
        <references count="2">
          <reference field="4294967294" count="1" selected="0">
            <x v="0"/>
          </reference>
          <reference field="3" count="1" selected="0">
            <x v="259"/>
          </reference>
        </references>
      </pivotArea>
    </chartFormat>
    <chartFormat chart="6" format="971">
      <pivotArea type="data" outline="0" fieldPosition="0">
        <references count="2">
          <reference field="4294967294" count="1" selected="0">
            <x v="0"/>
          </reference>
          <reference field="3" count="1" selected="0">
            <x v="121"/>
          </reference>
        </references>
      </pivotArea>
    </chartFormat>
    <chartFormat chart="6" format="972">
      <pivotArea type="data" outline="0" fieldPosition="0">
        <references count="2">
          <reference field="4294967294" count="1" selected="0">
            <x v="0"/>
          </reference>
          <reference field="3" count="1" selected="0">
            <x v="361"/>
          </reference>
        </references>
      </pivotArea>
    </chartFormat>
    <chartFormat chart="6" format="973">
      <pivotArea type="data" outline="0" fieldPosition="0">
        <references count="2">
          <reference field="4294967294" count="1" selected="0">
            <x v="0"/>
          </reference>
          <reference field="3" count="1" selected="0">
            <x v="438"/>
          </reference>
        </references>
      </pivotArea>
    </chartFormat>
    <chartFormat chart="6" format="974">
      <pivotArea type="data" outline="0" fieldPosition="0">
        <references count="2">
          <reference field="4294967294" count="1" selected="0">
            <x v="0"/>
          </reference>
          <reference field="3" count="1" selected="0">
            <x v="270"/>
          </reference>
        </references>
      </pivotArea>
    </chartFormat>
    <chartFormat chart="6" format="975">
      <pivotArea type="data" outline="0" fieldPosition="0">
        <references count="2">
          <reference field="4294967294" count="1" selected="0">
            <x v="0"/>
          </reference>
          <reference field="3" count="1" selected="0">
            <x v="305"/>
          </reference>
        </references>
      </pivotArea>
    </chartFormat>
    <chartFormat chart="6" format="976">
      <pivotArea type="data" outline="0" fieldPosition="0">
        <references count="2">
          <reference field="4294967294" count="1" selected="0">
            <x v="0"/>
          </reference>
          <reference field="3" count="1" selected="0">
            <x v="220"/>
          </reference>
        </references>
      </pivotArea>
    </chartFormat>
    <chartFormat chart="6" format="977">
      <pivotArea type="data" outline="0" fieldPosition="0">
        <references count="2">
          <reference field="4294967294" count="1" selected="0">
            <x v="0"/>
          </reference>
          <reference field="3" count="1" selected="0">
            <x v="286"/>
          </reference>
        </references>
      </pivotArea>
    </chartFormat>
    <chartFormat chart="6" format="978">
      <pivotArea type="data" outline="0" fieldPosition="0">
        <references count="2">
          <reference field="4294967294" count="1" selected="0">
            <x v="0"/>
          </reference>
          <reference field="3" count="1" selected="0">
            <x v="16"/>
          </reference>
        </references>
      </pivotArea>
    </chartFormat>
    <chartFormat chart="6" format="979">
      <pivotArea type="data" outline="0" fieldPosition="0">
        <references count="2">
          <reference field="4294967294" count="1" selected="0">
            <x v="0"/>
          </reference>
          <reference field="3" count="1" selected="0">
            <x v="57"/>
          </reference>
        </references>
      </pivotArea>
    </chartFormat>
    <chartFormat chart="6" format="980">
      <pivotArea type="data" outline="0" fieldPosition="0">
        <references count="2">
          <reference field="4294967294" count="1" selected="0">
            <x v="0"/>
          </reference>
          <reference field="3" count="1" selected="0">
            <x v="181"/>
          </reference>
        </references>
      </pivotArea>
    </chartFormat>
    <chartFormat chart="6" format="981">
      <pivotArea type="data" outline="0" fieldPosition="0">
        <references count="2">
          <reference field="4294967294" count="1" selected="0">
            <x v="0"/>
          </reference>
          <reference field="3" count="1" selected="0">
            <x v="467"/>
          </reference>
        </references>
      </pivotArea>
    </chartFormat>
    <chartFormat chart="6" format="982">
      <pivotArea type="data" outline="0" fieldPosition="0">
        <references count="2">
          <reference field="4294967294" count="1" selected="0">
            <x v="0"/>
          </reference>
          <reference field="3" count="1" selected="0">
            <x v="134"/>
          </reference>
        </references>
      </pivotArea>
    </chartFormat>
    <chartFormat chart="6" format="983">
      <pivotArea type="data" outline="0" fieldPosition="0">
        <references count="2">
          <reference field="4294967294" count="1" selected="0">
            <x v="0"/>
          </reference>
          <reference field="3" count="1" selected="0">
            <x v="81"/>
          </reference>
        </references>
      </pivotArea>
    </chartFormat>
    <chartFormat chart="6" format="984">
      <pivotArea type="data" outline="0" fieldPosition="0">
        <references count="2">
          <reference field="4294967294" count="1" selected="0">
            <x v="0"/>
          </reference>
          <reference field="3" count="1" selected="0">
            <x v="347"/>
          </reference>
        </references>
      </pivotArea>
    </chartFormat>
    <chartFormat chart="6" format="985">
      <pivotArea type="data" outline="0" fieldPosition="0">
        <references count="2">
          <reference field="4294967294" count="1" selected="0">
            <x v="0"/>
          </reference>
          <reference field="3" count="1" selected="0">
            <x v="420"/>
          </reference>
        </references>
      </pivotArea>
    </chartFormat>
    <chartFormat chart="6" format="986">
      <pivotArea type="data" outline="0" fieldPosition="0">
        <references count="2">
          <reference field="4294967294" count="1" selected="0">
            <x v="0"/>
          </reference>
          <reference field="3" count="1" selected="0">
            <x v="167"/>
          </reference>
        </references>
      </pivotArea>
    </chartFormat>
    <chartFormat chart="6" format="987">
      <pivotArea type="data" outline="0" fieldPosition="0">
        <references count="2">
          <reference field="4294967294" count="1" selected="0">
            <x v="0"/>
          </reference>
          <reference field="3" count="1" selected="0">
            <x v="112"/>
          </reference>
        </references>
      </pivotArea>
    </chartFormat>
    <chartFormat chart="6" format="988">
      <pivotArea type="data" outline="0" fieldPosition="0">
        <references count="2">
          <reference field="4294967294" count="1" selected="0">
            <x v="0"/>
          </reference>
          <reference field="3" count="1" selected="0">
            <x v="442"/>
          </reference>
        </references>
      </pivotArea>
    </chartFormat>
    <chartFormat chart="6" format="989">
      <pivotArea type="data" outline="0" fieldPosition="0">
        <references count="2">
          <reference field="4294967294" count="1" selected="0">
            <x v="0"/>
          </reference>
          <reference field="3" count="1" selected="0">
            <x v="277"/>
          </reference>
        </references>
      </pivotArea>
    </chartFormat>
    <chartFormat chart="6" format="990">
      <pivotArea type="data" outline="0" fieldPosition="0">
        <references count="2">
          <reference field="4294967294" count="1" selected="0">
            <x v="0"/>
          </reference>
          <reference field="3" count="1" selected="0">
            <x v="204"/>
          </reference>
        </references>
      </pivotArea>
    </chartFormat>
    <chartFormat chart="6" format="991">
      <pivotArea type="data" outline="0" fieldPosition="0">
        <references count="2">
          <reference field="4294967294" count="1" selected="0">
            <x v="0"/>
          </reference>
          <reference field="3" count="1" selected="0">
            <x v="378"/>
          </reference>
        </references>
      </pivotArea>
    </chartFormat>
    <chartFormat chart="6" format="992">
      <pivotArea type="data" outline="0" fieldPosition="0">
        <references count="2">
          <reference field="4294967294" count="1" selected="0">
            <x v="0"/>
          </reference>
          <reference field="3" count="1" selected="0">
            <x v="48"/>
          </reference>
        </references>
      </pivotArea>
    </chartFormat>
    <chartFormat chart="6" format="993">
      <pivotArea type="data" outline="0" fieldPosition="0">
        <references count="2">
          <reference field="4294967294" count="1" selected="0">
            <x v="0"/>
          </reference>
          <reference field="3" count="1" selected="0">
            <x v="477"/>
          </reference>
        </references>
      </pivotArea>
    </chartFormat>
    <chartFormat chart="6" format="994">
      <pivotArea type="data" outline="0" fieldPosition="0">
        <references count="2">
          <reference field="4294967294" count="1" selected="0">
            <x v="0"/>
          </reference>
          <reference field="3" count="1" selected="0">
            <x v="148"/>
          </reference>
        </references>
      </pivotArea>
    </chartFormat>
    <chartFormat chart="6" format="995">
      <pivotArea type="data" outline="0" fieldPosition="0">
        <references count="2">
          <reference field="4294967294" count="1" selected="0">
            <x v="0"/>
          </reference>
          <reference field="3" count="1" selected="0">
            <x v="186"/>
          </reference>
        </references>
      </pivotArea>
    </chartFormat>
    <chartFormat chart="6" format="996">
      <pivotArea type="data" outline="0" fieldPosition="0">
        <references count="2">
          <reference field="4294967294" count="1" selected="0">
            <x v="0"/>
          </reference>
          <reference field="3" count="1" selected="0">
            <x v="352"/>
          </reference>
        </references>
      </pivotArea>
    </chartFormat>
    <chartFormat chart="6" format="997">
      <pivotArea type="data" outline="0" fieldPosition="0">
        <references count="2">
          <reference field="4294967294" count="1" selected="0">
            <x v="0"/>
          </reference>
          <reference field="3" count="1" selected="0">
            <x v="258"/>
          </reference>
        </references>
      </pivotArea>
    </chartFormat>
    <chartFormat chart="6" format="998">
      <pivotArea type="data" outline="0" fieldPosition="0">
        <references count="2">
          <reference field="4294967294" count="1" selected="0">
            <x v="0"/>
          </reference>
          <reference field="3" count="1" selected="0">
            <x v="414"/>
          </reference>
        </references>
      </pivotArea>
    </chartFormat>
    <chartFormat chart="6" format="999">
      <pivotArea type="data" outline="0" fieldPosition="0">
        <references count="2">
          <reference field="4294967294" count="1" selected="0">
            <x v="0"/>
          </reference>
          <reference field="3" count="1" selected="0">
            <x v="13"/>
          </reference>
        </references>
      </pivotArea>
    </chartFormat>
    <chartFormat chart="6" format="1000">
      <pivotArea type="data" outline="0" fieldPosition="0">
        <references count="2">
          <reference field="4294967294" count="1" selected="0">
            <x v="0"/>
          </reference>
          <reference field="3" count="1" selected="0">
            <x v="314"/>
          </reference>
        </references>
      </pivotArea>
    </chartFormat>
    <chartFormat chart="6" format="1001">
      <pivotArea type="data" outline="0" fieldPosition="0">
        <references count="2">
          <reference field="4294967294" count="1" selected="0">
            <x v="0"/>
          </reference>
          <reference field="3" count="1" selected="0">
            <x v="93"/>
          </reference>
        </references>
      </pivotArea>
    </chartFormat>
    <chartFormat chart="6" format="1002">
      <pivotArea type="data" outline="0" fieldPosition="0">
        <references count="2">
          <reference field="4294967294" count="1" selected="0">
            <x v="0"/>
          </reference>
          <reference field="3" count="1" selected="0">
            <x v="432"/>
          </reference>
        </references>
      </pivotArea>
    </chartFormat>
    <chartFormat chart="6" format="1003">
      <pivotArea type="data" outline="0" fieldPosition="0">
        <references count="2">
          <reference field="4294967294" count="1" selected="0">
            <x v="0"/>
          </reference>
          <reference field="3" count="1" selected="0">
            <x v="296"/>
          </reference>
        </references>
      </pivotArea>
    </chartFormat>
    <chartFormat chart="6" format="1004">
      <pivotArea type="data" outline="0" fieldPosition="0">
        <references count="2">
          <reference field="4294967294" count="1" selected="0">
            <x v="0"/>
          </reference>
          <reference field="3" count="1" selected="0">
            <x v="386"/>
          </reference>
        </references>
      </pivotArea>
    </chartFormat>
    <chartFormat chart="6" format="1005">
      <pivotArea type="data" outline="0" fieldPosition="0">
        <references count="2">
          <reference field="4294967294" count="1" selected="0">
            <x v="0"/>
          </reference>
          <reference field="3" count="1" selected="0">
            <x v="358"/>
          </reference>
        </references>
      </pivotArea>
    </chartFormat>
    <chartFormat chart="6" format="1006">
      <pivotArea type="data" outline="0" fieldPosition="0">
        <references count="2">
          <reference field="4294967294" count="1" selected="0">
            <x v="0"/>
          </reference>
          <reference field="3" count="1" selected="0">
            <x v="231"/>
          </reference>
        </references>
      </pivotArea>
    </chartFormat>
    <chartFormat chart="6" format="1007">
      <pivotArea type="data" outline="0" fieldPosition="0">
        <references count="2">
          <reference field="4294967294" count="1" selected="0">
            <x v="0"/>
          </reference>
          <reference field="3" count="1" selected="0">
            <x v="169"/>
          </reference>
        </references>
      </pivotArea>
    </chartFormat>
    <chartFormat chart="6" format="1008">
      <pivotArea type="data" outline="0" fieldPosition="0">
        <references count="2">
          <reference field="4294967294" count="1" selected="0">
            <x v="0"/>
          </reference>
          <reference field="3" count="1" selected="0">
            <x v="446"/>
          </reference>
        </references>
      </pivotArea>
    </chartFormat>
    <chartFormat chart="6" format="1009">
      <pivotArea type="data" outline="0" fieldPosition="0">
        <references count="2">
          <reference field="4294967294" count="1" selected="0">
            <x v="0"/>
          </reference>
          <reference field="3" count="1" selected="0">
            <x v="158"/>
          </reference>
        </references>
      </pivotArea>
    </chartFormat>
    <chartFormat chart="6" format="1010">
      <pivotArea type="data" outline="0" fieldPosition="0">
        <references count="2">
          <reference field="4294967294" count="1" selected="0">
            <x v="0"/>
          </reference>
          <reference field="3" count="1" selected="0">
            <x v="415"/>
          </reference>
        </references>
      </pivotArea>
    </chartFormat>
    <chartFormat chart="6" format="1011">
      <pivotArea type="data" outline="0" fieldPosition="0">
        <references count="2">
          <reference field="4294967294" count="1" selected="0">
            <x v="0"/>
          </reference>
          <reference field="3" count="1" selected="0">
            <x v="333"/>
          </reference>
        </references>
      </pivotArea>
    </chartFormat>
    <chartFormat chart="6" format="1012">
      <pivotArea type="data" outline="0" fieldPosition="0">
        <references count="2">
          <reference field="4294967294" count="1" selected="0">
            <x v="0"/>
          </reference>
          <reference field="3" count="1" selected="0">
            <x v="488"/>
          </reference>
        </references>
      </pivotArea>
    </chartFormat>
    <chartFormat chart="6" format="1013">
      <pivotArea type="data" outline="0" fieldPosition="0">
        <references count="2">
          <reference field="4294967294" count="1" selected="0">
            <x v="0"/>
          </reference>
          <reference field="3" count="1" selected="0">
            <x v="7"/>
          </reference>
        </references>
      </pivotArea>
    </chartFormat>
    <chartFormat chart="6" format="1014">
      <pivotArea type="data" outline="0" fieldPosition="0">
        <references count="2">
          <reference field="4294967294" count="1" selected="0">
            <x v="0"/>
          </reference>
          <reference field="3" count="1" selected="0">
            <x v="455"/>
          </reference>
        </references>
      </pivotArea>
    </chartFormat>
    <chartFormat chart="6" format="1015">
      <pivotArea type="data" outline="0" fieldPosition="0">
        <references count="2">
          <reference field="4294967294" count="1" selected="0">
            <x v="0"/>
          </reference>
          <reference field="3" count="1" selected="0">
            <x v="132"/>
          </reference>
        </references>
      </pivotArea>
    </chartFormat>
    <chartFormat chart="6" format="1016">
      <pivotArea type="data" outline="0" fieldPosition="0">
        <references count="2">
          <reference field="4294967294" count="1" selected="0">
            <x v="0"/>
          </reference>
          <reference field="3" count="1" selected="0">
            <x v="217"/>
          </reference>
        </references>
      </pivotArea>
    </chartFormat>
    <chartFormat chart="6" format="1017">
      <pivotArea type="data" outline="0" fieldPosition="0">
        <references count="2">
          <reference field="4294967294" count="1" selected="0">
            <x v="0"/>
          </reference>
          <reference field="3" count="1" selected="0">
            <x v="20"/>
          </reference>
        </references>
      </pivotArea>
    </chartFormat>
    <chartFormat chart="6" format="1018">
      <pivotArea type="data" outline="0" fieldPosition="0">
        <references count="2">
          <reference field="4294967294" count="1" selected="0">
            <x v="0"/>
          </reference>
          <reference field="3" count="1" selected="0">
            <x v="11"/>
          </reference>
        </references>
      </pivotArea>
    </chartFormat>
    <chartFormat chart="6" format="1019">
      <pivotArea type="data" outline="0" fieldPosition="0">
        <references count="2">
          <reference field="4294967294" count="1" selected="0">
            <x v="0"/>
          </reference>
          <reference field="3" count="1" selected="0">
            <x v="362"/>
          </reference>
        </references>
      </pivotArea>
    </chartFormat>
    <chartFormat chart="6" format="1020">
      <pivotArea type="data" outline="0" fieldPosition="0">
        <references count="2">
          <reference field="4294967294" count="1" selected="0">
            <x v="0"/>
          </reference>
          <reference field="3" count="1" selected="0">
            <x v="400"/>
          </reference>
        </references>
      </pivotArea>
    </chartFormat>
    <chartFormat chart="6" format="1021">
      <pivotArea type="data" outline="0" fieldPosition="0">
        <references count="2">
          <reference field="4294967294" count="1" selected="0">
            <x v="0"/>
          </reference>
          <reference field="3" count="1" selected="0">
            <x v="178"/>
          </reference>
        </references>
      </pivotArea>
    </chartFormat>
    <chartFormat chart="6" format="1022">
      <pivotArea type="data" outline="0" fieldPosition="0">
        <references count="2">
          <reference field="4294967294" count="1" selected="0">
            <x v="0"/>
          </reference>
          <reference field="3" count="1" selected="0">
            <x v="14"/>
          </reference>
        </references>
      </pivotArea>
    </chartFormat>
    <chartFormat chart="6" format="1023">
      <pivotArea type="data" outline="0" fieldPosition="0">
        <references count="2">
          <reference field="4294967294" count="1" selected="0">
            <x v="0"/>
          </reference>
          <reference field="3" count="1" selected="0">
            <x v="398"/>
          </reference>
        </references>
      </pivotArea>
    </chartFormat>
    <chartFormat chart="6" format="1024">
      <pivotArea type="data" outline="0" fieldPosition="0">
        <references count="2">
          <reference field="4294967294" count="1" selected="0">
            <x v="0"/>
          </reference>
          <reference field="3" count="1" selected="0">
            <x v="41"/>
          </reference>
        </references>
      </pivotArea>
    </chartFormat>
    <chartFormat chart="6" format="1025">
      <pivotArea type="data" outline="0" fieldPosition="0">
        <references count="2">
          <reference field="4294967294" count="1" selected="0">
            <x v="0"/>
          </reference>
          <reference field="3" count="1" selected="0">
            <x v="24"/>
          </reference>
        </references>
      </pivotArea>
    </chartFormat>
    <chartFormat chart="6" format="1026">
      <pivotArea type="data" outline="0" fieldPosition="0">
        <references count="2">
          <reference field="4294967294" count="1" selected="0">
            <x v="0"/>
          </reference>
          <reference field="3" count="1" selected="0">
            <x v="115"/>
          </reference>
        </references>
      </pivotArea>
    </chartFormat>
    <chartFormat chart="6" format="1027">
      <pivotArea type="data" outline="0" fieldPosition="0">
        <references count="2">
          <reference field="4294967294" count="1" selected="0">
            <x v="0"/>
          </reference>
          <reference field="3" count="1" selected="0">
            <x v="285"/>
          </reference>
        </references>
      </pivotArea>
    </chartFormat>
    <chartFormat chart="6" format="1028">
      <pivotArea type="data" outline="0" fieldPosition="0">
        <references count="2">
          <reference field="4294967294" count="1" selected="0">
            <x v="0"/>
          </reference>
          <reference field="3" count="1" selected="0">
            <x v="404"/>
          </reference>
        </references>
      </pivotArea>
    </chartFormat>
    <chartFormat chart="6" format="1029">
      <pivotArea type="data" outline="0" fieldPosition="0">
        <references count="2">
          <reference field="4294967294" count="1" selected="0">
            <x v="0"/>
          </reference>
          <reference field="3" count="1" selected="0">
            <x v="172"/>
          </reference>
        </references>
      </pivotArea>
    </chartFormat>
    <chartFormat chart="6" format="1030">
      <pivotArea type="data" outline="0" fieldPosition="0">
        <references count="2">
          <reference field="4294967294" count="1" selected="0">
            <x v="0"/>
          </reference>
          <reference field="3" count="1" selected="0">
            <x v="302"/>
          </reference>
        </references>
      </pivotArea>
    </chartFormat>
    <chartFormat chart="6" format="1031">
      <pivotArea type="data" outline="0" fieldPosition="0">
        <references count="2">
          <reference field="4294967294" count="1" selected="0">
            <x v="0"/>
          </reference>
          <reference field="3" count="1" selected="0">
            <x v="392"/>
          </reference>
        </references>
      </pivotArea>
    </chartFormat>
    <chartFormat chart="6" format="1032">
      <pivotArea type="data" outline="0" fieldPosition="0">
        <references count="2">
          <reference field="4294967294" count="1" selected="0">
            <x v="0"/>
          </reference>
          <reference field="3" count="1" selected="0">
            <x v="297"/>
          </reference>
        </references>
      </pivotArea>
    </chartFormat>
    <chartFormat chart="6" format="1033">
      <pivotArea type="data" outline="0" fieldPosition="0">
        <references count="2">
          <reference field="4294967294" count="1" selected="0">
            <x v="0"/>
          </reference>
          <reference field="3" count="1" selected="0">
            <x v="149"/>
          </reference>
        </references>
      </pivotArea>
    </chartFormat>
    <chartFormat chart="6" format="1034">
      <pivotArea type="data" outline="0" fieldPosition="0">
        <references count="2">
          <reference field="4294967294" count="1" selected="0">
            <x v="0"/>
          </reference>
          <reference field="3" count="1" selected="0">
            <x v="299"/>
          </reference>
        </references>
      </pivotArea>
    </chartFormat>
    <chartFormat chart="6" format="1035">
      <pivotArea type="data" outline="0" fieldPosition="0">
        <references count="2">
          <reference field="4294967294" count="1" selected="0">
            <x v="0"/>
          </reference>
          <reference field="3" count="1" selected="0">
            <x v="377"/>
          </reference>
        </references>
      </pivotArea>
    </chartFormat>
    <chartFormat chart="6" format="1036">
      <pivotArea type="data" outline="0" fieldPosition="0">
        <references count="2">
          <reference field="4294967294" count="1" selected="0">
            <x v="0"/>
          </reference>
          <reference field="3" count="1" selected="0">
            <x v="369"/>
          </reference>
        </references>
      </pivotArea>
    </chartFormat>
    <chartFormat chart="6" format="1037">
      <pivotArea type="data" outline="0" fieldPosition="0">
        <references count="2">
          <reference field="4294967294" count="1" selected="0">
            <x v="0"/>
          </reference>
          <reference field="3" count="1" selected="0">
            <x v="382"/>
          </reference>
        </references>
      </pivotArea>
    </chartFormat>
    <chartFormat chart="6" format="1038">
      <pivotArea type="data" outline="0" fieldPosition="0">
        <references count="2">
          <reference field="4294967294" count="1" selected="0">
            <x v="0"/>
          </reference>
          <reference field="3" count="1" selected="0">
            <x v="45"/>
          </reference>
        </references>
      </pivotArea>
    </chartFormat>
    <chartFormat chart="6" format="1039">
      <pivotArea type="data" outline="0" fieldPosition="0">
        <references count="2">
          <reference field="4294967294" count="1" selected="0">
            <x v="0"/>
          </reference>
          <reference field="3" count="1" selected="0">
            <x v="439"/>
          </reference>
        </references>
      </pivotArea>
    </chartFormat>
    <chartFormat chart="6" format="1040">
      <pivotArea type="data" outline="0" fieldPosition="0">
        <references count="2">
          <reference field="4294967294" count="1" selected="0">
            <x v="0"/>
          </reference>
          <reference field="3" count="1" selected="0">
            <x v="66"/>
          </reference>
        </references>
      </pivotArea>
    </chartFormat>
    <chartFormat chart="6" format="1041">
      <pivotArea type="data" outline="0" fieldPosition="0">
        <references count="2">
          <reference field="4294967294" count="1" selected="0">
            <x v="0"/>
          </reference>
          <reference field="3" count="1" selected="0">
            <x v="421"/>
          </reference>
        </references>
      </pivotArea>
    </chartFormat>
    <chartFormat chart="6" format="1042">
      <pivotArea type="data" outline="0" fieldPosition="0">
        <references count="2">
          <reference field="4294967294" count="1" selected="0">
            <x v="0"/>
          </reference>
          <reference field="3" count="1" selected="0">
            <x v="295"/>
          </reference>
        </references>
      </pivotArea>
    </chartFormat>
    <chartFormat chart="6" format="1043">
      <pivotArea type="data" outline="0" fieldPosition="0">
        <references count="2">
          <reference field="4294967294" count="1" selected="0">
            <x v="0"/>
          </reference>
          <reference field="3" count="1" selected="0">
            <x v="92"/>
          </reference>
        </references>
      </pivotArea>
    </chartFormat>
    <chartFormat chart="6" format="1044">
      <pivotArea type="data" outline="0" fieldPosition="0">
        <references count="2">
          <reference field="4294967294" count="1" selected="0">
            <x v="0"/>
          </reference>
          <reference field="3" count="1" selected="0">
            <x v="202"/>
          </reference>
        </references>
      </pivotArea>
    </chartFormat>
    <chartFormat chart="6" format="1045">
      <pivotArea type="data" outline="0" fieldPosition="0">
        <references count="2">
          <reference field="4294967294" count="1" selected="0">
            <x v="0"/>
          </reference>
          <reference field="3" count="1" selected="0">
            <x v="1"/>
          </reference>
        </references>
      </pivotArea>
    </chartFormat>
    <chartFormat chart="6" format="1046">
      <pivotArea type="data" outline="0" fieldPosition="0">
        <references count="2">
          <reference field="4294967294" count="1" selected="0">
            <x v="0"/>
          </reference>
          <reference field="3" count="1" selected="0">
            <x v="97"/>
          </reference>
        </references>
      </pivotArea>
    </chartFormat>
    <chartFormat chart="6" format="1047">
      <pivotArea type="data" outline="0" fieldPosition="0">
        <references count="2">
          <reference field="4294967294" count="1" selected="0">
            <x v="0"/>
          </reference>
          <reference field="3" count="1" selected="0">
            <x v="12"/>
          </reference>
        </references>
      </pivotArea>
    </chartFormat>
    <chartFormat chart="6" format="1048">
      <pivotArea type="data" outline="0" fieldPosition="0">
        <references count="2">
          <reference field="4294967294" count="1" selected="0">
            <x v="0"/>
          </reference>
          <reference field="3" count="1" selected="0">
            <x v="460"/>
          </reference>
        </references>
      </pivotArea>
    </chartFormat>
    <chartFormat chart="6" format="1049">
      <pivotArea type="data" outline="0" fieldPosition="0">
        <references count="2">
          <reference field="4294967294" count="1" selected="0">
            <x v="0"/>
          </reference>
          <reference field="3" count="1" selected="0">
            <x v="159"/>
          </reference>
        </references>
      </pivotArea>
    </chartFormat>
    <chartFormat chart="6" format="1050">
      <pivotArea type="data" outline="0" fieldPosition="0">
        <references count="2">
          <reference field="4294967294" count="1" selected="0">
            <x v="0"/>
          </reference>
          <reference field="3" count="1" selected="0">
            <x v="176"/>
          </reference>
        </references>
      </pivotArea>
    </chartFormat>
    <chartFormat chart="6" format="1051">
      <pivotArea type="data" outline="0" fieldPosition="0">
        <references count="2">
          <reference field="4294967294" count="1" selected="0">
            <x v="0"/>
          </reference>
          <reference field="3" count="1" selected="0">
            <x v="208"/>
          </reference>
        </references>
      </pivotArea>
    </chartFormat>
    <chartFormat chart="6" format="1052">
      <pivotArea type="data" outline="0" fieldPosition="0">
        <references count="2">
          <reference field="4294967294" count="1" selected="0">
            <x v="0"/>
          </reference>
          <reference field="3" count="1" selected="0">
            <x v="88"/>
          </reference>
        </references>
      </pivotArea>
    </chartFormat>
    <chartFormat chart="6" format="1053">
      <pivotArea type="data" outline="0" fieldPosition="0">
        <references count="2">
          <reference field="4294967294" count="1" selected="0">
            <x v="0"/>
          </reference>
          <reference field="3" count="1" selected="0">
            <x v="344"/>
          </reference>
        </references>
      </pivotArea>
    </chartFormat>
    <chartFormat chart="6" format="1054">
      <pivotArea type="data" outline="0" fieldPosition="0">
        <references count="2">
          <reference field="4294967294" count="1" selected="0">
            <x v="0"/>
          </reference>
          <reference field="3" count="1" selected="0">
            <x v="356"/>
          </reference>
        </references>
      </pivotArea>
    </chartFormat>
    <chartFormat chart="6" format="1055">
      <pivotArea type="data" outline="0" fieldPosition="0">
        <references count="2">
          <reference field="4294967294" count="1" selected="0">
            <x v="0"/>
          </reference>
          <reference field="3" count="1" selected="0">
            <x v="332"/>
          </reference>
        </references>
      </pivotArea>
    </chartFormat>
    <chartFormat chart="6" format="1056">
      <pivotArea type="data" outline="0" fieldPosition="0">
        <references count="2">
          <reference field="4294967294" count="1" selected="0">
            <x v="0"/>
          </reference>
          <reference field="3" count="1" selected="0">
            <x v="290"/>
          </reference>
        </references>
      </pivotArea>
    </chartFormat>
    <chartFormat chart="6" format="1057">
      <pivotArea type="data" outline="0" fieldPosition="0">
        <references count="2">
          <reference field="4294967294" count="1" selected="0">
            <x v="0"/>
          </reference>
          <reference field="3" count="1" selected="0">
            <x v="126"/>
          </reference>
        </references>
      </pivotArea>
    </chartFormat>
    <chartFormat chart="6" format="1058">
      <pivotArea type="data" outline="0" fieldPosition="0">
        <references count="2">
          <reference field="4294967294" count="1" selected="0">
            <x v="0"/>
          </reference>
          <reference field="3" count="1" selected="0">
            <x v="348"/>
          </reference>
        </references>
      </pivotArea>
    </chartFormat>
    <chartFormat chart="6" format="1059">
      <pivotArea type="data" outline="0" fieldPosition="0">
        <references count="2">
          <reference field="4294967294" count="1" selected="0">
            <x v="0"/>
          </reference>
          <reference field="3" count="1" selected="0">
            <x v="198"/>
          </reference>
        </references>
      </pivotArea>
    </chartFormat>
    <chartFormat chart="6" format="1060">
      <pivotArea type="data" outline="0" fieldPosition="0">
        <references count="2">
          <reference field="4294967294" count="1" selected="0">
            <x v="0"/>
          </reference>
          <reference field="3" count="1" selected="0">
            <x v="279"/>
          </reference>
        </references>
      </pivotArea>
    </chartFormat>
    <chartFormat chart="6" format="1061">
      <pivotArea type="data" outline="0" fieldPosition="0">
        <references count="2">
          <reference field="4294967294" count="1" selected="0">
            <x v="0"/>
          </reference>
          <reference field="3" count="1" selected="0">
            <x v="6"/>
          </reference>
        </references>
      </pivotArea>
    </chartFormat>
    <chartFormat chart="6" format="1062">
      <pivotArea type="data" outline="0" fieldPosition="0">
        <references count="2">
          <reference field="4294967294" count="1" selected="0">
            <x v="0"/>
          </reference>
          <reference field="3" count="1" selected="0">
            <x v="82"/>
          </reference>
        </references>
      </pivotArea>
    </chartFormat>
    <chartFormat chart="6" format="1063">
      <pivotArea type="data" outline="0" fieldPosition="0">
        <references count="2">
          <reference field="4294967294" count="1" selected="0">
            <x v="0"/>
          </reference>
          <reference field="3" count="1" selected="0">
            <x v="346"/>
          </reference>
        </references>
      </pivotArea>
    </chartFormat>
    <chartFormat chart="6" format="1064">
      <pivotArea type="data" outline="0" fieldPosition="0">
        <references count="2">
          <reference field="4294967294" count="1" selected="0">
            <x v="0"/>
          </reference>
          <reference field="3" count="1" selected="0">
            <x v="150"/>
          </reference>
        </references>
      </pivotArea>
    </chartFormat>
    <chartFormat chart="6" format="1065">
      <pivotArea type="data" outline="0" fieldPosition="0">
        <references count="2">
          <reference field="4294967294" count="1" selected="0">
            <x v="0"/>
          </reference>
          <reference field="3" count="1" selected="0">
            <x v="143"/>
          </reference>
        </references>
      </pivotArea>
    </chartFormat>
    <chartFormat chart="6" format="1066">
      <pivotArea type="data" outline="0" fieldPosition="0">
        <references count="2">
          <reference field="4294967294" count="1" selected="0">
            <x v="0"/>
          </reference>
          <reference field="3" count="1" selected="0">
            <x v="338"/>
          </reference>
        </references>
      </pivotArea>
    </chartFormat>
    <chartFormat chart="6" format="1067">
      <pivotArea type="data" outline="0" fieldPosition="0">
        <references count="2">
          <reference field="4294967294" count="1" selected="0">
            <x v="0"/>
          </reference>
          <reference field="3" count="1" selected="0">
            <x v="71"/>
          </reference>
        </references>
      </pivotArea>
    </chartFormat>
    <chartFormat chart="6" format="1068">
      <pivotArea type="data" outline="0" fieldPosition="0">
        <references count="2">
          <reference field="4294967294" count="1" selected="0">
            <x v="0"/>
          </reference>
          <reference field="3" count="1" selected="0">
            <x v="364"/>
          </reference>
        </references>
      </pivotArea>
    </chartFormat>
    <chartFormat chart="6" format="1069">
      <pivotArea type="data" outline="0" fieldPosition="0">
        <references count="2">
          <reference field="4294967294" count="1" selected="0">
            <x v="0"/>
          </reference>
          <reference field="3" count="1" selected="0">
            <x v="461"/>
          </reference>
        </references>
      </pivotArea>
    </chartFormat>
    <chartFormat chart="6" format="1070">
      <pivotArea type="data" outline="0" fieldPosition="0">
        <references count="2">
          <reference field="4294967294" count="1" selected="0">
            <x v="0"/>
          </reference>
          <reference field="3" count="1" selected="0">
            <x v="215"/>
          </reference>
        </references>
      </pivotArea>
    </chartFormat>
    <chartFormat chart="6" format="1071">
      <pivotArea type="data" outline="0" fieldPosition="0">
        <references count="2">
          <reference field="4294967294" count="1" selected="0">
            <x v="0"/>
          </reference>
          <reference field="3" count="1" selected="0">
            <x v="474"/>
          </reference>
        </references>
      </pivotArea>
    </chartFormat>
    <chartFormat chart="6" format="1072">
      <pivotArea type="data" outline="0" fieldPosition="0">
        <references count="2">
          <reference field="4294967294" count="1" selected="0">
            <x v="0"/>
          </reference>
          <reference field="3" count="1" selected="0">
            <x v="77"/>
          </reference>
        </references>
      </pivotArea>
    </chartFormat>
    <chartFormat chart="6" format="1073">
      <pivotArea type="data" outline="0" fieldPosition="0">
        <references count="2">
          <reference field="4294967294" count="1" selected="0">
            <x v="0"/>
          </reference>
          <reference field="3" count="1" selected="0">
            <x v="444"/>
          </reference>
        </references>
      </pivotArea>
    </chartFormat>
    <chartFormat chart="6" format="1074">
      <pivotArea type="data" outline="0" fieldPosition="0">
        <references count="2">
          <reference field="4294967294" count="1" selected="0">
            <x v="0"/>
          </reference>
          <reference field="3" count="1" selected="0">
            <x v="229"/>
          </reference>
        </references>
      </pivotArea>
    </chartFormat>
    <chartFormat chart="6" format="1075">
      <pivotArea type="data" outline="0" fieldPosition="0">
        <references count="2">
          <reference field="4294967294" count="1" selected="0">
            <x v="0"/>
          </reference>
          <reference field="3" count="1" selected="0">
            <x v="318"/>
          </reference>
        </references>
      </pivotArea>
    </chartFormat>
    <chartFormat chart="6" format="1076">
      <pivotArea type="data" outline="0" fieldPosition="0">
        <references count="2">
          <reference field="4294967294" count="1" selected="0">
            <x v="0"/>
          </reference>
          <reference field="3" count="1" selected="0">
            <x v="117"/>
          </reference>
        </references>
      </pivotArea>
    </chartFormat>
    <chartFormat chart="6" format="1077">
      <pivotArea type="data" outline="0" fieldPosition="0">
        <references count="2">
          <reference field="4294967294" count="1" selected="0">
            <x v="0"/>
          </reference>
          <reference field="3" count="1" selected="0">
            <x v="342"/>
          </reference>
        </references>
      </pivotArea>
    </chartFormat>
    <chartFormat chart="6" format="1078">
      <pivotArea type="data" outline="0" fieldPosition="0">
        <references count="2">
          <reference field="4294967294" count="1" selected="0">
            <x v="0"/>
          </reference>
          <reference field="3" count="1" selected="0">
            <x v="411"/>
          </reference>
        </references>
      </pivotArea>
    </chartFormat>
    <chartFormat chart="6" format="1079">
      <pivotArea type="data" outline="0" fieldPosition="0">
        <references count="2">
          <reference field="4294967294" count="1" selected="0">
            <x v="0"/>
          </reference>
          <reference field="3" count="1" selected="0">
            <x v="402"/>
          </reference>
        </references>
      </pivotArea>
    </chartFormat>
    <chartFormat chart="6" format="1080">
      <pivotArea type="data" outline="0" fieldPosition="0">
        <references count="2">
          <reference field="4294967294" count="1" selected="0">
            <x v="0"/>
          </reference>
          <reference field="3" count="1" selected="0">
            <x v="30"/>
          </reference>
        </references>
      </pivotArea>
    </chartFormat>
    <chartFormat chart="6" format="1081">
      <pivotArea type="data" outline="0" fieldPosition="0">
        <references count="2">
          <reference field="4294967294" count="1" selected="0">
            <x v="0"/>
          </reference>
          <reference field="3" count="1" selected="0">
            <x v="355"/>
          </reference>
        </references>
      </pivotArea>
    </chartFormat>
    <chartFormat chart="6" format="1082">
      <pivotArea type="data" outline="0" fieldPosition="0">
        <references count="2">
          <reference field="4294967294" count="1" selected="0">
            <x v="0"/>
          </reference>
          <reference field="3" count="1" selected="0">
            <x v="384"/>
          </reference>
        </references>
      </pivotArea>
    </chartFormat>
    <chartFormat chart="6" format="1083">
      <pivotArea type="data" outline="0" fieldPosition="0">
        <references count="2">
          <reference field="4294967294" count="1" selected="0">
            <x v="0"/>
          </reference>
          <reference field="3" count="1" selected="0">
            <x v="72"/>
          </reference>
        </references>
      </pivotArea>
    </chartFormat>
    <chartFormat chart="6" format="1084">
      <pivotArea type="data" outline="0" fieldPosition="0">
        <references count="2">
          <reference field="4294967294" count="1" selected="0">
            <x v="0"/>
          </reference>
          <reference field="3" count="1" selected="0">
            <x v="56"/>
          </reference>
        </references>
      </pivotArea>
    </chartFormat>
    <chartFormat chart="6" format="1085">
      <pivotArea type="data" outline="0" fieldPosition="0">
        <references count="2">
          <reference field="4294967294" count="1" selected="0">
            <x v="0"/>
          </reference>
          <reference field="3" count="1" selected="0">
            <x v="60"/>
          </reference>
        </references>
      </pivotArea>
    </chartFormat>
    <chartFormat chart="6" format="1086">
      <pivotArea type="data" outline="0" fieldPosition="0">
        <references count="2">
          <reference field="4294967294" count="1" selected="0">
            <x v="0"/>
          </reference>
          <reference field="3" count="1" selected="0">
            <x v="329"/>
          </reference>
        </references>
      </pivotArea>
    </chartFormat>
    <chartFormat chart="6" format="1087">
      <pivotArea type="data" outline="0" fieldPosition="0">
        <references count="2">
          <reference field="4294967294" count="1" selected="0">
            <x v="0"/>
          </reference>
          <reference field="3" count="1" selected="0">
            <x v="170"/>
          </reference>
        </references>
      </pivotArea>
    </chartFormat>
    <chartFormat chart="6" format="1088">
      <pivotArea type="data" outline="0" fieldPosition="0">
        <references count="2">
          <reference field="4294967294" count="1" selected="0">
            <x v="0"/>
          </reference>
          <reference field="3" count="1" selected="0">
            <x v="322"/>
          </reference>
        </references>
      </pivotArea>
    </chartFormat>
    <chartFormat chart="6" format="1089">
      <pivotArea type="data" outline="0" fieldPosition="0">
        <references count="2">
          <reference field="4294967294" count="1" selected="0">
            <x v="0"/>
          </reference>
          <reference field="3" count="1" selected="0">
            <x v="341"/>
          </reference>
        </references>
      </pivotArea>
    </chartFormat>
    <chartFormat chart="6" format="1090">
      <pivotArea type="data" outline="0" fieldPosition="0">
        <references count="2">
          <reference field="4294967294" count="1" selected="0">
            <x v="0"/>
          </reference>
          <reference field="3" count="1" selected="0">
            <x v="224"/>
          </reference>
        </references>
      </pivotArea>
    </chartFormat>
    <chartFormat chart="6" format="1091">
      <pivotArea type="data" outline="0" fieldPosition="0">
        <references count="2">
          <reference field="4294967294" count="1" selected="0">
            <x v="0"/>
          </reference>
          <reference field="3" count="1" selected="0">
            <x v="47"/>
          </reference>
        </references>
      </pivotArea>
    </chartFormat>
    <chartFormat chart="6" format="1092">
      <pivotArea type="data" outline="0" fieldPosition="0">
        <references count="2">
          <reference field="4294967294" count="1" selected="0">
            <x v="0"/>
          </reference>
          <reference field="3" count="1" selected="0">
            <x v="433"/>
          </reference>
        </references>
      </pivotArea>
    </chartFormat>
    <chartFormat chart="6" format="1093">
      <pivotArea type="data" outline="0" fieldPosition="0">
        <references count="2">
          <reference field="4294967294" count="1" selected="0">
            <x v="0"/>
          </reference>
          <reference field="3" count="1" selected="0">
            <x v="221"/>
          </reference>
        </references>
      </pivotArea>
    </chartFormat>
    <chartFormat chart="6" format="1094">
      <pivotArea type="data" outline="0" fieldPosition="0">
        <references count="2">
          <reference field="4294967294" count="1" selected="0">
            <x v="0"/>
          </reference>
          <reference field="3" count="1" selected="0">
            <x v="335"/>
          </reference>
        </references>
      </pivotArea>
    </chartFormat>
    <chartFormat chart="6" format="1095">
      <pivotArea type="data" outline="0" fieldPosition="0">
        <references count="2">
          <reference field="4294967294" count="1" selected="0">
            <x v="0"/>
          </reference>
          <reference field="3" count="1" selected="0">
            <x v="59"/>
          </reference>
        </references>
      </pivotArea>
    </chartFormat>
    <chartFormat chart="6" format="1096">
      <pivotArea type="data" outline="0" fieldPosition="0">
        <references count="2">
          <reference field="4294967294" count="1" selected="0">
            <x v="0"/>
          </reference>
          <reference field="3" count="1" selected="0">
            <x v="320"/>
          </reference>
        </references>
      </pivotArea>
    </chartFormat>
    <chartFormat chart="6" format="1097">
      <pivotArea type="data" outline="0" fieldPosition="0">
        <references count="2">
          <reference field="4294967294" count="1" selected="0">
            <x v="0"/>
          </reference>
          <reference field="3" count="1" selected="0">
            <x v="189"/>
          </reference>
        </references>
      </pivotArea>
    </chartFormat>
    <chartFormat chart="6" format="1098">
      <pivotArea type="data" outline="0" fieldPosition="0">
        <references count="2">
          <reference field="4294967294" count="1" selected="0">
            <x v="0"/>
          </reference>
          <reference field="3" count="1" selected="0">
            <x v="300"/>
          </reference>
        </references>
      </pivotArea>
    </chartFormat>
    <chartFormat chart="6" format="1099">
      <pivotArea type="data" outline="0" fieldPosition="0">
        <references count="2">
          <reference field="4294967294" count="1" selected="0">
            <x v="0"/>
          </reference>
          <reference field="3" count="1" selected="0">
            <x v="424"/>
          </reference>
        </references>
      </pivotArea>
    </chartFormat>
    <chartFormat chart="6" format="1100">
      <pivotArea type="data" outline="0" fieldPosition="0">
        <references count="2">
          <reference field="4294967294" count="1" selected="0">
            <x v="0"/>
          </reference>
          <reference field="3" count="1" selected="0">
            <x v="175"/>
          </reference>
        </references>
      </pivotArea>
    </chartFormat>
    <chartFormat chart="6" format="1101">
      <pivotArea type="data" outline="0" fieldPosition="0">
        <references count="2">
          <reference field="4294967294" count="1" selected="0">
            <x v="0"/>
          </reference>
          <reference field="3" count="1" selected="0">
            <x v="337"/>
          </reference>
        </references>
      </pivotArea>
    </chartFormat>
    <chartFormat chart="6" format="1102">
      <pivotArea type="data" outline="0" fieldPosition="0">
        <references count="2">
          <reference field="4294967294" count="1" selected="0">
            <x v="0"/>
          </reference>
          <reference field="3" count="1" selected="0">
            <x v="214"/>
          </reference>
        </references>
      </pivotArea>
    </chartFormat>
    <chartFormat chart="0" format="274">
      <pivotArea type="data" outline="0" fieldPosition="0">
        <references count="2">
          <reference field="4294967294" count="1" selected="0">
            <x v="0"/>
          </reference>
          <reference field="3" count="1" selected="0">
            <x v="189"/>
          </reference>
        </references>
      </pivotArea>
    </chartFormat>
    <chartFormat chart="0" format="275">
      <pivotArea type="data" outline="0" fieldPosition="0">
        <references count="2">
          <reference field="4294967294" count="1" selected="0">
            <x v="0"/>
          </reference>
          <reference field="3" count="1" selected="0">
            <x v="300"/>
          </reference>
        </references>
      </pivotArea>
    </chartFormat>
    <chartFormat chart="0" format="276">
      <pivotArea type="data" outline="0" fieldPosition="0">
        <references count="2">
          <reference field="4294967294" count="1" selected="0">
            <x v="0"/>
          </reference>
          <reference field="3" count="1" selected="0">
            <x v="424"/>
          </reference>
        </references>
      </pivotArea>
    </chartFormat>
    <chartFormat chart="0" format="277">
      <pivotArea type="data" outline="0" fieldPosition="0">
        <references count="2">
          <reference field="4294967294" count="1" selected="0">
            <x v="0"/>
          </reference>
          <reference field="3" count="1" selected="0">
            <x v="175"/>
          </reference>
        </references>
      </pivotArea>
    </chartFormat>
    <chartFormat chart="0" format="278">
      <pivotArea type="data" outline="0" fieldPosition="0">
        <references count="2">
          <reference field="4294967294" count="1" selected="0">
            <x v="0"/>
          </reference>
          <reference field="3" count="1" selected="0">
            <x v="337"/>
          </reference>
        </references>
      </pivotArea>
    </chartFormat>
    <chartFormat chart="0" format="279">
      <pivotArea type="data" outline="0" fieldPosition="0">
        <references count="2">
          <reference field="4294967294" count="1" selected="0">
            <x v="0"/>
          </reference>
          <reference field="3" count="1" selected="0">
            <x v="214"/>
          </reference>
        </references>
      </pivotArea>
    </chartFormat>
    <chartFormat chart="6" format="1103">
      <pivotArea type="data" outline="0" fieldPosition="0">
        <references count="2">
          <reference field="4294967294" count="1" selected="0">
            <x v="0"/>
          </reference>
          <reference field="3" count="1" selected="0">
            <x v="19"/>
          </reference>
        </references>
      </pivotArea>
    </chartFormat>
    <chartFormat chart="6" format="1104">
      <pivotArea type="data" outline="0" fieldPosition="0">
        <references count="2">
          <reference field="4294967294" count="1" selected="0">
            <x v="0"/>
          </reference>
          <reference field="3" count="1" selected="0">
            <x v="75"/>
          </reference>
        </references>
      </pivotArea>
    </chartFormat>
    <chartFormat chart="6" format="1105">
      <pivotArea type="data" outline="0" fieldPosition="0">
        <references count="2">
          <reference field="4294967294" count="1" selected="0">
            <x v="0"/>
          </reference>
          <reference field="3" count="1" selected="0">
            <x v="253"/>
          </reference>
        </references>
      </pivotArea>
    </chartFormat>
    <chartFormat chart="6" format="1106">
      <pivotArea type="data" outline="0" fieldPosition="0">
        <references count="2">
          <reference field="4294967294" count="1" selected="0">
            <x v="0"/>
          </reference>
          <reference field="3" count="1" selected="0">
            <x v="239"/>
          </reference>
        </references>
      </pivotArea>
    </chartFormat>
    <chartFormat chart="0" format="280">
      <pivotArea type="data" outline="0" fieldPosition="0">
        <references count="2">
          <reference field="4294967294" count="1" selected="0">
            <x v="0"/>
          </reference>
          <reference field="3" count="1" selected="0">
            <x v="19"/>
          </reference>
        </references>
      </pivotArea>
    </chartFormat>
    <chartFormat chart="0" format="281">
      <pivotArea type="data" outline="0" fieldPosition="0">
        <references count="2">
          <reference field="4294967294" count="1" selected="0">
            <x v="0"/>
          </reference>
          <reference field="3" count="1" selected="0">
            <x v="75"/>
          </reference>
        </references>
      </pivotArea>
    </chartFormat>
    <chartFormat chart="0" format="282">
      <pivotArea type="data" outline="0" fieldPosition="0">
        <references count="2">
          <reference field="4294967294" count="1" selected="0">
            <x v="0"/>
          </reference>
          <reference field="3" count="1" selected="0">
            <x v="253"/>
          </reference>
        </references>
      </pivotArea>
    </chartFormat>
    <chartFormat chart="0" format="283">
      <pivotArea type="data" outline="0" fieldPosition="0">
        <references count="2">
          <reference field="4294967294" count="1" selected="0">
            <x v="0"/>
          </reference>
          <reference field="3" count="1" selected="0">
            <x v="239"/>
          </reference>
        </references>
      </pivotArea>
    </chartFormat>
  </chartFormats>
  <pivotTableStyleInfo name="PivotStyleLight16" showRowHeaders="1" showColHeaders="1" showRowStripes="0" showColStripes="0" showLastColumn="1"/>
  <filters count="1">
    <filter fld="3"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9C347C-C9BA-49EA-A7D3-4E45550E6845}" name="PivotTable1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38" firstHeaderRow="1" firstDataRow="1" firstDataCol="1"/>
  <pivotFields count="11">
    <pivotField numFmtId="164" showAll="0"/>
    <pivotField showAll="0"/>
    <pivotField showAll="0">
      <items count="5">
        <item h="1" x="0"/>
        <item x="1"/>
        <item h="1" x="2"/>
        <item h="1" x="3"/>
        <item t="default"/>
      </items>
    </pivotField>
    <pivotField showAll="0"/>
    <pivotField axis="axisRow" showAll="0">
      <items count="46">
        <item x="24"/>
        <item x="9"/>
        <item x="10"/>
        <item x="3"/>
        <item x="31"/>
        <item x="33"/>
        <item x="5"/>
        <item x="11"/>
        <item x="7"/>
        <item x="43"/>
        <item x="1"/>
        <item x="18"/>
        <item x="23"/>
        <item x="38"/>
        <item x="27"/>
        <item x="6"/>
        <item x="25"/>
        <item x="28"/>
        <item x="14"/>
        <item x="22"/>
        <item x="26"/>
        <item x="34"/>
        <item x="35"/>
        <item x="40"/>
        <item x="12"/>
        <item x="30"/>
        <item x="17"/>
        <item x="36"/>
        <item x="13"/>
        <item x="21"/>
        <item x="42"/>
        <item x="19"/>
        <item x="39"/>
        <item x="8"/>
        <item x="2"/>
        <item x="44"/>
        <item x="20"/>
        <item x="32"/>
        <item x="37"/>
        <item x="0"/>
        <item x="29"/>
        <item x="41"/>
        <item x="4"/>
        <item x="16"/>
        <item x="15"/>
        <item t="default"/>
      </items>
    </pivotField>
    <pivotField showAll="0"/>
    <pivotField showAll="0"/>
    <pivotField showAll="0"/>
    <pivotField dataField="1" showAll="0"/>
    <pivotField showAll="0"/>
    <pivotField showAll="0"/>
  </pivotFields>
  <rowFields count="1">
    <field x="4"/>
  </rowFields>
  <rowItems count="35">
    <i>
      <x v="1"/>
    </i>
    <i>
      <x v="3"/>
    </i>
    <i>
      <x v="4"/>
    </i>
    <i>
      <x v="5"/>
    </i>
    <i>
      <x v="6"/>
    </i>
    <i>
      <x v="7"/>
    </i>
    <i>
      <x v="8"/>
    </i>
    <i>
      <x v="10"/>
    </i>
    <i>
      <x v="12"/>
    </i>
    <i>
      <x v="14"/>
    </i>
    <i>
      <x v="17"/>
    </i>
    <i>
      <x v="18"/>
    </i>
    <i>
      <x v="19"/>
    </i>
    <i>
      <x v="20"/>
    </i>
    <i>
      <x v="21"/>
    </i>
    <i>
      <x v="22"/>
    </i>
    <i>
      <x v="24"/>
    </i>
    <i>
      <x v="25"/>
    </i>
    <i>
      <x v="26"/>
    </i>
    <i>
      <x v="27"/>
    </i>
    <i>
      <x v="28"/>
    </i>
    <i>
      <x v="29"/>
    </i>
    <i>
      <x v="31"/>
    </i>
    <i>
      <x v="33"/>
    </i>
    <i>
      <x v="34"/>
    </i>
    <i>
      <x v="36"/>
    </i>
    <i>
      <x v="37"/>
    </i>
    <i>
      <x v="38"/>
    </i>
    <i>
      <x v="39"/>
    </i>
    <i>
      <x v="40"/>
    </i>
    <i>
      <x v="41"/>
    </i>
    <i>
      <x v="42"/>
    </i>
    <i>
      <x v="43"/>
    </i>
    <i>
      <x v="44"/>
    </i>
    <i t="grand">
      <x/>
    </i>
  </rowItems>
  <colItems count="1">
    <i/>
  </colItems>
  <dataFields count="1">
    <dataField name="Sum of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8580AF-4FF1-45E7-884A-FC8D501F7A31}"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11">
    <pivotField numFmtId="164" showAll="0"/>
    <pivotField showAll="0"/>
    <pivotField showAll="0"/>
    <pivotField showAll="0"/>
    <pivotField showAll="0"/>
    <pivotField showAll="0"/>
    <pivotField showAll="0"/>
    <pivotField showAll="0"/>
    <pivotField showAll="0"/>
    <pivotField showAll="0"/>
    <pivotField dataField="1" showAll="0"/>
  </pivotFields>
  <rowItems count="1">
    <i/>
  </rowItems>
  <colItems count="1">
    <i/>
  </colItems>
  <dataFields count="1">
    <dataField name="Sum of Profit" fld="10"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FA7BA2-B741-4A84-BD5B-6AE4FF81E960}"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11">
    <pivotField numFmtId="164" showAll="0"/>
    <pivotField showAll="0"/>
    <pivotField showAll="0"/>
    <pivotField showAll="0"/>
    <pivotField showAll="0"/>
    <pivotField showAll="0"/>
    <pivotField showAll="0"/>
    <pivotField showAll="0"/>
    <pivotField dataField="1" showAll="0"/>
    <pivotField showAll="0"/>
    <pivotField showAll="0"/>
  </pivotFields>
  <rowItems count="1">
    <i/>
  </rowItems>
  <colItems count="1">
    <i/>
  </colItems>
  <dataFields count="1">
    <dataField name="Sum of Sales" fld="8"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A73A29-49A3-4B37-A22F-4ECC6BD22279}"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
    <pivotField showAll="0"/>
    <pivotField dataField="1" showAll="0"/>
  </pivotFields>
  <rowItems count="1">
    <i/>
  </rowItems>
  <colItems count="1">
    <i/>
  </colItems>
  <dataFields count="1">
    <dataField name="Count of Customer 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9C71BA9-B5C7-472D-80FC-90A09DB18E6F}" name="PivotTable1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8" firstHeaderRow="1" firstDataRow="1" firstDataCol="1"/>
  <pivotFields count="2">
    <pivotField axis="axisRow" showAll="0">
      <items count="5">
        <item x="0"/>
        <item x="1"/>
        <item x="2"/>
        <item x="3"/>
        <item t="default"/>
      </items>
    </pivotField>
    <pivotField dataField="1" showAll="0"/>
  </pivotFields>
  <rowFields count="1">
    <field x="0"/>
  </rowFields>
  <rowItems count="5">
    <i>
      <x/>
    </i>
    <i>
      <x v="1"/>
    </i>
    <i>
      <x v="2"/>
    </i>
    <i>
      <x v="3"/>
    </i>
    <i t="grand">
      <x/>
    </i>
  </rowItems>
  <colItems count="1">
    <i/>
  </colItems>
  <dataFields count="1">
    <dataField name="Count of Customer name"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BADEFD5-BA99-4A02-B9FB-41D98A63CA11}" sourceName="Year">
  <pivotTables>
    <pivotTable tabId="7" name="PivotTable11"/>
    <pivotTable tabId="4" name="PivotTable6"/>
    <pivotTable tabId="6" name="PivotTable10"/>
    <pivotTable tabId="8" name="PivotTable12"/>
    <pivotTable tabId="9" name="PivotTable13"/>
  </pivotTables>
  <data>
    <tabular pivotCacheId="2065158794">
      <items count="4">
        <i x="0"/>
        <i x="1" s="1"/>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55CBF98-53B5-44FF-A68C-D5787FF54814}" cache="Slicer_Year" caption="Year"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7729111-D787-49A8-B51F-B3978EAC97E6}" cache="Slicer_Year" caption="Year" columnCount="4" style="SlicerStyleDark3"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3D0E3D-5376-40F0-BD9B-F6E93AEAFA82}" name="Table1" displayName="Table1" ref="A1:K760" totalsRowShown="0" headerRowDxfId="12" dataDxfId="11">
  <autoFilter ref="A1:K760" xr:uid="{E7B53C30-D223-4F6B-B15B-35E32FDC4C9A}"/>
  <tableColumns count="11">
    <tableColumn id="1" xr3:uid="{14E47AEB-AC5B-4800-88AA-38A83CBFA1AE}" name="Order Date" dataDxfId="10"/>
    <tableColumn id="10" xr3:uid="{28BCEFB8-6447-45FF-AFDC-E40B664C869A}" name="Month" dataDxfId="9">
      <calculatedColumnFormula>TEXT(Table1[[#This Row],[Order Date]],"MMM")</calculatedColumnFormula>
    </tableColumn>
    <tableColumn id="11" xr3:uid="{D8296DB4-B61E-4766-9AA5-CB1F94A81324}" name="Year" dataDxfId="8">
      <calculatedColumnFormula>TEXT(A2,"YYY")</calculatedColumnFormula>
    </tableColumn>
    <tableColumn id="2" xr3:uid="{4207B9CC-B0DA-4108-B177-76BD817FA806}" name="Customer Name" dataDxfId="7"/>
    <tableColumn id="3" xr3:uid="{B46F8E19-C97F-4E81-BA34-3379BCA0BAA0}" name="State" dataDxfId="6"/>
    <tableColumn id="4" xr3:uid="{285CE841-174F-4A93-A8E5-83B94B0778BC}" name="Category" dataDxfId="5"/>
    <tableColumn id="5" xr3:uid="{7A86F585-A332-47D7-8779-B03D3BE72425}" name="Sub-Category" dataDxfId="4"/>
    <tableColumn id="6" xr3:uid="{3AAE5DF1-E92B-42D5-9B55-FCFC278AEF82}" name="Product Name" dataDxfId="3"/>
    <tableColumn id="7" xr3:uid="{02A9125C-053B-4080-864A-5AC6880DA7FA}" name="Sales" dataDxfId="2"/>
    <tableColumn id="8" xr3:uid="{D6C25669-8400-418A-BF95-D95139C45257}" name="Quantity" dataDxfId="1"/>
    <tableColumn id="9" xr3:uid="{9EBF47EA-0E31-40D8-9A57-965E1BDEB6E9}" name="Profit" dataDxfId="0"/>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D99C307-CF2A-491A-91FF-CCDB7A803CAD}" name="Table3" displayName="Table3" ref="A1:B669" totalsRowShown="0">
  <autoFilter ref="A1:B669" xr:uid="{D9EB3F8B-1F37-4256-88AF-0EFFCFF408C9}"/>
  <tableColumns count="2">
    <tableColumn id="1" xr3:uid="{4B5884FB-7E4F-46B9-AAF3-E5E683212B9F}" name="Year"/>
    <tableColumn id="2" xr3:uid="{01466ECC-34E4-45D6-9B8C-45BC38D0876C}" name="Customer 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6E4828-8B5D-411C-939A-345F65B9B842}" name="Table4" displayName="Table4" ref="A1:B669" totalsRowShown="0">
  <autoFilter ref="A1:B669" xr:uid="{DFAAD845-9846-4B95-BCBA-CAECB741537B}"/>
  <tableColumns count="2">
    <tableColumn id="1" xr3:uid="{B7365394-4EBC-4B03-A0F1-5005CFB9D7D9}" name="Year"/>
    <tableColumn id="2" xr3:uid="{F8B0F1BF-E062-4BAE-86BA-9D5F91E5C419}" name="Customer nam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CAB4D1-D078-4C95-B1F6-F98A1D53CEA9}" name="Table2" displayName="Table2" ref="A3:B671" totalsRowShown="0">
  <autoFilter ref="A3:B671" xr:uid="{13CAC525-D6BF-4FB0-9FE8-81D8290CBE6A}"/>
  <tableColumns count="2">
    <tableColumn id="1" xr3:uid="{8810DD93-589B-461A-BD36-1BCEB368BAF5}" name="Year"/>
    <tableColumn id="2" xr3:uid="{99E97238-8019-4C29-8E7C-2BCEB405741B}" name="Customer nam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9995"/>
  <sheetViews>
    <sheetView topLeftCell="E1" workbookViewId="0">
      <selection activeCell="E2" sqref="E2:K763"/>
    </sheetView>
  </sheetViews>
  <sheetFormatPr defaultColWidth="12.5703125" defaultRowHeight="15.75" customHeight="1" x14ac:dyDescent="0.2"/>
  <cols>
    <col min="1" max="1" width="12.5703125" style="3"/>
    <col min="2" max="2" width="16.5703125" customWidth="1"/>
    <col min="5" max="5" width="14.42578125" customWidth="1"/>
    <col min="6" max="6" width="15" customWidth="1"/>
  </cols>
  <sheetData>
    <row r="1" spans="1:11" ht="15.75" customHeight="1" x14ac:dyDescent="0.2">
      <c r="A1" s="4" t="s">
        <v>0</v>
      </c>
      <c r="B1" s="5" t="s">
        <v>1331</v>
      </c>
      <c r="C1" s="4" t="s">
        <v>1349</v>
      </c>
      <c r="D1" s="1" t="s">
        <v>1</v>
      </c>
      <c r="E1" s="1" t="s">
        <v>2</v>
      </c>
      <c r="F1" s="1" t="s">
        <v>3</v>
      </c>
      <c r="G1" s="1" t="s">
        <v>4</v>
      </c>
      <c r="H1" s="1" t="s">
        <v>5</v>
      </c>
      <c r="I1" s="6" t="s">
        <v>6</v>
      </c>
      <c r="J1" s="6" t="s">
        <v>7</v>
      </c>
      <c r="K1" s="7" t="s">
        <v>8</v>
      </c>
    </row>
    <row r="2" spans="1:11" ht="15.75" customHeight="1" x14ac:dyDescent="0.2">
      <c r="A2" s="2">
        <v>41641</v>
      </c>
      <c r="B2" s="2" t="str">
        <f>TEXT(Table1[[#This Row],[Order Date]],"MMM")</f>
        <v>Jan</v>
      </c>
      <c r="C2" s="2" t="str">
        <f>TEXT(A2,"YYY")</f>
        <v>2014</v>
      </c>
      <c r="D2" s="1" t="s">
        <v>9</v>
      </c>
      <c r="E2" s="1" t="s">
        <v>10</v>
      </c>
      <c r="F2" s="1" t="s">
        <v>11</v>
      </c>
      <c r="G2" s="1" t="s">
        <v>12</v>
      </c>
      <c r="H2" s="1" t="s">
        <v>13</v>
      </c>
      <c r="I2" s="1">
        <v>16.45</v>
      </c>
      <c r="J2" s="1">
        <v>2</v>
      </c>
      <c r="K2" s="1">
        <v>5.55</v>
      </c>
    </row>
    <row r="3" spans="1:11" ht="15.75" customHeight="1" x14ac:dyDescent="0.2">
      <c r="A3" s="2">
        <v>41642</v>
      </c>
      <c r="B3" s="2" t="str">
        <f>TEXT(Table1[[#This Row],[Order Date]],"MMM")</f>
        <v>Jan</v>
      </c>
      <c r="C3" s="2" t="str">
        <f t="shared" ref="C3:C65" si="0">TEXT(A3,"YYY")</f>
        <v>2014</v>
      </c>
      <c r="D3" s="1" t="s">
        <v>14</v>
      </c>
      <c r="E3" s="1" t="s">
        <v>15</v>
      </c>
      <c r="F3" s="1" t="s">
        <v>11</v>
      </c>
      <c r="G3" s="1" t="s">
        <v>16</v>
      </c>
      <c r="H3" s="1" t="s">
        <v>17</v>
      </c>
      <c r="I3" s="1">
        <v>11.78</v>
      </c>
      <c r="J3" s="1">
        <v>3</v>
      </c>
      <c r="K3" s="1">
        <v>4.2699999999999996</v>
      </c>
    </row>
    <row r="4" spans="1:11" ht="15.75" customHeight="1" x14ac:dyDescent="0.2">
      <c r="A4" s="2">
        <v>41643</v>
      </c>
      <c r="B4" s="2" t="str">
        <f>TEXT(Table1[[#This Row],[Order Date]],"MMM")</f>
        <v>Jan</v>
      </c>
      <c r="C4" s="2" t="str">
        <f t="shared" si="0"/>
        <v>2014</v>
      </c>
      <c r="D4" s="1" t="s">
        <v>22</v>
      </c>
      <c r="E4" s="1" t="s">
        <v>23</v>
      </c>
      <c r="F4" s="1" t="s">
        <v>11</v>
      </c>
      <c r="G4" s="1" t="s">
        <v>24</v>
      </c>
      <c r="H4" s="1" t="s">
        <v>25</v>
      </c>
      <c r="I4" s="1">
        <v>19.54</v>
      </c>
      <c r="J4" s="1">
        <v>3</v>
      </c>
      <c r="K4" s="1">
        <v>4.88</v>
      </c>
    </row>
    <row r="5" spans="1:11" ht="15.75" customHeight="1" x14ac:dyDescent="0.2">
      <c r="A5" s="2">
        <v>41646</v>
      </c>
      <c r="B5" s="2" t="str">
        <f>TEXT(Table1[[#This Row],[Order Date]],"MMM")</f>
        <v>Jan</v>
      </c>
      <c r="C5" s="2" t="str">
        <f t="shared" si="0"/>
        <v>2014</v>
      </c>
      <c r="D5" s="1" t="s">
        <v>26</v>
      </c>
      <c r="E5" s="1" t="s">
        <v>27</v>
      </c>
      <c r="F5" s="1" t="s">
        <v>11</v>
      </c>
      <c r="G5" s="1" t="s">
        <v>12</v>
      </c>
      <c r="H5" s="1" t="s">
        <v>28</v>
      </c>
      <c r="I5" s="1">
        <v>19.440000000000001</v>
      </c>
      <c r="J5" s="1">
        <v>3</v>
      </c>
      <c r="K5" s="1">
        <v>9.33</v>
      </c>
    </row>
    <row r="6" spans="1:11" ht="15.75" customHeight="1" x14ac:dyDescent="0.2">
      <c r="A6" s="2">
        <v>41647</v>
      </c>
      <c r="B6" s="2" t="str">
        <f>TEXT(Table1[[#This Row],[Order Date]],"MMM")</f>
        <v>Jan</v>
      </c>
      <c r="C6" s="2" t="str">
        <f t="shared" si="0"/>
        <v>2014</v>
      </c>
      <c r="D6" s="1" t="s">
        <v>43</v>
      </c>
      <c r="E6" s="1" t="s">
        <v>10</v>
      </c>
      <c r="F6" s="1" t="s">
        <v>33</v>
      </c>
      <c r="G6" s="1" t="s">
        <v>44</v>
      </c>
      <c r="H6" s="1" t="s">
        <v>45</v>
      </c>
      <c r="I6" s="1">
        <v>76.73</v>
      </c>
      <c r="J6" s="1">
        <v>3</v>
      </c>
      <c r="K6" s="1">
        <v>-53.71</v>
      </c>
    </row>
    <row r="7" spans="1:11" ht="15.75" customHeight="1" x14ac:dyDescent="0.2">
      <c r="A7" s="2">
        <v>41648</v>
      </c>
      <c r="B7" s="2" t="str">
        <f>TEXT(Table1[[#This Row],[Order Date]],"MMM")</f>
        <v>Jan</v>
      </c>
      <c r="C7" s="2" t="str">
        <f t="shared" si="0"/>
        <v>2014</v>
      </c>
      <c r="D7" s="1" t="s">
        <v>46</v>
      </c>
      <c r="E7" s="1" t="s">
        <v>10</v>
      </c>
      <c r="F7" s="1" t="s">
        <v>11</v>
      </c>
      <c r="G7" s="1" t="s">
        <v>24</v>
      </c>
      <c r="H7" s="1" t="s">
        <v>47</v>
      </c>
      <c r="I7" s="1">
        <v>9.34</v>
      </c>
      <c r="J7" s="1">
        <v>2</v>
      </c>
      <c r="K7" s="1">
        <v>1.17</v>
      </c>
    </row>
    <row r="8" spans="1:11" ht="15.75" customHeight="1" x14ac:dyDescent="0.2">
      <c r="A8" s="2">
        <v>41650</v>
      </c>
      <c r="B8" s="2" t="str">
        <f>TEXT(Table1[[#This Row],[Order Date]],"MMM")</f>
        <v>Jan</v>
      </c>
      <c r="C8" s="2" t="str">
        <f t="shared" si="0"/>
        <v>2014</v>
      </c>
      <c r="D8" s="1" t="s">
        <v>50</v>
      </c>
      <c r="E8" s="1" t="s">
        <v>51</v>
      </c>
      <c r="F8" s="1" t="s">
        <v>11</v>
      </c>
      <c r="G8" s="1" t="s">
        <v>16</v>
      </c>
      <c r="H8" s="1" t="s">
        <v>52</v>
      </c>
      <c r="I8" s="1">
        <v>2.89</v>
      </c>
      <c r="J8" s="1">
        <v>1</v>
      </c>
      <c r="K8" s="1">
        <v>1.36</v>
      </c>
    </row>
    <row r="9" spans="1:11" ht="15.75" customHeight="1" x14ac:dyDescent="0.2">
      <c r="A9" s="2">
        <v>41651</v>
      </c>
      <c r="B9" s="2" t="str">
        <f>TEXT(Table1[[#This Row],[Order Date]],"MMM")</f>
        <v>Jan</v>
      </c>
      <c r="C9" s="2" t="str">
        <f t="shared" si="0"/>
        <v>2014</v>
      </c>
      <c r="D9" s="1" t="s">
        <v>53</v>
      </c>
      <c r="E9" s="1" t="s">
        <v>54</v>
      </c>
      <c r="F9" s="1" t="s">
        <v>33</v>
      </c>
      <c r="G9" s="1" t="s">
        <v>44</v>
      </c>
      <c r="H9" s="1" t="s">
        <v>55</v>
      </c>
      <c r="I9" s="1">
        <v>9.94</v>
      </c>
      <c r="J9" s="1">
        <v>2</v>
      </c>
      <c r="K9" s="1">
        <v>3.08</v>
      </c>
    </row>
    <row r="10" spans="1:11" ht="15.75" customHeight="1" x14ac:dyDescent="0.2">
      <c r="A10" s="2">
        <v>41672</v>
      </c>
      <c r="B10" s="2" t="str">
        <f>TEXT(Table1[[#This Row],[Order Date]],"MMM")</f>
        <v>Feb</v>
      </c>
      <c r="C10" s="2" t="str">
        <f t="shared" si="0"/>
        <v>2014</v>
      </c>
      <c r="D10" s="1" t="s">
        <v>56</v>
      </c>
      <c r="E10" s="1" t="s">
        <v>57</v>
      </c>
      <c r="F10" s="1" t="s">
        <v>11</v>
      </c>
      <c r="G10" s="1" t="s">
        <v>58</v>
      </c>
      <c r="H10" s="1" t="s">
        <v>59</v>
      </c>
      <c r="I10" s="1">
        <v>11.36</v>
      </c>
      <c r="J10" s="1">
        <v>2</v>
      </c>
      <c r="K10" s="1">
        <v>5.34</v>
      </c>
    </row>
    <row r="11" spans="1:11" ht="15.75" customHeight="1" x14ac:dyDescent="0.2">
      <c r="A11" s="2">
        <v>41674</v>
      </c>
      <c r="B11" s="2" t="str">
        <f>TEXT(Table1[[#This Row],[Order Date]],"MMM")</f>
        <v>Feb</v>
      </c>
      <c r="C11" s="2" t="str">
        <f t="shared" si="0"/>
        <v>2014</v>
      </c>
      <c r="D11" s="1" t="s">
        <v>70</v>
      </c>
      <c r="E11" s="1" t="s">
        <v>23</v>
      </c>
      <c r="F11" s="1" t="s">
        <v>33</v>
      </c>
      <c r="G11" s="1" t="s">
        <v>65</v>
      </c>
      <c r="H11" s="1" t="s">
        <v>71</v>
      </c>
      <c r="I11" s="1">
        <v>61.96</v>
      </c>
      <c r="J11" s="1">
        <v>4</v>
      </c>
      <c r="K11" s="1">
        <v>-53.29</v>
      </c>
    </row>
    <row r="12" spans="1:11" ht="15.75" customHeight="1" x14ac:dyDescent="0.2">
      <c r="A12" s="2">
        <v>41675</v>
      </c>
      <c r="B12" s="2" t="str">
        <f>TEXT(Table1[[#This Row],[Order Date]],"MMM")</f>
        <v>Feb</v>
      </c>
      <c r="C12" s="2" t="str">
        <f t="shared" si="0"/>
        <v>2014</v>
      </c>
      <c r="D12" s="1" t="s">
        <v>72</v>
      </c>
      <c r="E12" s="1" t="s">
        <v>30</v>
      </c>
      <c r="F12" s="1" t="s">
        <v>38</v>
      </c>
      <c r="G12" s="1" t="s">
        <v>48</v>
      </c>
      <c r="H12" s="1" t="s">
        <v>73</v>
      </c>
      <c r="I12" s="1">
        <v>149.94999999999999</v>
      </c>
      <c r="J12" s="1">
        <v>5</v>
      </c>
      <c r="K12" s="1">
        <v>65.98</v>
      </c>
    </row>
    <row r="13" spans="1:11" ht="15.75" customHeight="1" x14ac:dyDescent="0.2">
      <c r="A13" s="2">
        <v>41676</v>
      </c>
      <c r="B13" s="2" t="str">
        <f>TEXT(Table1[[#This Row],[Order Date]],"MMM")</f>
        <v>Feb</v>
      </c>
      <c r="C13" s="2" t="str">
        <f t="shared" si="0"/>
        <v>2014</v>
      </c>
      <c r="D13" s="1" t="s">
        <v>74</v>
      </c>
      <c r="E13" s="1" t="s">
        <v>23</v>
      </c>
      <c r="F13" s="1" t="s">
        <v>33</v>
      </c>
      <c r="G13" s="1" t="s">
        <v>44</v>
      </c>
      <c r="H13" s="1" t="s">
        <v>75</v>
      </c>
      <c r="I13" s="1">
        <v>127.1</v>
      </c>
      <c r="J13" s="1">
        <v>6</v>
      </c>
      <c r="K13" s="1">
        <v>28.6</v>
      </c>
    </row>
    <row r="14" spans="1:11" ht="15.75" customHeight="1" x14ac:dyDescent="0.2">
      <c r="A14" s="2">
        <v>41677</v>
      </c>
      <c r="B14" s="2" t="str">
        <f>TEXT(Table1[[#This Row],[Order Date]],"MMM")</f>
        <v>Feb</v>
      </c>
      <c r="C14" s="2" t="str">
        <f t="shared" si="0"/>
        <v>2014</v>
      </c>
      <c r="D14" s="1" t="s">
        <v>78</v>
      </c>
      <c r="E14" s="1" t="s">
        <v>79</v>
      </c>
      <c r="F14" s="1" t="s">
        <v>11</v>
      </c>
      <c r="G14" s="1" t="s">
        <v>80</v>
      </c>
      <c r="H14" s="1" t="s">
        <v>81</v>
      </c>
      <c r="I14" s="1">
        <v>64.86</v>
      </c>
      <c r="J14" s="1">
        <v>4</v>
      </c>
      <c r="K14" s="1">
        <v>6.49</v>
      </c>
    </row>
    <row r="15" spans="1:11" ht="15.75" customHeight="1" x14ac:dyDescent="0.2">
      <c r="A15" s="2">
        <v>41678</v>
      </c>
      <c r="B15" s="2" t="str">
        <f>TEXT(Table1[[#This Row],[Order Date]],"MMM")</f>
        <v>Feb</v>
      </c>
      <c r="C15" s="2" t="str">
        <f t="shared" si="0"/>
        <v>2014</v>
      </c>
      <c r="D15" s="1" t="s">
        <v>82</v>
      </c>
      <c r="E15" s="1" t="s">
        <v>83</v>
      </c>
      <c r="F15" s="1" t="s">
        <v>11</v>
      </c>
      <c r="G15" s="1" t="s">
        <v>20</v>
      </c>
      <c r="H15" s="1" t="s">
        <v>84</v>
      </c>
      <c r="I15" s="1">
        <v>32.340000000000003</v>
      </c>
      <c r="J15" s="1">
        <v>10</v>
      </c>
      <c r="K15" s="1">
        <v>-23.72</v>
      </c>
    </row>
    <row r="16" spans="1:11" ht="15.75" customHeight="1" x14ac:dyDescent="0.2">
      <c r="A16" s="2">
        <v>41679</v>
      </c>
      <c r="B16" s="2" t="str">
        <f>TEXT(Table1[[#This Row],[Order Date]],"MMM")</f>
        <v>Feb</v>
      </c>
      <c r="C16" s="2" t="str">
        <f t="shared" si="0"/>
        <v>2014</v>
      </c>
      <c r="D16" s="1" t="s">
        <v>86</v>
      </c>
      <c r="E16" s="1" t="s">
        <v>87</v>
      </c>
      <c r="F16" s="1" t="s">
        <v>38</v>
      </c>
      <c r="G16" s="1" t="s">
        <v>39</v>
      </c>
      <c r="H16" s="1" t="s">
        <v>88</v>
      </c>
      <c r="I16" s="1">
        <v>699.93</v>
      </c>
      <c r="J16" s="1">
        <v>7</v>
      </c>
      <c r="K16" s="1">
        <v>181.98</v>
      </c>
    </row>
    <row r="17" spans="1:11" ht="15.75" customHeight="1" x14ac:dyDescent="0.2">
      <c r="A17" s="2">
        <v>41680</v>
      </c>
      <c r="B17" s="2" t="str">
        <f>TEXT(Table1[[#This Row],[Order Date]],"MMM")</f>
        <v>Feb</v>
      </c>
      <c r="C17" s="2" t="str">
        <f t="shared" si="0"/>
        <v>2014</v>
      </c>
      <c r="D17" s="1" t="s">
        <v>100</v>
      </c>
      <c r="E17" s="1" t="s">
        <v>101</v>
      </c>
      <c r="F17" s="1" t="s">
        <v>33</v>
      </c>
      <c r="G17" s="1" t="s">
        <v>44</v>
      </c>
      <c r="H17" s="1" t="s">
        <v>102</v>
      </c>
      <c r="I17" s="1">
        <v>25.25</v>
      </c>
      <c r="J17" s="1">
        <v>3</v>
      </c>
      <c r="K17" s="1">
        <v>4.0999999999999996</v>
      </c>
    </row>
    <row r="18" spans="1:11" ht="15.75" customHeight="1" x14ac:dyDescent="0.2">
      <c r="A18" s="2">
        <v>41681</v>
      </c>
      <c r="B18" s="2" t="str">
        <f>TEXT(Table1[[#This Row],[Order Date]],"MMM")</f>
        <v>Feb</v>
      </c>
      <c r="C18" s="2" t="str">
        <f t="shared" si="0"/>
        <v>2014</v>
      </c>
      <c r="D18" s="1" t="s">
        <v>103</v>
      </c>
      <c r="E18" s="1" t="s">
        <v>104</v>
      </c>
      <c r="F18" s="1" t="s">
        <v>11</v>
      </c>
      <c r="G18" s="1" t="s">
        <v>12</v>
      </c>
      <c r="H18" s="1" t="s">
        <v>105</v>
      </c>
      <c r="I18" s="1">
        <v>40.08</v>
      </c>
      <c r="J18" s="1">
        <v>6</v>
      </c>
      <c r="K18" s="1">
        <v>19.239999999999998</v>
      </c>
    </row>
    <row r="19" spans="1:11" ht="15.75" customHeight="1" x14ac:dyDescent="0.2">
      <c r="A19" s="2">
        <v>41699</v>
      </c>
      <c r="B19" s="2" t="str">
        <f>TEXT(Table1[[#This Row],[Order Date]],"MMM")</f>
        <v>Mar</v>
      </c>
      <c r="C19" s="2" t="str">
        <f t="shared" si="0"/>
        <v>2014</v>
      </c>
      <c r="D19" s="1" t="s">
        <v>108</v>
      </c>
      <c r="E19" s="1" t="s">
        <v>51</v>
      </c>
      <c r="F19" s="1" t="s">
        <v>33</v>
      </c>
      <c r="G19" s="1" t="s">
        <v>44</v>
      </c>
      <c r="H19" s="1" t="s">
        <v>109</v>
      </c>
      <c r="I19" s="1">
        <v>62.82</v>
      </c>
      <c r="J19" s="1">
        <v>3</v>
      </c>
      <c r="K19" s="1">
        <v>30.78</v>
      </c>
    </row>
    <row r="20" spans="1:11" ht="12.75" x14ac:dyDescent="0.2">
      <c r="A20" s="2">
        <v>41700</v>
      </c>
      <c r="B20" s="2" t="str">
        <f>TEXT(Table1[[#This Row],[Order Date]],"MMM")</f>
        <v>Mar</v>
      </c>
      <c r="C20" s="2" t="str">
        <f t="shared" si="0"/>
        <v>2014</v>
      </c>
      <c r="D20" s="1" t="s">
        <v>116</v>
      </c>
      <c r="E20" s="1" t="s">
        <v>27</v>
      </c>
      <c r="F20" s="1" t="s">
        <v>11</v>
      </c>
      <c r="G20" s="1" t="s">
        <v>18</v>
      </c>
      <c r="H20" s="1" t="s">
        <v>117</v>
      </c>
      <c r="I20" s="1">
        <v>57.23</v>
      </c>
      <c r="J20" s="1">
        <v>1</v>
      </c>
      <c r="K20" s="1">
        <v>14.31</v>
      </c>
    </row>
    <row r="21" spans="1:11" ht="12.75" x14ac:dyDescent="0.2">
      <c r="A21" s="2">
        <v>41703</v>
      </c>
      <c r="B21" s="2" t="str">
        <f>TEXT(Table1[[#This Row],[Order Date]],"MMM")</f>
        <v>Mar</v>
      </c>
      <c r="C21" s="2" t="str">
        <f t="shared" si="0"/>
        <v>2014</v>
      </c>
      <c r="D21" s="1" t="s">
        <v>119</v>
      </c>
      <c r="E21" s="1" t="s">
        <v>120</v>
      </c>
      <c r="F21" s="1" t="s">
        <v>11</v>
      </c>
      <c r="G21" s="1" t="s">
        <v>20</v>
      </c>
      <c r="H21" s="1" t="s">
        <v>121</v>
      </c>
      <c r="I21" s="1">
        <v>3.93</v>
      </c>
      <c r="J21" s="1">
        <v>1</v>
      </c>
      <c r="K21" s="1">
        <v>1.33</v>
      </c>
    </row>
    <row r="22" spans="1:11" ht="12.75" x14ac:dyDescent="0.2">
      <c r="A22" s="2">
        <v>41704</v>
      </c>
      <c r="B22" s="2" t="str">
        <f>TEXT(Table1[[#This Row],[Order Date]],"MMM")</f>
        <v>Mar</v>
      </c>
      <c r="C22" s="2" t="str">
        <f t="shared" si="0"/>
        <v>2014</v>
      </c>
      <c r="D22" s="1" t="s">
        <v>122</v>
      </c>
      <c r="E22" s="1" t="s">
        <v>94</v>
      </c>
      <c r="F22" s="1" t="s">
        <v>11</v>
      </c>
      <c r="G22" s="1" t="s">
        <v>12</v>
      </c>
      <c r="H22" s="1" t="s">
        <v>123</v>
      </c>
      <c r="I22" s="1">
        <v>10.56</v>
      </c>
      <c r="J22" s="1">
        <v>2</v>
      </c>
      <c r="K22" s="1">
        <v>4.75</v>
      </c>
    </row>
    <row r="23" spans="1:11" ht="12.75" x14ac:dyDescent="0.2">
      <c r="A23" s="2">
        <v>41706</v>
      </c>
      <c r="B23" s="2" t="str">
        <f>TEXT(Table1[[#This Row],[Order Date]],"MMM")</f>
        <v>Mar</v>
      </c>
      <c r="C23" s="2" t="str">
        <f t="shared" si="0"/>
        <v>2014</v>
      </c>
      <c r="D23" s="1" t="s">
        <v>124</v>
      </c>
      <c r="E23" s="1" t="s">
        <v>27</v>
      </c>
      <c r="F23" s="1" t="s">
        <v>33</v>
      </c>
      <c r="G23" s="1" t="s">
        <v>65</v>
      </c>
      <c r="H23" s="1" t="s">
        <v>125</v>
      </c>
      <c r="I23" s="1">
        <v>290.67</v>
      </c>
      <c r="J23" s="1">
        <v>2</v>
      </c>
      <c r="K23" s="1">
        <v>3.42</v>
      </c>
    </row>
    <row r="24" spans="1:11" ht="12.75" x14ac:dyDescent="0.2">
      <c r="A24" s="2">
        <v>41707</v>
      </c>
      <c r="B24" s="2" t="str">
        <f>TEXT(Table1[[#This Row],[Order Date]],"MMM")</f>
        <v>Mar</v>
      </c>
      <c r="C24" s="2" t="str">
        <f t="shared" si="0"/>
        <v>2014</v>
      </c>
      <c r="D24" s="1" t="s">
        <v>126</v>
      </c>
      <c r="E24" s="1" t="s">
        <v>127</v>
      </c>
      <c r="F24" s="1" t="s">
        <v>38</v>
      </c>
      <c r="G24" s="1" t="s">
        <v>48</v>
      </c>
      <c r="H24" s="1" t="s">
        <v>128</v>
      </c>
      <c r="I24" s="1">
        <v>468.9</v>
      </c>
      <c r="J24" s="1">
        <v>6</v>
      </c>
      <c r="K24" s="1">
        <v>206.32</v>
      </c>
    </row>
    <row r="25" spans="1:11" ht="12.75" x14ac:dyDescent="0.2">
      <c r="A25" s="2">
        <v>41709</v>
      </c>
      <c r="B25" s="2" t="str">
        <f>TEXT(Table1[[#This Row],[Order Date]],"MMM")</f>
        <v>Mar</v>
      </c>
      <c r="C25" s="2" t="str">
        <f t="shared" si="0"/>
        <v>2014</v>
      </c>
      <c r="D25" s="1" t="s">
        <v>129</v>
      </c>
      <c r="E25" s="1" t="s">
        <v>27</v>
      </c>
      <c r="F25" s="1" t="s">
        <v>11</v>
      </c>
      <c r="G25" s="1" t="s">
        <v>42</v>
      </c>
      <c r="H25" s="1" t="s">
        <v>130</v>
      </c>
      <c r="I25" s="1">
        <v>12.35</v>
      </c>
      <c r="J25" s="1">
        <v>5</v>
      </c>
      <c r="K25" s="1">
        <v>5.8</v>
      </c>
    </row>
    <row r="26" spans="1:11" ht="12.75" x14ac:dyDescent="0.2">
      <c r="A26" s="2">
        <v>41710</v>
      </c>
      <c r="B26" s="2" t="str">
        <f>TEXT(Table1[[#This Row],[Order Date]],"MMM")</f>
        <v>Mar</v>
      </c>
      <c r="C26" s="2" t="str">
        <f t="shared" si="0"/>
        <v>2014</v>
      </c>
      <c r="D26" s="1" t="s">
        <v>100</v>
      </c>
      <c r="E26" s="1" t="s">
        <v>134</v>
      </c>
      <c r="F26" s="1" t="s">
        <v>11</v>
      </c>
      <c r="G26" s="1" t="s">
        <v>20</v>
      </c>
      <c r="H26" s="1" t="s">
        <v>135</v>
      </c>
      <c r="I26" s="1">
        <v>83.84</v>
      </c>
      <c r="J26" s="1">
        <v>2</v>
      </c>
      <c r="K26" s="1">
        <v>27.25</v>
      </c>
    </row>
    <row r="27" spans="1:11" ht="12.75" x14ac:dyDescent="0.2">
      <c r="A27" s="2">
        <v>41730</v>
      </c>
      <c r="B27" s="2" t="str">
        <f>TEXT(Table1[[#This Row],[Order Date]],"MMM")</f>
        <v>Apr</v>
      </c>
      <c r="C27" s="2" t="str">
        <f t="shared" si="0"/>
        <v>2014</v>
      </c>
      <c r="D27" s="1" t="s">
        <v>136</v>
      </c>
      <c r="E27" s="1" t="s">
        <v>27</v>
      </c>
      <c r="F27" s="1" t="s">
        <v>11</v>
      </c>
      <c r="G27" s="1" t="s">
        <v>20</v>
      </c>
      <c r="H27" s="1" t="s">
        <v>137</v>
      </c>
      <c r="I27" s="1">
        <v>82.9</v>
      </c>
      <c r="J27" s="1">
        <v>3</v>
      </c>
      <c r="K27" s="1">
        <v>29.01</v>
      </c>
    </row>
    <row r="28" spans="1:11" ht="12.75" x14ac:dyDescent="0.2">
      <c r="A28" s="2">
        <v>41731</v>
      </c>
      <c r="B28" s="2" t="str">
        <f>TEXT(Table1[[#This Row],[Order Date]],"MMM")</f>
        <v>Apr</v>
      </c>
      <c r="C28" s="2" t="str">
        <f t="shared" si="0"/>
        <v>2014</v>
      </c>
      <c r="D28" s="1" t="s">
        <v>138</v>
      </c>
      <c r="E28" s="1" t="s">
        <v>51</v>
      </c>
      <c r="F28" s="1" t="s">
        <v>11</v>
      </c>
      <c r="G28" s="1" t="s">
        <v>16</v>
      </c>
      <c r="H28" s="1" t="s">
        <v>139</v>
      </c>
      <c r="I28" s="1">
        <v>15</v>
      </c>
      <c r="J28" s="1">
        <v>4</v>
      </c>
      <c r="K28" s="1">
        <v>7.2</v>
      </c>
    </row>
    <row r="29" spans="1:11" ht="12.75" x14ac:dyDescent="0.2">
      <c r="A29" s="2">
        <v>41732</v>
      </c>
      <c r="B29" s="2" t="str">
        <f>TEXT(Table1[[#This Row],[Order Date]],"MMM")</f>
        <v>Apr</v>
      </c>
      <c r="C29" s="2" t="str">
        <f t="shared" si="0"/>
        <v>2014</v>
      </c>
      <c r="D29" s="1" t="s">
        <v>141</v>
      </c>
      <c r="E29" s="1" t="s">
        <v>142</v>
      </c>
      <c r="F29" s="1" t="s">
        <v>38</v>
      </c>
      <c r="G29" s="1" t="s">
        <v>48</v>
      </c>
      <c r="H29" s="1" t="s">
        <v>143</v>
      </c>
      <c r="I29" s="1">
        <v>115.36</v>
      </c>
      <c r="J29" s="1">
        <v>7</v>
      </c>
      <c r="K29" s="1">
        <v>49.6</v>
      </c>
    </row>
    <row r="30" spans="1:11" ht="12.75" x14ac:dyDescent="0.2">
      <c r="A30" s="2">
        <v>41733</v>
      </c>
      <c r="B30" s="2" t="str">
        <f>TEXT(Table1[[#This Row],[Order Date]],"MMM")</f>
        <v>Apr</v>
      </c>
      <c r="C30" s="2" t="str">
        <f t="shared" si="0"/>
        <v>2014</v>
      </c>
      <c r="D30" s="1" t="s">
        <v>144</v>
      </c>
      <c r="E30" s="1" t="s">
        <v>104</v>
      </c>
      <c r="F30" s="1" t="s">
        <v>33</v>
      </c>
      <c r="G30" s="1" t="s">
        <v>44</v>
      </c>
      <c r="H30" s="1" t="s">
        <v>145</v>
      </c>
      <c r="I30" s="1">
        <v>14.56</v>
      </c>
      <c r="J30" s="1">
        <v>2</v>
      </c>
      <c r="K30" s="1">
        <v>5.53</v>
      </c>
    </row>
    <row r="31" spans="1:11" ht="12.75" x14ac:dyDescent="0.2">
      <c r="A31" s="2">
        <v>41734</v>
      </c>
      <c r="B31" s="2" t="str">
        <f>TEXT(Table1[[#This Row],[Order Date]],"MMM")</f>
        <v>Apr</v>
      </c>
      <c r="C31" s="2" t="str">
        <f t="shared" si="0"/>
        <v>2014</v>
      </c>
      <c r="D31" s="1" t="s">
        <v>153</v>
      </c>
      <c r="E31" s="1" t="s">
        <v>27</v>
      </c>
      <c r="F31" s="1" t="s">
        <v>33</v>
      </c>
      <c r="G31" s="1" t="s">
        <v>34</v>
      </c>
      <c r="H31" s="1" t="s">
        <v>154</v>
      </c>
      <c r="I31" s="1">
        <v>129.57</v>
      </c>
      <c r="J31" s="1">
        <v>2</v>
      </c>
      <c r="K31" s="1">
        <v>-24.29</v>
      </c>
    </row>
    <row r="32" spans="1:11" ht="12.75" x14ac:dyDescent="0.2">
      <c r="A32" s="2">
        <v>41735</v>
      </c>
      <c r="B32" s="2" t="str">
        <f>TEXT(Table1[[#This Row],[Order Date]],"MMM")</f>
        <v>Apr</v>
      </c>
      <c r="C32" s="2" t="str">
        <f t="shared" si="0"/>
        <v>2014</v>
      </c>
      <c r="D32" s="1" t="s">
        <v>155</v>
      </c>
      <c r="E32" s="1" t="s">
        <v>10</v>
      </c>
      <c r="F32" s="1" t="s">
        <v>11</v>
      </c>
      <c r="G32" s="1" t="s">
        <v>12</v>
      </c>
      <c r="H32" s="1" t="s">
        <v>156</v>
      </c>
      <c r="I32" s="1">
        <v>16.18</v>
      </c>
      <c r="J32" s="1">
        <v>3</v>
      </c>
      <c r="K32" s="1">
        <v>6.07</v>
      </c>
    </row>
    <row r="33" spans="1:11" ht="12.75" x14ac:dyDescent="0.2">
      <c r="A33" s="2">
        <v>41736</v>
      </c>
      <c r="B33" s="2" t="str">
        <f>TEXT(Table1[[#This Row],[Order Date]],"MMM")</f>
        <v>Apr</v>
      </c>
      <c r="C33" s="2" t="str">
        <f t="shared" si="0"/>
        <v>2014</v>
      </c>
      <c r="D33" s="1" t="s">
        <v>160</v>
      </c>
      <c r="E33" s="1" t="s">
        <v>134</v>
      </c>
      <c r="F33" s="1" t="s">
        <v>11</v>
      </c>
      <c r="G33" s="1" t="s">
        <v>20</v>
      </c>
      <c r="H33" s="1" t="s">
        <v>161</v>
      </c>
      <c r="I33" s="1">
        <v>21.36</v>
      </c>
      <c r="J33" s="1">
        <v>5</v>
      </c>
      <c r="K33" s="1">
        <v>7.21</v>
      </c>
    </row>
    <row r="34" spans="1:11" ht="12.75" x14ac:dyDescent="0.2">
      <c r="A34" s="2">
        <v>41737</v>
      </c>
      <c r="B34" s="2" t="str">
        <f>TEXT(Table1[[#This Row],[Order Date]],"MMM")</f>
        <v>Apr</v>
      </c>
      <c r="C34" s="2" t="str">
        <f t="shared" si="0"/>
        <v>2014</v>
      </c>
      <c r="D34" s="1" t="s">
        <v>162</v>
      </c>
      <c r="E34" s="1" t="s">
        <v>10</v>
      </c>
      <c r="F34" s="1" t="s">
        <v>11</v>
      </c>
      <c r="G34" s="1" t="s">
        <v>20</v>
      </c>
      <c r="H34" s="1" t="s">
        <v>163</v>
      </c>
      <c r="I34" s="1">
        <v>1.08</v>
      </c>
      <c r="J34" s="1">
        <v>3</v>
      </c>
      <c r="K34" s="1">
        <v>-1.73</v>
      </c>
    </row>
    <row r="35" spans="1:11" ht="12.75" x14ac:dyDescent="0.2">
      <c r="A35" s="2">
        <v>41739</v>
      </c>
      <c r="B35" s="2" t="str">
        <f>TEXT(Table1[[#This Row],[Order Date]],"MMM")</f>
        <v>Apr</v>
      </c>
      <c r="C35" s="2" t="str">
        <f t="shared" si="0"/>
        <v>2014</v>
      </c>
      <c r="D35" s="1" t="s">
        <v>74</v>
      </c>
      <c r="E35" s="1" t="s">
        <v>15</v>
      </c>
      <c r="F35" s="1" t="s">
        <v>11</v>
      </c>
      <c r="G35" s="1" t="s">
        <v>24</v>
      </c>
      <c r="H35" s="1" t="s">
        <v>165</v>
      </c>
      <c r="I35" s="1">
        <v>54.21</v>
      </c>
      <c r="J35" s="1">
        <v>14</v>
      </c>
      <c r="K35" s="1">
        <v>8.81</v>
      </c>
    </row>
    <row r="36" spans="1:11" ht="12.75" x14ac:dyDescent="0.2">
      <c r="A36" s="2">
        <v>41740</v>
      </c>
      <c r="B36" s="2" t="str">
        <f>TEXT(Table1[[#This Row],[Order Date]],"MMM")</f>
        <v>Apr</v>
      </c>
      <c r="C36" s="2" t="str">
        <f t="shared" si="0"/>
        <v>2014</v>
      </c>
      <c r="D36" s="1" t="s">
        <v>166</v>
      </c>
      <c r="E36" s="1" t="s">
        <v>10</v>
      </c>
      <c r="F36" s="1" t="s">
        <v>33</v>
      </c>
      <c r="G36" s="1" t="s">
        <v>44</v>
      </c>
      <c r="H36" s="1" t="s">
        <v>167</v>
      </c>
      <c r="I36" s="1">
        <v>25.16</v>
      </c>
      <c r="J36" s="1">
        <v>5</v>
      </c>
      <c r="K36" s="1">
        <v>-11.32</v>
      </c>
    </row>
    <row r="37" spans="1:11" ht="12.75" x14ac:dyDescent="0.2">
      <c r="A37" s="2">
        <v>41741</v>
      </c>
      <c r="B37" s="2" t="str">
        <f>TEXT(Table1[[#This Row],[Order Date]],"MMM")</f>
        <v>Apr</v>
      </c>
      <c r="C37" s="2" t="str">
        <f t="shared" si="0"/>
        <v>2014</v>
      </c>
      <c r="D37" s="1" t="s">
        <v>169</v>
      </c>
      <c r="E37" s="1" t="s">
        <v>107</v>
      </c>
      <c r="F37" s="1" t="s">
        <v>38</v>
      </c>
      <c r="G37" s="1" t="s">
        <v>48</v>
      </c>
      <c r="H37" s="1" t="s">
        <v>170</v>
      </c>
      <c r="I37" s="1">
        <v>62.31</v>
      </c>
      <c r="J37" s="1">
        <v>3</v>
      </c>
      <c r="K37" s="1">
        <v>22.43</v>
      </c>
    </row>
    <row r="38" spans="1:11" ht="12.75" x14ac:dyDescent="0.2">
      <c r="A38" s="2">
        <v>41760</v>
      </c>
      <c r="B38" s="2" t="str">
        <f>TEXT(Table1[[#This Row],[Order Date]],"MMM")</f>
        <v>May</v>
      </c>
      <c r="C38" s="2" t="str">
        <f t="shared" si="0"/>
        <v>2014</v>
      </c>
      <c r="D38" s="1" t="s">
        <v>173</v>
      </c>
      <c r="E38" s="1" t="s">
        <v>15</v>
      </c>
      <c r="F38" s="1" t="s">
        <v>11</v>
      </c>
      <c r="G38" s="1" t="s">
        <v>20</v>
      </c>
      <c r="H38" s="1" t="s">
        <v>21</v>
      </c>
      <c r="I38" s="1">
        <v>8.85</v>
      </c>
      <c r="J38" s="1">
        <v>5</v>
      </c>
      <c r="K38" s="1">
        <v>-13.72</v>
      </c>
    </row>
    <row r="39" spans="1:11" ht="12.75" x14ac:dyDescent="0.2">
      <c r="A39" s="2">
        <v>41762</v>
      </c>
      <c r="B39" s="2" t="str">
        <f>TEXT(Table1[[#This Row],[Order Date]],"MMM")</f>
        <v>May</v>
      </c>
      <c r="C39" s="2" t="str">
        <f t="shared" si="0"/>
        <v>2014</v>
      </c>
      <c r="D39" s="1" t="s">
        <v>175</v>
      </c>
      <c r="E39" s="1" t="s">
        <v>10</v>
      </c>
      <c r="F39" s="1" t="s">
        <v>11</v>
      </c>
      <c r="G39" s="1" t="s">
        <v>16</v>
      </c>
      <c r="H39" s="1" t="s">
        <v>176</v>
      </c>
      <c r="I39" s="1">
        <v>6.94</v>
      </c>
      <c r="J39" s="1">
        <v>3</v>
      </c>
      <c r="K39" s="1">
        <v>2.34</v>
      </c>
    </row>
    <row r="40" spans="1:11" ht="12.75" x14ac:dyDescent="0.2">
      <c r="A40" s="2">
        <v>41763</v>
      </c>
      <c r="B40" s="2" t="str">
        <f>TEXT(Table1[[#This Row],[Order Date]],"MMM")</f>
        <v>May</v>
      </c>
      <c r="C40" s="2" t="str">
        <f t="shared" si="0"/>
        <v>2014</v>
      </c>
      <c r="D40" s="1" t="s">
        <v>178</v>
      </c>
      <c r="E40" s="1" t="s">
        <v>68</v>
      </c>
      <c r="F40" s="1" t="s">
        <v>11</v>
      </c>
      <c r="G40" s="1" t="s">
        <v>24</v>
      </c>
      <c r="H40" s="1" t="s">
        <v>179</v>
      </c>
      <c r="I40" s="1">
        <v>19.46</v>
      </c>
      <c r="J40" s="1">
        <v>4</v>
      </c>
      <c r="K40" s="1">
        <v>3.4</v>
      </c>
    </row>
    <row r="41" spans="1:11" ht="12.75" x14ac:dyDescent="0.2">
      <c r="A41" s="2">
        <v>41764</v>
      </c>
      <c r="B41" s="2" t="str">
        <f>TEXT(Table1[[#This Row],[Order Date]],"MMM")</f>
        <v>May</v>
      </c>
      <c r="C41" s="2" t="str">
        <f t="shared" si="0"/>
        <v>2014</v>
      </c>
      <c r="D41" s="1" t="s">
        <v>180</v>
      </c>
      <c r="E41" s="1" t="s">
        <v>134</v>
      </c>
      <c r="F41" s="1" t="s">
        <v>33</v>
      </c>
      <c r="G41" s="1" t="s">
        <v>34</v>
      </c>
      <c r="H41" s="1" t="s">
        <v>35</v>
      </c>
      <c r="I41" s="1">
        <v>457.57</v>
      </c>
      <c r="J41" s="1">
        <v>2</v>
      </c>
      <c r="K41" s="1">
        <v>51.48</v>
      </c>
    </row>
    <row r="42" spans="1:11" ht="12.75" x14ac:dyDescent="0.2">
      <c r="A42" s="2">
        <v>41766</v>
      </c>
      <c r="B42" s="2" t="str">
        <f>TEXT(Table1[[#This Row],[Order Date]],"MMM")</f>
        <v>May</v>
      </c>
      <c r="C42" s="2" t="str">
        <f t="shared" si="0"/>
        <v>2014</v>
      </c>
      <c r="D42" s="1" t="s">
        <v>190</v>
      </c>
      <c r="E42" s="1" t="s">
        <v>63</v>
      </c>
      <c r="F42" s="1" t="s">
        <v>11</v>
      </c>
      <c r="G42" s="1" t="s">
        <v>18</v>
      </c>
      <c r="H42" s="1" t="s">
        <v>191</v>
      </c>
      <c r="I42" s="1">
        <v>354.9</v>
      </c>
      <c r="J42" s="1">
        <v>5</v>
      </c>
      <c r="K42" s="1">
        <v>17.75</v>
      </c>
    </row>
    <row r="43" spans="1:11" ht="12.75" x14ac:dyDescent="0.2">
      <c r="A43" s="2">
        <v>41767</v>
      </c>
      <c r="B43" s="2" t="str">
        <f>TEXT(Table1[[#This Row],[Order Date]],"MMM")</f>
        <v>May</v>
      </c>
      <c r="C43" s="2" t="str">
        <f t="shared" si="0"/>
        <v>2014</v>
      </c>
      <c r="D43" s="1" t="s">
        <v>192</v>
      </c>
      <c r="E43" s="1" t="s">
        <v>120</v>
      </c>
      <c r="F43" s="1" t="s">
        <v>11</v>
      </c>
      <c r="G43" s="1" t="s">
        <v>24</v>
      </c>
      <c r="H43" s="1" t="s">
        <v>193</v>
      </c>
      <c r="I43" s="1">
        <v>59.52</v>
      </c>
      <c r="J43" s="1">
        <v>3</v>
      </c>
      <c r="K43" s="1">
        <v>15.48</v>
      </c>
    </row>
    <row r="44" spans="1:11" ht="12.75" x14ac:dyDescent="0.2">
      <c r="A44" s="2">
        <v>41769</v>
      </c>
      <c r="B44" s="2" t="str">
        <f>TEXT(Table1[[#This Row],[Order Date]],"MMM")</f>
        <v>May</v>
      </c>
      <c r="C44" s="2" t="str">
        <f t="shared" si="0"/>
        <v>2014</v>
      </c>
      <c r="D44" s="1" t="s">
        <v>168</v>
      </c>
      <c r="E44" s="1" t="s">
        <v>134</v>
      </c>
      <c r="F44" s="1" t="s">
        <v>33</v>
      </c>
      <c r="G44" s="1" t="s">
        <v>34</v>
      </c>
      <c r="H44" s="1" t="s">
        <v>194</v>
      </c>
      <c r="I44" s="1">
        <v>48.71</v>
      </c>
      <c r="J44" s="1">
        <v>1</v>
      </c>
      <c r="K44" s="1">
        <v>5.48</v>
      </c>
    </row>
    <row r="45" spans="1:11" ht="12.75" x14ac:dyDescent="0.2">
      <c r="A45" s="2">
        <v>41770</v>
      </c>
      <c r="B45" s="2" t="str">
        <f>TEXT(Table1[[#This Row],[Order Date]],"MMM")</f>
        <v>May</v>
      </c>
      <c r="C45" s="2" t="str">
        <f t="shared" si="0"/>
        <v>2014</v>
      </c>
      <c r="D45" s="1" t="s">
        <v>197</v>
      </c>
      <c r="E45" s="1" t="s">
        <v>94</v>
      </c>
      <c r="F45" s="1" t="s">
        <v>11</v>
      </c>
      <c r="G45" s="1" t="s">
        <v>12</v>
      </c>
      <c r="H45" s="1" t="s">
        <v>198</v>
      </c>
      <c r="I45" s="1">
        <v>22.38</v>
      </c>
      <c r="J45" s="1">
        <v>2</v>
      </c>
      <c r="K45" s="1">
        <v>10.74</v>
      </c>
    </row>
    <row r="46" spans="1:11" ht="12.75" x14ac:dyDescent="0.2">
      <c r="A46" s="2">
        <v>41771</v>
      </c>
      <c r="B46" s="2" t="str">
        <f>TEXT(Table1[[#This Row],[Order Date]],"MMM")</f>
        <v>May</v>
      </c>
      <c r="C46" s="2" t="str">
        <f t="shared" si="0"/>
        <v>2014</v>
      </c>
      <c r="D46" s="1" t="s">
        <v>202</v>
      </c>
      <c r="E46" s="1" t="s">
        <v>68</v>
      </c>
      <c r="F46" s="1" t="s">
        <v>33</v>
      </c>
      <c r="G46" s="1" t="s">
        <v>44</v>
      </c>
      <c r="H46" s="1" t="s">
        <v>203</v>
      </c>
      <c r="I46" s="1">
        <v>8.32</v>
      </c>
      <c r="J46" s="1">
        <v>5</v>
      </c>
      <c r="K46" s="1">
        <v>2.29</v>
      </c>
    </row>
    <row r="47" spans="1:11" ht="12.75" x14ac:dyDescent="0.2">
      <c r="A47" s="2">
        <v>41791</v>
      </c>
      <c r="B47" s="2" t="str">
        <f>TEXT(Table1[[#This Row],[Order Date]],"MMM")</f>
        <v>Jun</v>
      </c>
      <c r="C47" s="2" t="str">
        <f t="shared" si="0"/>
        <v>2014</v>
      </c>
      <c r="D47" s="1" t="s">
        <v>216</v>
      </c>
      <c r="E47" s="1" t="s">
        <v>101</v>
      </c>
      <c r="F47" s="1" t="s">
        <v>11</v>
      </c>
      <c r="G47" s="1" t="s">
        <v>18</v>
      </c>
      <c r="H47" s="1" t="s">
        <v>217</v>
      </c>
      <c r="I47" s="1">
        <v>142.78</v>
      </c>
      <c r="J47" s="1">
        <v>1</v>
      </c>
      <c r="K47" s="1">
        <v>17.850000000000001</v>
      </c>
    </row>
    <row r="48" spans="1:11" ht="12.75" x14ac:dyDescent="0.2">
      <c r="A48" s="2">
        <v>41792</v>
      </c>
      <c r="B48" s="2" t="str">
        <f>TEXT(Table1[[#This Row],[Order Date]],"MMM")</f>
        <v>Jun</v>
      </c>
      <c r="C48" s="2" t="str">
        <f t="shared" si="0"/>
        <v>2014</v>
      </c>
      <c r="D48" s="1" t="s">
        <v>184</v>
      </c>
      <c r="E48" s="1" t="s">
        <v>187</v>
      </c>
      <c r="F48" s="1" t="s">
        <v>38</v>
      </c>
      <c r="G48" s="1" t="s">
        <v>39</v>
      </c>
      <c r="H48" s="1" t="s">
        <v>219</v>
      </c>
      <c r="I48" s="1">
        <v>471.92</v>
      </c>
      <c r="J48" s="1">
        <v>2</v>
      </c>
      <c r="K48" s="1">
        <v>29.5</v>
      </c>
    </row>
    <row r="49" spans="1:11" ht="12.75" x14ac:dyDescent="0.2">
      <c r="A49" s="2">
        <v>41794</v>
      </c>
      <c r="B49" s="2" t="str">
        <f>TEXT(Table1[[#This Row],[Order Date]],"MMM")</f>
        <v>Jun</v>
      </c>
      <c r="C49" s="2" t="str">
        <f t="shared" si="0"/>
        <v>2014</v>
      </c>
      <c r="D49" s="1" t="s">
        <v>220</v>
      </c>
      <c r="E49" s="1" t="s">
        <v>221</v>
      </c>
      <c r="F49" s="1" t="s">
        <v>11</v>
      </c>
      <c r="G49" s="1" t="s">
        <v>80</v>
      </c>
      <c r="H49" s="1" t="s">
        <v>222</v>
      </c>
      <c r="I49" s="1">
        <v>93.78</v>
      </c>
      <c r="J49" s="1">
        <v>2</v>
      </c>
      <c r="K49" s="1">
        <v>36.57</v>
      </c>
    </row>
    <row r="50" spans="1:11" ht="12.75" x14ac:dyDescent="0.2">
      <c r="A50" s="2">
        <v>41795</v>
      </c>
      <c r="B50" s="2" t="str">
        <f>TEXT(Table1[[#This Row],[Order Date]],"MMM")</f>
        <v>Jun</v>
      </c>
      <c r="C50" s="2" t="str">
        <f t="shared" si="0"/>
        <v>2014</v>
      </c>
      <c r="D50" s="1" t="s">
        <v>231</v>
      </c>
      <c r="E50" s="1" t="s">
        <v>101</v>
      </c>
      <c r="F50" s="1" t="s">
        <v>38</v>
      </c>
      <c r="G50" s="1" t="s">
        <v>214</v>
      </c>
      <c r="H50" s="1" t="s">
        <v>215</v>
      </c>
      <c r="I50" s="1">
        <v>821.3</v>
      </c>
      <c r="J50" s="1">
        <v>4</v>
      </c>
      <c r="K50" s="1">
        <v>-16.43</v>
      </c>
    </row>
    <row r="51" spans="1:11" ht="12.75" x14ac:dyDescent="0.2">
      <c r="A51" s="2">
        <v>41796</v>
      </c>
      <c r="B51" s="2" t="str">
        <f>TEXT(Table1[[#This Row],[Order Date]],"MMM")</f>
        <v>Jun</v>
      </c>
      <c r="C51" s="2" t="str">
        <f t="shared" si="0"/>
        <v>2014</v>
      </c>
      <c r="D51" s="1" t="s">
        <v>235</v>
      </c>
      <c r="E51" s="1" t="s">
        <v>101</v>
      </c>
      <c r="F51" s="1" t="s">
        <v>38</v>
      </c>
      <c r="G51" s="1" t="s">
        <v>39</v>
      </c>
      <c r="H51" s="1" t="s">
        <v>236</v>
      </c>
      <c r="I51" s="1">
        <v>323.98</v>
      </c>
      <c r="J51" s="1">
        <v>3</v>
      </c>
      <c r="K51" s="1">
        <v>28.35</v>
      </c>
    </row>
    <row r="52" spans="1:11" ht="12.75" x14ac:dyDescent="0.2">
      <c r="A52" s="2">
        <v>41797</v>
      </c>
      <c r="B52" s="2" t="str">
        <f>TEXT(Table1[[#This Row],[Order Date]],"MMM")</f>
        <v>Jun</v>
      </c>
      <c r="C52" s="2" t="str">
        <f t="shared" si="0"/>
        <v>2014</v>
      </c>
      <c r="D52" s="1" t="s">
        <v>238</v>
      </c>
      <c r="E52" s="1" t="s">
        <v>68</v>
      </c>
      <c r="F52" s="1" t="s">
        <v>11</v>
      </c>
      <c r="G52" s="1" t="s">
        <v>24</v>
      </c>
      <c r="H52" s="1" t="s">
        <v>239</v>
      </c>
      <c r="I52" s="1">
        <v>7.41</v>
      </c>
      <c r="J52" s="1">
        <v>2</v>
      </c>
      <c r="K52" s="1">
        <v>1.2</v>
      </c>
    </row>
    <row r="53" spans="1:11" ht="12.75" x14ac:dyDescent="0.2">
      <c r="A53" s="2">
        <v>41798</v>
      </c>
      <c r="B53" s="2" t="str">
        <f>TEXT(Table1[[#This Row],[Order Date]],"MMM")</f>
        <v>Jun</v>
      </c>
      <c r="C53" s="2" t="str">
        <f t="shared" si="0"/>
        <v>2014</v>
      </c>
      <c r="D53" s="1" t="s">
        <v>245</v>
      </c>
      <c r="E53" s="1" t="s">
        <v>187</v>
      </c>
      <c r="F53" s="1" t="s">
        <v>11</v>
      </c>
      <c r="G53" s="1" t="s">
        <v>20</v>
      </c>
      <c r="H53" s="1" t="s">
        <v>246</v>
      </c>
      <c r="I53" s="1">
        <v>7.64</v>
      </c>
      <c r="J53" s="1">
        <v>4</v>
      </c>
      <c r="K53" s="1">
        <v>-5.86</v>
      </c>
    </row>
    <row r="54" spans="1:11" ht="12.75" x14ac:dyDescent="0.2">
      <c r="A54" s="2">
        <v>41800</v>
      </c>
      <c r="B54" s="2" t="str">
        <f>TEXT(Table1[[#This Row],[Order Date]],"MMM")</f>
        <v>Jun</v>
      </c>
      <c r="C54" s="2" t="str">
        <f t="shared" si="0"/>
        <v>2014</v>
      </c>
      <c r="D54" s="1" t="s">
        <v>248</v>
      </c>
      <c r="E54" s="1" t="s">
        <v>27</v>
      </c>
      <c r="F54" s="1" t="s">
        <v>11</v>
      </c>
      <c r="G54" s="1" t="s">
        <v>18</v>
      </c>
      <c r="H54" s="1" t="s">
        <v>249</v>
      </c>
      <c r="I54" s="1">
        <v>330.4</v>
      </c>
      <c r="J54" s="1">
        <v>2</v>
      </c>
      <c r="K54" s="1">
        <v>85.9</v>
      </c>
    </row>
    <row r="55" spans="1:11" ht="12.75" x14ac:dyDescent="0.2">
      <c r="A55" s="2">
        <v>41801</v>
      </c>
      <c r="B55" s="2" t="str">
        <f>TEXT(Table1[[#This Row],[Order Date]],"MMM")</f>
        <v>Jun</v>
      </c>
      <c r="C55" s="2" t="str">
        <f t="shared" si="0"/>
        <v>2014</v>
      </c>
      <c r="D55" s="1" t="s">
        <v>252</v>
      </c>
      <c r="E55" s="1" t="s">
        <v>120</v>
      </c>
      <c r="F55" s="1" t="s">
        <v>11</v>
      </c>
      <c r="G55" s="1" t="s">
        <v>12</v>
      </c>
      <c r="H55" s="1" t="s">
        <v>253</v>
      </c>
      <c r="I55" s="1">
        <v>24.9</v>
      </c>
      <c r="J55" s="1">
        <v>5</v>
      </c>
      <c r="K55" s="1">
        <v>11.7</v>
      </c>
    </row>
    <row r="56" spans="1:11" ht="12.75" x14ac:dyDescent="0.2">
      <c r="A56" s="2">
        <v>41802</v>
      </c>
      <c r="B56" s="2" t="str">
        <f>TEXT(Table1[[#This Row],[Order Date]],"MMM")</f>
        <v>Jun</v>
      </c>
      <c r="C56" s="2" t="str">
        <f t="shared" si="0"/>
        <v>2014</v>
      </c>
      <c r="D56" s="1" t="s">
        <v>226</v>
      </c>
      <c r="E56" s="1" t="s">
        <v>120</v>
      </c>
      <c r="F56" s="1" t="s">
        <v>33</v>
      </c>
      <c r="G56" s="1" t="s">
        <v>34</v>
      </c>
      <c r="H56" s="1" t="s">
        <v>255</v>
      </c>
      <c r="I56" s="1">
        <v>366.79</v>
      </c>
      <c r="J56" s="1">
        <v>7</v>
      </c>
      <c r="K56" s="1">
        <v>65.209999999999994</v>
      </c>
    </row>
    <row r="57" spans="1:11" ht="12.75" x14ac:dyDescent="0.2">
      <c r="A57" s="2">
        <v>41821</v>
      </c>
      <c r="B57" s="2" t="str">
        <f>TEXT(Table1[[#This Row],[Order Date]],"MMM")</f>
        <v>Jul</v>
      </c>
      <c r="C57" s="2" t="str">
        <f t="shared" si="0"/>
        <v>2014</v>
      </c>
      <c r="D57" s="1" t="s">
        <v>257</v>
      </c>
      <c r="E57" s="1" t="s">
        <v>27</v>
      </c>
      <c r="F57" s="1" t="s">
        <v>38</v>
      </c>
      <c r="G57" s="1" t="s">
        <v>48</v>
      </c>
      <c r="H57" s="1" t="s">
        <v>258</v>
      </c>
      <c r="I57" s="1">
        <v>66.3</v>
      </c>
      <c r="J57" s="1">
        <v>3</v>
      </c>
      <c r="K57" s="1">
        <v>8.6199999999999992</v>
      </c>
    </row>
    <row r="58" spans="1:11" ht="12.75" x14ac:dyDescent="0.2">
      <c r="A58" s="2">
        <v>41822</v>
      </c>
      <c r="B58" s="2" t="str">
        <f>TEXT(Table1[[#This Row],[Order Date]],"MMM")</f>
        <v>Jul</v>
      </c>
      <c r="C58" s="2" t="str">
        <f t="shared" si="0"/>
        <v>2014</v>
      </c>
      <c r="D58" s="1" t="s">
        <v>261</v>
      </c>
      <c r="E58" s="1" t="s">
        <v>262</v>
      </c>
      <c r="F58" s="1" t="s">
        <v>11</v>
      </c>
      <c r="G58" s="1" t="s">
        <v>58</v>
      </c>
      <c r="H58" s="1" t="s">
        <v>263</v>
      </c>
      <c r="I58" s="1">
        <v>6.12</v>
      </c>
      <c r="J58" s="1">
        <v>3</v>
      </c>
      <c r="K58" s="1">
        <v>2.88</v>
      </c>
    </row>
    <row r="59" spans="1:11" ht="12.75" x14ac:dyDescent="0.2">
      <c r="A59" s="2">
        <v>41823</v>
      </c>
      <c r="B59" s="2" t="str">
        <f>TEXT(Table1[[#This Row],[Order Date]],"MMM")</f>
        <v>Jul</v>
      </c>
      <c r="C59" s="2" t="str">
        <f t="shared" si="0"/>
        <v>2014</v>
      </c>
      <c r="D59" s="1" t="s">
        <v>268</v>
      </c>
      <c r="E59" s="1" t="s">
        <v>10</v>
      </c>
      <c r="F59" s="1" t="s">
        <v>33</v>
      </c>
      <c r="G59" s="1" t="s">
        <v>118</v>
      </c>
      <c r="H59" s="1" t="s">
        <v>269</v>
      </c>
      <c r="I59" s="1">
        <v>890.84</v>
      </c>
      <c r="J59" s="1">
        <v>3</v>
      </c>
      <c r="K59" s="1">
        <v>-152.72</v>
      </c>
    </row>
    <row r="60" spans="1:11" ht="12.75" x14ac:dyDescent="0.2">
      <c r="A60" s="2">
        <v>41824</v>
      </c>
      <c r="B60" s="2" t="str">
        <f>TEXT(Table1[[#This Row],[Order Date]],"MMM")</f>
        <v>Jul</v>
      </c>
      <c r="C60" s="2" t="str">
        <f t="shared" si="0"/>
        <v>2014</v>
      </c>
      <c r="D60" s="1" t="s">
        <v>270</v>
      </c>
      <c r="E60" s="1" t="s">
        <v>120</v>
      </c>
      <c r="F60" s="1" t="s">
        <v>11</v>
      </c>
      <c r="G60" s="1" t="s">
        <v>24</v>
      </c>
      <c r="H60" s="1" t="s">
        <v>271</v>
      </c>
      <c r="I60" s="1">
        <v>49.65</v>
      </c>
      <c r="J60" s="1">
        <v>5</v>
      </c>
      <c r="K60" s="1">
        <v>20.85</v>
      </c>
    </row>
    <row r="61" spans="1:11" ht="12.75" x14ac:dyDescent="0.2">
      <c r="A61" s="2">
        <v>41825</v>
      </c>
      <c r="B61" s="2" t="str">
        <f>TEXT(Table1[[#This Row],[Order Date]],"MMM")</f>
        <v>Jul</v>
      </c>
      <c r="C61" s="2" t="str">
        <f t="shared" si="0"/>
        <v>2014</v>
      </c>
      <c r="D61" s="1" t="s">
        <v>278</v>
      </c>
      <c r="E61" s="1" t="s">
        <v>27</v>
      </c>
      <c r="F61" s="1" t="s">
        <v>11</v>
      </c>
      <c r="G61" s="1" t="s">
        <v>20</v>
      </c>
      <c r="H61" s="1" t="s">
        <v>279</v>
      </c>
      <c r="I61" s="1">
        <v>673.57</v>
      </c>
      <c r="J61" s="1">
        <v>2</v>
      </c>
      <c r="K61" s="1">
        <v>252.59</v>
      </c>
    </row>
    <row r="62" spans="1:11" ht="12.75" x14ac:dyDescent="0.2">
      <c r="A62" s="2">
        <v>41826</v>
      </c>
      <c r="B62" s="2" t="str">
        <f>TEXT(Table1[[#This Row],[Order Date]],"MMM")</f>
        <v>Jul</v>
      </c>
      <c r="C62" s="2" t="str">
        <f t="shared" si="0"/>
        <v>2014</v>
      </c>
      <c r="D62" s="1" t="s">
        <v>270</v>
      </c>
      <c r="E62" s="1" t="s">
        <v>27</v>
      </c>
      <c r="F62" s="1" t="s">
        <v>11</v>
      </c>
      <c r="G62" s="1" t="s">
        <v>16</v>
      </c>
      <c r="H62" s="1" t="s">
        <v>273</v>
      </c>
      <c r="I62" s="1">
        <v>29.6</v>
      </c>
      <c r="J62" s="1">
        <v>2</v>
      </c>
      <c r="K62" s="1">
        <v>14.8</v>
      </c>
    </row>
    <row r="63" spans="1:11" ht="12.75" x14ac:dyDescent="0.2">
      <c r="A63" s="2">
        <v>41827</v>
      </c>
      <c r="B63" s="2" t="str">
        <f>TEXT(Table1[[#This Row],[Order Date]],"MMM")</f>
        <v>Jul</v>
      </c>
      <c r="C63" s="2" t="str">
        <f t="shared" si="0"/>
        <v>2014</v>
      </c>
      <c r="D63" s="1" t="s">
        <v>290</v>
      </c>
      <c r="E63" s="1" t="s">
        <v>30</v>
      </c>
      <c r="F63" s="1" t="s">
        <v>11</v>
      </c>
      <c r="G63" s="1" t="s">
        <v>12</v>
      </c>
      <c r="H63" s="1" t="s">
        <v>291</v>
      </c>
      <c r="I63" s="1">
        <v>15.84</v>
      </c>
      <c r="J63" s="1">
        <v>3</v>
      </c>
      <c r="K63" s="1">
        <v>7.13</v>
      </c>
    </row>
    <row r="64" spans="1:11" ht="12.75" x14ac:dyDescent="0.2">
      <c r="A64" s="2">
        <v>41829</v>
      </c>
      <c r="B64" s="2" t="str">
        <f>TEXT(Table1[[#This Row],[Order Date]],"MMM")</f>
        <v>Jul</v>
      </c>
      <c r="C64" s="2" t="str">
        <f t="shared" si="0"/>
        <v>2014</v>
      </c>
      <c r="D64" s="1" t="s">
        <v>295</v>
      </c>
      <c r="E64" s="1" t="s">
        <v>27</v>
      </c>
      <c r="F64" s="1" t="s">
        <v>11</v>
      </c>
      <c r="G64" s="1" t="s">
        <v>16</v>
      </c>
      <c r="H64" s="1" t="s">
        <v>296</v>
      </c>
      <c r="I64" s="1">
        <v>18.899999999999999</v>
      </c>
      <c r="J64" s="1">
        <v>6</v>
      </c>
      <c r="K64" s="1">
        <v>9.07</v>
      </c>
    </row>
    <row r="65" spans="1:11" ht="12.75" x14ac:dyDescent="0.2">
      <c r="A65" s="2">
        <v>41831</v>
      </c>
      <c r="B65" s="2" t="str">
        <f>TEXT(Table1[[#This Row],[Order Date]],"MMM")</f>
        <v>Jul</v>
      </c>
      <c r="C65" s="2" t="str">
        <f t="shared" si="0"/>
        <v>2014</v>
      </c>
      <c r="D65" s="1" t="s">
        <v>301</v>
      </c>
      <c r="E65" s="1" t="s">
        <v>120</v>
      </c>
      <c r="F65" s="1" t="s">
        <v>11</v>
      </c>
      <c r="G65" s="1" t="s">
        <v>12</v>
      </c>
      <c r="H65" s="1" t="s">
        <v>302</v>
      </c>
      <c r="I65" s="1">
        <v>55.48</v>
      </c>
      <c r="J65" s="1">
        <v>1</v>
      </c>
      <c r="K65" s="1">
        <v>26.63</v>
      </c>
    </row>
    <row r="66" spans="1:11" ht="12.75" x14ac:dyDescent="0.2">
      <c r="A66" s="2">
        <v>41832</v>
      </c>
      <c r="B66" s="2" t="str">
        <f>TEXT(Table1[[#This Row],[Order Date]],"MMM")</f>
        <v>Jul</v>
      </c>
      <c r="C66" s="2" t="str">
        <f t="shared" ref="C66:C129" si="1">TEXT(A66,"YYY")</f>
        <v>2014</v>
      </c>
      <c r="D66" s="1" t="s">
        <v>310</v>
      </c>
      <c r="E66" s="1" t="s">
        <v>23</v>
      </c>
      <c r="F66" s="1" t="s">
        <v>11</v>
      </c>
      <c r="G66" s="1" t="s">
        <v>20</v>
      </c>
      <c r="H66" s="1" t="s">
        <v>311</v>
      </c>
      <c r="I66" s="1">
        <v>44.91</v>
      </c>
      <c r="J66" s="1">
        <v>6</v>
      </c>
      <c r="K66" s="1">
        <v>-35.93</v>
      </c>
    </row>
    <row r="67" spans="1:11" ht="12.75" x14ac:dyDescent="0.2">
      <c r="A67" s="2">
        <v>41853</v>
      </c>
      <c r="B67" s="2" t="str">
        <f>TEXT(Table1[[#This Row],[Order Date]],"MMM")</f>
        <v>Aug</v>
      </c>
      <c r="C67" s="2" t="str">
        <f t="shared" si="1"/>
        <v>2014</v>
      </c>
      <c r="D67" s="1" t="s">
        <v>319</v>
      </c>
      <c r="E67" s="1" t="s">
        <v>320</v>
      </c>
      <c r="F67" s="1" t="s">
        <v>33</v>
      </c>
      <c r="G67" s="1" t="s">
        <v>44</v>
      </c>
      <c r="H67" s="1" t="s">
        <v>321</v>
      </c>
      <c r="I67" s="1">
        <v>8.9600000000000009</v>
      </c>
      <c r="J67" s="1">
        <v>2</v>
      </c>
      <c r="K67" s="1">
        <v>2.78</v>
      </c>
    </row>
    <row r="68" spans="1:11" ht="12.75" x14ac:dyDescent="0.2">
      <c r="A68" s="2">
        <v>41855</v>
      </c>
      <c r="B68" s="2" t="str">
        <f>TEXT(Table1[[#This Row],[Order Date]],"MMM")</f>
        <v>Aug</v>
      </c>
      <c r="C68" s="2" t="str">
        <f t="shared" si="1"/>
        <v>2014</v>
      </c>
      <c r="D68" s="1" t="s">
        <v>324</v>
      </c>
      <c r="E68" s="1" t="s">
        <v>83</v>
      </c>
      <c r="F68" s="1" t="s">
        <v>11</v>
      </c>
      <c r="G68" s="1" t="s">
        <v>42</v>
      </c>
      <c r="H68" s="1" t="s">
        <v>325</v>
      </c>
      <c r="I68" s="1">
        <v>2.37</v>
      </c>
      <c r="J68" s="1">
        <v>2</v>
      </c>
      <c r="K68" s="1">
        <v>0.83</v>
      </c>
    </row>
    <row r="69" spans="1:11" ht="12.75" x14ac:dyDescent="0.2">
      <c r="A69" s="2">
        <v>41856</v>
      </c>
      <c r="B69" s="2" t="str">
        <f>TEXT(Table1[[#This Row],[Order Date]],"MMM")</f>
        <v>Aug</v>
      </c>
      <c r="C69" s="2" t="str">
        <f t="shared" si="1"/>
        <v>2014</v>
      </c>
      <c r="D69" s="1" t="s">
        <v>331</v>
      </c>
      <c r="E69" s="1" t="s">
        <v>101</v>
      </c>
      <c r="F69" s="1" t="s">
        <v>11</v>
      </c>
      <c r="G69" s="1" t="s">
        <v>42</v>
      </c>
      <c r="H69" s="1" t="s">
        <v>332</v>
      </c>
      <c r="I69" s="1">
        <v>6.91</v>
      </c>
      <c r="J69" s="1">
        <v>3</v>
      </c>
      <c r="K69" s="1">
        <v>2.33</v>
      </c>
    </row>
    <row r="70" spans="1:11" ht="12.75" x14ac:dyDescent="0.2">
      <c r="A70" s="2">
        <v>41857</v>
      </c>
      <c r="B70" s="2" t="str">
        <f>TEXT(Table1[[#This Row],[Order Date]],"MMM")</f>
        <v>Aug</v>
      </c>
      <c r="C70" s="2" t="str">
        <f t="shared" si="1"/>
        <v>2014</v>
      </c>
      <c r="D70" s="1" t="s">
        <v>338</v>
      </c>
      <c r="E70" s="1" t="s">
        <v>27</v>
      </c>
      <c r="F70" s="1" t="s">
        <v>38</v>
      </c>
      <c r="G70" s="1" t="s">
        <v>39</v>
      </c>
      <c r="H70" s="1" t="s">
        <v>339</v>
      </c>
      <c r="I70" s="1">
        <v>1075.0899999999999</v>
      </c>
      <c r="J70" s="1">
        <v>14</v>
      </c>
      <c r="K70" s="1">
        <v>94.07</v>
      </c>
    </row>
    <row r="71" spans="1:11" ht="12.75" x14ac:dyDescent="0.2">
      <c r="A71" s="2">
        <v>41858</v>
      </c>
      <c r="B71" s="2" t="str">
        <f>TEXT(Table1[[#This Row],[Order Date]],"MMM")</f>
        <v>Aug</v>
      </c>
      <c r="C71" s="2" t="str">
        <f t="shared" si="1"/>
        <v>2014</v>
      </c>
      <c r="D71" s="1" t="s">
        <v>257</v>
      </c>
      <c r="E71" s="1" t="s">
        <v>23</v>
      </c>
      <c r="F71" s="1" t="s">
        <v>11</v>
      </c>
      <c r="G71" s="1" t="s">
        <v>24</v>
      </c>
      <c r="H71" s="1" t="s">
        <v>341</v>
      </c>
      <c r="I71" s="1">
        <v>17.86</v>
      </c>
      <c r="J71" s="1">
        <v>4</v>
      </c>
      <c r="K71" s="1">
        <v>1.1200000000000001</v>
      </c>
    </row>
    <row r="72" spans="1:11" ht="12.75" x14ac:dyDescent="0.2">
      <c r="A72" s="2">
        <v>41859</v>
      </c>
      <c r="B72" s="2" t="str">
        <f>TEXT(Table1[[#This Row],[Order Date]],"MMM")</f>
        <v>Aug</v>
      </c>
      <c r="C72" s="2" t="str">
        <f t="shared" si="1"/>
        <v>2014</v>
      </c>
      <c r="D72" s="1" t="s">
        <v>345</v>
      </c>
      <c r="E72" s="1" t="s">
        <v>27</v>
      </c>
      <c r="F72" s="1" t="s">
        <v>11</v>
      </c>
      <c r="G72" s="1" t="s">
        <v>80</v>
      </c>
      <c r="H72" s="1" t="s">
        <v>346</v>
      </c>
      <c r="I72" s="1">
        <v>106.96</v>
      </c>
      <c r="J72" s="1">
        <v>2</v>
      </c>
      <c r="K72" s="1">
        <v>31.02</v>
      </c>
    </row>
    <row r="73" spans="1:11" ht="12.75" x14ac:dyDescent="0.2">
      <c r="A73" s="2">
        <v>41861</v>
      </c>
      <c r="B73" s="2" t="str">
        <f>TEXT(Table1[[#This Row],[Order Date]],"MMM")</f>
        <v>Aug</v>
      </c>
      <c r="C73" s="2" t="str">
        <f t="shared" si="1"/>
        <v>2014</v>
      </c>
      <c r="D73" s="1" t="s">
        <v>349</v>
      </c>
      <c r="E73" s="1" t="s">
        <v>27</v>
      </c>
      <c r="F73" s="1" t="s">
        <v>38</v>
      </c>
      <c r="G73" s="1" t="s">
        <v>214</v>
      </c>
      <c r="H73" s="1" t="s">
        <v>350</v>
      </c>
      <c r="I73" s="1">
        <v>287.97000000000003</v>
      </c>
      <c r="J73" s="1">
        <v>4</v>
      </c>
      <c r="K73" s="1">
        <v>97.19</v>
      </c>
    </row>
    <row r="74" spans="1:11" ht="12.75" x14ac:dyDescent="0.2">
      <c r="A74" s="2">
        <v>41862</v>
      </c>
      <c r="B74" s="2" t="str">
        <f>TEXT(Table1[[#This Row],[Order Date]],"MMM")</f>
        <v>Aug</v>
      </c>
      <c r="C74" s="2" t="str">
        <f t="shared" si="1"/>
        <v>2014</v>
      </c>
      <c r="D74" s="1" t="s">
        <v>354</v>
      </c>
      <c r="E74" s="1" t="s">
        <v>27</v>
      </c>
      <c r="F74" s="1" t="s">
        <v>33</v>
      </c>
      <c r="G74" s="1" t="s">
        <v>44</v>
      </c>
      <c r="H74" s="1" t="s">
        <v>355</v>
      </c>
      <c r="I74" s="1">
        <v>76.14</v>
      </c>
      <c r="J74" s="1">
        <v>3</v>
      </c>
      <c r="K74" s="1">
        <v>26.65</v>
      </c>
    </row>
    <row r="75" spans="1:11" ht="12.75" x14ac:dyDescent="0.2">
      <c r="A75" s="2">
        <v>41863</v>
      </c>
      <c r="B75" s="2" t="str">
        <f>TEXT(Table1[[#This Row],[Order Date]],"MMM")</f>
        <v>Aug</v>
      </c>
      <c r="C75" s="2" t="str">
        <f t="shared" si="1"/>
        <v>2014</v>
      </c>
      <c r="D75" s="1" t="s">
        <v>53</v>
      </c>
      <c r="E75" s="1" t="s">
        <v>10</v>
      </c>
      <c r="F75" s="1" t="s">
        <v>33</v>
      </c>
      <c r="G75" s="1" t="s">
        <v>118</v>
      </c>
      <c r="H75" s="1" t="s">
        <v>358</v>
      </c>
      <c r="I75" s="1">
        <v>744.1</v>
      </c>
      <c r="J75" s="1">
        <v>5</v>
      </c>
      <c r="K75" s="1">
        <v>-95.67</v>
      </c>
    </row>
    <row r="76" spans="1:11" ht="12.75" x14ac:dyDescent="0.2">
      <c r="A76" s="2">
        <v>41883</v>
      </c>
      <c r="B76" s="2" t="str">
        <f>TEXT(Table1[[#This Row],[Order Date]],"MMM")</f>
        <v>Sep</v>
      </c>
      <c r="C76" s="2" t="str">
        <f t="shared" si="1"/>
        <v>2014</v>
      </c>
      <c r="D76" s="1" t="s">
        <v>363</v>
      </c>
      <c r="E76" s="1" t="s">
        <v>23</v>
      </c>
      <c r="F76" s="1" t="s">
        <v>11</v>
      </c>
      <c r="G76" s="1" t="s">
        <v>20</v>
      </c>
      <c r="H76" s="1" t="s">
        <v>364</v>
      </c>
      <c r="I76" s="1">
        <v>2.5</v>
      </c>
      <c r="J76" s="1">
        <v>3</v>
      </c>
      <c r="K76" s="1">
        <v>-1.75</v>
      </c>
    </row>
    <row r="77" spans="1:11" ht="12.75" x14ac:dyDescent="0.2">
      <c r="A77" s="2">
        <v>41887</v>
      </c>
      <c r="B77" s="2" t="str">
        <f>TEXT(Table1[[#This Row],[Order Date]],"MMM")</f>
        <v>Sep</v>
      </c>
      <c r="C77" s="2" t="str">
        <f t="shared" si="1"/>
        <v>2014</v>
      </c>
      <c r="D77" s="1" t="s">
        <v>366</v>
      </c>
      <c r="E77" s="1" t="s">
        <v>10</v>
      </c>
      <c r="F77" s="1" t="s">
        <v>11</v>
      </c>
      <c r="G77" s="1" t="s">
        <v>12</v>
      </c>
      <c r="H77" s="1" t="s">
        <v>367</v>
      </c>
      <c r="I77" s="1">
        <v>10.37</v>
      </c>
      <c r="J77" s="1">
        <v>2</v>
      </c>
      <c r="K77" s="1">
        <v>3.63</v>
      </c>
    </row>
    <row r="78" spans="1:11" ht="12.75" x14ac:dyDescent="0.2">
      <c r="A78" s="2">
        <v>41888</v>
      </c>
      <c r="B78" s="2" t="str">
        <f>TEXT(Table1[[#This Row],[Order Date]],"MMM")</f>
        <v>Sep</v>
      </c>
      <c r="C78" s="2" t="str">
        <f t="shared" si="1"/>
        <v>2014</v>
      </c>
      <c r="D78" s="1" t="s">
        <v>368</v>
      </c>
      <c r="E78" s="1" t="s">
        <v>27</v>
      </c>
      <c r="F78" s="1" t="s">
        <v>33</v>
      </c>
      <c r="G78" s="1" t="s">
        <v>34</v>
      </c>
      <c r="H78" s="1" t="s">
        <v>369</v>
      </c>
      <c r="I78" s="1">
        <v>230.28</v>
      </c>
      <c r="J78" s="1">
        <v>3</v>
      </c>
      <c r="K78" s="1">
        <v>23.03</v>
      </c>
    </row>
    <row r="79" spans="1:11" ht="12.75" x14ac:dyDescent="0.2">
      <c r="A79" s="2">
        <v>41890</v>
      </c>
      <c r="B79" s="2" t="str">
        <f>TEXT(Table1[[#This Row],[Order Date]],"MMM")</f>
        <v>Sep</v>
      </c>
      <c r="C79" s="2" t="str">
        <f t="shared" si="1"/>
        <v>2014</v>
      </c>
      <c r="D79" s="1" t="s">
        <v>370</v>
      </c>
      <c r="E79" s="1" t="s">
        <v>344</v>
      </c>
      <c r="F79" s="1" t="s">
        <v>11</v>
      </c>
      <c r="G79" s="1" t="s">
        <v>20</v>
      </c>
      <c r="H79" s="1" t="s">
        <v>371</v>
      </c>
      <c r="I79" s="1">
        <v>20.86</v>
      </c>
      <c r="J79" s="1">
        <v>2</v>
      </c>
      <c r="K79" s="1">
        <v>9.39</v>
      </c>
    </row>
    <row r="80" spans="1:11" ht="12.75" x14ac:dyDescent="0.2">
      <c r="A80" s="2">
        <v>41891</v>
      </c>
      <c r="B80" s="2" t="str">
        <f>TEXT(Table1[[#This Row],[Order Date]],"MMM")</f>
        <v>Sep</v>
      </c>
      <c r="C80" s="2" t="str">
        <f t="shared" si="1"/>
        <v>2014</v>
      </c>
      <c r="D80" s="1" t="s">
        <v>379</v>
      </c>
      <c r="E80" s="1" t="s">
        <v>120</v>
      </c>
      <c r="F80" s="1" t="s">
        <v>33</v>
      </c>
      <c r="G80" s="1" t="s">
        <v>44</v>
      </c>
      <c r="H80" s="1" t="s">
        <v>380</v>
      </c>
      <c r="I80" s="1">
        <v>17.46</v>
      </c>
      <c r="J80" s="1">
        <v>2</v>
      </c>
      <c r="K80" s="1">
        <v>5.94</v>
      </c>
    </row>
    <row r="81" spans="1:11" ht="12.75" x14ac:dyDescent="0.2">
      <c r="A81" s="2">
        <v>41894</v>
      </c>
      <c r="B81" s="2" t="str">
        <f>TEXT(Table1[[#This Row],[Order Date]],"MMM")</f>
        <v>Sep</v>
      </c>
      <c r="C81" s="2" t="str">
        <f t="shared" si="1"/>
        <v>2014</v>
      </c>
      <c r="D81" s="1" t="s">
        <v>173</v>
      </c>
      <c r="E81" s="1" t="s">
        <v>227</v>
      </c>
      <c r="F81" s="1" t="s">
        <v>38</v>
      </c>
      <c r="G81" s="1" t="s">
        <v>48</v>
      </c>
      <c r="H81" s="1" t="s">
        <v>384</v>
      </c>
      <c r="I81" s="1">
        <v>47.79</v>
      </c>
      <c r="J81" s="1">
        <v>3</v>
      </c>
      <c r="K81" s="1">
        <v>16.25</v>
      </c>
    </row>
    <row r="82" spans="1:11" ht="12.75" x14ac:dyDescent="0.2">
      <c r="A82" s="2">
        <v>41913</v>
      </c>
      <c r="B82" s="2" t="str">
        <f>TEXT(Table1[[#This Row],[Order Date]],"MMM")</f>
        <v>Oct</v>
      </c>
      <c r="C82" s="2" t="str">
        <f t="shared" si="1"/>
        <v>2014</v>
      </c>
      <c r="D82" s="1" t="s">
        <v>386</v>
      </c>
      <c r="E82" s="1" t="s">
        <v>68</v>
      </c>
      <c r="F82" s="1" t="s">
        <v>11</v>
      </c>
      <c r="G82" s="1" t="s">
        <v>80</v>
      </c>
      <c r="H82" s="1" t="s">
        <v>229</v>
      </c>
      <c r="I82" s="1">
        <v>26.14</v>
      </c>
      <c r="J82" s="1">
        <v>3</v>
      </c>
      <c r="K82" s="1">
        <v>1.96</v>
      </c>
    </row>
    <row r="83" spans="1:11" ht="12.75" x14ac:dyDescent="0.2">
      <c r="A83" s="2">
        <v>41915</v>
      </c>
      <c r="B83" s="2" t="str">
        <f>TEXT(Table1[[#This Row],[Order Date]],"MMM")</f>
        <v>Oct</v>
      </c>
      <c r="C83" s="2" t="str">
        <f t="shared" si="1"/>
        <v>2014</v>
      </c>
      <c r="D83" s="1" t="s">
        <v>389</v>
      </c>
      <c r="E83" s="1" t="s">
        <v>127</v>
      </c>
      <c r="F83" s="1" t="s">
        <v>11</v>
      </c>
      <c r="G83" s="1" t="s">
        <v>16</v>
      </c>
      <c r="H83" s="1" t="s">
        <v>390</v>
      </c>
      <c r="I83" s="1">
        <v>21.56</v>
      </c>
      <c r="J83" s="1">
        <v>7</v>
      </c>
      <c r="K83" s="1">
        <v>10.35</v>
      </c>
    </row>
    <row r="84" spans="1:11" ht="12.75" x14ac:dyDescent="0.2">
      <c r="A84" s="2">
        <v>41917</v>
      </c>
      <c r="B84" s="2" t="str">
        <f>TEXT(Table1[[#This Row],[Order Date]],"MMM")</f>
        <v>Oct</v>
      </c>
      <c r="C84" s="2" t="str">
        <f t="shared" si="1"/>
        <v>2014</v>
      </c>
      <c r="D84" s="1" t="s">
        <v>392</v>
      </c>
      <c r="E84" s="1" t="s">
        <v>94</v>
      </c>
      <c r="F84" s="1" t="s">
        <v>11</v>
      </c>
      <c r="G84" s="1" t="s">
        <v>20</v>
      </c>
      <c r="H84" s="1" t="s">
        <v>393</v>
      </c>
      <c r="I84" s="1">
        <v>46.8</v>
      </c>
      <c r="J84" s="1">
        <v>4</v>
      </c>
      <c r="K84" s="1">
        <v>21.06</v>
      </c>
    </row>
    <row r="85" spans="1:11" ht="12.75" x14ac:dyDescent="0.2">
      <c r="A85" s="2">
        <v>41918</v>
      </c>
      <c r="B85" s="2" t="str">
        <f>TEXT(Table1[[#This Row],[Order Date]],"MMM")</f>
        <v>Oct</v>
      </c>
      <c r="C85" s="2" t="str">
        <f t="shared" si="1"/>
        <v>2014</v>
      </c>
      <c r="D85" s="1" t="s">
        <v>397</v>
      </c>
      <c r="E85" s="1" t="s">
        <v>32</v>
      </c>
      <c r="F85" s="1" t="s">
        <v>11</v>
      </c>
      <c r="G85" s="1" t="s">
        <v>12</v>
      </c>
      <c r="H85" s="1" t="s">
        <v>398</v>
      </c>
      <c r="I85" s="1">
        <v>9.42</v>
      </c>
      <c r="J85" s="1">
        <v>3</v>
      </c>
      <c r="K85" s="1">
        <v>4.24</v>
      </c>
    </row>
    <row r="86" spans="1:11" ht="12.75" x14ac:dyDescent="0.2">
      <c r="A86" s="2">
        <v>41922</v>
      </c>
      <c r="B86" s="2" t="str">
        <f>TEXT(Table1[[#This Row],[Order Date]],"MMM")</f>
        <v>Oct</v>
      </c>
      <c r="C86" s="2" t="str">
        <f t="shared" si="1"/>
        <v>2014</v>
      </c>
      <c r="D86" s="1" t="s">
        <v>403</v>
      </c>
      <c r="E86" s="1" t="s">
        <v>27</v>
      </c>
      <c r="F86" s="1" t="s">
        <v>11</v>
      </c>
      <c r="G86" s="1" t="s">
        <v>20</v>
      </c>
      <c r="H86" s="1" t="s">
        <v>404</v>
      </c>
      <c r="I86" s="1">
        <v>140.74</v>
      </c>
      <c r="J86" s="1">
        <v>8</v>
      </c>
      <c r="K86" s="1">
        <v>52.78</v>
      </c>
    </row>
    <row r="87" spans="1:11" ht="12.75" x14ac:dyDescent="0.2">
      <c r="A87" s="2">
        <v>41923</v>
      </c>
      <c r="B87" s="2" t="str">
        <f>TEXT(Table1[[#This Row],[Order Date]],"MMM")</f>
        <v>Oct</v>
      </c>
      <c r="C87" s="2" t="str">
        <f t="shared" si="1"/>
        <v>2014</v>
      </c>
      <c r="D87" s="1" t="s">
        <v>407</v>
      </c>
      <c r="E87" s="1" t="s">
        <v>287</v>
      </c>
      <c r="F87" s="1" t="s">
        <v>11</v>
      </c>
      <c r="G87" s="1" t="s">
        <v>20</v>
      </c>
      <c r="H87" s="1" t="s">
        <v>408</v>
      </c>
      <c r="I87" s="1">
        <v>16.14</v>
      </c>
      <c r="J87" s="1">
        <v>3</v>
      </c>
      <c r="K87" s="1">
        <v>7.91</v>
      </c>
    </row>
    <row r="88" spans="1:11" ht="12.75" x14ac:dyDescent="0.2">
      <c r="A88" s="2">
        <v>41944</v>
      </c>
      <c r="B88" s="2" t="str">
        <f>TEXT(Table1[[#This Row],[Order Date]],"MMM")</f>
        <v>Nov</v>
      </c>
      <c r="C88" s="2" t="str">
        <f t="shared" si="1"/>
        <v>2014</v>
      </c>
      <c r="D88" s="1" t="s">
        <v>199</v>
      </c>
      <c r="E88" s="1" t="s">
        <v>23</v>
      </c>
      <c r="F88" s="1" t="s">
        <v>38</v>
      </c>
      <c r="G88" s="1" t="s">
        <v>388</v>
      </c>
      <c r="H88" s="1" t="s">
        <v>410</v>
      </c>
      <c r="I88" s="1">
        <v>1799.97</v>
      </c>
      <c r="J88" s="1">
        <v>5</v>
      </c>
      <c r="K88" s="1">
        <v>240</v>
      </c>
    </row>
    <row r="89" spans="1:11" ht="12.75" x14ac:dyDescent="0.2">
      <c r="A89" s="2">
        <v>41946</v>
      </c>
      <c r="B89" s="2" t="str">
        <f>TEXT(Table1[[#This Row],[Order Date]],"MMM")</f>
        <v>Nov</v>
      </c>
      <c r="C89" s="2" t="str">
        <f t="shared" si="1"/>
        <v>2014</v>
      </c>
      <c r="D89" s="1" t="s">
        <v>411</v>
      </c>
      <c r="E89" s="1" t="s">
        <v>27</v>
      </c>
      <c r="F89" s="1" t="s">
        <v>38</v>
      </c>
      <c r="G89" s="1" t="s">
        <v>48</v>
      </c>
      <c r="H89" s="1" t="s">
        <v>315</v>
      </c>
      <c r="I89" s="1">
        <v>67.8</v>
      </c>
      <c r="J89" s="1">
        <v>4</v>
      </c>
      <c r="K89" s="1">
        <v>4.07</v>
      </c>
    </row>
    <row r="90" spans="1:11" ht="12.75" x14ac:dyDescent="0.2">
      <c r="A90" s="2">
        <v>41947</v>
      </c>
      <c r="B90" s="2" t="str">
        <f>TEXT(Table1[[#This Row],[Order Date]],"MMM")</f>
        <v>Nov</v>
      </c>
      <c r="C90" s="2" t="str">
        <f t="shared" si="1"/>
        <v>2014</v>
      </c>
      <c r="D90" s="1" t="s">
        <v>376</v>
      </c>
      <c r="E90" s="1" t="s">
        <v>134</v>
      </c>
      <c r="F90" s="1" t="s">
        <v>11</v>
      </c>
      <c r="G90" s="1" t="s">
        <v>58</v>
      </c>
      <c r="H90" s="1" t="s">
        <v>415</v>
      </c>
      <c r="I90" s="1">
        <v>158.13</v>
      </c>
      <c r="J90" s="1">
        <v>3</v>
      </c>
      <c r="K90" s="1">
        <v>77.48</v>
      </c>
    </row>
    <row r="91" spans="1:11" ht="12.75" x14ac:dyDescent="0.2">
      <c r="A91" s="2">
        <v>41948</v>
      </c>
      <c r="B91" s="2" t="str">
        <f>TEXT(Table1[[#This Row],[Order Date]],"MMM")</f>
        <v>Nov</v>
      </c>
      <c r="C91" s="2" t="str">
        <f t="shared" si="1"/>
        <v>2014</v>
      </c>
      <c r="D91" s="1" t="s">
        <v>417</v>
      </c>
      <c r="E91" s="1" t="s">
        <v>10</v>
      </c>
      <c r="F91" s="1" t="s">
        <v>38</v>
      </c>
      <c r="G91" s="1" t="s">
        <v>48</v>
      </c>
      <c r="H91" s="1" t="s">
        <v>418</v>
      </c>
      <c r="I91" s="1">
        <v>58.11</v>
      </c>
      <c r="J91" s="1">
        <v>2</v>
      </c>
      <c r="K91" s="1">
        <v>7.26</v>
      </c>
    </row>
    <row r="92" spans="1:11" ht="12.75" x14ac:dyDescent="0.2">
      <c r="A92" s="2">
        <v>41952</v>
      </c>
      <c r="B92" s="2" t="str">
        <f>TEXT(Table1[[#This Row],[Order Date]],"MMM")</f>
        <v>Nov</v>
      </c>
      <c r="C92" s="2" t="str">
        <f t="shared" si="1"/>
        <v>2014</v>
      </c>
      <c r="D92" s="1" t="s">
        <v>424</v>
      </c>
      <c r="E92" s="1" t="s">
        <v>211</v>
      </c>
      <c r="F92" s="1" t="s">
        <v>11</v>
      </c>
      <c r="G92" s="1" t="s">
        <v>18</v>
      </c>
      <c r="H92" s="1" t="s">
        <v>413</v>
      </c>
      <c r="I92" s="1">
        <v>55.5</v>
      </c>
      <c r="J92" s="1">
        <v>2</v>
      </c>
      <c r="K92" s="1">
        <v>9.99</v>
      </c>
    </row>
    <row r="93" spans="1:11" ht="12.75" x14ac:dyDescent="0.2">
      <c r="A93" s="2">
        <v>41953</v>
      </c>
      <c r="B93" s="2" t="str">
        <f>TEXT(Table1[[#This Row],[Order Date]],"MMM")</f>
        <v>Nov</v>
      </c>
      <c r="C93" s="2" t="str">
        <f t="shared" si="1"/>
        <v>2014</v>
      </c>
      <c r="D93" s="1" t="s">
        <v>428</v>
      </c>
      <c r="E93" s="1" t="s">
        <v>101</v>
      </c>
      <c r="F93" s="1" t="s">
        <v>33</v>
      </c>
      <c r="G93" s="1" t="s">
        <v>44</v>
      </c>
      <c r="H93" s="1" t="s">
        <v>429</v>
      </c>
      <c r="I93" s="1">
        <v>310.88</v>
      </c>
      <c r="J93" s="1">
        <v>2</v>
      </c>
      <c r="K93" s="1">
        <v>23.32</v>
      </c>
    </row>
    <row r="94" spans="1:11" ht="12.75" x14ac:dyDescent="0.2">
      <c r="A94" s="2">
        <v>41954</v>
      </c>
      <c r="B94" s="2" t="str">
        <f>TEXT(Table1[[#This Row],[Order Date]],"MMM")</f>
        <v>Nov</v>
      </c>
      <c r="C94" s="2" t="str">
        <f t="shared" si="1"/>
        <v>2014</v>
      </c>
      <c r="D94" s="1" t="s">
        <v>431</v>
      </c>
      <c r="E94" s="1" t="s">
        <v>127</v>
      </c>
      <c r="F94" s="1" t="s">
        <v>11</v>
      </c>
      <c r="G94" s="1" t="s">
        <v>20</v>
      </c>
      <c r="H94" s="1" t="s">
        <v>132</v>
      </c>
      <c r="I94" s="1">
        <v>91.68</v>
      </c>
      <c r="J94" s="1">
        <v>3</v>
      </c>
      <c r="K94" s="1">
        <v>45.84</v>
      </c>
    </row>
    <row r="95" spans="1:11" ht="12.75" x14ac:dyDescent="0.2">
      <c r="A95" s="2">
        <v>41975</v>
      </c>
      <c r="B95" s="2" t="str">
        <f>TEXT(Table1[[#This Row],[Order Date]],"MMM")</f>
        <v>Dec</v>
      </c>
      <c r="C95" s="2" t="str">
        <f t="shared" si="1"/>
        <v>2014</v>
      </c>
      <c r="D95" s="1" t="s">
        <v>432</v>
      </c>
      <c r="E95" s="1" t="s">
        <v>68</v>
      </c>
      <c r="F95" s="1" t="s">
        <v>38</v>
      </c>
      <c r="G95" s="1" t="s">
        <v>39</v>
      </c>
      <c r="H95" s="1" t="s">
        <v>433</v>
      </c>
      <c r="I95" s="1">
        <v>779.8</v>
      </c>
      <c r="J95" s="1">
        <v>2</v>
      </c>
      <c r="K95" s="1">
        <v>-168.96</v>
      </c>
    </row>
    <row r="96" spans="1:11" ht="12.75" x14ac:dyDescent="0.2">
      <c r="A96" s="2">
        <v>41977</v>
      </c>
      <c r="B96" s="2" t="str">
        <f>TEXT(Table1[[#This Row],[Order Date]],"MMM")</f>
        <v>Dec</v>
      </c>
      <c r="C96" s="2" t="str">
        <f t="shared" si="1"/>
        <v>2014</v>
      </c>
      <c r="D96" s="1" t="s">
        <v>438</v>
      </c>
      <c r="E96" s="1" t="s">
        <v>94</v>
      </c>
      <c r="F96" s="1" t="s">
        <v>11</v>
      </c>
      <c r="G96" s="1" t="s">
        <v>20</v>
      </c>
      <c r="H96" s="1" t="s">
        <v>439</v>
      </c>
      <c r="I96" s="1">
        <v>57.42</v>
      </c>
      <c r="J96" s="1">
        <v>9</v>
      </c>
      <c r="K96" s="1">
        <v>26.41</v>
      </c>
    </row>
    <row r="97" spans="1:11" ht="12.75" x14ac:dyDescent="0.2">
      <c r="A97" s="2">
        <v>41980</v>
      </c>
      <c r="B97" s="2" t="str">
        <f>TEXT(Table1[[#This Row],[Order Date]],"MMM")</f>
        <v>Dec</v>
      </c>
      <c r="C97" s="2" t="str">
        <f t="shared" si="1"/>
        <v>2014</v>
      </c>
      <c r="D97" s="1" t="s">
        <v>441</v>
      </c>
      <c r="E97" s="1" t="s">
        <v>442</v>
      </c>
      <c r="F97" s="1" t="s">
        <v>11</v>
      </c>
      <c r="G97" s="1" t="s">
        <v>80</v>
      </c>
      <c r="H97" s="1" t="s">
        <v>443</v>
      </c>
      <c r="I97" s="1">
        <v>33.28</v>
      </c>
      <c r="J97" s="1">
        <v>4</v>
      </c>
      <c r="K97" s="1">
        <v>9.32</v>
      </c>
    </row>
    <row r="98" spans="1:11" ht="12.75" x14ac:dyDescent="0.2">
      <c r="A98" s="2">
        <v>41981</v>
      </c>
      <c r="B98" s="2" t="str">
        <f>TEXT(Table1[[#This Row],[Order Date]],"MMM")</f>
        <v>Dec</v>
      </c>
      <c r="C98" s="2" t="str">
        <f t="shared" si="1"/>
        <v>2014</v>
      </c>
      <c r="D98" s="1" t="s">
        <v>446</v>
      </c>
      <c r="E98" s="1" t="s">
        <v>51</v>
      </c>
      <c r="F98" s="1" t="s">
        <v>11</v>
      </c>
      <c r="G98" s="1" t="s">
        <v>20</v>
      </c>
      <c r="H98" s="1" t="s">
        <v>447</v>
      </c>
      <c r="I98" s="1">
        <v>2715.93</v>
      </c>
      <c r="J98" s="1">
        <v>7</v>
      </c>
      <c r="K98" s="1">
        <v>1276.49</v>
      </c>
    </row>
    <row r="99" spans="1:11" ht="12.75" x14ac:dyDescent="0.2">
      <c r="A99" s="2">
        <v>41982</v>
      </c>
      <c r="B99" s="2" t="str">
        <f>TEXT(Table1[[#This Row],[Order Date]],"MMM")</f>
        <v>Dec</v>
      </c>
      <c r="C99" s="2" t="str">
        <f t="shared" si="1"/>
        <v>2014</v>
      </c>
      <c r="D99" s="1" t="s">
        <v>452</v>
      </c>
      <c r="E99" s="1" t="s">
        <v>320</v>
      </c>
      <c r="F99" s="1" t="s">
        <v>38</v>
      </c>
      <c r="G99" s="1" t="s">
        <v>39</v>
      </c>
      <c r="H99" s="1" t="s">
        <v>453</v>
      </c>
      <c r="I99" s="1">
        <v>135.97999999999999</v>
      </c>
      <c r="J99" s="1">
        <v>2</v>
      </c>
      <c r="K99" s="1">
        <v>34</v>
      </c>
    </row>
    <row r="100" spans="1:11" ht="12.75" x14ac:dyDescent="0.2">
      <c r="A100" s="2">
        <v>41984</v>
      </c>
      <c r="B100" s="2" t="str">
        <f>TEXT(Table1[[#This Row],[Order Date]],"MMM")</f>
        <v>Dec</v>
      </c>
      <c r="C100" s="2" t="str">
        <f t="shared" si="1"/>
        <v>2014</v>
      </c>
      <c r="D100" s="1" t="s">
        <v>386</v>
      </c>
      <c r="E100" s="1" t="s">
        <v>23</v>
      </c>
      <c r="F100" s="1" t="s">
        <v>11</v>
      </c>
      <c r="G100" s="1" t="s">
        <v>20</v>
      </c>
      <c r="H100" s="1" t="s">
        <v>454</v>
      </c>
      <c r="I100" s="1">
        <v>3.28</v>
      </c>
      <c r="J100" s="1">
        <v>2</v>
      </c>
      <c r="K100" s="1">
        <v>-2.63</v>
      </c>
    </row>
    <row r="101" spans="1:11" ht="12.75" x14ac:dyDescent="0.2">
      <c r="A101" s="2">
        <v>41985</v>
      </c>
      <c r="B101" s="2" t="str">
        <f>TEXT(Table1[[#This Row],[Order Date]],"MMM")</f>
        <v>Dec</v>
      </c>
      <c r="C101" s="2" t="str">
        <f t="shared" si="1"/>
        <v>2014</v>
      </c>
      <c r="D101" s="1" t="s">
        <v>457</v>
      </c>
      <c r="E101" s="1" t="s">
        <v>344</v>
      </c>
      <c r="F101" s="1" t="s">
        <v>11</v>
      </c>
      <c r="G101" s="1" t="s">
        <v>12</v>
      </c>
      <c r="H101" s="1" t="s">
        <v>458</v>
      </c>
      <c r="I101" s="1">
        <v>116.28</v>
      </c>
      <c r="J101" s="1">
        <v>3</v>
      </c>
      <c r="K101" s="1">
        <v>56.98</v>
      </c>
    </row>
    <row r="102" spans="1:11" ht="12.75" x14ac:dyDescent="0.2">
      <c r="A102" s="2">
        <v>42007</v>
      </c>
      <c r="B102" s="2" t="str">
        <f>TEXT(Table1[[#This Row],[Order Date]],"MMM")</f>
        <v>Jan</v>
      </c>
      <c r="C102" s="2" t="str">
        <f t="shared" si="1"/>
        <v>2015</v>
      </c>
      <c r="D102" s="1" t="s">
        <v>459</v>
      </c>
      <c r="E102" s="1" t="s">
        <v>15</v>
      </c>
      <c r="F102" s="1" t="s">
        <v>11</v>
      </c>
      <c r="G102" s="1" t="s">
        <v>80</v>
      </c>
      <c r="H102" s="1" t="s">
        <v>460</v>
      </c>
      <c r="I102" s="1">
        <v>75.599999999999994</v>
      </c>
      <c r="J102" s="1">
        <v>2</v>
      </c>
      <c r="K102" s="1">
        <v>-166.32</v>
      </c>
    </row>
    <row r="103" spans="1:11" ht="12.75" x14ac:dyDescent="0.2">
      <c r="A103" s="2">
        <v>42009</v>
      </c>
      <c r="B103" s="2" t="str">
        <f>TEXT(Table1[[#This Row],[Order Date]],"MMM")</f>
        <v>Jan</v>
      </c>
      <c r="C103" s="2" t="str">
        <f t="shared" si="1"/>
        <v>2015</v>
      </c>
      <c r="D103" s="1" t="s">
        <v>465</v>
      </c>
      <c r="E103" s="1" t="s">
        <v>27</v>
      </c>
      <c r="F103" s="1" t="s">
        <v>33</v>
      </c>
      <c r="G103" s="1" t="s">
        <v>118</v>
      </c>
      <c r="H103" s="1" t="s">
        <v>466</v>
      </c>
      <c r="I103" s="1">
        <v>567.12</v>
      </c>
      <c r="J103" s="1">
        <v>10</v>
      </c>
      <c r="K103" s="1">
        <v>-28.36</v>
      </c>
    </row>
    <row r="104" spans="1:11" ht="12.75" x14ac:dyDescent="0.2">
      <c r="A104" s="2">
        <v>42010</v>
      </c>
      <c r="B104" s="2" t="str">
        <f>TEXT(Table1[[#This Row],[Order Date]],"MMM")</f>
        <v>Jan</v>
      </c>
      <c r="C104" s="2" t="str">
        <f t="shared" si="1"/>
        <v>2015</v>
      </c>
      <c r="D104" s="1" t="s">
        <v>469</v>
      </c>
      <c r="E104" s="1" t="s">
        <v>134</v>
      </c>
      <c r="F104" s="1" t="s">
        <v>38</v>
      </c>
      <c r="G104" s="1" t="s">
        <v>39</v>
      </c>
      <c r="H104" s="1" t="s">
        <v>470</v>
      </c>
      <c r="I104" s="1">
        <v>57.41</v>
      </c>
      <c r="J104" s="1">
        <v>6</v>
      </c>
      <c r="K104" s="1">
        <v>5.74</v>
      </c>
    </row>
    <row r="105" spans="1:11" ht="12.75" x14ac:dyDescent="0.2">
      <c r="A105" s="2">
        <v>42012</v>
      </c>
      <c r="B105" s="2" t="str">
        <f>TEXT(Table1[[#This Row],[Order Date]],"MMM")</f>
        <v>Jan</v>
      </c>
      <c r="C105" s="2" t="str">
        <f t="shared" si="1"/>
        <v>2015</v>
      </c>
      <c r="D105" s="1" t="s">
        <v>471</v>
      </c>
      <c r="E105" s="1" t="s">
        <v>51</v>
      </c>
      <c r="F105" s="1" t="s">
        <v>11</v>
      </c>
      <c r="G105" s="1" t="s">
        <v>12</v>
      </c>
      <c r="H105" s="1" t="s">
        <v>472</v>
      </c>
      <c r="I105" s="1">
        <v>13.62</v>
      </c>
      <c r="J105" s="1">
        <v>3</v>
      </c>
      <c r="K105" s="1">
        <v>6.13</v>
      </c>
    </row>
    <row r="106" spans="1:11" ht="12.75" x14ac:dyDescent="0.2">
      <c r="A106" s="2">
        <v>42013</v>
      </c>
      <c r="B106" s="2" t="str">
        <f>TEXT(Table1[[#This Row],[Order Date]],"MMM")</f>
        <v>Jan</v>
      </c>
      <c r="C106" s="2" t="str">
        <f t="shared" si="1"/>
        <v>2015</v>
      </c>
      <c r="D106" s="1" t="s">
        <v>475</v>
      </c>
      <c r="E106" s="1" t="s">
        <v>227</v>
      </c>
      <c r="F106" s="1" t="s">
        <v>38</v>
      </c>
      <c r="G106" s="1" t="s">
        <v>39</v>
      </c>
      <c r="H106" s="1" t="s">
        <v>476</v>
      </c>
      <c r="I106" s="1">
        <v>659.97</v>
      </c>
      <c r="J106" s="1">
        <v>3</v>
      </c>
      <c r="K106" s="1">
        <v>197.99</v>
      </c>
    </row>
    <row r="107" spans="1:11" ht="12.75" x14ac:dyDescent="0.2">
      <c r="A107" s="2">
        <v>42014</v>
      </c>
      <c r="B107" s="2" t="str">
        <f>TEXT(Table1[[#This Row],[Order Date]],"MMM")</f>
        <v>Jan</v>
      </c>
      <c r="C107" s="2" t="str">
        <f t="shared" si="1"/>
        <v>2015</v>
      </c>
      <c r="D107" s="1" t="s">
        <v>209</v>
      </c>
      <c r="E107" s="1" t="s">
        <v>211</v>
      </c>
      <c r="F107" s="1" t="s">
        <v>11</v>
      </c>
      <c r="G107" s="1" t="s">
        <v>20</v>
      </c>
      <c r="H107" s="1" t="s">
        <v>483</v>
      </c>
      <c r="I107" s="1">
        <v>59.81</v>
      </c>
      <c r="J107" s="1">
        <v>3</v>
      </c>
      <c r="K107" s="1">
        <v>19.440000000000001</v>
      </c>
    </row>
    <row r="108" spans="1:11" ht="12.75" x14ac:dyDescent="0.2">
      <c r="A108" s="2">
        <v>42016</v>
      </c>
      <c r="B108" s="2" t="str">
        <f>TEXT(Table1[[#This Row],[Order Date]],"MMM")</f>
        <v>Jan</v>
      </c>
      <c r="C108" s="2" t="str">
        <f t="shared" si="1"/>
        <v>2015</v>
      </c>
      <c r="D108" s="1" t="s">
        <v>484</v>
      </c>
      <c r="E108" s="1" t="s">
        <v>134</v>
      </c>
      <c r="F108" s="1" t="s">
        <v>33</v>
      </c>
      <c r="G108" s="1" t="s">
        <v>118</v>
      </c>
      <c r="H108" s="1" t="s">
        <v>313</v>
      </c>
      <c r="I108" s="1">
        <v>515.88</v>
      </c>
      <c r="J108" s="1">
        <v>6</v>
      </c>
      <c r="K108" s="1">
        <v>113.49</v>
      </c>
    </row>
    <row r="109" spans="1:11" ht="12.75" x14ac:dyDescent="0.2">
      <c r="A109" s="2">
        <v>42036</v>
      </c>
      <c r="B109" s="2" t="str">
        <f>TEXT(Table1[[#This Row],[Order Date]],"MMM")</f>
        <v>Feb</v>
      </c>
      <c r="C109" s="2" t="str">
        <f t="shared" si="1"/>
        <v>2015</v>
      </c>
      <c r="D109" s="1" t="s">
        <v>274</v>
      </c>
      <c r="E109" s="1" t="s">
        <v>68</v>
      </c>
      <c r="F109" s="1" t="s">
        <v>11</v>
      </c>
      <c r="G109" s="1" t="s">
        <v>12</v>
      </c>
      <c r="H109" s="1" t="s">
        <v>402</v>
      </c>
      <c r="I109" s="1">
        <v>16.22</v>
      </c>
      <c r="J109" s="1">
        <v>2</v>
      </c>
      <c r="K109" s="1">
        <v>5.88</v>
      </c>
    </row>
    <row r="110" spans="1:11" ht="12.75" x14ac:dyDescent="0.2">
      <c r="A110" s="2">
        <v>42038</v>
      </c>
      <c r="B110" s="2" t="str">
        <f>TEXT(Table1[[#This Row],[Order Date]],"MMM")</f>
        <v>Feb</v>
      </c>
      <c r="C110" s="2" t="str">
        <f t="shared" si="1"/>
        <v>2015</v>
      </c>
      <c r="D110" s="1" t="s">
        <v>488</v>
      </c>
      <c r="E110" s="1" t="s">
        <v>120</v>
      </c>
      <c r="F110" s="1" t="s">
        <v>11</v>
      </c>
      <c r="G110" s="1" t="s">
        <v>24</v>
      </c>
      <c r="H110" s="1" t="s">
        <v>489</v>
      </c>
      <c r="I110" s="1">
        <v>13.36</v>
      </c>
      <c r="J110" s="1">
        <v>2</v>
      </c>
      <c r="K110" s="1">
        <v>4.9400000000000004</v>
      </c>
    </row>
    <row r="111" spans="1:11" ht="12.75" x14ac:dyDescent="0.2">
      <c r="A111" s="2">
        <v>42039</v>
      </c>
      <c r="B111" s="2" t="str">
        <f>TEXT(Table1[[#This Row],[Order Date]],"MMM")</f>
        <v>Feb</v>
      </c>
      <c r="C111" s="2" t="str">
        <f t="shared" si="1"/>
        <v>2015</v>
      </c>
      <c r="D111" s="1" t="s">
        <v>492</v>
      </c>
      <c r="E111" s="1" t="s">
        <v>15</v>
      </c>
      <c r="F111" s="1" t="s">
        <v>11</v>
      </c>
      <c r="G111" s="1" t="s">
        <v>20</v>
      </c>
      <c r="H111" s="1" t="s">
        <v>491</v>
      </c>
      <c r="I111" s="1">
        <v>12.46</v>
      </c>
      <c r="J111" s="1">
        <v>3</v>
      </c>
      <c r="K111" s="1">
        <v>-20.56</v>
      </c>
    </row>
    <row r="112" spans="1:11" ht="12.75" x14ac:dyDescent="0.2">
      <c r="A112" s="2">
        <v>42040</v>
      </c>
      <c r="B112" s="2" t="str">
        <f>TEXT(Table1[[#This Row],[Order Date]],"MMM")</f>
        <v>Feb</v>
      </c>
      <c r="C112" s="2" t="str">
        <f t="shared" si="1"/>
        <v>2015</v>
      </c>
      <c r="D112" s="1" t="s">
        <v>493</v>
      </c>
      <c r="E112" s="1" t="s">
        <v>134</v>
      </c>
      <c r="F112" s="1" t="s">
        <v>33</v>
      </c>
      <c r="G112" s="1" t="s">
        <v>34</v>
      </c>
      <c r="H112" s="1" t="s">
        <v>494</v>
      </c>
      <c r="I112" s="1">
        <v>585.54999999999995</v>
      </c>
      <c r="J112" s="1">
        <v>3</v>
      </c>
      <c r="K112" s="1">
        <v>73.19</v>
      </c>
    </row>
    <row r="113" spans="1:11" ht="12.75" x14ac:dyDescent="0.2">
      <c r="A113" s="2">
        <v>42042</v>
      </c>
      <c r="B113" s="2" t="str">
        <f>TEXT(Table1[[#This Row],[Order Date]],"MMM")</f>
        <v>Feb</v>
      </c>
      <c r="C113" s="2" t="str">
        <f t="shared" si="1"/>
        <v>2015</v>
      </c>
      <c r="D113" s="1" t="s">
        <v>498</v>
      </c>
      <c r="E113" s="1" t="s">
        <v>27</v>
      </c>
      <c r="F113" s="1" t="s">
        <v>33</v>
      </c>
      <c r="G113" s="1" t="s">
        <v>44</v>
      </c>
      <c r="H113" s="1" t="s">
        <v>499</v>
      </c>
      <c r="I113" s="1">
        <v>48.86</v>
      </c>
      <c r="J113" s="1">
        <v>7</v>
      </c>
      <c r="K113" s="1">
        <v>14.17</v>
      </c>
    </row>
    <row r="114" spans="1:11" ht="12.75" x14ac:dyDescent="0.2">
      <c r="A114" s="2">
        <v>42043</v>
      </c>
      <c r="B114" s="2" t="str">
        <f>TEXT(Table1[[#This Row],[Order Date]],"MMM")</f>
        <v>Feb</v>
      </c>
      <c r="C114" s="2" t="str">
        <f t="shared" si="1"/>
        <v>2015</v>
      </c>
      <c r="D114" s="1" t="s">
        <v>506</v>
      </c>
      <c r="E114" s="1" t="s">
        <v>94</v>
      </c>
      <c r="F114" s="1" t="s">
        <v>11</v>
      </c>
      <c r="G114" s="1" t="s">
        <v>16</v>
      </c>
      <c r="H114" s="1" t="s">
        <v>507</v>
      </c>
      <c r="I114" s="1">
        <v>491.55</v>
      </c>
      <c r="J114" s="1">
        <v>5</v>
      </c>
      <c r="K114" s="1">
        <v>240.86</v>
      </c>
    </row>
    <row r="115" spans="1:11" ht="12.75" x14ac:dyDescent="0.2">
      <c r="A115" s="2">
        <v>42045</v>
      </c>
      <c r="B115" s="2" t="str">
        <f>TEXT(Table1[[#This Row],[Order Date]],"MMM")</f>
        <v>Feb</v>
      </c>
      <c r="C115" s="2" t="str">
        <f t="shared" si="1"/>
        <v>2015</v>
      </c>
      <c r="D115" s="1" t="s">
        <v>508</v>
      </c>
      <c r="E115" s="1" t="s">
        <v>94</v>
      </c>
      <c r="F115" s="1" t="s">
        <v>33</v>
      </c>
      <c r="G115" s="1" t="s">
        <v>65</v>
      </c>
      <c r="H115" s="1" t="s">
        <v>509</v>
      </c>
      <c r="I115" s="1">
        <v>212.94</v>
      </c>
      <c r="J115" s="1">
        <v>3</v>
      </c>
      <c r="K115" s="1">
        <v>57.49</v>
      </c>
    </row>
    <row r="116" spans="1:11" ht="12.75" x14ac:dyDescent="0.2">
      <c r="A116" s="2">
        <v>42046</v>
      </c>
      <c r="B116" s="2" t="str">
        <f>TEXT(Table1[[#This Row],[Order Date]],"MMM")</f>
        <v>Feb</v>
      </c>
      <c r="C116" s="2" t="str">
        <f t="shared" si="1"/>
        <v>2015</v>
      </c>
      <c r="D116" s="1" t="s">
        <v>510</v>
      </c>
      <c r="E116" s="1" t="s">
        <v>10</v>
      </c>
      <c r="F116" s="1" t="s">
        <v>33</v>
      </c>
      <c r="G116" s="1" t="s">
        <v>118</v>
      </c>
      <c r="H116" s="1" t="s">
        <v>511</v>
      </c>
      <c r="I116" s="1">
        <v>99.92</v>
      </c>
      <c r="J116" s="1">
        <v>2</v>
      </c>
      <c r="K116" s="1">
        <v>-18.559999999999999</v>
      </c>
    </row>
    <row r="117" spans="1:11" ht="12.75" x14ac:dyDescent="0.2">
      <c r="A117" s="2">
        <v>42065</v>
      </c>
      <c r="B117" s="2" t="str">
        <f>TEXT(Table1[[#This Row],[Order Date]],"MMM")</f>
        <v>Mar</v>
      </c>
      <c r="C117" s="2" t="str">
        <f t="shared" si="1"/>
        <v>2015</v>
      </c>
      <c r="D117" s="1" t="s">
        <v>512</v>
      </c>
      <c r="E117" s="1" t="s">
        <v>54</v>
      </c>
      <c r="F117" s="1" t="s">
        <v>38</v>
      </c>
      <c r="G117" s="1" t="s">
        <v>214</v>
      </c>
      <c r="H117" s="1" t="s">
        <v>513</v>
      </c>
      <c r="I117" s="1">
        <v>65.97</v>
      </c>
      <c r="J117" s="1">
        <v>3</v>
      </c>
      <c r="K117" s="1">
        <v>31.01</v>
      </c>
    </row>
    <row r="118" spans="1:11" ht="12.75" x14ac:dyDescent="0.2">
      <c r="A118" s="2">
        <v>42070</v>
      </c>
      <c r="B118" s="2" t="str">
        <f>TEXT(Table1[[#This Row],[Order Date]],"MMM")</f>
        <v>Mar</v>
      </c>
      <c r="C118" s="2" t="str">
        <f t="shared" si="1"/>
        <v>2015</v>
      </c>
      <c r="D118" s="1" t="s">
        <v>514</v>
      </c>
      <c r="E118" s="1" t="s">
        <v>27</v>
      </c>
      <c r="F118" s="1" t="s">
        <v>38</v>
      </c>
      <c r="G118" s="1" t="s">
        <v>39</v>
      </c>
      <c r="H118" s="1" t="s">
        <v>515</v>
      </c>
      <c r="I118" s="1">
        <v>139.80000000000001</v>
      </c>
      <c r="J118" s="1">
        <v>5</v>
      </c>
      <c r="K118" s="1">
        <v>12.23</v>
      </c>
    </row>
    <row r="119" spans="1:11" ht="12.75" x14ac:dyDescent="0.2">
      <c r="A119" s="2">
        <v>42072</v>
      </c>
      <c r="B119" s="2" t="str">
        <f>TEXT(Table1[[#This Row],[Order Date]],"MMM")</f>
        <v>Mar</v>
      </c>
      <c r="C119" s="2" t="str">
        <f t="shared" si="1"/>
        <v>2015</v>
      </c>
      <c r="D119" s="1" t="s">
        <v>189</v>
      </c>
      <c r="E119" s="1" t="s">
        <v>10</v>
      </c>
      <c r="F119" s="1" t="s">
        <v>38</v>
      </c>
      <c r="G119" s="1" t="s">
        <v>39</v>
      </c>
      <c r="H119" s="1" t="s">
        <v>516</v>
      </c>
      <c r="I119" s="1">
        <v>201.58</v>
      </c>
      <c r="J119" s="1">
        <v>2</v>
      </c>
      <c r="K119" s="1">
        <v>20.16</v>
      </c>
    </row>
    <row r="120" spans="1:11" ht="12.75" x14ac:dyDescent="0.2">
      <c r="A120" s="2">
        <v>42074</v>
      </c>
      <c r="B120" s="2" t="str">
        <f>TEXT(Table1[[#This Row],[Order Date]],"MMM")</f>
        <v>Mar</v>
      </c>
      <c r="C120" s="2" t="str">
        <f t="shared" si="1"/>
        <v>2015</v>
      </c>
      <c r="D120" s="1" t="s">
        <v>426</v>
      </c>
      <c r="E120" s="1" t="s">
        <v>51</v>
      </c>
      <c r="F120" s="1" t="s">
        <v>33</v>
      </c>
      <c r="G120" s="1" t="s">
        <v>44</v>
      </c>
      <c r="H120" s="1" t="s">
        <v>519</v>
      </c>
      <c r="I120" s="1">
        <v>104.01</v>
      </c>
      <c r="J120" s="1">
        <v>1</v>
      </c>
      <c r="K120" s="1">
        <v>14.56</v>
      </c>
    </row>
    <row r="121" spans="1:11" ht="12.75" x14ac:dyDescent="0.2">
      <c r="A121" s="2">
        <v>42075</v>
      </c>
      <c r="B121" s="2" t="str">
        <f>TEXT(Table1[[#This Row],[Order Date]],"MMM")</f>
        <v>Mar</v>
      </c>
      <c r="C121" s="2" t="str">
        <f t="shared" si="1"/>
        <v>2015</v>
      </c>
      <c r="D121" s="1" t="s">
        <v>524</v>
      </c>
      <c r="E121" s="1" t="s">
        <v>200</v>
      </c>
      <c r="F121" s="1" t="s">
        <v>38</v>
      </c>
      <c r="G121" s="1" t="s">
        <v>48</v>
      </c>
      <c r="H121" s="1" t="s">
        <v>525</v>
      </c>
      <c r="I121" s="1">
        <v>196.75</v>
      </c>
      <c r="J121" s="1">
        <v>6</v>
      </c>
      <c r="K121" s="1">
        <v>56.57</v>
      </c>
    </row>
    <row r="122" spans="1:11" ht="12.75" x14ac:dyDescent="0.2">
      <c r="A122" s="2">
        <v>42099</v>
      </c>
      <c r="B122" s="2" t="str">
        <f>TEXT(Table1[[#This Row],[Order Date]],"MMM")</f>
        <v>Apr</v>
      </c>
      <c r="C122" s="2" t="str">
        <f t="shared" si="1"/>
        <v>2015</v>
      </c>
      <c r="D122" s="1" t="s">
        <v>532</v>
      </c>
      <c r="E122" s="1" t="s">
        <v>23</v>
      </c>
      <c r="F122" s="1" t="s">
        <v>38</v>
      </c>
      <c r="G122" s="1" t="s">
        <v>48</v>
      </c>
      <c r="H122" s="1" t="s">
        <v>533</v>
      </c>
      <c r="I122" s="1">
        <v>86.38</v>
      </c>
      <c r="J122" s="1">
        <v>3</v>
      </c>
      <c r="K122" s="1">
        <v>1.08</v>
      </c>
    </row>
    <row r="123" spans="1:11" ht="12.75" x14ac:dyDescent="0.2">
      <c r="A123" s="2">
        <v>42101</v>
      </c>
      <c r="B123" s="2" t="str">
        <f>TEXT(Table1[[#This Row],[Order Date]],"MMM")</f>
        <v>Apr</v>
      </c>
      <c r="C123" s="2" t="str">
        <f t="shared" si="1"/>
        <v>2015</v>
      </c>
      <c r="D123" s="1" t="s">
        <v>535</v>
      </c>
      <c r="E123" s="1" t="s">
        <v>83</v>
      </c>
      <c r="F123" s="1" t="s">
        <v>33</v>
      </c>
      <c r="G123" s="1" t="s">
        <v>44</v>
      </c>
      <c r="H123" s="1" t="s">
        <v>536</v>
      </c>
      <c r="I123" s="1">
        <v>4.2699999999999996</v>
      </c>
      <c r="J123" s="1">
        <v>2</v>
      </c>
      <c r="K123" s="1">
        <v>0.96</v>
      </c>
    </row>
    <row r="124" spans="1:11" ht="12.75" x14ac:dyDescent="0.2">
      <c r="A124" s="2">
        <v>42103</v>
      </c>
      <c r="B124" s="2" t="str">
        <f>TEXT(Table1[[#This Row],[Order Date]],"MMM")</f>
        <v>Apr</v>
      </c>
      <c r="C124" s="2" t="str">
        <f t="shared" si="1"/>
        <v>2015</v>
      </c>
      <c r="D124" s="1" t="s">
        <v>537</v>
      </c>
      <c r="E124" s="1" t="s">
        <v>27</v>
      </c>
      <c r="F124" s="1" t="s">
        <v>33</v>
      </c>
      <c r="G124" s="1" t="s">
        <v>118</v>
      </c>
      <c r="H124" s="1" t="s">
        <v>538</v>
      </c>
      <c r="I124" s="1">
        <v>447.84</v>
      </c>
      <c r="J124" s="1">
        <v>5</v>
      </c>
      <c r="K124" s="1">
        <v>11.2</v>
      </c>
    </row>
    <row r="125" spans="1:11" ht="12.75" x14ac:dyDescent="0.2">
      <c r="A125" s="2">
        <v>42104</v>
      </c>
      <c r="B125" s="2" t="str">
        <f>TEXT(Table1[[#This Row],[Order Date]],"MMM")</f>
        <v>Apr</v>
      </c>
      <c r="C125" s="2" t="str">
        <f t="shared" si="1"/>
        <v>2015</v>
      </c>
      <c r="D125" s="1" t="s">
        <v>540</v>
      </c>
      <c r="E125" s="1" t="s">
        <v>227</v>
      </c>
      <c r="F125" s="1" t="s">
        <v>11</v>
      </c>
      <c r="G125" s="1" t="s">
        <v>18</v>
      </c>
      <c r="H125" s="1" t="s">
        <v>110</v>
      </c>
      <c r="I125" s="1">
        <v>306.2</v>
      </c>
      <c r="J125" s="1">
        <v>5</v>
      </c>
      <c r="K125" s="1">
        <v>0</v>
      </c>
    </row>
    <row r="126" spans="1:11" ht="12.75" x14ac:dyDescent="0.2">
      <c r="A126" s="2">
        <v>42106</v>
      </c>
      <c r="B126" s="2" t="str">
        <f>TEXT(Table1[[#This Row],[Order Date]],"MMM")</f>
        <v>Apr</v>
      </c>
      <c r="C126" s="2" t="str">
        <f t="shared" si="1"/>
        <v>2015</v>
      </c>
      <c r="D126" s="1" t="s">
        <v>541</v>
      </c>
      <c r="E126" s="1" t="s">
        <v>23</v>
      </c>
      <c r="F126" s="1" t="s">
        <v>11</v>
      </c>
      <c r="G126" s="1" t="s">
        <v>12</v>
      </c>
      <c r="H126" s="1" t="s">
        <v>542</v>
      </c>
      <c r="I126" s="1">
        <v>41.47</v>
      </c>
      <c r="J126" s="1">
        <v>8</v>
      </c>
      <c r="K126" s="1">
        <v>14.52</v>
      </c>
    </row>
    <row r="127" spans="1:11" ht="12.75" x14ac:dyDescent="0.2">
      <c r="A127" s="2">
        <v>42125</v>
      </c>
      <c r="B127" s="2" t="str">
        <f>TEXT(Table1[[#This Row],[Order Date]],"MMM")</f>
        <v>May</v>
      </c>
      <c r="C127" s="2" t="str">
        <f t="shared" si="1"/>
        <v>2015</v>
      </c>
      <c r="D127" s="1" t="s">
        <v>543</v>
      </c>
      <c r="E127" s="1" t="s">
        <v>68</v>
      </c>
      <c r="F127" s="1" t="s">
        <v>11</v>
      </c>
      <c r="G127" s="1" t="s">
        <v>24</v>
      </c>
      <c r="H127" s="1" t="s">
        <v>544</v>
      </c>
      <c r="I127" s="1">
        <v>32.76</v>
      </c>
      <c r="J127" s="1">
        <v>7</v>
      </c>
      <c r="K127" s="1">
        <v>3.69</v>
      </c>
    </row>
    <row r="128" spans="1:11" ht="12.75" x14ac:dyDescent="0.2">
      <c r="A128" s="2">
        <v>42128</v>
      </c>
      <c r="B128" s="2" t="str">
        <f>TEXT(Table1[[#This Row],[Order Date]],"MMM")</f>
        <v>May</v>
      </c>
      <c r="C128" s="2" t="str">
        <f t="shared" si="1"/>
        <v>2015</v>
      </c>
      <c r="D128" s="1" t="s">
        <v>545</v>
      </c>
      <c r="E128" s="1" t="s">
        <v>120</v>
      </c>
      <c r="F128" s="1" t="s">
        <v>11</v>
      </c>
      <c r="G128" s="1" t="s">
        <v>20</v>
      </c>
      <c r="H128" s="1" t="s">
        <v>546</v>
      </c>
      <c r="I128" s="1">
        <v>334.77</v>
      </c>
      <c r="J128" s="1">
        <v>7</v>
      </c>
      <c r="K128" s="1">
        <v>108.8</v>
      </c>
    </row>
    <row r="129" spans="1:11" ht="12.75" x14ac:dyDescent="0.2">
      <c r="A129" s="2">
        <v>42130</v>
      </c>
      <c r="B129" s="2" t="str">
        <f>TEXT(Table1[[#This Row],[Order Date]],"MMM")</f>
        <v>May</v>
      </c>
      <c r="C129" s="2" t="str">
        <f t="shared" si="1"/>
        <v>2015</v>
      </c>
      <c r="D129" s="1" t="s">
        <v>272</v>
      </c>
      <c r="E129" s="1" t="s">
        <v>134</v>
      </c>
      <c r="F129" s="1" t="s">
        <v>11</v>
      </c>
      <c r="G129" s="1" t="s">
        <v>20</v>
      </c>
      <c r="H129" s="1" t="s">
        <v>550</v>
      </c>
      <c r="I129" s="1">
        <v>19.920000000000002</v>
      </c>
      <c r="J129" s="1">
        <v>5</v>
      </c>
      <c r="K129" s="1">
        <v>6.97</v>
      </c>
    </row>
    <row r="130" spans="1:11" ht="12.75" x14ac:dyDescent="0.2">
      <c r="A130" s="2">
        <v>42132</v>
      </c>
      <c r="B130" s="2" t="str">
        <f>TEXT(Table1[[#This Row],[Order Date]],"MMM")</f>
        <v>May</v>
      </c>
      <c r="C130" s="2" t="str">
        <f t="shared" ref="C130:C193" si="2">TEXT(A130,"YYY")</f>
        <v>2015</v>
      </c>
      <c r="D130" s="1" t="s">
        <v>553</v>
      </c>
      <c r="E130" s="1" t="s">
        <v>142</v>
      </c>
      <c r="F130" s="1" t="s">
        <v>38</v>
      </c>
      <c r="G130" s="1" t="s">
        <v>39</v>
      </c>
      <c r="H130" s="1" t="s">
        <v>554</v>
      </c>
      <c r="I130" s="1">
        <v>73.98</v>
      </c>
      <c r="J130" s="1">
        <v>2</v>
      </c>
      <c r="K130" s="1">
        <v>19.97</v>
      </c>
    </row>
    <row r="131" spans="1:11" ht="12.75" x14ac:dyDescent="0.2">
      <c r="A131" s="2">
        <v>42133</v>
      </c>
      <c r="B131" s="2" t="str">
        <f>TEXT(Table1[[#This Row],[Order Date]],"MMM")</f>
        <v>May</v>
      </c>
      <c r="C131" s="2" t="str">
        <f t="shared" si="2"/>
        <v>2015</v>
      </c>
      <c r="D131" s="1" t="s">
        <v>294</v>
      </c>
      <c r="E131" s="1" t="s">
        <v>200</v>
      </c>
      <c r="F131" s="1" t="s">
        <v>11</v>
      </c>
      <c r="G131" s="1" t="s">
        <v>12</v>
      </c>
      <c r="H131" s="1" t="s">
        <v>318</v>
      </c>
      <c r="I131" s="1">
        <v>177.54</v>
      </c>
      <c r="J131" s="1">
        <v>4</v>
      </c>
      <c r="K131" s="1">
        <v>62.14</v>
      </c>
    </row>
    <row r="132" spans="1:11" ht="12.75" x14ac:dyDescent="0.2">
      <c r="A132" s="2">
        <v>42134</v>
      </c>
      <c r="B132" s="2" t="str">
        <f>TEXT(Table1[[#This Row],[Order Date]],"MMM")</f>
        <v>May</v>
      </c>
      <c r="C132" s="2" t="str">
        <f t="shared" si="2"/>
        <v>2015</v>
      </c>
      <c r="D132" s="1" t="s">
        <v>556</v>
      </c>
      <c r="E132" s="1" t="s">
        <v>227</v>
      </c>
      <c r="F132" s="1" t="s">
        <v>38</v>
      </c>
      <c r="G132" s="1" t="s">
        <v>48</v>
      </c>
      <c r="H132" s="1" t="s">
        <v>557</v>
      </c>
      <c r="I132" s="1">
        <v>479.97</v>
      </c>
      <c r="J132" s="1">
        <v>3</v>
      </c>
      <c r="K132" s="1">
        <v>163.19</v>
      </c>
    </row>
    <row r="133" spans="1:11" ht="12.75" x14ac:dyDescent="0.2">
      <c r="A133" s="2">
        <v>42135</v>
      </c>
      <c r="B133" s="2" t="str">
        <f>TEXT(Table1[[#This Row],[Order Date]],"MMM")</f>
        <v>May</v>
      </c>
      <c r="C133" s="2" t="str">
        <f t="shared" si="2"/>
        <v>2015</v>
      </c>
      <c r="D133" s="1" t="s">
        <v>563</v>
      </c>
      <c r="E133" s="1" t="s">
        <v>120</v>
      </c>
      <c r="F133" s="1" t="s">
        <v>38</v>
      </c>
      <c r="G133" s="1" t="s">
        <v>388</v>
      </c>
      <c r="H133" s="1" t="s">
        <v>564</v>
      </c>
      <c r="I133" s="1">
        <v>559.99</v>
      </c>
      <c r="J133" s="1">
        <v>1</v>
      </c>
      <c r="K133" s="1">
        <v>175</v>
      </c>
    </row>
    <row r="134" spans="1:11" ht="12.75" x14ac:dyDescent="0.2">
      <c r="A134" s="2">
        <v>42158</v>
      </c>
      <c r="B134" s="2" t="str">
        <f>TEXT(Table1[[#This Row],[Order Date]],"MMM")</f>
        <v>Jun</v>
      </c>
      <c r="C134" s="2" t="str">
        <f t="shared" si="2"/>
        <v>2015</v>
      </c>
      <c r="D134" s="1" t="s">
        <v>349</v>
      </c>
      <c r="E134" s="1" t="s">
        <v>23</v>
      </c>
      <c r="F134" s="1" t="s">
        <v>33</v>
      </c>
      <c r="G134" s="1" t="s">
        <v>34</v>
      </c>
      <c r="H134" s="1" t="s">
        <v>565</v>
      </c>
      <c r="I134" s="1">
        <v>172.19</v>
      </c>
      <c r="J134" s="1">
        <v>2</v>
      </c>
      <c r="K134" s="1">
        <v>-46.74</v>
      </c>
    </row>
    <row r="135" spans="1:11" ht="12.75" x14ac:dyDescent="0.2">
      <c r="A135" s="2">
        <v>42162</v>
      </c>
      <c r="B135" s="2" t="str">
        <f>TEXT(Table1[[#This Row],[Order Date]],"MMM")</f>
        <v>Jun</v>
      </c>
      <c r="C135" s="2" t="str">
        <f t="shared" si="2"/>
        <v>2015</v>
      </c>
      <c r="D135" s="1" t="s">
        <v>566</v>
      </c>
      <c r="E135" s="1" t="s">
        <v>120</v>
      </c>
      <c r="F135" s="1" t="s">
        <v>33</v>
      </c>
      <c r="G135" s="1" t="s">
        <v>34</v>
      </c>
      <c r="H135" s="1" t="s">
        <v>495</v>
      </c>
      <c r="I135" s="1">
        <v>63.88</v>
      </c>
      <c r="J135" s="1">
        <v>1</v>
      </c>
      <c r="K135" s="1">
        <v>10.65</v>
      </c>
    </row>
    <row r="136" spans="1:11" ht="12.75" x14ac:dyDescent="0.2">
      <c r="A136" s="2">
        <v>42163</v>
      </c>
      <c r="B136" s="2" t="str">
        <f>TEXT(Table1[[#This Row],[Order Date]],"MMM")</f>
        <v>Jun</v>
      </c>
      <c r="C136" s="2" t="str">
        <f t="shared" si="2"/>
        <v>2015</v>
      </c>
      <c r="D136" s="1" t="s">
        <v>579</v>
      </c>
      <c r="E136" s="1" t="s">
        <v>27</v>
      </c>
      <c r="F136" s="1" t="s">
        <v>11</v>
      </c>
      <c r="G136" s="1" t="s">
        <v>20</v>
      </c>
      <c r="H136" s="1" t="s">
        <v>580</v>
      </c>
      <c r="I136" s="1">
        <v>7.71</v>
      </c>
      <c r="J136" s="1">
        <v>2</v>
      </c>
      <c r="K136" s="1">
        <v>2.8</v>
      </c>
    </row>
    <row r="137" spans="1:11" ht="12.75" x14ac:dyDescent="0.2">
      <c r="A137" s="2">
        <v>42187</v>
      </c>
      <c r="B137" s="2" t="str">
        <f>TEXT(Table1[[#This Row],[Order Date]],"MMM")</f>
        <v>Jul</v>
      </c>
      <c r="C137" s="2" t="str">
        <f t="shared" si="2"/>
        <v>2015</v>
      </c>
      <c r="D137" s="1" t="s">
        <v>539</v>
      </c>
      <c r="E137" s="1" t="s">
        <v>27</v>
      </c>
      <c r="F137" s="1" t="s">
        <v>33</v>
      </c>
      <c r="G137" s="1" t="s">
        <v>118</v>
      </c>
      <c r="H137" s="1" t="s">
        <v>585</v>
      </c>
      <c r="I137" s="1">
        <v>351.22</v>
      </c>
      <c r="J137" s="1">
        <v>3</v>
      </c>
      <c r="K137" s="1">
        <v>4.3899999999999997</v>
      </c>
    </row>
    <row r="138" spans="1:11" ht="12.75" x14ac:dyDescent="0.2">
      <c r="A138" s="2">
        <v>42188</v>
      </c>
      <c r="B138" s="2" t="str">
        <f>TEXT(Table1[[#This Row],[Order Date]],"MMM")</f>
        <v>Jul</v>
      </c>
      <c r="C138" s="2" t="str">
        <f t="shared" si="2"/>
        <v>2015</v>
      </c>
      <c r="D138" s="1" t="s">
        <v>586</v>
      </c>
      <c r="E138" s="1" t="s">
        <v>15</v>
      </c>
      <c r="F138" s="1" t="s">
        <v>11</v>
      </c>
      <c r="G138" s="1" t="s">
        <v>20</v>
      </c>
      <c r="H138" s="1" t="s">
        <v>587</v>
      </c>
      <c r="I138" s="1">
        <v>29.93</v>
      </c>
      <c r="J138" s="1">
        <v>7</v>
      </c>
      <c r="K138" s="1">
        <v>-46.39</v>
      </c>
    </row>
    <row r="139" spans="1:11" ht="12.75" x14ac:dyDescent="0.2">
      <c r="A139" s="2">
        <v>42189</v>
      </c>
      <c r="B139" s="2" t="str">
        <f>TEXT(Table1[[#This Row],[Order Date]],"MMM")</f>
        <v>Jul</v>
      </c>
      <c r="C139" s="2" t="str">
        <f t="shared" si="2"/>
        <v>2015</v>
      </c>
      <c r="D139" s="1" t="s">
        <v>422</v>
      </c>
      <c r="E139" s="1" t="s">
        <v>113</v>
      </c>
      <c r="F139" s="1" t="s">
        <v>38</v>
      </c>
      <c r="G139" s="1" t="s">
        <v>48</v>
      </c>
      <c r="H139" s="1" t="s">
        <v>591</v>
      </c>
      <c r="I139" s="1">
        <v>2.97</v>
      </c>
      <c r="J139" s="1">
        <v>3</v>
      </c>
      <c r="K139" s="1">
        <v>1.31</v>
      </c>
    </row>
    <row r="140" spans="1:11" ht="12.75" x14ac:dyDescent="0.2">
      <c r="A140" s="2">
        <v>42190</v>
      </c>
      <c r="B140" s="2" t="str">
        <f>TEXT(Table1[[#This Row],[Order Date]],"MMM")</f>
        <v>Jul</v>
      </c>
      <c r="C140" s="2" t="str">
        <f t="shared" si="2"/>
        <v>2015</v>
      </c>
      <c r="D140" s="1" t="s">
        <v>593</v>
      </c>
      <c r="E140" s="1" t="s">
        <v>83</v>
      </c>
      <c r="F140" s="1" t="s">
        <v>33</v>
      </c>
      <c r="G140" s="1" t="s">
        <v>34</v>
      </c>
      <c r="H140" s="1" t="s">
        <v>594</v>
      </c>
      <c r="I140" s="1">
        <v>259.14</v>
      </c>
      <c r="J140" s="1">
        <v>4</v>
      </c>
      <c r="K140" s="1">
        <v>-25.91</v>
      </c>
    </row>
    <row r="141" spans="1:11" ht="12.75" x14ac:dyDescent="0.2">
      <c r="A141" s="2">
        <v>42191</v>
      </c>
      <c r="B141" s="2" t="str">
        <f>TEXT(Table1[[#This Row],[Order Date]],"MMM")</f>
        <v>Jul</v>
      </c>
      <c r="C141" s="2" t="str">
        <f t="shared" si="2"/>
        <v>2015</v>
      </c>
      <c r="D141" s="1" t="s">
        <v>595</v>
      </c>
      <c r="E141" s="1" t="s">
        <v>394</v>
      </c>
      <c r="F141" s="1" t="s">
        <v>38</v>
      </c>
      <c r="G141" s="1" t="s">
        <v>39</v>
      </c>
      <c r="H141" s="1" t="s">
        <v>577</v>
      </c>
      <c r="I141" s="1">
        <v>359.98</v>
      </c>
      <c r="J141" s="1">
        <v>2</v>
      </c>
      <c r="K141" s="1">
        <v>93.59</v>
      </c>
    </row>
    <row r="142" spans="1:11" ht="12.75" x14ac:dyDescent="0.2">
      <c r="A142" s="2">
        <v>42196</v>
      </c>
      <c r="B142" s="2" t="str">
        <f>TEXT(Table1[[#This Row],[Order Date]],"MMM")</f>
        <v>Jul</v>
      </c>
      <c r="C142" s="2" t="str">
        <f t="shared" si="2"/>
        <v>2015</v>
      </c>
      <c r="D142" s="1" t="s">
        <v>599</v>
      </c>
      <c r="E142" s="1" t="s">
        <v>10</v>
      </c>
      <c r="F142" s="1" t="s">
        <v>11</v>
      </c>
      <c r="G142" s="1" t="s">
        <v>18</v>
      </c>
      <c r="H142" s="1" t="s">
        <v>600</v>
      </c>
      <c r="I142" s="1">
        <v>342.86</v>
      </c>
      <c r="J142" s="1">
        <v>3</v>
      </c>
      <c r="K142" s="1">
        <v>38.57</v>
      </c>
    </row>
    <row r="143" spans="1:11" ht="12.75" x14ac:dyDescent="0.2">
      <c r="A143" s="2">
        <v>42197</v>
      </c>
      <c r="B143" s="2" t="str">
        <f>TEXT(Table1[[#This Row],[Order Date]],"MMM")</f>
        <v>Jul</v>
      </c>
      <c r="C143" s="2" t="str">
        <f t="shared" si="2"/>
        <v>2015</v>
      </c>
      <c r="D143" s="1" t="s">
        <v>611</v>
      </c>
      <c r="E143" s="1" t="s">
        <v>27</v>
      </c>
      <c r="F143" s="1" t="s">
        <v>11</v>
      </c>
      <c r="G143" s="1" t="s">
        <v>24</v>
      </c>
      <c r="H143" s="1" t="s">
        <v>612</v>
      </c>
      <c r="I143" s="1">
        <v>99.2</v>
      </c>
      <c r="J143" s="1">
        <v>5</v>
      </c>
      <c r="K143" s="1">
        <v>25.79</v>
      </c>
    </row>
    <row r="144" spans="1:11" ht="12.75" x14ac:dyDescent="0.2">
      <c r="A144" s="2">
        <v>42218</v>
      </c>
      <c r="B144" s="2" t="str">
        <f>TEXT(Table1[[#This Row],[Order Date]],"MMM")</f>
        <v>Aug</v>
      </c>
      <c r="C144" s="2" t="str">
        <f t="shared" si="2"/>
        <v>2015</v>
      </c>
      <c r="D144" s="1" t="s">
        <v>617</v>
      </c>
      <c r="E144" s="1" t="s">
        <v>120</v>
      </c>
      <c r="F144" s="1" t="s">
        <v>11</v>
      </c>
      <c r="G144" s="1" t="s">
        <v>24</v>
      </c>
      <c r="H144" s="1" t="s">
        <v>618</v>
      </c>
      <c r="I144" s="1">
        <v>5.96</v>
      </c>
      <c r="J144" s="1">
        <v>2</v>
      </c>
      <c r="K144" s="1">
        <v>1.67</v>
      </c>
    </row>
    <row r="145" spans="1:11" ht="12.75" x14ac:dyDescent="0.2">
      <c r="A145" s="2">
        <v>42221</v>
      </c>
      <c r="B145" s="2" t="str">
        <f>TEXT(Table1[[#This Row],[Order Date]],"MMM")</f>
        <v>Aug</v>
      </c>
      <c r="C145" s="2" t="str">
        <f t="shared" si="2"/>
        <v>2015</v>
      </c>
      <c r="D145" s="1" t="s">
        <v>621</v>
      </c>
      <c r="E145" s="1" t="s">
        <v>83</v>
      </c>
      <c r="F145" s="1" t="s">
        <v>11</v>
      </c>
      <c r="G145" s="1" t="s">
        <v>20</v>
      </c>
      <c r="H145" s="1" t="s">
        <v>604</v>
      </c>
      <c r="I145" s="1">
        <v>8.16</v>
      </c>
      <c r="J145" s="1">
        <v>5</v>
      </c>
      <c r="K145" s="1">
        <v>-5.71</v>
      </c>
    </row>
    <row r="146" spans="1:11" ht="12.75" x14ac:dyDescent="0.2">
      <c r="A146" s="2">
        <v>42224</v>
      </c>
      <c r="B146" s="2" t="str">
        <f>TEXT(Table1[[#This Row],[Order Date]],"MMM")</f>
        <v>Aug</v>
      </c>
      <c r="C146" s="2" t="str">
        <f t="shared" si="2"/>
        <v>2015</v>
      </c>
      <c r="D146" s="1" t="s">
        <v>627</v>
      </c>
      <c r="E146" s="1" t="s">
        <v>27</v>
      </c>
      <c r="F146" s="1" t="s">
        <v>11</v>
      </c>
      <c r="G146" s="1" t="s">
        <v>18</v>
      </c>
      <c r="H146" s="1" t="s">
        <v>628</v>
      </c>
      <c r="I146" s="1">
        <v>53.72</v>
      </c>
      <c r="J146" s="1">
        <v>4</v>
      </c>
      <c r="K146" s="1">
        <v>15.04</v>
      </c>
    </row>
    <row r="147" spans="1:11" ht="12.75" x14ac:dyDescent="0.2">
      <c r="A147" s="2">
        <v>42225</v>
      </c>
      <c r="B147" s="2" t="str">
        <f>TEXT(Table1[[#This Row],[Order Date]],"MMM")</f>
        <v>Aug</v>
      </c>
      <c r="C147" s="2" t="str">
        <f t="shared" si="2"/>
        <v>2015</v>
      </c>
      <c r="D147" s="1" t="s">
        <v>630</v>
      </c>
      <c r="E147" s="1" t="s">
        <v>15</v>
      </c>
      <c r="F147" s="1" t="s">
        <v>11</v>
      </c>
      <c r="G147" s="1" t="s">
        <v>18</v>
      </c>
      <c r="H147" s="1" t="s">
        <v>631</v>
      </c>
      <c r="I147" s="1">
        <v>123.55</v>
      </c>
      <c r="J147" s="1">
        <v>3</v>
      </c>
      <c r="K147" s="1">
        <v>-29.34</v>
      </c>
    </row>
    <row r="148" spans="1:11" ht="12.75" x14ac:dyDescent="0.2">
      <c r="A148" s="2">
        <v>42227</v>
      </c>
      <c r="B148" s="2" t="str">
        <f>TEXT(Table1[[#This Row],[Order Date]],"MMM")</f>
        <v>Aug</v>
      </c>
      <c r="C148" s="2" t="str">
        <f t="shared" si="2"/>
        <v>2015</v>
      </c>
      <c r="D148" s="1" t="s">
        <v>183</v>
      </c>
      <c r="E148" s="1" t="s">
        <v>27</v>
      </c>
      <c r="F148" s="1" t="s">
        <v>38</v>
      </c>
      <c r="G148" s="1" t="s">
        <v>48</v>
      </c>
      <c r="H148" s="1" t="s">
        <v>639</v>
      </c>
      <c r="I148" s="1">
        <v>238</v>
      </c>
      <c r="J148" s="1">
        <v>2</v>
      </c>
      <c r="K148" s="1">
        <v>38.08</v>
      </c>
    </row>
    <row r="149" spans="1:11" ht="12.75" x14ac:dyDescent="0.2">
      <c r="A149" s="2">
        <v>42228</v>
      </c>
      <c r="B149" s="2" t="str">
        <f>TEXT(Table1[[#This Row],[Order Date]],"MMM")</f>
        <v>Aug</v>
      </c>
      <c r="C149" s="2" t="str">
        <f t="shared" si="2"/>
        <v>2015</v>
      </c>
      <c r="D149" s="1" t="s">
        <v>202</v>
      </c>
      <c r="E149" s="1" t="s">
        <v>101</v>
      </c>
      <c r="F149" s="1" t="s">
        <v>11</v>
      </c>
      <c r="G149" s="1" t="s">
        <v>42</v>
      </c>
      <c r="H149" s="1" t="s">
        <v>642</v>
      </c>
      <c r="I149" s="1">
        <v>14.32</v>
      </c>
      <c r="J149" s="1">
        <v>5</v>
      </c>
      <c r="K149" s="1">
        <v>5.19</v>
      </c>
    </row>
    <row r="150" spans="1:11" ht="12.75" x14ac:dyDescent="0.2">
      <c r="A150" s="2">
        <v>42249</v>
      </c>
      <c r="B150" s="2" t="str">
        <f>TEXT(Table1[[#This Row],[Order Date]],"MMM")</f>
        <v>Sep</v>
      </c>
      <c r="C150" s="2" t="str">
        <f t="shared" si="2"/>
        <v>2015</v>
      </c>
      <c r="D150" s="1" t="s">
        <v>643</v>
      </c>
      <c r="E150" s="1" t="s">
        <v>134</v>
      </c>
      <c r="F150" s="1" t="s">
        <v>33</v>
      </c>
      <c r="G150" s="1" t="s">
        <v>65</v>
      </c>
      <c r="H150" s="1" t="s">
        <v>644</v>
      </c>
      <c r="I150" s="1">
        <v>1367.84</v>
      </c>
      <c r="J150" s="1">
        <v>8</v>
      </c>
      <c r="K150" s="1">
        <v>259.89</v>
      </c>
    </row>
    <row r="151" spans="1:11" ht="12.75" x14ac:dyDescent="0.2">
      <c r="A151" s="2">
        <v>42250</v>
      </c>
      <c r="B151" s="2" t="str">
        <f>TEXT(Table1[[#This Row],[Order Date]],"MMM")</f>
        <v>Sep</v>
      </c>
      <c r="C151" s="2" t="str">
        <f t="shared" si="2"/>
        <v>2015</v>
      </c>
      <c r="D151" s="1" t="s">
        <v>590</v>
      </c>
      <c r="E151" s="1" t="s">
        <v>187</v>
      </c>
      <c r="F151" s="1" t="s">
        <v>11</v>
      </c>
      <c r="G151" s="1" t="s">
        <v>16</v>
      </c>
      <c r="H151" s="1" t="s">
        <v>645</v>
      </c>
      <c r="I151" s="1">
        <v>17.54</v>
      </c>
      <c r="J151" s="1">
        <v>3</v>
      </c>
      <c r="K151" s="1">
        <v>5.92</v>
      </c>
    </row>
    <row r="152" spans="1:11" ht="12.75" x14ac:dyDescent="0.2">
      <c r="A152" s="2">
        <v>42251</v>
      </c>
      <c r="B152" s="2" t="str">
        <f>TEXT(Table1[[#This Row],[Order Date]],"MMM")</f>
        <v>Sep</v>
      </c>
      <c r="C152" s="2" t="str">
        <f t="shared" si="2"/>
        <v>2015</v>
      </c>
      <c r="D152" s="1" t="s">
        <v>646</v>
      </c>
      <c r="E152" s="1" t="s">
        <v>148</v>
      </c>
      <c r="F152" s="1" t="s">
        <v>11</v>
      </c>
      <c r="G152" s="1" t="s">
        <v>20</v>
      </c>
      <c r="H152" s="1" t="s">
        <v>114</v>
      </c>
      <c r="I152" s="1">
        <v>26.7</v>
      </c>
      <c r="J152" s="1">
        <v>5</v>
      </c>
      <c r="K152" s="1">
        <v>12.55</v>
      </c>
    </row>
    <row r="153" spans="1:11" ht="12.75" x14ac:dyDescent="0.2">
      <c r="A153" s="2">
        <v>42252</v>
      </c>
      <c r="B153" s="2" t="str">
        <f>TEXT(Table1[[#This Row],[Order Date]],"MMM")</f>
        <v>Sep</v>
      </c>
      <c r="C153" s="2" t="str">
        <f t="shared" si="2"/>
        <v>2015</v>
      </c>
      <c r="D153" s="1" t="s">
        <v>432</v>
      </c>
      <c r="E153" s="1" t="s">
        <v>200</v>
      </c>
      <c r="F153" s="1" t="s">
        <v>33</v>
      </c>
      <c r="G153" s="1" t="s">
        <v>118</v>
      </c>
      <c r="H153" s="1" t="s">
        <v>647</v>
      </c>
      <c r="I153" s="1">
        <v>218.75</v>
      </c>
      <c r="J153" s="1">
        <v>2</v>
      </c>
      <c r="K153" s="1">
        <v>-161.88</v>
      </c>
    </row>
    <row r="154" spans="1:11" ht="12.75" x14ac:dyDescent="0.2">
      <c r="A154" s="2">
        <v>42253</v>
      </c>
      <c r="B154" s="2" t="str">
        <f>TEXT(Table1[[#This Row],[Order Date]],"MMM")</f>
        <v>Sep</v>
      </c>
      <c r="C154" s="2" t="str">
        <f t="shared" si="2"/>
        <v>2015</v>
      </c>
      <c r="D154" s="1" t="s">
        <v>649</v>
      </c>
      <c r="E154" s="1" t="s">
        <v>211</v>
      </c>
      <c r="F154" s="1" t="s">
        <v>11</v>
      </c>
      <c r="G154" s="1" t="s">
        <v>80</v>
      </c>
      <c r="H154" s="1" t="s">
        <v>650</v>
      </c>
      <c r="I154" s="1">
        <v>1089.75</v>
      </c>
      <c r="J154" s="1">
        <v>3</v>
      </c>
      <c r="K154" s="1">
        <v>305.13</v>
      </c>
    </row>
    <row r="155" spans="1:11" ht="12.75" x14ac:dyDescent="0.2">
      <c r="A155" s="2">
        <v>42254</v>
      </c>
      <c r="B155" s="2" t="str">
        <f>TEXT(Table1[[#This Row],[Order Date]],"MMM")</f>
        <v>Sep</v>
      </c>
      <c r="C155" s="2" t="str">
        <f t="shared" si="2"/>
        <v>2015</v>
      </c>
      <c r="D155" s="1" t="s">
        <v>653</v>
      </c>
      <c r="E155" s="1" t="s">
        <v>27</v>
      </c>
      <c r="F155" s="1" t="s">
        <v>11</v>
      </c>
      <c r="G155" s="1" t="s">
        <v>12</v>
      </c>
      <c r="H155" s="1" t="s">
        <v>654</v>
      </c>
      <c r="I155" s="1">
        <v>20.94</v>
      </c>
      <c r="J155" s="1">
        <v>3</v>
      </c>
      <c r="K155" s="1">
        <v>9.84</v>
      </c>
    </row>
    <row r="156" spans="1:11" ht="12.75" x14ac:dyDescent="0.2">
      <c r="A156" s="2">
        <v>42255</v>
      </c>
      <c r="B156" s="2" t="str">
        <f>TEXT(Table1[[#This Row],[Order Date]],"MMM")</f>
        <v>Sep</v>
      </c>
      <c r="C156" s="2" t="str">
        <f t="shared" si="2"/>
        <v>2015</v>
      </c>
      <c r="D156" s="1" t="s">
        <v>660</v>
      </c>
      <c r="E156" s="1" t="s">
        <v>63</v>
      </c>
      <c r="F156" s="1" t="s">
        <v>38</v>
      </c>
      <c r="G156" s="1" t="s">
        <v>48</v>
      </c>
      <c r="H156" s="1" t="s">
        <v>609</v>
      </c>
      <c r="I156" s="1">
        <v>62.91</v>
      </c>
      <c r="J156" s="1">
        <v>3</v>
      </c>
      <c r="K156" s="1">
        <v>22.65</v>
      </c>
    </row>
    <row r="157" spans="1:11" ht="12.75" x14ac:dyDescent="0.2">
      <c r="A157" s="2">
        <v>42258</v>
      </c>
      <c r="B157" s="2" t="str">
        <f>TEXT(Table1[[#This Row],[Order Date]],"MMM")</f>
        <v>Sep</v>
      </c>
      <c r="C157" s="2" t="str">
        <f t="shared" si="2"/>
        <v>2015</v>
      </c>
      <c r="D157" s="1" t="s">
        <v>662</v>
      </c>
      <c r="E157" s="1" t="s">
        <v>27</v>
      </c>
      <c r="F157" s="1" t="s">
        <v>11</v>
      </c>
      <c r="G157" s="1" t="s">
        <v>80</v>
      </c>
      <c r="H157" s="1" t="s">
        <v>663</v>
      </c>
      <c r="I157" s="1">
        <v>76.12</v>
      </c>
      <c r="J157" s="1">
        <v>2</v>
      </c>
      <c r="K157" s="1">
        <v>22.07</v>
      </c>
    </row>
    <row r="158" spans="1:11" ht="12.75" x14ac:dyDescent="0.2">
      <c r="A158" s="2">
        <v>42279</v>
      </c>
      <c r="B158" s="2" t="str">
        <f>TEXT(Table1[[#This Row],[Order Date]],"MMM")</f>
        <v>Oct</v>
      </c>
      <c r="C158" s="2" t="str">
        <f t="shared" si="2"/>
        <v>2015</v>
      </c>
      <c r="D158" s="1" t="s">
        <v>669</v>
      </c>
      <c r="E158" s="1" t="s">
        <v>101</v>
      </c>
      <c r="F158" s="1" t="s">
        <v>38</v>
      </c>
      <c r="G158" s="1" t="s">
        <v>39</v>
      </c>
      <c r="H158" s="1" t="s">
        <v>664</v>
      </c>
      <c r="I158" s="1">
        <v>178.38</v>
      </c>
      <c r="J158" s="1">
        <v>2</v>
      </c>
      <c r="K158" s="1">
        <v>22.3</v>
      </c>
    </row>
    <row r="159" spans="1:11" ht="12.75" x14ac:dyDescent="0.2">
      <c r="A159" s="2">
        <v>42280</v>
      </c>
      <c r="B159" s="2" t="str">
        <f>TEXT(Table1[[#This Row],[Order Date]],"MMM")</f>
        <v>Oct</v>
      </c>
      <c r="C159" s="2" t="str">
        <f t="shared" si="2"/>
        <v>2015</v>
      </c>
      <c r="D159" s="1" t="s">
        <v>674</v>
      </c>
      <c r="E159" s="1" t="s">
        <v>142</v>
      </c>
      <c r="F159" s="1" t="s">
        <v>11</v>
      </c>
      <c r="G159" s="1" t="s">
        <v>20</v>
      </c>
      <c r="H159" s="1" t="s">
        <v>675</v>
      </c>
      <c r="I159" s="1">
        <v>196.21</v>
      </c>
      <c r="J159" s="1">
        <v>7</v>
      </c>
      <c r="K159" s="1">
        <v>98.11</v>
      </c>
    </row>
    <row r="160" spans="1:11" ht="12.75" x14ac:dyDescent="0.2">
      <c r="A160" s="2">
        <v>42282</v>
      </c>
      <c r="B160" s="2" t="str">
        <f>TEXT(Table1[[#This Row],[Order Date]],"MMM")</f>
        <v>Oct</v>
      </c>
      <c r="C160" s="2" t="str">
        <f t="shared" si="2"/>
        <v>2015</v>
      </c>
      <c r="D160" s="1" t="s">
        <v>680</v>
      </c>
      <c r="E160" s="1" t="s">
        <v>10</v>
      </c>
      <c r="F160" s="1" t="s">
        <v>11</v>
      </c>
      <c r="G160" s="1" t="s">
        <v>20</v>
      </c>
      <c r="H160" s="1" t="s">
        <v>357</v>
      </c>
      <c r="I160" s="1">
        <v>30.96</v>
      </c>
      <c r="J160" s="1">
        <v>8</v>
      </c>
      <c r="K160" s="1">
        <v>-52.63</v>
      </c>
    </row>
    <row r="161" spans="1:11" ht="12.75" x14ac:dyDescent="0.2">
      <c r="A161" s="2">
        <v>42284</v>
      </c>
      <c r="B161" s="2" t="str">
        <f>TEXT(Table1[[#This Row],[Order Date]],"MMM")</f>
        <v>Oct</v>
      </c>
      <c r="C161" s="2" t="str">
        <f t="shared" si="2"/>
        <v>2015</v>
      </c>
      <c r="D161" s="1" t="s">
        <v>684</v>
      </c>
      <c r="E161" s="1" t="s">
        <v>23</v>
      </c>
      <c r="F161" s="1" t="s">
        <v>33</v>
      </c>
      <c r="G161" s="1" t="s">
        <v>118</v>
      </c>
      <c r="H161" s="1" t="s">
        <v>473</v>
      </c>
      <c r="I161" s="1">
        <v>853.09</v>
      </c>
      <c r="J161" s="1">
        <v>6</v>
      </c>
      <c r="K161" s="1">
        <v>-227.49</v>
      </c>
    </row>
    <row r="162" spans="1:11" ht="12.75" x14ac:dyDescent="0.2">
      <c r="A162" s="2">
        <v>42286</v>
      </c>
      <c r="B162" s="2" t="str">
        <f>TEXT(Table1[[#This Row],[Order Date]],"MMM")</f>
        <v>Oct</v>
      </c>
      <c r="C162" s="2" t="str">
        <f t="shared" si="2"/>
        <v>2015</v>
      </c>
      <c r="D162" s="1" t="s">
        <v>300</v>
      </c>
      <c r="E162" s="1" t="s">
        <v>10</v>
      </c>
      <c r="F162" s="1" t="s">
        <v>11</v>
      </c>
      <c r="G162" s="1" t="s">
        <v>12</v>
      </c>
      <c r="H162" s="1" t="s">
        <v>685</v>
      </c>
      <c r="I162" s="1">
        <v>15.55</v>
      </c>
      <c r="J162" s="1">
        <v>3</v>
      </c>
      <c r="K162" s="1">
        <v>5.44</v>
      </c>
    </row>
    <row r="163" spans="1:11" ht="12.75" x14ac:dyDescent="0.2">
      <c r="A163" s="2">
        <v>42289</v>
      </c>
      <c r="B163" s="2" t="str">
        <f>TEXT(Table1[[#This Row],[Order Date]],"MMM")</f>
        <v>Oct</v>
      </c>
      <c r="C163" s="2" t="str">
        <f t="shared" si="2"/>
        <v>2015</v>
      </c>
      <c r="D163" s="1" t="s">
        <v>475</v>
      </c>
      <c r="E163" s="1" t="s">
        <v>68</v>
      </c>
      <c r="F163" s="1" t="s">
        <v>11</v>
      </c>
      <c r="G163" s="1" t="s">
        <v>24</v>
      </c>
      <c r="H163" s="1" t="s">
        <v>688</v>
      </c>
      <c r="I163" s="1">
        <v>10.72</v>
      </c>
      <c r="J163" s="1">
        <v>2</v>
      </c>
      <c r="K163" s="1">
        <v>1.74</v>
      </c>
    </row>
    <row r="164" spans="1:11" ht="12.75" x14ac:dyDescent="0.2">
      <c r="A164" s="2">
        <v>42313</v>
      </c>
      <c r="B164" s="2" t="str">
        <f>TEXT(Table1[[#This Row],[Order Date]],"MMM")</f>
        <v>Nov</v>
      </c>
      <c r="C164" s="2" t="str">
        <f t="shared" si="2"/>
        <v>2015</v>
      </c>
      <c r="D164" s="1" t="s">
        <v>692</v>
      </c>
      <c r="E164" s="1" t="s">
        <v>15</v>
      </c>
      <c r="F164" s="1" t="s">
        <v>33</v>
      </c>
      <c r="G164" s="1" t="s">
        <v>34</v>
      </c>
      <c r="H164" s="1" t="s">
        <v>196</v>
      </c>
      <c r="I164" s="1">
        <v>421.37</v>
      </c>
      <c r="J164" s="1">
        <v>2</v>
      </c>
      <c r="K164" s="1">
        <v>-6.02</v>
      </c>
    </row>
    <row r="165" spans="1:11" ht="12.75" x14ac:dyDescent="0.2">
      <c r="A165" s="2">
        <v>42314</v>
      </c>
      <c r="B165" s="2" t="str">
        <f>TEXT(Table1[[#This Row],[Order Date]],"MMM")</f>
        <v>Nov</v>
      </c>
      <c r="C165" s="2" t="str">
        <f t="shared" si="2"/>
        <v>2015</v>
      </c>
      <c r="D165" s="1" t="s">
        <v>694</v>
      </c>
      <c r="E165" s="1" t="s">
        <v>68</v>
      </c>
      <c r="F165" s="1" t="s">
        <v>11</v>
      </c>
      <c r="G165" s="1" t="s">
        <v>24</v>
      </c>
      <c r="H165" s="1" t="s">
        <v>695</v>
      </c>
      <c r="I165" s="1">
        <v>3.91</v>
      </c>
      <c r="J165" s="1">
        <v>1</v>
      </c>
      <c r="K165" s="1">
        <v>1.03</v>
      </c>
    </row>
    <row r="166" spans="1:11" ht="12.75" x14ac:dyDescent="0.2">
      <c r="A166" s="2">
        <v>42315</v>
      </c>
      <c r="B166" s="2" t="str">
        <f>TEXT(Table1[[#This Row],[Order Date]],"MMM")</f>
        <v>Nov</v>
      </c>
      <c r="C166" s="2" t="str">
        <f t="shared" si="2"/>
        <v>2015</v>
      </c>
      <c r="D166" s="1" t="s">
        <v>698</v>
      </c>
      <c r="E166" s="1" t="s">
        <v>120</v>
      </c>
      <c r="F166" s="1" t="s">
        <v>11</v>
      </c>
      <c r="G166" s="1" t="s">
        <v>12</v>
      </c>
      <c r="H166" s="1" t="s">
        <v>699</v>
      </c>
      <c r="I166" s="1">
        <v>25.92</v>
      </c>
      <c r="J166" s="1">
        <v>4</v>
      </c>
      <c r="K166" s="1">
        <v>12.44</v>
      </c>
    </row>
    <row r="167" spans="1:11" ht="12.75" x14ac:dyDescent="0.2">
      <c r="A167" s="2">
        <v>42317</v>
      </c>
      <c r="B167" s="2" t="str">
        <f>TEXT(Table1[[#This Row],[Order Date]],"MMM")</f>
        <v>Nov</v>
      </c>
      <c r="C167" s="2" t="str">
        <f t="shared" si="2"/>
        <v>2015</v>
      </c>
      <c r="D167" s="1" t="s">
        <v>701</v>
      </c>
      <c r="E167" s="1" t="s">
        <v>337</v>
      </c>
      <c r="F167" s="1" t="s">
        <v>11</v>
      </c>
      <c r="G167" s="1" t="s">
        <v>20</v>
      </c>
      <c r="H167" s="1" t="s">
        <v>705</v>
      </c>
      <c r="I167" s="1">
        <v>8.2899999999999991</v>
      </c>
      <c r="J167" s="1">
        <v>2</v>
      </c>
      <c r="K167" s="1">
        <v>2.69</v>
      </c>
    </row>
    <row r="168" spans="1:11" ht="12.75" x14ac:dyDescent="0.2">
      <c r="A168" s="2">
        <v>42319</v>
      </c>
      <c r="B168" s="2" t="str">
        <f>TEXT(Table1[[#This Row],[Order Date]],"MMM")</f>
        <v>Nov</v>
      </c>
      <c r="C168" s="2" t="str">
        <f t="shared" si="2"/>
        <v>2015</v>
      </c>
      <c r="D168" s="1" t="s">
        <v>711</v>
      </c>
      <c r="E168" s="1" t="s">
        <v>27</v>
      </c>
      <c r="F168" s="1" t="s">
        <v>11</v>
      </c>
      <c r="G168" s="1" t="s">
        <v>24</v>
      </c>
      <c r="H168" s="1" t="s">
        <v>521</v>
      </c>
      <c r="I168" s="1">
        <v>8.56</v>
      </c>
      <c r="J168" s="1">
        <v>2</v>
      </c>
      <c r="K168" s="1">
        <v>2.48</v>
      </c>
    </row>
    <row r="169" spans="1:11" ht="12.75" x14ac:dyDescent="0.2">
      <c r="A169" s="2">
        <v>42339</v>
      </c>
      <c r="B169" s="2" t="str">
        <f>TEXT(Table1[[#This Row],[Order Date]],"MMM")</f>
        <v>Dec</v>
      </c>
      <c r="C169" s="2" t="str">
        <f t="shared" si="2"/>
        <v>2015</v>
      </c>
      <c r="D169" s="1" t="s">
        <v>713</v>
      </c>
      <c r="E169" s="1" t="s">
        <v>27</v>
      </c>
      <c r="F169" s="1" t="s">
        <v>11</v>
      </c>
      <c r="G169" s="1" t="s">
        <v>12</v>
      </c>
      <c r="H169" s="1" t="s">
        <v>714</v>
      </c>
      <c r="I169" s="1">
        <v>109.92</v>
      </c>
      <c r="J169" s="1">
        <v>2</v>
      </c>
      <c r="K169" s="1">
        <v>53.86</v>
      </c>
    </row>
    <row r="170" spans="1:11" ht="12.75" x14ac:dyDescent="0.2">
      <c r="A170" s="2">
        <v>42341</v>
      </c>
      <c r="B170" s="2" t="str">
        <f>TEXT(Table1[[#This Row],[Order Date]],"MMM")</f>
        <v>Dec</v>
      </c>
      <c r="C170" s="2" t="str">
        <f t="shared" si="2"/>
        <v>2015</v>
      </c>
      <c r="D170" s="1" t="s">
        <v>716</v>
      </c>
      <c r="E170" s="1" t="s">
        <v>394</v>
      </c>
      <c r="F170" s="1" t="s">
        <v>11</v>
      </c>
      <c r="G170" s="1" t="s">
        <v>20</v>
      </c>
      <c r="H170" s="1" t="s">
        <v>717</v>
      </c>
      <c r="I170" s="1">
        <v>25.3</v>
      </c>
      <c r="J170" s="1">
        <v>5</v>
      </c>
      <c r="K170" s="1">
        <v>11.89</v>
      </c>
    </row>
    <row r="171" spans="1:11" ht="12.75" x14ac:dyDescent="0.2">
      <c r="A171" s="2">
        <v>42342</v>
      </c>
      <c r="B171" s="2" t="str">
        <f>TEXT(Table1[[#This Row],[Order Date]],"MMM")</f>
        <v>Dec</v>
      </c>
      <c r="C171" s="2" t="str">
        <f t="shared" si="2"/>
        <v>2015</v>
      </c>
      <c r="D171" s="1" t="s">
        <v>718</v>
      </c>
      <c r="E171" s="1" t="s">
        <v>264</v>
      </c>
      <c r="F171" s="1" t="s">
        <v>38</v>
      </c>
      <c r="G171" s="1" t="s">
        <v>48</v>
      </c>
      <c r="H171" s="1" t="s">
        <v>719</v>
      </c>
      <c r="I171" s="1">
        <v>92.52</v>
      </c>
      <c r="J171" s="1">
        <v>9</v>
      </c>
      <c r="K171" s="1">
        <v>18.5</v>
      </c>
    </row>
    <row r="172" spans="1:11" ht="12.75" x14ac:dyDescent="0.2">
      <c r="A172" s="2">
        <v>42343</v>
      </c>
      <c r="B172" s="2" t="str">
        <f>TEXT(Table1[[#This Row],[Order Date]],"MMM")</f>
        <v>Dec</v>
      </c>
      <c r="C172" s="2" t="str">
        <f t="shared" si="2"/>
        <v>2015</v>
      </c>
      <c r="D172" s="1" t="s">
        <v>720</v>
      </c>
      <c r="E172" s="1" t="s">
        <v>27</v>
      </c>
      <c r="F172" s="1" t="s">
        <v>11</v>
      </c>
      <c r="G172" s="1" t="s">
        <v>24</v>
      </c>
      <c r="H172" s="1" t="s">
        <v>721</v>
      </c>
      <c r="I172" s="1">
        <v>53.94</v>
      </c>
      <c r="J172" s="1">
        <v>3</v>
      </c>
      <c r="K172" s="1">
        <v>15.64</v>
      </c>
    </row>
    <row r="173" spans="1:11" ht="12.75" x14ac:dyDescent="0.2">
      <c r="A173" s="2">
        <v>42347</v>
      </c>
      <c r="B173" s="2" t="str">
        <f>TEXT(Table1[[#This Row],[Order Date]],"MMM")</f>
        <v>Dec</v>
      </c>
      <c r="C173" s="2" t="str">
        <f t="shared" si="2"/>
        <v>2015</v>
      </c>
      <c r="D173" s="1" t="s">
        <v>385</v>
      </c>
      <c r="E173" s="1" t="s">
        <v>120</v>
      </c>
      <c r="F173" s="1" t="s">
        <v>11</v>
      </c>
      <c r="G173" s="1" t="s">
        <v>80</v>
      </c>
      <c r="H173" s="1" t="s">
        <v>164</v>
      </c>
      <c r="I173" s="1">
        <v>19.899999999999999</v>
      </c>
      <c r="J173" s="1">
        <v>1</v>
      </c>
      <c r="K173" s="1">
        <v>8.9600000000000009</v>
      </c>
    </row>
    <row r="174" spans="1:11" ht="12.75" x14ac:dyDescent="0.2">
      <c r="A174" s="2">
        <v>42350</v>
      </c>
      <c r="B174" s="2" t="str">
        <f>TEXT(Table1[[#This Row],[Order Date]],"MMM")</f>
        <v>Dec</v>
      </c>
      <c r="C174" s="2" t="str">
        <f t="shared" si="2"/>
        <v>2015</v>
      </c>
      <c r="D174" s="1" t="s">
        <v>356</v>
      </c>
      <c r="E174" s="1" t="s">
        <v>120</v>
      </c>
      <c r="F174" s="1" t="s">
        <v>11</v>
      </c>
      <c r="G174" s="1" t="s">
        <v>16</v>
      </c>
      <c r="H174" s="1" t="s">
        <v>576</v>
      </c>
      <c r="I174" s="1">
        <v>14.4</v>
      </c>
      <c r="J174" s="1">
        <v>5</v>
      </c>
      <c r="K174" s="1">
        <v>7.06</v>
      </c>
    </row>
    <row r="175" spans="1:11" ht="12.75" x14ac:dyDescent="0.2">
      <c r="A175" s="2">
        <v>42371</v>
      </c>
      <c r="B175" s="2" t="str">
        <f>TEXT(Table1[[#This Row],[Order Date]],"MMM")</f>
        <v>Jan</v>
      </c>
      <c r="C175" s="2" t="str">
        <f t="shared" si="2"/>
        <v>2016</v>
      </c>
      <c r="D175" s="1" t="s">
        <v>412</v>
      </c>
      <c r="E175" s="1" t="s">
        <v>23</v>
      </c>
      <c r="F175" s="1" t="s">
        <v>11</v>
      </c>
      <c r="G175" s="1" t="s">
        <v>18</v>
      </c>
      <c r="H175" s="1" t="s">
        <v>195</v>
      </c>
      <c r="I175" s="1">
        <v>64.78</v>
      </c>
      <c r="J175" s="1">
        <v>1</v>
      </c>
      <c r="K175" s="1">
        <v>-14.58</v>
      </c>
    </row>
    <row r="176" spans="1:11" ht="12.75" x14ac:dyDescent="0.2">
      <c r="A176" s="2">
        <v>42376</v>
      </c>
      <c r="B176" s="2" t="str">
        <f>TEXT(Table1[[#This Row],[Order Date]],"MMM")</f>
        <v>Jan</v>
      </c>
      <c r="C176" s="2" t="str">
        <f t="shared" si="2"/>
        <v>2016</v>
      </c>
      <c r="D176" s="1" t="s">
        <v>742</v>
      </c>
      <c r="E176" s="1" t="s">
        <v>94</v>
      </c>
      <c r="F176" s="1" t="s">
        <v>11</v>
      </c>
      <c r="G176" s="1" t="s">
        <v>16</v>
      </c>
      <c r="H176" s="1" t="s">
        <v>743</v>
      </c>
      <c r="I176" s="1">
        <v>103.6</v>
      </c>
      <c r="J176" s="1">
        <v>7</v>
      </c>
      <c r="K176" s="1">
        <v>51.8</v>
      </c>
    </row>
    <row r="177" spans="1:11" ht="12.75" x14ac:dyDescent="0.2">
      <c r="A177" s="2">
        <v>42378</v>
      </c>
      <c r="B177" s="2" t="str">
        <f>TEXT(Table1[[#This Row],[Order Date]],"MMM")</f>
        <v>Jan</v>
      </c>
      <c r="C177" s="2" t="str">
        <f t="shared" si="2"/>
        <v>2016</v>
      </c>
      <c r="D177" s="1" t="s">
        <v>748</v>
      </c>
      <c r="E177" s="1" t="s">
        <v>27</v>
      </c>
      <c r="F177" s="1" t="s">
        <v>33</v>
      </c>
      <c r="G177" s="1" t="s">
        <v>44</v>
      </c>
      <c r="H177" s="1" t="s">
        <v>749</v>
      </c>
      <c r="I177" s="1">
        <v>127.95</v>
      </c>
      <c r="J177" s="1">
        <v>3</v>
      </c>
      <c r="K177" s="1">
        <v>21.75</v>
      </c>
    </row>
    <row r="178" spans="1:11" ht="12.75" x14ac:dyDescent="0.2">
      <c r="A178" s="2">
        <v>42380</v>
      </c>
      <c r="B178" s="2" t="str">
        <f>TEXT(Table1[[#This Row],[Order Date]],"MMM")</f>
        <v>Jan</v>
      </c>
      <c r="C178" s="2" t="str">
        <f t="shared" si="2"/>
        <v>2016</v>
      </c>
      <c r="D178" s="1" t="s">
        <v>108</v>
      </c>
      <c r="E178" s="1" t="s">
        <v>120</v>
      </c>
      <c r="F178" s="1" t="s">
        <v>38</v>
      </c>
      <c r="G178" s="1" t="s">
        <v>214</v>
      </c>
      <c r="H178" s="1" t="s">
        <v>735</v>
      </c>
      <c r="I178" s="1">
        <v>69.989999999999995</v>
      </c>
      <c r="J178" s="1">
        <v>1</v>
      </c>
      <c r="K178" s="1">
        <v>30.1</v>
      </c>
    </row>
    <row r="179" spans="1:11" ht="12.75" x14ac:dyDescent="0.2">
      <c r="A179" s="2">
        <v>42381</v>
      </c>
      <c r="B179" s="2" t="str">
        <f>TEXT(Table1[[#This Row],[Order Date]],"MMM")</f>
        <v>Jan</v>
      </c>
      <c r="C179" s="2" t="str">
        <f t="shared" si="2"/>
        <v>2016</v>
      </c>
      <c r="D179" s="1" t="s">
        <v>754</v>
      </c>
      <c r="E179" s="1" t="s">
        <v>187</v>
      </c>
      <c r="F179" s="1" t="s">
        <v>11</v>
      </c>
      <c r="G179" s="1" t="s">
        <v>20</v>
      </c>
      <c r="H179" s="1" t="s">
        <v>638</v>
      </c>
      <c r="I179" s="1">
        <v>18.649999999999999</v>
      </c>
      <c r="J179" s="1">
        <v>7</v>
      </c>
      <c r="K179" s="1">
        <v>-12.43</v>
      </c>
    </row>
    <row r="180" spans="1:11" ht="12.75" x14ac:dyDescent="0.2">
      <c r="A180" s="2">
        <v>42401</v>
      </c>
      <c r="B180" s="2" t="str">
        <f>TEXT(Table1[[#This Row],[Order Date]],"MMM")</f>
        <v>Feb</v>
      </c>
      <c r="C180" s="2" t="str">
        <f t="shared" si="2"/>
        <v>2016</v>
      </c>
      <c r="D180" s="1" t="s">
        <v>759</v>
      </c>
      <c r="E180" s="1" t="s">
        <v>15</v>
      </c>
      <c r="F180" s="1" t="s">
        <v>11</v>
      </c>
      <c r="G180" s="1" t="s">
        <v>80</v>
      </c>
      <c r="H180" s="1" t="s">
        <v>760</v>
      </c>
      <c r="I180" s="1">
        <v>52.45</v>
      </c>
      <c r="J180" s="1">
        <v>2</v>
      </c>
      <c r="K180" s="1">
        <v>-131.12</v>
      </c>
    </row>
    <row r="181" spans="1:11" ht="12.75" x14ac:dyDescent="0.2">
      <c r="A181" s="2">
        <v>42402</v>
      </c>
      <c r="B181" s="2" t="str">
        <f>TEXT(Table1[[#This Row],[Order Date]],"MMM")</f>
        <v>Feb</v>
      </c>
      <c r="C181" s="2" t="str">
        <f t="shared" si="2"/>
        <v>2016</v>
      </c>
      <c r="D181" s="1" t="s">
        <v>763</v>
      </c>
      <c r="E181" s="1" t="s">
        <v>23</v>
      </c>
      <c r="F181" s="1" t="s">
        <v>33</v>
      </c>
      <c r="G181" s="1" t="s">
        <v>44</v>
      </c>
      <c r="H181" s="1" t="s">
        <v>764</v>
      </c>
      <c r="I181" s="1">
        <v>103.94</v>
      </c>
      <c r="J181" s="1">
        <v>4</v>
      </c>
      <c r="K181" s="1">
        <v>16.89</v>
      </c>
    </row>
    <row r="182" spans="1:11" ht="12.75" x14ac:dyDescent="0.2">
      <c r="A182" s="2">
        <v>42404</v>
      </c>
      <c r="B182" s="2" t="str">
        <f>TEXT(Table1[[#This Row],[Order Date]],"MMM")</f>
        <v>Feb</v>
      </c>
      <c r="C182" s="2" t="str">
        <f t="shared" si="2"/>
        <v>2016</v>
      </c>
      <c r="D182" s="1" t="s">
        <v>441</v>
      </c>
      <c r="E182" s="1" t="s">
        <v>120</v>
      </c>
      <c r="F182" s="1" t="s">
        <v>11</v>
      </c>
      <c r="G182" s="1" t="s">
        <v>20</v>
      </c>
      <c r="H182" s="1" t="s">
        <v>522</v>
      </c>
      <c r="I182" s="1">
        <v>33.549999999999997</v>
      </c>
      <c r="J182" s="1">
        <v>1</v>
      </c>
      <c r="K182" s="1">
        <v>12.58</v>
      </c>
    </row>
    <row r="183" spans="1:11" ht="12.75" x14ac:dyDescent="0.2">
      <c r="A183" s="2">
        <v>42405</v>
      </c>
      <c r="B183" s="2" t="str">
        <f>TEXT(Table1[[#This Row],[Order Date]],"MMM")</f>
        <v>Feb</v>
      </c>
      <c r="C183" s="2" t="str">
        <f t="shared" si="2"/>
        <v>2016</v>
      </c>
      <c r="D183" s="1" t="s">
        <v>765</v>
      </c>
      <c r="E183" s="1" t="s">
        <v>23</v>
      </c>
      <c r="F183" s="1" t="s">
        <v>11</v>
      </c>
      <c r="G183" s="1" t="s">
        <v>20</v>
      </c>
      <c r="H183" s="1" t="s">
        <v>766</v>
      </c>
      <c r="I183" s="1">
        <v>5.89</v>
      </c>
      <c r="J183" s="1">
        <v>4</v>
      </c>
      <c r="K183" s="1">
        <v>-4.12</v>
      </c>
    </row>
    <row r="184" spans="1:11" ht="12.75" x14ac:dyDescent="0.2">
      <c r="A184" s="2">
        <v>42407</v>
      </c>
      <c r="B184" s="2" t="str">
        <f>TEXT(Table1[[#This Row],[Order Date]],"MMM")</f>
        <v>Feb</v>
      </c>
      <c r="C184" s="2" t="str">
        <f t="shared" si="2"/>
        <v>2016</v>
      </c>
      <c r="D184" s="1" t="s">
        <v>412</v>
      </c>
      <c r="E184" s="1" t="s">
        <v>10</v>
      </c>
      <c r="F184" s="1" t="s">
        <v>38</v>
      </c>
      <c r="G184" s="1" t="s">
        <v>214</v>
      </c>
      <c r="H184" s="1" t="s">
        <v>730</v>
      </c>
      <c r="I184" s="1">
        <v>3059.98</v>
      </c>
      <c r="J184" s="1">
        <v>3</v>
      </c>
      <c r="K184" s="1">
        <v>-510</v>
      </c>
    </row>
    <row r="185" spans="1:11" ht="12.75" x14ac:dyDescent="0.2">
      <c r="A185" s="2">
        <v>42408</v>
      </c>
      <c r="B185" s="2" t="str">
        <f>TEXT(Table1[[#This Row],[Order Date]],"MMM")</f>
        <v>Feb</v>
      </c>
      <c r="C185" s="2" t="str">
        <f t="shared" si="2"/>
        <v>2016</v>
      </c>
      <c r="D185" s="1" t="s">
        <v>772</v>
      </c>
      <c r="E185" s="1" t="s">
        <v>15</v>
      </c>
      <c r="F185" s="1" t="s">
        <v>33</v>
      </c>
      <c r="G185" s="1" t="s">
        <v>118</v>
      </c>
      <c r="H185" s="1" t="s">
        <v>505</v>
      </c>
      <c r="I185" s="1">
        <v>617.70000000000005</v>
      </c>
      <c r="J185" s="1">
        <v>6</v>
      </c>
      <c r="K185" s="1">
        <v>-407.68</v>
      </c>
    </row>
    <row r="186" spans="1:11" ht="12.75" x14ac:dyDescent="0.2">
      <c r="A186" s="2">
        <v>42409</v>
      </c>
      <c r="B186" s="2" t="str">
        <f>TEXT(Table1[[#This Row],[Order Date]],"MMM")</f>
        <v>Feb</v>
      </c>
      <c r="C186" s="2" t="str">
        <f t="shared" si="2"/>
        <v>2016</v>
      </c>
      <c r="D186" s="1" t="s">
        <v>777</v>
      </c>
      <c r="E186" s="1" t="s">
        <v>134</v>
      </c>
      <c r="F186" s="1" t="s">
        <v>38</v>
      </c>
      <c r="G186" s="1" t="s">
        <v>39</v>
      </c>
      <c r="H186" s="1" t="s">
        <v>778</v>
      </c>
      <c r="I186" s="1">
        <v>246.38</v>
      </c>
      <c r="J186" s="1">
        <v>2</v>
      </c>
      <c r="K186" s="1">
        <v>27.72</v>
      </c>
    </row>
    <row r="187" spans="1:11" ht="12.75" x14ac:dyDescent="0.2">
      <c r="A187" s="2">
        <v>42410</v>
      </c>
      <c r="B187" s="2" t="str">
        <f>TEXT(Table1[[#This Row],[Order Date]],"MMM")</f>
        <v>Feb</v>
      </c>
      <c r="C187" s="2" t="str">
        <f t="shared" si="2"/>
        <v>2016</v>
      </c>
      <c r="D187" s="1" t="s">
        <v>790</v>
      </c>
      <c r="E187" s="1" t="s">
        <v>27</v>
      </c>
      <c r="F187" s="1" t="s">
        <v>11</v>
      </c>
      <c r="G187" s="1" t="s">
        <v>18</v>
      </c>
      <c r="H187" s="1" t="s">
        <v>791</v>
      </c>
      <c r="I187" s="1">
        <v>211.96</v>
      </c>
      <c r="J187" s="1">
        <v>4</v>
      </c>
      <c r="K187" s="1">
        <v>8.48</v>
      </c>
    </row>
    <row r="188" spans="1:11" ht="12.75" x14ac:dyDescent="0.2">
      <c r="A188" s="2">
        <v>42431</v>
      </c>
      <c r="B188" s="2" t="str">
        <f>TEXT(Table1[[#This Row],[Order Date]],"MMM")</f>
        <v>Mar</v>
      </c>
      <c r="C188" s="2" t="str">
        <f t="shared" si="2"/>
        <v>2016</v>
      </c>
      <c r="D188" s="1" t="s">
        <v>792</v>
      </c>
      <c r="E188" s="1" t="s">
        <v>10</v>
      </c>
      <c r="F188" s="1" t="s">
        <v>11</v>
      </c>
      <c r="G188" s="1" t="s">
        <v>12</v>
      </c>
      <c r="H188" s="1" t="s">
        <v>793</v>
      </c>
      <c r="I188" s="1">
        <v>33.79</v>
      </c>
      <c r="J188" s="1">
        <v>8</v>
      </c>
      <c r="K188" s="1">
        <v>10.56</v>
      </c>
    </row>
    <row r="189" spans="1:11" ht="12.75" x14ac:dyDescent="0.2">
      <c r="A189" s="2">
        <v>42432</v>
      </c>
      <c r="B189" s="2" t="str">
        <f>TEXT(Table1[[#This Row],[Order Date]],"MMM")</f>
        <v>Mar</v>
      </c>
      <c r="C189" s="2" t="str">
        <f t="shared" si="2"/>
        <v>2016</v>
      </c>
      <c r="D189" s="1" t="s">
        <v>240</v>
      </c>
      <c r="E189" s="1" t="s">
        <v>142</v>
      </c>
      <c r="F189" s="1" t="s">
        <v>33</v>
      </c>
      <c r="G189" s="1" t="s">
        <v>44</v>
      </c>
      <c r="H189" s="1" t="s">
        <v>798</v>
      </c>
      <c r="I189" s="1">
        <v>87.54</v>
      </c>
      <c r="J189" s="1">
        <v>3</v>
      </c>
      <c r="K189" s="1">
        <v>37.64</v>
      </c>
    </row>
    <row r="190" spans="1:11" ht="12.75" x14ac:dyDescent="0.2">
      <c r="A190" s="2">
        <v>42433</v>
      </c>
      <c r="B190" s="2" t="str">
        <f>TEXT(Table1[[#This Row],[Order Date]],"MMM")</f>
        <v>Mar</v>
      </c>
      <c r="C190" s="2" t="str">
        <f t="shared" si="2"/>
        <v>2016</v>
      </c>
      <c r="D190" s="1" t="s">
        <v>799</v>
      </c>
      <c r="E190" s="1" t="s">
        <v>287</v>
      </c>
      <c r="F190" s="1" t="s">
        <v>11</v>
      </c>
      <c r="G190" s="1" t="s">
        <v>18</v>
      </c>
      <c r="H190" s="1" t="s">
        <v>769</v>
      </c>
      <c r="I190" s="1">
        <v>46.26</v>
      </c>
      <c r="J190" s="1">
        <v>3</v>
      </c>
      <c r="K190" s="1">
        <v>12.49</v>
      </c>
    </row>
    <row r="191" spans="1:11" ht="12.75" x14ac:dyDescent="0.2">
      <c r="A191" s="2">
        <v>42434</v>
      </c>
      <c r="B191" s="2" t="str">
        <f>TEXT(Table1[[#This Row],[Order Date]],"MMM")</f>
        <v>Mar</v>
      </c>
      <c r="C191" s="2" t="str">
        <f t="shared" si="2"/>
        <v>2016</v>
      </c>
      <c r="D191" s="1" t="s">
        <v>702</v>
      </c>
      <c r="E191" s="1" t="s">
        <v>27</v>
      </c>
      <c r="F191" s="1" t="s">
        <v>33</v>
      </c>
      <c r="G191" s="1" t="s">
        <v>44</v>
      </c>
      <c r="H191" s="1" t="s">
        <v>802</v>
      </c>
      <c r="I191" s="1">
        <v>204.6</v>
      </c>
      <c r="J191" s="1">
        <v>2</v>
      </c>
      <c r="K191" s="1">
        <v>53.2</v>
      </c>
    </row>
    <row r="192" spans="1:11" ht="12.75" x14ac:dyDescent="0.2">
      <c r="A192" s="2">
        <v>42435</v>
      </c>
      <c r="B192" s="2" t="str">
        <f>TEXT(Table1[[#This Row],[Order Date]],"MMM")</f>
        <v>Mar</v>
      </c>
      <c r="C192" s="2" t="str">
        <f t="shared" si="2"/>
        <v>2016</v>
      </c>
      <c r="D192" s="1" t="s">
        <v>547</v>
      </c>
      <c r="E192" s="1" t="s">
        <v>120</v>
      </c>
      <c r="F192" s="1" t="s">
        <v>11</v>
      </c>
      <c r="G192" s="1" t="s">
        <v>12</v>
      </c>
      <c r="H192" s="1" t="s">
        <v>809</v>
      </c>
      <c r="I192" s="1">
        <v>48.94</v>
      </c>
      <c r="J192" s="1">
        <v>1</v>
      </c>
      <c r="K192" s="1">
        <v>24.47</v>
      </c>
    </row>
    <row r="193" spans="1:11" ht="12.75" x14ac:dyDescent="0.2">
      <c r="A193" s="2">
        <v>42437</v>
      </c>
      <c r="B193" s="2" t="str">
        <f>TEXT(Table1[[#This Row],[Order Date]],"MMM")</f>
        <v>Mar</v>
      </c>
      <c r="C193" s="2" t="str">
        <f t="shared" si="2"/>
        <v>2016</v>
      </c>
      <c r="D193" s="1" t="s">
        <v>812</v>
      </c>
      <c r="E193" s="1" t="s">
        <v>83</v>
      </c>
      <c r="F193" s="1" t="s">
        <v>11</v>
      </c>
      <c r="G193" s="1" t="s">
        <v>12</v>
      </c>
      <c r="H193" s="1" t="s">
        <v>813</v>
      </c>
      <c r="I193" s="1">
        <v>9.41</v>
      </c>
      <c r="J193" s="1">
        <v>2</v>
      </c>
      <c r="K193" s="1">
        <v>3.41</v>
      </c>
    </row>
    <row r="194" spans="1:11" ht="12.75" x14ac:dyDescent="0.2">
      <c r="A194" s="2">
        <v>42438</v>
      </c>
      <c r="B194" s="2" t="str">
        <f>TEXT(Table1[[#This Row],[Order Date]],"MMM")</f>
        <v>Mar</v>
      </c>
      <c r="C194" s="2" t="str">
        <f t="shared" ref="C194:C257" si="3">TEXT(A194,"YYY")</f>
        <v>2016</v>
      </c>
      <c r="D194" s="1" t="s">
        <v>821</v>
      </c>
      <c r="E194" s="1" t="s">
        <v>27</v>
      </c>
      <c r="F194" s="1" t="s">
        <v>11</v>
      </c>
      <c r="G194" s="1" t="s">
        <v>16</v>
      </c>
      <c r="H194" s="1" t="s">
        <v>822</v>
      </c>
      <c r="I194" s="1">
        <v>14.45</v>
      </c>
      <c r="J194" s="1">
        <v>5</v>
      </c>
      <c r="K194" s="1">
        <v>6.79</v>
      </c>
    </row>
    <row r="195" spans="1:11" ht="12.75" x14ac:dyDescent="0.2">
      <c r="A195" s="2">
        <v>42440</v>
      </c>
      <c r="B195" s="2" t="str">
        <f>TEXT(Table1[[#This Row],[Order Date]],"MMM")</f>
        <v>Mar</v>
      </c>
      <c r="C195" s="2" t="str">
        <f t="shared" si="3"/>
        <v>2016</v>
      </c>
      <c r="D195" s="1" t="s">
        <v>824</v>
      </c>
      <c r="E195" s="1" t="s">
        <v>68</v>
      </c>
      <c r="F195" s="1" t="s">
        <v>11</v>
      </c>
      <c r="G195" s="1" t="s">
        <v>80</v>
      </c>
      <c r="H195" s="1" t="s">
        <v>501</v>
      </c>
      <c r="I195" s="1">
        <v>91.92</v>
      </c>
      <c r="J195" s="1">
        <v>5</v>
      </c>
      <c r="K195" s="1">
        <v>11.49</v>
      </c>
    </row>
    <row r="196" spans="1:11" ht="12.75" x14ac:dyDescent="0.2">
      <c r="A196" s="2">
        <v>42462</v>
      </c>
      <c r="B196" s="2" t="str">
        <f>TEXT(Table1[[#This Row],[Order Date]],"MMM")</f>
        <v>Apr</v>
      </c>
      <c r="C196" s="2" t="str">
        <f t="shared" si="3"/>
        <v>2016</v>
      </c>
      <c r="D196" s="1" t="s">
        <v>93</v>
      </c>
      <c r="E196" s="1" t="s">
        <v>27</v>
      </c>
      <c r="F196" s="1" t="s">
        <v>38</v>
      </c>
      <c r="G196" s="1" t="s">
        <v>48</v>
      </c>
      <c r="H196" s="1" t="s">
        <v>825</v>
      </c>
      <c r="I196" s="1">
        <v>9.09</v>
      </c>
      <c r="J196" s="1">
        <v>3</v>
      </c>
      <c r="K196" s="1">
        <v>1.91</v>
      </c>
    </row>
    <row r="197" spans="1:11" ht="12.75" x14ac:dyDescent="0.2">
      <c r="A197" s="2">
        <v>42463</v>
      </c>
      <c r="B197" s="2" t="str">
        <f>TEXT(Table1[[#This Row],[Order Date]],"MMM")</f>
        <v>Apr</v>
      </c>
      <c r="C197" s="2" t="str">
        <f t="shared" si="3"/>
        <v>2016</v>
      </c>
      <c r="D197" s="1" t="s">
        <v>777</v>
      </c>
      <c r="E197" s="1" t="s">
        <v>187</v>
      </c>
      <c r="F197" s="1" t="s">
        <v>38</v>
      </c>
      <c r="G197" s="1" t="s">
        <v>48</v>
      </c>
      <c r="H197" s="1" t="s">
        <v>827</v>
      </c>
      <c r="I197" s="1">
        <v>23.47</v>
      </c>
      <c r="J197" s="1">
        <v>3</v>
      </c>
      <c r="K197" s="1">
        <v>4.99</v>
      </c>
    </row>
    <row r="198" spans="1:11" ht="12.75" x14ac:dyDescent="0.2">
      <c r="A198" s="2">
        <v>42464</v>
      </c>
      <c r="B198" s="2" t="str">
        <f>TEXT(Table1[[#This Row],[Order Date]],"MMM")</f>
        <v>Apr</v>
      </c>
      <c r="C198" s="2" t="str">
        <f t="shared" si="3"/>
        <v>2016</v>
      </c>
      <c r="D198" s="1" t="s">
        <v>828</v>
      </c>
      <c r="E198" s="1" t="s">
        <v>27</v>
      </c>
      <c r="F198" s="1" t="s">
        <v>33</v>
      </c>
      <c r="G198" s="1" t="s">
        <v>34</v>
      </c>
      <c r="H198" s="1" t="s">
        <v>817</v>
      </c>
      <c r="I198" s="1">
        <v>122.35</v>
      </c>
      <c r="J198" s="1">
        <v>3</v>
      </c>
      <c r="K198" s="1">
        <v>13.76</v>
      </c>
    </row>
    <row r="199" spans="1:11" ht="12.75" x14ac:dyDescent="0.2">
      <c r="A199" s="2">
        <v>42466</v>
      </c>
      <c r="B199" s="2" t="str">
        <f>TEXT(Table1[[#This Row],[Order Date]],"MMM")</f>
        <v>Apr</v>
      </c>
      <c r="C199" s="2" t="str">
        <f t="shared" si="3"/>
        <v>2016</v>
      </c>
      <c r="D199" s="1" t="s">
        <v>829</v>
      </c>
      <c r="E199" s="1" t="s">
        <v>23</v>
      </c>
      <c r="F199" s="1" t="s">
        <v>11</v>
      </c>
      <c r="G199" s="1" t="s">
        <v>18</v>
      </c>
      <c r="H199" s="1" t="s">
        <v>830</v>
      </c>
      <c r="I199" s="1">
        <v>281.89999999999998</v>
      </c>
      <c r="J199" s="1">
        <v>2</v>
      </c>
      <c r="K199" s="1">
        <v>10.57</v>
      </c>
    </row>
    <row r="200" spans="1:11" ht="12.75" x14ac:dyDescent="0.2">
      <c r="A200" s="2">
        <v>42467</v>
      </c>
      <c r="B200" s="2" t="str">
        <f>TEXT(Table1[[#This Row],[Order Date]],"MMM")</f>
        <v>Apr</v>
      </c>
      <c r="C200" s="2" t="str">
        <f t="shared" si="3"/>
        <v>2016</v>
      </c>
      <c r="D200" s="1" t="s">
        <v>832</v>
      </c>
      <c r="E200" s="1" t="s">
        <v>134</v>
      </c>
      <c r="F200" s="1" t="s">
        <v>11</v>
      </c>
      <c r="G200" s="1" t="s">
        <v>24</v>
      </c>
      <c r="H200" s="1" t="s">
        <v>619</v>
      </c>
      <c r="I200" s="1">
        <v>11.52</v>
      </c>
      <c r="J200" s="1">
        <v>4</v>
      </c>
      <c r="K200" s="1">
        <v>3.23</v>
      </c>
    </row>
    <row r="201" spans="1:11" ht="12.75" x14ac:dyDescent="0.2">
      <c r="A201" s="2">
        <v>42468</v>
      </c>
      <c r="B201" s="2" t="str">
        <f>TEXT(Table1[[#This Row],[Order Date]],"MMM")</f>
        <v>Apr</v>
      </c>
      <c r="C201" s="2" t="str">
        <f t="shared" si="3"/>
        <v>2016</v>
      </c>
      <c r="D201" s="1" t="s">
        <v>836</v>
      </c>
      <c r="E201" s="1" t="s">
        <v>442</v>
      </c>
      <c r="F201" s="1" t="s">
        <v>11</v>
      </c>
      <c r="G201" s="1" t="s">
        <v>20</v>
      </c>
      <c r="H201" s="1" t="s">
        <v>69</v>
      </c>
      <c r="I201" s="1">
        <v>22.92</v>
      </c>
      <c r="J201" s="1">
        <v>4</v>
      </c>
      <c r="K201" s="1">
        <v>11</v>
      </c>
    </row>
    <row r="202" spans="1:11" ht="12.75" x14ac:dyDescent="0.2">
      <c r="A202" s="2">
        <v>42472</v>
      </c>
      <c r="B202" s="2" t="str">
        <f>TEXT(Table1[[#This Row],[Order Date]],"MMM")</f>
        <v>Apr</v>
      </c>
      <c r="C202" s="2" t="str">
        <f t="shared" si="3"/>
        <v>2016</v>
      </c>
      <c r="D202" s="1" t="s">
        <v>543</v>
      </c>
      <c r="E202" s="1" t="s">
        <v>101</v>
      </c>
      <c r="F202" s="1" t="s">
        <v>33</v>
      </c>
      <c r="G202" s="1" t="s">
        <v>44</v>
      </c>
      <c r="H202" s="1" t="s">
        <v>232</v>
      </c>
      <c r="I202" s="1">
        <v>15.38</v>
      </c>
      <c r="J202" s="1">
        <v>1</v>
      </c>
      <c r="K202" s="1">
        <v>4.04</v>
      </c>
    </row>
    <row r="203" spans="1:11" ht="12.75" x14ac:dyDescent="0.2">
      <c r="A203" s="2">
        <v>42491</v>
      </c>
      <c r="B203" s="2" t="str">
        <f>TEXT(Table1[[#This Row],[Order Date]],"MMM")</f>
        <v>May</v>
      </c>
      <c r="C203" s="2" t="str">
        <f t="shared" si="3"/>
        <v>2016</v>
      </c>
      <c r="D203" s="1" t="s">
        <v>838</v>
      </c>
      <c r="E203" s="1" t="s">
        <v>27</v>
      </c>
      <c r="F203" s="1" t="s">
        <v>11</v>
      </c>
      <c r="G203" s="1" t="s">
        <v>20</v>
      </c>
      <c r="H203" s="1" t="s">
        <v>223</v>
      </c>
      <c r="I203" s="1">
        <v>14.35</v>
      </c>
      <c r="J203" s="1">
        <v>3</v>
      </c>
      <c r="K203" s="1">
        <v>5.0199999999999996</v>
      </c>
    </row>
    <row r="204" spans="1:11" ht="12.75" x14ac:dyDescent="0.2">
      <c r="A204" s="2">
        <v>42494</v>
      </c>
      <c r="B204" s="2" t="str">
        <f>TEXT(Table1[[#This Row],[Order Date]],"MMM")</f>
        <v>May</v>
      </c>
      <c r="C204" s="2" t="str">
        <f t="shared" si="3"/>
        <v>2016</v>
      </c>
      <c r="D204" s="1" t="s">
        <v>841</v>
      </c>
      <c r="E204" s="1" t="s">
        <v>320</v>
      </c>
      <c r="F204" s="1" t="s">
        <v>11</v>
      </c>
      <c r="G204" s="1" t="s">
        <v>18</v>
      </c>
      <c r="H204" s="1" t="s">
        <v>559</v>
      </c>
      <c r="I204" s="1">
        <v>275.97000000000003</v>
      </c>
      <c r="J204" s="1">
        <v>3</v>
      </c>
      <c r="K204" s="1">
        <v>11.04</v>
      </c>
    </row>
    <row r="205" spans="1:11" ht="12.75" x14ac:dyDescent="0.2">
      <c r="A205" s="2">
        <v>42498</v>
      </c>
      <c r="B205" s="2" t="str">
        <f>TEXT(Table1[[#This Row],[Order Date]],"MMM")</f>
        <v>May</v>
      </c>
      <c r="C205" s="2" t="str">
        <f t="shared" si="3"/>
        <v>2016</v>
      </c>
      <c r="D205" s="1" t="s">
        <v>845</v>
      </c>
      <c r="E205" s="1" t="s">
        <v>27</v>
      </c>
      <c r="F205" s="1" t="s">
        <v>11</v>
      </c>
      <c r="G205" s="1" t="s">
        <v>12</v>
      </c>
      <c r="H205" s="1" t="s">
        <v>846</v>
      </c>
      <c r="I205" s="1">
        <v>13.44</v>
      </c>
      <c r="J205" s="1">
        <v>3</v>
      </c>
      <c r="K205" s="1">
        <v>6.59</v>
      </c>
    </row>
    <row r="206" spans="1:11" ht="12.75" x14ac:dyDescent="0.2">
      <c r="A206" s="2">
        <v>42501</v>
      </c>
      <c r="B206" s="2" t="str">
        <f>TEXT(Table1[[#This Row],[Order Date]],"MMM")</f>
        <v>May</v>
      </c>
      <c r="C206" s="2" t="str">
        <f t="shared" si="3"/>
        <v>2016</v>
      </c>
      <c r="D206" s="1" t="s">
        <v>854</v>
      </c>
      <c r="E206" s="1" t="s">
        <v>68</v>
      </c>
      <c r="F206" s="1" t="s">
        <v>33</v>
      </c>
      <c r="G206" s="1" t="s">
        <v>44</v>
      </c>
      <c r="H206" s="1" t="s">
        <v>805</v>
      </c>
      <c r="I206" s="1">
        <v>93.89</v>
      </c>
      <c r="J206" s="1">
        <v>4</v>
      </c>
      <c r="K206" s="1">
        <v>12.91</v>
      </c>
    </row>
    <row r="207" spans="1:11" ht="12.75" x14ac:dyDescent="0.2">
      <c r="A207" s="2">
        <v>42523</v>
      </c>
      <c r="B207" s="2" t="str">
        <f>TEXT(Table1[[#This Row],[Order Date]],"MMM")</f>
        <v>Jun</v>
      </c>
      <c r="C207" s="2" t="str">
        <f t="shared" si="3"/>
        <v>2016</v>
      </c>
      <c r="D207" s="1" t="s">
        <v>361</v>
      </c>
      <c r="E207" s="1" t="s">
        <v>27</v>
      </c>
      <c r="F207" s="1" t="s">
        <v>11</v>
      </c>
      <c r="G207" s="1" t="s">
        <v>20</v>
      </c>
      <c r="H207" s="1" t="s">
        <v>856</v>
      </c>
      <c r="I207" s="1">
        <v>49.41</v>
      </c>
      <c r="J207" s="1">
        <v>4</v>
      </c>
      <c r="K207" s="1">
        <v>18.53</v>
      </c>
    </row>
    <row r="208" spans="1:11" ht="12.75" x14ac:dyDescent="0.2">
      <c r="A208" s="2">
        <v>42524</v>
      </c>
      <c r="B208" s="2" t="str">
        <f>TEXT(Table1[[#This Row],[Order Date]],"MMM")</f>
        <v>Jun</v>
      </c>
      <c r="C208" s="2" t="str">
        <f t="shared" si="3"/>
        <v>2016</v>
      </c>
      <c r="D208" s="1" t="s">
        <v>857</v>
      </c>
      <c r="E208" s="1" t="s">
        <v>134</v>
      </c>
      <c r="F208" s="1" t="s">
        <v>33</v>
      </c>
      <c r="G208" s="1" t="s">
        <v>44</v>
      </c>
      <c r="H208" s="1" t="s">
        <v>858</v>
      </c>
      <c r="I208" s="1">
        <v>63.92</v>
      </c>
      <c r="J208" s="1">
        <v>4</v>
      </c>
      <c r="K208" s="1">
        <v>3.2</v>
      </c>
    </row>
    <row r="209" spans="1:11" ht="12.75" x14ac:dyDescent="0.2">
      <c r="A209" s="2">
        <v>42525</v>
      </c>
      <c r="B209" s="2" t="str">
        <f>TEXT(Table1[[#This Row],[Order Date]],"MMM")</f>
        <v>Jun</v>
      </c>
      <c r="C209" s="2" t="str">
        <f t="shared" si="3"/>
        <v>2016</v>
      </c>
      <c r="D209" s="1" t="s">
        <v>859</v>
      </c>
      <c r="E209" s="1" t="s">
        <v>27</v>
      </c>
      <c r="F209" s="1" t="s">
        <v>11</v>
      </c>
      <c r="G209" s="1" t="s">
        <v>20</v>
      </c>
      <c r="H209" s="1" t="s">
        <v>299</v>
      </c>
      <c r="I209" s="1">
        <v>7.18</v>
      </c>
      <c r="J209" s="1">
        <v>2</v>
      </c>
      <c r="K209" s="1">
        <v>2.25</v>
      </c>
    </row>
    <row r="210" spans="1:11" ht="12.75" x14ac:dyDescent="0.2">
      <c r="A210" s="2">
        <v>42526</v>
      </c>
      <c r="B210" s="2" t="str">
        <f>TEXT(Table1[[#This Row],[Order Date]],"MMM")</f>
        <v>Jun</v>
      </c>
      <c r="C210" s="2" t="str">
        <f t="shared" si="3"/>
        <v>2016</v>
      </c>
      <c r="D210" s="1" t="s">
        <v>174</v>
      </c>
      <c r="E210" s="1" t="s">
        <v>15</v>
      </c>
      <c r="F210" s="1" t="s">
        <v>38</v>
      </c>
      <c r="G210" s="1" t="s">
        <v>39</v>
      </c>
      <c r="H210" s="1" t="s">
        <v>632</v>
      </c>
      <c r="I210" s="1">
        <v>2735.95</v>
      </c>
      <c r="J210" s="1">
        <v>6</v>
      </c>
      <c r="K210" s="1">
        <v>341.99</v>
      </c>
    </row>
    <row r="211" spans="1:11" ht="12.75" x14ac:dyDescent="0.2">
      <c r="A211" s="2">
        <v>42527</v>
      </c>
      <c r="B211" s="2" t="str">
        <f>TEXT(Table1[[#This Row],[Order Date]],"MMM")</f>
        <v>Jun</v>
      </c>
      <c r="C211" s="2" t="str">
        <f t="shared" si="3"/>
        <v>2016</v>
      </c>
      <c r="D211" s="1" t="s">
        <v>547</v>
      </c>
      <c r="E211" s="1" t="s">
        <v>200</v>
      </c>
      <c r="F211" s="1" t="s">
        <v>11</v>
      </c>
      <c r="G211" s="1" t="s">
        <v>24</v>
      </c>
      <c r="H211" s="1" t="s">
        <v>406</v>
      </c>
      <c r="I211" s="1">
        <v>43.18</v>
      </c>
      <c r="J211" s="1">
        <v>3</v>
      </c>
      <c r="K211" s="1">
        <v>4.32</v>
      </c>
    </row>
    <row r="212" spans="1:11" ht="12.75" x14ac:dyDescent="0.2">
      <c r="A212" s="2">
        <v>42552</v>
      </c>
      <c r="B212" s="2" t="str">
        <f>TEXT(Table1[[#This Row],[Order Date]],"MMM")</f>
        <v>Jul</v>
      </c>
      <c r="C212" s="2" t="str">
        <f t="shared" si="3"/>
        <v>2016</v>
      </c>
      <c r="D212" s="1" t="s">
        <v>606</v>
      </c>
      <c r="E212" s="1" t="s">
        <v>120</v>
      </c>
      <c r="F212" s="1" t="s">
        <v>11</v>
      </c>
      <c r="G212" s="1" t="s">
        <v>16</v>
      </c>
      <c r="H212" s="1" t="s">
        <v>773</v>
      </c>
      <c r="I212" s="1">
        <v>34.86</v>
      </c>
      <c r="J212" s="1">
        <v>7</v>
      </c>
      <c r="K212" s="1">
        <v>16.04</v>
      </c>
    </row>
    <row r="213" spans="1:11" ht="12.75" x14ac:dyDescent="0.2">
      <c r="A213" s="2">
        <v>42553</v>
      </c>
      <c r="B213" s="2" t="str">
        <f>TEXT(Table1[[#This Row],[Order Date]],"MMM")</f>
        <v>Jul</v>
      </c>
      <c r="C213" s="2" t="str">
        <f t="shared" si="3"/>
        <v>2016</v>
      </c>
      <c r="D213" s="1" t="s">
        <v>555</v>
      </c>
      <c r="E213" s="1" t="s">
        <v>23</v>
      </c>
      <c r="F213" s="1" t="s">
        <v>11</v>
      </c>
      <c r="G213" s="1" t="s">
        <v>158</v>
      </c>
      <c r="H213" s="1" t="s">
        <v>159</v>
      </c>
      <c r="I213" s="1">
        <v>286.33999999999997</v>
      </c>
      <c r="J213" s="1">
        <v>3</v>
      </c>
      <c r="K213" s="1">
        <v>-64.430000000000007</v>
      </c>
    </row>
    <row r="214" spans="1:11" ht="12.75" x14ac:dyDescent="0.2">
      <c r="A214" s="2">
        <v>42554</v>
      </c>
      <c r="B214" s="2" t="str">
        <f>TEXT(Table1[[#This Row],[Order Date]],"MMM")</f>
        <v>Jul</v>
      </c>
      <c r="C214" s="2" t="str">
        <f t="shared" si="3"/>
        <v>2016</v>
      </c>
      <c r="D214" s="1" t="s">
        <v>144</v>
      </c>
      <c r="E214" s="1" t="s">
        <v>120</v>
      </c>
      <c r="F214" s="1" t="s">
        <v>33</v>
      </c>
      <c r="G214" s="1" t="s">
        <v>34</v>
      </c>
      <c r="H214" s="1" t="s">
        <v>352</v>
      </c>
      <c r="I214" s="1">
        <v>135.88</v>
      </c>
      <c r="J214" s="1">
        <v>1</v>
      </c>
      <c r="K214" s="1">
        <v>24.16</v>
      </c>
    </row>
    <row r="215" spans="1:11" ht="12.75" x14ac:dyDescent="0.2">
      <c r="A215" s="2">
        <v>42555</v>
      </c>
      <c r="B215" s="2" t="str">
        <f>TEXT(Table1[[#This Row],[Order Date]],"MMM")</f>
        <v>Jul</v>
      </c>
      <c r="C215" s="2" t="str">
        <f t="shared" si="3"/>
        <v>2016</v>
      </c>
      <c r="D215" s="1" t="s">
        <v>694</v>
      </c>
      <c r="E215" s="1" t="s">
        <v>27</v>
      </c>
      <c r="F215" s="1" t="s">
        <v>33</v>
      </c>
      <c r="G215" s="1" t="s">
        <v>44</v>
      </c>
      <c r="H215" s="1" t="s">
        <v>883</v>
      </c>
      <c r="I215" s="1">
        <v>20.04</v>
      </c>
      <c r="J215" s="1">
        <v>6</v>
      </c>
      <c r="K215" s="1">
        <v>8.82</v>
      </c>
    </row>
    <row r="216" spans="1:11" ht="12.75" x14ac:dyDescent="0.2">
      <c r="A216" s="2">
        <v>42556</v>
      </c>
      <c r="B216" s="2" t="str">
        <f>TEXT(Table1[[#This Row],[Order Date]],"MMM")</f>
        <v>Jul</v>
      </c>
      <c r="C216" s="2" t="str">
        <f t="shared" si="3"/>
        <v>2016</v>
      </c>
      <c r="D216" s="1" t="s">
        <v>437</v>
      </c>
      <c r="E216" s="1" t="s">
        <v>30</v>
      </c>
      <c r="F216" s="1" t="s">
        <v>11</v>
      </c>
      <c r="G216" s="1" t="s">
        <v>12</v>
      </c>
      <c r="H216" s="1" t="s">
        <v>185</v>
      </c>
      <c r="I216" s="1">
        <v>43.68</v>
      </c>
      <c r="J216" s="1">
        <v>6</v>
      </c>
      <c r="K216" s="1">
        <v>20.97</v>
      </c>
    </row>
    <row r="217" spans="1:11" ht="12.75" x14ac:dyDescent="0.2">
      <c r="A217" s="2">
        <v>42558</v>
      </c>
      <c r="B217" s="2" t="str">
        <f>TEXT(Table1[[#This Row],[Order Date]],"MMM")</f>
        <v>Jul</v>
      </c>
      <c r="C217" s="2" t="str">
        <f t="shared" si="3"/>
        <v>2016</v>
      </c>
      <c r="D217" s="1" t="s">
        <v>886</v>
      </c>
      <c r="E217" s="1" t="s">
        <v>10</v>
      </c>
      <c r="F217" s="1" t="s">
        <v>11</v>
      </c>
      <c r="G217" s="1" t="s">
        <v>20</v>
      </c>
      <c r="H217" s="1" t="s">
        <v>691</v>
      </c>
      <c r="I217" s="1">
        <v>26.05</v>
      </c>
      <c r="J217" s="1">
        <v>3</v>
      </c>
      <c r="K217" s="1">
        <v>-44.28</v>
      </c>
    </row>
    <row r="218" spans="1:11" ht="12.75" x14ac:dyDescent="0.2">
      <c r="A218" s="2">
        <v>42559</v>
      </c>
      <c r="B218" s="2" t="str">
        <f>TEXT(Table1[[#This Row],[Order Date]],"MMM")</f>
        <v>Jul</v>
      </c>
      <c r="C218" s="2" t="str">
        <f t="shared" si="3"/>
        <v>2016</v>
      </c>
      <c r="D218" s="1" t="s">
        <v>400</v>
      </c>
      <c r="E218" s="1" t="s">
        <v>27</v>
      </c>
      <c r="F218" s="1" t="s">
        <v>38</v>
      </c>
      <c r="G218" s="1" t="s">
        <v>39</v>
      </c>
      <c r="H218" s="1" t="s">
        <v>888</v>
      </c>
      <c r="I218" s="1">
        <v>333.58</v>
      </c>
      <c r="J218" s="1">
        <v>3</v>
      </c>
      <c r="K218" s="1">
        <v>25.02</v>
      </c>
    </row>
    <row r="219" spans="1:11" ht="12.75" x14ac:dyDescent="0.2">
      <c r="A219" s="2">
        <v>42561</v>
      </c>
      <c r="B219" s="2" t="str">
        <f>TEXT(Table1[[#This Row],[Order Date]],"MMM")</f>
        <v>Jul</v>
      </c>
      <c r="C219" s="2" t="str">
        <f t="shared" si="3"/>
        <v>2016</v>
      </c>
      <c r="D219" s="1" t="s">
        <v>307</v>
      </c>
      <c r="E219" s="1" t="s">
        <v>27</v>
      </c>
      <c r="F219" s="1" t="s">
        <v>38</v>
      </c>
      <c r="G219" s="1" t="s">
        <v>39</v>
      </c>
      <c r="H219" s="1" t="s">
        <v>112</v>
      </c>
      <c r="I219" s="1">
        <v>601.54</v>
      </c>
      <c r="J219" s="1">
        <v>8</v>
      </c>
      <c r="K219" s="1">
        <v>60.15</v>
      </c>
    </row>
    <row r="220" spans="1:11" ht="12.75" x14ac:dyDescent="0.2">
      <c r="A220" s="2">
        <v>42562</v>
      </c>
      <c r="B220" s="2" t="str">
        <f>TEXT(Table1[[#This Row],[Order Date]],"MMM")</f>
        <v>Jul</v>
      </c>
      <c r="C220" s="2" t="str">
        <f t="shared" si="3"/>
        <v>2016</v>
      </c>
      <c r="D220" s="1" t="s">
        <v>895</v>
      </c>
      <c r="E220" s="1" t="s">
        <v>127</v>
      </c>
      <c r="F220" s="1" t="s">
        <v>11</v>
      </c>
      <c r="G220" s="1" t="s">
        <v>18</v>
      </c>
      <c r="H220" s="1" t="s">
        <v>896</v>
      </c>
      <c r="I220" s="1">
        <v>665.88</v>
      </c>
      <c r="J220" s="1">
        <v>6</v>
      </c>
      <c r="K220" s="1">
        <v>13.32</v>
      </c>
    </row>
    <row r="221" spans="1:11" ht="12.75" x14ac:dyDescent="0.2">
      <c r="A221" s="2">
        <v>42583</v>
      </c>
      <c r="B221" s="2" t="str">
        <f>TEXT(Table1[[#This Row],[Order Date]],"MMM")</f>
        <v>Aug</v>
      </c>
      <c r="C221" s="2" t="str">
        <f t="shared" si="3"/>
        <v>2016</v>
      </c>
      <c r="D221" s="1" t="s">
        <v>902</v>
      </c>
      <c r="E221" s="1" t="s">
        <v>10</v>
      </c>
      <c r="F221" s="1" t="s">
        <v>11</v>
      </c>
      <c r="G221" s="1" t="s">
        <v>18</v>
      </c>
      <c r="H221" s="1" t="s">
        <v>903</v>
      </c>
      <c r="I221" s="1">
        <v>49.63</v>
      </c>
      <c r="J221" s="1">
        <v>4</v>
      </c>
      <c r="K221" s="1">
        <v>4.96</v>
      </c>
    </row>
    <row r="222" spans="1:11" ht="12.75" x14ac:dyDescent="0.2">
      <c r="A222" s="2">
        <v>42584</v>
      </c>
      <c r="B222" s="2" t="str">
        <f>TEXT(Table1[[#This Row],[Order Date]],"MMM")</f>
        <v>Aug</v>
      </c>
      <c r="C222" s="2" t="str">
        <f t="shared" si="3"/>
        <v>2016</v>
      </c>
      <c r="D222" s="1" t="s">
        <v>907</v>
      </c>
      <c r="E222" s="1" t="s">
        <v>394</v>
      </c>
      <c r="F222" s="1" t="s">
        <v>38</v>
      </c>
      <c r="G222" s="1" t="s">
        <v>39</v>
      </c>
      <c r="H222" s="1" t="s">
        <v>880</v>
      </c>
      <c r="I222" s="1">
        <v>832.93</v>
      </c>
      <c r="J222" s="1">
        <v>7</v>
      </c>
      <c r="K222" s="1">
        <v>233.22</v>
      </c>
    </row>
    <row r="223" spans="1:11" ht="12.75" x14ac:dyDescent="0.2">
      <c r="A223" s="2">
        <v>42585</v>
      </c>
      <c r="B223" s="2" t="str">
        <f>TEXT(Table1[[#This Row],[Order Date]],"MMM")</f>
        <v>Aug</v>
      </c>
      <c r="C223" s="2" t="str">
        <f t="shared" si="3"/>
        <v>2016</v>
      </c>
      <c r="D223" s="1" t="s">
        <v>910</v>
      </c>
      <c r="E223" s="1" t="s">
        <v>98</v>
      </c>
      <c r="F223" s="1" t="s">
        <v>11</v>
      </c>
      <c r="G223" s="1" t="s">
        <v>24</v>
      </c>
      <c r="H223" s="1" t="s">
        <v>911</v>
      </c>
      <c r="I223" s="1">
        <v>4.22</v>
      </c>
      <c r="J223" s="1">
        <v>3</v>
      </c>
      <c r="K223" s="1">
        <v>0.48</v>
      </c>
    </row>
    <row r="224" spans="1:11" ht="12.75" x14ac:dyDescent="0.2">
      <c r="A224" s="2">
        <v>42586</v>
      </c>
      <c r="B224" s="2" t="str">
        <f>TEXT(Table1[[#This Row],[Order Date]],"MMM")</f>
        <v>Aug</v>
      </c>
      <c r="C224" s="2" t="str">
        <f t="shared" si="3"/>
        <v>2016</v>
      </c>
      <c r="D224" s="1" t="s">
        <v>914</v>
      </c>
      <c r="E224" s="1" t="s">
        <v>752</v>
      </c>
      <c r="F224" s="1" t="s">
        <v>38</v>
      </c>
      <c r="G224" s="1" t="s">
        <v>39</v>
      </c>
      <c r="H224" s="1" t="s">
        <v>671</v>
      </c>
      <c r="I224" s="1">
        <v>273.95999999999998</v>
      </c>
      <c r="J224" s="1">
        <v>2</v>
      </c>
      <c r="K224" s="1">
        <v>10.96</v>
      </c>
    </row>
    <row r="225" spans="1:11" ht="12.75" x14ac:dyDescent="0.2">
      <c r="A225" s="2">
        <v>42589</v>
      </c>
      <c r="B225" s="2" t="str">
        <f>TEXT(Table1[[#This Row],[Order Date]],"MMM")</f>
        <v>Aug</v>
      </c>
      <c r="C225" s="2" t="str">
        <f t="shared" si="3"/>
        <v>2016</v>
      </c>
      <c r="D225" s="1" t="s">
        <v>274</v>
      </c>
      <c r="E225" s="1" t="s">
        <v>221</v>
      </c>
      <c r="F225" s="1" t="s">
        <v>33</v>
      </c>
      <c r="G225" s="1" t="s">
        <v>34</v>
      </c>
      <c r="H225" s="1" t="s">
        <v>741</v>
      </c>
      <c r="I225" s="1">
        <v>479.9</v>
      </c>
      <c r="J225" s="1">
        <v>5</v>
      </c>
      <c r="K225" s="1">
        <v>81.58</v>
      </c>
    </row>
    <row r="226" spans="1:11" ht="12.75" x14ac:dyDescent="0.2">
      <c r="A226" s="2">
        <v>42591</v>
      </c>
      <c r="B226" s="2" t="str">
        <f>TEXT(Table1[[#This Row],[Order Date]],"MMM")</f>
        <v>Aug</v>
      </c>
      <c r="C226" s="2" t="str">
        <f t="shared" si="3"/>
        <v>2016</v>
      </c>
      <c r="D226" s="1" t="s">
        <v>923</v>
      </c>
      <c r="E226" s="1" t="s">
        <v>200</v>
      </c>
      <c r="F226" s="1" t="s">
        <v>33</v>
      </c>
      <c r="G226" s="1" t="s">
        <v>118</v>
      </c>
      <c r="H226" s="1" t="s">
        <v>924</v>
      </c>
      <c r="I226" s="1">
        <v>145.97999999999999</v>
      </c>
      <c r="J226" s="1">
        <v>2</v>
      </c>
      <c r="K226" s="1">
        <v>-99.27</v>
      </c>
    </row>
    <row r="227" spans="1:11" ht="12.75" x14ac:dyDescent="0.2">
      <c r="A227" s="2">
        <v>42592</v>
      </c>
      <c r="B227" s="2" t="str">
        <f>TEXT(Table1[[#This Row],[Order Date]],"MMM")</f>
        <v>Aug</v>
      </c>
      <c r="C227" s="2" t="str">
        <f t="shared" si="3"/>
        <v>2016</v>
      </c>
      <c r="D227" s="1" t="s">
        <v>909</v>
      </c>
      <c r="E227" s="1" t="s">
        <v>57</v>
      </c>
      <c r="F227" s="1" t="s">
        <v>38</v>
      </c>
      <c r="G227" s="1" t="s">
        <v>39</v>
      </c>
      <c r="H227" s="1" t="s">
        <v>265</v>
      </c>
      <c r="I227" s="1">
        <v>503.96</v>
      </c>
      <c r="J227" s="1">
        <v>4</v>
      </c>
      <c r="K227" s="1">
        <v>131.03</v>
      </c>
    </row>
    <row r="228" spans="1:11" ht="12.75" x14ac:dyDescent="0.2">
      <c r="A228" s="2">
        <v>42593</v>
      </c>
      <c r="B228" s="2" t="str">
        <f>TEXT(Table1[[#This Row],[Order Date]],"MMM")</f>
        <v>Aug</v>
      </c>
      <c r="C228" s="2" t="str">
        <f t="shared" si="3"/>
        <v>2016</v>
      </c>
      <c r="D228" s="1" t="s">
        <v>286</v>
      </c>
      <c r="E228" s="1" t="s">
        <v>120</v>
      </c>
      <c r="F228" s="1" t="s">
        <v>11</v>
      </c>
      <c r="G228" s="1" t="s">
        <v>58</v>
      </c>
      <c r="H228" s="1" t="s">
        <v>935</v>
      </c>
      <c r="I228" s="1">
        <v>34.74</v>
      </c>
      <c r="J228" s="1">
        <v>3</v>
      </c>
      <c r="K228" s="1">
        <v>17.37</v>
      </c>
    </row>
    <row r="229" spans="1:11" ht="12.75" x14ac:dyDescent="0.2">
      <c r="A229" s="2">
        <v>42594</v>
      </c>
      <c r="B229" s="2" t="str">
        <f>TEXT(Table1[[#This Row],[Order Date]],"MMM")</f>
        <v>Aug</v>
      </c>
      <c r="C229" s="2" t="str">
        <f t="shared" si="3"/>
        <v>2016</v>
      </c>
      <c r="D229" s="1" t="s">
        <v>326</v>
      </c>
      <c r="E229" s="1" t="s">
        <v>30</v>
      </c>
      <c r="F229" s="1" t="s">
        <v>11</v>
      </c>
      <c r="G229" s="1" t="s">
        <v>58</v>
      </c>
      <c r="H229" s="1" t="s">
        <v>938</v>
      </c>
      <c r="I229" s="1">
        <v>16.23</v>
      </c>
      <c r="J229" s="1">
        <v>3</v>
      </c>
      <c r="K229" s="1">
        <v>7.95</v>
      </c>
    </row>
    <row r="230" spans="1:11" ht="12.75" x14ac:dyDescent="0.2">
      <c r="A230" s="2">
        <v>42614</v>
      </c>
      <c r="B230" s="2" t="str">
        <f>TEXT(Table1[[#This Row],[Order Date]],"MMM")</f>
        <v>Sep</v>
      </c>
      <c r="C230" s="2" t="str">
        <f t="shared" si="3"/>
        <v>2016</v>
      </c>
      <c r="D230" s="1" t="s">
        <v>153</v>
      </c>
      <c r="E230" s="1" t="s">
        <v>27</v>
      </c>
      <c r="F230" s="1" t="s">
        <v>33</v>
      </c>
      <c r="G230" s="1" t="s">
        <v>34</v>
      </c>
      <c r="H230" s="1" t="s">
        <v>181</v>
      </c>
      <c r="I230" s="1">
        <v>603.91999999999996</v>
      </c>
      <c r="J230" s="1">
        <v>5</v>
      </c>
      <c r="K230" s="1">
        <v>-67.94</v>
      </c>
    </row>
    <row r="231" spans="1:11" ht="12.75" x14ac:dyDescent="0.2">
      <c r="A231" s="2">
        <v>42618</v>
      </c>
      <c r="B231" s="2" t="str">
        <f>TEXT(Table1[[#This Row],[Order Date]],"MMM")</f>
        <v>Sep</v>
      </c>
      <c r="C231" s="2" t="str">
        <f t="shared" si="3"/>
        <v>2016</v>
      </c>
      <c r="D231" s="1" t="s">
        <v>943</v>
      </c>
      <c r="E231" s="1" t="s">
        <v>68</v>
      </c>
      <c r="F231" s="1" t="s">
        <v>11</v>
      </c>
      <c r="G231" s="1" t="s">
        <v>24</v>
      </c>
      <c r="H231" s="1" t="s">
        <v>304</v>
      </c>
      <c r="I231" s="1">
        <v>2.62</v>
      </c>
      <c r="J231" s="1">
        <v>1</v>
      </c>
      <c r="K231" s="1">
        <v>0.43</v>
      </c>
    </row>
    <row r="232" spans="1:11" ht="12.75" x14ac:dyDescent="0.2">
      <c r="A232" s="2">
        <v>42621</v>
      </c>
      <c r="B232" s="2" t="str">
        <f>TEXT(Table1[[#This Row],[Order Date]],"MMM")</f>
        <v>Sep</v>
      </c>
      <c r="C232" s="2" t="str">
        <f t="shared" si="3"/>
        <v>2016</v>
      </c>
      <c r="D232" s="1" t="s">
        <v>524</v>
      </c>
      <c r="E232" s="1" t="s">
        <v>10</v>
      </c>
      <c r="F232" s="1" t="s">
        <v>33</v>
      </c>
      <c r="G232" s="1" t="s">
        <v>44</v>
      </c>
      <c r="H232" s="1" t="s">
        <v>89</v>
      </c>
      <c r="I232" s="1">
        <v>19.3</v>
      </c>
      <c r="J232" s="1">
        <v>5</v>
      </c>
      <c r="K232" s="1">
        <v>-14.48</v>
      </c>
    </row>
    <row r="233" spans="1:11" ht="12.75" x14ac:dyDescent="0.2">
      <c r="A233" s="2">
        <v>42644</v>
      </c>
      <c r="B233" s="2" t="str">
        <f>TEXT(Table1[[#This Row],[Order Date]],"MMM")</f>
        <v>Oct</v>
      </c>
      <c r="C233" s="2" t="str">
        <f t="shared" si="3"/>
        <v>2016</v>
      </c>
      <c r="D233" s="1" t="s">
        <v>955</v>
      </c>
      <c r="E233" s="1" t="s">
        <v>320</v>
      </c>
      <c r="F233" s="1" t="s">
        <v>11</v>
      </c>
      <c r="G233" s="1" t="s">
        <v>24</v>
      </c>
      <c r="H233" s="1" t="s">
        <v>956</v>
      </c>
      <c r="I233" s="1">
        <v>14.67</v>
      </c>
      <c r="J233" s="1">
        <v>3</v>
      </c>
      <c r="K233" s="1">
        <v>3.96</v>
      </c>
    </row>
    <row r="234" spans="1:11" ht="12.75" x14ac:dyDescent="0.2">
      <c r="A234" s="2">
        <v>42646</v>
      </c>
      <c r="B234" s="2" t="str">
        <f>TEXT(Table1[[#This Row],[Order Date]],"MMM")</f>
        <v>Oct</v>
      </c>
      <c r="C234" s="2" t="str">
        <f t="shared" si="3"/>
        <v>2016</v>
      </c>
      <c r="D234" s="1" t="s">
        <v>517</v>
      </c>
      <c r="E234" s="1" t="s">
        <v>23</v>
      </c>
      <c r="F234" s="1" t="s">
        <v>11</v>
      </c>
      <c r="G234" s="1" t="s">
        <v>16</v>
      </c>
      <c r="H234" s="1" t="s">
        <v>373</v>
      </c>
      <c r="I234" s="1">
        <v>5.04</v>
      </c>
      <c r="J234" s="1">
        <v>2</v>
      </c>
      <c r="K234" s="1">
        <v>1.76</v>
      </c>
    </row>
    <row r="235" spans="1:11" ht="12.75" x14ac:dyDescent="0.2">
      <c r="A235" s="2">
        <v>42647</v>
      </c>
      <c r="B235" s="2" t="str">
        <f>TEXT(Table1[[#This Row],[Order Date]],"MMM")</f>
        <v>Oct</v>
      </c>
      <c r="C235" s="2" t="str">
        <f t="shared" si="3"/>
        <v>2016</v>
      </c>
      <c r="D235" s="1" t="s">
        <v>908</v>
      </c>
      <c r="E235" s="1" t="s">
        <v>120</v>
      </c>
      <c r="F235" s="1" t="s">
        <v>11</v>
      </c>
      <c r="G235" s="1" t="s">
        <v>58</v>
      </c>
      <c r="H235" s="1" t="s">
        <v>962</v>
      </c>
      <c r="I235" s="1">
        <v>62.28</v>
      </c>
      <c r="J235" s="1">
        <v>4</v>
      </c>
      <c r="K235" s="1">
        <v>29.27</v>
      </c>
    </row>
    <row r="236" spans="1:11" ht="12.75" x14ac:dyDescent="0.2">
      <c r="A236" s="2">
        <v>42648</v>
      </c>
      <c r="B236" s="2" t="str">
        <f>TEXT(Table1[[#This Row],[Order Date]],"MMM")</f>
        <v>Oct</v>
      </c>
      <c r="C236" s="2" t="str">
        <f t="shared" si="3"/>
        <v>2016</v>
      </c>
      <c r="D236" s="1" t="s">
        <v>457</v>
      </c>
      <c r="E236" s="1" t="s">
        <v>127</v>
      </c>
      <c r="F236" s="1" t="s">
        <v>33</v>
      </c>
      <c r="G236" s="1" t="s">
        <v>34</v>
      </c>
      <c r="H236" s="1" t="s">
        <v>963</v>
      </c>
      <c r="I236" s="1">
        <v>2807.84</v>
      </c>
      <c r="J236" s="1">
        <v>8</v>
      </c>
      <c r="K236" s="1">
        <v>673.88</v>
      </c>
    </row>
    <row r="237" spans="1:11" ht="12.75" x14ac:dyDescent="0.2">
      <c r="A237" s="2">
        <v>42649</v>
      </c>
      <c r="B237" s="2" t="str">
        <f>TEXT(Table1[[#This Row],[Order Date]],"MMM")</f>
        <v>Oct</v>
      </c>
      <c r="C237" s="2" t="str">
        <f t="shared" si="3"/>
        <v>2016</v>
      </c>
      <c r="D237" s="1" t="s">
        <v>943</v>
      </c>
      <c r="E237" s="1" t="s">
        <v>518</v>
      </c>
      <c r="F237" s="1" t="s">
        <v>38</v>
      </c>
      <c r="G237" s="1" t="s">
        <v>39</v>
      </c>
      <c r="H237" s="1" t="s">
        <v>969</v>
      </c>
      <c r="I237" s="1">
        <v>479.96</v>
      </c>
      <c r="J237" s="1">
        <v>4</v>
      </c>
      <c r="K237" s="1">
        <v>134.38999999999999</v>
      </c>
    </row>
    <row r="238" spans="1:11" ht="12.75" x14ac:dyDescent="0.2">
      <c r="A238" s="2">
        <v>42650</v>
      </c>
      <c r="B238" s="2" t="str">
        <f>TEXT(Table1[[#This Row],[Order Date]],"MMM")</f>
        <v>Oct</v>
      </c>
      <c r="C238" s="2" t="str">
        <f t="shared" si="3"/>
        <v>2016</v>
      </c>
      <c r="D238" s="1" t="s">
        <v>970</v>
      </c>
      <c r="E238" s="1" t="s">
        <v>120</v>
      </c>
      <c r="F238" s="1" t="s">
        <v>38</v>
      </c>
      <c r="G238" s="1" t="s">
        <v>39</v>
      </c>
      <c r="H238" s="1" t="s">
        <v>866</v>
      </c>
      <c r="I238" s="1">
        <v>129.97999999999999</v>
      </c>
      <c r="J238" s="1">
        <v>2</v>
      </c>
      <c r="K238" s="1">
        <v>62.39</v>
      </c>
    </row>
    <row r="239" spans="1:11" ht="12.75" x14ac:dyDescent="0.2">
      <c r="A239" s="2">
        <v>42652</v>
      </c>
      <c r="B239" s="2" t="str">
        <f>TEXT(Table1[[#This Row],[Order Date]],"MMM")</f>
        <v>Oct</v>
      </c>
      <c r="C239" s="2" t="str">
        <f t="shared" si="3"/>
        <v>2016</v>
      </c>
      <c r="D239" s="1" t="s">
        <v>70</v>
      </c>
      <c r="E239" s="1" t="s">
        <v>83</v>
      </c>
      <c r="F239" s="1" t="s">
        <v>11</v>
      </c>
      <c r="G239" s="1" t="s">
        <v>24</v>
      </c>
      <c r="H239" s="1" t="s">
        <v>971</v>
      </c>
      <c r="I239" s="1">
        <v>1113.02</v>
      </c>
      <c r="J239" s="1">
        <v>8</v>
      </c>
      <c r="K239" s="1">
        <v>111.3</v>
      </c>
    </row>
    <row r="240" spans="1:11" ht="12.75" x14ac:dyDescent="0.2">
      <c r="A240" s="2">
        <v>42654</v>
      </c>
      <c r="B240" s="2" t="str">
        <f>TEXT(Table1[[#This Row],[Order Date]],"MMM")</f>
        <v>Oct</v>
      </c>
      <c r="C240" s="2" t="str">
        <f t="shared" si="3"/>
        <v>2016</v>
      </c>
      <c r="D240" s="1" t="s">
        <v>636</v>
      </c>
      <c r="E240" s="1" t="s">
        <v>10</v>
      </c>
      <c r="F240" s="1" t="s">
        <v>33</v>
      </c>
      <c r="G240" s="1" t="s">
        <v>44</v>
      </c>
      <c r="H240" s="1" t="s">
        <v>966</v>
      </c>
      <c r="I240" s="1">
        <v>23.98</v>
      </c>
      <c r="J240" s="1">
        <v>3</v>
      </c>
      <c r="K240" s="1">
        <v>-14.39</v>
      </c>
    </row>
    <row r="241" spans="1:11" ht="12.75" x14ac:dyDescent="0.2">
      <c r="A241" s="2">
        <v>42680</v>
      </c>
      <c r="B241" s="2" t="str">
        <f>TEXT(Table1[[#This Row],[Order Date]],"MMM")</f>
        <v>Nov</v>
      </c>
      <c r="C241" s="2" t="str">
        <f t="shared" si="3"/>
        <v>2016</v>
      </c>
      <c r="D241" s="1" t="s">
        <v>871</v>
      </c>
      <c r="E241" s="1" t="s">
        <v>51</v>
      </c>
      <c r="F241" s="1" t="s">
        <v>11</v>
      </c>
      <c r="G241" s="1" t="s">
        <v>12</v>
      </c>
      <c r="H241" s="1" t="s">
        <v>230</v>
      </c>
      <c r="I241" s="1">
        <v>105.52</v>
      </c>
      <c r="J241" s="1">
        <v>4</v>
      </c>
      <c r="K241" s="1">
        <v>48.54</v>
      </c>
    </row>
    <row r="242" spans="1:11" ht="12.75" x14ac:dyDescent="0.2">
      <c r="A242" s="2">
        <v>42683</v>
      </c>
      <c r="B242" s="2" t="str">
        <f>TEXT(Table1[[#This Row],[Order Date]],"MMM")</f>
        <v>Nov</v>
      </c>
      <c r="C242" s="2" t="str">
        <f t="shared" si="3"/>
        <v>2016</v>
      </c>
      <c r="D242" s="1" t="s">
        <v>980</v>
      </c>
      <c r="E242" s="1" t="s">
        <v>10</v>
      </c>
      <c r="F242" s="1" t="s">
        <v>11</v>
      </c>
      <c r="G242" s="1" t="s">
        <v>18</v>
      </c>
      <c r="H242" s="1" t="s">
        <v>981</v>
      </c>
      <c r="I242" s="1">
        <v>60.42</v>
      </c>
      <c r="J242" s="1">
        <v>2</v>
      </c>
      <c r="K242" s="1">
        <v>6.04</v>
      </c>
    </row>
    <row r="243" spans="1:11" ht="12.75" x14ac:dyDescent="0.2">
      <c r="A243" s="2">
        <v>42685</v>
      </c>
      <c r="B243" s="2" t="str">
        <f>TEXT(Table1[[#This Row],[Order Date]],"MMM")</f>
        <v>Nov</v>
      </c>
      <c r="C243" s="2" t="str">
        <f t="shared" si="3"/>
        <v>2016</v>
      </c>
      <c r="D243" s="1" t="s">
        <v>141</v>
      </c>
      <c r="E243" s="1" t="s">
        <v>27</v>
      </c>
      <c r="F243" s="1" t="s">
        <v>11</v>
      </c>
      <c r="G243" s="1" t="s">
        <v>12</v>
      </c>
      <c r="H243" s="1" t="s">
        <v>984</v>
      </c>
      <c r="I243" s="1">
        <v>34.68</v>
      </c>
      <c r="J243" s="1">
        <v>6</v>
      </c>
      <c r="K243" s="1">
        <v>16.989999999999998</v>
      </c>
    </row>
    <row r="244" spans="1:11" ht="12.75" x14ac:dyDescent="0.2">
      <c r="A244" s="2">
        <v>42686</v>
      </c>
      <c r="B244" s="2" t="str">
        <f>TEXT(Table1[[#This Row],[Order Date]],"MMM")</f>
        <v>Nov</v>
      </c>
      <c r="C244" s="2" t="str">
        <f t="shared" si="3"/>
        <v>2016</v>
      </c>
      <c r="D244" s="1" t="s">
        <v>724</v>
      </c>
      <c r="E244" s="1" t="s">
        <v>27</v>
      </c>
      <c r="F244" s="1" t="s">
        <v>33</v>
      </c>
      <c r="G244" s="1" t="s">
        <v>118</v>
      </c>
      <c r="H244" s="1" t="s">
        <v>985</v>
      </c>
      <c r="I244" s="1">
        <v>764.69</v>
      </c>
      <c r="J244" s="1">
        <v>6</v>
      </c>
      <c r="K244" s="1">
        <v>95.59</v>
      </c>
    </row>
    <row r="245" spans="1:11" ht="12.75" x14ac:dyDescent="0.2">
      <c r="A245" s="2">
        <v>42706</v>
      </c>
      <c r="B245" s="2" t="str">
        <f>TEXT(Table1[[#This Row],[Order Date]],"MMM")</f>
        <v>Dec</v>
      </c>
      <c r="C245" s="2" t="str">
        <f t="shared" si="3"/>
        <v>2016</v>
      </c>
      <c r="D245" s="1" t="s">
        <v>723</v>
      </c>
      <c r="E245" s="1" t="s">
        <v>27</v>
      </c>
      <c r="F245" s="1" t="s">
        <v>11</v>
      </c>
      <c r="G245" s="1" t="s">
        <v>12</v>
      </c>
      <c r="H245" s="1" t="s">
        <v>801</v>
      </c>
      <c r="I245" s="1">
        <v>90.24</v>
      </c>
      <c r="J245" s="1">
        <v>6</v>
      </c>
      <c r="K245" s="1">
        <v>41.51</v>
      </c>
    </row>
    <row r="246" spans="1:11" ht="12.75" x14ac:dyDescent="0.2">
      <c r="A246" s="2">
        <v>42711</v>
      </c>
      <c r="B246" s="2" t="str">
        <f>TEXT(Table1[[#This Row],[Order Date]],"MMM")</f>
        <v>Dec</v>
      </c>
      <c r="C246" s="2" t="str">
        <f t="shared" si="3"/>
        <v>2016</v>
      </c>
      <c r="D246" s="1" t="s">
        <v>514</v>
      </c>
      <c r="E246" s="1" t="s">
        <v>10</v>
      </c>
      <c r="F246" s="1" t="s">
        <v>38</v>
      </c>
      <c r="G246" s="1" t="s">
        <v>39</v>
      </c>
      <c r="H246" s="1" t="s">
        <v>992</v>
      </c>
      <c r="I246" s="1">
        <v>40.68</v>
      </c>
      <c r="J246" s="1">
        <v>3</v>
      </c>
      <c r="K246" s="1">
        <v>-9.15</v>
      </c>
    </row>
    <row r="247" spans="1:11" ht="12.75" x14ac:dyDescent="0.2">
      <c r="A247" s="2">
        <v>42712</v>
      </c>
      <c r="B247" s="2" t="str">
        <f>TEXT(Table1[[#This Row],[Order Date]],"MMM")</f>
        <v>Dec</v>
      </c>
      <c r="C247" s="2" t="str">
        <f t="shared" si="3"/>
        <v>2016</v>
      </c>
      <c r="D247" s="1" t="s">
        <v>338</v>
      </c>
      <c r="E247" s="1" t="s">
        <v>101</v>
      </c>
      <c r="F247" s="1" t="s">
        <v>11</v>
      </c>
      <c r="G247" s="1" t="s">
        <v>20</v>
      </c>
      <c r="H247" s="1" t="s">
        <v>994</v>
      </c>
      <c r="I247" s="1">
        <v>1.17</v>
      </c>
      <c r="J247" s="1">
        <v>1</v>
      </c>
      <c r="K247" s="1">
        <v>-0.86</v>
      </c>
    </row>
    <row r="248" spans="1:11" ht="12.75" x14ac:dyDescent="0.2">
      <c r="A248" s="2">
        <v>42713</v>
      </c>
      <c r="B248" s="2" t="str">
        <f>TEXT(Table1[[#This Row],[Order Date]],"MMM")</f>
        <v>Dec</v>
      </c>
      <c r="C248" s="2" t="str">
        <f t="shared" si="3"/>
        <v>2016</v>
      </c>
      <c r="D248" s="1" t="s">
        <v>902</v>
      </c>
      <c r="E248" s="1" t="s">
        <v>30</v>
      </c>
      <c r="F248" s="1" t="s">
        <v>11</v>
      </c>
      <c r="G248" s="1" t="s">
        <v>24</v>
      </c>
      <c r="H248" s="1" t="s">
        <v>308</v>
      </c>
      <c r="I248" s="1">
        <v>40.049999999999997</v>
      </c>
      <c r="J248" s="1">
        <v>3</v>
      </c>
      <c r="K248" s="1">
        <v>11.21</v>
      </c>
    </row>
    <row r="249" spans="1:11" ht="12.75" x14ac:dyDescent="0.2">
      <c r="A249" s="2">
        <v>42715</v>
      </c>
      <c r="B249" s="2" t="str">
        <f>TEXT(Table1[[#This Row],[Order Date]],"MMM")</f>
        <v>Dec</v>
      </c>
      <c r="C249" s="2" t="str">
        <f t="shared" si="3"/>
        <v>2016</v>
      </c>
      <c r="D249" s="1" t="s">
        <v>997</v>
      </c>
      <c r="E249" s="1" t="s">
        <v>101</v>
      </c>
      <c r="F249" s="1" t="s">
        <v>11</v>
      </c>
      <c r="G249" s="1" t="s">
        <v>20</v>
      </c>
      <c r="H249" s="1" t="s">
        <v>218</v>
      </c>
      <c r="I249" s="1">
        <v>4.8099999999999996</v>
      </c>
      <c r="J249" s="1">
        <v>2</v>
      </c>
      <c r="K249" s="1">
        <v>-3.69</v>
      </c>
    </row>
    <row r="250" spans="1:11" ht="12.75" x14ac:dyDescent="0.2">
      <c r="A250" s="2">
        <v>42736</v>
      </c>
      <c r="B250" s="2" t="str">
        <f>TEXT(Table1[[#This Row],[Order Date]],"MMM")</f>
        <v>Jan</v>
      </c>
      <c r="C250" s="2" t="str">
        <f t="shared" si="3"/>
        <v>2017</v>
      </c>
      <c r="D250" s="1" t="s">
        <v>243</v>
      </c>
      <c r="E250" s="1" t="s">
        <v>27</v>
      </c>
      <c r="F250" s="1" t="s">
        <v>33</v>
      </c>
      <c r="G250" s="1" t="s">
        <v>34</v>
      </c>
      <c r="H250" s="1" t="s">
        <v>731</v>
      </c>
      <c r="I250" s="1">
        <v>1325.76</v>
      </c>
      <c r="J250" s="1">
        <v>6</v>
      </c>
      <c r="K250" s="1">
        <v>149.15</v>
      </c>
    </row>
    <row r="251" spans="1:11" ht="12.75" x14ac:dyDescent="0.2">
      <c r="A251" s="2">
        <v>42744</v>
      </c>
      <c r="B251" s="2" t="str">
        <f>TEXT(Table1[[#This Row],[Order Date]],"MMM")</f>
        <v>Jan</v>
      </c>
      <c r="C251" s="2" t="str">
        <f t="shared" si="3"/>
        <v>2017</v>
      </c>
      <c r="D251" s="1" t="s">
        <v>1008</v>
      </c>
      <c r="E251" s="1" t="s">
        <v>27</v>
      </c>
      <c r="F251" s="1" t="s">
        <v>11</v>
      </c>
      <c r="G251" s="1" t="s">
        <v>24</v>
      </c>
      <c r="H251" s="1" t="s">
        <v>1009</v>
      </c>
      <c r="I251" s="1">
        <v>11.76</v>
      </c>
      <c r="J251" s="1">
        <v>4</v>
      </c>
      <c r="K251" s="1">
        <v>3.18</v>
      </c>
    </row>
    <row r="252" spans="1:11" ht="12.75" x14ac:dyDescent="0.2">
      <c r="A252" s="2">
        <v>42745</v>
      </c>
      <c r="B252" s="2" t="str">
        <f>TEXT(Table1[[#This Row],[Order Date]],"MMM")</f>
        <v>Jan</v>
      </c>
      <c r="C252" s="2" t="str">
        <f t="shared" si="3"/>
        <v>2017</v>
      </c>
      <c r="D252" s="1" t="s">
        <v>1013</v>
      </c>
      <c r="E252" s="1" t="s">
        <v>107</v>
      </c>
      <c r="F252" s="1" t="s">
        <v>11</v>
      </c>
      <c r="G252" s="1" t="s">
        <v>80</v>
      </c>
      <c r="H252" s="1" t="s">
        <v>1014</v>
      </c>
      <c r="I252" s="1">
        <v>207.24</v>
      </c>
      <c r="J252" s="1">
        <v>11</v>
      </c>
      <c r="K252" s="1">
        <v>58.03</v>
      </c>
    </row>
    <row r="253" spans="1:11" ht="12.75" x14ac:dyDescent="0.2">
      <c r="A253" s="2">
        <v>42747</v>
      </c>
      <c r="B253" s="2" t="str">
        <f>TEXT(Table1[[#This Row],[Order Date]],"MMM")</f>
        <v>Jan</v>
      </c>
      <c r="C253" s="2" t="str">
        <f t="shared" si="3"/>
        <v>2017</v>
      </c>
      <c r="D253" s="1" t="s">
        <v>636</v>
      </c>
      <c r="E253" s="1" t="s">
        <v>101</v>
      </c>
      <c r="F253" s="1" t="s">
        <v>11</v>
      </c>
      <c r="G253" s="1" t="s">
        <v>12</v>
      </c>
      <c r="H253" s="1" t="s">
        <v>904</v>
      </c>
      <c r="I253" s="1">
        <v>9.57</v>
      </c>
      <c r="J253" s="1">
        <v>2</v>
      </c>
      <c r="K253" s="1">
        <v>3.47</v>
      </c>
    </row>
    <row r="254" spans="1:11" ht="12.75" x14ac:dyDescent="0.2">
      <c r="A254" s="2">
        <v>42767</v>
      </c>
      <c r="B254" s="2" t="str">
        <f>TEXT(Table1[[#This Row],[Order Date]],"MMM")</f>
        <v>Feb</v>
      </c>
      <c r="C254" s="2" t="str">
        <f t="shared" si="3"/>
        <v>2017</v>
      </c>
      <c r="D254" s="1" t="s">
        <v>993</v>
      </c>
      <c r="E254" s="1" t="s">
        <v>23</v>
      </c>
      <c r="F254" s="1" t="s">
        <v>11</v>
      </c>
      <c r="G254" s="1" t="s">
        <v>24</v>
      </c>
      <c r="H254" s="1" t="s">
        <v>1023</v>
      </c>
      <c r="I254" s="1">
        <v>99.14</v>
      </c>
      <c r="J254" s="1">
        <v>4</v>
      </c>
      <c r="K254" s="1">
        <v>8.67</v>
      </c>
    </row>
    <row r="255" spans="1:11" ht="12.75" x14ac:dyDescent="0.2">
      <c r="A255" s="2">
        <v>42769</v>
      </c>
      <c r="B255" s="2" t="str">
        <f>TEXT(Table1[[#This Row],[Order Date]],"MMM")</f>
        <v>Feb</v>
      </c>
      <c r="C255" s="2" t="str">
        <f t="shared" si="3"/>
        <v>2017</v>
      </c>
      <c r="D255" s="1" t="s">
        <v>1025</v>
      </c>
      <c r="E255" s="1" t="s">
        <v>221</v>
      </c>
      <c r="F255" s="1" t="s">
        <v>11</v>
      </c>
      <c r="G255" s="1" t="s">
        <v>18</v>
      </c>
      <c r="H255" s="1" t="s">
        <v>520</v>
      </c>
      <c r="I255" s="1">
        <v>24.56</v>
      </c>
      <c r="J255" s="1">
        <v>2</v>
      </c>
      <c r="K255" s="1">
        <v>6.88</v>
      </c>
    </row>
    <row r="256" spans="1:11" ht="12.75" x14ac:dyDescent="0.2">
      <c r="A256" s="2">
        <v>42771</v>
      </c>
      <c r="B256" s="2" t="str">
        <f>TEXT(Table1[[#This Row],[Order Date]],"MMM")</f>
        <v>Feb</v>
      </c>
      <c r="C256" s="2" t="str">
        <f t="shared" si="3"/>
        <v>2017</v>
      </c>
      <c r="D256" s="1" t="s">
        <v>1028</v>
      </c>
      <c r="E256" s="1" t="s">
        <v>94</v>
      </c>
      <c r="F256" s="1" t="s">
        <v>11</v>
      </c>
      <c r="G256" s="1" t="s">
        <v>24</v>
      </c>
      <c r="H256" s="1" t="s">
        <v>399</v>
      </c>
      <c r="I256" s="1">
        <v>9.84</v>
      </c>
      <c r="J256" s="1">
        <v>3</v>
      </c>
      <c r="K256" s="1">
        <v>2.85</v>
      </c>
    </row>
    <row r="257" spans="1:11" ht="12.75" x14ac:dyDescent="0.2">
      <c r="A257" s="2">
        <v>42778</v>
      </c>
      <c r="B257" s="2" t="str">
        <f>TEXT(Table1[[#This Row],[Order Date]],"MMM")</f>
        <v>Feb</v>
      </c>
      <c r="C257" s="2" t="str">
        <f t="shared" si="3"/>
        <v>2017</v>
      </c>
      <c r="D257" s="1" t="s">
        <v>1030</v>
      </c>
      <c r="E257" s="1" t="s">
        <v>120</v>
      </c>
      <c r="F257" s="1" t="s">
        <v>33</v>
      </c>
      <c r="G257" s="1" t="s">
        <v>65</v>
      </c>
      <c r="H257" s="1" t="s">
        <v>1031</v>
      </c>
      <c r="I257" s="1">
        <v>1573.49</v>
      </c>
      <c r="J257" s="1">
        <v>7</v>
      </c>
      <c r="K257" s="1">
        <v>196.69</v>
      </c>
    </row>
    <row r="258" spans="1:11" ht="12.75" x14ac:dyDescent="0.2">
      <c r="A258" s="2">
        <v>42795</v>
      </c>
      <c r="B258" s="2" t="str">
        <f>TEXT(Table1[[#This Row],[Order Date]],"MMM")</f>
        <v>Mar</v>
      </c>
      <c r="C258" s="2" t="str">
        <f t="shared" ref="C258:C321" si="4">TEXT(A258,"YYY")</f>
        <v>2017</v>
      </c>
      <c r="D258" s="1" t="s">
        <v>422</v>
      </c>
      <c r="E258" s="1" t="s">
        <v>68</v>
      </c>
      <c r="F258" s="1" t="s">
        <v>11</v>
      </c>
      <c r="G258" s="1" t="s">
        <v>16</v>
      </c>
      <c r="H258" s="1" t="s">
        <v>244</v>
      </c>
      <c r="I258" s="1">
        <v>23.68</v>
      </c>
      <c r="J258" s="1">
        <v>2</v>
      </c>
      <c r="K258" s="1">
        <v>8.8800000000000008</v>
      </c>
    </row>
    <row r="259" spans="1:11" ht="12.75" x14ac:dyDescent="0.2">
      <c r="A259" s="2">
        <v>42797</v>
      </c>
      <c r="B259" s="2" t="str">
        <f>TEXT(Table1[[#This Row],[Order Date]],"MMM")</f>
        <v>Mar</v>
      </c>
      <c r="C259" s="2" t="str">
        <f t="shared" si="4"/>
        <v>2017</v>
      </c>
      <c r="D259" s="1" t="s">
        <v>172</v>
      </c>
      <c r="E259" s="1" t="s">
        <v>134</v>
      </c>
      <c r="F259" s="1" t="s">
        <v>33</v>
      </c>
      <c r="G259" s="1" t="s">
        <v>34</v>
      </c>
      <c r="H259" s="1" t="s">
        <v>450</v>
      </c>
      <c r="I259" s="1">
        <v>61.58</v>
      </c>
      <c r="J259" s="1">
        <v>1</v>
      </c>
      <c r="K259" s="1">
        <v>-6.93</v>
      </c>
    </row>
    <row r="260" spans="1:11" ht="12.75" x14ac:dyDescent="0.2">
      <c r="A260" s="2">
        <v>42798</v>
      </c>
      <c r="B260" s="2" t="str">
        <f>TEXT(Table1[[#This Row],[Order Date]],"MMM")</f>
        <v>Mar</v>
      </c>
      <c r="C260" s="2" t="str">
        <f t="shared" si="4"/>
        <v>2017</v>
      </c>
      <c r="D260" s="1" t="s">
        <v>1037</v>
      </c>
      <c r="E260" s="1" t="s">
        <v>54</v>
      </c>
      <c r="F260" s="1" t="s">
        <v>11</v>
      </c>
      <c r="G260" s="1" t="s">
        <v>18</v>
      </c>
      <c r="H260" s="1" t="s">
        <v>795</v>
      </c>
      <c r="I260" s="1">
        <v>465.18</v>
      </c>
      <c r="J260" s="1">
        <v>3</v>
      </c>
      <c r="K260" s="1">
        <v>120.95</v>
      </c>
    </row>
    <row r="261" spans="1:11" ht="12.75" x14ac:dyDescent="0.2">
      <c r="A261" s="2">
        <v>42800</v>
      </c>
      <c r="B261" s="2" t="str">
        <f>TEXT(Table1[[#This Row],[Order Date]],"MMM")</f>
        <v>Mar</v>
      </c>
      <c r="C261" s="2" t="str">
        <f t="shared" si="4"/>
        <v>2017</v>
      </c>
      <c r="D261" s="1" t="s">
        <v>588</v>
      </c>
      <c r="E261" s="1" t="s">
        <v>27</v>
      </c>
      <c r="F261" s="1" t="s">
        <v>11</v>
      </c>
      <c r="G261" s="1" t="s">
        <v>20</v>
      </c>
      <c r="H261" s="1" t="s">
        <v>1039</v>
      </c>
      <c r="I261" s="1">
        <v>70.010000000000005</v>
      </c>
      <c r="J261" s="1">
        <v>3</v>
      </c>
      <c r="K261" s="1">
        <v>24.5</v>
      </c>
    </row>
    <row r="262" spans="1:11" ht="12.75" x14ac:dyDescent="0.2">
      <c r="A262" s="2">
        <v>42801</v>
      </c>
      <c r="B262" s="2" t="str">
        <f>TEXT(Table1[[#This Row],[Order Date]],"MMM")</f>
        <v>Mar</v>
      </c>
      <c r="C262" s="2" t="str">
        <f t="shared" si="4"/>
        <v>2017</v>
      </c>
      <c r="D262" s="1" t="s">
        <v>389</v>
      </c>
      <c r="E262" s="1" t="s">
        <v>15</v>
      </c>
      <c r="F262" s="1" t="s">
        <v>33</v>
      </c>
      <c r="G262" s="1" t="s">
        <v>44</v>
      </c>
      <c r="H262" s="1" t="s">
        <v>95</v>
      </c>
      <c r="I262" s="1">
        <v>254.74</v>
      </c>
      <c r="J262" s="1">
        <v>7</v>
      </c>
      <c r="K262" s="1">
        <v>-312.06</v>
      </c>
    </row>
    <row r="263" spans="1:11" ht="12.75" x14ac:dyDescent="0.2">
      <c r="A263" s="2">
        <v>42802</v>
      </c>
      <c r="B263" s="2" t="str">
        <f>TEXT(Table1[[#This Row],[Order Date]],"MMM")</f>
        <v>Mar</v>
      </c>
      <c r="C263" s="2" t="str">
        <f t="shared" si="4"/>
        <v>2017</v>
      </c>
      <c r="D263" s="1" t="s">
        <v>502</v>
      </c>
      <c r="E263" s="1" t="s">
        <v>337</v>
      </c>
      <c r="F263" s="1" t="s">
        <v>11</v>
      </c>
      <c r="G263" s="1" t="s">
        <v>12</v>
      </c>
      <c r="H263" s="1" t="s">
        <v>92</v>
      </c>
      <c r="I263" s="1">
        <v>29.04</v>
      </c>
      <c r="J263" s="1">
        <v>3</v>
      </c>
      <c r="K263" s="1">
        <v>13.94</v>
      </c>
    </row>
    <row r="264" spans="1:11" ht="12.75" x14ac:dyDescent="0.2">
      <c r="A264" s="2">
        <v>42803</v>
      </c>
      <c r="B264" s="2" t="str">
        <f>TEXT(Table1[[#This Row],[Order Date]],"MMM")</f>
        <v>Mar</v>
      </c>
      <c r="C264" s="2" t="str">
        <f t="shared" si="4"/>
        <v>2017</v>
      </c>
      <c r="D264" s="1" t="s">
        <v>968</v>
      </c>
      <c r="E264" s="1" t="s">
        <v>27</v>
      </c>
      <c r="F264" s="1" t="s">
        <v>11</v>
      </c>
      <c r="G264" s="1" t="s">
        <v>12</v>
      </c>
      <c r="H264" s="1" t="s">
        <v>1041</v>
      </c>
      <c r="I264" s="1">
        <v>182.72</v>
      </c>
      <c r="J264" s="1">
        <v>8</v>
      </c>
      <c r="K264" s="1">
        <v>84.05</v>
      </c>
    </row>
    <row r="265" spans="1:11" ht="12.75" x14ac:dyDescent="0.2">
      <c r="A265" s="2">
        <v>42804</v>
      </c>
      <c r="B265" s="2" t="str">
        <f>TEXT(Table1[[#This Row],[Order Date]],"MMM")</f>
        <v>Mar</v>
      </c>
      <c r="C265" s="2" t="str">
        <f t="shared" si="4"/>
        <v>2017</v>
      </c>
      <c r="D265" s="1" t="s">
        <v>53</v>
      </c>
      <c r="E265" s="1" t="s">
        <v>68</v>
      </c>
      <c r="F265" s="1" t="s">
        <v>33</v>
      </c>
      <c r="G265" s="1" t="s">
        <v>34</v>
      </c>
      <c r="H265" s="1" t="s">
        <v>1000</v>
      </c>
      <c r="I265" s="1">
        <v>181.99</v>
      </c>
      <c r="J265" s="1">
        <v>2</v>
      </c>
      <c r="K265" s="1">
        <v>-54.6</v>
      </c>
    </row>
    <row r="266" spans="1:11" ht="12.75" x14ac:dyDescent="0.2">
      <c r="A266" s="2">
        <v>42831</v>
      </c>
      <c r="B266" s="2" t="str">
        <f>TEXT(Table1[[#This Row],[Order Date]],"MMM")</f>
        <v>Apr</v>
      </c>
      <c r="C266" s="2" t="str">
        <f t="shared" si="4"/>
        <v>2017</v>
      </c>
      <c r="D266" s="1" t="s">
        <v>672</v>
      </c>
      <c r="E266" s="1" t="s">
        <v>187</v>
      </c>
      <c r="F266" s="1" t="s">
        <v>33</v>
      </c>
      <c r="G266" s="1" t="s">
        <v>118</v>
      </c>
      <c r="H266" s="1" t="s">
        <v>267</v>
      </c>
      <c r="I266" s="1">
        <v>4297.6400000000003</v>
      </c>
      <c r="J266" s="1">
        <v>13</v>
      </c>
      <c r="K266" s="1">
        <v>-1862.31</v>
      </c>
    </row>
    <row r="267" spans="1:11" ht="12.75" x14ac:dyDescent="0.2">
      <c r="A267" s="2">
        <v>42836</v>
      </c>
      <c r="B267" s="2" t="str">
        <f>TEXT(Table1[[#This Row],[Order Date]],"MMM")</f>
        <v>Apr</v>
      </c>
      <c r="C267" s="2" t="str">
        <f t="shared" si="4"/>
        <v>2017</v>
      </c>
      <c r="D267" s="1" t="s">
        <v>696</v>
      </c>
      <c r="E267" s="1" t="s">
        <v>10</v>
      </c>
      <c r="F267" s="1" t="s">
        <v>11</v>
      </c>
      <c r="G267" s="1" t="s">
        <v>12</v>
      </c>
      <c r="H267" s="1" t="s">
        <v>1043</v>
      </c>
      <c r="I267" s="1">
        <v>14.3</v>
      </c>
      <c r="J267" s="1">
        <v>6</v>
      </c>
      <c r="K267" s="1">
        <v>5.01</v>
      </c>
    </row>
    <row r="268" spans="1:11" ht="12.75" x14ac:dyDescent="0.2">
      <c r="A268" s="2">
        <v>42858</v>
      </c>
      <c r="B268" s="2" t="str">
        <f>TEXT(Table1[[#This Row],[Order Date]],"MMM")</f>
        <v>May</v>
      </c>
      <c r="C268" s="2" t="str">
        <f t="shared" si="4"/>
        <v>2017</v>
      </c>
      <c r="D268" s="1" t="s">
        <v>709</v>
      </c>
      <c r="E268" s="1" t="s">
        <v>221</v>
      </c>
      <c r="F268" s="1" t="s">
        <v>11</v>
      </c>
      <c r="G268" s="1" t="s">
        <v>12</v>
      </c>
      <c r="H268" s="1" t="s">
        <v>456</v>
      </c>
      <c r="I268" s="1">
        <v>12.96</v>
      </c>
      <c r="J268" s="1">
        <v>2</v>
      </c>
      <c r="K268" s="1">
        <v>6.22</v>
      </c>
    </row>
    <row r="269" spans="1:11" ht="12.75" x14ac:dyDescent="0.2">
      <c r="A269" s="2">
        <v>42862</v>
      </c>
      <c r="B269" s="2" t="str">
        <f>TEXT(Table1[[#This Row],[Order Date]],"MMM")</f>
        <v>May</v>
      </c>
      <c r="C269" s="2" t="str">
        <f t="shared" si="4"/>
        <v>2017</v>
      </c>
      <c r="D269" s="1" t="s">
        <v>359</v>
      </c>
      <c r="E269" s="1" t="s">
        <v>616</v>
      </c>
      <c r="F269" s="1" t="s">
        <v>33</v>
      </c>
      <c r="G269" s="1" t="s">
        <v>44</v>
      </c>
      <c r="H269" s="1" t="s">
        <v>1044</v>
      </c>
      <c r="I269" s="1">
        <v>28.4</v>
      </c>
      <c r="J269" s="1">
        <v>2</v>
      </c>
      <c r="K269" s="1">
        <v>11.08</v>
      </c>
    </row>
    <row r="270" spans="1:11" ht="12.75" x14ac:dyDescent="0.2">
      <c r="A270" s="2">
        <v>42866</v>
      </c>
      <c r="B270" s="2" t="str">
        <f>TEXT(Table1[[#This Row],[Order Date]],"MMM")</f>
        <v>May</v>
      </c>
      <c r="C270" s="2" t="str">
        <f t="shared" si="4"/>
        <v>2017</v>
      </c>
      <c r="D270" s="1" t="s">
        <v>259</v>
      </c>
      <c r="E270" s="1" t="s">
        <v>51</v>
      </c>
      <c r="F270" s="1" t="s">
        <v>11</v>
      </c>
      <c r="G270" s="1" t="s">
        <v>58</v>
      </c>
      <c r="H270" s="1" t="s">
        <v>353</v>
      </c>
      <c r="I270" s="1">
        <v>311.14999999999998</v>
      </c>
      <c r="J270" s="1">
        <v>5</v>
      </c>
      <c r="K270" s="1">
        <v>146.24</v>
      </c>
    </row>
    <row r="271" spans="1:11" ht="12.75" x14ac:dyDescent="0.2">
      <c r="A271" s="2">
        <v>42887</v>
      </c>
      <c r="B271" s="2" t="str">
        <f>TEXT(Table1[[#This Row],[Order Date]],"MMM")</f>
        <v>Jun</v>
      </c>
      <c r="C271" s="2" t="str">
        <f t="shared" si="4"/>
        <v>2017</v>
      </c>
      <c r="D271" s="1" t="s">
        <v>734</v>
      </c>
      <c r="E271" s="1" t="s">
        <v>68</v>
      </c>
      <c r="F271" s="1" t="s">
        <v>38</v>
      </c>
      <c r="G271" s="1" t="s">
        <v>39</v>
      </c>
      <c r="H271" s="1" t="s">
        <v>733</v>
      </c>
      <c r="I271" s="1">
        <v>107.98</v>
      </c>
      <c r="J271" s="1">
        <v>3</v>
      </c>
      <c r="K271" s="1">
        <v>-27</v>
      </c>
    </row>
    <row r="272" spans="1:11" ht="12.75" x14ac:dyDescent="0.2">
      <c r="A272" s="2">
        <v>42888</v>
      </c>
      <c r="B272" s="2" t="str">
        <f>TEXT(Table1[[#This Row],[Order Date]],"MMM")</f>
        <v>Jun</v>
      </c>
      <c r="C272" s="2" t="str">
        <f t="shared" si="4"/>
        <v>2017</v>
      </c>
      <c r="D272" s="1" t="s">
        <v>548</v>
      </c>
      <c r="E272" s="1" t="s">
        <v>10</v>
      </c>
      <c r="F272" s="1" t="s">
        <v>38</v>
      </c>
      <c r="G272" s="1" t="s">
        <v>48</v>
      </c>
      <c r="H272" s="1" t="s">
        <v>49</v>
      </c>
      <c r="I272" s="1">
        <v>20.8</v>
      </c>
      <c r="J272" s="1">
        <v>2</v>
      </c>
      <c r="K272" s="1">
        <v>6.5</v>
      </c>
    </row>
    <row r="273" spans="1:11" ht="12.75" x14ac:dyDescent="0.2">
      <c r="A273" s="2">
        <v>42889</v>
      </c>
      <c r="B273" s="2" t="str">
        <f>TEXT(Table1[[#This Row],[Order Date]],"MMM")</f>
        <v>Jun</v>
      </c>
      <c r="C273" s="2" t="str">
        <f t="shared" si="4"/>
        <v>2017</v>
      </c>
      <c r="D273" s="1" t="s">
        <v>973</v>
      </c>
      <c r="E273" s="1" t="s">
        <v>23</v>
      </c>
      <c r="F273" s="1" t="s">
        <v>11</v>
      </c>
      <c r="G273" s="1" t="s">
        <v>18</v>
      </c>
      <c r="H273" s="1" t="s">
        <v>767</v>
      </c>
      <c r="I273" s="1">
        <v>77.239999999999995</v>
      </c>
      <c r="J273" s="1">
        <v>5</v>
      </c>
      <c r="K273" s="1">
        <v>7.72</v>
      </c>
    </row>
    <row r="274" spans="1:11" ht="12.75" x14ac:dyDescent="0.2">
      <c r="A274" s="2">
        <v>42891</v>
      </c>
      <c r="B274" s="2" t="str">
        <f>TEXT(Table1[[#This Row],[Order Date]],"MMM")</f>
        <v>Jun</v>
      </c>
      <c r="C274" s="2" t="str">
        <f t="shared" si="4"/>
        <v>2017</v>
      </c>
      <c r="D274" s="1" t="s">
        <v>309</v>
      </c>
      <c r="E274" s="1" t="s">
        <v>127</v>
      </c>
      <c r="F274" s="1" t="s">
        <v>38</v>
      </c>
      <c r="G274" s="1" t="s">
        <v>39</v>
      </c>
      <c r="H274" s="1" t="s">
        <v>275</v>
      </c>
      <c r="I274" s="1">
        <v>134.97</v>
      </c>
      <c r="J274" s="1">
        <v>3</v>
      </c>
      <c r="K274" s="1">
        <v>64.790000000000006</v>
      </c>
    </row>
    <row r="275" spans="1:11" ht="12.75" x14ac:dyDescent="0.2">
      <c r="A275" s="2">
        <v>42892</v>
      </c>
      <c r="B275" s="2" t="str">
        <f>TEXT(Table1[[#This Row],[Order Date]],"MMM")</f>
        <v>Jun</v>
      </c>
      <c r="C275" s="2" t="str">
        <f t="shared" si="4"/>
        <v>2017</v>
      </c>
      <c r="D275" s="1" t="s">
        <v>993</v>
      </c>
      <c r="E275" s="1" t="s">
        <v>442</v>
      </c>
      <c r="F275" s="1" t="s">
        <v>11</v>
      </c>
      <c r="G275" s="1" t="s">
        <v>12</v>
      </c>
      <c r="H275" s="1" t="s">
        <v>1046</v>
      </c>
      <c r="I275" s="1">
        <v>35.880000000000003</v>
      </c>
      <c r="J275" s="1">
        <v>6</v>
      </c>
      <c r="K275" s="1">
        <v>16.149999999999999</v>
      </c>
    </row>
    <row r="276" spans="1:11" ht="12.75" x14ac:dyDescent="0.2">
      <c r="A276" s="2">
        <v>42896</v>
      </c>
      <c r="B276" s="2" t="str">
        <f>TEXT(Table1[[#This Row],[Order Date]],"MMM")</f>
        <v>Jun</v>
      </c>
      <c r="C276" s="2" t="str">
        <f t="shared" si="4"/>
        <v>2017</v>
      </c>
      <c r="D276" s="1" t="s">
        <v>926</v>
      </c>
      <c r="E276" s="1" t="s">
        <v>27</v>
      </c>
      <c r="F276" s="1" t="s">
        <v>11</v>
      </c>
      <c r="G276" s="1" t="s">
        <v>16</v>
      </c>
      <c r="H276" s="1" t="s">
        <v>820</v>
      </c>
      <c r="I276" s="1">
        <v>9.24</v>
      </c>
      <c r="J276" s="1">
        <v>3</v>
      </c>
      <c r="K276" s="1">
        <v>4.4400000000000004</v>
      </c>
    </row>
    <row r="277" spans="1:11" ht="12.75" x14ac:dyDescent="0.2">
      <c r="A277" s="2">
        <v>42897</v>
      </c>
      <c r="B277" s="2" t="str">
        <f>TEXT(Table1[[#This Row],[Order Date]],"MMM")</f>
        <v>Jun</v>
      </c>
      <c r="C277" s="2" t="str">
        <f t="shared" si="4"/>
        <v>2017</v>
      </c>
      <c r="D277" s="1" t="s">
        <v>540</v>
      </c>
      <c r="E277" s="1" t="s">
        <v>87</v>
      </c>
      <c r="F277" s="1" t="s">
        <v>38</v>
      </c>
      <c r="G277" s="1" t="s">
        <v>48</v>
      </c>
      <c r="H277" s="1" t="s">
        <v>1048</v>
      </c>
      <c r="I277" s="1">
        <v>29.99</v>
      </c>
      <c r="J277" s="1">
        <v>1</v>
      </c>
      <c r="K277" s="1">
        <v>3</v>
      </c>
    </row>
    <row r="278" spans="1:11" ht="12.75" x14ac:dyDescent="0.2">
      <c r="A278" s="2">
        <v>42923</v>
      </c>
      <c r="B278" s="2" t="str">
        <f>TEXT(Table1[[#This Row],[Order Date]],"MMM")</f>
        <v>Jul</v>
      </c>
      <c r="C278" s="2" t="str">
        <f t="shared" si="4"/>
        <v>2017</v>
      </c>
      <c r="D278" s="1" t="s">
        <v>1003</v>
      </c>
      <c r="E278" s="1" t="s">
        <v>94</v>
      </c>
      <c r="F278" s="1" t="s">
        <v>11</v>
      </c>
      <c r="G278" s="1" t="s">
        <v>24</v>
      </c>
      <c r="H278" s="1" t="s">
        <v>781</v>
      </c>
      <c r="I278" s="1">
        <v>79.36</v>
      </c>
      <c r="J278" s="1">
        <v>4</v>
      </c>
      <c r="K278" s="1">
        <v>20.63</v>
      </c>
    </row>
    <row r="279" spans="1:11" ht="12.75" x14ac:dyDescent="0.2">
      <c r="A279" s="2">
        <v>42924</v>
      </c>
      <c r="B279" s="2" t="str">
        <f>TEXT(Table1[[#This Row],[Order Date]],"MMM")</f>
        <v>Jul</v>
      </c>
      <c r="C279" s="2" t="str">
        <f t="shared" si="4"/>
        <v>2017</v>
      </c>
      <c r="D279" s="1" t="s">
        <v>1049</v>
      </c>
      <c r="E279" s="1" t="s">
        <v>120</v>
      </c>
      <c r="F279" s="1" t="s">
        <v>11</v>
      </c>
      <c r="G279" s="1" t="s">
        <v>80</v>
      </c>
      <c r="H279" s="1" t="s">
        <v>1050</v>
      </c>
      <c r="I279" s="1">
        <v>26.88</v>
      </c>
      <c r="J279" s="1">
        <v>6</v>
      </c>
      <c r="K279" s="1">
        <v>6.72</v>
      </c>
    </row>
    <row r="280" spans="1:11" ht="12.75" x14ac:dyDescent="0.2">
      <c r="A280" s="2">
        <v>42928</v>
      </c>
      <c r="B280" s="2" t="str">
        <f>TEXT(Table1[[#This Row],[Order Date]],"MMM")</f>
        <v>Jul</v>
      </c>
      <c r="C280" s="2" t="str">
        <f t="shared" si="4"/>
        <v>2017</v>
      </c>
      <c r="D280" s="1" t="s">
        <v>649</v>
      </c>
      <c r="E280" s="1" t="s">
        <v>98</v>
      </c>
      <c r="F280" s="1" t="s">
        <v>33</v>
      </c>
      <c r="G280" s="1" t="s">
        <v>34</v>
      </c>
      <c r="H280" s="1" t="s">
        <v>1006</v>
      </c>
      <c r="I280" s="1">
        <v>161.57</v>
      </c>
      <c r="J280" s="1">
        <v>2</v>
      </c>
      <c r="K280" s="1">
        <v>-28.27</v>
      </c>
    </row>
    <row r="281" spans="1:11" ht="12.75" x14ac:dyDescent="0.2">
      <c r="A281" s="2">
        <v>42948</v>
      </c>
      <c r="B281" s="2" t="str">
        <f>TEXT(Table1[[#This Row],[Order Date]],"MMM")</f>
        <v>Aug</v>
      </c>
      <c r="C281" s="2" t="str">
        <f t="shared" si="4"/>
        <v>2017</v>
      </c>
      <c r="D281" s="1" t="s">
        <v>155</v>
      </c>
      <c r="E281" s="1" t="s">
        <v>30</v>
      </c>
      <c r="F281" s="1" t="s">
        <v>11</v>
      </c>
      <c r="G281" s="1" t="s">
        <v>20</v>
      </c>
      <c r="H281" s="1" t="s">
        <v>1052</v>
      </c>
      <c r="I281" s="1">
        <v>58.72</v>
      </c>
      <c r="J281" s="1">
        <v>4</v>
      </c>
      <c r="K281" s="1">
        <v>27.01</v>
      </c>
    </row>
    <row r="282" spans="1:11" ht="12.75" x14ac:dyDescent="0.2">
      <c r="A282" s="2">
        <v>42953</v>
      </c>
      <c r="B282" s="2" t="str">
        <f>TEXT(Table1[[#This Row],[Order Date]],"MMM")</f>
        <v>Aug</v>
      </c>
      <c r="C282" s="2" t="str">
        <f t="shared" si="4"/>
        <v>2017</v>
      </c>
      <c r="D282" s="1" t="s">
        <v>1054</v>
      </c>
      <c r="E282" s="1" t="s">
        <v>134</v>
      </c>
      <c r="F282" s="1" t="s">
        <v>33</v>
      </c>
      <c r="G282" s="1" t="s">
        <v>118</v>
      </c>
      <c r="H282" s="1" t="s">
        <v>875</v>
      </c>
      <c r="I282" s="1">
        <v>787.53</v>
      </c>
      <c r="J282" s="1">
        <v>3</v>
      </c>
      <c r="K282" s="1">
        <v>165.38</v>
      </c>
    </row>
    <row r="283" spans="1:11" ht="12.75" x14ac:dyDescent="0.2">
      <c r="A283" s="2">
        <v>42957</v>
      </c>
      <c r="B283" s="2" t="str">
        <f>TEXT(Table1[[#This Row],[Order Date]],"MMM")</f>
        <v>Aug</v>
      </c>
      <c r="C283" s="2" t="str">
        <f t="shared" si="4"/>
        <v>2017</v>
      </c>
      <c r="D283" s="1" t="s">
        <v>620</v>
      </c>
      <c r="E283" s="1" t="s">
        <v>27</v>
      </c>
      <c r="F283" s="1" t="s">
        <v>33</v>
      </c>
      <c r="G283" s="1" t="s">
        <v>44</v>
      </c>
      <c r="H283" s="1" t="s">
        <v>435</v>
      </c>
      <c r="I283" s="1">
        <v>435.26</v>
      </c>
      <c r="J283" s="1">
        <v>7</v>
      </c>
      <c r="K283" s="1">
        <v>95.76</v>
      </c>
    </row>
    <row r="284" spans="1:11" ht="12.75" x14ac:dyDescent="0.2">
      <c r="A284" s="2">
        <v>42982</v>
      </c>
      <c r="B284" s="2" t="str">
        <f>TEXT(Table1[[#This Row],[Order Date]],"MMM")</f>
        <v>Sep</v>
      </c>
      <c r="C284" s="2" t="str">
        <f t="shared" si="4"/>
        <v>2017</v>
      </c>
      <c r="D284" s="1" t="s">
        <v>597</v>
      </c>
      <c r="E284" s="1" t="s">
        <v>54</v>
      </c>
      <c r="F284" s="1" t="s">
        <v>38</v>
      </c>
      <c r="G284" s="1" t="s">
        <v>48</v>
      </c>
      <c r="H284" s="1" t="s">
        <v>1058</v>
      </c>
      <c r="I284" s="1">
        <v>119.85</v>
      </c>
      <c r="J284" s="1">
        <v>3</v>
      </c>
      <c r="K284" s="1">
        <v>52.73</v>
      </c>
    </row>
    <row r="285" spans="1:11" ht="12.75" x14ac:dyDescent="0.2">
      <c r="A285" s="2">
        <v>42988</v>
      </c>
      <c r="B285" s="2" t="str">
        <f>TEXT(Table1[[#This Row],[Order Date]],"MMM")</f>
        <v>Sep</v>
      </c>
      <c r="C285" s="2" t="str">
        <f t="shared" si="4"/>
        <v>2017</v>
      </c>
      <c r="D285" s="1" t="s">
        <v>537</v>
      </c>
      <c r="E285" s="1" t="s">
        <v>10</v>
      </c>
      <c r="F285" s="1" t="s">
        <v>38</v>
      </c>
      <c r="G285" s="1" t="s">
        <v>48</v>
      </c>
      <c r="H285" s="1" t="s">
        <v>652</v>
      </c>
      <c r="I285" s="1">
        <v>113.52</v>
      </c>
      <c r="J285" s="1">
        <v>5</v>
      </c>
      <c r="K285" s="1">
        <v>29.8</v>
      </c>
    </row>
    <row r="286" spans="1:11" ht="12.75" x14ac:dyDescent="0.2">
      <c r="A286" s="2">
        <v>42989</v>
      </c>
      <c r="B286" s="2" t="str">
        <f>TEXT(Table1[[#This Row],[Order Date]],"MMM")</f>
        <v>Sep</v>
      </c>
      <c r="C286" s="2" t="str">
        <f t="shared" si="4"/>
        <v>2017</v>
      </c>
      <c r="D286" s="1" t="s">
        <v>82</v>
      </c>
      <c r="E286" s="1" t="s">
        <v>10</v>
      </c>
      <c r="F286" s="1" t="s">
        <v>11</v>
      </c>
      <c r="G286" s="1" t="s">
        <v>20</v>
      </c>
      <c r="H286" s="1" t="s">
        <v>757</v>
      </c>
      <c r="I286" s="1">
        <v>1.1100000000000001</v>
      </c>
      <c r="J286" s="1">
        <v>2</v>
      </c>
      <c r="K286" s="1">
        <v>-1.89</v>
      </c>
    </row>
    <row r="287" spans="1:11" ht="12.75" x14ac:dyDescent="0.2">
      <c r="A287" s="2">
        <v>42990</v>
      </c>
      <c r="B287" s="2" t="str">
        <f>TEXT(Table1[[#This Row],[Order Date]],"MMM")</f>
        <v>Sep</v>
      </c>
      <c r="C287" s="2" t="str">
        <f t="shared" si="4"/>
        <v>2017</v>
      </c>
      <c r="D287" s="1" t="s">
        <v>1061</v>
      </c>
      <c r="E287" s="1" t="s">
        <v>101</v>
      </c>
      <c r="F287" s="1" t="s">
        <v>11</v>
      </c>
      <c r="G287" s="1" t="s">
        <v>58</v>
      </c>
      <c r="H287" s="1" t="s">
        <v>819</v>
      </c>
      <c r="I287" s="1">
        <v>8.69</v>
      </c>
      <c r="J287" s="1">
        <v>3</v>
      </c>
      <c r="K287" s="1">
        <v>2.93</v>
      </c>
    </row>
    <row r="288" spans="1:11" ht="12.75" x14ac:dyDescent="0.2">
      <c r="A288" s="2">
        <v>43011</v>
      </c>
      <c r="B288" s="2" t="str">
        <f>TEXT(Table1[[#This Row],[Order Date]],"MMM")</f>
        <v>Oct</v>
      </c>
      <c r="C288" s="2" t="str">
        <f t="shared" si="4"/>
        <v>2017</v>
      </c>
      <c r="D288" s="1" t="s">
        <v>736</v>
      </c>
      <c r="E288" s="1" t="s">
        <v>134</v>
      </c>
      <c r="F288" s="1" t="s">
        <v>33</v>
      </c>
      <c r="G288" s="1" t="s">
        <v>65</v>
      </c>
      <c r="H288" s="1" t="s">
        <v>115</v>
      </c>
      <c r="I288" s="1">
        <v>141.96</v>
      </c>
      <c r="J288" s="1">
        <v>2</v>
      </c>
      <c r="K288" s="1">
        <v>39.75</v>
      </c>
    </row>
    <row r="289" spans="1:11" ht="12.75" x14ac:dyDescent="0.2">
      <c r="A289" s="2">
        <v>43017</v>
      </c>
      <c r="B289" s="2" t="str">
        <f>TEXT(Table1[[#This Row],[Order Date]],"MMM")</f>
        <v>Oct</v>
      </c>
      <c r="C289" s="2" t="str">
        <f t="shared" si="4"/>
        <v>2017</v>
      </c>
      <c r="D289" s="1" t="s">
        <v>1040</v>
      </c>
      <c r="E289" s="1" t="s">
        <v>211</v>
      </c>
      <c r="F289" s="1" t="s">
        <v>38</v>
      </c>
      <c r="G289" s="1" t="s">
        <v>39</v>
      </c>
      <c r="H289" s="1" t="s">
        <v>1062</v>
      </c>
      <c r="I289" s="1">
        <v>16.78</v>
      </c>
      <c r="J289" s="1">
        <v>3</v>
      </c>
      <c r="K289" s="1">
        <v>1.68</v>
      </c>
    </row>
    <row r="290" spans="1:11" ht="12.75" x14ac:dyDescent="0.2">
      <c r="A290" s="2">
        <v>43018</v>
      </c>
      <c r="B290" s="2" t="str">
        <f>TEXT(Table1[[#This Row],[Order Date]],"MMM")</f>
        <v>Oct</v>
      </c>
      <c r="C290" s="2" t="str">
        <f t="shared" si="4"/>
        <v>2017</v>
      </c>
      <c r="D290" s="1" t="s">
        <v>1063</v>
      </c>
      <c r="E290" s="1" t="s">
        <v>30</v>
      </c>
      <c r="F290" s="1" t="s">
        <v>11</v>
      </c>
      <c r="G290" s="1" t="s">
        <v>24</v>
      </c>
      <c r="H290" s="1" t="s">
        <v>37</v>
      </c>
      <c r="I290" s="1">
        <v>2.74</v>
      </c>
      <c r="J290" s="1">
        <v>1</v>
      </c>
      <c r="K290" s="1">
        <v>0.74</v>
      </c>
    </row>
    <row r="291" spans="1:11" ht="12.75" x14ac:dyDescent="0.2">
      <c r="A291" s="2">
        <v>43020</v>
      </c>
      <c r="B291" s="2" t="str">
        <f>TEXT(Table1[[#This Row],[Order Date]],"MMM")</f>
        <v>Oct</v>
      </c>
      <c r="C291" s="2" t="str">
        <f t="shared" si="4"/>
        <v>2017</v>
      </c>
      <c r="D291" s="1" t="s">
        <v>944</v>
      </c>
      <c r="E291" s="1" t="s">
        <v>120</v>
      </c>
      <c r="F291" s="1" t="s">
        <v>38</v>
      </c>
      <c r="G291" s="1" t="s">
        <v>48</v>
      </c>
      <c r="H291" s="1" t="s">
        <v>1064</v>
      </c>
      <c r="I291" s="1">
        <v>15.02</v>
      </c>
      <c r="J291" s="1">
        <v>1</v>
      </c>
      <c r="K291" s="1">
        <v>2.7</v>
      </c>
    </row>
    <row r="292" spans="1:11" ht="12.75" x14ac:dyDescent="0.2">
      <c r="A292" s="2">
        <v>43041</v>
      </c>
      <c r="B292" s="2" t="str">
        <f>TEXT(Table1[[#This Row],[Order Date]],"MMM")</f>
        <v>Nov</v>
      </c>
      <c r="C292" s="2" t="str">
        <f t="shared" si="4"/>
        <v>2017</v>
      </c>
      <c r="D292" s="1" t="s">
        <v>1065</v>
      </c>
      <c r="E292" s="1" t="s">
        <v>134</v>
      </c>
      <c r="F292" s="1" t="s">
        <v>38</v>
      </c>
      <c r="G292" s="1" t="s">
        <v>39</v>
      </c>
      <c r="H292" s="1" t="s">
        <v>41</v>
      </c>
      <c r="I292" s="1">
        <v>453.58</v>
      </c>
      <c r="J292" s="1">
        <v>3</v>
      </c>
      <c r="K292" s="1">
        <v>39.69</v>
      </c>
    </row>
    <row r="293" spans="1:11" ht="12.75" x14ac:dyDescent="0.2">
      <c r="A293" s="2">
        <v>43042</v>
      </c>
      <c r="B293" s="2" t="str">
        <f>TEXT(Table1[[#This Row],[Order Date]],"MMM")</f>
        <v>Nov</v>
      </c>
      <c r="C293" s="2" t="str">
        <f t="shared" si="4"/>
        <v>2017</v>
      </c>
      <c r="D293" s="1" t="s">
        <v>1067</v>
      </c>
      <c r="E293" s="1" t="s">
        <v>127</v>
      </c>
      <c r="F293" s="1" t="s">
        <v>11</v>
      </c>
      <c r="G293" s="1" t="s">
        <v>12</v>
      </c>
      <c r="H293" s="1" t="s">
        <v>479</v>
      </c>
      <c r="I293" s="1">
        <v>51.84</v>
      </c>
      <c r="J293" s="1">
        <v>8</v>
      </c>
      <c r="K293" s="1">
        <v>24.88</v>
      </c>
    </row>
    <row r="294" spans="1:11" ht="12.75" x14ac:dyDescent="0.2">
      <c r="A294" s="2">
        <v>43043</v>
      </c>
      <c r="B294" s="2" t="str">
        <f>TEXT(Table1[[#This Row],[Order Date]],"MMM")</f>
        <v>Nov</v>
      </c>
      <c r="C294" s="2" t="str">
        <f t="shared" si="4"/>
        <v>2017</v>
      </c>
      <c r="D294" s="1" t="s">
        <v>1069</v>
      </c>
      <c r="E294" s="1" t="s">
        <v>187</v>
      </c>
      <c r="F294" s="1" t="s">
        <v>11</v>
      </c>
      <c r="G294" s="1" t="s">
        <v>80</v>
      </c>
      <c r="H294" s="1" t="s">
        <v>478</v>
      </c>
      <c r="I294" s="1">
        <v>962.08</v>
      </c>
      <c r="J294" s="1">
        <v>4</v>
      </c>
      <c r="K294" s="1">
        <v>156.34</v>
      </c>
    </row>
    <row r="295" spans="1:11" ht="12.75" x14ac:dyDescent="0.2">
      <c r="A295" s="2">
        <v>43045</v>
      </c>
      <c r="B295" s="2" t="str">
        <f>TEXT(Table1[[#This Row],[Order Date]],"MMM")</f>
        <v>Nov</v>
      </c>
      <c r="C295" s="2" t="str">
        <f t="shared" si="4"/>
        <v>2017</v>
      </c>
      <c r="D295" s="1" t="s">
        <v>1071</v>
      </c>
      <c r="E295" s="1" t="s">
        <v>10</v>
      </c>
      <c r="F295" s="1" t="s">
        <v>38</v>
      </c>
      <c r="G295" s="1" t="s">
        <v>48</v>
      </c>
      <c r="H295" s="1" t="s">
        <v>1072</v>
      </c>
      <c r="I295" s="1">
        <v>18.39</v>
      </c>
      <c r="J295" s="1">
        <v>1</v>
      </c>
      <c r="K295" s="1">
        <v>5.29</v>
      </c>
    </row>
    <row r="296" spans="1:11" ht="12.75" x14ac:dyDescent="0.2">
      <c r="A296" s="2">
        <v>43050</v>
      </c>
      <c r="B296" s="2" t="str">
        <f>TEXT(Table1[[#This Row],[Order Date]],"MMM")</f>
        <v>Nov</v>
      </c>
      <c r="C296" s="2" t="str">
        <f t="shared" si="4"/>
        <v>2017</v>
      </c>
      <c r="D296" s="1" t="s">
        <v>561</v>
      </c>
      <c r="E296" s="1" t="s">
        <v>15</v>
      </c>
      <c r="F296" s="1" t="s">
        <v>33</v>
      </c>
      <c r="G296" s="1" t="s">
        <v>65</v>
      </c>
      <c r="H296" s="1" t="s">
        <v>462</v>
      </c>
      <c r="I296" s="1">
        <v>359.06</v>
      </c>
      <c r="J296" s="1">
        <v>3</v>
      </c>
      <c r="K296" s="1">
        <v>-35.909999999999997</v>
      </c>
    </row>
    <row r="297" spans="1:11" ht="12.75" x14ac:dyDescent="0.2">
      <c r="A297" s="2">
        <v>43051</v>
      </c>
      <c r="B297" s="2" t="str">
        <f>TEXT(Table1[[#This Row],[Order Date]],"MMM")</f>
        <v>Nov</v>
      </c>
      <c r="C297" s="2" t="str">
        <f t="shared" si="4"/>
        <v>2017</v>
      </c>
      <c r="D297" s="1" t="s">
        <v>1076</v>
      </c>
      <c r="E297" s="1" t="s">
        <v>101</v>
      </c>
      <c r="F297" s="1" t="s">
        <v>11</v>
      </c>
      <c r="G297" s="1" t="s">
        <v>12</v>
      </c>
      <c r="H297" s="1" t="s">
        <v>704</v>
      </c>
      <c r="I297" s="1">
        <v>74.349999999999994</v>
      </c>
      <c r="J297" s="1">
        <v>3</v>
      </c>
      <c r="K297" s="1">
        <v>23.24</v>
      </c>
    </row>
    <row r="298" spans="1:11" ht="12.75" x14ac:dyDescent="0.2">
      <c r="A298" s="2">
        <v>43075</v>
      </c>
      <c r="B298" s="2" t="str">
        <f>TEXT(Table1[[#This Row],[Order Date]],"MMM")</f>
        <v>Dec</v>
      </c>
      <c r="C298" s="2" t="str">
        <f t="shared" si="4"/>
        <v>2017</v>
      </c>
      <c r="D298" s="1" t="s">
        <v>91</v>
      </c>
      <c r="E298" s="1" t="s">
        <v>134</v>
      </c>
      <c r="F298" s="1" t="s">
        <v>11</v>
      </c>
      <c r="G298" s="1" t="s">
        <v>18</v>
      </c>
      <c r="H298" s="1" t="s">
        <v>288</v>
      </c>
      <c r="I298" s="1">
        <v>83.7</v>
      </c>
      <c r="J298" s="1">
        <v>5</v>
      </c>
      <c r="K298" s="1">
        <v>3.35</v>
      </c>
    </row>
    <row r="299" spans="1:11" ht="12.75" x14ac:dyDescent="0.2">
      <c r="A299" s="2">
        <v>43076</v>
      </c>
      <c r="B299" s="2" t="str">
        <f>TEXT(Table1[[#This Row],[Order Date]],"MMM")</f>
        <v>Dec</v>
      </c>
      <c r="C299" s="2" t="str">
        <f t="shared" si="4"/>
        <v>2017</v>
      </c>
      <c r="D299" s="1" t="s">
        <v>917</v>
      </c>
      <c r="E299" s="1" t="s">
        <v>27</v>
      </c>
      <c r="F299" s="1" t="s">
        <v>38</v>
      </c>
      <c r="G299" s="1" t="s">
        <v>48</v>
      </c>
      <c r="H299" s="1" t="s">
        <v>1078</v>
      </c>
      <c r="I299" s="1">
        <v>166.24</v>
      </c>
      <c r="J299" s="1">
        <v>1</v>
      </c>
      <c r="K299" s="1">
        <v>24.94</v>
      </c>
    </row>
    <row r="300" spans="1:11" ht="12.75" x14ac:dyDescent="0.2">
      <c r="A300" s="2">
        <v>43078</v>
      </c>
      <c r="B300" s="2" t="str">
        <f>TEXT(Table1[[#This Row],[Order Date]],"MMM")</f>
        <v>Dec</v>
      </c>
      <c r="C300" s="2" t="str">
        <f t="shared" si="4"/>
        <v>2017</v>
      </c>
      <c r="D300" s="1" t="s">
        <v>784</v>
      </c>
      <c r="E300" s="1" t="s">
        <v>101</v>
      </c>
      <c r="F300" s="1" t="s">
        <v>33</v>
      </c>
      <c r="G300" s="1" t="s">
        <v>34</v>
      </c>
      <c r="H300" s="1" t="s">
        <v>1079</v>
      </c>
      <c r="I300" s="1">
        <v>1166.92</v>
      </c>
      <c r="J300" s="1">
        <v>5</v>
      </c>
      <c r="K300" s="1">
        <v>131.28</v>
      </c>
    </row>
    <row r="301" spans="1:11" ht="12.75" x14ac:dyDescent="0.2">
      <c r="A301" s="2">
        <v>43079</v>
      </c>
      <c r="B301" s="2" t="str">
        <f>TEXT(Table1[[#This Row],[Order Date]],"MMM")</f>
        <v>Dec</v>
      </c>
      <c r="C301" s="2" t="str">
        <f t="shared" si="4"/>
        <v>2017</v>
      </c>
      <c r="D301" s="1" t="s">
        <v>314</v>
      </c>
      <c r="E301" s="1" t="s">
        <v>101</v>
      </c>
      <c r="F301" s="1" t="s">
        <v>38</v>
      </c>
      <c r="G301" s="1" t="s">
        <v>39</v>
      </c>
      <c r="H301" s="1" t="s">
        <v>1081</v>
      </c>
      <c r="I301" s="1">
        <v>79.959999999999994</v>
      </c>
      <c r="J301" s="1">
        <v>5</v>
      </c>
      <c r="K301" s="1">
        <v>27.99</v>
      </c>
    </row>
    <row r="302" spans="1:11" ht="12.75" x14ac:dyDescent="0.2">
      <c r="A302" s="2">
        <v>41652</v>
      </c>
      <c r="B302" s="2" t="str">
        <f>TEXT(Table1[[#This Row],[Order Date]],"MMM")</f>
        <v>Jan</v>
      </c>
      <c r="C302" s="2" t="str">
        <f t="shared" si="4"/>
        <v>2014</v>
      </c>
      <c r="D302" s="1" t="s">
        <v>1083</v>
      </c>
      <c r="E302" s="1" t="s">
        <v>10</v>
      </c>
      <c r="F302" s="1" t="s">
        <v>11</v>
      </c>
      <c r="G302" s="1" t="s">
        <v>80</v>
      </c>
      <c r="H302" s="1" t="s">
        <v>921</v>
      </c>
      <c r="I302" s="1">
        <v>32.19</v>
      </c>
      <c r="J302" s="1">
        <v>2</v>
      </c>
      <c r="K302" s="1">
        <v>-80.48</v>
      </c>
    </row>
    <row r="303" spans="1:11" ht="12.75" x14ac:dyDescent="0.2">
      <c r="A303" s="2">
        <v>42017</v>
      </c>
      <c r="B303" s="2" t="str">
        <f>TEXT(Table1[[#This Row],[Order Date]],"MMM")</f>
        <v>Jan</v>
      </c>
      <c r="C303" s="2" t="str">
        <f t="shared" si="4"/>
        <v>2015</v>
      </c>
      <c r="D303" s="1" t="s">
        <v>862</v>
      </c>
      <c r="E303" s="1" t="s">
        <v>98</v>
      </c>
      <c r="F303" s="1" t="s">
        <v>11</v>
      </c>
      <c r="G303" s="1" t="s">
        <v>20</v>
      </c>
      <c r="H303" s="1" t="s">
        <v>987</v>
      </c>
      <c r="I303" s="1">
        <v>157.79</v>
      </c>
      <c r="J303" s="1">
        <v>1</v>
      </c>
      <c r="K303" s="1">
        <v>-115.72</v>
      </c>
    </row>
    <row r="304" spans="1:11" ht="12.75" x14ac:dyDescent="0.2">
      <c r="A304" s="2">
        <v>42076</v>
      </c>
      <c r="B304" s="2" t="str">
        <f>TEXT(Table1[[#This Row],[Order Date]],"MMM")</f>
        <v>Mar</v>
      </c>
      <c r="C304" s="2" t="str">
        <f t="shared" si="4"/>
        <v>2015</v>
      </c>
      <c r="D304" s="1" t="s">
        <v>397</v>
      </c>
      <c r="E304" s="1" t="s">
        <v>10</v>
      </c>
      <c r="F304" s="1" t="s">
        <v>11</v>
      </c>
      <c r="G304" s="1" t="s">
        <v>80</v>
      </c>
      <c r="H304" s="1" t="s">
        <v>1024</v>
      </c>
      <c r="I304" s="1">
        <v>463.25</v>
      </c>
      <c r="J304" s="1">
        <v>8</v>
      </c>
      <c r="K304" s="1">
        <v>-1181.28</v>
      </c>
    </row>
    <row r="305" spans="1:11" ht="12.75" x14ac:dyDescent="0.2">
      <c r="A305" s="2">
        <v>42442</v>
      </c>
      <c r="B305" s="2" t="str">
        <f>TEXT(Table1[[#This Row],[Order Date]],"MMM")</f>
        <v>Mar</v>
      </c>
      <c r="C305" s="2" t="str">
        <f t="shared" si="4"/>
        <v>2016</v>
      </c>
      <c r="D305" s="1" t="s">
        <v>331</v>
      </c>
      <c r="E305" s="1" t="s">
        <v>27</v>
      </c>
      <c r="F305" s="1" t="s">
        <v>33</v>
      </c>
      <c r="G305" s="1" t="s">
        <v>118</v>
      </c>
      <c r="H305" s="1" t="s">
        <v>1086</v>
      </c>
      <c r="I305" s="1">
        <v>369.91</v>
      </c>
      <c r="J305" s="1">
        <v>3</v>
      </c>
      <c r="K305" s="1">
        <v>-13.87</v>
      </c>
    </row>
    <row r="306" spans="1:11" ht="12.75" x14ac:dyDescent="0.2">
      <c r="A306" s="2">
        <v>42807</v>
      </c>
      <c r="B306" s="2" t="str">
        <f>TEXT(Table1[[#This Row],[Order Date]],"MMM")</f>
        <v>Mar</v>
      </c>
      <c r="C306" s="2" t="str">
        <f t="shared" si="4"/>
        <v>2017</v>
      </c>
      <c r="D306" s="1" t="s">
        <v>1089</v>
      </c>
      <c r="E306" s="1" t="s">
        <v>134</v>
      </c>
      <c r="F306" s="1" t="s">
        <v>11</v>
      </c>
      <c r="G306" s="1" t="s">
        <v>18</v>
      </c>
      <c r="H306" s="1" t="s">
        <v>1002</v>
      </c>
      <c r="I306" s="1">
        <v>40.74</v>
      </c>
      <c r="J306" s="1">
        <v>3</v>
      </c>
      <c r="K306" s="1">
        <v>0.41</v>
      </c>
    </row>
    <row r="307" spans="1:11" ht="12.75" x14ac:dyDescent="0.2">
      <c r="A307" s="2">
        <v>41742</v>
      </c>
      <c r="B307" s="2" t="str">
        <f>TEXT(Table1[[#This Row],[Order Date]],"MMM")</f>
        <v>Apr</v>
      </c>
      <c r="C307" s="2" t="str">
        <f t="shared" si="4"/>
        <v>2014</v>
      </c>
      <c r="D307" s="1" t="s">
        <v>832</v>
      </c>
      <c r="E307" s="1" t="s">
        <v>27</v>
      </c>
      <c r="F307" s="1" t="s">
        <v>38</v>
      </c>
      <c r="G307" s="1" t="s">
        <v>48</v>
      </c>
      <c r="H307" s="1" t="s">
        <v>427</v>
      </c>
      <c r="I307" s="1">
        <v>199.96</v>
      </c>
      <c r="J307" s="1">
        <v>4</v>
      </c>
      <c r="K307" s="1">
        <v>69.989999999999995</v>
      </c>
    </row>
    <row r="308" spans="1:11" ht="12.75" x14ac:dyDescent="0.2">
      <c r="A308" s="2">
        <v>42107</v>
      </c>
      <c r="B308" s="2" t="str">
        <f>TEXT(Table1[[#This Row],[Order Date]],"MMM")</f>
        <v>Apr</v>
      </c>
      <c r="C308" s="2" t="str">
        <f t="shared" si="4"/>
        <v>2015</v>
      </c>
      <c r="D308" s="1" t="s">
        <v>1091</v>
      </c>
      <c r="E308" s="1" t="s">
        <v>79</v>
      </c>
      <c r="F308" s="1" t="s">
        <v>11</v>
      </c>
      <c r="G308" s="1" t="s">
        <v>80</v>
      </c>
      <c r="H308" s="1" t="s">
        <v>678</v>
      </c>
      <c r="I308" s="1">
        <v>35.21</v>
      </c>
      <c r="J308" s="1">
        <v>1</v>
      </c>
      <c r="K308" s="1">
        <v>2.64</v>
      </c>
    </row>
    <row r="309" spans="1:11" ht="12.75" x14ac:dyDescent="0.2">
      <c r="A309" s="2">
        <v>41772</v>
      </c>
      <c r="B309" s="2" t="str">
        <f>TEXT(Table1[[#This Row],[Order Date]],"MMM")</f>
        <v>May</v>
      </c>
      <c r="C309" s="2" t="str">
        <f t="shared" si="4"/>
        <v>2014</v>
      </c>
      <c r="D309" s="1" t="s">
        <v>437</v>
      </c>
      <c r="E309" s="1" t="s">
        <v>27</v>
      </c>
      <c r="F309" s="1" t="s">
        <v>11</v>
      </c>
      <c r="G309" s="1" t="s">
        <v>24</v>
      </c>
      <c r="H309" s="1" t="s">
        <v>534</v>
      </c>
      <c r="I309" s="1">
        <v>5.56</v>
      </c>
      <c r="J309" s="1">
        <v>2</v>
      </c>
      <c r="K309" s="1">
        <v>2.2200000000000002</v>
      </c>
    </row>
    <row r="310" spans="1:11" ht="12.75" x14ac:dyDescent="0.2">
      <c r="A310" s="2">
        <v>42168</v>
      </c>
      <c r="B310" s="2" t="str">
        <f>TEXT(Table1[[#This Row],[Order Date]],"MMM")</f>
        <v>Jun</v>
      </c>
      <c r="C310" s="2" t="str">
        <f t="shared" si="4"/>
        <v>2015</v>
      </c>
      <c r="D310" s="1" t="s">
        <v>411</v>
      </c>
      <c r="E310" s="1" t="s">
        <v>10</v>
      </c>
      <c r="F310" s="1" t="s">
        <v>11</v>
      </c>
      <c r="G310" s="1" t="s">
        <v>80</v>
      </c>
      <c r="H310" s="1" t="s">
        <v>205</v>
      </c>
      <c r="I310" s="1">
        <v>19.57</v>
      </c>
      <c r="J310" s="1">
        <v>2</v>
      </c>
      <c r="K310" s="1">
        <v>-52.83</v>
      </c>
    </row>
    <row r="311" spans="1:11" ht="12.75" x14ac:dyDescent="0.2">
      <c r="A311" s="2">
        <v>42534</v>
      </c>
      <c r="B311" s="2" t="str">
        <f>TEXT(Table1[[#This Row],[Order Date]],"MMM")</f>
        <v>Jun</v>
      </c>
      <c r="C311" s="2" t="str">
        <f t="shared" si="4"/>
        <v>2016</v>
      </c>
      <c r="D311" s="1" t="s">
        <v>1096</v>
      </c>
      <c r="E311" s="1" t="s">
        <v>32</v>
      </c>
      <c r="F311" s="1" t="s">
        <v>33</v>
      </c>
      <c r="G311" s="1" t="s">
        <v>34</v>
      </c>
      <c r="H311" s="1" t="s">
        <v>1021</v>
      </c>
      <c r="I311" s="1">
        <v>191.96</v>
      </c>
      <c r="J311" s="1">
        <v>2</v>
      </c>
      <c r="K311" s="1">
        <v>51.83</v>
      </c>
    </row>
    <row r="312" spans="1:11" ht="12.75" x14ac:dyDescent="0.2">
      <c r="A312" s="2">
        <v>41833</v>
      </c>
      <c r="B312" s="2" t="str">
        <f>TEXT(Table1[[#This Row],[Order Date]],"MMM")</f>
        <v>Jul</v>
      </c>
      <c r="C312" s="2" t="str">
        <f t="shared" si="4"/>
        <v>2014</v>
      </c>
      <c r="D312" s="1" t="s">
        <v>136</v>
      </c>
      <c r="E312" s="1" t="s">
        <v>120</v>
      </c>
      <c r="F312" s="1" t="s">
        <v>11</v>
      </c>
      <c r="G312" s="1" t="s">
        <v>24</v>
      </c>
      <c r="H312" s="1" t="s">
        <v>201</v>
      </c>
      <c r="I312" s="1">
        <v>25.99</v>
      </c>
      <c r="J312" s="1">
        <v>1</v>
      </c>
      <c r="K312" s="1">
        <v>7.54</v>
      </c>
    </row>
    <row r="313" spans="1:11" ht="12.75" x14ac:dyDescent="0.2">
      <c r="A313" s="2">
        <v>42198</v>
      </c>
      <c r="B313" s="2" t="str">
        <f>TEXT(Table1[[#This Row],[Order Date]],"MMM")</f>
        <v>Jul</v>
      </c>
      <c r="C313" s="2" t="str">
        <f t="shared" si="4"/>
        <v>2015</v>
      </c>
      <c r="D313" s="1" t="s">
        <v>188</v>
      </c>
      <c r="E313" s="1" t="s">
        <v>27</v>
      </c>
      <c r="F313" s="1" t="s">
        <v>11</v>
      </c>
      <c r="G313" s="1" t="s">
        <v>20</v>
      </c>
      <c r="H313" s="1" t="s">
        <v>281</v>
      </c>
      <c r="I313" s="1">
        <v>13.94</v>
      </c>
      <c r="J313" s="1">
        <v>3</v>
      </c>
      <c r="K313" s="1">
        <v>4.53</v>
      </c>
    </row>
    <row r="314" spans="1:11" ht="12.75" x14ac:dyDescent="0.2">
      <c r="A314" s="2">
        <v>42929</v>
      </c>
      <c r="B314" s="2" t="str">
        <f>TEXT(Table1[[#This Row],[Order Date]],"MMM")</f>
        <v>Jul</v>
      </c>
      <c r="C314" s="2" t="str">
        <f t="shared" si="4"/>
        <v>2017</v>
      </c>
      <c r="D314" s="1" t="s">
        <v>547</v>
      </c>
      <c r="E314" s="1" t="s">
        <v>10</v>
      </c>
      <c r="F314" s="1" t="s">
        <v>11</v>
      </c>
      <c r="G314" s="1" t="s">
        <v>80</v>
      </c>
      <c r="H314" s="1" t="s">
        <v>396</v>
      </c>
      <c r="I314" s="1">
        <v>8.65</v>
      </c>
      <c r="J314" s="1">
        <v>3</v>
      </c>
      <c r="K314" s="1">
        <v>-20.329999999999998</v>
      </c>
    </row>
    <row r="315" spans="1:11" ht="12.75" x14ac:dyDescent="0.2">
      <c r="A315" s="2">
        <v>42229</v>
      </c>
      <c r="B315" s="2" t="str">
        <f>TEXT(Table1[[#This Row],[Order Date]],"MMM")</f>
        <v>Aug</v>
      </c>
      <c r="C315" s="2" t="str">
        <f t="shared" si="4"/>
        <v>2015</v>
      </c>
      <c r="D315" s="1" t="s">
        <v>770</v>
      </c>
      <c r="E315" s="1" t="s">
        <v>23</v>
      </c>
      <c r="F315" s="1" t="s">
        <v>11</v>
      </c>
      <c r="G315" s="1" t="s">
        <v>12</v>
      </c>
      <c r="H315" s="1" t="s">
        <v>436</v>
      </c>
      <c r="I315" s="1">
        <v>7.97</v>
      </c>
      <c r="J315" s="1">
        <v>2</v>
      </c>
      <c r="K315" s="1">
        <v>2.89</v>
      </c>
    </row>
    <row r="316" spans="1:11" ht="12.75" x14ac:dyDescent="0.2">
      <c r="A316" s="2">
        <v>42595</v>
      </c>
      <c r="B316" s="2" t="str">
        <f>TEXT(Table1[[#This Row],[Order Date]],"MMM")</f>
        <v>Aug</v>
      </c>
      <c r="C316" s="2" t="str">
        <f t="shared" si="4"/>
        <v>2016</v>
      </c>
      <c r="D316" s="1" t="s">
        <v>345</v>
      </c>
      <c r="E316" s="1" t="s">
        <v>15</v>
      </c>
      <c r="F316" s="1" t="s">
        <v>33</v>
      </c>
      <c r="G316" s="1" t="s">
        <v>34</v>
      </c>
      <c r="H316" s="1" t="s">
        <v>149</v>
      </c>
      <c r="I316" s="1">
        <v>213.12</v>
      </c>
      <c r="J316" s="1">
        <v>5</v>
      </c>
      <c r="K316" s="1">
        <v>-15.22</v>
      </c>
    </row>
    <row r="317" spans="1:11" ht="12.75" x14ac:dyDescent="0.2">
      <c r="A317" s="2">
        <v>41895</v>
      </c>
      <c r="B317" s="2" t="str">
        <f>TEXT(Table1[[#This Row],[Order Date]],"MMM")</f>
        <v>Sep</v>
      </c>
      <c r="C317" s="2" t="str">
        <f t="shared" si="4"/>
        <v>2014</v>
      </c>
      <c r="D317" s="1" t="s">
        <v>759</v>
      </c>
      <c r="E317" s="1" t="s">
        <v>27</v>
      </c>
      <c r="F317" s="1" t="s">
        <v>38</v>
      </c>
      <c r="G317" s="1" t="s">
        <v>39</v>
      </c>
      <c r="H317" s="1" t="s">
        <v>1098</v>
      </c>
      <c r="I317" s="1">
        <v>88.75</v>
      </c>
      <c r="J317" s="1">
        <v>3</v>
      </c>
      <c r="K317" s="1">
        <v>11.09</v>
      </c>
    </row>
    <row r="318" spans="1:11" ht="12.75" x14ac:dyDescent="0.2">
      <c r="A318" s="2">
        <v>42991</v>
      </c>
      <c r="B318" s="2" t="str">
        <f>TEXT(Table1[[#This Row],[Order Date]],"MMM")</f>
        <v>Sep</v>
      </c>
      <c r="C318" s="2" t="str">
        <f t="shared" si="4"/>
        <v>2017</v>
      </c>
      <c r="D318" s="1" t="s">
        <v>861</v>
      </c>
      <c r="E318" s="1" t="s">
        <v>10</v>
      </c>
      <c r="F318" s="1" t="s">
        <v>11</v>
      </c>
      <c r="G318" s="1" t="s">
        <v>16</v>
      </c>
      <c r="H318" s="1" t="s">
        <v>237</v>
      </c>
      <c r="I318" s="1">
        <v>8.86</v>
      </c>
      <c r="J318" s="1">
        <v>3</v>
      </c>
      <c r="K318" s="1">
        <v>2.99</v>
      </c>
    </row>
    <row r="319" spans="1:11" ht="12.75" x14ac:dyDescent="0.2">
      <c r="A319" s="2">
        <v>41925</v>
      </c>
      <c r="B319" s="2" t="str">
        <f>TEXT(Table1[[#This Row],[Order Date]],"MMM")</f>
        <v>Oct</v>
      </c>
      <c r="C319" s="2" t="str">
        <f t="shared" si="4"/>
        <v>2014</v>
      </c>
      <c r="D319" s="1" t="s">
        <v>841</v>
      </c>
      <c r="E319" s="1" t="s">
        <v>120</v>
      </c>
      <c r="F319" s="1" t="s">
        <v>33</v>
      </c>
      <c r="G319" s="1" t="s">
        <v>44</v>
      </c>
      <c r="H319" s="1" t="s">
        <v>1103</v>
      </c>
      <c r="I319" s="1">
        <v>26.8</v>
      </c>
      <c r="J319" s="1">
        <v>2</v>
      </c>
      <c r="K319" s="1">
        <v>12.86</v>
      </c>
    </row>
    <row r="320" spans="1:11" ht="12.75" x14ac:dyDescent="0.2">
      <c r="A320" s="2">
        <v>42321</v>
      </c>
      <c r="B320" s="2" t="str">
        <f>TEXT(Table1[[#This Row],[Order Date]],"MMM")</f>
        <v>Nov</v>
      </c>
      <c r="C320" s="2" t="str">
        <f t="shared" si="4"/>
        <v>2015</v>
      </c>
      <c r="D320" s="1" t="s">
        <v>1106</v>
      </c>
      <c r="E320" s="1" t="s">
        <v>10</v>
      </c>
      <c r="F320" s="1" t="s">
        <v>33</v>
      </c>
      <c r="G320" s="1" t="s">
        <v>118</v>
      </c>
      <c r="H320" s="1" t="s">
        <v>1107</v>
      </c>
      <c r="I320" s="1">
        <v>244.01</v>
      </c>
      <c r="J320" s="1">
        <v>2</v>
      </c>
      <c r="K320" s="1">
        <v>-31.37</v>
      </c>
    </row>
    <row r="321" spans="1:11" ht="12.75" x14ac:dyDescent="0.2">
      <c r="A321" s="2">
        <v>42687</v>
      </c>
      <c r="B321" s="2" t="str">
        <f>TEXT(Table1[[#This Row],[Order Date]],"MMM")</f>
        <v>Nov</v>
      </c>
      <c r="C321" s="2" t="str">
        <f t="shared" si="4"/>
        <v>2016</v>
      </c>
      <c r="D321" s="1" t="s">
        <v>1033</v>
      </c>
      <c r="E321" s="1" t="s">
        <v>68</v>
      </c>
      <c r="F321" s="1" t="s">
        <v>33</v>
      </c>
      <c r="G321" s="1" t="s">
        <v>44</v>
      </c>
      <c r="H321" s="1" t="s">
        <v>395</v>
      </c>
      <c r="I321" s="1">
        <v>8.35</v>
      </c>
      <c r="J321" s="1">
        <v>6</v>
      </c>
      <c r="K321" s="1">
        <v>1.25</v>
      </c>
    </row>
    <row r="322" spans="1:11" ht="12.75" x14ac:dyDescent="0.2">
      <c r="A322" s="2">
        <v>41986</v>
      </c>
      <c r="B322" s="2" t="str">
        <f>TEXT(Table1[[#This Row],[Order Date]],"MMM")</f>
        <v>Dec</v>
      </c>
      <c r="C322" s="2" t="str">
        <f t="shared" ref="C322:C385" si="5">TEXT(A322,"YYY")</f>
        <v>2014</v>
      </c>
      <c r="D322" s="1" t="s">
        <v>581</v>
      </c>
      <c r="E322" s="1" t="s">
        <v>32</v>
      </c>
      <c r="F322" s="1" t="s">
        <v>11</v>
      </c>
      <c r="G322" s="1" t="s">
        <v>20</v>
      </c>
      <c r="H322" s="1" t="s">
        <v>882</v>
      </c>
      <c r="I322" s="1">
        <v>48.81</v>
      </c>
      <c r="J322" s="1">
        <v>3</v>
      </c>
      <c r="K322" s="1">
        <v>23.92</v>
      </c>
    </row>
    <row r="323" spans="1:11" ht="12.75" x14ac:dyDescent="0.2">
      <c r="A323" s="2">
        <v>41653</v>
      </c>
      <c r="B323" s="2" t="str">
        <f>TEXT(Table1[[#This Row],[Order Date]],"MMM")</f>
        <v>Jan</v>
      </c>
      <c r="C323" s="2" t="str">
        <f t="shared" si="5"/>
        <v>2014</v>
      </c>
      <c r="D323" s="1" t="s">
        <v>561</v>
      </c>
      <c r="E323" s="1" t="s">
        <v>15</v>
      </c>
      <c r="F323" s="1" t="s">
        <v>11</v>
      </c>
      <c r="G323" s="1" t="s">
        <v>80</v>
      </c>
      <c r="H323" s="1" t="s">
        <v>1108</v>
      </c>
      <c r="I323" s="1">
        <v>70.97</v>
      </c>
      <c r="J323" s="1">
        <v>5</v>
      </c>
      <c r="K323" s="1">
        <v>-191.62</v>
      </c>
    </row>
    <row r="324" spans="1:11" ht="12.75" x14ac:dyDescent="0.2">
      <c r="A324" s="2">
        <v>42383</v>
      </c>
      <c r="B324" s="2" t="str">
        <f>TEXT(Table1[[#This Row],[Order Date]],"MMM")</f>
        <v>Jan</v>
      </c>
      <c r="C324" s="2" t="str">
        <f t="shared" si="5"/>
        <v>2016</v>
      </c>
      <c r="D324" s="1" t="s">
        <v>345</v>
      </c>
      <c r="E324" s="1" t="s">
        <v>83</v>
      </c>
      <c r="F324" s="1" t="s">
        <v>33</v>
      </c>
      <c r="G324" s="1" t="s">
        <v>34</v>
      </c>
      <c r="H324" s="1" t="s">
        <v>1109</v>
      </c>
      <c r="I324" s="1">
        <v>191.97</v>
      </c>
      <c r="J324" s="1">
        <v>7</v>
      </c>
      <c r="K324" s="1">
        <v>16.8</v>
      </c>
    </row>
    <row r="325" spans="1:11" ht="12.75" x14ac:dyDescent="0.2">
      <c r="A325" s="2">
        <v>41684</v>
      </c>
      <c r="B325" s="2" t="str">
        <f>TEXT(Table1[[#This Row],[Order Date]],"MMM")</f>
        <v>Feb</v>
      </c>
      <c r="C325" s="2" t="str">
        <f t="shared" si="5"/>
        <v>2014</v>
      </c>
      <c r="D325" s="1" t="s">
        <v>260</v>
      </c>
      <c r="E325" s="1" t="s">
        <v>27</v>
      </c>
      <c r="F325" s="1" t="s">
        <v>11</v>
      </c>
      <c r="G325" s="1" t="s">
        <v>12</v>
      </c>
      <c r="H325" s="1" t="s">
        <v>1110</v>
      </c>
      <c r="I325" s="1">
        <v>12.84</v>
      </c>
      <c r="J325" s="1">
        <v>3</v>
      </c>
      <c r="K325" s="1">
        <v>5.78</v>
      </c>
    </row>
    <row r="326" spans="1:11" ht="12.75" x14ac:dyDescent="0.2">
      <c r="A326" s="2">
        <v>42443</v>
      </c>
      <c r="B326" s="2" t="str">
        <f>TEXT(Table1[[#This Row],[Order Date]],"MMM")</f>
        <v>Mar</v>
      </c>
      <c r="C326" s="2" t="str">
        <f t="shared" si="5"/>
        <v>2016</v>
      </c>
      <c r="D326" s="1" t="s">
        <v>293</v>
      </c>
      <c r="E326" s="1" t="s">
        <v>30</v>
      </c>
      <c r="F326" s="1" t="s">
        <v>11</v>
      </c>
      <c r="G326" s="1" t="s">
        <v>58</v>
      </c>
      <c r="H326" s="1" t="s">
        <v>1114</v>
      </c>
      <c r="I326" s="1">
        <v>17.940000000000001</v>
      </c>
      <c r="J326" s="1">
        <v>3</v>
      </c>
      <c r="K326" s="1">
        <v>8.7899999999999991</v>
      </c>
    </row>
    <row r="327" spans="1:11" ht="12.75" x14ac:dyDescent="0.2">
      <c r="A327" s="2">
        <v>42108</v>
      </c>
      <c r="B327" s="2" t="str">
        <f>TEXT(Table1[[#This Row],[Order Date]],"MMM")</f>
        <v>Apr</v>
      </c>
      <c r="C327" s="2" t="str">
        <f t="shared" si="5"/>
        <v>2015</v>
      </c>
      <c r="D327" s="1" t="s">
        <v>301</v>
      </c>
      <c r="E327" s="1" t="s">
        <v>101</v>
      </c>
      <c r="F327" s="1" t="s">
        <v>38</v>
      </c>
      <c r="G327" s="1" t="s">
        <v>48</v>
      </c>
      <c r="H327" s="1" t="s">
        <v>1085</v>
      </c>
      <c r="I327" s="1">
        <v>255.97</v>
      </c>
      <c r="J327" s="1">
        <v>4</v>
      </c>
      <c r="K327" s="1">
        <v>32</v>
      </c>
    </row>
    <row r="328" spans="1:11" ht="12.75" x14ac:dyDescent="0.2">
      <c r="A328" s="2">
        <v>41773</v>
      </c>
      <c r="B328" s="2" t="str">
        <f>TEXT(Table1[[#This Row],[Order Date]],"MMM")</f>
        <v>May</v>
      </c>
      <c r="C328" s="2" t="str">
        <f t="shared" si="5"/>
        <v>2014</v>
      </c>
      <c r="D328" s="1" t="s">
        <v>50</v>
      </c>
      <c r="E328" s="1" t="s">
        <v>27</v>
      </c>
      <c r="F328" s="1" t="s">
        <v>11</v>
      </c>
      <c r="G328" s="1" t="s">
        <v>12</v>
      </c>
      <c r="H328" s="1" t="s">
        <v>774</v>
      </c>
      <c r="I328" s="1">
        <v>10.86</v>
      </c>
      <c r="J328" s="1">
        <v>2</v>
      </c>
      <c r="K328" s="1">
        <v>5.32</v>
      </c>
    </row>
    <row r="329" spans="1:11" ht="12.75" x14ac:dyDescent="0.2">
      <c r="A329" s="2">
        <v>42504</v>
      </c>
      <c r="B329" s="2" t="str">
        <f>TEXT(Table1[[#This Row],[Order Date]],"MMM")</f>
        <v>May</v>
      </c>
      <c r="C329" s="2" t="str">
        <f t="shared" si="5"/>
        <v>2016</v>
      </c>
      <c r="D329" s="1" t="s">
        <v>634</v>
      </c>
      <c r="E329" s="1" t="s">
        <v>187</v>
      </c>
      <c r="F329" s="1" t="s">
        <v>33</v>
      </c>
      <c r="G329" s="1" t="s">
        <v>44</v>
      </c>
      <c r="H329" s="1" t="s">
        <v>233</v>
      </c>
      <c r="I329" s="1">
        <v>163.13999999999999</v>
      </c>
      <c r="J329" s="1">
        <v>4</v>
      </c>
      <c r="K329" s="1">
        <v>20.39</v>
      </c>
    </row>
    <row r="330" spans="1:11" ht="12.75" x14ac:dyDescent="0.2">
      <c r="A330" s="2">
        <v>41804</v>
      </c>
      <c r="B330" s="2" t="str">
        <f>TEXT(Table1[[#This Row],[Order Date]],"MMM")</f>
        <v>Jun</v>
      </c>
      <c r="C330" s="2" t="str">
        <f t="shared" si="5"/>
        <v>2014</v>
      </c>
      <c r="D330" s="1" t="s">
        <v>524</v>
      </c>
      <c r="E330" s="1" t="s">
        <v>15</v>
      </c>
      <c r="F330" s="1" t="s">
        <v>11</v>
      </c>
      <c r="G330" s="1" t="s">
        <v>80</v>
      </c>
      <c r="H330" s="1" t="s">
        <v>779</v>
      </c>
      <c r="I330" s="1">
        <v>20.77</v>
      </c>
      <c r="J330" s="1">
        <v>8</v>
      </c>
      <c r="K330" s="1">
        <v>-52.96</v>
      </c>
    </row>
    <row r="331" spans="1:11" ht="12.75" x14ac:dyDescent="0.2">
      <c r="A331" s="2">
        <v>42169</v>
      </c>
      <c r="B331" s="2" t="str">
        <f>TEXT(Table1[[#This Row],[Order Date]],"MMM")</f>
        <v>Jun</v>
      </c>
      <c r="C331" s="2" t="str">
        <f t="shared" si="5"/>
        <v>2015</v>
      </c>
      <c r="D331" s="1" t="s">
        <v>775</v>
      </c>
      <c r="E331" s="1" t="s">
        <v>27</v>
      </c>
      <c r="F331" s="1" t="s">
        <v>11</v>
      </c>
      <c r="G331" s="1" t="s">
        <v>16</v>
      </c>
      <c r="H331" s="1" t="s">
        <v>251</v>
      </c>
      <c r="I331" s="1">
        <v>8.26</v>
      </c>
      <c r="J331" s="1">
        <v>2</v>
      </c>
      <c r="K331" s="1">
        <v>3.8</v>
      </c>
    </row>
    <row r="332" spans="1:11" ht="12.75" x14ac:dyDescent="0.2">
      <c r="A332" s="2">
        <v>42535</v>
      </c>
      <c r="B332" s="2" t="str">
        <f>TEXT(Table1[[#This Row],[Order Date]],"MMM")</f>
        <v>Jun</v>
      </c>
      <c r="C332" s="2" t="str">
        <f t="shared" si="5"/>
        <v>2016</v>
      </c>
      <c r="D332" s="1" t="s">
        <v>1117</v>
      </c>
      <c r="E332" s="1" t="s">
        <v>200</v>
      </c>
      <c r="F332" s="1" t="s">
        <v>11</v>
      </c>
      <c r="G332" s="1" t="s">
        <v>80</v>
      </c>
      <c r="H332" s="1" t="s">
        <v>1087</v>
      </c>
      <c r="I332" s="1">
        <v>845.73</v>
      </c>
      <c r="J332" s="1">
        <v>13</v>
      </c>
      <c r="K332" s="1">
        <v>84.57</v>
      </c>
    </row>
    <row r="333" spans="1:11" ht="12.75" x14ac:dyDescent="0.2">
      <c r="A333" s="2">
        <v>41834</v>
      </c>
      <c r="B333" s="2" t="str">
        <f>TEXT(Table1[[#This Row],[Order Date]],"MMM")</f>
        <v>Jul</v>
      </c>
      <c r="C333" s="2" t="str">
        <f t="shared" si="5"/>
        <v>2014</v>
      </c>
      <c r="D333" s="1" t="s">
        <v>1120</v>
      </c>
      <c r="E333" s="1" t="s">
        <v>134</v>
      </c>
      <c r="F333" s="1" t="s">
        <v>11</v>
      </c>
      <c r="G333" s="1" t="s">
        <v>24</v>
      </c>
      <c r="H333" s="1" t="s">
        <v>1121</v>
      </c>
      <c r="I333" s="1">
        <v>6.63</v>
      </c>
      <c r="J333" s="1">
        <v>3</v>
      </c>
      <c r="K333" s="1">
        <v>1.79</v>
      </c>
    </row>
    <row r="334" spans="1:11" ht="12.75" x14ac:dyDescent="0.2">
      <c r="A334" s="2">
        <v>42199</v>
      </c>
      <c r="B334" s="2" t="str">
        <f>TEXT(Table1[[#This Row],[Order Date]],"MMM")</f>
        <v>Jul</v>
      </c>
      <c r="C334" s="2" t="str">
        <f t="shared" si="5"/>
        <v>2015</v>
      </c>
      <c r="D334" s="1" t="s">
        <v>620</v>
      </c>
      <c r="E334" s="1" t="s">
        <v>134</v>
      </c>
      <c r="F334" s="1" t="s">
        <v>11</v>
      </c>
      <c r="G334" s="1" t="s">
        <v>12</v>
      </c>
      <c r="H334" s="1" t="s">
        <v>1122</v>
      </c>
      <c r="I334" s="1">
        <v>32.4</v>
      </c>
      <c r="J334" s="1">
        <v>5</v>
      </c>
      <c r="K334" s="1">
        <v>15.55</v>
      </c>
    </row>
    <row r="335" spans="1:11" ht="12.75" x14ac:dyDescent="0.2">
      <c r="A335" s="2">
        <v>42565</v>
      </c>
      <c r="B335" s="2" t="str">
        <f>TEXT(Table1[[#This Row],[Order Date]],"MMM")</f>
        <v>Jul</v>
      </c>
      <c r="C335" s="2" t="str">
        <f t="shared" si="5"/>
        <v>2016</v>
      </c>
      <c r="D335" s="1" t="s">
        <v>1123</v>
      </c>
      <c r="E335" s="1" t="s">
        <v>120</v>
      </c>
      <c r="F335" s="1" t="s">
        <v>38</v>
      </c>
      <c r="G335" s="1" t="s">
        <v>39</v>
      </c>
      <c r="H335" s="1" t="s">
        <v>1124</v>
      </c>
      <c r="I335" s="1">
        <v>239.97</v>
      </c>
      <c r="J335" s="1">
        <v>3</v>
      </c>
      <c r="K335" s="1">
        <v>2.4</v>
      </c>
    </row>
    <row r="336" spans="1:11" ht="12.75" x14ac:dyDescent="0.2">
      <c r="A336" s="2">
        <v>42596</v>
      </c>
      <c r="B336" s="2" t="str">
        <f>TEXT(Table1[[#This Row],[Order Date]],"MMM")</f>
        <v>Aug</v>
      </c>
      <c r="C336" s="2" t="str">
        <f t="shared" si="5"/>
        <v>2016</v>
      </c>
      <c r="D336" s="1" t="s">
        <v>348</v>
      </c>
      <c r="E336" s="1" t="s">
        <v>27</v>
      </c>
      <c r="F336" s="1" t="s">
        <v>11</v>
      </c>
      <c r="G336" s="1" t="s">
        <v>12</v>
      </c>
      <c r="H336" s="1" t="s">
        <v>1077</v>
      </c>
      <c r="I336" s="1">
        <v>58.38</v>
      </c>
      <c r="J336" s="1">
        <v>7</v>
      </c>
      <c r="K336" s="1">
        <v>26.27</v>
      </c>
    </row>
    <row r="337" spans="1:11" ht="12.75" x14ac:dyDescent="0.2">
      <c r="A337" s="2">
        <v>41896</v>
      </c>
      <c r="B337" s="2" t="str">
        <f>TEXT(Table1[[#This Row],[Order Date]],"MMM")</f>
        <v>Sep</v>
      </c>
      <c r="C337" s="2" t="str">
        <f t="shared" si="5"/>
        <v>2014</v>
      </c>
      <c r="D337" s="1" t="s">
        <v>294</v>
      </c>
      <c r="E337" s="1" t="s">
        <v>10</v>
      </c>
      <c r="F337" s="1" t="s">
        <v>11</v>
      </c>
      <c r="G337" s="1" t="s">
        <v>20</v>
      </c>
      <c r="H337" s="1" t="s">
        <v>761</v>
      </c>
      <c r="I337" s="1">
        <v>5.73</v>
      </c>
      <c r="J337" s="1">
        <v>8</v>
      </c>
      <c r="K337" s="1">
        <v>-9.16</v>
      </c>
    </row>
    <row r="338" spans="1:11" ht="12.75" x14ac:dyDescent="0.2">
      <c r="A338" s="2">
        <v>42261</v>
      </c>
      <c r="B338" s="2" t="str">
        <f>TEXT(Table1[[#This Row],[Order Date]],"MMM")</f>
        <v>Sep</v>
      </c>
      <c r="C338" s="2" t="str">
        <f t="shared" si="5"/>
        <v>2015</v>
      </c>
      <c r="D338" s="1" t="s">
        <v>1061</v>
      </c>
      <c r="E338" s="1" t="s">
        <v>120</v>
      </c>
      <c r="F338" s="1" t="s">
        <v>33</v>
      </c>
      <c r="G338" s="1" t="s">
        <v>34</v>
      </c>
      <c r="H338" s="1" t="s">
        <v>615</v>
      </c>
      <c r="I338" s="1">
        <v>1522.64</v>
      </c>
      <c r="J338" s="1">
        <v>9</v>
      </c>
      <c r="K338" s="1">
        <v>169.18</v>
      </c>
    </row>
    <row r="339" spans="1:11" ht="12.75" x14ac:dyDescent="0.2">
      <c r="A339" s="2">
        <v>41926</v>
      </c>
      <c r="B339" s="2" t="str">
        <f>TEXT(Table1[[#This Row],[Order Date]],"MMM")</f>
        <v>Oct</v>
      </c>
      <c r="C339" s="2" t="str">
        <f t="shared" si="5"/>
        <v>2014</v>
      </c>
      <c r="D339" s="1" t="s">
        <v>1130</v>
      </c>
      <c r="E339" s="1" t="s">
        <v>27</v>
      </c>
      <c r="F339" s="1" t="s">
        <v>11</v>
      </c>
      <c r="G339" s="1" t="s">
        <v>20</v>
      </c>
      <c r="H339" s="1" t="s">
        <v>61</v>
      </c>
      <c r="I339" s="1">
        <v>7.52</v>
      </c>
      <c r="J339" s="1">
        <v>5</v>
      </c>
      <c r="K339" s="1">
        <v>2.63</v>
      </c>
    </row>
    <row r="340" spans="1:11" ht="12.75" x14ac:dyDescent="0.2">
      <c r="A340" s="2">
        <v>42657</v>
      </c>
      <c r="B340" s="2" t="str">
        <f>TEXT(Table1[[#This Row],[Order Date]],"MMM")</f>
        <v>Oct</v>
      </c>
      <c r="C340" s="2" t="str">
        <f t="shared" si="5"/>
        <v>2016</v>
      </c>
      <c r="D340" s="1" t="s">
        <v>765</v>
      </c>
      <c r="E340" s="1" t="s">
        <v>51</v>
      </c>
      <c r="F340" s="1" t="s">
        <v>11</v>
      </c>
      <c r="G340" s="1" t="s">
        <v>20</v>
      </c>
      <c r="H340" s="1" t="s">
        <v>562</v>
      </c>
      <c r="I340" s="1">
        <v>113.1</v>
      </c>
      <c r="J340" s="1">
        <v>3</v>
      </c>
      <c r="K340" s="1">
        <v>56.55</v>
      </c>
    </row>
    <row r="341" spans="1:11" ht="12.75" x14ac:dyDescent="0.2">
      <c r="A341" s="2">
        <v>41957</v>
      </c>
      <c r="B341" s="2" t="str">
        <f>TEXT(Table1[[#This Row],[Order Date]],"MMM")</f>
        <v>Nov</v>
      </c>
      <c r="C341" s="2" t="str">
        <f t="shared" si="5"/>
        <v>2014</v>
      </c>
      <c r="D341" s="1" t="s">
        <v>64</v>
      </c>
      <c r="E341" s="1" t="s">
        <v>57</v>
      </c>
      <c r="F341" s="1" t="s">
        <v>38</v>
      </c>
      <c r="G341" s="1" t="s">
        <v>48</v>
      </c>
      <c r="H341" s="1" t="s">
        <v>814</v>
      </c>
      <c r="I341" s="1">
        <v>53.7</v>
      </c>
      <c r="J341" s="1">
        <v>6</v>
      </c>
      <c r="K341" s="1">
        <v>10.199999999999999</v>
      </c>
    </row>
    <row r="342" spans="1:11" ht="12.75" x14ac:dyDescent="0.2">
      <c r="A342" s="2">
        <v>42322</v>
      </c>
      <c r="B342" s="2" t="str">
        <f>TEXT(Table1[[#This Row],[Order Date]],"MMM")</f>
        <v>Nov</v>
      </c>
      <c r="C342" s="2" t="str">
        <f t="shared" si="5"/>
        <v>2015</v>
      </c>
      <c r="D342" s="1" t="s">
        <v>1057</v>
      </c>
      <c r="E342" s="1" t="s">
        <v>27</v>
      </c>
      <c r="F342" s="1" t="s">
        <v>11</v>
      </c>
      <c r="G342" s="1" t="s">
        <v>20</v>
      </c>
      <c r="H342" s="1" t="s">
        <v>1084</v>
      </c>
      <c r="I342" s="1">
        <v>36.619999999999997</v>
      </c>
      <c r="J342" s="1">
        <v>3</v>
      </c>
      <c r="K342" s="1">
        <v>13.73</v>
      </c>
    </row>
    <row r="343" spans="1:11" ht="12.75" x14ac:dyDescent="0.2">
      <c r="A343" s="2">
        <v>42688</v>
      </c>
      <c r="B343" s="2" t="str">
        <f>TEXT(Table1[[#This Row],[Order Date]],"MMM")</f>
        <v>Nov</v>
      </c>
      <c r="C343" s="2" t="str">
        <f t="shared" si="5"/>
        <v>2016</v>
      </c>
      <c r="D343" s="1" t="s">
        <v>934</v>
      </c>
      <c r="E343" s="1" t="s">
        <v>23</v>
      </c>
      <c r="F343" s="1" t="s">
        <v>33</v>
      </c>
      <c r="G343" s="1" t="s">
        <v>44</v>
      </c>
      <c r="H343" s="1" t="s">
        <v>892</v>
      </c>
      <c r="I343" s="1">
        <v>51.07</v>
      </c>
      <c r="J343" s="1">
        <v>6</v>
      </c>
      <c r="K343" s="1">
        <v>5.1100000000000003</v>
      </c>
    </row>
    <row r="344" spans="1:11" ht="12.75" x14ac:dyDescent="0.2">
      <c r="A344" s="2">
        <v>42718</v>
      </c>
      <c r="B344" s="2" t="str">
        <f>TEXT(Table1[[#This Row],[Order Date]],"MMM")</f>
        <v>Dec</v>
      </c>
      <c r="C344" s="2" t="str">
        <f t="shared" si="5"/>
        <v>2016</v>
      </c>
      <c r="D344" s="1" t="s">
        <v>588</v>
      </c>
      <c r="E344" s="1" t="s">
        <v>23</v>
      </c>
      <c r="F344" s="1" t="s">
        <v>11</v>
      </c>
      <c r="G344" s="1" t="s">
        <v>58</v>
      </c>
      <c r="H344" s="1" t="s">
        <v>746</v>
      </c>
      <c r="I344" s="1">
        <v>6.21</v>
      </c>
      <c r="J344" s="1">
        <v>2</v>
      </c>
      <c r="K344" s="1">
        <v>2.17</v>
      </c>
    </row>
    <row r="345" spans="1:11" ht="12.75" x14ac:dyDescent="0.2">
      <c r="A345" s="2">
        <v>43083</v>
      </c>
      <c r="B345" s="2" t="str">
        <f>TEXT(Table1[[#This Row],[Order Date]],"MMM")</f>
        <v>Dec</v>
      </c>
      <c r="C345" s="2" t="str">
        <f t="shared" si="5"/>
        <v>2017</v>
      </c>
      <c r="D345" s="1" t="s">
        <v>988</v>
      </c>
      <c r="E345" s="1" t="s">
        <v>27</v>
      </c>
      <c r="F345" s="1" t="s">
        <v>33</v>
      </c>
      <c r="G345" s="1" t="s">
        <v>44</v>
      </c>
      <c r="H345" s="1" t="s">
        <v>1138</v>
      </c>
      <c r="I345" s="1">
        <v>12.56</v>
      </c>
      <c r="J345" s="1">
        <v>2</v>
      </c>
      <c r="K345" s="1">
        <v>4.0199999999999996</v>
      </c>
    </row>
    <row r="346" spans="1:11" ht="12.75" x14ac:dyDescent="0.2">
      <c r="A346" s="2">
        <v>41654</v>
      </c>
      <c r="B346" s="2" t="str">
        <f>TEXT(Table1[[#This Row],[Order Date]],"MMM")</f>
        <v>Jan</v>
      </c>
      <c r="C346" s="2" t="str">
        <f t="shared" si="5"/>
        <v>2014</v>
      </c>
      <c r="D346" s="1" t="s">
        <v>1139</v>
      </c>
      <c r="E346" s="1" t="s">
        <v>27</v>
      </c>
      <c r="F346" s="1" t="s">
        <v>33</v>
      </c>
      <c r="G346" s="1" t="s">
        <v>44</v>
      </c>
      <c r="H346" s="1" t="s">
        <v>870</v>
      </c>
      <c r="I346" s="1">
        <v>257.64</v>
      </c>
      <c r="J346" s="1">
        <v>6</v>
      </c>
      <c r="K346" s="1">
        <v>100.48</v>
      </c>
    </row>
    <row r="347" spans="1:11" ht="12.75" x14ac:dyDescent="0.2">
      <c r="A347" s="2">
        <v>42384</v>
      </c>
      <c r="B347" s="2" t="str">
        <f>TEXT(Table1[[#This Row],[Order Date]],"MMM")</f>
        <v>Jan</v>
      </c>
      <c r="C347" s="2" t="str">
        <f t="shared" si="5"/>
        <v>2016</v>
      </c>
      <c r="D347" s="1" t="s">
        <v>496</v>
      </c>
      <c r="E347" s="1" t="s">
        <v>134</v>
      </c>
      <c r="F347" s="1" t="s">
        <v>38</v>
      </c>
      <c r="G347" s="1" t="s">
        <v>39</v>
      </c>
      <c r="H347" s="1" t="s">
        <v>1141</v>
      </c>
      <c r="I347" s="1">
        <v>201.57</v>
      </c>
      <c r="J347" s="1">
        <v>4</v>
      </c>
      <c r="K347" s="1">
        <v>22.68</v>
      </c>
    </row>
    <row r="348" spans="1:11" ht="12.75" x14ac:dyDescent="0.2">
      <c r="A348" s="2">
        <v>42750</v>
      </c>
      <c r="B348" s="2" t="str">
        <f>TEXT(Table1[[#This Row],[Order Date]],"MMM")</f>
        <v>Jan</v>
      </c>
      <c r="C348" s="2" t="str">
        <f t="shared" si="5"/>
        <v>2017</v>
      </c>
      <c r="D348" s="1" t="s">
        <v>1142</v>
      </c>
      <c r="E348" s="1" t="s">
        <v>23</v>
      </c>
      <c r="F348" s="1" t="s">
        <v>11</v>
      </c>
      <c r="G348" s="1" t="s">
        <v>12</v>
      </c>
      <c r="H348" s="1" t="s">
        <v>317</v>
      </c>
      <c r="I348" s="1">
        <v>31.1</v>
      </c>
      <c r="J348" s="1">
        <v>6</v>
      </c>
      <c r="K348" s="1">
        <v>10.89</v>
      </c>
    </row>
    <row r="349" spans="1:11" ht="12.75" x14ac:dyDescent="0.2">
      <c r="A349" s="2">
        <v>41685</v>
      </c>
      <c r="B349" s="2" t="str">
        <f>TEXT(Table1[[#This Row],[Order Date]],"MMM")</f>
        <v>Feb</v>
      </c>
      <c r="C349" s="2" t="str">
        <f t="shared" si="5"/>
        <v>2014</v>
      </c>
      <c r="D349" s="1" t="s">
        <v>381</v>
      </c>
      <c r="E349" s="1" t="s">
        <v>94</v>
      </c>
      <c r="F349" s="1" t="s">
        <v>38</v>
      </c>
      <c r="G349" s="1" t="s">
        <v>48</v>
      </c>
      <c r="H349" s="1" t="s">
        <v>1019</v>
      </c>
      <c r="I349" s="1">
        <v>41.9</v>
      </c>
      <c r="J349" s="1">
        <v>2</v>
      </c>
      <c r="K349" s="1">
        <v>8.8000000000000007</v>
      </c>
    </row>
    <row r="350" spans="1:11" ht="12.75" x14ac:dyDescent="0.2">
      <c r="A350" s="2">
        <v>42050</v>
      </c>
      <c r="B350" s="2" t="str">
        <f>TEXT(Table1[[#This Row],[Order Date]],"MMM")</f>
        <v>Feb</v>
      </c>
      <c r="C350" s="2" t="str">
        <f t="shared" si="5"/>
        <v>2015</v>
      </c>
      <c r="D350" s="1" t="s">
        <v>207</v>
      </c>
      <c r="E350" s="1" t="s">
        <v>10</v>
      </c>
      <c r="F350" s="1" t="s">
        <v>11</v>
      </c>
      <c r="G350" s="1" t="s">
        <v>80</v>
      </c>
      <c r="H350" s="1" t="s">
        <v>157</v>
      </c>
      <c r="I350" s="1">
        <v>32.78</v>
      </c>
      <c r="J350" s="1">
        <v>4</v>
      </c>
      <c r="K350" s="1">
        <v>-85.24</v>
      </c>
    </row>
    <row r="351" spans="1:11" ht="12.75" x14ac:dyDescent="0.2">
      <c r="A351" s="2">
        <v>42415</v>
      </c>
      <c r="B351" s="2" t="str">
        <f>TEXT(Table1[[#This Row],[Order Date]],"MMM")</f>
        <v>Feb</v>
      </c>
      <c r="C351" s="2" t="str">
        <f t="shared" si="5"/>
        <v>2016</v>
      </c>
      <c r="D351" s="1" t="s">
        <v>1148</v>
      </c>
      <c r="E351" s="1" t="s">
        <v>32</v>
      </c>
      <c r="F351" s="1" t="s">
        <v>33</v>
      </c>
      <c r="G351" s="1" t="s">
        <v>34</v>
      </c>
      <c r="H351" s="1" t="s">
        <v>1149</v>
      </c>
      <c r="I351" s="1">
        <v>70.98</v>
      </c>
      <c r="J351" s="1">
        <v>1</v>
      </c>
      <c r="K351" s="1">
        <v>4.97</v>
      </c>
    </row>
    <row r="352" spans="1:11" ht="12.75" x14ac:dyDescent="0.2">
      <c r="A352" s="2">
        <v>41713</v>
      </c>
      <c r="B352" s="2" t="str">
        <f>TEXT(Table1[[#This Row],[Order Date]],"MMM")</f>
        <v>Mar</v>
      </c>
      <c r="C352" s="2" t="str">
        <f t="shared" si="5"/>
        <v>2014</v>
      </c>
      <c r="D352" s="1" t="s">
        <v>998</v>
      </c>
      <c r="E352" s="1" t="s">
        <v>127</v>
      </c>
      <c r="F352" s="1" t="s">
        <v>38</v>
      </c>
      <c r="G352" s="1" t="s">
        <v>39</v>
      </c>
      <c r="H352" s="1" t="s">
        <v>1150</v>
      </c>
      <c r="I352" s="1">
        <v>1099.96</v>
      </c>
      <c r="J352" s="1">
        <v>4</v>
      </c>
      <c r="K352" s="1">
        <v>285.99</v>
      </c>
    </row>
    <row r="353" spans="1:11" ht="12.75" x14ac:dyDescent="0.2">
      <c r="A353" s="2">
        <v>42078</v>
      </c>
      <c r="B353" s="2" t="str">
        <f>TEXT(Table1[[#This Row],[Order Date]],"MMM")</f>
        <v>Mar</v>
      </c>
      <c r="C353" s="2" t="str">
        <f t="shared" si="5"/>
        <v>2015</v>
      </c>
      <c r="D353" s="1" t="s">
        <v>1152</v>
      </c>
      <c r="E353" s="1" t="s">
        <v>120</v>
      </c>
      <c r="F353" s="1" t="s">
        <v>33</v>
      </c>
      <c r="G353" s="1" t="s">
        <v>44</v>
      </c>
      <c r="H353" s="1" t="s">
        <v>365</v>
      </c>
      <c r="I353" s="1">
        <v>13.96</v>
      </c>
      <c r="J353" s="1">
        <v>2</v>
      </c>
      <c r="K353" s="1">
        <v>6.7</v>
      </c>
    </row>
    <row r="354" spans="1:11" ht="12.75" x14ac:dyDescent="0.2">
      <c r="A354" s="2">
        <v>42444</v>
      </c>
      <c r="B354" s="2" t="str">
        <f>TEXT(Table1[[#This Row],[Order Date]],"MMM")</f>
        <v>Mar</v>
      </c>
      <c r="C354" s="2" t="str">
        <f t="shared" si="5"/>
        <v>2016</v>
      </c>
      <c r="D354" s="1" t="s">
        <v>1033</v>
      </c>
      <c r="E354" s="1" t="s">
        <v>287</v>
      </c>
      <c r="F354" s="1" t="s">
        <v>11</v>
      </c>
      <c r="G354" s="1" t="s">
        <v>12</v>
      </c>
      <c r="H354" s="1" t="s">
        <v>937</v>
      </c>
      <c r="I354" s="1">
        <v>6.58</v>
      </c>
      <c r="J354" s="1">
        <v>2</v>
      </c>
      <c r="K354" s="1">
        <v>3.03</v>
      </c>
    </row>
    <row r="355" spans="1:11" ht="12.75" x14ac:dyDescent="0.2">
      <c r="A355" s="2">
        <v>41744</v>
      </c>
      <c r="B355" s="2" t="str">
        <f>TEXT(Table1[[#This Row],[Order Date]],"MMM")</f>
        <v>Apr</v>
      </c>
      <c r="C355" s="2" t="str">
        <f t="shared" si="5"/>
        <v>2014</v>
      </c>
      <c r="D355" s="1" t="s">
        <v>553</v>
      </c>
      <c r="E355" s="1" t="s">
        <v>83</v>
      </c>
      <c r="F355" s="1" t="s">
        <v>11</v>
      </c>
      <c r="G355" s="1" t="s">
        <v>20</v>
      </c>
      <c r="H355" s="1" t="s">
        <v>847</v>
      </c>
      <c r="I355" s="1">
        <v>3.37</v>
      </c>
      <c r="J355" s="1">
        <v>3</v>
      </c>
      <c r="K355" s="1">
        <v>-2.2400000000000002</v>
      </c>
    </row>
    <row r="356" spans="1:11" ht="12.75" x14ac:dyDescent="0.2">
      <c r="A356" s="2">
        <v>42475</v>
      </c>
      <c r="B356" s="2" t="str">
        <f>TEXT(Table1[[#This Row],[Order Date]],"MMM")</f>
        <v>Apr</v>
      </c>
      <c r="C356" s="2" t="str">
        <f t="shared" si="5"/>
        <v>2016</v>
      </c>
      <c r="D356" s="1" t="s">
        <v>1022</v>
      </c>
      <c r="E356" s="1" t="s">
        <v>23</v>
      </c>
      <c r="F356" s="1" t="s">
        <v>33</v>
      </c>
      <c r="G356" s="1" t="s">
        <v>44</v>
      </c>
      <c r="H356" s="1" t="s">
        <v>1155</v>
      </c>
      <c r="I356" s="1">
        <v>289.8</v>
      </c>
      <c r="J356" s="1">
        <v>7</v>
      </c>
      <c r="K356" s="1">
        <v>36.229999999999997</v>
      </c>
    </row>
    <row r="357" spans="1:11" ht="12.75" x14ac:dyDescent="0.2">
      <c r="A357" s="2">
        <v>42139</v>
      </c>
      <c r="B357" s="2" t="str">
        <f>TEXT(Table1[[#This Row],[Order Date]],"MMM")</f>
        <v>May</v>
      </c>
      <c r="C357" s="2" t="str">
        <f t="shared" si="5"/>
        <v>2015</v>
      </c>
      <c r="D357" s="1" t="s">
        <v>62</v>
      </c>
      <c r="E357" s="1" t="s">
        <v>120</v>
      </c>
      <c r="F357" s="1" t="s">
        <v>11</v>
      </c>
      <c r="G357" s="1" t="s">
        <v>20</v>
      </c>
      <c r="H357" s="1" t="s">
        <v>177</v>
      </c>
      <c r="I357" s="1">
        <v>11.81</v>
      </c>
      <c r="J357" s="1">
        <v>2</v>
      </c>
      <c r="K357" s="1">
        <v>4.28</v>
      </c>
    </row>
    <row r="358" spans="1:11" ht="12.75" x14ac:dyDescent="0.2">
      <c r="A358" s="2">
        <v>42505</v>
      </c>
      <c r="B358" s="2" t="str">
        <f>TEXT(Table1[[#This Row],[Order Date]],"MMM")</f>
        <v>May</v>
      </c>
      <c r="C358" s="2" t="str">
        <f t="shared" si="5"/>
        <v>2016</v>
      </c>
      <c r="D358" s="1" t="s">
        <v>1060</v>
      </c>
      <c r="E358" s="1" t="s">
        <v>83</v>
      </c>
      <c r="F358" s="1" t="s">
        <v>11</v>
      </c>
      <c r="G358" s="1" t="s">
        <v>18</v>
      </c>
      <c r="H358" s="1" t="s">
        <v>19</v>
      </c>
      <c r="I358" s="1">
        <v>272.74</v>
      </c>
      <c r="J358" s="1">
        <v>3</v>
      </c>
      <c r="K358" s="1">
        <v>-64.77</v>
      </c>
    </row>
    <row r="359" spans="1:11" ht="12.75" x14ac:dyDescent="0.2">
      <c r="A359" s="2">
        <v>41805</v>
      </c>
      <c r="B359" s="2" t="str">
        <f>TEXT(Table1[[#This Row],[Order Date]],"MMM")</f>
        <v>Jun</v>
      </c>
      <c r="C359" s="2" t="str">
        <f t="shared" si="5"/>
        <v>2014</v>
      </c>
      <c r="D359" s="1" t="s">
        <v>1130</v>
      </c>
      <c r="E359" s="1" t="s">
        <v>27</v>
      </c>
      <c r="F359" s="1" t="s">
        <v>33</v>
      </c>
      <c r="G359" s="1" t="s">
        <v>34</v>
      </c>
      <c r="H359" s="1" t="s">
        <v>633</v>
      </c>
      <c r="I359" s="1">
        <v>1348.7</v>
      </c>
      <c r="J359" s="1">
        <v>6</v>
      </c>
      <c r="K359" s="1">
        <v>-219.16</v>
      </c>
    </row>
    <row r="360" spans="1:11" ht="12.75" x14ac:dyDescent="0.2">
      <c r="A360" s="2">
        <v>42536</v>
      </c>
      <c r="B360" s="2" t="str">
        <f>TEXT(Table1[[#This Row],[Order Date]],"MMM")</f>
        <v>Jun</v>
      </c>
      <c r="C360" s="2" t="str">
        <f t="shared" si="5"/>
        <v>2016</v>
      </c>
      <c r="D360" s="1" t="s">
        <v>755</v>
      </c>
      <c r="E360" s="1" t="s">
        <v>27</v>
      </c>
      <c r="F360" s="1" t="s">
        <v>33</v>
      </c>
      <c r="G360" s="1" t="s">
        <v>65</v>
      </c>
      <c r="H360" s="1" t="s">
        <v>953</v>
      </c>
      <c r="I360" s="1">
        <v>195.47</v>
      </c>
      <c r="J360" s="1">
        <v>2</v>
      </c>
      <c r="K360" s="1">
        <v>-13.8</v>
      </c>
    </row>
    <row r="361" spans="1:11" ht="12.75" x14ac:dyDescent="0.2">
      <c r="A361" s="2">
        <v>42901</v>
      </c>
      <c r="B361" s="2" t="str">
        <f>TEXT(Table1[[#This Row],[Order Date]],"MMM")</f>
        <v>Jun</v>
      </c>
      <c r="C361" s="2" t="str">
        <f t="shared" si="5"/>
        <v>2017</v>
      </c>
      <c r="D361" s="1" t="s">
        <v>660</v>
      </c>
      <c r="E361" s="1" t="s">
        <v>27</v>
      </c>
      <c r="F361" s="1" t="s">
        <v>38</v>
      </c>
      <c r="G361" s="1" t="s">
        <v>48</v>
      </c>
      <c r="H361" s="1" t="s">
        <v>1118</v>
      </c>
      <c r="I361" s="1">
        <v>519.96</v>
      </c>
      <c r="J361" s="1">
        <v>4</v>
      </c>
      <c r="K361" s="1">
        <v>176.79</v>
      </c>
    </row>
    <row r="362" spans="1:11" ht="12.75" x14ac:dyDescent="0.2">
      <c r="A362" s="2">
        <v>41835</v>
      </c>
      <c r="B362" s="2" t="str">
        <f>TEXT(Table1[[#This Row],[Order Date]],"MMM")</f>
        <v>Jul</v>
      </c>
      <c r="C362" s="2" t="str">
        <f t="shared" si="5"/>
        <v>2014</v>
      </c>
      <c r="D362" s="1" t="s">
        <v>1162</v>
      </c>
      <c r="E362" s="1" t="s">
        <v>83</v>
      </c>
      <c r="F362" s="1" t="s">
        <v>11</v>
      </c>
      <c r="G362" s="1" t="s">
        <v>20</v>
      </c>
      <c r="H362" s="1" t="s">
        <v>1163</v>
      </c>
      <c r="I362" s="1">
        <v>2.0299999999999998</v>
      </c>
      <c r="J362" s="1">
        <v>1</v>
      </c>
      <c r="K362" s="1">
        <v>-1.35</v>
      </c>
    </row>
    <row r="363" spans="1:11" ht="12.75" x14ac:dyDescent="0.2">
      <c r="A363" s="2">
        <v>42566</v>
      </c>
      <c r="B363" s="2" t="str">
        <f>TEXT(Table1[[#This Row],[Order Date]],"MMM")</f>
        <v>Jul</v>
      </c>
      <c r="C363" s="2" t="str">
        <f t="shared" si="5"/>
        <v>2016</v>
      </c>
      <c r="D363" s="1" t="s">
        <v>1164</v>
      </c>
      <c r="E363" s="1" t="s">
        <v>107</v>
      </c>
      <c r="F363" s="1" t="s">
        <v>11</v>
      </c>
      <c r="G363" s="1" t="s">
        <v>18</v>
      </c>
      <c r="H363" s="1" t="s">
        <v>868</v>
      </c>
      <c r="I363" s="1">
        <v>34.76</v>
      </c>
      <c r="J363" s="1">
        <v>1</v>
      </c>
      <c r="K363" s="1">
        <v>9.73</v>
      </c>
    </row>
    <row r="364" spans="1:11" ht="12.75" x14ac:dyDescent="0.2">
      <c r="A364" s="2">
        <v>41866</v>
      </c>
      <c r="B364" s="2" t="str">
        <f>TEXT(Table1[[#This Row],[Order Date]],"MMM")</f>
        <v>Aug</v>
      </c>
      <c r="C364" s="2" t="str">
        <f t="shared" si="5"/>
        <v>2014</v>
      </c>
      <c r="D364" s="1" t="s">
        <v>485</v>
      </c>
      <c r="E364" s="1" t="s">
        <v>23</v>
      </c>
      <c r="F364" s="1" t="s">
        <v>11</v>
      </c>
      <c r="G364" s="1" t="s">
        <v>20</v>
      </c>
      <c r="H364" s="1" t="s">
        <v>637</v>
      </c>
      <c r="I364" s="1">
        <v>25.18</v>
      </c>
      <c r="J364" s="1">
        <v>4</v>
      </c>
      <c r="K364" s="1">
        <v>-18.46</v>
      </c>
    </row>
    <row r="365" spans="1:11" ht="12.75" x14ac:dyDescent="0.2">
      <c r="A365" s="2">
        <v>42231</v>
      </c>
      <c r="B365" s="2" t="str">
        <f>TEXT(Table1[[#This Row],[Order Date]],"MMM")</f>
        <v>Aug</v>
      </c>
      <c r="C365" s="2" t="str">
        <f t="shared" si="5"/>
        <v>2015</v>
      </c>
      <c r="D365" s="1" t="s">
        <v>541</v>
      </c>
      <c r="E365" s="1" t="s">
        <v>83</v>
      </c>
      <c r="F365" s="1" t="s">
        <v>33</v>
      </c>
      <c r="G365" s="1" t="s">
        <v>118</v>
      </c>
      <c r="H365" s="1" t="s">
        <v>905</v>
      </c>
      <c r="I365" s="1">
        <v>393.17</v>
      </c>
      <c r="J365" s="1">
        <v>3</v>
      </c>
      <c r="K365" s="1">
        <v>-204.45</v>
      </c>
    </row>
    <row r="366" spans="1:11" ht="12.75" x14ac:dyDescent="0.2">
      <c r="A366" s="2">
        <v>42597</v>
      </c>
      <c r="B366" s="2" t="str">
        <f>TEXT(Table1[[#This Row],[Order Date]],"MMM")</f>
        <v>Aug</v>
      </c>
      <c r="C366" s="2" t="str">
        <f t="shared" si="5"/>
        <v>2016</v>
      </c>
      <c r="D366" s="1" t="s">
        <v>411</v>
      </c>
      <c r="E366" s="1" t="s">
        <v>32</v>
      </c>
      <c r="F366" s="1" t="s">
        <v>38</v>
      </c>
      <c r="G366" s="1" t="s">
        <v>39</v>
      </c>
      <c r="H366" s="1" t="s">
        <v>1026</v>
      </c>
      <c r="I366" s="1">
        <v>29.97</v>
      </c>
      <c r="J366" s="1">
        <v>3</v>
      </c>
      <c r="K366" s="1">
        <v>0.3</v>
      </c>
    </row>
    <row r="367" spans="1:11" ht="12.75" x14ac:dyDescent="0.2">
      <c r="A367" s="2">
        <v>41897</v>
      </c>
      <c r="B367" s="2" t="str">
        <f>TEXT(Table1[[#This Row],[Order Date]],"MMM")</f>
        <v>Sep</v>
      </c>
      <c r="C367" s="2" t="str">
        <f t="shared" si="5"/>
        <v>2014</v>
      </c>
      <c r="D367" s="1" t="s">
        <v>698</v>
      </c>
      <c r="E367" s="1" t="s">
        <v>120</v>
      </c>
      <c r="F367" s="1" t="s">
        <v>38</v>
      </c>
      <c r="G367" s="1" t="s">
        <v>48</v>
      </c>
      <c r="H367" s="1" t="s">
        <v>991</v>
      </c>
      <c r="I367" s="1">
        <v>2309.65</v>
      </c>
      <c r="J367" s="1">
        <v>7</v>
      </c>
      <c r="K367" s="1">
        <v>762.18</v>
      </c>
    </row>
    <row r="368" spans="1:11" ht="12.75" x14ac:dyDescent="0.2">
      <c r="A368" s="2">
        <v>42628</v>
      </c>
      <c r="B368" s="2" t="str">
        <f>TEXT(Table1[[#This Row],[Order Date]],"MMM")</f>
        <v>Sep</v>
      </c>
      <c r="C368" s="2" t="str">
        <f t="shared" si="5"/>
        <v>2016</v>
      </c>
      <c r="D368" s="1" t="s">
        <v>328</v>
      </c>
      <c r="E368" s="1" t="s">
        <v>27</v>
      </c>
      <c r="F368" s="1" t="s">
        <v>11</v>
      </c>
      <c r="G368" s="1" t="s">
        <v>24</v>
      </c>
      <c r="H368" s="1" t="s">
        <v>351</v>
      </c>
      <c r="I368" s="1">
        <v>6.72</v>
      </c>
      <c r="J368" s="1">
        <v>4</v>
      </c>
      <c r="K368" s="1">
        <v>3.36</v>
      </c>
    </row>
    <row r="369" spans="1:11" ht="12.75" x14ac:dyDescent="0.2">
      <c r="A369" s="2">
        <v>42993</v>
      </c>
      <c r="B369" s="2" t="str">
        <f>TEXT(Table1[[#This Row],[Order Date]],"MMM")</f>
        <v>Sep</v>
      </c>
      <c r="C369" s="2" t="str">
        <f t="shared" si="5"/>
        <v>2017</v>
      </c>
      <c r="D369" s="1" t="s">
        <v>517</v>
      </c>
      <c r="E369" s="1" t="s">
        <v>134</v>
      </c>
      <c r="F369" s="1" t="s">
        <v>11</v>
      </c>
      <c r="G369" s="1" t="s">
        <v>20</v>
      </c>
      <c r="H369" s="1" t="s">
        <v>1165</v>
      </c>
      <c r="I369" s="1">
        <v>6.37</v>
      </c>
      <c r="J369" s="1">
        <v>2</v>
      </c>
      <c r="K369" s="1">
        <v>2.15</v>
      </c>
    </row>
    <row r="370" spans="1:11" ht="12.75" x14ac:dyDescent="0.2">
      <c r="A370" s="2">
        <v>41927</v>
      </c>
      <c r="B370" s="2" t="str">
        <f>TEXT(Table1[[#This Row],[Order Date]],"MMM")</f>
        <v>Oct</v>
      </c>
      <c r="C370" s="2" t="str">
        <f t="shared" si="5"/>
        <v>2014</v>
      </c>
      <c r="D370" s="1" t="s">
        <v>293</v>
      </c>
      <c r="E370" s="1" t="s">
        <v>10</v>
      </c>
      <c r="F370" s="1" t="s">
        <v>11</v>
      </c>
      <c r="G370" s="1" t="s">
        <v>18</v>
      </c>
      <c r="H370" s="1" t="s">
        <v>571</v>
      </c>
      <c r="I370" s="1">
        <v>33.49</v>
      </c>
      <c r="J370" s="1">
        <v>7</v>
      </c>
      <c r="K370" s="1">
        <v>-1.26</v>
      </c>
    </row>
    <row r="371" spans="1:11" ht="12.75" x14ac:dyDescent="0.2">
      <c r="A371" s="2">
        <v>42292</v>
      </c>
      <c r="B371" s="2" t="str">
        <f>TEXT(Table1[[#This Row],[Order Date]],"MMM")</f>
        <v>Oct</v>
      </c>
      <c r="C371" s="2" t="str">
        <f t="shared" si="5"/>
        <v>2015</v>
      </c>
      <c r="D371" s="1" t="s">
        <v>548</v>
      </c>
      <c r="E371" s="1" t="s">
        <v>10</v>
      </c>
      <c r="F371" s="1" t="s">
        <v>11</v>
      </c>
      <c r="G371" s="1" t="s">
        <v>12</v>
      </c>
      <c r="H371" s="1" t="s">
        <v>1136</v>
      </c>
      <c r="I371" s="1">
        <v>27.22</v>
      </c>
      <c r="J371" s="1">
        <v>3</v>
      </c>
      <c r="K371" s="1">
        <v>9.8699999999999992</v>
      </c>
    </row>
    <row r="372" spans="1:11" ht="12.75" x14ac:dyDescent="0.2">
      <c r="A372" s="2">
        <v>42658</v>
      </c>
      <c r="B372" s="2" t="str">
        <f>TEXT(Table1[[#This Row],[Order Date]],"MMM")</f>
        <v>Oct</v>
      </c>
      <c r="C372" s="2" t="str">
        <f t="shared" si="5"/>
        <v>2016</v>
      </c>
      <c r="D372" s="1" t="s">
        <v>789</v>
      </c>
      <c r="E372" s="1" t="s">
        <v>27</v>
      </c>
      <c r="F372" s="1" t="s">
        <v>11</v>
      </c>
      <c r="G372" s="1" t="s">
        <v>20</v>
      </c>
      <c r="H372" s="1" t="s">
        <v>362</v>
      </c>
      <c r="I372" s="1">
        <v>6.61</v>
      </c>
      <c r="J372" s="1">
        <v>2</v>
      </c>
      <c r="K372" s="1">
        <v>2.23</v>
      </c>
    </row>
    <row r="373" spans="1:11" ht="12.75" x14ac:dyDescent="0.2">
      <c r="A373" s="2">
        <v>43023</v>
      </c>
      <c r="B373" s="2" t="str">
        <f>TEXT(Table1[[#This Row],[Order Date]],"MMM")</f>
        <v>Oct</v>
      </c>
      <c r="C373" s="2" t="str">
        <f t="shared" si="5"/>
        <v>2017</v>
      </c>
      <c r="D373" s="1" t="s">
        <v>378</v>
      </c>
      <c r="E373" s="1" t="s">
        <v>94</v>
      </c>
      <c r="F373" s="1" t="s">
        <v>11</v>
      </c>
      <c r="G373" s="1" t="s">
        <v>24</v>
      </c>
      <c r="H373" s="1" t="s">
        <v>549</v>
      </c>
      <c r="I373" s="1">
        <v>2.2000000000000002</v>
      </c>
      <c r="J373" s="1">
        <v>1</v>
      </c>
      <c r="K373" s="1">
        <v>0.97</v>
      </c>
    </row>
    <row r="374" spans="1:11" ht="12.75" x14ac:dyDescent="0.2">
      <c r="A374" s="2">
        <v>41958</v>
      </c>
      <c r="B374" s="2" t="str">
        <f>TEXT(Table1[[#This Row],[Order Date]],"MMM")</f>
        <v>Nov</v>
      </c>
      <c r="C374" s="2" t="str">
        <f t="shared" si="5"/>
        <v>2014</v>
      </c>
      <c r="D374" s="1" t="s">
        <v>756</v>
      </c>
      <c r="E374" s="1" t="s">
        <v>27</v>
      </c>
      <c r="F374" s="1" t="s">
        <v>11</v>
      </c>
      <c r="G374" s="1" t="s">
        <v>24</v>
      </c>
      <c r="H374" s="1" t="s">
        <v>898</v>
      </c>
      <c r="I374" s="1">
        <v>50.8</v>
      </c>
      <c r="J374" s="1">
        <v>5</v>
      </c>
      <c r="K374" s="1">
        <v>13.21</v>
      </c>
    </row>
    <row r="375" spans="1:11" ht="12.75" x14ac:dyDescent="0.2">
      <c r="A375" s="2">
        <v>42689</v>
      </c>
      <c r="B375" s="2" t="str">
        <f>TEXT(Table1[[#This Row],[Order Date]],"MMM")</f>
        <v>Nov</v>
      </c>
      <c r="C375" s="2" t="str">
        <f t="shared" si="5"/>
        <v>2016</v>
      </c>
      <c r="D375" s="1" t="s">
        <v>1170</v>
      </c>
      <c r="E375" s="1" t="s">
        <v>27</v>
      </c>
      <c r="F375" s="1" t="s">
        <v>11</v>
      </c>
      <c r="G375" s="1" t="s">
        <v>18</v>
      </c>
      <c r="H375" s="1" t="s">
        <v>808</v>
      </c>
      <c r="I375" s="1">
        <v>323.10000000000002</v>
      </c>
      <c r="J375" s="1">
        <v>2</v>
      </c>
      <c r="K375" s="1">
        <v>61.39</v>
      </c>
    </row>
    <row r="376" spans="1:11" ht="12.75" x14ac:dyDescent="0.2">
      <c r="A376" s="2">
        <v>43054</v>
      </c>
      <c r="B376" s="2" t="str">
        <f>TEXT(Table1[[#This Row],[Order Date]],"MMM")</f>
        <v>Nov</v>
      </c>
      <c r="C376" s="2" t="str">
        <f t="shared" si="5"/>
        <v>2017</v>
      </c>
      <c r="D376" s="1" t="s">
        <v>931</v>
      </c>
      <c r="E376" s="1" t="s">
        <v>83</v>
      </c>
      <c r="F376" s="1" t="s">
        <v>11</v>
      </c>
      <c r="G376" s="1" t="s">
        <v>24</v>
      </c>
      <c r="H376" s="1" t="s">
        <v>1171</v>
      </c>
      <c r="I376" s="1">
        <v>2.2999999999999998</v>
      </c>
      <c r="J376" s="1">
        <v>1</v>
      </c>
      <c r="K376" s="1">
        <v>0.26</v>
      </c>
    </row>
    <row r="377" spans="1:11" ht="12.75" x14ac:dyDescent="0.2">
      <c r="A377" s="2">
        <v>41988</v>
      </c>
      <c r="B377" s="2" t="str">
        <f>TEXT(Table1[[#This Row],[Order Date]],"MMM")</f>
        <v>Dec</v>
      </c>
      <c r="C377" s="2" t="str">
        <f t="shared" si="5"/>
        <v>2014</v>
      </c>
      <c r="D377" s="1" t="s">
        <v>1175</v>
      </c>
      <c r="E377" s="1" t="s">
        <v>287</v>
      </c>
      <c r="F377" s="1" t="s">
        <v>11</v>
      </c>
      <c r="G377" s="1" t="s">
        <v>20</v>
      </c>
      <c r="H377" s="1" t="s">
        <v>1176</v>
      </c>
      <c r="I377" s="1">
        <v>52.2</v>
      </c>
      <c r="J377" s="1">
        <v>9</v>
      </c>
      <c r="K377" s="1">
        <v>23.49</v>
      </c>
    </row>
    <row r="378" spans="1:11" ht="12.75" x14ac:dyDescent="0.2">
      <c r="A378" s="2">
        <v>43084</v>
      </c>
      <c r="B378" s="2" t="str">
        <f>TEXT(Table1[[#This Row],[Order Date]],"MMM")</f>
        <v>Dec</v>
      </c>
      <c r="C378" s="2" t="str">
        <f t="shared" si="5"/>
        <v>2017</v>
      </c>
      <c r="D378" s="1" t="s">
        <v>646</v>
      </c>
      <c r="E378" s="1" t="s">
        <v>27</v>
      </c>
      <c r="F378" s="1" t="s">
        <v>33</v>
      </c>
      <c r="G378" s="1" t="s">
        <v>34</v>
      </c>
      <c r="H378" s="1" t="s">
        <v>657</v>
      </c>
      <c r="I378" s="1">
        <v>544.01</v>
      </c>
      <c r="J378" s="1">
        <v>3</v>
      </c>
      <c r="K378" s="1">
        <v>40.799999999999997</v>
      </c>
    </row>
    <row r="379" spans="1:11" ht="12.75" x14ac:dyDescent="0.2">
      <c r="A379" s="2">
        <v>41655</v>
      </c>
      <c r="B379" s="2" t="str">
        <f>TEXT(Table1[[#This Row],[Order Date]],"MMM")</f>
        <v>Jan</v>
      </c>
      <c r="C379" s="2" t="str">
        <f t="shared" si="5"/>
        <v>2014</v>
      </c>
      <c r="D379" s="1" t="s">
        <v>1177</v>
      </c>
      <c r="E379" s="1" t="s">
        <v>120</v>
      </c>
      <c r="F379" s="1" t="s">
        <v>11</v>
      </c>
      <c r="G379" s="1" t="s">
        <v>20</v>
      </c>
      <c r="H379" s="1" t="s">
        <v>596</v>
      </c>
      <c r="I379" s="1">
        <v>50.11</v>
      </c>
      <c r="J379" s="1">
        <v>6</v>
      </c>
      <c r="K379" s="1">
        <v>16.29</v>
      </c>
    </row>
    <row r="380" spans="1:11" ht="12.75" x14ac:dyDescent="0.2">
      <c r="A380" s="2">
        <v>41686</v>
      </c>
      <c r="B380" s="2" t="str">
        <f>TEXT(Table1[[#This Row],[Order Date]],"MMM")</f>
        <v>Feb</v>
      </c>
      <c r="C380" s="2" t="str">
        <f t="shared" si="5"/>
        <v>2014</v>
      </c>
      <c r="D380" s="1" t="s">
        <v>440</v>
      </c>
      <c r="E380" s="1" t="s">
        <v>15</v>
      </c>
      <c r="F380" s="1" t="s">
        <v>11</v>
      </c>
      <c r="G380" s="1" t="s">
        <v>158</v>
      </c>
      <c r="H380" s="1" t="s">
        <v>1179</v>
      </c>
      <c r="I380" s="1">
        <v>31.68</v>
      </c>
      <c r="J380" s="1">
        <v>4</v>
      </c>
      <c r="K380" s="1">
        <v>2.77</v>
      </c>
    </row>
    <row r="381" spans="1:11" ht="12.75" x14ac:dyDescent="0.2">
      <c r="A381" s="2">
        <v>42051</v>
      </c>
      <c r="B381" s="2" t="str">
        <f>TEXT(Table1[[#This Row],[Order Date]],"MMM")</f>
        <v>Feb</v>
      </c>
      <c r="C381" s="2" t="str">
        <f t="shared" si="5"/>
        <v>2015</v>
      </c>
      <c r="D381" s="1" t="s">
        <v>995</v>
      </c>
      <c r="E381" s="1" t="s">
        <v>94</v>
      </c>
      <c r="F381" s="1" t="s">
        <v>38</v>
      </c>
      <c r="G381" s="1" t="s">
        <v>39</v>
      </c>
      <c r="H381" s="1" t="s">
        <v>874</v>
      </c>
      <c r="I381" s="1">
        <v>131.97999999999999</v>
      </c>
      <c r="J381" s="1">
        <v>2</v>
      </c>
      <c r="K381" s="1">
        <v>35.630000000000003</v>
      </c>
    </row>
    <row r="382" spans="1:11" ht="12.75" x14ac:dyDescent="0.2">
      <c r="A382" s="2">
        <v>42416</v>
      </c>
      <c r="B382" s="2" t="str">
        <f>TEXT(Table1[[#This Row],[Order Date]],"MMM")</f>
        <v>Feb</v>
      </c>
      <c r="C382" s="2" t="str">
        <f t="shared" si="5"/>
        <v>2016</v>
      </c>
      <c r="D382" s="1" t="s">
        <v>810</v>
      </c>
      <c r="E382" s="1" t="s">
        <v>27</v>
      </c>
      <c r="F382" s="1" t="s">
        <v>11</v>
      </c>
      <c r="G382" s="1" t="s">
        <v>20</v>
      </c>
      <c r="H382" s="1" t="s">
        <v>97</v>
      </c>
      <c r="I382" s="1">
        <v>4.75</v>
      </c>
      <c r="J382" s="1">
        <v>1</v>
      </c>
      <c r="K382" s="1">
        <v>1.6</v>
      </c>
    </row>
    <row r="383" spans="1:11" ht="12.75" x14ac:dyDescent="0.2">
      <c r="A383" s="2">
        <v>42782</v>
      </c>
      <c r="B383" s="2" t="str">
        <f>TEXT(Table1[[#This Row],[Order Date]],"MMM")</f>
        <v>Feb</v>
      </c>
      <c r="C383" s="2" t="str">
        <f t="shared" si="5"/>
        <v>2017</v>
      </c>
      <c r="D383" s="1" t="s">
        <v>929</v>
      </c>
      <c r="E383" s="1" t="s">
        <v>187</v>
      </c>
      <c r="F383" s="1" t="s">
        <v>11</v>
      </c>
      <c r="G383" s="1" t="s">
        <v>58</v>
      </c>
      <c r="H383" s="1" t="s">
        <v>1112</v>
      </c>
      <c r="I383" s="1">
        <v>200.98</v>
      </c>
      <c r="J383" s="1">
        <v>7</v>
      </c>
      <c r="K383" s="1">
        <v>62.81</v>
      </c>
    </row>
    <row r="384" spans="1:11" ht="12.75" x14ac:dyDescent="0.2">
      <c r="A384" s="2">
        <v>41714</v>
      </c>
      <c r="B384" s="2" t="str">
        <f>TEXT(Table1[[#This Row],[Order Date]],"MMM")</f>
        <v>Mar</v>
      </c>
      <c r="C384" s="2" t="str">
        <f t="shared" si="5"/>
        <v>2014</v>
      </c>
      <c r="D384" s="1" t="s">
        <v>681</v>
      </c>
      <c r="E384" s="1" t="s">
        <v>30</v>
      </c>
      <c r="F384" s="1" t="s">
        <v>11</v>
      </c>
      <c r="G384" s="1" t="s">
        <v>12</v>
      </c>
      <c r="H384" s="1" t="s">
        <v>1182</v>
      </c>
      <c r="I384" s="1">
        <v>279.89999999999998</v>
      </c>
      <c r="J384" s="1">
        <v>5</v>
      </c>
      <c r="K384" s="1">
        <v>137.15</v>
      </c>
    </row>
    <row r="385" spans="1:11" ht="12.75" x14ac:dyDescent="0.2">
      <c r="A385" s="2">
        <v>42079</v>
      </c>
      <c r="B385" s="2" t="str">
        <f>TEXT(Table1[[#This Row],[Order Date]],"MMM")</f>
        <v>Mar</v>
      </c>
      <c r="C385" s="2" t="str">
        <f t="shared" si="5"/>
        <v>2015</v>
      </c>
      <c r="D385" s="1" t="s">
        <v>621</v>
      </c>
      <c r="E385" s="1" t="s">
        <v>27</v>
      </c>
      <c r="F385" s="1" t="s">
        <v>33</v>
      </c>
      <c r="G385" s="1" t="s">
        <v>65</v>
      </c>
      <c r="H385" s="1" t="s">
        <v>957</v>
      </c>
      <c r="I385" s="1">
        <v>411.33</v>
      </c>
      <c r="J385" s="1">
        <v>4</v>
      </c>
      <c r="K385" s="1">
        <v>-4.84</v>
      </c>
    </row>
    <row r="386" spans="1:11" ht="12.75" x14ac:dyDescent="0.2">
      <c r="A386" s="2">
        <v>42140</v>
      </c>
      <c r="B386" s="2" t="str">
        <f>TEXT(Table1[[#This Row],[Order Date]],"MMM")</f>
        <v>May</v>
      </c>
      <c r="C386" s="2" t="str">
        <f t="shared" ref="C386:C449" si="6">TEXT(A386,"YYY")</f>
        <v>2015</v>
      </c>
      <c r="D386" s="1" t="s">
        <v>1185</v>
      </c>
      <c r="E386" s="1" t="s">
        <v>27</v>
      </c>
      <c r="F386" s="1" t="s">
        <v>11</v>
      </c>
      <c r="G386" s="1" t="s">
        <v>12</v>
      </c>
      <c r="H386" s="1" t="s">
        <v>1126</v>
      </c>
      <c r="I386" s="1">
        <v>26.4</v>
      </c>
      <c r="J386" s="1">
        <v>5</v>
      </c>
      <c r="K386" s="1">
        <v>11.88</v>
      </c>
    </row>
    <row r="387" spans="1:11" ht="12.75" x14ac:dyDescent="0.2">
      <c r="A387" s="2">
        <v>42871</v>
      </c>
      <c r="B387" s="2" t="str">
        <f>TEXT(Table1[[#This Row],[Order Date]],"MMM")</f>
        <v>May</v>
      </c>
      <c r="C387" s="2" t="str">
        <f t="shared" si="6"/>
        <v>2017</v>
      </c>
      <c r="D387" s="1" t="s">
        <v>603</v>
      </c>
      <c r="E387" s="1" t="s">
        <v>27</v>
      </c>
      <c r="F387" s="1" t="s">
        <v>11</v>
      </c>
      <c r="G387" s="1" t="s">
        <v>158</v>
      </c>
      <c r="H387" s="1" t="s">
        <v>312</v>
      </c>
      <c r="I387" s="1">
        <v>51.52</v>
      </c>
      <c r="J387" s="1">
        <v>4</v>
      </c>
      <c r="K387" s="1">
        <v>1.55</v>
      </c>
    </row>
    <row r="388" spans="1:11" ht="12.75" x14ac:dyDescent="0.2">
      <c r="A388" s="2">
        <v>42171</v>
      </c>
      <c r="B388" s="2" t="str">
        <f>TEXT(Table1[[#This Row],[Order Date]],"MMM")</f>
        <v>Jun</v>
      </c>
      <c r="C388" s="2" t="str">
        <f t="shared" si="6"/>
        <v>2015</v>
      </c>
      <c r="D388" s="1" t="s">
        <v>484</v>
      </c>
      <c r="E388" s="1" t="s">
        <v>27</v>
      </c>
      <c r="F388" s="1" t="s">
        <v>11</v>
      </c>
      <c r="G388" s="1" t="s">
        <v>24</v>
      </c>
      <c r="H388" s="1" t="s">
        <v>1187</v>
      </c>
      <c r="I388" s="1">
        <v>181.35</v>
      </c>
      <c r="J388" s="1">
        <v>9</v>
      </c>
      <c r="K388" s="1">
        <v>48.96</v>
      </c>
    </row>
    <row r="389" spans="1:11" ht="12.75" x14ac:dyDescent="0.2">
      <c r="A389" s="2">
        <v>42537</v>
      </c>
      <c r="B389" s="2" t="str">
        <f>TEXT(Table1[[#This Row],[Order Date]],"MMM")</f>
        <v>Jun</v>
      </c>
      <c r="C389" s="2" t="str">
        <f t="shared" si="6"/>
        <v>2016</v>
      </c>
      <c r="D389" s="1" t="s">
        <v>417</v>
      </c>
      <c r="E389" s="1" t="s">
        <v>120</v>
      </c>
      <c r="F389" s="1" t="s">
        <v>38</v>
      </c>
      <c r="G389" s="1" t="s">
        <v>388</v>
      </c>
      <c r="H389" s="1" t="s">
        <v>1189</v>
      </c>
      <c r="I389" s="1">
        <v>479.98</v>
      </c>
      <c r="J389" s="1">
        <v>2</v>
      </c>
      <c r="K389" s="1">
        <v>60</v>
      </c>
    </row>
    <row r="390" spans="1:11" ht="12.75" x14ac:dyDescent="0.2">
      <c r="A390" s="2">
        <v>42201</v>
      </c>
      <c r="B390" s="2" t="str">
        <f>TEXT(Table1[[#This Row],[Order Date]],"MMM")</f>
        <v>Jul</v>
      </c>
      <c r="C390" s="2" t="str">
        <f t="shared" si="6"/>
        <v>2015</v>
      </c>
      <c r="D390" s="1" t="s">
        <v>256</v>
      </c>
      <c r="E390" s="1" t="s">
        <v>211</v>
      </c>
      <c r="F390" s="1" t="s">
        <v>33</v>
      </c>
      <c r="G390" s="1" t="s">
        <v>118</v>
      </c>
      <c r="H390" s="1" t="s">
        <v>850</v>
      </c>
      <c r="I390" s="1">
        <v>912.75</v>
      </c>
      <c r="J390" s="1">
        <v>5</v>
      </c>
      <c r="K390" s="1">
        <v>118.66</v>
      </c>
    </row>
    <row r="391" spans="1:11" ht="12.75" x14ac:dyDescent="0.2">
      <c r="A391" s="2">
        <v>41867</v>
      </c>
      <c r="B391" s="2" t="str">
        <f>TEXT(Table1[[#This Row],[Order Date]],"MMM")</f>
        <v>Aug</v>
      </c>
      <c r="C391" s="2" t="str">
        <f t="shared" si="6"/>
        <v>2014</v>
      </c>
      <c r="D391" s="1" t="s">
        <v>840</v>
      </c>
      <c r="E391" s="1" t="s">
        <v>23</v>
      </c>
      <c r="F391" s="1" t="s">
        <v>33</v>
      </c>
      <c r="G391" s="1" t="s">
        <v>65</v>
      </c>
      <c r="H391" s="1" t="s">
        <v>1193</v>
      </c>
      <c r="I391" s="1">
        <v>3083.43</v>
      </c>
      <c r="J391" s="1">
        <v>7</v>
      </c>
      <c r="K391" s="1">
        <v>-1665.05</v>
      </c>
    </row>
    <row r="392" spans="1:11" ht="12.75" x14ac:dyDescent="0.2">
      <c r="A392" s="2">
        <v>42232</v>
      </c>
      <c r="B392" s="2" t="str">
        <f>TEXT(Table1[[#This Row],[Order Date]],"MMM")</f>
        <v>Aug</v>
      </c>
      <c r="C392" s="2" t="str">
        <f t="shared" si="6"/>
        <v>2015</v>
      </c>
      <c r="D392" s="1" t="s">
        <v>284</v>
      </c>
      <c r="E392" s="1" t="s">
        <v>27</v>
      </c>
      <c r="F392" s="1" t="s">
        <v>11</v>
      </c>
      <c r="G392" s="1" t="s">
        <v>12</v>
      </c>
      <c r="H392" s="1" t="s">
        <v>700</v>
      </c>
      <c r="I392" s="1">
        <v>160.72</v>
      </c>
      <c r="J392" s="1">
        <v>14</v>
      </c>
      <c r="K392" s="1">
        <v>78.75</v>
      </c>
    </row>
    <row r="393" spans="1:11" ht="12.75" x14ac:dyDescent="0.2">
      <c r="A393" s="2">
        <v>41898</v>
      </c>
      <c r="B393" s="2" t="str">
        <f>TEXT(Table1[[#This Row],[Order Date]],"MMM")</f>
        <v>Sep</v>
      </c>
      <c r="C393" s="2" t="str">
        <f t="shared" si="6"/>
        <v>2014</v>
      </c>
      <c r="D393" s="1" t="s">
        <v>424</v>
      </c>
      <c r="E393" s="1" t="s">
        <v>287</v>
      </c>
      <c r="F393" s="1" t="s">
        <v>11</v>
      </c>
      <c r="G393" s="1" t="s">
        <v>20</v>
      </c>
      <c r="H393" s="1" t="s">
        <v>807</v>
      </c>
      <c r="I393" s="1">
        <v>37.68</v>
      </c>
      <c r="J393" s="1">
        <v>6</v>
      </c>
      <c r="K393" s="1">
        <v>16.96</v>
      </c>
    </row>
    <row r="394" spans="1:11" ht="12.75" x14ac:dyDescent="0.2">
      <c r="A394" s="2">
        <v>42994</v>
      </c>
      <c r="B394" s="2" t="str">
        <f>TEXT(Table1[[#This Row],[Order Date]],"MMM")</f>
        <v>Sep</v>
      </c>
      <c r="C394" s="2" t="str">
        <f t="shared" si="6"/>
        <v>2017</v>
      </c>
      <c r="D394" s="1" t="s">
        <v>1105</v>
      </c>
      <c r="E394" s="1" t="s">
        <v>10</v>
      </c>
      <c r="F394" s="1" t="s">
        <v>38</v>
      </c>
      <c r="G394" s="1" t="s">
        <v>39</v>
      </c>
      <c r="H394" s="1" t="s">
        <v>1104</v>
      </c>
      <c r="I394" s="1">
        <v>946.34</v>
      </c>
      <c r="J394" s="1">
        <v>7</v>
      </c>
      <c r="K394" s="1">
        <v>118.29</v>
      </c>
    </row>
    <row r="395" spans="1:11" ht="12.75" x14ac:dyDescent="0.2">
      <c r="A395" s="2">
        <v>41928</v>
      </c>
      <c r="B395" s="2" t="str">
        <f>TEXT(Table1[[#This Row],[Order Date]],"MMM")</f>
        <v>Oct</v>
      </c>
      <c r="C395" s="2" t="str">
        <f t="shared" si="6"/>
        <v>2014</v>
      </c>
      <c r="D395" s="1" t="s">
        <v>756</v>
      </c>
      <c r="E395" s="1" t="s">
        <v>23</v>
      </c>
      <c r="F395" s="1" t="s">
        <v>11</v>
      </c>
      <c r="G395" s="1" t="s">
        <v>24</v>
      </c>
      <c r="H395" s="1" t="s">
        <v>745</v>
      </c>
      <c r="I395" s="1">
        <v>6.85</v>
      </c>
      <c r="J395" s="1">
        <v>2</v>
      </c>
      <c r="K395" s="1">
        <v>0.6</v>
      </c>
    </row>
    <row r="396" spans="1:11" ht="12.75" x14ac:dyDescent="0.2">
      <c r="A396" s="2">
        <v>41959</v>
      </c>
      <c r="B396" s="2" t="str">
        <f>TEXT(Table1[[#This Row],[Order Date]],"MMM")</f>
        <v>Nov</v>
      </c>
      <c r="C396" s="2" t="str">
        <f t="shared" si="6"/>
        <v>2014</v>
      </c>
      <c r="D396" s="1" t="s">
        <v>400</v>
      </c>
      <c r="E396" s="1" t="s">
        <v>211</v>
      </c>
      <c r="F396" s="1" t="s">
        <v>33</v>
      </c>
      <c r="G396" s="1" t="s">
        <v>118</v>
      </c>
      <c r="H396" s="1" t="s">
        <v>952</v>
      </c>
      <c r="I396" s="1">
        <v>1044.6300000000001</v>
      </c>
      <c r="J396" s="1">
        <v>3</v>
      </c>
      <c r="K396" s="1">
        <v>240.26</v>
      </c>
    </row>
    <row r="397" spans="1:11" ht="12.75" x14ac:dyDescent="0.2">
      <c r="A397" s="2">
        <v>42324</v>
      </c>
      <c r="B397" s="2" t="str">
        <f>TEXT(Table1[[#This Row],[Order Date]],"MMM")</f>
        <v>Nov</v>
      </c>
      <c r="C397" s="2" t="str">
        <f t="shared" si="6"/>
        <v>2015</v>
      </c>
      <c r="D397" s="1" t="s">
        <v>484</v>
      </c>
      <c r="E397" s="1" t="s">
        <v>10</v>
      </c>
      <c r="F397" s="1" t="s">
        <v>11</v>
      </c>
      <c r="G397" s="1" t="s">
        <v>20</v>
      </c>
      <c r="H397" s="1" t="s">
        <v>1202</v>
      </c>
      <c r="I397" s="1">
        <v>2.08</v>
      </c>
      <c r="J397" s="1">
        <v>5</v>
      </c>
      <c r="K397" s="1">
        <v>-3.43</v>
      </c>
    </row>
    <row r="398" spans="1:11" ht="12.75" x14ac:dyDescent="0.2">
      <c r="A398" s="2">
        <v>41989</v>
      </c>
      <c r="B398" s="2" t="str">
        <f>TEXT(Table1[[#This Row],[Order Date]],"MMM")</f>
        <v>Dec</v>
      </c>
      <c r="C398" s="2" t="str">
        <f t="shared" si="6"/>
        <v>2014</v>
      </c>
      <c r="D398" s="1" t="s">
        <v>1175</v>
      </c>
      <c r="E398" s="1" t="s">
        <v>200</v>
      </c>
      <c r="F398" s="1" t="s">
        <v>11</v>
      </c>
      <c r="G398" s="1" t="s">
        <v>18</v>
      </c>
      <c r="H398" s="1" t="s">
        <v>877</v>
      </c>
      <c r="I398" s="1">
        <v>139.41999999999999</v>
      </c>
      <c r="J398" s="1">
        <v>4</v>
      </c>
      <c r="K398" s="1">
        <v>17.43</v>
      </c>
    </row>
    <row r="399" spans="1:11" ht="12.75" x14ac:dyDescent="0.2">
      <c r="A399" s="2">
        <v>42720</v>
      </c>
      <c r="B399" s="2" t="str">
        <f>TEXT(Table1[[#This Row],[Order Date]],"MMM")</f>
        <v>Dec</v>
      </c>
      <c r="C399" s="2" t="str">
        <f t="shared" si="6"/>
        <v>2016</v>
      </c>
      <c r="D399" s="1" t="s">
        <v>567</v>
      </c>
      <c r="E399" s="1" t="s">
        <v>27</v>
      </c>
      <c r="F399" s="1" t="s">
        <v>11</v>
      </c>
      <c r="G399" s="1" t="s">
        <v>20</v>
      </c>
      <c r="H399" s="1" t="s">
        <v>335</v>
      </c>
      <c r="I399" s="1">
        <v>57.5</v>
      </c>
      <c r="J399" s="1">
        <v>6</v>
      </c>
      <c r="K399" s="1">
        <v>20.13</v>
      </c>
    </row>
    <row r="400" spans="1:11" ht="12.75" x14ac:dyDescent="0.2">
      <c r="A400" s="2">
        <v>42021</v>
      </c>
      <c r="B400" s="2" t="str">
        <f>TEXT(Table1[[#This Row],[Order Date]],"MMM")</f>
        <v>Jan</v>
      </c>
      <c r="C400" s="2" t="str">
        <f t="shared" si="6"/>
        <v>2015</v>
      </c>
      <c r="D400" s="1" t="s">
        <v>983</v>
      </c>
      <c r="E400" s="1" t="s">
        <v>30</v>
      </c>
      <c r="F400" s="1" t="s">
        <v>33</v>
      </c>
      <c r="G400" s="1" t="s">
        <v>34</v>
      </c>
      <c r="H400" s="1" t="s">
        <v>247</v>
      </c>
      <c r="I400" s="1">
        <v>392.94</v>
      </c>
      <c r="J400" s="1">
        <v>3</v>
      </c>
      <c r="K400" s="1">
        <v>43.22</v>
      </c>
    </row>
    <row r="401" spans="1:11" ht="12.75" x14ac:dyDescent="0.2">
      <c r="A401" s="2">
        <v>42386</v>
      </c>
      <c r="B401" s="2" t="str">
        <f>TEXT(Table1[[#This Row],[Order Date]],"MMM")</f>
        <v>Jan</v>
      </c>
      <c r="C401" s="2" t="str">
        <f t="shared" si="6"/>
        <v>2016</v>
      </c>
      <c r="D401" s="1" t="s">
        <v>1208</v>
      </c>
      <c r="E401" s="1" t="s">
        <v>51</v>
      </c>
      <c r="F401" s="1" t="s">
        <v>11</v>
      </c>
      <c r="G401" s="1" t="s">
        <v>24</v>
      </c>
      <c r="H401" s="1" t="s">
        <v>622</v>
      </c>
      <c r="I401" s="1">
        <v>46.2</v>
      </c>
      <c r="J401" s="1">
        <v>4</v>
      </c>
      <c r="K401" s="1">
        <v>12.94</v>
      </c>
    </row>
    <row r="402" spans="1:11" ht="12.75" x14ac:dyDescent="0.2">
      <c r="A402" s="2">
        <v>41687</v>
      </c>
      <c r="B402" s="2" t="str">
        <f>TEXT(Table1[[#This Row],[Order Date]],"MMM")</f>
        <v>Feb</v>
      </c>
      <c r="C402" s="2" t="str">
        <f t="shared" si="6"/>
        <v>2014</v>
      </c>
      <c r="D402" s="1" t="s">
        <v>431</v>
      </c>
      <c r="E402" s="1" t="s">
        <v>15</v>
      </c>
      <c r="F402" s="1" t="s">
        <v>38</v>
      </c>
      <c r="G402" s="1" t="s">
        <v>48</v>
      </c>
      <c r="H402" s="1" t="s">
        <v>687</v>
      </c>
      <c r="I402" s="1">
        <v>339.96</v>
      </c>
      <c r="J402" s="1">
        <v>5</v>
      </c>
      <c r="K402" s="1">
        <v>67.989999999999995</v>
      </c>
    </row>
    <row r="403" spans="1:11" ht="12.75" x14ac:dyDescent="0.2">
      <c r="A403" s="2">
        <v>42783</v>
      </c>
      <c r="B403" s="2" t="str">
        <f>TEXT(Table1[[#This Row],[Order Date]],"MMM")</f>
        <v>Feb</v>
      </c>
      <c r="C403" s="2" t="str">
        <f t="shared" si="6"/>
        <v>2017</v>
      </c>
      <c r="D403" s="1" t="s">
        <v>1196</v>
      </c>
      <c r="E403" s="1" t="s">
        <v>27</v>
      </c>
      <c r="F403" s="1" t="s">
        <v>11</v>
      </c>
      <c r="G403" s="1" t="s">
        <v>18</v>
      </c>
      <c r="H403" s="1" t="s">
        <v>842</v>
      </c>
      <c r="I403" s="1">
        <v>77.88</v>
      </c>
      <c r="J403" s="1">
        <v>2</v>
      </c>
      <c r="K403" s="1">
        <v>3.89</v>
      </c>
    </row>
    <row r="404" spans="1:11" ht="12.75" x14ac:dyDescent="0.2">
      <c r="A404" s="2">
        <v>41715</v>
      </c>
      <c r="B404" s="2" t="str">
        <f>TEXT(Table1[[#This Row],[Order Date]],"MMM")</f>
        <v>Mar</v>
      </c>
      <c r="C404" s="2" t="str">
        <f t="shared" si="6"/>
        <v>2014</v>
      </c>
      <c r="D404" s="1" t="s">
        <v>184</v>
      </c>
      <c r="E404" s="1" t="s">
        <v>10</v>
      </c>
      <c r="F404" s="1" t="s">
        <v>38</v>
      </c>
      <c r="G404" s="1" t="s">
        <v>48</v>
      </c>
      <c r="H404" s="1" t="s">
        <v>1211</v>
      </c>
      <c r="I404" s="1">
        <v>27.7</v>
      </c>
      <c r="J404" s="1">
        <v>3</v>
      </c>
      <c r="K404" s="1">
        <v>3.46</v>
      </c>
    </row>
    <row r="405" spans="1:11" ht="12.75" x14ac:dyDescent="0.2">
      <c r="A405" s="2">
        <v>42080</v>
      </c>
      <c r="B405" s="2" t="str">
        <f>TEXT(Table1[[#This Row],[Order Date]],"MMM")</f>
        <v>Mar</v>
      </c>
      <c r="C405" s="2" t="str">
        <f t="shared" si="6"/>
        <v>2015</v>
      </c>
      <c r="D405" s="1" t="s">
        <v>840</v>
      </c>
      <c r="E405" s="1" t="s">
        <v>442</v>
      </c>
      <c r="F405" s="1" t="s">
        <v>11</v>
      </c>
      <c r="G405" s="1" t="s">
        <v>12</v>
      </c>
      <c r="H405" s="1" t="s">
        <v>922</v>
      </c>
      <c r="I405" s="1">
        <v>34.44</v>
      </c>
      <c r="J405" s="1">
        <v>3</v>
      </c>
      <c r="K405" s="1">
        <v>17.22</v>
      </c>
    </row>
    <row r="406" spans="1:11" ht="12.75" x14ac:dyDescent="0.2">
      <c r="A406" s="2">
        <v>42111</v>
      </c>
      <c r="B406" s="2" t="str">
        <f>TEXT(Table1[[#This Row],[Order Date]],"MMM")</f>
        <v>Apr</v>
      </c>
      <c r="C406" s="2" t="str">
        <f t="shared" si="6"/>
        <v>2015</v>
      </c>
      <c r="D406" s="1" t="s">
        <v>480</v>
      </c>
      <c r="E406" s="1" t="s">
        <v>15</v>
      </c>
      <c r="F406" s="1" t="s">
        <v>11</v>
      </c>
      <c r="G406" s="1" t="s">
        <v>20</v>
      </c>
      <c r="H406" s="1" t="s">
        <v>787</v>
      </c>
      <c r="I406" s="1">
        <v>5.18</v>
      </c>
      <c r="J406" s="1">
        <v>4</v>
      </c>
      <c r="K406" s="1">
        <v>-7.76</v>
      </c>
    </row>
    <row r="407" spans="1:11" ht="12.75" x14ac:dyDescent="0.2">
      <c r="A407" s="2">
        <v>42477</v>
      </c>
      <c r="B407" s="2" t="str">
        <f>TEXT(Table1[[#This Row],[Order Date]],"MMM")</f>
        <v>Apr</v>
      </c>
      <c r="C407" s="2" t="str">
        <f t="shared" si="6"/>
        <v>2016</v>
      </c>
      <c r="D407" s="1" t="s">
        <v>1215</v>
      </c>
      <c r="E407" s="1" t="s">
        <v>27</v>
      </c>
      <c r="F407" s="1" t="s">
        <v>11</v>
      </c>
      <c r="G407" s="1" t="s">
        <v>16</v>
      </c>
      <c r="H407" s="1" t="s">
        <v>1216</v>
      </c>
      <c r="I407" s="1">
        <v>5.76</v>
      </c>
      <c r="J407" s="1">
        <v>2</v>
      </c>
      <c r="K407" s="1">
        <v>2.65</v>
      </c>
    </row>
    <row r="408" spans="1:11" ht="12.75" x14ac:dyDescent="0.2">
      <c r="A408" s="2">
        <v>41776</v>
      </c>
      <c r="B408" s="2" t="str">
        <f>TEXT(Table1[[#This Row],[Order Date]],"MMM")</f>
        <v>May</v>
      </c>
      <c r="C408" s="2" t="str">
        <f t="shared" si="6"/>
        <v>2014</v>
      </c>
      <c r="D408" s="1" t="s">
        <v>290</v>
      </c>
      <c r="E408" s="1" t="s">
        <v>32</v>
      </c>
      <c r="F408" s="1" t="s">
        <v>11</v>
      </c>
      <c r="G408" s="1" t="s">
        <v>58</v>
      </c>
      <c r="H408" s="1" t="s">
        <v>960</v>
      </c>
      <c r="I408" s="1">
        <v>10.67</v>
      </c>
      <c r="J408" s="1">
        <v>1</v>
      </c>
      <c r="K408" s="1">
        <v>4.91</v>
      </c>
    </row>
    <row r="409" spans="1:11" ht="12.75" x14ac:dyDescent="0.2">
      <c r="A409" s="2">
        <v>42507</v>
      </c>
      <c r="B409" s="2" t="str">
        <f>TEXT(Table1[[#This Row],[Order Date]],"MMM")</f>
        <v>May</v>
      </c>
      <c r="C409" s="2" t="str">
        <f t="shared" si="6"/>
        <v>2016</v>
      </c>
      <c r="D409" s="1" t="s">
        <v>973</v>
      </c>
      <c r="E409" s="1" t="s">
        <v>27</v>
      </c>
      <c r="F409" s="1" t="s">
        <v>11</v>
      </c>
      <c r="G409" s="1" t="s">
        <v>12</v>
      </c>
      <c r="H409" s="1" t="s">
        <v>292</v>
      </c>
      <c r="I409" s="1">
        <v>33.4</v>
      </c>
      <c r="J409" s="1">
        <v>5</v>
      </c>
      <c r="K409" s="1">
        <v>16.03</v>
      </c>
    </row>
    <row r="410" spans="1:11" ht="12.75" x14ac:dyDescent="0.2">
      <c r="A410" s="2">
        <v>41807</v>
      </c>
      <c r="B410" s="2" t="str">
        <f>TEXT(Table1[[#This Row],[Order Date]],"MMM")</f>
        <v>Jun</v>
      </c>
      <c r="C410" s="2" t="str">
        <f t="shared" si="6"/>
        <v>2014</v>
      </c>
      <c r="D410" s="1" t="s">
        <v>1142</v>
      </c>
      <c r="E410" s="1" t="s">
        <v>94</v>
      </c>
      <c r="F410" s="1" t="s">
        <v>38</v>
      </c>
      <c r="G410" s="1" t="s">
        <v>39</v>
      </c>
      <c r="H410" s="1" t="s">
        <v>974</v>
      </c>
      <c r="I410" s="1">
        <v>299.89999999999998</v>
      </c>
      <c r="J410" s="1">
        <v>2</v>
      </c>
      <c r="K410" s="1">
        <v>74.98</v>
      </c>
    </row>
    <row r="411" spans="1:11" ht="12.75" x14ac:dyDescent="0.2">
      <c r="A411" s="2">
        <v>42202</v>
      </c>
      <c r="B411" s="2" t="str">
        <f>TEXT(Table1[[#This Row],[Order Date]],"MMM")</f>
        <v>Jul</v>
      </c>
      <c r="C411" s="2" t="str">
        <f t="shared" si="6"/>
        <v>2015</v>
      </c>
      <c r="D411" s="1" t="s">
        <v>280</v>
      </c>
      <c r="E411" s="1" t="s">
        <v>27</v>
      </c>
      <c r="F411" s="1" t="s">
        <v>33</v>
      </c>
      <c r="G411" s="1" t="s">
        <v>118</v>
      </c>
      <c r="H411" s="1" t="s">
        <v>833</v>
      </c>
      <c r="I411" s="1">
        <v>1038.8399999999999</v>
      </c>
      <c r="J411" s="1">
        <v>5</v>
      </c>
      <c r="K411" s="1">
        <v>51.94</v>
      </c>
    </row>
    <row r="412" spans="1:11" ht="12.75" x14ac:dyDescent="0.2">
      <c r="A412" s="2">
        <v>41868</v>
      </c>
      <c r="B412" s="2" t="str">
        <f>TEXT(Table1[[#This Row],[Order Date]],"MMM")</f>
        <v>Aug</v>
      </c>
      <c r="C412" s="2" t="str">
        <f t="shared" si="6"/>
        <v>2014</v>
      </c>
      <c r="D412" s="1" t="s">
        <v>1066</v>
      </c>
      <c r="E412" s="1" t="s">
        <v>27</v>
      </c>
      <c r="F412" s="1" t="s">
        <v>38</v>
      </c>
      <c r="G412" s="1" t="s">
        <v>39</v>
      </c>
      <c r="H412" s="1" t="s">
        <v>1173</v>
      </c>
      <c r="I412" s="1">
        <v>1212.8499999999999</v>
      </c>
      <c r="J412" s="1">
        <v>7</v>
      </c>
      <c r="K412" s="1">
        <v>106.12</v>
      </c>
    </row>
    <row r="413" spans="1:11" ht="12.75" x14ac:dyDescent="0.2">
      <c r="A413" s="2">
        <v>42233</v>
      </c>
      <c r="B413" s="2" t="str">
        <f>TEXT(Table1[[#This Row],[Order Date]],"MMM")</f>
        <v>Aug</v>
      </c>
      <c r="C413" s="2" t="str">
        <f t="shared" si="6"/>
        <v>2015</v>
      </c>
      <c r="D413" s="1" t="s">
        <v>374</v>
      </c>
      <c r="E413" s="1" t="s">
        <v>187</v>
      </c>
      <c r="F413" s="1" t="s">
        <v>33</v>
      </c>
      <c r="G413" s="1" t="s">
        <v>34</v>
      </c>
      <c r="H413" s="1" t="s">
        <v>182</v>
      </c>
      <c r="I413" s="1">
        <v>207</v>
      </c>
      <c r="J413" s="1">
        <v>3</v>
      </c>
      <c r="K413" s="1">
        <v>25.88</v>
      </c>
    </row>
    <row r="414" spans="1:11" ht="12.75" x14ac:dyDescent="0.2">
      <c r="A414" s="2">
        <v>41899</v>
      </c>
      <c r="B414" s="2" t="str">
        <f>TEXT(Table1[[#This Row],[Order Date]],"MMM")</f>
        <v>Sep</v>
      </c>
      <c r="C414" s="2" t="str">
        <f t="shared" si="6"/>
        <v>2014</v>
      </c>
      <c r="D414" s="1" t="s">
        <v>282</v>
      </c>
      <c r="E414" s="1" t="s">
        <v>27</v>
      </c>
      <c r="F414" s="1" t="s">
        <v>33</v>
      </c>
      <c r="G414" s="1" t="s">
        <v>34</v>
      </c>
      <c r="H414" s="1" t="s">
        <v>939</v>
      </c>
      <c r="I414" s="1">
        <v>190.72</v>
      </c>
      <c r="J414" s="1">
        <v>1</v>
      </c>
      <c r="K414" s="1">
        <v>11.92</v>
      </c>
    </row>
    <row r="415" spans="1:11" ht="12.75" x14ac:dyDescent="0.2">
      <c r="A415" s="2">
        <v>42264</v>
      </c>
      <c r="B415" s="2" t="str">
        <f>TEXT(Table1[[#This Row],[Order Date]],"MMM")</f>
        <v>Sep</v>
      </c>
      <c r="C415" s="2" t="str">
        <f t="shared" si="6"/>
        <v>2015</v>
      </c>
      <c r="D415" s="1" t="s">
        <v>545</v>
      </c>
      <c r="E415" s="1" t="s">
        <v>287</v>
      </c>
      <c r="F415" s="1" t="s">
        <v>11</v>
      </c>
      <c r="G415" s="1" t="s">
        <v>24</v>
      </c>
      <c r="H415" s="1" t="s">
        <v>242</v>
      </c>
      <c r="I415" s="1">
        <v>11.65</v>
      </c>
      <c r="J415" s="1">
        <v>5</v>
      </c>
      <c r="K415" s="1">
        <v>3.38</v>
      </c>
    </row>
    <row r="416" spans="1:11" ht="12.75" x14ac:dyDescent="0.2">
      <c r="A416" s="2">
        <v>42294</v>
      </c>
      <c r="B416" s="2" t="str">
        <f>TEXT(Table1[[#This Row],[Order Date]],"MMM")</f>
        <v>Oct</v>
      </c>
      <c r="C416" s="2" t="str">
        <f t="shared" si="6"/>
        <v>2015</v>
      </c>
      <c r="D416" s="1" t="s">
        <v>1196</v>
      </c>
      <c r="E416" s="1" t="s">
        <v>23</v>
      </c>
      <c r="F416" s="1" t="s">
        <v>11</v>
      </c>
      <c r="G416" s="1" t="s">
        <v>12</v>
      </c>
      <c r="H416" s="1" t="s">
        <v>783</v>
      </c>
      <c r="I416" s="1">
        <v>11.35</v>
      </c>
      <c r="J416" s="1">
        <v>3</v>
      </c>
      <c r="K416" s="1">
        <v>4.12</v>
      </c>
    </row>
    <row r="417" spans="1:11" ht="12.75" x14ac:dyDescent="0.2">
      <c r="A417" s="2">
        <v>42660</v>
      </c>
      <c r="B417" s="2" t="str">
        <f>TEXT(Table1[[#This Row],[Order Date]],"MMM")</f>
        <v>Oct</v>
      </c>
      <c r="C417" s="2" t="str">
        <f t="shared" si="6"/>
        <v>2016</v>
      </c>
      <c r="D417" s="1" t="s">
        <v>1034</v>
      </c>
      <c r="E417" s="1" t="s">
        <v>94</v>
      </c>
      <c r="F417" s="1" t="s">
        <v>11</v>
      </c>
      <c r="G417" s="1" t="s">
        <v>18</v>
      </c>
      <c r="H417" s="1" t="s">
        <v>1225</v>
      </c>
      <c r="I417" s="1">
        <v>418.32</v>
      </c>
      <c r="J417" s="1">
        <v>7</v>
      </c>
      <c r="K417" s="1">
        <v>117.13</v>
      </c>
    </row>
    <row r="418" spans="1:11" ht="12.75" x14ac:dyDescent="0.2">
      <c r="A418" s="2">
        <v>43025</v>
      </c>
      <c r="B418" s="2" t="str">
        <f>TEXT(Table1[[#This Row],[Order Date]],"MMM")</f>
        <v>Oct</v>
      </c>
      <c r="C418" s="2" t="str">
        <f t="shared" si="6"/>
        <v>2017</v>
      </c>
      <c r="D418" s="1" t="s">
        <v>1102</v>
      </c>
      <c r="E418" s="1" t="s">
        <v>200</v>
      </c>
      <c r="F418" s="1" t="s">
        <v>38</v>
      </c>
      <c r="G418" s="1" t="s">
        <v>48</v>
      </c>
      <c r="H418" s="1" t="s">
        <v>1220</v>
      </c>
      <c r="I418" s="1">
        <v>238.9</v>
      </c>
      <c r="J418" s="1">
        <v>6</v>
      </c>
      <c r="K418" s="1">
        <v>-26.88</v>
      </c>
    </row>
    <row r="419" spans="1:11" ht="12.75" x14ac:dyDescent="0.2">
      <c r="A419" s="2">
        <v>41960</v>
      </c>
      <c r="B419" s="2" t="str">
        <f>TEXT(Table1[[#This Row],[Order Date]],"MMM")</f>
        <v>Nov</v>
      </c>
      <c r="C419" s="2" t="str">
        <f t="shared" si="6"/>
        <v>2014</v>
      </c>
      <c r="D419" s="1" t="s">
        <v>469</v>
      </c>
      <c r="E419" s="1" t="s">
        <v>120</v>
      </c>
      <c r="F419" s="1" t="s">
        <v>38</v>
      </c>
      <c r="G419" s="1" t="s">
        <v>48</v>
      </c>
      <c r="H419" s="1" t="s">
        <v>430</v>
      </c>
      <c r="I419" s="1">
        <v>37.6</v>
      </c>
      <c r="J419" s="1">
        <v>2</v>
      </c>
      <c r="K419" s="1">
        <v>2.2599999999999998</v>
      </c>
    </row>
    <row r="420" spans="1:11" ht="12.75" x14ac:dyDescent="0.2">
      <c r="A420" s="2">
        <v>42325</v>
      </c>
      <c r="B420" s="2" t="str">
        <f>TEXT(Table1[[#This Row],[Order Date]],"MMM")</f>
        <v>Nov</v>
      </c>
      <c r="C420" s="2" t="str">
        <f t="shared" si="6"/>
        <v>2015</v>
      </c>
      <c r="D420" s="1" t="s">
        <v>1169</v>
      </c>
      <c r="E420" s="1" t="s">
        <v>120</v>
      </c>
      <c r="F420" s="1" t="s">
        <v>11</v>
      </c>
      <c r="G420" s="1" t="s">
        <v>80</v>
      </c>
      <c r="H420" s="1" t="s">
        <v>1229</v>
      </c>
      <c r="I420" s="1">
        <v>523.25</v>
      </c>
      <c r="J420" s="1">
        <v>5</v>
      </c>
      <c r="K420" s="1">
        <v>141.28</v>
      </c>
    </row>
    <row r="421" spans="1:11" ht="12.75" x14ac:dyDescent="0.2">
      <c r="A421" s="2">
        <v>43056</v>
      </c>
      <c r="B421" s="2" t="str">
        <f>TEXT(Table1[[#This Row],[Order Date]],"MMM")</f>
        <v>Nov</v>
      </c>
      <c r="C421" s="2" t="str">
        <f t="shared" si="6"/>
        <v>2017</v>
      </c>
      <c r="D421" s="1" t="s">
        <v>1231</v>
      </c>
      <c r="E421" s="1" t="s">
        <v>15</v>
      </c>
      <c r="F421" s="1" t="s">
        <v>11</v>
      </c>
      <c r="G421" s="1" t="s">
        <v>158</v>
      </c>
      <c r="H421" s="1" t="s">
        <v>648</v>
      </c>
      <c r="I421" s="1">
        <v>40.92</v>
      </c>
      <c r="J421" s="1">
        <v>5</v>
      </c>
      <c r="K421" s="1">
        <v>3.07</v>
      </c>
    </row>
    <row r="422" spans="1:11" ht="12.75" x14ac:dyDescent="0.2">
      <c r="A422" s="2">
        <v>41990</v>
      </c>
      <c r="B422" s="2" t="str">
        <f>TEXT(Table1[[#This Row],[Order Date]],"MMM")</f>
        <v>Dec</v>
      </c>
      <c r="C422" s="2" t="str">
        <f t="shared" si="6"/>
        <v>2014</v>
      </c>
      <c r="D422" s="1" t="s">
        <v>524</v>
      </c>
      <c r="E422" s="1" t="s">
        <v>68</v>
      </c>
      <c r="F422" s="1" t="s">
        <v>33</v>
      </c>
      <c r="G422" s="1" t="s">
        <v>34</v>
      </c>
      <c r="H422" s="1" t="s">
        <v>528</v>
      </c>
      <c r="I422" s="1">
        <v>396.8</v>
      </c>
      <c r="J422" s="1">
        <v>7</v>
      </c>
      <c r="K422" s="1">
        <v>-11.34</v>
      </c>
    </row>
    <row r="423" spans="1:11" ht="12.75" x14ac:dyDescent="0.2">
      <c r="A423" s="2">
        <v>42721</v>
      </c>
      <c r="B423" s="2" t="str">
        <f>TEXT(Table1[[#This Row],[Order Date]],"MMM")</f>
        <v>Dec</v>
      </c>
      <c r="C423" s="2" t="str">
        <f t="shared" si="6"/>
        <v>2016</v>
      </c>
      <c r="D423" s="1" t="s">
        <v>403</v>
      </c>
      <c r="E423" s="1" t="s">
        <v>10</v>
      </c>
      <c r="F423" s="1" t="s">
        <v>11</v>
      </c>
      <c r="G423" s="1" t="s">
        <v>80</v>
      </c>
      <c r="H423" s="1" t="s">
        <v>96</v>
      </c>
      <c r="I423" s="1">
        <v>68.81</v>
      </c>
      <c r="J423" s="1">
        <v>5</v>
      </c>
      <c r="K423" s="1">
        <v>-123.86</v>
      </c>
    </row>
    <row r="424" spans="1:11" ht="12.75" x14ac:dyDescent="0.2">
      <c r="A424" s="2">
        <v>43086</v>
      </c>
      <c r="B424" s="2" t="str">
        <f>TEXT(Table1[[#This Row],[Order Date]],"MMM")</f>
        <v>Dec</v>
      </c>
      <c r="C424" s="2" t="str">
        <f t="shared" si="6"/>
        <v>2017</v>
      </c>
      <c r="D424" s="1" t="s">
        <v>1160</v>
      </c>
      <c r="E424" s="1" t="s">
        <v>10</v>
      </c>
      <c r="F424" s="1" t="s">
        <v>11</v>
      </c>
      <c r="G424" s="1" t="s">
        <v>12</v>
      </c>
      <c r="H424" s="1" t="s">
        <v>1191</v>
      </c>
      <c r="I424" s="1">
        <v>335.52</v>
      </c>
      <c r="J424" s="1">
        <v>4</v>
      </c>
      <c r="K424" s="1">
        <v>117.43</v>
      </c>
    </row>
    <row r="425" spans="1:11" ht="12.75" x14ac:dyDescent="0.2">
      <c r="A425" s="2">
        <v>41657</v>
      </c>
      <c r="B425" s="2" t="str">
        <f>TEXT(Table1[[#This Row],[Order Date]],"MMM")</f>
        <v>Jan</v>
      </c>
      <c r="C425" s="2" t="str">
        <f t="shared" si="6"/>
        <v>2014</v>
      </c>
      <c r="D425" s="1" t="s">
        <v>270</v>
      </c>
      <c r="E425" s="1" t="s">
        <v>27</v>
      </c>
      <c r="F425" s="1" t="s">
        <v>38</v>
      </c>
      <c r="G425" s="1" t="s">
        <v>48</v>
      </c>
      <c r="H425" s="1" t="s">
        <v>768</v>
      </c>
      <c r="I425" s="1">
        <v>13.98</v>
      </c>
      <c r="J425" s="1">
        <v>2</v>
      </c>
      <c r="K425" s="1">
        <v>6.15</v>
      </c>
    </row>
    <row r="426" spans="1:11" ht="12.75" x14ac:dyDescent="0.2">
      <c r="A426" s="2">
        <v>41688</v>
      </c>
      <c r="B426" s="2" t="str">
        <f>TEXT(Table1[[#This Row],[Order Date]],"MMM")</f>
        <v>Feb</v>
      </c>
      <c r="C426" s="2" t="str">
        <f t="shared" si="6"/>
        <v>2014</v>
      </c>
      <c r="D426" s="1" t="s">
        <v>818</v>
      </c>
      <c r="E426" s="1" t="s">
        <v>101</v>
      </c>
      <c r="F426" s="1" t="s">
        <v>33</v>
      </c>
      <c r="G426" s="1" t="s">
        <v>118</v>
      </c>
      <c r="H426" s="1" t="s">
        <v>852</v>
      </c>
      <c r="I426" s="1">
        <v>375.46</v>
      </c>
      <c r="J426" s="1">
        <v>3</v>
      </c>
      <c r="K426" s="1">
        <v>-157.01</v>
      </c>
    </row>
    <row r="427" spans="1:11" ht="12.75" x14ac:dyDescent="0.2">
      <c r="A427" s="2">
        <v>42053</v>
      </c>
      <c r="B427" s="2" t="str">
        <f>TEXT(Table1[[#This Row],[Order Date]],"MMM")</f>
        <v>Feb</v>
      </c>
      <c r="C427" s="2" t="str">
        <f t="shared" si="6"/>
        <v>2015</v>
      </c>
      <c r="D427" s="1" t="s">
        <v>1200</v>
      </c>
      <c r="E427" s="1" t="s">
        <v>15</v>
      </c>
      <c r="F427" s="1" t="s">
        <v>33</v>
      </c>
      <c r="G427" s="1" t="s">
        <v>44</v>
      </c>
      <c r="H427" s="1" t="s">
        <v>912</v>
      </c>
      <c r="I427" s="1">
        <v>12.13</v>
      </c>
      <c r="J427" s="1">
        <v>9</v>
      </c>
      <c r="K427" s="1">
        <v>-8.49</v>
      </c>
    </row>
    <row r="428" spans="1:11" ht="12.75" x14ac:dyDescent="0.2">
      <c r="A428" s="2">
        <v>42784</v>
      </c>
      <c r="B428" s="2" t="str">
        <f>TEXT(Table1[[#This Row],[Order Date]],"MMM")</f>
        <v>Feb</v>
      </c>
      <c r="C428" s="2" t="str">
        <f t="shared" si="6"/>
        <v>2017</v>
      </c>
      <c r="D428" s="1" t="s">
        <v>853</v>
      </c>
      <c r="E428" s="1" t="s">
        <v>94</v>
      </c>
      <c r="F428" s="1" t="s">
        <v>33</v>
      </c>
      <c r="G428" s="1" t="s">
        <v>34</v>
      </c>
      <c r="H428" s="1" t="s">
        <v>1158</v>
      </c>
      <c r="I428" s="1">
        <v>301.95999999999998</v>
      </c>
      <c r="J428" s="1">
        <v>2</v>
      </c>
      <c r="K428" s="1">
        <v>87.57</v>
      </c>
    </row>
    <row r="429" spans="1:11" ht="12.75" x14ac:dyDescent="0.2">
      <c r="A429" s="2">
        <v>41716</v>
      </c>
      <c r="B429" s="2" t="str">
        <f>TEXT(Table1[[#This Row],[Order Date]],"MMM")</f>
        <v>Mar</v>
      </c>
      <c r="C429" s="2" t="str">
        <f t="shared" si="6"/>
        <v>2014</v>
      </c>
      <c r="D429" s="1" t="s">
        <v>879</v>
      </c>
      <c r="E429" s="1" t="s">
        <v>23</v>
      </c>
      <c r="F429" s="1" t="s">
        <v>11</v>
      </c>
      <c r="G429" s="1" t="s">
        <v>20</v>
      </c>
      <c r="H429" s="1" t="s">
        <v>342</v>
      </c>
      <c r="I429" s="1">
        <v>152.99</v>
      </c>
      <c r="J429" s="1">
        <v>3</v>
      </c>
      <c r="K429" s="1">
        <v>-122.39</v>
      </c>
    </row>
    <row r="430" spans="1:11" ht="12.75" x14ac:dyDescent="0.2">
      <c r="A430" s="2">
        <v>42447</v>
      </c>
      <c r="B430" s="2" t="str">
        <f>TEXT(Table1[[#This Row],[Order Date]],"MMM")</f>
        <v>Mar</v>
      </c>
      <c r="C430" s="2" t="str">
        <f t="shared" si="6"/>
        <v>2016</v>
      </c>
      <c r="D430" s="1" t="s">
        <v>744</v>
      </c>
      <c r="E430" s="1" t="s">
        <v>134</v>
      </c>
      <c r="F430" s="1" t="s">
        <v>11</v>
      </c>
      <c r="G430" s="1" t="s">
        <v>20</v>
      </c>
      <c r="H430" s="1" t="s">
        <v>481</v>
      </c>
      <c r="I430" s="1">
        <v>55.42</v>
      </c>
      <c r="J430" s="1">
        <v>2</v>
      </c>
      <c r="K430" s="1">
        <v>19.399999999999999</v>
      </c>
    </row>
    <row r="431" spans="1:11" ht="12.75" x14ac:dyDescent="0.2">
      <c r="A431" s="2">
        <v>41747</v>
      </c>
      <c r="B431" s="2" t="str">
        <f>TEXT(Table1[[#This Row],[Order Date]],"MMM")</f>
        <v>Apr</v>
      </c>
      <c r="C431" s="2" t="str">
        <f t="shared" si="6"/>
        <v>2014</v>
      </c>
      <c r="D431" s="1" t="s">
        <v>208</v>
      </c>
      <c r="E431" s="1" t="s">
        <v>23</v>
      </c>
      <c r="F431" s="1" t="s">
        <v>38</v>
      </c>
      <c r="G431" s="1" t="s">
        <v>214</v>
      </c>
      <c r="H431" s="1" t="s">
        <v>1239</v>
      </c>
      <c r="I431" s="1">
        <v>482.34</v>
      </c>
      <c r="J431" s="1">
        <v>4</v>
      </c>
      <c r="K431" s="1">
        <v>-337.64</v>
      </c>
    </row>
    <row r="432" spans="1:11" ht="12.75" x14ac:dyDescent="0.2">
      <c r="A432" s="2">
        <v>42478</v>
      </c>
      <c r="B432" s="2" t="str">
        <f>TEXT(Table1[[#This Row],[Order Date]],"MMM")</f>
        <v>Apr</v>
      </c>
      <c r="C432" s="2" t="str">
        <f t="shared" si="6"/>
        <v>2016</v>
      </c>
      <c r="D432" s="1" t="s">
        <v>1240</v>
      </c>
      <c r="E432" s="1" t="s">
        <v>101</v>
      </c>
      <c r="F432" s="1" t="s">
        <v>11</v>
      </c>
      <c r="G432" s="1" t="s">
        <v>20</v>
      </c>
      <c r="H432" s="1" t="s">
        <v>531</v>
      </c>
      <c r="I432" s="1">
        <v>8.23</v>
      </c>
      <c r="J432" s="1">
        <v>3</v>
      </c>
      <c r="K432" s="1">
        <v>-6.03</v>
      </c>
    </row>
    <row r="433" spans="1:11" ht="12.75" x14ac:dyDescent="0.2">
      <c r="A433" s="2">
        <v>41777</v>
      </c>
      <c r="B433" s="2" t="str">
        <f>TEXT(Table1[[#This Row],[Order Date]],"MMM")</f>
        <v>May</v>
      </c>
      <c r="C433" s="2" t="str">
        <f t="shared" si="6"/>
        <v>2014</v>
      </c>
      <c r="D433" s="1" t="s">
        <v>947</v>
      </c>
      <c r="E433" s="1" t="s">
        <v>32</v>
      </c>
      <c r="F433" s="1" t="s">
        <v>11</v>
      </c>
      <c r="G433" s="1" t="s">
        <v>80</v>
      </c>
      <c r="H433" s="1" t="s">
        <v>651</v>
      </c>
      <c r="I433" s="1">
        <v>152.94</v>
      </c>
      <c r="J433" s="1">
        <v>3</v>
      </c>
      <c r="K433" s="1">
        <v>41.29</v>
      </c>
    </row>
    <row r="434" spans="1:11" ht="12.75" x14ac:dyDescent="0.2">
      <c r="A434" s="2">
        <v>42142</v>
      </c>
      <c r="B434" s="2" t="str">
        <f>TEXT(Table1[[#This Row],[Order Date]],"MMM")</f>
        <v>May</v>
      </c>
      <c r="C434" s="2" t="str">
        <f t="shared" si="6"/>
        <v>2015</v>
      </c>
      <c r="D434" s="1" t="s">
        <v>1243</v>
      </c>
      <c r="E434" s="1" t="s">
        <v>10</v>
      </c>
      <c r="F434" s="1" t="s">
        <v>11</v>
      </c>
      <c r="G434" s="1" t="s">
        <v>12</v>
      </c>
      <c r="H434" s="1" t="s">
        <v>322</v>
      </c>
      <c r="I434" s="1">
        <v>360.71</v>
      </c>
      <c r="J434" s="1">
        <v>11</v>
      </c>
      <c r="K434" s="1">
        <v>130.76</v>
      </c>
    </row>
    <row r="435" spans="1:11" ht="12.75" x14ac:dyDescent="0.2">
      <c r="A435" s="2">
        <v>42508</v>
      </c>
      <c r="B435" s="2" t="str">
        <f>TEXT(Table1[[#This Row],[Order Date]],"MMM")</f>
        <v>May</v>
      </c>
      <c r="C435" s="2" t="str">
        <f t="shared" si="6"/>
        <v>2016</v>
      </c>
      <c r="D435" s="1" t="s">
        <v>800</v>
      </c>
      <c r="E435" s="1" t="s">
        <v>94</v>
      </c>
      <c r="F435" s="1" t="s">
        <v>11</v>
      </c>
      <c r="G435" s="1" t="s">
        <v>24</v>
      </c>
      <c r="H435" s="1" t="s">
        <v>893</v>
      </c>
      <c r="I435" s="1">
        <v>3.9</v>
      </c>
      <c r="J435" s="1">
        <v>2</v>
      </c>
      <c r="K435" s="1">
        <v>1.52</v>
      </c>
    </row>
    <row r="436" spans="1:11" ht="12.75" x14ac:dyDescent="0.2">
      <c r="A436" s="2">
        <v>41808</v>
      </c>
      <c r="B436" s="2" t="str">
        <f>TEXT(Table1[[#This Row],[Order Date]],"MMM")</f>
        <v>Jun</v>
      </c>
      <c r="C436" s="2" t="str">
        <f t="shared" si="6"/>
        <v>2014</v>
      </c>
      <c r="D436" s="1" t="s">
        <v>480</v>
      </c>
      <c r="E436" s="1" t="s">
        <v>27</v>
      </c>
      <c r="F436" s="1" t="s">
        <v>33</v>
      </c>
      <c r="G436" s="1" t="s">
        <v>34</v>
      </c>
      <c r="H436" s="1" t="s">
        <v>409</v>
      </c>
      <c r="I436" s="1">
        <v>348.93</v>
      </c>
      <c r="J436" s="1">
        <v>2</v>
      </c>
      <c r="K436" s="1">
        <v>34.89</v>
      </c>
    </row>
    <row r="437" spans="1:11" ht="12.75" x14ac:dyDescent="0.2">
      <c r="A437" s="2">
        <v>42539</v>
      </c>
      <c r="B437" s="2" t="str">
        <f>TEXT(Table1[[#This Row],[Order Date]],"MMM")</f>
        <v>Jun</v>
      </c>
      <c r="C437" s="2" t="str">
        <f t="shared" si="6"/>
        <v>2016</v>
      </c>
      <c r="D437" s="1" t="s">
        <v>540</v>
      </c>
      <c r="E437" s="1" t="s">
        <v>68</v>
      </c>
      <c r="F437" s="1" t="s">
        <v>11</v>
      </c>
      <c r="G437" s="1" t="s">
        <v>18</v>
      </c>
      <c r="H437" s="1" t="s">
        <v>467</v>
      </c>
      <c r="I437" s="1">
        <v>646.78</v>
      </c>
      <c r="J437" s="1">
        <v>9</v>
      </c>
      <c r="K437" s="1">
        <v>-145.52000000000001</v>
      </c>
    </row>
    <row r="438" spans="1:11" ht="12.75" x14ac:dyDescent="0.2">
      <c r="A438" s="2">
        <v>41838</v>
      </c>
      <c r="B438" s="2" t="str">
        <f>TEXT(Table1[[#This Row],[Order Date]],"MMM")</f>
        <v>Jul</v>
      </c>
      <c r="C438" s="2" t="str">
        <f t="shared" si="6"/>
        <v>2014</v>
      </c>
      <c r="D438" s="1" t="s">
        <v>330</v>
      </c>
      <c r="E438" s="1" t="s">
        <v>134</v>
      </c>
      <c r="F438" s="1" t="s">
        <v>33</v>
      </c>
      <c r="G438" s="1" t="s">
        <v>118</v>
      </c>
      <c r="H438" s="1" t="s">
        <v>329</v>
      </c>
      <c r="I438" s="1">
        <v>1618.37</v>
      </c>
      <c r="J438" s="1">
        <v>13</v>
      </c>
      <c r="K438" s="1">
        <v>356.04</v>
      </c>
    </row>
    <row r="439" spans="1:11" ht="12.75" x14ac:dyDescent="0.2">
      <c r="A439" s="2">
        <v>42203</v>
      </c>
      <c r="B439" s="2" t="str">
        <f>TEXT(Table1[[#This Row],[Order Date]],"MMM")</f>
        <v>Jul</v>
      </c>
      <c r="C439" s="2" t="str">
        <f t="shared" si="6"/>
        <v>2015</v>
      </c>
      <c r="D439" s="1" t="s">
        <v>126</v>
      </c>
      <c r="E439" s="1" t="s">
        <v>51</v>
      </c>
      <c r="F439" s="1" t="s">
        <v>11</v>
      </c>
      <c r="G439" s="1" t="s">
        <v>80</v>
      </c>
      <c r="H439" s="1" t="s">
        <v>1007</v>
      </c>
      <c r="I439" s="1">
        <v>194.32</v>
      </c>
      <c r="J439" s="1">
        <v>4</v>
      </c>
      <c r="K439" s="1">
        <v>56.35</v>
      </c>
    </row>
    <row r="440" spans="1:11" ht="12.75" x14ac:dyDescent="0.2">
      <c r="A440" s="2">
        <v>42600</v>
      </c>
      <c r="B440" s="2" t="str">
        <f>TEXT(Table1[[#This Row],[Order Date]],"MMM")</f>
        <v>Aug</v>
      </c>
      <c r="C440" s="2" t="str">
        <f t="shared" si="6"/>
        <v>2016</v>
      </c>
      <c r="D440" s="1" t="s">
        <v>976</v>
      </c>
      <c r="E440" s="1" t="s">
        <v>68</v>
      </c>
      <c r="F440" s="1" t="s">
        <v>11</v>
      </c>
      <c r="G440" s="1" t="s">
        <v>42</v>
      </c>
      <c r="H440" s="1" t="s">
        <v>878</v>
      </c>
      <c r="I440" s="1">
        <v>5.58</v>
      </c>
      <c r="J440" s="1">
        <v>2</v>
      </c>
      <c r="K440" s="1">
        <v>1.81</v>
      </c>
    </row>
    <row r="441" spans="1:11" ht="12.75" x14ac:dyDescent="0.2">
      <c r="A441" s="2">
        <v>42965</v>
      </c>
      <c r="B441" s="2" t="str">
        <f>TEXT(Table1[[#This Row],[Order Date]],"MMM")</f>
        <v>Aug</v>
      </c>
      <c r="C441" s="2" t="str">
        <f t="shared" si="6"/>
        <v>2017</v>
      </c>
      <c r="D441" s="1" t="s">
        <v>918</v>
      </c>
      <c r="E441" s="1" t="s">
        <v>23</v>
      </c>
      <c r="F441" s="1" t="s">
        <v>33</v>
      </c>
      <c r="G441" s="1" t="s">
        <v>44</v>
      </c>
      <c r="H441" s="1" t="s">
        <v>876</v>
      </c>
      <c r="I441" s="1">
        <v>547.14</v>
      </c>
      <c r="J441" s="1">
        <v>4</v>
      </c>
      <c r="K441" s="1">
        <v>-68.39</v>
      </c>
    </row>
    <row r="442" spans="1:11" ht="12.75" x14ac:dyDescent="0.2">
      <c r="A442" s="2">
        <v>42265</v>
      </c>
      <c r="B442" s="2" t="str">
        <f>TEXT(Table1[[#This Row],[Order Date]],"MMM")</f>
        <v>Sep</v>
      </c>
      <c r="C442" s="2" t="str">
        <f t="shared" si="6"/>
        <v>2015</v>
      </c>
      <c r="D442" s="1" t="s">
        <v>405</v>
      </c>
      <c r="E442" s="1" t="s">
        <v>10</v>
      </c>
      <c r="F442" s="1" t="s">
        <v>11</v>
      </c>
      <c r="G442" s="1" t="s">
        <v>58</v>
      </c>
      <c r="H442" s="1" t="s">
        <v>1252</v>
      </c>
      <c r="I442" s="1">
        <v>113.33</v>
      </c>
      <c r="J442" s="1">
        <v>9</v>
      </c>
      <c r="K442" s="1">
        <v>35.42</v>
      </c>
    </row>
    <row r="443" spans="1:11" ht="12.75" x14ac:dyDescent="0.2">
      <c r="A443" s="2">
        <v>42631</v>
      </c>
      <c r="B443" s="2" t="str">
        <f>TEXT(Table1[[#This Row],[Order Date]],"MMM")</f>
        <v>Sep</v>
      </c>
      <c r="C443" s="2" t="str">
        <f t="shared" si="6"/>
        <v>2016</v>
      </c>
      <c r="D443" s="1" t="s">
        <v>902</v>
      </c>
      <c r="E443" s="1" t="s">
        <v>120</v>
      </c>
      <c r="F443" s="1" t="s">
        <v>11</v>
      </c>
      <c r="G443" s="1" t="s">
        <v>158</v>
      </c>
      <c r="H443" s="1" t="s">
        <v>697</v>
      </c>
      <c r="I443" s="1">
        <v>6.36</v>
      </c>
      <c r="J443" s="1">
        <v>2</v>
      </c>
      <c r="K443" s="1">
        <v>0.06</v>
      </c>
    </row>
    <row r="444" spans="1:11" ht="12.75" x14ac:dyDescent="0.2">
      <c r="A444" s="2">
        <v>41930</v>
      </c>
      <c r="B444" s="2" t="str">
        <f>TEXT(Table1[[#This Row],[Order Date]],"MMM")</f>
        <v>Oct</v>
      </c>
      <c r="C444" s="2" t="str">
        <f t="shared" si="6"/>
        <v>2014</v>
      </c>
      <c r="D444" s="1" t="s">
        <v>190</v>
      </c>
      <c r="E444" s="1" t="s">
        <v>27</v>
      </c>
      <c r="F444" s="1" t="s">
        <v>11</v>
      </c>
      <c r="G444" s="1" t="s">
        <v>12</v>
      </c>
      <c r="H444" s="1" t="s">
        <v>686</v>
      </c>
      <c r="I444" s="1">
        <v>68.52</v>
      </c>
      <c r="J444" s="1">
        <v>3</v>
      </c>
      <c r="K444" s="1">
        <v>31.52</v>
      </c>
    </row>
    <row r="445" spans="1:11" ht="12.75" x14ac:dyDescent="0.2">
      <c r="A445" s="2">
        <v>42295</v>
      </c>
      <c r="B445" s="2" t="str">
        <f>TEXT(Table1[[#This Row],[Order Date]],"MMM")</f>
        <v>Oct</v>
      </c>
      <c r="C445" s="2" t="str">
        <f t="shared" si="6"/>
        <v>2015</v>
      </c>
      <c r="D445" s="1" t="s">
        <v>280</v>
      </c>
      <c r="E445" s="1" t="s">
        <v>337</v>
      </c>
      <c r="F445" s="1" t="s">
        <v>11</v>
      </c>
      <c r="G445" s="1" t="s">
        <v>20</v>
      </c>
      <c r="H445" s="1" t="s">
        <v>36</v>
      </c>
      <c r="I445" s="1">
        <v>487.98</v>
      </c>
      <c r="J445" s="1">
        <v>2</v>
      </c>
      <c r="K445" s="1">
        <v>152.5</v>
      </c>
    </row>
    <row r="446" spans="1:11" ht="12.75" x14ac:dyDescent="0.2">
      <c r="A446" s="2">
        <v>41961</v>
      </c>
      <c r="B446" s="2" t="str">
        <f>TEXT(Table1[[#This Row],[Order Date]],"MMM")</f>
        <v>Nov</v>
      </c>
      <c r="C446" s="2" t="str">
        <f t="shared" si="6"/>
        <v>2014</v>
      </c>
      <c r="D446" s="1" t="s">
        <v>1192</v>
      </c>
      <c r="E446" s="1" t="s">
        <v>344</v>
      </c>
      <c r="F446" s="1" t="s">
        <v>33</v>
      </c>
      <c r="G446" s="1" t="s">
        <v>65</v>
      </c>
      <c r="H446" s="1" t="s">
        <v>1159</v>
      </c>
      <c r="I446" s="1">
        <v>173.94</v>
      </c>
      <c r="J446" s="1">
        <v>3</v>
      </c>
      <c r="K446" s="1">
        <v>38.270000000000003</v>
      </c>
    </row>
    <row r="447" spans="1:11" ht="12.75" x14ac:dyDescent="0.2">
      <c r="A447" s="2">
        <v>42692</v>
      </c>
      <c r="B447" s="2" t="str">
        <f>TEXT(Table1[[#This Row],[Order Date]],"MMM")</f>
        <v>Nov</v>
      </c>
      <c r="C447" s="2" t="str">
        <f t="shared" si="6"/>
        <v>2016</v>
      </c>
      <c r="D447" s="1" t="s">
        <v>428</v>
      </c>
      <c r="E447" s="1" t="s">
        <v>101</v>
      </c>
      <c r="F447" s="1" t="s">
        <v>38</v>
      </c>
      <c r="G447" s="1" t="s">
        <v>48</v>
      </c>
      <c r="H447" s="1" t="s">
        <v>1254</v>
      </c>
      <c r="I447" s="1">
        <v>191.47</v>
      </c>
      <c r="J447" s="1">
        <v>6</v>
      </c>
      <c r="K447" s="1">
        <v>40.69</v>
      </c>
    </row>
    <row r="448" spans="1:11" ht="12.75" x14ac:dyDescent="0.2">
      <c r="A448" s="2">
        <v>42356</v>
      </c>
      <c r="B448" s="2" t="str">
        <f>TEXT(Table1[[#This Row],[Order Date]],"MMM")</f>
        <v>Dec</v>
      </c>
      <c r="C448" s="2" t="str">
        <f t="shared" si="6"/>
        <v>2015</v>
      </c>
      <c r="D448" s="1" t="s">
        <v>477</v>
      </c>
      <c r="E448" s="1" t="s">
        <v>27</v>
      </c>
      <c r="F448" s="1" t="s">
        <v>11</v>
      </c>
      <c r="G448" s="1" t="s">
        <v>24</v>
      </c>
      <c r="H448" s="1" t="s">
        <v>1053</v>
      </c>
      <c r="I448" s="1">
        <v>34.58</v>
      </c>
      <c r="J448" s="1">
        <v>1</v>
      </c>
      <c r="K448" s="1">
        <v>10.029999999999999</v>
      </c>
    </row>
    <row r="449" spans="1:11" ht="12.75" x14ac:dyDescent="0.2">
      <c r="A449" s="2">
        <v>42722</v>
      </c>
      <c r="B449" s="2" t="str">
        <f>TEXT(Table1[[#This Row],[Order Date]],"MMM")</f>
        <v>Dec</v>
      </c>
      <c r="C449" s="2" t="str">
        <f t="shared" si="6"/>
        <v>2016</v>
      </c>
      <c r="D449" s="1" t="s">
        <v>29</v>
      </c>
      <c r="E449" s="1" t="s">
        <v>127</v>
      </c>
      <c r="F449" s="1" t="s">
        <v>33</v>
      </c>
      <c r="G449" s="1" t="s">
        <v>65</v>
      </c>
      <c r="H449" s="1" t="s">
        <v>899</v>
      </c>
      <c r="I449" s="1">
        <v>1565.88</v>
      </c>
      <c r="J449" s="1">
        <v>6</v>
      </c>
      <c r="K449" s="1">
        <v>407.13</v>
      </c>
    </row>
    <row r="450" spans="1:11" ht="12.75" x14ac:dyDescent="0.2">
      <c r="A450" s="2">
        <v>41658</v>
      </c>
      <c r="B450" s="2" t="str">
        <f>TEXT(Table1[[#This Row],[Order Date]],"MMM")</f>
        <v>Jan</v>
      </c>
      <c r="C450" s="2" t="str">
        <f t="shared" ref="C450:C513" si="7">TEXT(A450,"YYY")</f>
        <v>2014</v>
      </c>
      <c r="D450" s="1" t="s">
        <v>381</v>
      </c>
      <c r="E450" s="1" t="s">
        <v>27</v>
      </c>
      <c r="F450" s="1" t="s">
        <v>38</v>
      </c>
      <c r="G450" s="1" t="s">
        <v>48</v>
      </c>
      <c r="H450" s="1" t="s">
        <v>1256</v>
      </c>
      <c r="I450" s="1">
        <v>349.95</v>
      </c>
      <c r="J450" s="1">
        <v>5</v>
      </c>
      <c r="K450" s="1">
        <v>118.98</v>
      </c>
    </row>
    <row r="451" spans="1:11" ht="12.75" x14ac:dyDescent="0.2">
      <c r="A451" s="2">
        <v>42754</v>
      </c>
      <c r="B451" s="2" t="str">
        <f>TEXT(Table1[[#This Row],[Order Date]],"MMM")</f>
        <v>Jan</v>
      </c>
      <c r="C451" s="2" t="str">
        <f t="shared" si="7"/>
        <v>2017</v>
      </c>
      <c r="D451" s="1" t="s">
        <v>300</v>
      </c>
      <c r="E451" s="1" t="s">
        <v>134</v>
      </c>
      <c r="F451" s="1" t="s">
        <v>33</v>
      </c>
      <c r="G451" s="1" t="s">
        <v>44</v>
      </c>
      <c r="H451" s="1" t="s">
        <v>444</v>
      </c>
      <c r="I451" s="1">
        <v>79.92</v>
      </c>
      <c r="J451" s="1">
        <v>4</v>
      </c>
      <c r="K451" s="1">
        <v>34.369999999999997</v>
      </c>
    </row>
    <row r="452" spans="1:11" ht="12.75" x14ac:dyDescent="0.2">
      <c r="A452" s="2">
        <v>42785</v>
      </c>
      <c r="B452" s="2" t="str">
        <f>TEXT(Table1[[#This Row],[Order Date]],"MMM")</f>
        <v>Feb</v>
      </c>
      <c r="C452" s="2" t="str">
        <f t="shared" si="7"/>
        <v>2017</v>
      </c>
      <c r="D452" s="1" t="s">
        <v>1106</v>
      </c>
      <c r="E452" s="1" t="s">
        <v>187</v>
      </c>
      <c r="F452" s="1" t="s">
        <v>11</v>
      </c>
      <c r="G452" s="1" t="s">
        <v>12</v>
      </c>
      <c r="H452" s="1" t="s">
        <v>901</v>
      </c>
      <c r="I452" s="1">
        <v>89.57</v>
      </c>
      <c r="J452" s="1">
        <v>2</v>
      </c>
      <c r="K452" s="1">
        <v>32.47</v>
      </c>
    </row>
    <row r="453" spans="1:11" ht="12.75" x14ac:dyDescent="0.2">
      <c r="A453" s="2">
        <v>41717</v>
      </c>
      <c r="B453" s="2" t="str">
        <f>TEXT(Table1[[#This Row],[Order Date]],"MMM")</f>
        <v>Mar</v>
      </c>
      <c r="C453" s="2" t="str">
        <f t="shared" si="7"/>
        <v>2014</v>
      </c>
      <c r="D453" s="1" t="s">
        <v>464</v>
      </c>
      <c r="E453" s="1" t="s">
        <v>142</v>
      </c>
      <c r="F453" s="1" t="s">
        <v>11</v>
      </c>
      <c r="G453" s="1" t="s">
        <v>58</v>
      </c>
      <c r="H453" s="1" t="s">
        <v>942</v>
      </c>
      <c r="I453" s="1">
        <v>52.34</v>
      </c>
      <c r="J453" s="1">
        <v>2</v>
      </c>
      <c r="K453" s="1">
        <v>24.6</v>
      </c>
    </row>
    <row r="454" spans="1:11" ht="12.75" x14ac:dyDescent="0.2">
      <c r="A454" s="2">
        <v>42082</v>
      </c>
      <c r="B454" s="2" t="str">
        <f>TEXT(Table1[[#This Row],[Order Date]],"MMM")</f>
        <v>Mar</v>
      </c>
      <c r="C454" s="2" t="str">
        <f t="shared" si="7"/>
        <v>2015</v>
      </c>
      <c r="D454" s="1" t="s">
        <v>1184</v>
      </c>
      <c r="E454" s="1" t="s">
        <v>442</v>
      </c>
      <c r="F454" s="1" t="s">
        <v>33</v>
      </c>
      <c r="G454" s="1" t="s">
        <v>44</v>
      </c>
      <c r="H454" s="1" t="s">
        <v>1237</v>
      </c>
      <c r="I454" s="1">
        <v>322.58999999999997</v>
      </c>
      <c r="J454" s="1">
        <v>3</v>
      </c>
      <c r="K454" s="1">
        <v>64.52</v>
      </c>
    </row>
    <row r="455" spans="1:11" ht="12.75" x14ac:dyDescent="0.2">
      <c r="A455" s="2">
        <v>42448</v>
      </c>
      <c r="B455" s="2" t="str">
        <f>TEXT(Table1[[#This Row],[Order Date]],"MMM")</f>
        <v>Mar</v>
      </c>
      <c r="C455" s="2" t="str">
        <f t="shared" si="7"/>
        <v>2016</v>
      </c>
      <c r="D455" s="1" t="s">
        <v>1223</v>
      </c>
      <c r="E455" s="1" t="s">
        <v>27</v>
      </c>
      <c r="F455" s="1" t="s">
        <v>33</v>
      </c>
      <c r="G455" s="1" t="s">
        <v>44</v>
      </c>
      <c r="H455" s="1" t="s">
        <v>635</v>
      </c>
      <c r="I455" s="1">
        <v>59.99</v>
      </c>
      <c r="J455" s="1">
        <v>7</v>
      </c>
      <c r="K455" s="1">
        <v>21.6</v>
      </c>
    </row>
    <row r="456" spans="1:11" ht="12.75" x14ac:dyDescent="0.2">
      <c r="A456" s="2">
        <v>42813</v>
      </c>
      <c r="B456" s="2" t="str">
        <f>TEXT(Table1[[#This Row],[Order Date]],"MMM")</f>
        <v>Mar</v>
      </c>
      <c r="C456" s="2" t="str">
        <f t="shared" si="7"/>
        <v>2017</v>
      </c>
      <c r="D456" s="1" t="s">
        <v>776</v>
      </c>
      <c r="E456" s="1" t="s">
        <v>227</v>
      </c>
      <c r="F456" s="1" t="s">
        <v>11</v>
      </c>
      <c r="G456" s="1" t="s">
        <v>20</v>
      </c>
      <c r="H456" s="1" t="s">
        <v>1073</v>
      </c>
      <c r="I456" s="1">
        <v>31.36</v>
      </c>
      <c r="J456" s="1">
        <v>4</v>
      </c>
      <c r="K456" s="1">
        <v>15.68</v>
      </c>
    </row>
    <row r="457" spans="1:11" ht="12.75" x14ac:dyDescent="0.2">
      <c r="A457" s="2">
        <v>41748</v>
      </c>
      <c r="B457" s="2" t="str">
        <f>TEXT(Table1[[#This Row],[Order Date]],"MMM")</f>
        <v>Apr</v>
      </c>
      <c r="C457" s="2" t="str">
        <f t="shared" si="7"/>
        <v>2014</v>
      </c>
      <c r="D457" s="1" t="s">
        <v>1258</v>
      </c>
      <c r="E457" s="1" t="s">
        <v>142</v>
      </c>
      <c r="F457" s="1" t="s">
        <v>11</v>
      </c>
      <c r="G457" s="1" t="s">
        <v>24</v>
      </c>
      <c r="H457" s="1" t="s">
        <v>1259</v>
      </c>
      <c r="I457" s="1">
        <v>9.2100000000000009</v>
      </c>
      <c r="J457" s="1">
        <v>3</v>
      </c>
      <c r="K457" s="1">
        <v>2.2999999999999998</v>
      </c>
    </row>
    <row r="458" spans="1:11" ht="12.75" x14ac:dyDescent="0.2">
      <c r="A458" s="2">
        <v>42113</v>
      </c>
      <c r="B458" s="2" t="str">
        <f>TEXT(Table1[[#This Row],[Order Date]],"MMM")</f>
        <v>Apr</v>
      </c>
      <c r="C458" s="2" t="str">
        <f t="shared" si="7"/>
        <v>2015</v>
      </c>
      <c r="D458" s="1" t="s">
        <v>234</v>
      </c>
      <c r="E458" s="1" t="s">
        <v>27</v>
      </c>
      <c r="F458" s="1" t="s">
        <v>38</v>
      </c>
      <c r="G458" s="1" t="s">
        <v>39</v>
      </c>
      <c r="H458" s="1" t="s">
        <v>1199</v>
      </c>
      <c r="I458" s="1">
        <v>109.59</v>
      </c>
      <c r="J458" s="1">
        <v>1</v>
      </c>
      <c r="K458" s="1">
        <v>8.2200000000000006</v>
      </c>
    </row>
    <row r="459" spans="1:11" ht="12.75" x14ac:dyDescent="0.2">
      <c r="A459" s="2">
        <v>42479</v>
      </c>
      <c r="B459" s="2" t="str">
        <f>TEXT(Table1[[#This Row],[Order Date]],"MMM")</f>
        <v>Apr</v>
      </c>
      <c r="C459" s="2" t="str">
        <f t="shared" si="7"/>
        <v>2016</v>
      </c>
      <c r="D459" s="1" t="s">
        <v>141</v>
      </c>
      <c r="E459" s="1" t="s">
        <v>51</v>
      </c>
      <c r="F459" s="1" t="s">
        <v>11</v>
      </c>
      <c r="G459" s="1" t="s">
        <v>18</v>
      </c>
      <c r="H459" s="1" t="s">
        <v>375</v>
      </c>
      <c r="I459" s="1">
        <v>56.45</v>
      </c>
      <c r="J459" s="1">
        <v>5</v>
      </c>
      <c r="K459" s="1">
        <v>14.68</v>
      </c>
    </row>
    <row r="460" spans="1:11" ht="12.75" x14ac:dyDescent="0.2">
      <c r="A460" s="2">
        <v>41778</v>
      </c>
      <c r="B460" s="2" t="str">
        <f>TEXT(Table1[[#This Row],[Order Date]],"MMM")</f>
        <v>May</v>
      </c>
      <c r="C460" s="2" t="str">
        <f t="shared" si="7"/>
        <v>2014</v>
      </c>
      <c r="D460" s="1" t="s">
        <v>1005</v>
      </c>
      <c r="E460" s="1" t="s">
        <v>120</v>
      </c>
      <c r="F460" s="1" t="s">
        <v>11</v>
      </c>
      <c r="G460" s="1" t="s">
        <v>18</v>
      </c>
      <c r="H460" s="1" t="s">
        <v>1186</v>
      </c>
      <c r="I460" s="1">
        <v>117.96</v>
      </c>
      <c r="J460" s="1">
        <v>2</v>
      </c>
      <c r="K460" s="1">
        <v>5.9</v>
      </c>
    </row>
    <row r="461" spans="1:11" ht="12.75" x14ac:dyDescent="0.2">
      <c r="A461" s="2">
        <v>42509</v>
      </c>
      <c r="B461" s="2" t="str">
        <f>TEXT(Table1[[#This Row],[Order Date]],"MMM")</f>
        <v>May</v>
      </c>
      <c r="C461" s="2" t="str">
        <f t="shared" si="7"/>
        <v>2016</v>
      </c>
      <c r="D461" s="1" t="s">
        <v>124</v>
      </c>
      <c r="E461" s="1" t="s">
        <v>32</v>
      </c>
      <c r="F461" s="1" t="s">
        <v>33</v>
      </c>
      <c r="G461" s="1" t="s">
        <v>34</v>
      </c>
      <c r="H461" s="1" t="s">
        <v>423</v>
      </c>
      <c r="I461" s="1">
        <v>866.4</v>
      </c>
      <c r="J461" s="1">
        <v>4</v>
      </c>
      <c r="K461" s="1">
        <v>225.26</v>
      </c>
    </row>
    <row r="462" spans="1:11" ht="12.75" x14ac:dyDescent="0.2">
      <c r="A462" s="2">
        <v>42174</v>
      </c>
      <c r="B462" s="2" t="str">
        <f>TEXT(Table1[[#This Row],[Order Date]],"MMM")</f>
        <v>Jun</v>
      </c>
      <c r="C462" s="2" t="str">
        <f t="shared" si="7"/>
        <v>2015</v>
      </c>
      <c r="D462" s="1" t="s">
        <v>840</v>
      </c>
      <c r="E462" s="1" t="s">
        <v>83</v>
      </c>
      <c r="F462" s="1" t="s">
        <v>33</v>
      </c>
      <c r="G462" s="1" t="s">
        <v>44</v>
      </c>
      <c r="H462" s="1" t="s">
        <v>668</v>
      </c>
      <c r="I462" s="1">
        <v>14.37</v>
      </c>
      <c r="J462" s="1">
        <v>2</v>
      </c>
      <c r="K462" s="1">
        <v>3.95</v>
      </c>
    </row>
    <row r="463" spans="1:11" ht="12.75" x14ac:dyDescent="0.2">
      <c r="A463" s="2">
        <v>42905</v>
      </c>
      <c r="B463" s="2" t="str">
        <f>TEXT(Table1[[#This Row],[Order Date]],"MMM")</f>
        <v>Jun</v>
      </c>
      <c r="C463" s="2" t="str">
        <f t="shared" si="7"/>
        <v>2017</v>
      </c>
      <c r="D463" s="1" t="s">
        <v>282</v>
      </c>
      <c r="E463" s="1" t="s">
        <v>98</v>
      </c>
      <c r="F463" s="1" t="s">
        <v>33</v>
      </c>
      <c r="G463" s="1" t="s">
        <v>44</v>
      </c>
      <c r="H463" s="1" t="s">
        <v>419</v>
      </c>
      <c r="I463" s="1">
        <v>132.22</v>
      </c>
      <c r="J463" s="1">
        <v>4</v>
      </c>
      <c r="K463" s="1">
        <v>-18.18</v>
      </c>
    </row>
    <row r="464" spans="1:11" ht="12.75" x14ac:dyDescent="0.2">
      <c r="A464" s="2">
        <v>41839</v>
      </c>
      <c r="B464" s="2" t="str">
        <f>TEXT(Table1[[#This Row],[Order Date]],"MMM")</f>
        <v>Jul</v>
      </c>
      <c r="C464" s="2" t="str">
        <f t="shared" si="7"/>
        <v>2014</v>
      </c>
      <c r="D464" s="1" t="s">
        <v>256</v>
      </c>
      <c r="E464" s="1" t="s">
        <v>51</v>
      </c>
      <c r="F464" s="1" t="s">
        <v>38</v>
      </c>
      <c r="G464" s="1" t="s">
        <v>48</v>
      </c>
      <c r="H464" s="1" t="s">
        <v>1246</v>
      </c>
      <c r="I464" s="1">
        <v>100</v>
      </c>
      <c r="J464" s="1">
        <v>4</v>
      </c>
      <c r="K464" s="1">
        <v>21</v>
      </c>
    </row>
    <row r="465" spans="1:11" ht="12.75" x14ac:dyDescent="0.2">
      <c r="A465" s="2">
        <v>42204</v>
      </c>
      <c r="B465" s="2" t="str">
        <f>TEXT(Table1[[#This Row],[Order Date]],"MMM")</f>
        <v>Jul</v>
      </c>
      <c r="C465" s="2" t="str">
        <f t="shared" si="7"/>
        <v>2015</v>
      </c>
      <c r="D465" s="1" t="s">
        <v>1142</v>
      </c>
      <c r="E465" s="1" t="s">
        <v>187</v>
      </c>
      <c r="F465" s="1" t="s">
        <v>38</v>
      </c>
      <c r="G465" s="1" t="s">
        <v>39</v>
      </c>
      <c r="H465" s="1" t="s">
        <v>1172</v>
      </c>
      <c r="I465" s="1">
        <v>1127.98</v>
      </c>
      <c r="J465" s="1">
        <v>3</v>
      </c>
      <c r="K465" s="1">
        <v>126.9</v>
      </c>
    </row>
    <row r="466" spans="1:11" ht="12.75" x14ac:dyDescent="0.2">
      <c r="A466" s="2">
        <v>42570</v>
      </c>
      <c r="B466" s="2" t="str">
        <f>TEXT(Table1[[#This Row],[Order Date]],"MMM")</f>
        <v>Jul</v>
      </c>
      <c r="C466" s="2" t="str">
        <f t="shared" si="7"/>
        <v>2016</v>
      </c>
      <c r="D466" s="1" t="s">
        <v>330</v>
      </c>
      <c r="E466" s="1" t="s">
        <v>30</v>
      </c>
      <c r="F466" s="1" t="s">
        <v>11</v>
      </c>
      <c r="G466" s="1" t="s">
        <v>18</v>
      </c>
      <c r="H466" s="1" t="s">
        <v>884</v>
      </c>
      <c r="I466" s="1">
        <v>1350.12</v>
      </c>
      <c r="J466" s="1">
        <v>6</v>
      </c>
      <c r="K466" s="1">
        <v>175.52</v>
      </c>
    </row>
    <row r="467" spans="1:11" ht="12.75" x14ac:dyDescent="0.2">
      <c r="A467" s="2">
        <v>41870</v>
      </c>
      <c r="B467" s="2" t="str">
        <f>TEXT(Table1[[#This Row],[Order Date]],"MMM")</f>
        <v>Aug</v>
      </c>
      <c r="C467" s="2" t="str">
        <f t="shared" si="7"/>
        <v>2014</v>
      </c>
      <c r="D467" s="1" t="s">
        <v>411</v>
      </c>
      <c r="E467" s="1" t="s">
        <v>120</v>
      </c>
      <c r="F467" s="1" t="s">
        <v>11</v>
      </c>
      <c r="G467" s="1" t="s">
        <v>20</v>
      </c>
      <c r="H467" s="1" t="s">
        <v>425</v>
      </c>
      <c r="I467" s="1">
        <v>398.35</v>
      </c>
      <c r="J467" s="1">
        <v>3</v>
      </c>
      <c r="K467" s="1">
        <v>124.49</v>
      </c>
    </row>
    <row r="468" spans="1:11" ht="12.75" x14ac:dyDescent="0.2">
      <c r="A468" s="2">
        <v>41901</v>
      </c>
      <c r="B468" s="2" t="str">
        <f>TEXT(Table1[[#This Row],[Order Date]],"MMM")</f>
        <v>Sep</v>
      </c>
      <c r="C468" s="2" t="str">
        <f t="shared" si="7"/>
        <v>2014</v>
      </c>
      <c r="D468" s="1" t="s">
        <v>754</v>
      </c>
      <c r="E468" s="1" t="s">
        <v>15</v>
      </c>
      <c r="F468" s="1" t="s">
        <v>11</v>
      </c>
      <c r="G468" s="1" t="s">
        <v>80</v>
      </c>
      <c r="H468" s="1" t="s">
        <v>1263</v>
      </c>
      <c r="I468" s="1">
        <v>92.06</v>
      </c>
      <c r="J468" s="1">
        <v>6</v>
      </c>
      <c r="K468" s="1">
        <v>-225.56</v>
      </c>
    </row>
    <row r="469" spans="1:11" ht="12.75" x14ac:dyDescent="0.2">
      <c r="A469" s="2">
        <v>42632</v>
      </c>
      <c r="B469" s="2" t="str">
        <f>TEXT(Table1[[#This Row],[Order Date]],"MMM")</f>
        <v>Sep</v>
      </c>
      <c r="C469" s="2" t="str">
        <f t="shared" si="7"/>
        <v>2016</v>
      </c>
      <c r="D469" s="1" t="s">
        <v>961</v>
      </c>
      <c r="E469" s="1" t="s">
        <v>98</v>
      </c>
      <c r="F469" s="1" t="s">
        <v>11</v>
      </c>
      <c r="G469" s="1" t="s">
        <v>12</v>
      </c>
      <c r="H469" s="1" t="s">
        <v>1036</v>
      </c>
      <c r="I469" s="1">
        <v>16.5</v>
      </c>
      <c r="J469" s="1">
        <v>2</v>
      </c>
      <c r="K469" s="1">
        <v>5.57</v>
      </c>
    </row>
    <row r="470" spans="1:11" ht="12.75" x14ac:dyDescent="0.2">
      <c r="A470" s="2">
        <v>41931</v>
      </c>
      <c r="B470" s="2" t="str">
        <f>TEXT(Table1[[#This Row],[Order Date]],"MMM")</f>
        <v>Oct</v>
      </c>
      <c r="C470" s="2" t="str">
        <f t="shared" si="7"/>
        <v>2014</v>
      </c>
      <c r="D470" s="1" t="s">
        <v>959</v>
      </c>
      <c r="E470" s="1" t="s">
        <v>27</v>
      </c>
      <c r="F470" s="1" t="s">
        <v>38</v>
      </c>
      <c r="G470" s="1" t="s">
        <v>48</v>
      </c>
      <c r="H470" s="1" t="s">
        <v>445</v>
      </c>
      <c r="I470" s="1">
        <v>12.99</v>
      </c>
      <c r="J470" s="1">
        <v>1</v>
      </c>
      <c r="K470" s="1">
        <v>0.78</v>
      </c>
    </row>
    <row r="471" spans="1:11" ht="12.75" x14ac:dyDescent="0.2">
      <c r="A471" s="2">
        <v>42296</v>
      </c>
      <c r="B471" s="2" t="str">
        <f>TEXT(Table1[[#This Row],[Order Date]],"MMM")</f>
        <v>Oct</v>
      </c>
      <c r="C471" s="2" t="str">
        <f t="shared" si="7"/>
        <v>2015</v>
      </c>
      <c r="D471" s="1" t="s">
        <v>582</v>
      </c>
      <c r="E471" s="1" t="s">
        <v>127</v>
      </c>
      <c r="F471" s="1" t="s">
        <v>11</v>
      </c>
      <c r="G471" s="1" t="s">
        <v>80</v>
      </c>
      <c r="H471" s="1" t="s">
        <v>1035</v>
      </c>
      <c r="I471" s="1">
        <v>490.32</v>
      </c>
      <c r="J471" s="1">
        <v>9</v>
      </c>
      <c r="K471" s="1">
        <v>137.29</v>
      </c>
    </row>
    <row r="472" spans="1:11" ht="12.75" x14ac:dyDescent="0.2">
      <c r="A472" s="2">
        <v>41962</v>
      </c>
      <c r="B472" s="2" t="str">
        <f>TEXT(Table1[[#This Row],[Order Date]],"MMM")</f>
        <v>Nov</v>
      </c>
      <c r="C472" s="2" t="str">
        <f t="shared" si="7"/>
        <v>2014</v>
      </c>
      <c r="D472" s="1" t="s">
        <v>579</v>
      </c>
      <c r="E472" s="1" t="s">
        <v>23</v>
      </c>
      <c r="F472" s="1" t="s">
        <v>11</v>
      </c>
      <c r="G472" s="1" t="s">
        <v>58</v>
      </c>
      <c r="H472" s="1" t="s">
        <v>1068</v>
      </c>
      <c r="I472" s="1">
        <v>57.58</v>
      </c>
      <c r="J472" s="1">
        <v>3</v>
      </c>
      <c r="K472" s="1">
        <v>21.59</v>
      </c>
    </row>
    <row r="473" spans="1:11" ht="12.75" x14ac:dyDescent="0.2">
      <c r="A473" s="2">
        <v>43058</v>
      </c>
      <c r="B473" s="2" t="str">
        <f>TEXT(Table1[[#This Row],[Order Date]],"MMM")</f>
        <v>Nov</v>
      </c>
      <c r="C473" s="2" t="str">
        <f t="shared" si="7"/>
        <v>2017</v>
      </c>
      <c r="D473" s="1" t="s">
        <v>543</v>
      </c>
      <c r="E473" s="1" t="s">
        <v>120</v>
      </c>
      <c r="F473" s="1" t="s">
        <v>11</v>
      </c>
      <c r="G473" s="1" t="s">
        <v>80</v>
      </c>
      <c r="H473" s="1" t="s">
        <v>941</v>
      </c>
      <c r="I473" s="1">
        <v>170.88</v>
      </c>
      <c r="J473" s="1">
        <v>3</v>
      </c>
      <c r="K473" s="1">
        <v>49.56</v>
      </c>
    </row>
    <row r="474" spans="1:11" ht="12.75" x14ac:dyDescent="0.2">
      <c r="A474" s="2">
        <v>41992</v>
      </c>
      <c r="B474" s="2" t="str">
        <f>TEXT(Table1[[#This Row],[Order Date]],"MMM")</f>
        <v>Dec</v>
      </c>
      <c r="C474" s="2" t="str">
        <f t="shared" si="7"/>
        <v>2014</v>
      </c>
      <c r="D474" s="1" t="s">
        <v>498</v>
      </c>
      <c r="E474" s="1" t="s">
        <v>54</v>
      </c>
      <c r="F474" s="1" t="s">
        <v>11</v>
      </c>
      <c r="G474" s="1" t="s">
        <v>20</v>
      </c>
      <c r="H474" s="1" t="s">
        <v>449</v>
      </c>
      <c r="I474" s="1">
        <v>447.86</v>
      </c>
      <c r="J474" s="1">
        <v>7</v>
      </c>
      <c r="K474" s="1">
        <v>219.45</v>
      </c>
    </row>
    <row r="475" spans="1:11" ht="12.75" x14ac:dyDescent="0.2">
      <c r="A475" s="2">
        <v>42723</v>
      </c>
      <c r="B475" s="2" t="str">
        <f>TEXT(Table1[[#This Row],[Order Date]],"MMM")</f>
        <v>Dec</v>
      </c>
      <c r="C475" s="2" t="str">
        <f t="shared" si="7"/>
        <v>2016</v>
      </c>
      <c r="D475" s="1" t="s">
        <v>1027</v>
      </c>
      <c r="E475" s="1" t="s">
        <v>27</v>
      </c>
      <c r="F475" s="1" t="s">
        <v>11</v>
      </c>
      <c r="G475" s="1" t="s">
        <v>24</v>
      </c>
      <c r="H475" s="1" t="s">
        <v>1266</v>
      </c>
      <c r="I475" s="1">
        <v>16.989999999999998</v>
      </c>
      <c r="J475" s="1">
        <v>1</v>
      </c>
      <c r="K475" s="1">
        <v>4.93</v>
      </c>
    </row>
    <row r="476" spans="1:11" ht="12.75" x14ac:dyDescent="0.2">
      <c r="A476" s="2">
        <v>43088</v>
      </c>
      <c r="B476" s="2" t="str">
        <f>TEXT(Table1[[#This Row],[Order Date]],"MMM")</f>
        <v>Dec</v>
      </c>
      <c r="C476" s="2" t="str">
        <f t="shared" si="7"/>
        <v>2017</v>
      </c>
      <c r="D476" s="1" t="s">
        <v>1101</v>
      </c>
      <c r="E476" s="1" t="s">
        <v>23</v>
      </c>
      <c r="F476" s="1" t="s">
        <v>38</v>
      </c>
      <c r="G476" s="1" t="s">
        <v>39</v>
      </c>
      <c r="H476" s="1" t="s">
        <v>551</v>
      </c>
      <c r="I476" s="1">
        <v>431.94</v>
      </c>
      <c r="J476" s="1">
        <v>2</v>
      </c>
      <c r="K476" s="1">
        <v>-71.989999999999995</v>
      </c>
    </row>
    <row r="477" spans="1:11" ht="12.75" x14ac:dyDescent="0.2">
      <c r="A477" s="2">
        <v>41659</v>
      </c>
      <c r="B477" s="2" t="str">
        <f>TEXT(Table1[[#This Row],[Order Date]],"MMM")</f>
        <v>Jan</v>
      </c>
      <c r="C477" s="2" t="str">
        <f t="shared" si="7"/>
        <v>2014</v>
      </c>
      <c r="D477" s="1" t="s">
        <v>567</v>
      </c>
      <c r="E477" s="1" t="s">
        <v>10</v>
      </c>
      <c r="F477" s="1" t="s">
        <v>38</v>
      </c>
      <c r="G477" s="1" t="s">
        <v>39</v>
      </c>
      <c r="H477" s="1" t="s">
        <v>1267</v>
      </c>
      <c r="I477" s="1">
        <v>21.07</v>
      </c>
      <c r="J477" s="1">
        <v>3</v>
      </c>
      <c r="K477" s="1">
        <v>1.58</v>
      </c>
    </row>
    <row r="478" spans="1:11" ht="12.75" x14ac:dyDescent="0.2">
      <c r="A478" s="2">
        <v>41690</v>
      </c>
      <c r="B478" s="2" t="str">
        <f>TEXT(Table1[[#This Row],[Order Date]],"MMM")</f>
        <v>Feb</v>
      </c>
      <c r="C478" s="2" t="str">
        <f t="shared" si="7"/>
        <v>2014</v>
      </c>
      <c r="D478" s="1" t="s">
        <v>832</v>
      </c>
      <c r="E478" s="1" t="s">
        <v>101</v>
      </c>
      <c r="F478" s="1" t="s">
        <v>38</v>
      </c>
      <c r="G478" s="1" t="s">
        <v>39</v>
      </c>
      <c r="H478" s="1" t="s">
        <v>670</v>
      </c>
      <c r="I478" s="1">
        <v>1363.96</v>
      </c>
      <c r="J478" s="1">
        <v>5</v>
      </c>
      <c r="K478" s="1">
        <v>85.25</v>
      </c>
    </row>
    <row r="479" spans="1:11" ht="12.75" x14ac:dyDescent="0.2">
      <c r="A479" s="2">
        <v>42055</v>
      </c>
      <c r="B479" s="2" t="str">
        <f>TEXT(Table1[[#This Row],[Order Date]],"MMM")</f>
        <v>Feb</v>
      </c>
      <c r="C479" s="2" t="str">
        <f t="shared" si="7"/>
        <v>2015</v>
      </c>
      <c r="D479" s="1" t="s">
        <v>1268</v>
      </c>
      <c r="E479" s="1" t="s">
        <v>120</v>
      </c>
      <c r="F479" s="1" t="s">
        <v>33</v>
      </c>
      <c r="G479" s="1" t="s">
        <v>65</v>
      </c>
      <c r="H479" s="1" t="s">
        <v>487</v>
      </c>
      <c r="I479" s="1">
        <v>176.78</v>
      </c>
      <c r="J479" s="1">
        <v>1</v>
      </c>
      <c r="K479" s="1">
        <v>-22.1</v>
      </c>
    </row>
    <row r="480" spans="1:11" ht="12.75" x14ac:dyDescent="0.2">
      <c r="A480" s="2">
        <v>42420</v>
      </c>
      <c r="B480" s="2" t="str">
        <f>TEXT(Table1[[#This Row],[Order Date]],"MMM")</f>
        <v>Feb</v>
      </c>
      <c r="C480" s="2" t="str">
        <f t="shared" si="7"/>
        <v>2016</v>
      </c>
      <c r="D480" s="1" t="s">
        <v>1011</v>
      </c>
      <c r="E480" s="1" t="s">
        <v>83</v>
      </c>
      <c r="F480" s="1" t="s">
        <v>11</v>
      </c>
      <c r="G480" s="1" t="s">
        <v>80</v>
      </c>
      <c r="H480" s="1" t="s">
        <v>1270</v>
      </c>
      <c r="I480" s="1">
        <v>157.91999999999999</v>
      </c>
      <c r="J480" s="1">
        <v>5</v>
      </c>
      <c r="K480" s="1">
        <v>17.77</v>
      </c>
    </row>
    <row r="481" spans="1:11" ht="12.75" x14ac:dyDescent="0.2">
      <c r="A481" s="2">
        <v>42083</v>
      </c>
      <c r="B481" s="2" t="str">
        <f>TEXT(Table1[[#This Row],[Order Date]],"MMM")</f>
        <v>Mar</v>
      </c>
      <c r="C481" s="2" t="str">
        <f t="shared" si="7"/>
        <v>2015</v>
      </c>
      <c r="D481" s="1" t="s">
        <v>1271</v>
      </c>
      <c r="E481" s="1" t="s">
        <v>68</v>
      </c>
      <c r="F481" s="1" t="s">
        <v>33</v>
      </c>
      <c r="G481" s="1" t="s">
        <v>44</v>
      </c>
      <c r="H481" s="1" t="s">
        <v>297</v>
      </c>
      <c r="I481" s="1">
        <v>21.88</v>
      </c>
      <c r="J481" s="1">
        <v>5</v>
      </c>
      <c r="K481" s="1">
        <v>6.29</v>
      </c>
    </row>
    <row r="482" spans="1:11" ht="12.75" x14ac:dyDescent="0.2">
      <c r="A482" s="2">
        <v>42449</v>
      </c>
      <c r="B482" s="2" t="str">
        <f>TEXT(Table1[[#This Row],[Order Date]],"MMM")</f>
        <v>Mar</v>
      </c>
      <c r="C482" s="2" t="str">
        <f t="shared" si="7"/>
        <v>2016</v>
      </c>
      <c r="D482" s="1" t="s">
        <v>869</v>
      </c>
      <c r="E482" s="1" t="s">
        <v>23</v>
      </c>
      <c r="F482" s="1" t="s">
        <v>38</v>
      </c>
      <c r="G482" s="1" t="s">
        <v>48</v>
      </c>
      <c r="H482" s="1" t="s">
        <v>1272</v>
      </c>
      <c r="I482" s="1">
        <v>83.98</v>
      </c>
      <c r="J482" s="1">
        <v>3</v>
      </c>
      <c r="K482" s="1">
        <v>-13.65</v>
      </c>
    </row>
    <row r="483" spans="1:11" ht="12.75" x14ac:dyDescent="0.2">
      <c r="A483" s="2">
        <v>42814</v>
      </c>
      <c r="B483" s="2" t="str">
        <f>TEXT(Table1[[#This Row],[Order Date]],"MMM")</f>
        <v>Mar</v>
      </c>
      <c r="C483" s="2" t="str">
        <f t="shared" si="7"/>
        <v>2017</v>
      </c>
      <c r="D483" s="1" t="s">
        <v>1111</v>
      </c>
      <c r="E483" s="1" t="s">
        <v>98</v>
      </c>
      <c r="F483" s="1" t="s">
        <v>33</v>
      </c>
      <c r="G483" s="1" t="s">
        <v>118</v>
      </c>
      <c r="H483" s="1" t="s">
        <v>715</v>
      </c>
      <c r="I483" s="1">
        <v>189.88</v>
      </c>
      <c r="J483" s="1">
        <v>3</v>
      </c>
      <c r="K483" s="1">
        <v>-94.94</v>
      </c>
    </row>
    <row r="484" spans="1:11" ht="12.75" x14ac:dyDescent="0.2">
      <c r="A484" s="2">
        <v>41749</v>
      </c>
      <c r="B484" s="2" t="str">
        <f>TEXT(Table1[[#This Row],[Order Date]],"MMM")</f>
        <v>Apr</v>
      </c>
      <c r="C484" s="2" t="str">
        <f t="shared" si="7"/>
        <v>2014</v>
      </c>
      <c r="D484" s="1" t="s">
        <v>486</v>
      </c>
      <c r="E484" s="1" t="s">
        <v>200</v>
      </c>
      <c r="F484" s="1" t="s">
        <v>33</v>
      </c>
      <c r="G484" s="1" t="s">
        <v>65</v>
      </c>
      <c r="H484" s="1" t="s">
        <v>1273</v>
      </c>
      <c r="I484" s="1">
        <v>72.290000000000006</v>
      </c>
      <c r="J484" s="1">
        <v>1</v>
      </c>
      <c r="K484" s="1">
        <v>-98.8</v>
      </c>
    </row>
    <row r="485" spans="1:11" ht="12.75" x14ac:dyDescent="0.2">
      <c r="A485" s="2">
        <v>41779</v>
      </c>
      <c r="B485" s="2" t="str">
        <f>TEXT(Table1[[#This Row],[Order Date]],"MMM")</f>
        <v>May</v>
      </c>
      <c r="C485" s="2" t="str">
        <f t="shared" si="7"/>
        <v>2014</v>
      </c>
      <c r="D485" s="1" t="s">
        <v>832</v>
      </c>
      <c r="E485" s="1" t="s">
        <v>79</v>
      </c>
      <c r="F485" s="1" t="s">
        <v>38</v>
      </c>
      <c r="G485" s="1" t="s">
        <v>39</v>
      </c>
      <c r="H485" s="1" t="s">
        <v>1051</v>
      </c>
      <c r="I485" s="1">
        <v>84.78</v>
      </c>
      <c r="J485" s="1">
        <v>2</v>
      </c>
      <c r="K485" s="1">
        <v>-20.14</v>
      </c>
    </row>
    <row r="486" spans="1:11" ht="12.75" x14ac:dyDescent="0.2">
      <c r="A486" s="2">
        <v>42144</v>
      </c>
      <c r="B486" s="2" t="str">
        <f>TEXT(Table1[[#This Row],[Order Date]],"MMM")</f>
        <v>May</v>
      </c>
      <c r="C486" s="2" t="str">
        <f t="shared" si="7"/>
        <v>2015</v>
      </c>
      <c r="D486" s="1" t="s">
        <v>739</v>
      </c>
      <c r="E486" s="1" t="s">
        <v>15</v>
      </c>
      <c r="F486" s="1" t="s">
        <v>11</v>
      </c>
      <c r="G486" s="1" t="s">
        <v>20</v>
      </c>
      <c r="H486" s="1" t="s">
        <v>1274</v>
      </c>
      <c r="I486" s="1">
        <v>3.17</v>
      </c>
      <c r="J486" s="1">
        <v>2</v>
      </c>
      <c r="K486" s="1">
        <v>-4.75</v>
      </c>
    </row>
    <row r="487" spans="1:11" ht="12.75" x14ac:dyDescent="0.2">
      <c r="A487" s="2">
        <v>42510</v>
      </c>
      <c r="B487" s="2" t="str">
        <f>TEXT(Table1[[#This Row],[Order Date]],"MMM")</f>
        <v>May</v>
      </c>
      <c r="C487" s="2" t="str">
        <f t="shared" si="7"/>
        <v>2016</v>
      </c>
      <c r="D487" s="1" t="s">
        <v>701</v>
      </c>
      <c r="E487" s="1" t="s">
        <v>104</v>
      </c>
      <c r="F487" s="1" t="s">
        <v>38</v>
      </c>
      <c r="G487" s="1" t="s">
        <v>48</v>
      </c>
      <c r="H487" s="1" t="s">
        <v>420</v>
      </c>
      <c r="I487" s="1">
        <v>58.58</v>
      </c>
      <c r="J487" s="1">
        <v>2</v>
      </c>
      <c r="K487" s="1">
        <v>19.329999999999998</v>
      </c>
    </row>
    <row r="488" spans="1:11" ht="12.75" x14ac:dyDescent="0.2">
      <c r="A488" s="2">
        <v>42875</v>
      </c>
      <c r="B488" s="2" t="str">
        <f>TEXT(Table1[[#This Row],[Order Date]],"MMM")</f>
        <v>May</v>
      </c>
      <c r="C488" s="2" t="str">
        <f t="shared" si="7"/>
        <v>2017</v>
      </c>
      <c r="D488" s="1" t="s">
        <v>1200</v>
      </c>
      <c r="E488" s="1" t="s">
        <v>79</v>
      </c>
      <c r="F488" s="1" t="s">
        <v>38</v>
      </c>
      <c r="G488" s="1" t="s">
        <v>39</v>
      </c>
      <c r="H488" s="1" t="s">
        <v>676</v>
      </c>
      <c r="I488" s="1">
        <v>403.17</v>
      </c>
      <c r="J488" s="1">
        <v>4</v>
      </c>
      <c r="K488" s="1">
        <v>25.2</v>
      </c>
    </row>
    <row r="489" spans="1:11" ht="12.75" x14ac:dyDescent="0.2">
      <c r="A489" s="2">
        <v>41810</v>
      </c>
      <c r="B489" s="2" t="str">
        <f>TEXT(Table1[[#This Row],[Order Date]],"MMM")</f>
        <v>Jun</v>
      </c>
      <c r="C489" s="2" t="str">
        <f t="shared" si="7"/>
        <v>2014</v>
      </c>
      <c r="D489" s="1" t="s">
        <v>523</v>
      </c>
      <c r="E489" s="1" t="s">
        <v>518</v>
      </c>
      <c r="F489" s="1" t="s">
        <v>38</v>
      </c>
      <c r="G489" s="1" t="s">
        <v>48</v>
      </c>
      <c r="H489" s="1" t="s">
        <v>913</v>
      </c>
      <c r="I489" s="1">
        <v>1287.45</v>
      </c>
      <c r="J489" s="1">
        <v>5</v>
      </c>
      <c r="K489" s="1">
        <v>244.62</v>
      </c>
    </row>
    <row r="490" spans="1:11" ht="12.75" x14ac:dyDescent="0.2">
      <c r="A490" s="2">
        <v>42175</v>
      </c>
      <c r="B490" s="2" t="str">
        <f>TEXT(Table1[[#This Row],[Order Date]],"MMM")</f>
        <v>Jun</v>
      </c>
      <c r="C490" s="2" t="str">
        <f t="shared" si="7"/>
        <v>2015</v>
      </c>
      <c r="D490" s="1" t="s">
        <v>378</v>
      </c>
      <c r="E490" s="1" t="s">
        <v>30</v>
      </c>
      <c r="F490" s="1" t="s">
        <v>33</v>
      </c>
      <c r="G490" s="1" t="s">
        <v>44</v>
      </c>
      <c r="H490" s="1" t="s">
        <v>1264</v>
      </c>
      <c r="I490" s="1">
        <v>20.239999999999998</v>
      </c>
      <c r="J490" s="1">
        <v>1</v>
      </c>
      <c r="K490" s="1">
        <v>8.6999999999999993</v>
      </c>
    </row>
    <row r="491" spans="1:11" ht="12.75" x14ac:dyDescent="0.2">
      <c r="A491" s="2">
        <v>42541</v>
      </c>
      <c r="B491" s="2" t="str">
        <f>TEXT(Table1[[#This Row],[Order Date]],"MMM")</f>
        <v>Jun</v>
      </c>
      <c r="C491" s="2" t="str">
        <f t="shared" si="7"/>
        <v>2016</v>
      </c>
      <c r="D491" s="1" t="s">
        <v>640</v>
      </c>
      <c r="E491" s="1" t="s">
        <v>51</v>
      </c>
      <c r="F491" s="1" t="s">
        <v>11</v>
      </c>
      <c r="G491" s="1" t="s">
        <v>18</v>
      </c>
      <c r="H491" s="1" t="s">
        <v>1222</v>
      </c>
      <c r="I491" s="1">
        <v>31.4</v>
      </c>
      <c r="J491" s="1">
        <v>2</v>
      </c>
      <c r="K491" s="1">
        <v>7.85</v>
      </c>
    </row>
    <row r="492" spans="1:11" ht="12.75" x14ac:dyDescent="0.2">
      <c r="A492" s="2">
        <v>41840</v>
      </c>
      <c r="B492" s="2" t="str">
        <f>TEXT(Table1[[#This Row],[Order Date]],"MMM")</f>
        <v>Jul</v>
      </c>
      <c r="C492" s="2" t="str">
        <f t="shared" si="7"/>
        <v>2014</v>
      </c>
      <c r="D492" s="1" t="s">
        <v>31</v>
      </c>
      <c r="E492" s="1" t="s">
        <v>15</v>
      </c>
      <c r="F492" s="1" t="s">
        <v>11</v>
      </c>
      <c r="G492" s="1" t="s">
        <v>12</v>
      </c>
      <c r="H492" s="1" t="s">
        <v>1017</v>
      </c>
      <c r="I492" s="1">
        <v>45.53</v>
      </c>
      <c r="J492" s="1">
        <v>3</v>
      </c>
      <c r="K492" s="1">
        <v>15.93</v>
      </c>
    </row>
    <row r="493" spans="1:11" ht="12.75" x14ac:dyDescent="0.2">
      <c r="A493" s="2">
        <v>42205</v>
      </c>
      <c r="B493" s="2" t="str">
        <f>TEXT(Table1[[#This Row],[Order Date]],"MMM")</f>
        <v>Jul</v>
      </c>
      <c r="C493" s="2" t="str">
        <f t="shared" si="7"/>
        <v>2015</v>
      </c>
      <c r="D493" s="1" t="s">
        <v>493</v>
      </c>
      <c r="E493" s="1" t="s">
        <v>23</v>
      </c>
      <c r="F493" s="1" t="s">
        <v>38</v>
      </c>
      <c r="G493" s="1" t="s">
        <v>39</v>
      </c>
      <c r="H493" s="1" t="s">
        <v>1236</v>
      </c>
      <c r="I493" s="1">
        <v>280.77999999999997</v>
      </c>
      <c r="J493" s="1">
        <v>3</v>
      </c>
      <c r="K493" s="1">
        <v>-60.84</v>
      </c>
    </row>
    <row r="494" spans="1:11" ht="12.75" x14ac:dyDescent="0.2">
      <c r="A494" s="2">
        <v>42571</v>
      </c>
      <c r="B494" s="2" t="str">
        <f>TEXT(Table1[[#This Row],[Order Date]],"MMM")</f>
        <v>Jul</v>
      </c>
      <c r="C494" s="2" t="str">
        <f t="shared" si="7"/>
        <v>2016</v>
      </c>
      <c r="D494" s="1" t="s">
        <v>983</v>
      </c>
      <c r="E494" s="1" t="s">
        <v>127</v>
      </c>
      <c r="F494" s="1" t="s">
        <v>33</v>
      </c>
      <c r="G494" s="1" t="s">
        <v>34</v>
      </c>
      <c r="H494" s="1" t="s">
        <v>946</v>
      </c>
      <c r="I494" s="1">
        <v>1454.9</v>
      </c>
      <c r="J494" s="1">
        <v>5</v>
      </c>
      <c r="K494" s="1">
        <v>378.27</v>
      </c>
    </row>
    <row r="495" spans="1:11" ht="12.75" x14ac:dyDescent="0.2">
      <c r="A495" s="2">
        <v>41871</v>
      </c>
      <c r="B495" s="2" t="str">
        <f>TEXT(Table1[[#This Row],[Order Date]],"MMM")</f>
        <v>Aug</v>
      </c>
      <c r="C495" s="2" t="str">
        <f t="shared" si="7"/>
        <v>2014</v>
      </c>
      <c r="D495" s="1" t="s">
        <v>493</v>
      </c>
      <c r="E495" s="1" t="s">
        <v>23</v>
      </c>
      <c r="F495" s="1" t="s">
        <v>11</v>
      </c>
      <c r="G495" s="1" t="s">
        <v>20</v>
      </c>
      <c r="H495" s="1" t="s">
        <v>1092</v>
      </c>
      <c r="I495" s="1">
        <v>99.85</v>
      </c>
      <c r="J495" s="1">
        <v>9</v>
      </c>
      <c r="K495" s="1">
        <v>-83.21</v>
      </c>
    </row>
    <row r="496" spans="1:11" ht="12.75" x14ac:dyDescent="0.2">
      <c r="A496" s="2">
        <v>42602</v>
      </c>
      <c r="B496" s="2" t="str">
        <f>TEXT(Table1[[#This Row],[Order Date]],"MMM")</f>
        <v>Aug</v>
      </c>
      <c r="C496" s="2" t="str">
        <f t="shared" si="7"/>
        <v>2016</v>
      </c>
      <c r="D496" s="1" t="s">
        <v>31</v>
      </c>
      <c r="E496" s="1" t="s">
        <v>51</v>
      </c>
      <c r="F496" s="1" t="s">
        <v>38</v>
      </c>
      <c r="G496" s="1" t="s">
        <v>39</v>
      </c>
      <c r="H496" s="1" t="s">
        <v>1262</v>
      </c>
      <c r="I496" s="1">
        <v>149.97</v>
      </c>
      <c r="J496" s="1">
        <v>3</v>
      </c>
      <c r="K496" s="1">
        <v>6</v>
      </c>
    </row>
    <row r="497" spans="1:11" ht="12.75" x14ac:dyDescent="0.2">
      <c r="A497" s="2">
        <v>41902</v>
      </c>
      <c r="B497" s="2" t="str">
        <f>TEXT(Table1[[#This Row],[Order Date]],"MMM")</f>
        <v>Sep</v>
      </c>
      <c r="C497" s="2" t="str">
        <f t="shared" si="7"/>
        <v>2014</v>
      </c>
      <c r="D497" s="1" t="s">
        <v>336</v>
      </c>
      <c r="E497" s="1" t="s">
        <v>10</v>
      </c>
      <c r="F497" s="1" t="s">
        <v>11</v>
      </c>
      <c r="G497" s="1" t="s">
        <v>18</v>
      </c>
      <c r="H497" s="1" t="s">
        <v>401</v>
      </c>
      <c r="I497" s="1">
        <v>158.37</v>
      </c>
      <c r="J497" s="1">
        <v>7</v>
      </c>
      <c r="K497" s="1">
        <v>13.86</v>
      </c>
    </row>
    <row r="498" spans="1:11" ht="12.75" x14ac:dyDescent="0.2">
      <c r="A498" s="2">
        <v>42267</v>
      </c>
      <c r="B498" s="2" t="str">
        <f>TEXT(Table1[[#This Row],[Order Date]],"MMM")</f>
        <v>Sep</v>
      </c>
      <c r="C498" s="2" t="str">
        <f t="shared" si="7"/>
        <v>2015</v>
      </c>
      <c r="D498" s="1" t="s">
        <v>323</v>
      </c>
      <c r="E498" s="1" t="s">
        <v>1224</v>
      </c>
      <c r="F498" s="1" t="s">
        <v>38</v>
      </c>
      <c r="G498" s="1" t="s">
        <v>39</v>
      </c>
      <c r="H498" s="1" t="s">
        <v>1042</v>
      </c>
      <c r="I498" s="1">
        <v>1294.75</v>
      </c>
      <c r="J498" s="1">
        <v>5</v>
      </c>
      <c r="K498" s="1">
        <v>336.64</v>
      </c>
    </row>
    <row r="499" spans="1:11" ht="12.75" x14ac:dyDescent="0.2">
      <c r="A499" s="2">
        <v>42633</v>
      </c>
      <c r="B499" s="2" t="str">
        <f>TEXT(Table1[[#This Row],[Order Date]],"MMM")</f>
        <v>Sep</v>
      </c>
      <c r="C499" s="2" t="str">
        <f t="shared" si="7"/>
        <v>2016</v>
      </c>
      <c r="D499" s="1" t="s">
        <v>920</v>
      </c>
      <c r="E499" s="1" t="s">
        <v>27</v>
      </c>
      <c r="F499" s="1" t="s">
        <v>38</v>
      </c>
      <c r="G499" s="1" t="s">
        <v>388</v>
      </c>
      <c r="H499" s="1" t="s">
        <v>837</v>
      </c>
      <c r="I499" s="1">
        <v>1199.98</v>
      </c>
      <c r="J499" s="1">
        <v>3</v>
      </c>
      <c r="K499" s="1">
        <v>374.99</v>
      </c>
    </row>
    <row r="500" spans="1:11" ht="12.75" x14ac:dyDescent="0.2">
      <c r="A500" s="2">
        <v>42998</v>
      </c>
      <c r="B500" s="2" t="str">
        <f>TEXT(Table1[[#This Row],[Order Date]],"MMM")</f>
        <v>Sep</v>
      </c>
      <c r="C500" s="2" t="str">
        <f t="shared" si="7"/>
        <v>2017</v>
      </c>
      <c r="D500" s="1" t="s">
        <v>908</v>
      </c>
      <c r="E500" s="1" t="s">
        <v>120</v>
      </c>
      <c r="F500" s="1" t="s">
        <v>33</v>
      </c>
      <c r="G500" s="1" t="s">
        <v>65</v>
      </c>
      <c r="H500" s="1" t="s">
        <v>1233</v>
      </c>
      <c r="I500" s="1">
        <v>388.7</v>
      </c>
      <c r="J500" s="1">
        <v>6</v>
      </c>
      <c r="K500" s="1">
        <v>-4.8600000000000003</v>
      </c>
    </row>
    <row r="501" spans="1:11" ht="12.75" x14ac:dyDescent="0.2">
      <c r="A501" s="2">
        <v>41963</v>
      </c>
      <c r="B501" s="2" t="str">
        <f>TEXT(Table1[[#This Row],[Order Date]],"MMM")</f>
        <v>Nov</v>
      </c>
      <c r="C501" s="2" t="str">
        <f t="shared" si="7"/>
        <v>2014</v>
      </c>
      <c r="D501" s="1" t="s">
        <v>1194</v>
      </c>
      <c r="E501" s="1" t="s">
        <v>68</v>
      </c>
      <c r="F501" s="1" t="s">
        <v>11</v>
      </c>
      <c r="G501" s="1" t="s">
        <v>20</v>
      </c>
      <c r="H501" s="1" t="s">
        <v>722</v>
      </c>
      <c r="I501" s="1">
        <v>8.9</v>
      </c>
      <c r="J501" s="1">
        <v>2</v>
      </c>
      <c r="K501" s="1">
        <v>-6.53</v>
      </c>
    </row>
    <row r="502" spans="1:11" ht="12.75" x14ac:dyDescent="0.2">
      <c r="A502" s="2">
        <v>41660</v>
      </c>
      <c r="B502" s="2" t="str">
        <f>TEXT(Table1[[#This Row],[Order Date]],"MMM")</f>
        <v>Jan</v>
      </c>
      <c r="C502" s="2" t="str">
        <f t="shared" si="7"/>
        <v>2014</v>
      </c>
      <c r="D502" s="1" t="s">
        <v>485</v>
      </c>
      <c r="E502" s="1" t="s">
        <v>187</v>
      </c>
      <c r="F502" s="1" t="s">
        <v>11</v>
      </c>
      <c r="G502" s="1" t="s">
        <v>20</v>
      </c>
      <c r="H502" s="1" t="s">
        <v>1280</v>
      </c>
      <c r="I502" s="1">
        <v>189.59</v>
      </c>
      <c r="J502" s="1">
        <v>2</v>
      </c>
      <c r="K502" s="1">
        <v>-145.35</v>
      </c>
    </row>
    <row r="503" spans="1:11" ht="12.75" x14ac:dyDescent="0.2">
      <c r="A503" s="2">
        <v>42756</v>
      </c>
      <c r="B503" s="2" t="str">
        <f>TEXT(Table1[[#This Row],[Order Date]],"MMM")</f>
        <v>Jan</v>
      </c>
      <c r="C503" s="2" t="str">
        <f t="shared" si="7"/>
        <v>2017</v>
      </c>
      <c r="D503" s="1" t="s">
        <v>343</v>
      </c>
      <c r="E503" s="1" t="s">
        <v>187</v>
      </c>
      <c r="F503" s="1" t="s">
        <v>38</v>
      </c>
      <c r="G503" s="1" t="s">
        <v>39</v>
      </c>
      <c r="H503" s="1" t="s">
        <v>455</v>
      </c>
      <c r="I503" s="1">
        <v>36.79</v>
      </c>
      <c r="J503" s="1">
        <v>1</v>
      </c>
      <c r="K503" s="1">
        <v>4.1399999999999997</v>
      </c>
    </row>
    <row r="504" spans="1:11" ht="12.75" x14ac:dyDescent="0.2">
      <c r="A504" s="2">
        <v>41691</v>
      </c>
      <c r="B504" s="2" t="str">
        <f>TEXT(Table1[[#This Row],[Order Date]],"MMM")</f>
        <v>Feb</v>
      </c>
      <c r="C504" s="2" t="str">
        <f t="shared" si="7"/>
        <v>2014</v>
      </c>
      <c r="D504" s="1" t="s">
        <v>1282</v>
      </c>
      <c r="E504" s="1" t="s">
        <v>15</v>
      </c>
      <c r="F504" s="1" t="s">
        <v>11</v>
      </c>
      <c r="G504" s="1" t="s">
        <v>18</v>
      </c>
      <c r="H504" s="1" t="s">
        <v>925</v>
      </c>
      <c r="I504" s="1">
        <v>230.38</v>
      </c>
      <c r="J504" s="1">
        <v>3</v>
      </c>
      <c r="K504" s="1">
        <v>-48.95</v>
      </c>
    </row>
    <row r="505" spans="1:11" ht="12.75" x14ac:dyDescent="0.2">
      <c r="A505" s="2">
        <v>42421</v>
      </c>
      <c r="B505" s="2" t="str">
        <f>TEXT(Table1[[#This Row],[Order Date]],"MMM")</f>
        <v>Feb</v>
      </c>
      <c r="C505" s="2" t="str">
        <f t="shared" si="7"/>
        <v>2016</v>
      </c>
      <c r="D505" s="1" t="s">
        <v>336</v>
      </c>
      <c r="E505" s="1" t="s">
        <v>68</v>
      </c>
      <c r="F505" s="1" t="s">
        <v>33</v>
      </c>
      <c r="G505" s="1" t="s">
        <v>118</v>
      </c>
      <c r="H505" s="1" t="s">
        <v>1247</v>
      </c>
      <c r="I505" s="1">
        <v>205.18</v>
      </c>
      <c r="J505" s="1">
        <v>2</v>
      </c>
      <c r="K505" s="1">
        <v>-58.13</v>
      </c>
    </row>
    <row r="506" spans="1:11" ht="12.75" x14ac:dyDescent="0.2">
      <c r="A506" s="2">
        <v>42787</v>
      </c>
      <c r="B506" s="2" t="str">
        <f>TEXT(Table1[[#This Row],[Order Date]],"MMM")</f>
        <v>Feb</v>
      </c>
      <c r="C506" s="2" t="str">
        <f t="shared" si="7"/>
        <v>2017</v>
      </c>
      <c r="D506" s="1" t="s">
        <v>835</v>
      </c>
      <c r="E506" s="1" t="s">
        <v>15</v>
      </c>
      <c r="F506" s="1" t="s">
        <v>11</v>
      </c>
      <c r="G506" s="1" t="s">
        <v>18</v>
      </c>
      <c r="H506" s="1" t="s">
        <v>560</v>
      </c>
      <c r="I506" s="1">
        <v>102.34</v>
      </c>
      <c r="J506" s="1">
        <v>4</v>
      </c>
      <c r="K506" s="1">
        <v>-12.79</v>
      </c>
    </row>
    <row r="507" spans="1:11" ht="12.75" x14ac:dyDescent="0.2">
      <c r="A507" s="2">
        <v>41719</v>
      </c>
      <c r="B507" s="2" t="str">
        <f>TEXT(Table1[[#This Row],[Order Date]],"MMM")</f>
        <v>Mar</v>
      </c>
      <c r="C507" s="2" t="str">
        <f t="shared" si="7"/>
        <v>2014</v>
      </c>
      <c r="D507" s="1" t="s">
        <v>1183</v>
      </c>
      <c r="E507" s="1" t="s">
        <v>10</v>
      </c>
      <c r="F507" s="1" t="s">
        <v>38</v>
      </c>
      <c r="G507" s="1" t="s">
        <v>48</v>
      </c>
      <c r="H507" s="1" t="s">
        <v>60</v>
      </c>
      <c r="I507" s="1">
        <v>258.7</v>
      </c>
      <c r="J507" s="1">
        <v>3</v>
      </c>
      <c r="K507" s="1">
        <v>64.67</v>
      </c>
    </row>
    <row r="508" spans="1:11" ht="12.75" x14ac:dyDescent="0.2">
      <c r="A508" s="2">
        <v>42084</v>
      </c>
      <c r="B508" s="2" t="str">
        <f>TEXT(Table1[[#This Row],[Order Date]],"MMM")</f>
        <v>Mar</v>
      </c>
      <c r="C508" s="2" t="str">
        <f t="shared" si="7"/>
        <v>2015</v>
      </c>
      <c r="D508" s="1" t="s">
        <v>620</v>
      </c>
      <c r="E508" s="1" t="s">
        <v>23</v>
      </c>
      <c r="F508" s="1" t="s">
        <v>38</v>
      </c>
      <c r="G508" s="1" t="s">
        <v>39</v>
      </c>
      <c r="H508" s="1" t="s">
        <v>76</v>
      </c>
      <c r="I508" s="1">
        <v>82.8</v>
      </c>
      <c r="J508" s="1">
        <v>2</v>
      </c>
      <c r="K508" s="1">
        <v>-20.7</v>
      </c>
    </row>
    <row r="509" spans="1:11" ht="12.75" x14ac:dyDescent="0.2">
      <c r="A509" s="2">
        <v>42450</v>
      </c>
      <c r="B509" s="2" t="str">
        <f>TEXT(Table1[[#This Row],[Order Date]],"MMM")</f>
        <v>Mar</v>
      </c>
      <c r="C509" s="2" t="str">
        <f t="shared" si="7"/>
        <v>2016</v>
      </c>
      <c r="D509" s="1" t="s">
        <v>932</v>
      </c>
      <c r="E509" s="1" t="s">
        <v>120</v>
      </c>
      <c r="F509" s="1" t="s">
        <v>33</v>
      </c>
      <c r="G509" s="1" t="s">
        <v>34</v>
      </c>
      <c r="H509" s="1" t="s">
        <v>786</v>
      </c>
      <c r="I509" s="1">
        <v>434.65</v>
      </c>
      <c r="J509" s="1">
        <v>3</v>
      </c>
      <c r="K509" s="1">
        <v>62.78</v>
      </c>
    </row>
    <row r="510" spans="1:11" ht="12.75" x14ac:dyDescent="0.2">
      <c r="A510" s="2">
        <v>42115</v>
      </c>
      <c r="B510" s="2" t="str">
        <f>TEXT(Table1[[#This Row],[Order Date]],"MMM")</f>
        <v>Apr</v>
      </c>
      <c r="C510" s="2" t="str">
        <f t="shared" si="7"/>
        <v>2015</v>
      </c>
      <c r="D510" s="1" t="s">
        <v>1269</v>
      </c>
      <c r="E510" s="1" t="s">
        <v>10</v>
      </c>
      <c r="F510" s="1" t="s">
        <v>11</v>
      </c>
      <c r="G510" s="1" t="s">
        <v>24</v>
      </c>
      <c r="H510" s="1" t="s">
        <v>1099</v>
      </c>
      <c r="I510" s="1">
        <v>86.35</v>
      </c>
      <c r="J510" s="1">
        <v>3</v>
      </c>
      <c r="K510" s="1">
        <v>5.4</v>
      </c>
    </row>
    <row r="511" spans="1:11" ht="12.75" x14ac:dyDescent="0.2">
      <c r="A511" s="2">
        <v>42481</v>
      </c>
      <c r="B511" s="2" t="str">
        <f>TEXT(Table1[[#This Row],[Order Date]],"MMM")</f>
        <v>Apr</v>
      </c>
      <c r="C511" s="2" t="str">
        <f t="shared" si="7"/>
        <v>2016</v>
      </c>
      <c r="D511" s="1" t="s">
        <v>1223</v>
      </c>
      <c r="E511" s="1" t="s">
        <v>15</v>
      </c>
      <c r="F511" s="1" t="s">
        <v>11</v>
      </c>
      <c r="G511" s="1" t="s">
        <v>20</v>
      </c>
      <c r="H511" s="1" t="s">
        <v>1190</v>
      </c>
      <c r="I511" s="1">
        <v>2.1800000000000002</v>
      </c>
      <c r="J511" s="1">
        <v>1</v>
      </c>
      <c r="K511" s="1">
        <v>-3.6</v>
      </c>
    </row>
    <row r="512" spans="1:11" ht="12.75" x14ac:dyDescent="0.2">
      <c r="A512" s="2">
        <v>42846</v>
      </c>
      <c r="B512" s="2" t="str">
        <f>TEXT(Table1[[#This Row],[Order Date]],"MMM")</f>
        <v>Apr</v>
      </c>
      <c r="C512" s="2" t="str">
        <f t="shared" si="7"/>
        <v>2017</v>
      </c>
      <c r="D512" s="1" t="s">
        <v>1166</v>
      </c>
      <c r="E512" s="1" t="s">
        <v>68</v>
      </c>
      <c r="F512" s="1" t="s">
        <v>11</v>
      </c>
      <c r="G512" s="1" t="s">
        <v>42</v>
      </c>
      <c r="H512" s="1" t="s">
        <v>1001</v>
      </c>
      <c r="I512" s="1">
        <v>7.22</v>
      </c>
      <c r="J512" s="1">
        <v>2</v>
      </c>
      <c r="K512" s="1">
        <v>1.71</v>
      </c>
    </row>
    <row r="513" spans="1:11" ht="12.75" x14ac:dyDescent="0.2">
      <c r="A513" s="2">
        <v>41780</v>
      </c>
      <c r="B513" s="2" t="str">
        <f>TEXT(Table1[[#This Row],[Order Date]],"MMM")</f>
        <v>May</v>
      </c>
      <c r="C513" s="2" t="str">
        <f t="shared" si="7"/>
        <v>2014</v>
      </c>
      <c r="D513" s="1" t="s">
        <v>1268</v>
      </c>
      <c r="E513" s="1" t="s">
        <v>120</v>
      </c>
      <c r="F513" s="1" t="s">
        <v>11</v>
      </c>
      <c r="G513" s="1" t="s">
        <v>20</v>
      </c>
      <c r="H513" s="1" t="s">
        <v>228</v>
      </c>
      <c r="I513" s="1">
        <v>85.23</v>
      </c>
      <c r="J513" s="1">
        <v>7</v>
      </c>
      <c r="K513" s="1">
        <v>30.9</v>
      </c>
    </row>
    <row r="514" spans="1:11" ht="12.75" x14ac:dyDescent="0.2">
      <c r="A514" s="2">
        <v>42145</v>
      </c>
      <c r="B514" s="2" t="str">
        <f>TEXT(Table1[[#This Row],[Order Date]],"MMM")</f>
        <v>May</v>
      </c>
      <c r="C514" s="2" t="str">
        <f t="shared" ref="C514:C577" si="8">TEXT(A514,"YYY")</f>
        <v>2015</v>
      </c>
      <c r="D514" s="1" t="s">
        <v>655</v>
      </c>
      <c r="E514" s="1" t="s">
        <v>134</v>
      </c>
      <c r="F514" s="1" t="s">
        <v>38</v>
      </c>
      <c r="G514" s="1" t="s">
        <v>48</v>
      </c>
      <c r="H514" s="1" t="s">
        <v>1285</v>
      </c>
      <c r="I514" s="1">
        <v>93.98</v>
      </c>
      <c r="J514" s="1">
        <v>2</v>
      </c>
      <c r="K514" s="1">
        <v>13.16</v>
      </c>
    </row>
    <row r="515" spans="1:11" ht="12.75" x14ac:dyDescent="0.2">
      <c r="A515" s="2">
        <v>42511</v>
      </c>
      <c r="B515" s="2" t="str">
        <f>TEXT(Table1[[#This Row],[Order Date]],"MMM")</f>
        <v>May</v>
      </c>
      <c r="C515" s="2" t="str">
        <f t="shared" si="8"/>
        <v>2016</v>
      </c>
      <c r="D515" s="1" t="s">
        <v>606</v>
      </c>
      <c r="E515" s="1" t="s">
        <v>134</v>
      </c>
      <c r="F515" s="1" t="s">
        <v>11</v>
      </c>
      <c r="G515" s="1" t="s">
        <v>12</v>
      </c>
      <c r="H515" s="1" t="s">
        <v>610</v>
      </c>
      <c r="I515" s="1">
        <v>11.96</v>
      </c>
      <c r="J515" s="1">
        <v>2</v>
      </c>
      <c r="K515" s="1">
        <v>5.86</v>
      </c>
    </row>
    <row r="516" spans="1:11" ht="12.75" x14ac:dyDescent="0.2">
      <c r="A516" s="2">
        <v>41811</v>
      </c>
      <c r="B516" s="2" t="str">
        <f>TEXT(Table1[[#This Row],[Order Date]],"MMM")</f>
        <v>Jun</v>
      </c>
      <c r="C516" s="2" t="str">
        <f t="shared" si="8"/>
        <v>2014</v>
      </c>
      <c r="D516" s="1" t="s">
        <v>988</v>
      </c>
      <c r="E516" s="1" t="s">
        <v>68</v>
      </c>
      <c r="F516" s="1" t="s">
        <v>33</v>
      </c>
      <c r="G516" s="1" t="s">
        <v>44</v>
      </c>
      <c r="H516" s="1" t="s">
        <v>1094</v>
      </c>
      <c r="I516" s="1">
        <v>79.38</v>
      </c>
      <c r="J516" s="1">
        <v>1</v>
      </c>
      <c r="K516" s="1">
        <v>29.77</v>
      </c>
    </row>
    <row r="517" spans="1:11" ht="12.75" x14ac:dyDescent="0.2">
      <c r="A517" s="2">
        <v>41841</v>
      </c>
      <c r="B517" s="2" t="str">
        <f>TEXT(Table1[[#This Row],[Order Date]],"MMM")</f>
        <v>Jul</v>
      </c>
      <c r="C517" s="2" t="str">
        <f t="shared" si="8"/>
        <v>2014</v>
      </c>
      <c r="D517" s="1" t="s">
        <v>405</v>
      </c>
      <c r="E517" s="1" t="s">
        <v>227</v>
      </c>
      <c r="F517" s="1" t="s">
        <v>11</v>
      </c>
      <c r="G517" s="1" t="s">
        <v>20</v>
      </c>
      <c r="H517" s="1" t="s">
        <v>689</v>
      </c>
      <c r="I517" s="1">
        <v>511.84</v>
      </c>
      <c r="J517" s="1">
        <v>8</v>
      </c>
      <c r="K517" s="1">
        <v>240.56</v>
      </c>
    </row>
    <row r="518" spans="1:11" ht="12.75" x14ac:dyDescent="0.2">
      <c r="A518" s="2">
        <v>42237</v>
      </c>
      <c r="B518" s="2" t="str">
        <f>TEXT(Table1[[#This Row],[Order Date]],"MMM")</f>
        <v>Aug</v>
      </c>
      <c r="C518" s="2" t="str">
        <f t="shared" si="8"/>
        <v>2015</v>
      </c>
      <c r="D518" s="1" t="s">
        <v>309</v>
      </c>
      <c r="E518" s="1" t="s">
        <v>101</v>
      </c>
      <c r="F518" s="1" t="s">
        <v>11</v>
      </c>
      <c r="G518" s="1" t="s">
        <v>20</v>
      </c>
      <c r="H518" s="1" t="s">
        <v>927</v>
      </c>
      <c r="I518" s="1">
        <v>2.95</v>
      </c>
      <c r="J518" s="1">
        <v>2</v>
      </c>
      <c r="K518" s="1">
        <v>-2.16</v>
      </c>
    </row>
    <row r="519" spans="1:11" ht="12.75" x14ac:dyDescent="0.2">
      <c r="A519" s="2">
        <v>42603</v>
      </c>
      <c r="B519" s="2" t="str">
        <f>TEXT(Table1[[#This Row],[Order Date]],"MMM")</f>
        <v>Aug</v>
      </c>
      <c r="C519" s="2" t="str">
        <f t="shared" si="8"/>
        <v>2016</v>
      </c>
      <c r="D519" s="1" t="s">
        <v>131</v>
      </c>
      <c r="E519" s="1" t="s">
        <v>27</v>
      </c>
      <c r="F519" s="1" t="s">
        <v>11</v>
      </c>
      <c r="G519" s="1" t="s">
        <v>18</v>
      </c>
      <c r="H519" s="1" t="s">
        <v>1227</v>
      </c>
      <c r="I519" s="1">
        <v>104.28</v>
      </c>
      <c r="J519" s="1">
        <v>3</v>
      </c>
      <c r="K519" s="1">
        <v>26.07</v>
      </c>
    </row>
    <row r="520" spans="1:11" ht="12.75" x14ac:dyDescent="0.2">
      <c r="A520" s="2">
        <v>41903</v>
      </c>
      <c r="B520" s="2" t="str">
        <f>TEXT(Table1[[#This Row],[Order Date]],"MMM")</f>
        <v>Sep</v>
      </c>
      <c r="C520" s="2" t="str">
        <f t="shared" si="8"/>
        <v>2014</v>
      </c>
      <c r="D520" s="1" t="s">
        <v>468</v>
      </c>
      <c r="E520" s="1" t="s">
        <v>51</v>
      </c>
      <c r="F520" s="1" t="s">
        <v>33</v>
      </c>
      <c r="G520" s="1" t="s">
        <v>34</v>
      </c>
      <c r="H520" s="1" t="s">
        <v>964</v>
      </c>
      <c r="I520" s="1">
        <v>641.96</v>
      </c>
      <c r="J520" s="1">
        <v>2</v>
      </c>
      <c r="K520" s="1">
        <v>179.75</v>
      </c>
    </row>
    <row r="521" spans="1:11" ht="12.75" x14ac:dyDescent="0.2">
      <c r="A521" s="2">
        <v>42268</v>
      </c>
      <c r="B521" s="2" t="str">
        <f>TEXT(Table1[[#This Row],[Order Date]],"MMM")</f>
        <v>Sep</v>
      </c>
      <c r="C521" s="2" t="str">
        <f t="shared" si="8"/>
        <v>2015</v>
      </c>
      <c r="D521" s="1" t="s">
        <v>213</v>
      </c>
      <c r="E521" s="1" t="s">
        <v>27</v>
      </c>
      <c r="F521" s="1" t="s">
        <v>33</v>
      </c>
      <c r="G521" s="1" t="s">
        <v>44</v>
      </c>
      <c r="H521" s="1" t="s">
        <v>1238</v>
      </c>
      <c r="I521" s="1">
        <v>1049.2</v>
      </c>
      <c r="J521" s="1">
        <v>5</v>
      </c>
      <c r="K521" s="1">
        <v>272.79000000000002</v>
      </c>
    </row>
    <row r="522" spans="1:11" ht="12.75" x14ac:dyDescent="0.2">
      <c r="A522" s="2">
        <v>42999</v>
      </c>
      <c r="B522" s="2" t="str">
        <f>TEXT(Table1[[#This Row],[Order Date]],"MMM")</f>
        <v>Sep</v>
      </c>
      <c r="C522" s="2" t="str">
        <f t="shared" si="8"/>
        <v>2017</v>
      </c>
      <c r="D522" s="1" t="s">
        <v>988</v>
      </c>
      <c r="E522" s="1" t="s">
        <v>27</v>
      </c>
      <c r="F522" s="1" t="s">
        <v>38</v>
      </c>
      <c r="G522" s="1" t="s">
        <v>39</v>
      </c>
      <c r="H522" s="1" t="s">
        <v>1206</v>
      </c>
      <c r="I522" s="1">
        <v>55.18</v>
      </c>
      <c r="J522" s="1">
        <v>3</v>
      </c>
      <c r="K522" s="1">
        <v>-12.41</v>
      </c>
    </row>
    <row r="523" spans="1:11" ht="12.75" x14ac:dyDescent="0.2">
      <c r="A523" s="2">
        <v>43029</v>
      </c>
      <c r="B523" s="2" t="str">
        <f>TEXT(Table1[[#This Row],[Order Date]],"MMM")</f>
        <v>Oct</v>
      </c>
      <c r="C523" s="2" t="str">
        <f t="shared" si="8"/>
        <v>2017</v>
      </c>
      <c r="D523" s="1" t="s">
        <v>804</v>
      </c>
      <c r="E523" s="1" t="s">
        <v>27</v>
      </c>
      <c r="F523" s="1" t="s">
        <v>33</v>
      </c>
      <c r="G523" s="1" t="s">
        <v>44</v>
      </c>
      <c r="H523" s="1" t="s">
        <v>673</v>
      </c>
      <c r="I523" s="1">
        <v>37.049999999999997</v>
      </c>
      <c r="J523" s="1">
        <v>3</v>
      </c>
      <c r="K523" s="1">
        <v>16.3</v>
      </c>
    </row>
    <row r="524" spans="1:11" ht="12.75" x14ac:dyDescent="0.2">
      <c r="A524" s="2">
        <v>42329</v>
      </c>
      <c r="B524" s="2" t="str">
        <f>TEXT(Table1[[#This Row],[Order Date]],"MMM")</f>
        <v>Nov</v>
      </c>
      <c r="C524" s="2" t="str">
        <f t="shared" si="8"/>
        <v>2015</v>
      </c>
      <c r="D524" s="1" t="s">
        <v>1101</v>
      </c>
      <c r="E524" s="1" t="s">
        <v>30</v>
      </c>
      <c r="F524" s="1" t="s">
        <v>33</v>
      </c>
      <c r="G524" s="1" t="s">
        <v>44</v>
      </c>
      <c r="H524" s="1" t="s">
        <v>1288</v>
      </c>
      <c r="I524" s="1">
        <v>24.96</v>
      </c>
      <c r="J524" s="1">
        <v>4</v>
      </c>
      <c r="K524" s="1">
        <v>6.24</v>
      </c>
    </row>
    <row r="525" spans="1:11" ht="12.75" x14ac:dyDescent="0.2">
      <c r="A525" s="2">
        <v>42695</v>
      </c>
      <c r="B525" s="2" t="str">
        <f>TEXT(Table1[[#This Row],[Order Date]],"MMM")</f>
        <v>Nov</v>
      </c>
      <c r="C525" s="2" t="str">
        <f t="shared" si="8"/>
        <v>2016</v>
      </c>
      <c r="D525" s="1" t="s">
        <v>381</v>
      </c>
      <c r="E525" s="1" t="s">
        <v>94</v>
      </c>
      <c r="F525" s="1" t="s">
        <v>33</v>
      </c>
      <c r="G525" s="1" t="s">
        <v>34</v>
      </c>
      <c r="H525" s="1" t="s">
        <v>601</v>
      </c>
      <c r="I525" s="1">
        <v>3504.9</v>
      </c>
      <c r="J525" s="1">
        <v>5</v>
      </c>
      <c r="K525" s="1">
        <v>700.98</v>
      </c>
    </row>
    <row r="526" spans="1:11" ht="12.75" x14ac:dyDescent="0.2">
      <c r="A526" s="2">
        <v>41994</v>
      </c>
      <c r="B526" s="2" t="str">
        <f>TEXT(Table1[[#This Row],[Order Date]],"MMM")</f>
        <v>Dec</v>
      </c>
      <c r="C526" s="2" t="str">
        <f t="shared" si="8"/>
        <v>2014</v>
      </c>
      <c r="D526" s="1" t="s">
        <v>975</v>
      </c>
      <c r="E526" s="1" t="s">
        <v>320</v>
      </c>
      <c r="F526" s="1" t="s">
        <v>38</v>
      </c>
      <c r="G526" s="1" t="s">
        <v>39</v>
      </c>
      <c r="H526" s="1" t="s">
        <v>206</v>
      </c>
      <c r="I526" s="1">
        <v>979.95</v>
      </c>
      <c r="J526" s="1">
        <v>5</v>
      </c>
      <c r="K526" s="1">
        <v>274.39</v>
      </c>
    </row>
    <row r="527" spans="1:11" ht="12.75" x14ac:dyDescent="0.2">
      <c r="A527" s="2">
        <v>42359</v>
      </c>
      <c r="B527" s="2" t="str">
        <f>TEXT(Table1[[#This Row],[Order Date]],"MMM")</f>
        <v>Dec</v>
      </c>
      <c r="C527" s="2" t="str">
        <f t="shared" si="8"/>
        <v>2015</v>
      </c>
      <c r="D527" s="1" t="s">
        <v>815</v>
      </c>
      <c r="E527" s="1" t="s">
        <v>15</v>
      </c>
      <c r="F527" s="1" t="s">
        <v>33</v>
      </c>
      <c r="G527" s="1" t="s">
        <v>44</v>
      </c>
      <c r="H527" s="1" t="s">
        <v>1291</v>
      </c>
      <c r="I527" s="1">
        <v>32.06</v>
      </c>
      <c r="J527" s="1">
        <v>3</v>
      </c>
      <c r="K527" s="1">
        <v>-12.83</v>
      </c>
    </row>
    <row r="528" spans="1:11" ht="12.75" x14ac:dyDescent="0.2">
      <c r="A528" s="2">
        <v>42757</v>
      </c>
      <c r="B528" s="2" t="str">
        <f>TEXT(Table1[[#This Row],[Order Date]],"MMM")</f>
        <v>Jan</v>
      </c>
      <c r="C528" s="2" t="str">
        <f t="shared" si="8"/>
        <v>2017</v>
      </c>
      <c r="D528" s="1" t="s">
        <v>224</v>
      </c>
      <c r="E528" s="1" t="s">
        <v>27</v>
      </c>
      <c r="F528" s="1" t="s">
        <v>33</v>
      </c>
      <c r="G528" s="1" t="s">
        <v>118</v>
      </c>
      <c r="H528" s="1" t="s">
        <v>1015</v>
      </c>
      <c r="I528" s="1">
        <v>71.09</v>
      </c>
      <c r="J528" s="1">
        <v>2</v>
      </c>
      <c r="K528" s="1">
        <v>-1.78</v>
      </c>
    </row>
    <row r="529" spans="1:11" ht="12.75" x14ac:dyDescent="0.2">
      <c r="A529" s="2">
        <v>42057</v>
      </c>
      <c r="B529" s="2" t="str">
        <f>TEXT(Table1[[#This Row],[Order Date]],"MMM")</f>
        <v>Feb</v>
      </c>
      <c r="C529" s="2" t="str">
        <f t="shared" si="8"/>
        <v>2015</v>
      </c>
      <c r="D529" s="1" t="s">
        <v>897</v>
      </c>
      <c r="E529" s="1" t="s">
        <v>51</v>
      </c>
      <c r="F529" s="1" t="s">
        <v>11</v>
      </c>
      <c r="G529" s="1" t="s">
        <v>12</v>
      </c>
      <c r="H529" s="1" t="s">
        <v>740</v>
      </c>
      <c r="I529" s="1">
        <v>75.88</v>
      </c>
      <c r="J529" s="1">
        <v>2</v>
      </c>
      <c r="K529" s="1">
        <v>35.659999999999997</v>
      </c>
    </row>
    <row r="530" spans="1:11" ht="12.75" x14ac:dyDescent="0.2">
      <c r="A530" s="2">
        <v>42422</v>
      </c>
      <c r="B530" s="2" t="str">
        <f>TEXT(Table1[[#This Row],[Order Date]],"MMM")</f>
        <v>Feb</v>
      </c>
      <c r="C530" s="2" t="str">
        <f t="shared" si="8"/>
        <v>2016</v>
      </c>
      <c r="D530" s="1" t="s">
        <v>972</v>
      </c>
      <c r="E530" s="1" t="s">
        <v>15</v>
      </c>
      <c r="F530" s="1" t="s">
        <v>38</v>
      </c>
      <c r="G530" s="1" t="s">
        <v>39</v>
      </c>
      <c r="H530" s="1" t="s">
        <v>1248</v>
      </c>
      <c r="I530" s="1">
        <v>328.22</v>
      </c>
      <c r="J530" s="1">
        <v>4</v>
      </c>
      <c r="K530" s="1">
        <v>28.72</v>
      </c>
    </row>
    <row r="531" spans="1:11" ht="12.75" x14ac:dyDescent="0.2">
      <c r="A531" s="2">
        <v>41720</v>
      </c>
      <c r="B531" s="2" t="str">
        <f>TEXT(Table1[[#This Row],[Order Date]],"MMM")</f>
        <v>Mar</v>
      </c>
      <c r="C531" s="2" t="str">
        <f t="shared" si="8"/>
        <v>2014</v>
      </c>
      <c r="D531" s="1" t="s">
        <v>1095</v>
      </c>
      <c r="E531" s="1" t="s">
        <v>27</v>
      </c>
      <c r="F531" s="1" t="s">
        <v>11</v>
      </c>
      <c r="G531" s="1" t="s">
        <v>16</v>
      </c>
      <c r="H531" s="1" t="s">
        <v>1277</v>
      </c>
      <c r="I531" s="1">
        <v>20.7</v>
      </c>
      <c r="J531" s="1">
        <v>2</v>
      </c>
      <c r="K531" s="1">
        <v>9.94</v>
      </c>
    </row>
    <row r="532" spans="1:11" ht="12.75" x14ac:dyDescent="0.2">
      <c r="A532" s="2">
        <v>42085</v>
      </c>
      <c r="B532" s="2" t="str">
        <f>TEXT(Table1[[#This Row],[Order Date]],"MMM")</f>
        <v>Mar</v>
      </c>
      <c r="C532" s="2" t="str">
        <f t="shared" si="8"/>
        <v>2015</v>
      </c>
      <c r="D532" s="1" t="s">
        <v>298</v>
      </c>
      <c r="E532" s="1" t="s">
        <v>10</v>
      </c>
      <c r="F532" s="1" t="s">
        <v>11</v>
      </c>
      <c r="G532" s="1" t="s">
        <v>20</v>
      </c>
      <c r="H532" s="1" t="s">
        <v>844</v>
      </c>
      <c r="I532" s="1">
        <v>1.34</v>
      </c>
      <c r="J532" s="1">
        <v>4</v>
      </c>
      <c r="K532" s="1">
        <v>-2.15</v>
      </c>
    </row>
    <row r="533" spans="1:11" ht="12.75" x14ac:dyDescent="0.2">
      <c r="A533" s="2">
        <v>42451</v>
      </c>
      <c r="B533" s="2" t="str">
        <f>TEXT(Table1[[#This Row],[Order Date]],"MMM")</f>
        <v>Mar</v>
      </c>
      <c r="C533" s="2" t="str">
        <f t="shared" si="8"/>
        <v>2016</v>
      </c>
      <c r="D533" s="1" t="s">
        <v>234</v>
      </c>
      <c r="E533" s="1" t="s">
        <v>94</v>
      </c>
      <c r="F533" s="1" t="s">
        <v>38</v>
      </c>
      <c r="G533" s="1" t="s">
        <v>39</v>
      </c>
      <c r="H533" s="1" t="s">
        <v>250</v>
      </c>
      <c r="I533" s="1">
        <v>377.97</v>
      </c>
      <c r="J533" s="1">
        <v>3</v>
      </c>
      <c r="K533" s="1">
        <v>94.49</v>
      </c>
    </row>
    <row r="534" spans="1:11" ht="12.75" x14ac:dyDescent="0.2">
      <c r="A534" s="2">
        <v>41781</v>
      </c>
      <c r="B534" s="2" t="str">
        <f>TEXT(Table1[[#This Row],[Order Date]],"MMM")</f>
        <v>May</v>
      </c>
      <c r="C534" s="2" t="str">
        <f t="shared" si="8"/>
        <v>2014</v>
      </c>
      <c r="D534" s="1" t="s">
        <v>582</v>
      </c>
      <c r="E534" s="1" t="s">
        <v>27</v>
      </c>
      <c r="F534" s="1" t="s">
        <v>11</v>
      </c>
      <c r="G534" s="1" t="s">
        <v>24</v>
      </c>
      <c r="H534" s="1" t="s">
        <v>1244</v>
      </c>
      <c r="I534" s="1">
        <v>7.04</v>
      </c>
      <c r="J534" s="1">
        <v>4</v>
      </c>
      <c r="K534" s="1">
        <v>2.04</v>
      </c>
    </row>
    <row r="535" spans="1:11" ht="12.75" x14ac:dyDescent="0.2">
      <c r="A535" s="2">
        <v>42146</v>
      </c>
      <c r="B535" s="2" t="str">
        <f>TEXT(Table1[[#This Row],[Order Date]],"MMM")</f>
        <v>May</v>
      </c>
      <c r="C535" s="2" t="str">
        <f t="shared" si="8"/>
        <v>2015</v>
      </c>
      <c r="D535" s="1" t="s">
        <v>838</v>
      </c>
      <c r="E535" s="1" t="s">
        <v>10</v>
      </c>
      <c r="F535" s="1" t="s">
        <v>11</v>
      </c>
      <c r="G535" s="1" t="s">
        <v>12</v>
      </c>
      <c r="H535" s="1" t="s">
        <v>1093</v>
      </c>
      <c r="I535" s="1">
        <v>173.49</v>
      </c>
      <c r="J535" s="1">
        <v>7</v>
      </c>
      <c r="K535" s="1">
        <v>54.22</v>
      </c>
    </row>
    <row r="536" spans="1:11" ht="12.75" x14ac:dyDescent="0.2">
      <c r="A536" s="2">
        <v>41812</v>
      </c>
      <c r="B536" s="2" t="str">
        <f>TEXT(Table1[[#This Row],[Order Date]],"MMM")</f>
        <v>Jun</v>
      </c>
      <c r="C536" s="2" t="str">
        <f t="shared" si="8"/>
        <v>2014</v>
      </c>
      <c r="D536" s="1" t="s">
        <v>1125</v>
      </c>
      <c r="E536" s="1" t="s">
        <v>27</v>
      </c>
      <c r="F536" s="1" t="s">
        <v>11</v>
      </c>
      <c r="G536" s="1" t="s">
        <v>12</v>
      </c>
      <c r="H536" s="1" t="s">
        <v>900</v>
      </c>
      <c r="I536" s="1">
        <v>46.35</v>
      </c>
      <c r="J536" s="1">
        <v>5</v>
      </c>
      <c r="K536" s="1">
        <v>21.78</v>
      </c>
    </row>
    <row r="537" spans="1:11" ht="12.75" x14ac:dyDescent="0.2">
      <c r="A537" s="2">
        <v>42908</v>
      </c>
      <c r="B537" s="2" t="str">
        <f>TEXT(Table1[[#This Row],[Order Date]],"MMM")</f>
        <v>Jun</v>
      </c>
      <c r="C537" s="2" t="str">
        <f t="shared" si="8"/>
        <v>2017</v>
      </c>
      <c r="D537" s="1" t="s">
        <v>486</v>
      </c>
      <c r="E537" s="1" t="s">
        <v>15</v>
      </c>
      <c r="F537" s="1" t="s">
        <v>11</v>
      </c>
      <c r="G537" s="1" t="s">
        <v>12</v>
      </c>
      <c r="H537" s="1" t="s">
        <v>1119</v>
      </c>
      <c r="I537" s="1">
        <v>76.86</v>
      </c>
      <c r="J537" s="1">
        <v>2</v>
      </c>
      <c r="K537" s="1">
        <v>26.9</v>
      </c>
    </row>
    <row r="538" spans="1:11" ht="12.75" x14ac:dyDescent="0.2">
      <c r="A538" s="2">
        <v>41842</v>
      </c>
      <c r="B538" s="2" t="str">
        <f>TEXT(Table1[[#This Row],[Order Date]],"MMM")</f>
        <v>Jul</v>
      </c>
      <c r="C538" s="2" t="str">
        <f t="shared" si="8"/>
        <v>2014</v>
      </c>
      <c r="D538" s="1" t="s">
        <v>690</v>
      </c>
      <c r="E538" s="1" t="s">
        <v>54</v>
      </c>
      <c r="F538" s="1" t="s">
        <v>38</v>
      </c>
      <c r="G538" s="1" t="s">
        <v>48</v>
      </c>
      <c r="H538" s="1" t="s">
        <v>626</v>
      </c>
      <c r="I538" s="1">
        <v>45</v>
      </c>
      <c r="J538" s="1">
        <v>3</v>
      </c>
      <c r="K538" s="1">
        <v>4.95</v>
      </c>
    </row>
    <row r="539" spans="1:11" ht="12.75" x14ac:dyDescent="0.2">
      <c r="A539" s="2">
        <v>42573</v>
      </c>
      <c r="B539" s="2" t="str">
        <f>TEXT(Table1[[#This Row],[Order Date]],"MMM")</f>
        <v>Jul</v>
      </c>
      <c r="C539" s="2" t="str">
        <f t="shared" si="8"/>
        <v>2016</v>
      </c>
      <c r="D539" s="1" t="s">
        <v>998</v>
      </c>
      <c r="E539" s="1" t="s">
        <v>120</v>
      </c>
      <c r="F539" s="1" t="s">
        <v>11</v>
      </c>
      <c r="G539" s="1" t="s">
        <v>16</v>
      </c>
      <c r="H539" s="1" t="s">
        <v>851</v>
      </c>
      <c r="I539" s="1">
        <v>122.12</v>
      </c>
      <c r="J539" s="1">
        <v>4</v>
      </c>
      <c r="K539" s="1">
        <v>56.18</v>
      </c>
    </row>
    <row r="540" spans="1:11" ht="12.75" x14ac:dyDescent="0.2">
      <c r="A540" s="2">
        <v>41873</v>
      </c>
      <c r="B540" s="2" t="str">
        <f>TEXT(Table1[[#This Row],[Order Date]],"MMM")</f>
        <v>Aug</v>
      </c>
      <c r="C540" s="2" t="str">
        <f t="shared" si="8"/>
        <v>2014</v>
      </c>
      <c r="D540" s="1" t="s">
        <v>1125</v>
      </c>
      <c r="E540" s="1" t="s">
        <v>27</v>
      </c>
      <c r="F540" s="1" t="s">
        <v>38</v>
      </c>
      <c r="G540" s="1" t="s">
        <v>39</v>
      </c>
      <c r="H540" s="1" t="s">
        <v>111</v>
      </c>
      <c r="I540" s="1">
        <v>38.24</v>
      </c>
      <c r="J540" s="1">
        <v>4</v>
      </c>
      <c r="K540" s="1">
        <v>-9.56</v>
      </c>
    </row>
    <row r="541" spans="1:11" ht="12.75" x14ac:dyDescent="0.2">
      <c r="A541" s="2">
        <v>42238</v>
      </c>
      <c r="B541" s="2" t="str">
        <f>TEXT(Table1[[#This Row],[Order Date]],"MMM")</f>
        <v>Aug</v>
      </c>
      <c r="C541" s="2" t="str">
        <f t="shared" si="8"/>
        <v>2015</v>
      </c>
      <c r="D541" s="1" t="s">
        <v>363</v>
      </c>
      <c r="E541" s="1" t="s">
        <v>23</v>
      </c>
      <c r="F541" s="1" t="s">
        <v>33</v>
      </c>
      <c r="G541" s="1" t="s">
        <v>34</v>
      </c>
      <c r="H541" s="1" t="s">
        <v>285</v>
      </c>
      <c r="I541" s="1">
        <v>422.06</v>
      </c>
      <c r="J541" s="1">
        <v>3</v>
      </c>
      <c r="K541" s="1">
        <v>-18.09</v>
      </c>
    </row>
    <row r="542" spans="1:11" ht="12.75" x14ac:dyDescent="0.2">
      <c r="A542" s="2">
        <v>41934</v>
      </c>
      <c r="B542" s="2" t="str">
        <f>TEXT(Table1[[#This Row],[Order Date]],"MMM")</f>
        <v>Oct</v>
      </c>
      <c r="C542" s="2" t="str">
        <f t="shared" si="8"/>
        <v>2014</v>
      </c>
      <c r="D542" s="1" t="s">
        <v>305</v>
      </c>
      <c r="E542" s="1" t="s">
        <v>120</v>
      </c>
      <c r="F542" s="1" t="s">
        <v>11</v>
      </c>
      <c r="G542" s="1" t="s">
        <v>24</v>
      </c>
      <c r="H542" s="1" t="s">
        <v>737</v>
      </c>
      <c r="I542" s="1">
        <v>14.7</v>
      </c>
      <c r="J542" s="1">
        <v>5</v>
      </c>
      <c r="K542" s="1">
        <v>6.62</v>
      </c>
    </row>
    <row r="543" spans="1:11" ht="12.75" x14ac:dyDescent="0.2">
      <c r="A543" s="2">
        <v>42299</v>
      </c>
      <c r="B543" s="2" t="str">
        <f>TEXT(Table1[[#This Row],[Order Date]],"MMM")</f>
        <v>Oct</v>
      </c>
      <c r="C543" s="2" t="str">
        <f t="shared" si="8"/>
        <v>2015</v>
      </c>
      <c r="D543" s="1" t="s">
        <v>286</v>
      </c>
      <c r="E543" s="1" t="s">
        <v>15</v>
      </c>
      <c r="F543" s="1" t="s">
        <v>11</v>
      </c>
      <c r="G543" s="1" t="s">
        <v>12</v>
      </c>
      <c r="H543" s="1" t="s">
        <v>951</v>
      </c>
      <c r="I543" s="1">
        <v>37.46</v>
      </c>
      <c r="J543" s="1">
        <v>7</v>
      </c>
      <c r="K543" s="1">
        <v>12.18</v>
      </c>
    </row>
    <row r="544" spans="1:11" ht="12.75" x14ac:dyDescent="0.2">
      <c r="A544" s="2">
        <v>43030</v>
      </c>
      <c r="B544" s="2" t="str">
        <f>TEXT(Table1[[#This Row],[Order Date]],"MMM")</f>
        <v>Oct</v>
      </c>
      <c r="C544" s="2" t="str">
        <f t="shared" si="8"/>
        <v>2017</v>
      </c>
      <c r="D544" s="1" t="s">
        <v>772</v>
      </c>
      <c r="E544" s="1" t="s">
        <v>30</v>
      </c>
      <c r="F544" s="1" t="s">
        <v>11</v>
      </c>
      <c r="G544" s="1" t="s">
        <v>24</v>
      </c>
      <c r="H544" s="1" t="s">
        <v>677</v>
      </c>
      <c r="I544" s="1">
        <v>35.97</v>
      </c>
      <c r="J544" s="1">
        <v>3</v>
      </c>
      <c r="K544" s="1">
        <v>9.7100000000000009</v>
      </c>
    </row>
    <row r="545" spans="1:11" ht="12.75" x14ac:dyDescent="0.2">
      <c r="A545" s="2">
        <v>41965</v>
      </c>
      <c r="B545" s="2" t="str">
        <f>TEXT(Table1[[#This Row],[Order Date]],"MMM")</f>
        <v>Nov</v>
      </c>
      <c r="C545" s="2" t="str">
        <f t="shared" si="8"/>
        <v>2014</v>
      </c>
      <c r="D545" s="1" t="s">
        <v>1213</v>
      </c>
      <c r="E545" s="1" t="s">
        <v>63</v>
      </c>
      <c r="F545" s="1" t="s">
        <v>11</v>
      </c>
      <c r="G545" s="1" t="s">
        <v>20</v>
      </c>
      <c r="H545" s="1" t="s">
        <v>712</v>
      </c>
      <c r="I545" s="1">
        <v>14.2</v>
      </c>
      <c r="J545" s="1">
        <v>2</v>
      </c>
      <c r="K545" s="1">
        <v>6.53</v>
      </c>
    </row>
    <row r="546" spans="1:11" ht="12.75" x14ac:dyDescent="0.2">
      <c r="A546" s="2">
        <v>42330</v>
      </c>
      <c r="B546" s="2" t="str">
        <f>TEXT(Table1[[#This Row],[Order Date]],"MMM")</f>
        <v>Nov</v>
      </c>
      <c r="C546" s="2" t="str">
        <f t="shared" si="8"/>
        <v>2015</v>
      </c>
      <c r="D546" s="1" t="s">
        <v>374</v>
      </c>
      <c r="E546" s="1" t="s">
        <v>27</v>
      </c>
      <c r="F546" s="1" t="s">
        <v>33</v>
      </c>
      <c r="G546" s="1" t="s">
        <v>34</v>
      </c>
      <c r="H546" s="1" t="s">
        <v>583</v>
      </c>
      <c r="I546" s="1">
        <v>195.18</v>
      </c>
      <c r="J546" s="1">
        <v>1</v>
      </c>
      <c r="K546" s="1">
        <v>19.52</v>
      </c>
    </row>
    <row r="547" spans="1:11" ht="12.75" x14ac:dyDescent="0.2">
      <c r="A547" s="2">
        <v>42696</v>
      </c>
      <c r="B547" s="2" t="str">
        <f>TEXT(Table1[[#This Row],[Order Date]],"MMM")</f>
        <v>Nov</v>
      </c>
      <c r="C547" s="2" t="str">
        <f t="shared" si="8"/>
        <v>2016</v>
      </c>
      <c r="D547" s="1" t="s">
        <v>527</v>
      </c>
      <c r="E547" s="1" t="s">
        <v>27</v>
      </c>
      <c r="F547" s="1" t="s">
        <v>33</v>
      </c>
      <c r="G547" s="1" t="s">
        <v>44</v>
      </c>
      <c r="H547" s="1" t="s">
        <v>171</v>
      </c>
      <c r="I547" s="1">
        <v>25.4</v>
      </c>
      <c r="J547" s="1">
        <v>5</v>
      </c>
      <c r="K547" s="1">
        <v>8.64</v>
      </c>
    </row>
    <row r="548" spans="1:11" ht="12.75" x14ac:dyDescent="0.2">
      <c r="A548" s="2">
        <v>41995</v>
      </c>
      <c r="B548" s="2" t="str">
        <f>TEXT(Table1[[#This Row],[Order Date]],"MMM")</f>
        <v>Dec</v>
      </c>
      <c r="C548" s="2" t="str">
        <f t="shared" si="8"/>
        <v>2014</v>
      </c>
      <c r="D548" s="1" t="s">
        <v>996</v>
      </c>
      <c r="E548" s="1" t="s">
        <v>101</v>
      </c>
      <c r="F548" s="1" t="s">
        <v>11</v>
      </c>
      <c r="G548" s="1" t="s">
        <v>158</v>
      </c>
      <c r="H548" s="1" t="s">
        <v>625</v>
      </c>
      <c r="I548" s="1">
        <v>45.58</v>
      </c>
      <c r="J548" s="1">
        <v>7</v>
      </c>
      <c r="K548" s="1">
        <v>5.13</v>
      </c>
    </row>
    <row r="549" spans="1:11" ht="12.75" x14ac:dyDescent="0.2">
      <c r="A549" s="2">
        <v>43091</v>
      </c>
      <c r="B549" s="2" t="str">
        <f>TEXT(Table1[[#This Row],[Order Date]],"MMM")</f>
        <v>Dec</v>
      </c>
      <c r="C549" s="2" t="str">
        <f t="shared" si="8"/>
        <v>2017</v>
      </c>
      <c r="D549" s="1" t="s">
        <v>1292</v>
      </c>
      <c r="E549" s="1" t="s">
        <v>10</v>
      </c>
      <c r="F549" s="1" t="s">
        <v>38</v>
      </c>
      <c r="G549" s="1" t="s">
        <v>39</v>
      </c>
      <c r="H549" s="1" t="s">
        <v>1253</v>
      </c>
      <c r="I549" s="1">
        <v>863.64</v>
      </c>
      <c r="J549" s="1">
        <v>9</v>
      </c>
      <c r="K549" s="1">
        <v>107.96</v>
      </c>
    </row>
    <row r="550" spans="1:11" ht="12.75" x14ac:dyDescent="0.2">
      <c r="A550" s="2">
        <v>41662</v>
      </c>
      <c r="B550" s="2" t="str">
        <f>TEXT(Table1[[#This Row],[Order Date]],"MMM")</f>
        <v>Jan</v>
      </c>
      <c r="C550" s="2" t="str">
        <f t="shared" si="8"/>
        <v>2014</v>
      </c>
      <c r="D550" s="1" t="s">
        <v>359</v>
      </c>
      <c r="E550" s="1" t="s">
        <v>83</v>
      </c>
      <c r="F550" s="1" t="s">
        <v>11</v>
      </c>
      <c r="G550" s="1" t="s">
        <v>18</v>
      </c>
      <c r="H550" s="1" t="s">
        <v>1181</v>
      </c>
      <c r="I550" s="1">
        <v>16.77</v>
      </c>
      <c r="J550" s="1">
        <v>2</v>
      </c>
      <c r="K550" s="1">
        <v>1.47</v>
      </c>
    </row>
    <row r="551" spans="1:11" ht="12.75" x14ac:dyDescent="0.2">
      <c r="A551" s="2">
        <v>42027</v>
      </c>
      <c r="B551" s="2" t="str">
        <f>TEXT(Table1[[#This Row],[Order Date]],"MMM")</f>
        <v>Jan</v>
      </c>
      <c r="C551" s="2" t="str">
        <f t="shared" si="8"/>
        <v>2015</v>
      </c>
      <c r="D551" s="1" t="s">
        <v>241</v>
      </c>
      <c r="E551" s="1" t="s">
        <v>27</v>
      </c>
      <c r="F551" s="1" t="s">
        <v>38</v>
      </c>
      <c r="G551" s="1" t="s">
        <v>39</v>
      </c>
      <c r="H551" s="1" t="s">
        <v>703</v>
      </c>
      <c r="I551" s="1">
        <v>95.76</v>
      </c>
      <c r="J551" s="1">
        <v>6</v>
      </c>
      <c r="K551" s="1">
        <v>7.18</v>
      </c>
    </row>
    <row r="552" spans="1:11" ht="12.75" x14ac:dyDescent="0.2">
      <c r="A552" s="2">
        <v>42392</v>
      </c>
      <c r="B552" s="2" t="str">
        <f>TEXT(Table1[[#This Row],[Order Date]],"MMM")</f>
        <v>Jan</v>
      </c>
      <c r="C552" s="2" t="str">
        <f t="shared" si="8"/>
        <v>2016</v>
      </c>
      <c r="D552" s="1" t="s">
        <v>812</v>
      </c>
      <c r="E552" s="1" t="s">
        <v>83</v>
      </c>
      <c r="F552" s="1" t="s">
        <v>38</v>
      </c>
      <c r="G552" s="1" t="s">
        <v>39</v>
      </c>
      <c r="H552" s="1" t="s">
        <v>1038</v>
      </c>
      <c r="I552" s="1">
        <v>380.86</v>
      </c>
      <c r="J552" s="1">
        <v>8</v>
      </c>
      <c r="K552" s="1">
        <v>38.090000000000003</v>
      </c>
    </row>
    <row r="553" spans="1:11" ht="12.75" x14ac:dyDescent="0.2">
      <c r="A553" s="2">
        <v>41693</v>
      </c>
      <c r="B553" s="2" t="str">
        <f>TEXT(Table1[[#This Row],[Order Date]],"MMM")</f>
        <v>Feb</v>
      </c>
      <c r="C553" s="2" t="str">
        <f t="shared" si="8"/>
        <v>2014</v>
      </c>
      <c r="D553" s="1" t="s">
        <v>914</v>
      </c>
      <c r="E553" s="1" t="s">
        <v>211</v>
      </c>
      <c r="F553" s="1" t="s">
        <v>11</v>
      </c>
      <c r="G553" s="1" t="s">
        <v>158</v>
      </c>
      <c r="H553" s="1" t="s">
        <v>1296</v>
      </c>
      <c r="I553" s="1">
        <v>44.4</v>
      </c>
      <c r="J553" s="1">
        <v>5</v>
      </c>
      <c r="K553" s="1">
        <v>12.43</v>
      </c>
    </row>
    <row r="554" spans="1:11" ht="12.75" x14ac:dyDescent="0.2">
      <c r="A554" s="2">
        <v>42058</v>
      </c>
      <c r="B554" s="2" t="str">
        <f>TEXT(Table1[[#This Row],[Order Date]],"MMM")</f>
        <v>Feb</v>
      </c>
      <c r="C554" s="2" t="str">
        <f t="shared" si="8"/>
        <v>2015</v>
      </c>
      <c r="D554" s="1" t="s">
        <v>178</v>
      </c>
      <c r="E554" s="1" t="s">
        <v>227</v>
      </c>
      <c r="F554" s="1" t="s">
        <v>33</v>
      </c>
      <c r="G554" s="1" t="s">
        <v>44</v>
      </c>
      <c r="H554" s="1" t="s">
        <v>1131</v>
      </c>
      <c r="I554" s="1">
        <v>185.58</v>
      </c>
      <c r="J554" s="1">
        <v>6</v>
      </c>
      <c r="K554" s="1">
        <v>76.09</v>
      </c>
    </row>
    <row r="555" spans="1:11" ht="12.75" x14ac:dyDescent="0.2">
      <c r="A555" s="2">
        <v>42423</v>
      </c>
      <c r="B555" s="2" t="str">
        <f>TEXT(Table1[[#This Row],[Order Date]],"MMM")</f>
        <v>Feb</v>
      </c>
      <c r="C555" s="2" t="str">
        <f t="shared" si="8"/>
        <v>2016</v>
      </c>
      <c r="D555" s="1" t="s">
        <v>319</v>
      </c>
      <c r="E555" s="1" t="s">
        <v>120</v>
      </c>
      <c r="F555" s="1" t="s">
        <v>38</v>
      </c>
      <c r="G555" s="1" t="s">
        <v>39</v>
      </c>
      <c r="H555" s="1" t="s">
        <v>726</v>
      </c>
      <c r="I555" s="1">
        <v>89.95</v>
      </c>
      <c r="J555" s="1">
        <v>5</v>
      </c>
      <c r="K555" s="1">
        <v>43.18</v>
      </c>
    </row>
    <row r="556" spans="1:11" ht="12.75" x14ac:dyDescent="0.2">
      <c r="A556" s="2">
        <v>42789</v>
      </c>
      <c r="B556" s="2" t="str">
        <f>TEXT(Table1[[#This Row],[Order Date]],"MMM")</f>
        <v>Feb</v>
      </c>
      <c r="C556" s="2" t="str">
        <f t="shared" si="8"/>
        <v>2017</v>
      </c>
      <c r="D556" s="1" t="s">
        <v>1251</v>
      </c>
      <c r="E556" s="1" t="s">
        <v>27</v>
      </c>
      <c r="F556" s="1" t="s">
        <v>11</v>
      </c>
      <c r="G556" s="1" t="s">
        <v>16</v>
      </c>
      <c r="H556" s="1" t="s">
        <v>1116</v>
      </c>
      <c r="I556" s="1">
        <v>6.3</v>
      </c>
      <c r="J556" s="1">
        <v>2</v>
      </c>
      <c r="K556" s="1">
        <v>3.02</v>
      </c>
    </row>
    <row r="557" spans="1:11" ht="12.75" x14ac:dyDescent="0.2">
      <c r="A557" s="2">
        <v>41721</v>
      </c>
      <c r="B557" s="2" t="str">
        <f>TEXT(Table1[[#This Row],[Order Date]],"MMM")</f>
        <v>Mar</v>
      </c>
      <c r="C557" s="2" t="str">
        <f t="shared" si="8"/>
        <v>2014</v>
      </c>
      <c r="D557" s="1" t="s">
        <v>153</v>
      </c>
      <c r="E557" s="1" t="s">
        <v>27</v>
      </c>
      <c r="F557" s="1" t="s">
        <v>11</v>
      </c>
      <c r="G557" s="1" t="s">
        <v>20</v>
      </c>
      <c r="H557" s="1" t="s">
        <v>607</v>
      </c>
      <c r="I557" s="1">
        <v>119.62</v>
      </c>
      <c r="J557" s="1">
        <v>8</v>
      </c>
      <c r="K557" s="1">
        <v>40.369999999999997</v>
      </c>
    </row>
    <row r="558" spans="1:11" ht="12.75" x14ac:dyDescent="0.2">
      <c r="A558" s="2">
        <v>42817</v>
      </c>
      <c r="B558" s="2" t="str">
        <f>TEXT(Table1[[#This Row],[Order Date]],"MMM")</f>
        <v>Mar</v>
      </c>
      <c r="C558" s="2" t="str">
        <f t="shared" si="8"/>
        <v>2017</v>
      </c>
      <c r="D558" s="1" t="s">
        <v>627</v>
      </c>
      <c r="E558" s="1" t="s">
        <v>94</v>
      </c>
      <c r="F558" s="1" t="s">
        <v>11</v>
      </c>
      <c r="G558" s="1" t="s">
        <v>80</v>
      </c>
      <c r="H558" s="1" t="s">
        <v>474</v>
      </c>
      <c r="I558" s="1">
        <v>283.14</v>
      </c>
      <c r="J558" s="1">
        <v>4</v>
      </c>
      <c r="K558" s="1">
        <v>72.36</v>
      </c>
    </row>
    <row r="559" spans="1:11" ht="12.75" x14ac:dyDescent="0.2">
      <c r="A559" s="2">
        <v>41752</v>
      </c>
      <c r="B559" s="2" t="str">
        <f>TEXT(Table1[[#This Row],[Order Date]],"MMM")</f>
        <v>Apr</v>
      </c>
      <c r="C559" s="2" t="str">
        <f t="shared" si="8"/>
        <v>2014</v>
      </c>
      <c r="D559" s="1" t="s">
        <v>160</v>
      </c>
      <c r="E559" s="1" t="s">
        <v>27</v>
      </c>
      <c r="F559" s="1" t="s">
        <v>33</v>
      </c>
      <c r="G559" s="1" t="s">
        <v>118</v>
      </c>
      <c r="H559" s="1" t="s">
        <v>1300</v>
      </c>
      <c r="I559" s="1">
        <v>136.46</v>
      </c>
      <c r="J559" s="1">
        <v>2</v>
      </c>
      <c r="K559" s="1">
        <v>15.35</v>
      </c>
    </row>
    <row r="560" spans="1:11" ht="12.75" x14ac:dyDescent="0.2">
      <c r="A560" s="2">
        <v>42848</v>
      </c>
      <c r="B560" s="2" t="str">
        <f>TEXT(Table1[[#This Row],[Order Date]],"MMM")</f>
        <v>Apr</v>
      </c>
      <c r="C560" s="2" t="str">
        <f t="shared" si="8"/>
        <v>2017</v>
      </c>
      <c r="D560" s="1" t="s">
        <v>1301</v>
      </c>
      <c r="E560" s="1" t="s">
        <v>518</v>
      </c>
      <c r="F560" s="1" t="s">
        <v>11</v>
      </c>
      <c r="G560" s="1" t="s">
        <v>58</v>
      </c>
      <c r="H560" s="1" t="s">
        <v>85</v>
      </c>
      <c r="I560" s="1">
        <v>81.540000000000006</v>
      </c>
      <c r="J560" s="1">
        <v>3</v>
      </c>
      <c r="K560" s="1">
        <v>38.32</v>
      </c>
    </row>
    <row r="561" spans="1:11" ht="12.75" x14ac:dyDescent="0.2">
      <c r="A561" s="2">
        <v>41782</v>
      </c>
      <c r="B561" s="2" t="str">
        <f>TEXT(Table1[[#This Row],[Order Date]],"MMM")</f>
        <v>May</v>
      </c>
      <c r="C561" s="2" t="str">
        <f t="shared" si="8"/>
        <v>2014</v>
      </c>
      <c r="D561" s="1" t="s">
        <v>1302</v>
      </c>
      <c r="E561" s="1" t="s">
        <v>51</v>
      </c>
      <c r="F561" s="1" t="s">
        <v>11</v>
      </c>
      <c r="G561" s="1" t="s">
        <v>158</v>
      </c>
      <c r="H561" s="1" t="s">
        <v>1100</v>
      </c>
      <c r="I561" s="1">
        <v>35.06</v>
      </c>
      <c r="J561" s="1">
        <v>2</v>
      </c>
      <c r="K561" s="1">
        <v>10.52</v>
      </c>
    </row>
    <row r="562" spans="1:11" ht="12.75" x14ac:dyDescent="0.2">
      <c r="A562" s="2">
        <v>42513</v>
      </c>
      <c r="B562" s="2" t="str">
        <f>TEXT(Table1[[#This Row],[Order Date]],"MMM")</f>
        <v>May</v>
      </c>
      <c r="C562" s="2" t="str">
        <f t="shared" si="8"/>
        <v>2016</v>
      </c>
      <c r="D562" s="1" t="s">
        <v>1029</v>
      </c>
      <c r="E562" s="1" t="s">
        <v>320</v>
      </c>
      <c r="F562" s="1" t="s">
        <v>11</v>
      </c>
      <c r="G562" s="1" t="s">
        <v>24</v>
      </c>
      <c r="H562" s="1" t="s">
        <v>1146</v>
      </c>
      <c r="I562" s="1">
        <v>197.05</v>
      </c>
      <c r="J562" s="1">
        <v>7</v>
      </c>
      <c r="K562" s="1">
        <v>59.12</v>
      </c>
    </row>
    <row r="563" spans="1:11" ht="12.75" x14ac:dyDescent="0.2">
      <c r="A563" s="2">
        <v>41813</v>
      </c>
      <c r="B563" s="2" t="str">
        <f>TEXT(Table1[[#This Row],[Order Date]],"MMM")</f>
        <v>Jun</v>
      </c>
      <c r="C563" s="2" t="str">
        <f t="shared" si="8"/>
        <v>2014</v>
      </c>
      <c r="D563" s="1" t="s">
        <v>706</v>
      </c>
      <c r="E563" s="1" t="s">
        <v>134</v>
      </c>
      <c r="F563" s="1" t="s">
        <v>38</v>
      </c>
      <c r="G563" s="1" t="s">
        <v>48</v>
      </c>
      <c r="H563" s="1" t="s">
        <v>839</v>
      </c>
      <c r="I563" s="1">
        <v>179.97</v>
      </c>
      <c r="J563" s="1">
        <v>3</v>
      </c>
      <c r="K563" s="1">
        <v>86.39</v>
      </c>
    </row>
    <row r="564" spans="1:11" ht="12.75" x14ac:dyDescent="0.2">
      <c r="A564" s="2">
        <v>42178</v>
      </c>
      <c r="B564" s="2" t="str">
        <f>TEXT(Table1[[#This Row],[Order Date]],"MMM")</f>
        <v>Jun</v>
      </c>
      <c r="C564" s="2" t="str">
        <f t="shared" si="8"/>
        <v>2015</v>
      </c>
      <c r="D564" s="1" t="s">
        <v>831</v>
      </c>
      <c r="E564" s="1" t="s">
        <v>187</v>
      </c>
      <c r="F564" s="1" t="s">
        <v>11</v>
      </c>
      <c r="G564" s="1" t="s">
        <v>12</v>
      </c>
      <c r="H564" s="1" t="s">
        <v>894</v>
      </c>
      <c r="I564" s="1">
        <v>30.82</v>
      </c>
      <c r="J564" s="1">
        <v>9</v>
      </c>
      <c r="K564" s="1">
        <v>9.6300000000000008</v>
      </c>
    </row>
    <row r="565" spans="1:11" ht="12.75" x14ac:dyDescent="0.2">
      <c r="A565" s="2">
        <v>42544</v>
      </c>
      <c r="B565" s="2" t="str">
        <f>TEXT(Table1[[#This Row],[Order Date]],"MMM")</f>
        <v>Jun</v>
      </c>
      <c r="C565" s="2" t="str">
        <f t="shared" si="8"/>
        <v>2016</v>
      </c>
      <c r="D565" s="1" t="s">
        <v>1102</v>
      </c>
      <c r="E565" s="1" t="s">
        <v>262</v>
      </c>
      <c r="F565" s="1" t="s">
        <v>11</v>
      </c>
      <c r="G565" s="1" t="s">
        <v>12</v>
      </c>
      <c r="H565" s="1" t="s">
        <v>333</v>
      </c>
      <c r="I565" s="1">
        <v>6.48</v>
      </c>
      <c r="J565" s="1">
        <v>1</v>
      </c>
      <c r="K565" s="1">
        <v>3.11</v>
      </c>
    </row>
    <row r="566" spans="1:11" ht="12.75" x14ac:dyDescent="0.2">
      <c r="A566" s="2">
        <v>41843</v>
      </c>
      <c r="B566" s="2" t="str">
        <f>TEXT(Table1[[#This Row],[Order Date]],"MMM")</f>
        <v>Jul</v>
      </c>
      <c r="C566" s="2" t="str">
        <f t="shared" si="8"/>
        <v>2014</v>
      </c>
      <c r="D566" s="1" t="s">
        <v>617</v>
      </c>
      <c r="E566" s="1" t="s">
        <v>187</v>
      </c>
      <c r="F566" s="1" t="s">
        <v>11</v>
      </c>
      <c r="G566" s="1" t="s">
        <v>20</v>
      </c>
      <c r="H566" s="1" t="s">
        <v>679</v>
      </c>
      <c r="I566" s="1">
        <v>11.23</v>
      </c>
      <c r="J566" s="1">
        <v>8</v>
      </c>
      <c r="K566" s="1">
        <v>-8.24</v>
      </c>
    </row>
    <row r="567" spans="1:11" ht="12.75" x14ac:dyDescent="0.2">
      <c r="A567" s="2">
        <v>41874</v>
      </c>
      <c r="B567" s="2" t="str">
        <f>TEXT(Table1[[#This Row],[Order Date]],"MMM")</f>
        <v>Aug</v>
      </c>
      <c r="C567" s="2" t="str">
        <f t="shared" si="8"/>
        <v>2014</v>
      </c>
      <c r="D567" s="1" t="s">
        <v>1279</v>
      </c>
      <c r="E567" s="1" t="s">
        <v>27</v>
      </c>
      <c r="F567" s="1" t="s">
        <v>11</v>
      </c>
      <c r="G567" s="1" t="s">
        <v>12</v>
      </c>
      <c r="H567" s="1" t="s">
        <v>1303</v>
      </c>
      <c r="I567" s="1">
        <v>15.54</v>
      </c>
      <c r="J567" s="1">
        <v>3</v>
      </c>
      <c r="K567" s="1">
        <v>7.61</v>
      </c>
    </row>
    <row r="568" spans="1:11" ht="12.75" x14ac:dyDescent="0.2">
      <c r="A568" s="2">
        <v>42239</v>
      </c>
      <c r="B568" s="2" t="str">
        <f>TEXT(Table1[[#This Row],[Order Date]],"MMM")</f>
        <v>Aug</v>
      </c>
      <c r="C568" s="2" t="str">
        <f t="shared" si="8"/>
        <v>2015</v>
      </c>
      <c r="D568" s="1" t="s">
        <v>581</v>
      </c>
      <c r="E568" s="1" t="s">
        <v>200</v>
      </c>
      <c r="F568" s="1" t="s">
        <v>11</v>
      </c>
      <c r="G568" s="1" t="s">
        <v>20</v>
      </c>
      <c r="H568" s="1" t="s">
        <v>682</v>
      </c>
      <c r="I568" s="1">
        <v>18.88</v>
      </c>
      <c r="J568" s="1">
        <v>3</v>
      </c>
      <c r="K568" s="1">
        <v>-13.85</v>
      </c>
    </row>
    <row r="569" spans="1:11" ht="12.75" x14ac:dyDescent="0.2">
      <c r="A569" s="2">
        <v>42970</v>
      </c>
      <c r="B569" s="2" t="str">
        <f>TEXT(Table1[[#This Row],[Order Date]],"MMM")</f>
        <v>Aug</v>
      </c>
      <c r="C569" s="2" t="str">
        <f t="shared" si="8"/>
        <v>2017</v>
      </c>
      <c r="D569" s="1" t="s">
        <v>1205</v>
      </c>
      <c r="E569" s="1" t="s">
        <v>120</v>
      </c>
      <c r="F569" s="1" t="s">
        <v>11</v>
      </c>
      <c r="G569" s="1" t="s">
        <v>80</v>
      </c>
      <c r="H569" s="1" t="s">
        <v>589</v>
      </c>
      <c r="I569" s="1">
        <v>355.32</v>
      </c>
      <c r="J569" s="1">
        <v>9</v>
      </c>
      <c r="K569" s="1">
        <v>99.49</v>
      </c>
    </row>
    <row r="570" spans="1:11" ht="12.75" x14ac:dyDescent="0.2">
      <c r="A570" s="2">
        <v>42636</v>
      </c>
      <c r="B570" s="2" t="str">
        <f>TEXT(Table1[[#This Row],[Order Date]],"MMM")</f>
        <v>Sep</v>
      </c>
      <c r="C570" s="2" t="str">
        <f t="shared" si="8"/>
        <v>2016</v>
      </c>
      <c r="D570" s="1" t="s">
        <v>477</v>
      </c>
      <c r="E570" s="1" t="s">
        <v>94</v>
      </c>
      <c r="F570" s="1" t="s">
        <v>38</v>
      </c>
      <c r="G570" s="1" t="s">
        <v>39</v>
      </c>
      <c r="H570" s="1" t="s">
        <v>1214</v>
      </c>
      <c r="I570" s="1">
        <v>14.78</v>
      </c>
      <c r="J570" s="1">
        <v>2</v>
      </c>
      <c r="K570" s="1">
        <v>3.99</v>
      </c>
    </row>
    <row r="571" spans="1:11" ht="12.75" x14ac:dyDescent="0.2">
      <c r="A571" s="2">
        <v>41966</v>
      </c>
      <c r="B571" s="2" t="str">
        <f>TEXT(Table1[[#This Row],[Order Date]],"MMM")</f>
        <v>Nov</v>
      </c>
      <c r="C571" s="2" t="str">
        <f t="shared" si="8"/>
        <v>2014</v>
      </c>
      <c r="D571" s="1" t="s">
        <v>1242</v>
      </c>
      <c r="E571" s="1" t="s">
        <v>187</v>
      </c>
      <c r="F571" s="1" t="s">
        <v>11</v>
      </c>
      <c r="G571" s="1" t="s">
        <v>16</v>
      </c>
      <c r="H571" s="1" t="s">
        <v>570</v>
      </c>
      <c r="I571" s="1">
        <v>9.2200000000000006</v>
      </c>
      <c r="J571" s="1">
        <v>4</v>
      </c>
      <c r="K571" s="1">
        <v>3.34</v>
      </c>
    </row>
    <row r="572" spans="1:11" ht="12.75" x14ac:dyDescent="0.2">
      <c r="A572" s="2">
        <v>42331</v>
      </c>
      <c r="B572" s="2" t="str">
        <f>TEXT(Table1[[#This Row],[Order Date]],"MMM")</f>
        <v>Nov</v>
      </c>
      <c r="C572" s="2" t="str">
        <f t="shared" si="8"/>
        <v>2015</v>
      </c>
      <c r="D572" s="1" t="s">
        <v>653</v>
      </c>
      <c r="E572" s="1" t="s">
        <v>200</v>
      </c>
      <c r="F572" s="1" t="s">
        <v>11</v>
      </c>
      <c r="G572" s="1" t="s">
        <v>12</v>
      </c>
      <c r="H572" s="1" t="s">
        <v>782</v>
      </c>
      <c r="I572" s="1">
        <v>15.48</v>
      </c>
      <c r="J572" s="1">
        <v>3</v>
      </c>
      <c r="K572" s="1">
        <v>5.61</v>
      </c>
    </row>
    <row r="573" spans="1:11" ht="12.75" x14ac:dyDescent="0.2">
      <c r="A573" s="2">
        <v>42697</v>
      </c>
      <c r="B573" s="2" t="str">
        <f>TEXT(Table1[[#This Row],[Order Date]],"MMM")</f>
        <v>Nov</v>
      </c>
      <c r="C573" s="2" t="str">
        <f t="shared" si="8"/>
        <v>2016</v>
      </c>
      <c r="D573" s="1" t="s">
        <v>213</v>
      </c>
      <c r="E573" s="1" t="s">
        <v>15</v>
      </c>
      <c r="F573" s="1" t="s">
        <v>11</v>
      </c>
      <c r="G573" s="1" t="s">
        <v>12</v>
      </c>
      <c r="H573" s="1" t="s">
        <v>1245</v>
      </c>
      <c r="I573" s="1">
        <v>64.62</v>
      </c>
      <c r="J573" s="1">
        <v>7</v>
      </c>
      <c r="K573" s="1">
        <v>22.62</v>
      </c>
    </row>
    <row r="574" spans="1:11" ht="12.75" x14ac:dyDescent="0.2">
      <c r="A574" s="2">
        <v>43062</v>
      </c>
      <c r="B574" s="2" t="str">
        <f>TEXT(Table1[[#This Row],[Order Date]],"MMM")</f>
        <v>Nov</v>
      </c>
      <c r="C574" s="2" t="str">
        <f t="shared" si="8"/>
        <v>2017</v>
      </c>
      <c r="D574" s="1" t="s">
        <v>871</v>
      </c>
      <c r="E574" s="1" t="s">
        <v>23</v>
      </c>
      <c r="F574" s="1" t="s">
        <v>38</v>
      </c>
      <c r="G574" s="1" t="s">
        <v>39</v>
      </c>
      <c r="H574" s="1" t="s">
        <v>140</v>
      </c>
      <c r="I574" s="1">
        <v>290.89999999999998</v>
      </c>
      <c r="J574" s="1">
        <v>3</v>
      </c>
      <c r="K574" s="1">
        <v>-67.88</v>
      </c>
    </row>
    <row r="575" spans="1:11" ht="12.75" x14ac:dyDescent="0.2">
      <c r="A575" s="2">
        <v>41996</v>
      </c>
      <c r="B575" s="2" t="str">
        <f>TEXT(Table1[[#This Row],[Order Date]],"MMM")</f>
        <v>Dec</v>
      </c>
      <c r="C575" s="2" t="str">
        <f t="shared" si="8"/>
        <v>2014</v>
      </c>
      <c r="D575" s="1" t="s">
        <v>1195</v>
      </c>
      <c r="E575" s="1" t="s">
        <v>120</v>
      </c>
      <c r="F575" s="1" t="s">
        <v>38</v>
      </c>
      <c r="G575" s="1" t="s">
        <v>48</v>
      </c>
      <c r="H575" s="1" t="s">
        <v>1032</v>
      </c>
      <c r="I575" s="1">
        <v>6.79</v>
      </c>
      <c r="J575" s="1">
        <v>1</v>
      </c>
      <c r="K575" s="1">
        <v>2.31</v>
      </c>
    </row>
    <row r="576" spans="1:11" ht="12.75" x14ac:dyDescent="0.2">
      <c r="A576" s="2">
        <v>42361</v>
      </c>
      <c r="B576" s="2" t="str">
        <f>TEXT(Table1[[#This Row],[Order Date]],"MMM")</f>
        <v>Dec</v>
      </c>
      <c r="C576" s="2" t="str">
        <f t="shared" si="8"/>
        <v>2015</v>
      </c>
      <c r="D576" s="1" t="s">
        <v>897</v>
      </c>
      <c r="E576" s="1" t="s">
        <v>120</v>
      </c>
      <c r="F576" s="1" t="s">
        <v>11</v>
      </c>
      <c r="G576" s="1" t="s">
        <v>24</v>
      </c>
      <c r="H576" s="1" t="s">
        <v>887</v>
      </c>
      <c r="I576" s="1">
        <v>75.48</v>
      </c>
      <c r="J576" s="1">
        <v>2</v>
      </c>
      <c r="K576" s="1">
        <v>19.62</v>
      </c>
    </row>
    <row r="577" spans="1:11" ht="12.75" x14ac:dyDescent="0.2">
      <c r="A577" s="2">
        <v>42727</v>
      </c>
      <c r="B577" s="2" t="str">
        <f>TEXT(Table1[[#This Row],[Order Date]],"MMM")</f>
        <v>Dec</v>
      </c>
      <c r="C577" s="2" t="str">
        <f t="shared" si="8"/>
        <v>2016</v>
      </c>
      <c r="D577" s="1" t="s">
        <v>295</v>
      </c>
      <c r="E577" s="1" t="s">
        <v>23</v>
      </c>
      <c r="F577" s="1" t="s">
        <v>11</v>
      </c>
      <c r="G577" s="1" t="s">
        <v>20</v>
      </c>
      <c r="H577" s="1" t="s">
        <v>1140</v>
      </c>
      <c r="I577" s="1">
        <v>1141.47</v>
      </c>
      <c r="J577" s="1">
        <v>5</v>
      </c>
      <c r="K577" s="1">
        <v>-760.98</v>
      </c>
    </row>
    <row r="578" spans="1:11" ht="12.75" x14ac:dyDescent="0.2">
      <c r="A578" s="2">
        <v>43092</v>
      </c>
      <c r="B578" s="2" t="str">
        <f>TEXT(Table1[[#This Row],[Order Date]],"MMM")</f>
        <v>Dec</v>
      </c>
      <c r="C578" s="2" t="str">
        <f t="shared" ref="C578:C641" si="9">TEXT(A578,"YYY")</f>
        <v>2017</v>
      </c>
      <c r="D578" s="1" t="s">
        <v>1106</v>
      </c>
      <c r="E578" s="1" t="s">
        <v>10</v>
      </c>
      <c r="F578" s="1" t="s">
        <v>11</v>
      </c>
      <c r="G578" s="1" t="s">
        <v>18</v>
      </c>
      <c r="H578" s="1" t="s">
        <v>1283</v>
      </c>
      <c r="I578" s="1">
        <v>35.950000000000003</v>
      </c>
      <c r="J578" s="1">
        <v>3</v>
      </c>
      <c r="K578" s="1">
        <v>3.6</v>
      </c>
    </row>
    <row r="579" spans="1:11" ht="12.75" x14ac:dyDescent="0.2">
      <c r="A579" s="2">
        <v>42393</v>
      </c>
      <c r="B579" s="2" t="str">
        <f>TEXT(Table1[[#This Row],[Order Date]],"MMM")</f>
        <v>Jan</v>
      </c>
      <c r="C579" s="2" t="str">
        <f t="shared" si="9"/>
        <v>2016</v>
      </c>
      <c r="D579" s="1" t="s">
        <v>1167</v>
      </c>
      <c r="E579" s="1" t="s">
        <v>120</v>
      </c>
      <c r="F579" s="1" t="s">
        <v>11</v>
      </c>
      <c r="G579" s="1" t="s">
        <v>18</v>
      </c>
      <c r="H579" s="1" t="s">
        <v>1307</v>
      </c>
      <c r="I579" s="1">
        <v>59.48</v>
      </c>
      <c r="J579" s="1">
        <v>2</v>
      </c>
      <c r="K579" s="1">
        <v>8.92</v>
      </c>
    </row>
    <row r="580" spans="1:11" ht="12.75" x14ac:dyDescent="0.2">
      <c r="A580" s="2">
        <v>42759</v>
      </c>
      <c r="B580" s="2" t="str">
        <f>TEXT(Table1[[#This Row],[Order Date]],"MMM")</f>
        <v>Jan</v>
      </c>
      <c r="C580" s="2" t="str">
        <f t="shared" si="9"/>
        <v>2017</v>
      </c>
      <c r="D580" s="1" t="s">
        <v>1219</v>
      </c>
      <c r="E580" s="1" t="s">
        <v>27</v>
      </c>
      <c r="F580" s="1" t="s">
        <v>11</v>
      </c>
      <c r="G580" s="1" t="s">
        <v>12</v>
      </c>
      <c r="H580" s="1" t="s">
        <v>608</v>
      </c>
      <c r="I580" s="1">
        <v>7.61</v>
      </c>
      <c r="J580" s="1">
        <v>1</v>
      </c>
      <c r="K580" s="1">
        <v>3.58</v>
      </c>
    </row>
    <row r="581" spans="1:11" ht="12.75" x14ac:dyDescent="0.2">
      <c r="A581" s="2">
        <v>41722</v>
      </c>
      <c r="B581" s="2" t="str">
        <f>TEXT(Table1[[#This Row],[Order Date]],"MMM")</f>
        <v>Mar</v>
      </c>
      <c r="C581" s="2" t="str">
        <f t="shared" si="9"/>
        <v>2014</v>
      </c>
      <c r="D581" s="1" t="s">
        <v>1074</v>
      </c>
      <c r="E581" s="1" t="s">
        <v>200</v>
      </c>
      <c r="F581" s="1" t="s">
        <v>33</v>
      </c>
      <c r="G581" s="1" t="s">
        <v>44</v>
      </c>
      <c r="H581" s="1" t="s">
        <v>316</v>
      </c>
      <c r="I581" s="1">
        <v>15.14</v>
      </c>
      <c r="J581" s="1">
        <v>4</v>
      </c>
      <c r="K581" s="1">
        <v>3.59</v>
      </c>
    </row>
    <row r="582" spans="1:11" ht="12.75" x14ac:dyDescent="0.2">
      <c r="A582" s="2">
        <v>42087</v>
      </c>
      <c r="B582" s="2" t="str">
        <f>TEXT(Table1[[#This Row],[Order Date]],"MMM")</f>
        <v>Mar</v>
      </c>
      <c r="C582" s="2" t="str">
        <f t="shared" si="9"/>
        <v>2015</v>
      </c>
      <c r="D582" s="1" t="s">
        <v>1071</v>
      </c>
      <c r="E582" s="1" t="s">
        <v>23</v>
      </c>
      <c r="F582" s="1" t="s">
        <v>11</v>
      </c>
      <c r="G582" s="1" t="s">
        <v>12</v>
      </c>
      <c r="H582" s="1" t="s">
        <v>1309</v>
      </c>
      <c r="I582" s="1">
        <v>5.34</v>
      </c>
      <c r="J582" s="1">
        <v>1</v>
      </c>
      <c r="K582" s="1">
        <v>1.87</v>
      </c>
    </row>
    <row r="583" spans="1:11" ht="12.75" x14ac:dyDescent="0.2">
      <c r="A583" s="2">
        <v>42453</v>
      </c>
      <c r="B583" s="2" t="str">
        <f>TEXT(Table1[[#This Row],[Order Date]],"MMM")</f>
        <v>Mar</v>
      </c>
      <c r="C583" s="2" t="str">
        <f t="shared" si="9"/>
        <v>2016</v>
      </c>
      <c r="D583" s="1" t="s">
        <v>1207</v>
      </c>
      <c r="E583" s="1" t="s">
        <v>120</v>
      </c>
      <c r="F583" s="1" t="s">
        <v>11</v>
      </c>
      <c r="G583" s="1" t="s">
        <v>20</v>
      </c>
      <c r="H583" s="1" t="s">
        <v>788</v>
      </c>
      <c r="I583" s="1">
        <v>4.62</v>
      </c>
      <c r="J583" s="1">
        <v>1</v>
      </c>
      <c r="K583" s="1">
        <v>1.73</v>
      </c>
    </row>
    <row r="584" spans="1:11" ht="12.75" x14ac:dyDescent="0.2">
      <c r="A584" s="2">
        <v>42818</v>
      </c>
      <c r="B584" s="2" t="str">
        <f>TEXT(Table1[[#This Row],[Order Date]],"MMM")</f>
        <v>Mar</v>
      </c>
      <c r="C584" s="2" t="str">
        <f t="shared" si="9"/>
        <v>2017</v>
      </c>
      <c r="D584" s="1" t="s">
        <v>849</v>
      </c>
      <c r="E584" s="1" t="s">
        <v>15</v>
      </c>
      <c r="F584" s="1" t="s">
        <v>33</v>
      </c>
      <c r="G584" s="1" t="s">
        <v>34</v>
      </c>
      <c r="H584" s="1" t="s">
        <v>613</v>
      </c>
      <c r="I584" s="1">
        <v>701.37</v>
      </c>
      <c r="J584" s="1">
        <v>2</v>
      </c>
      <c r="K584" s="1">
        <v>-50.1</v>
      </c>
    </row>
    <row r="585" spans="1:11" ht="12.75" x14ac:dyDescent="0.2">
      <c r="A585" s="2">
        <v>42118</v>
      </c>
      <c r="B585" s="2" t="str">
        <f>TEXT(Table1[[#This Row],[Order Date]],"MMM")</f>
        <v>Apr</v>
      </c>
      <c r="C585" s="2" t="str">
        <f t="shared" si="9"/>
        <v>2015</v>
      </c>
      <c r="D585" s="1" t="s">
        <v>303</v>
      </c>
      <c r="E585" s="1" t="s">
        <v>27</v>
      </c>
      <c r="F585" s="1" t="s">
        <v>11</v>
      </c>
      <c r="G585" s="1" t="s">
        <v>12</v>
      </c>
      <c r="H585" s="1" t="s">
        <v>461</v>
      </c>
      <c r="I585" s="1">
        <v>65.790000000000006</v>
      </c>
      <c r="J585" s="1">
        <v>9</v>
      </c>
      <c r="K585" s="1">
        <v>30.26</v>
      </c>
    </row>
    <row r="586" spans="1:11" ht="12.75" x14ac:dyDescent="0.2">
      <c r="A586" s="2">
        <v>42484</v>
      </c>
      <c r="B586" s="2" t="str">
        <f>TEXT(Table1[[#This Row],[Order Date]],"MMM")</f>
        <v>Apr</v>
      </c>
      <c r="C586" s="2" t="str">
        <f t="shared" si="9"/>
        <v>2016</v>
      </c>
      <c r="D586" s="1" t="s">
        <v>510</v>
      </c>
      <c r="E586" s="1" t="s">
        <v>68</v>
      </c>
      <c r="F586" s="1" t="s">
        <v>33</v>
      </c>
      <c r="G586" s="1" t="s">
        <v>44</v>
      </c>
      <c r="H586" s="1" t="s">
        <v>152</v>
      </c>
      <c r="I586" s="1">
        <v>532.70000000000005</v>
      </c>
      <c r="J586" s="1">
        <v>6</v>
      </c>
      <c r="K586" s="1">
        <v>-26.64</v>
      </c>
    </row>
    <row r="587" spans="1:11" ht="12.75" x14ac:dyDescent="0.2">
      <c r="A587" s="2">
        <v>42849</v>
      </c>
      <c r="B587" s="2" t="str">
        <f>TEXT(Table1[[#This Row],[Order Date]],"MMM")</f>
        <v>Apr</v>
      </c>
      <c r="C587" s="2" t="str">
        <f t="shared" si="9"/>
        <v>2017</v>
      </c>
      <c r="D587" s="1" t="s">
        <v>895</v>
      </c>
      <c r="E587" s="1" t="s">
        <v>68</v>
      </c>
      <c r="F587" s="1" t="s">
        <v>33</v>
      </c>
      <c r="G587" s="1" t="s">
        <v>34</v>
      </c>
      <c r="H587" s="1" t="s">
        <v>1143</v>
      </c>
      <c r="I587" s="1">
        <v>155.37</v>
      </c>
      <c r="J587" s="1">
        <v>2</v>
      </c>
      <c r="K587" s="1">
        <v>-13.32</v>
      </c>
    </row>
    <row r="588" spans="1:11" ht="12.75" x14ac:dyDescent="0.2">
      <c r="A588" s="2">
        <v>41783</v>
      </c>
      <c r="B588" s="2" t="str">
        <f>TEXT(Table1[[#This Row],[Order Date]],"MMM")</f>
        <v>May</v>
      </c>
      <c r="C588" s="2" t="str">
        <f t="shared" si="9"/>
        <v>2014</v>
      </c>
      <c r="D588" s="1" t="s">
        <v>146</v>
      </c>
      <c r="E588" s="1" t="s">
        <v>15</v>
      </c>
      <c r="F588" s="1" t="s">
        <v>33</v>
      </c>
      <c r="G588" s="1" t="s">
        <v>34</v>
      </c>
      <c r="H588" s="1" t="s">
        <v>90</v>
      </c>
      <c r="I588" s="1">
        <v>747.56</v>
      </c>
      <c r="J588" s="1">
        <v>3</v>
      </c>
      <c r="K588" s="1">
        <v>-96.11</v>
      </c>
    </row>
    <row r="589" spans="1:11" ht="12.75" x14ac:dyDescent="0.2">
      <c r="A589" s="2">
        <v>41814</v>
      </c>
      <c r="B589" s="2" t="str">
        <f>TEXT(Table1[[#This Row],[Order Date]],"MMM")</f>
        <v>Jun</v>
      </c>
      <c r="C589" s="2" t="str">
        <f t="shared" si="9"/>
        <v>2014</v>
      </c>
      <c r="D589" s="1" t="s">
        <v>614</v>
      </c>
      <c r="E589" s="1" t="s">
        <v>10</v>
      </c>
      <c r="F589" s="1" t="s">
        <v>33</v>
      </c>
      <c r="G589" s="1" t="s">
        <v>65</v>
      </c>
      <c r="H589" s="1" t="s">
        <v>1174</v>
      </c>
      <c r="I589" s="1">
        <v>956.66</v>
      </c>
      <c r="J589" s="1">
        <v>7</v>
      </c>
      <c r="K589" s="1">
        <v>-225.1</v>
      </c>
    </row>
    <row r="590" spans="1:11" ht="12.75" x14ac:dyDescent="0.2">
      <c r="A590" s="2">
        <v>42545</v>
      </c>
      <c r="B590" s="2" t="str">
        <f>TEXT(Table1[[#This Row],[Order Date]],"MMM")</f>
        <v>Jun</v>
      </c>
      <c r="C590" s="2" t="str">
        <f t="shared" si="9"/>
        <v>2016</v>
      </c>
      <c r="D590" s="1" t="s">
        <v>1097</v>
      </c>
      <c r="E590" s="1" t="s">
        <v>23</v>
      </c>
      <c r="F590" s="1" t="s">
        <v>11</v>
      </c>
      <c r="G590" s="1" t="s">
        <v>16</v>
      </c>
      <c r="H590" s="1" t="s">
        <v>150</v>
      </c>
      <c r="I590" s="1">
        <v>15.94</v>
      </c>
      <c r="J590" s="1">
        <v>4</v>
      </c>
      <c r="K590" s="1">
        <v>5.18</v>
      </c>
    </row>
    <row r="591" spans="1:11" ht="12.75" x14ac:dyDescent="0.2">
      <c r="A591" s="2">
        <v>41875</v>
      </c>
      <c r="B591" s="2" t="str">
        <f>TEXT(Table1[[#This Row],[Order Date]],"MMM")</f>
        <v>Aug</v>
      </c>
      <c r="C591" s="2" t="str">
        <f t="shared" si="9"/>
        <v>2014</v>
      </c>
      <c r="D591" s="1" t="s">
        <v>1170</v>
      </c>
      <c r="E591" s="1" t="s">
        <v>120</v>
      </c>
      <c r="F591" s="1" t="s">
        <v>11</v>
      </c>
      <c r="G591" s="1" t="s">
        <v>80</v>
      </c>
      <c r="H591" s="1" t="s">
        <v>747</v>
      </c>
      <c r="I591" s="1">
        <v>61.44</v>
      </c>
      <c r="J591" s="1">
        <v>3</v>
      </c>
      <c r="K591" s="1">
        <v>16.59</v>
      </c>
    </row>
    <row r="592" spans="1:11" ht="12.75" x14ac:dyDescent="0.2">
      <c r="A592" s="2">
        <v>42971</v>
      </c>
      <c r="B592" s="2" t="str">
        <f>TEXT(Table1[[#This Row],[Order Date]],"MMM")</f>
        <v>Aug</v>
      </c>
      <c r="C592" s="2" t="str">
        <f t="shared" si="9"/>
        <v>2017</v>
      </c>
      <c r="D592" s="1" t="s">
        <v>982</v>
      </c>
      <c r="E592" s="1" t="s">
        <v>27</v>
      </c>
      <c r="F592" s="1" t="s">
        <v>11</v>
      </c>
      <c r="G592" s="1" t="s">
        <v>20</v>
      </c>
      <c r="H592" s="1" t="s">
        <v>864</v>
      </c>
      <c r="I592" s="1">
        <v>27.26</v>
      </c>
      <c r="J592" s="1">
        <v>2</v>
      </c>
      <c r="K592" s="1">
        <v>8.86</v>
      </c>
    </row>
    <row r="593" spans="1:11" ht="12.75" x14ac:dyDescent="0.2">
      <c r="A593" s="2">
        <v>41906</v>
      </c>
      <c r="B593" s="2" t="str">
        <f>TEXT(Table1[[#This Row],[Order Date]],"MMM")</f>
        <v>Sep</v>
      </c>
      <c r="C593" s="2" t="str">
        <f t="shared" si="9"/>
        <v>2014</v>
      </c>
      <c r="D593" s="1" t="s">
        <v>1067</v>
      </c>
      <c r="E593" s="1" t="s">
        <v>10</v>
      </c>
      <c r="F593" s="1" t="s">
        <v>33</v>
      </c>
      <c r="G593" s="1" t="s">
        <v>44</v>
      </c>
      <c r="H593" s="1" t="s">
        <v>1221</v>
      </c>
      <c r="I593" s="1">
        <v>51.71</v>
      </c>
      <c r="J593" s="1">
        <v>8</v>
      </c>
      <c r="K593" s="1">
        <v>-32.32</v>
      </c>
    </row>
    <row r="594" spans="1:11" ht="12.75" x14ac:dyDescent="0.2">
      <c r="A594" s="2">
        <v>42271</v>
      </c>
      <c r="B594" s="2" t="str">
        <f>TEXT(Table1[[#This Row],[Order Date]],"MMM")</f>
        <v>Sep</v>
      </c>
      <c r="C594" s="2" t="str">
        <f t="shared" si="9"/>
        <v>2015</v>
      </c>
      <c r="D594" s="1" t="s">
        <v>224</v>
      </c>
      <c r="E594" s="1" t="s">
        <v>134</v>
      </c>
      <c r="F594" s="1" t="s">
        <v>38</v>
      </c>
      <c r="G594" s="1" t="s">
        <v>48</v>
      </c>
      <c r="H594" s="1" t="s">
        <v>758</v>
      </c>
      <c r="I594" s="1">
        <v>177</v>
      </c>
      <c r="J594" s="1">
        <v>3</v>
      </c>
      <c r="K594" s="1">
        <v>30.09</v>
      </c>
    </row>
    <row r="595" spans="1:11" ht="12.75" x14ac:dyDescent="0.2">
      <c r="A595" s="2">
        <v>42637</v>
      </c>
      <c r="B595" s="2" t="str">
        <f>TEXT(Table1[[#This Row],[Order Date]],"MMM")</f>
        <v>Sep</v>
      </c>
      <c r="C595" s="2" t="str">
        <f t="shared" si="9"/>
        <v>2016</v>
      </c>
      <c r="D595" s="1" t="s">
        <v>1232</v>
      </c>
      <c r="E595" s="1" t="s">
        <v>211</v>
      </c>
      <c r="F595" s="1" t="s">
        <v>11</v>
      </c>
      <c r="G595" s="1" t="s">
        <v>12</v>
      </c>
      <c r="H595" s="1" t="s">
        <v>1312</v>
      </c>
      <c r="I595" s="1">
        <v>45.68</v>
      </c>
      <c r="J595" s="1">
        <v>2</v>
      </c>
      <c r="K595" s="1">
        <v>21.01</v>
      </c>
    </row>
    <row r="596" spans="1:11" ht="12.75" x14ac:dyDescent="0.2">
      <c r="A596" s="2">
        <v>43032</v>
      </c>
      <c r="B596" s="2" t="str">
        <f>TEXT(Table1[[#This Row],[Order Date]],"MMM")</f>
        <v>Oct</v>
      </c>
      <c r="C596" s="2" t="str">
        <f t="shared" si="9"/>
        <v>2017</v>
      </c>
      <c r="D596" s="1" t="s">
        <v>1120</v>
      </c>
      <c r="E596" s="1" t="s">
        <v>27</v>
      </c>
      <c r="F596" s="1" t="s">
        <v>11</v>
      </c>
      <c r="G596" s="1" t="s">
        <v>20</v>
      </c>
      <c r="H596" s="1" t="s">
        <v>391</v>
      </c>
      <c r="I596" s="1">
        <v>18.16</v>
      </c>
      <c r="J596" s="1">
        <v>5</v>
      </c>
      <c r="K596" s="1">
        <v>6.58</v>
      </c>
    </row>
    <row r="597" spans="1:11" ht="12.75" x14ac:dyDescent="0.2">
      <c r="A597" s="2">
        <v>41967</v>
      </c>
      <c r="B597" s="2" t="str">
        <f>TEXT(Table1[[#This Row],[Order Date]],"MMM")</f>
        <v>Nov</v>
      </c>
      <c r="C597" s="2" t="str">
        <f t="shared" si="9"/>
        <v>2014</v>
      </c>
      <c r="D597" s="1" t="s">
        <v>1125</v>
      </c>
      <c r="E597" s="1" t="s">
        <v>23</v>
      </c>
      <c r="F597" s="1" t="s">
        <v>33</v>
      </c>
      <c r="G597" s="1" t="s">
        <v>34</v>
      </c>
      <c r="H597" s="1" t="s">
        <v>463</v>
      </c>
      <c r="I597" s="1">
        <v>492.84</v>
      </c>
      <c r="J597" s="1">
        <v>5</v>
      </c>
      <c r="K597" s="1">
        <v>-14.08</v>
      </c>
    </row>
    <row r="598" spans="1:11" ht="12.75" x14ac:dyDescent="0.2">
      <c r="A598" s="2">
        <v>42332</v>
      </c>
      <c r="B598" s="2" t="str">
        <f>TEXT(Table1[[#This Row],[Order Date]],"MMM")</f>
        <v>Nov</v>
      </c>
      <c r="C598" s="2" t="str">
        <f t="shared" si="9"/>
        <v>2015</v>
      </c>
      <c r="D598" s="1" t="s">
        <v>599</v>
      </c>
      <c r="E598" s="1" t="s">
        <v>51</v>
      </c>
      <c r="F598" s="1" t="s">
        <v>38</v>
      </c>
      <c r="G598" s="1" t="s">
        <v>39</v>
      </c>
      <c r="H598" s="1" t="s">
        <v>416</v>
      </c>
      <c r="I598" s="1">
        <v>21.8</v>
      </c>
      <c r="J598" s="1">
        <v>2</v>
      </c>
      <c r="K598" s="1">
        <v>6.1</v>
      </c>
    </row>
    <row r="599" spans="1:11" ht="12.75" x14ac:dyDescent="0.2">
      <c r="A599" s="2">
        <v>41997</v>
      </c>
      <c r="B599" s="2" t="str">
        <f>TEXT(Table1[[#This Row],[Order Date]],"MMM")</f>
        <v>Dec</v>
      </c>
      <c r="C599" s="2" t="str">
        <f t="shared" si="9"/>
        <v>2014</v>
      </c>
      <c r="D599" s="1" t="s">
        <v>190</v>
      </c>
      <c r="E599" s="1" t="s">
        <v>262</v>
      </c>
      <c r="F599" s="1" t="s">
        <v>11</v>
      </c>
      <c r="G599" s="1" t="s">
        <v>24</v>
      </c>
      <c r="H599" s="1" t="s">
        <v>738</v>
      </c>
      <c r="I599" s="1">
        <v>75.959999999999994</v>
      </c>
      <c r="J599" s="1">
        <v>2</v>
      </c>
      <c r="K599" s="1">
        <v>22.79</v>
      </c>
    </row>
    <row r="600" spans="1:11" ht="12.75" x14ac:dyDescent="0.2">
      <c r="A600" s="2">
        <v>42362</v>
      </c>
      <c r="B600" s="2" t="str">
        <f>TEXT(Table1[[#This Row],[Order Date]],"MMM")</f>
        <v>Dec</v>
      </c>
      <c r="C600" s="2" t="str">
        <f t="shared" si="9"/>
        <v>2015</v>
      </c>
      <c r="D600" s="1" t="s">
        <v>794</v>
      </c>
      <c r="E600" s="1" t="s">
        <v>27</v>
      </c>
      <c r="F600" s="1" t="s">
        <v>11</v>
      </c>
      <c r="G600" s="1" t="s">
        <v>20</v>
      </c>
      <c r="H600" s="1" t="s">
        <v>1228</v>
      </c>
      <c r="I600" s="1">
        <v>29.12</v>
      </c>
      <c r="J600" s="1">
        <v>5</v>
      </c>
      <c r="K600" s="1">
        <v>9.83</v>
      </c>
    </row>
    <row r="601" spans="1:11" ht="12.75" x14ac:dyDescent="0.2">
      <c r="A601" s="2">
        <v>42728</v>
      </c>
      <c r="B601" s="2" t="str">
        <f>TEXT(Table1[[#This Row],[Order Date]],"MMM")</f>
        <v>Dec</v>
      </c>
      <c r="C601" s="2" t="str">
        <f t="shared" si="9"/>
        <v>2016</v>
      </c>
      <c r="D601" s="1" t="s">
        <v>1132</v>
      </c>
      <c r="E601" s="1" t="s">
        <v>134</v>
      </c>
      <c r="F601" s="1" t="s">
        <v>11</v>
      </c>
      <c r="G601" s="1" t="s">
        <v>20</v>
      </c>
      <c r="H601" s="1" t="s">
        <v>1137</v>
      </c>
      <c r="I601" s="1">
        <v>27.68</v>
      </c>
      <c r="J601" s="1">
        <v>2</v>
      </c>
      <c r="K601" s="1">
        <v>9.69</v>
      </c>
    </row>
    <row r="602" spans="1:11" ht="12.75" x14ac:dyDescent="0.2">
      <c r="A602" s="2">
        <v>43093</v>
      </c>
      <c r="B602" s="2" t="str">
        <f>TEXT(Table1[[#This Row],[Order Date]],"MMM")</f>
        <v>Dec</v>
      </c>
      <c r="C602" s="2" t="str">
        <f t="shared" si="9"/>
        <v>2017</v>
      </c>
      <c r="D602" s="1" t="s">
        <v>1210</v>
      </c>
      <c r="E602" s="1" t="s">
        <v>32</v>
      </c>
      <c r="F602" s="1" t="s">
        <v>33</v>
      </c>
      <c r="G602" s="1" t="s">
        <v>65</v>
      </c>
      <c r="H602" s="1" t="s">
        <v>1278</v>
      </c>
      <c r="I602" s="1">
        <v>261.95999999999998</v>
      </c>
      <c r="J602" s="1">
        <v>2</v>
      </c>
      <c r="K602" s="1">
        <v>41.91</v>
      </c>
    </row>
    <row r="603" spans="1:11" ht="12.75" x14ac:dyDescent="0.2">
      <c r="A603" s="2">
        <v>42394</v>
      </c>
      <c r="B603" s="2" t="str">
        <f>TEXT(Table1[[#This Row],[Order Date]],"MMM")</f>
        <v>Jan</v>
      </c>
      <c r="C603" s="2" t="str">
        <f t="shared" si="9"/>
        <v>2016</v>
      </c>
      <c r="D603" s="1" t="s">
        <v>1030</v>
      </c>
      <c r="E603" s="1" t="s">
        <v>27</v>
      </c>
      <c r="F603" s="1" t="s">
        <v>11</v>
      </c>
      <c r="G603" s="1" t="s">
        <v>18</v>
      </c>
      <c r="H603" s="1" t="s">
        <v>977</v>
      </c>
      <c r="I603" s="1">
        <v>155.82</v>
      </c>
      <c r="J603" s="1">
        <v>7</v>
      </c>
      <c r="K603" s="1">
        <v>42.07</v>
      </c>
    </row>
    <row r="604" spans="1:11" ht="12.75" x14ac:dyDescent="0.2">
      <c r="A604" s="2">
        <v>42791</v>
      </c>
      <c r="B604" s="2" t="str">
        <f>TEXT(Table1[[#This Row],[Order Date]],"MMM")</f>
        <v>Feb</v>
      </c>
      <c r="C604" s="2" t="str">
        <f t="shared" si="9"/>
        <v>2017</v>
      </c>
      <c r="D604" s="1" t="s">
        <v>1269</v>
      </c>
      <c r="E604" s="1" t="s">
        <v>120</v>
      </c>
      <c r="F604" s="1" t="s">
        <v>38</v>
      </c>
      <c r="G604" s="1" t="s">
        <v>48</v>
      </c>
      <c r="H604" s="1" t="s">
        <v>958</v>
      </c>
      <c r="I604" s="1">
        <v>59.97</v>
      </c>
      <c r="J604" s="1">
        <v>3</v>
      </c>
      <c r="K604" s="1">
        <v>14.99</v>
      </c>
    </row>
    <row r="605" spans="1:11" ht="12.75" x14ac:dyDescent="0.2">
      <c r="A605" s="2">
        <v>41723</v>
      </c>
      <c r="B605" s="2" t="str">
        <f>TEXT(Table1[[#This Row],[Order Date]],"MMM")</f>
        <v>Mar</v>
      </c>
      <c r="C605" s="2" t="str">
        <f t="shared" si="9"/>
        <v>2014</v>
      </c>
      <c r="D605" s="1" t="s">
        <v>254</v>
      </c>
      <c r="E605" s="1" t="s">
        <v>83</v>
      </c>
      <c r="F605" s="1" t="s">
        <v>11</v>
      </c>
      <c r="G605" s="1" t="s">
        <v>20</v>
      </c>
      <c r="H605" s="1" t="s">
        <v>848</v>
      </c>
      <c r="I605" s="1">
        <v>6.27</v>
      </c>
      <c r="J605" s="1">
        <v>5</v>
      </c>
      <c r="K605" s="1">
        <v>-4.5999999999999996</v>
      </c>
    </row>
    <row r="606" spans="1:11" ht="12.75" x14ac:dyDescent="0.2">
      <c r="A606" s="2">
        <v>42454</v>
      </c>
      <c r="B606" s="2" t="str">
        <f>TEXT(Table1[[#This Row],[Order Date]],"MMM")</f>
        <v>Mar</v>
      </c>
      <c r="C606" s="2" t="str">
        <f t="shared" si="9"/>
        <v>2016</v>
      </c>
      <c r="D606" s="1" t="s">
        <v>708</v>
      </c>
      <c r="E606" s="1" t="s">
        <v>134</v>
      </c>
      <c r="F606" s="1" t="s">
        <v>11</v>
      </c>
      <c r="G606" s="1" t="s">
        <v>24</v>
      </c>
      <c r="H606" s="1" t="s">
        <v>785</v>
      </c>
      <c r="I606" s="1">
        <v>44.02</v>
      </c>
      <c r="J606" s="1">
        <v>2</v>
      </c>
      <c r="K606" s="1">
        <v>11.45</v>
      </c>
    </row>
    <row r="607" spans="1:11" ht="12.75" x14ac:dyDescent="0.2">
      <c r="A607" s="2">
        <v>41754</v>
      </c>
      <c r="B607" s="2" t="str">
        <f>TEXT(Table1[[#This Row],[Order Date]],"MMM")</f>
        <v>Apr</v>
      </c>
      <c r="C607" s="2" t="str">
        <f t="shared" si="9"/>
        <v>2014</v>
      </c>
      <c r="D607" s="1" t="s">
        <v>359</v>
      </c>
      <c r="E607" s="1" t="s">
        <v>30</v>
      </c>
      <c r="F607" s="1" t="s">
        <v>38</v>
      </c>
      <c r="G607" s="1" t="s">
        <v>48</v>
      </c>
      <c r="H607" s="1" t="s">
        <v>1230</v>
      </c>
      <c r="I607" s="1">
        <v>499.98</v>
      </c>
      <c r="J607" s="1">
        <v>2</v>
      </c>
      <c r="K607" s="1">
        <v>115</v>
      </c>
    </row>
    <row r="608" spans="1:11" ht="12.75" x14ac:dyDescent="0.2">
      <c r="A608" s="2">
        <v>42119</v>
      </c>
      <c r="B608" s="2" t="str">
        <f>TEXT(Table1[[#This Row],[Order Date]],"MMM")</f>
        <v>Apr</v>
      </c>
      <c r="C608" s="2" t="str">
        <f t="shared" si="9"/>
        <v>2015</v>
      </c>
      <c r="D608" s="1" t="s">
        <v>1139</v>
      </c>
      <c r="E608" s="1" t="s">
        <v>27</v>
      </c>
      <c r="F608" s="1" t="s">
        <v>38</v>
      </c>
      <c r="G608" s="1" t="s">
        <v>48</v>
      </c>
      <c r="H608" s="1" t="s">
        <v>906</v>
      </c>
      <c r="I608" s="1">
        <v>99.39</v>
      </c>
      <c r="J608" s="1">
        <v>3</v>
      </c>
      <c r="K608" s="1">
        <v>40.75</v>
      </c>
    </row>
    <row r="609" spans="1:11" ht="12.75" x14ac:dyDescent="0.2">
      <c r="A609" s="2">
        <v>42485</v>
      </c>
      <c r="B609" s="2" t="str">
        <f>TEXT(Table1[[#This Row],[Order Date]],"MMM")</f>
        <v>Apr</v>
      </c>
      <c r="C609" s="2" t="str">
        <f t="shared" si="9"/>
        <v>2016</v>
      </c>
      <c r="D609" s="1" t="s">
        <v>586</v>
      </c>
      <c r="E609" s="1" t="s">
        <v>518</v>
      </c>
      <c r="F609" s="1" t="s">
        <v>11</v>
      </c>
      <c r="G609" s="1" t="s">
        <v>18</v>
      </c>
      <c r="H609" s="1" t="s">
        <v>497</v>
      </c>
      <c r="I609" s="1">
        <v>1117.92</v>
      </c>
      <c r="J609" s="1">
        <v>4</v>
      </c>
      <c r="K609" s="1">
        <v>55.9</v>
      </c>
    </row>
    <row r="610" spans="1:11" ht="12.75" x14ac:dyDescent="0.2">
      <c r="A610" s="2">
        <v>41784</v>
      </c>
      <c r="B610" s="2" t="str">
        <f>TEXT(Table1[[#This Row],[Order Date]],"MMM")</f>
        <v>May</v>
      </c>
      <c r="C610" s="2" t="str">
        <f t="shared" si="9"/>
        <v>2014</v>
      </c>
      <c r="D610" s="1" t="s">
        <v>1117</v>
      </c>
      <c r="E610" s="1" t="s">
        <v>79</v>
      </c>
      <c r="F610" s="1" t="s">
        <v>33</v>
      </c>
      <c r="G610" s="1" t="s">
        <v>34</v>
      </c>
      <c r="H610" s="1" t="s">
        <v>683</v>
      </c>
      <c r="I610" s="1">
        <v>195.14</v>
      </c>
      <c r="J610" s="1">
        <v>4</v>
      </c>
      <c r="K610" s="1">
        <v>-12.2</v>
      </c>
    </row>
    <row r="611" spans="1:11" ht="12.75" x14ac:dyDescent="0.2">
      <c r="A611" s="2">
        <v>42149</v>
      </c>
      <c r="B611" s="2" t="str">
        <f>TEXT(Table1[[#This Row],[Order Date]],"MMM")</f>
        <v>May</v>
      </c>
      <c r="C611" s="2" t="str">
        <f t="shared" si="9"/>
        <v>2015</v>
      </c>
      <c r="D611" s="1" t="s">
        <v>1258</v>
      </c>
      <c r="E611" s="1" t="s">
        <v>120</v>
      </c>
      <c r="F611" s="1" t="s">
        <v>33</v>
      </c>
      <c r="G611" s="1" t="s">
        <v>44</v>
      </c>
      <c r="H611" s="1" t="s">
        <v>891</v>
      </c>
      <c r="I611" s="1">
        <v>39.880000000000003</v>
      </c>
      <c r="J611" s="1">
        <v>2</v>
      </c>
      <c r="K611" s="1">
        <v>11.17</v>
      </c>
    </row>
    <row r="612" spans="1:11" ht="12.75" x14ac:dyDescent="0.2">
      <c r="A612" s="2">
        <v>42515</v>
      </c>
      <c r="B612" s="2" t="str">
        <f>TEXT(Table1[[#This Row],[Order Date]],"MMM")</f>
        <v>May</v>
      </c>
      <c r="C612" s="2" t="str">
        <f t="shared" si="9"/>
        <v>2016</v>
      </c>
      <c r="D612" s="1" t="s">
        <v>843</v>
      </c>
      <c r="E612" s="1" t="s">
        <v>23</v>
      </c>
      <c r="F612" s="1" t="s">
        <v>11</v>
      </c>
      <c r="G612" s="1" t="s">
        <v>42</v>
      </c>
      <c r="H612" s="1" t="s">
        <v>855</v>
      </c>
      <c r="I612" s="1">
        <v>15.8</v>
      </c>
      <c r="J612" s="1">
        <v>5</v>
      </c>
      <c r="K612" s="1">
        <v>2.37</v>
      </c>
    </row>
    <row r="613" spans="1:11" ht="12.75" x14ac:dyDescent="0.2">
      <c r="A613" s="2">
        <v>42880</v>
      </c>
      <c r="B613" s="2" t="str">
        <f>TEXT(Table1[[#This Row],[Order Date]],"MMM")</f>
        <v>May</v>
      </c>
      <c r="C613" s="2" t="str">
        <f t="shared" si="9"/>
        <v>2017</v>
      </c>
      <c r="D613" s="1" t="s">
        <v>1090</v>
      </c>
      <c r="E613" s="1" t="s">
        <v>101</v>
      </c>
      <c r="F613" s="1" t="s">
        <v>11</v>
      </c>
      <c r="G613" s="1" t="s">
        <v>12</v>
      </c>
      <c r="H613" s="1" t="s">
        <v>1289</v>
      </c>
      <c r="I613" s="1">
        <v>5.08</v>
      </c>
      <c r="J613" s="1">
        <v>1</v>
      </c>
      <c r="K613" s="1">
        <v>1.65</v>
      </c>
    </row>
    <row r="614" spans="1:11" ht="12.75" x14ac:dyDescent="0.2">
      <c r="A614" s="2">
        <v>41815</v>
      </c>
      <c r="B614" s="2" t="str">
        <f>TEXT(Table1[[#This Row],[Order Date]],"MMM")</f>
        <v>Jun</v>
      </c>
      <c r="C614" s="2" t="str">
        <f t="shared" si="9"/>
        <v>2014</v>
      </c>
      <c r="D614" s="1" t="s">
        <v>624</v>
      </c>
      <c r="E614" s="1" t="s">
        <v>10</v>
      </c>
      <c r="F614" s="1" t="s">
        <v>38</v>
      </c>
      <c r="G614" s="1" t="s">
        <v>48</v>
      </c>
      <c r="H614" s="1" t="s">
        <v>885</v>
      </c>
      <c r="I614" s="1">
        <v>58.42</v>
      </c>
      <c r="J614" s="1">
        <v>2</v>
      </c>
      <c r="K614" s="1">
        <v>16.79</v>
      </c>
    </row>
    <row r="615" spans="1:11" ht="12.75" x14ac:dyDescent="0.2">
      <c r="A615" s="2">
        <v>42180</v>
      </c>
      <c r="B615" s="2" t="str">
        <f>TEXT(Table1[[#This Row],[Order Date]],"MMM")</f>
        <v>Jun</v>
      </c>
      <c r="C615" s="2" t="str">
        <f t="shared" si="9"/>
        <v>2015</v>
      </c>
      <c r="D615" s="1" t="s">
        <v>1071</v>
      </c>
      <c r="E615" s="1" t="s">
        <v>187</v>
      </c>
      <c r="F615" s="1" t="s">
        <v>38</v>
      </c>
      <c r="G615" s="1" t="s">
        <v>39</v>
      </c>
      <c r="H615" s="1" t="s">
        <v>133</v>
      </c>
      <c r="I615" s="1">
        <v>36.19</v>
      </c>
      <c r="J615" s="1">
        <v>1</v>
      </c>
      <c r="K615" s="1">
        <v>2.71</v>
      </c>
    </row>
    <row r="616" spans="1:11" ht="12.75" x14ac:dyDescent="0.2">
      <c r="A616" s="2">
        <v>42546</v>
      </c>
      <c r="B616" s="2" t="str">
        <f>TEXT(Table1[[#This Row],[Order Date]],"MMM")</f>
        <v>Jun</v>
      </c>
      <c r="C616" s="2" t="str">
        <f t="shared" si="9"/>
        <v>2016</v>
      </c>
      <c r="D616" s="1" t="s">
        <v>658</v>
      </c>
      <c r="E616" s="1" t="s">
        <v>221</v>
      </c>
      <c r="F616" s="1" t="s">
        <v>11</v>
      </c>
      <c r="G616" s="1" t="s">
        <v>12</v>
      </c>
      <c r="H616" s="1" t="s">
        <v>1144</v>
      </c>
      <c r="I616" s="1">
        <v>23.92</v>
      </c>
      <c r="J616" s="1">
        <v>4</v>
      </c>
      <c r="K616" s="1">
        <v>11.72</v>
      </c>
    </row>
    <row r="617" spans="1:11" ht="12.75" x14ac:dyDescent="0.2">
      <c r="A617" s="2">
        <v>41845</v>
      </c>
      <c r="B617" s="2" t="str">
        <f>TEXT(Table1[[#This Row],[Order Date]],"MMM")</f>
        <v>Jul</v>
      </c>
      <c r="C617" s="2" t="str">
        <f t="shared" si="9"/>
        <v>2014</v>
      </c>
      <c r="D617" s="1" t="s">
        <v>729</v>
      </c>
      <c r="E617" s="1" t="s">
        <v>120</v>
      </c>
      <c r="F617" s="1" t="s">
        <v>33</v>
      </c>
      <c r="G617" s="1" t="s">
        <v>44</v>
      </c>
      <c r="H617" s="1" t="s">
        <v>665</v>
      </c>
      <c r="I617" s="1">
        <v>113.79</v>
      </c>
      <c r="J617" s="1">
        <v>3</v>
      </c>
      <c r="K617" s="1">
        <v>20.48</v>
      </c>
    </row>
    <row r="618" spans="1:11" ht="12.75" x14ac:dyDescent="0.2">
      <c r="A618" s="2">
        <v>42210</v>
      </c>
      <c r="B618" s="2" t="str">
        <f>TEXT(Table1[[#This Row],[Order Date]],"MMM")</f>
        <v>Jul</v>
      </c>
      <c r="C618" s="2" t="str">
        <f t="shared" si="9"/>
        <v>2015</v>
      </c>
      <c r="D618" s="1" t="s">
        <v>1209</v>
      </c>
      <c r="E618" s="1" t="s">
        <v>10</v>
      </c>
      <c r="F618" s="1" t="s">
        <v>38</v>
      </c>
      <c r="G618" s="1" t="s">
        <v>39</v>
      </c>
      <c r="H618" s="1" t="s">
        <v>40</v>
      </c>
      <c r="I618" s="1">
        <v>1097.54</v>
      </c>
      <c r="J618" s="1">
        <v>7</v>
      </c>
      <c r="K618" s="1">
        <v>123.47</v>
      </c>
    </row>
    <row r="619" spans="1:11" ht="12.75" x14ac:dyDescent="0.2">
      <c r="A619" s="2">
        <v>42576</v>
      </c>
      <c r="B619" s="2" t="str">
        <f>TEXT(Table1[[#This Row],[Order Date]],"MMM")</f>
        <v>Jul</v>
      </c>
      <c r="C619" s="2" t="str">
        <f t="shared" si="9"/>
        <v>2016</v>
      </c>
      <c r="D619" s="1" t="s">
        <v>707</v>
      </c>
      <c r="E619" s="1" t="s">
        <v>120</v>
      </c>
      <c r="F619" s="1" t="s">
        <v>11</v>
      </c>
      <c r="G619" s="1" t="s">
        <v>42</v>
      </c>
      <c r="H619" s="1" t="s">
        <v>592</v>
      </c>
      <c r="I619" s="1">
        <v>15.26</v>
      </c>
      <c r="J619" s="1">
        <v>7</v>
      </c>
      <c r="K619" s="1">
        <v>6.26</v>
      </c>
    </row>
    <row r="620" spans="1:11" ht="12.75" x14ac:dyDescent="0.2">
      <c r="A620" s="2">
        <v>42941</v>
      </c>
      <c r="B620" s="2" t="str">
        <f>TEXT(Table1[[#This Row],[Order Date]],"MMM")</f>
        <v>Jul</v>
      </c>
      <c r="C620" s="2" t="str">
        <f t="shared" si="9"/>
        <v>2017</v>
      </c>
      <c r="D620" s="1" t="s">
        <v>556</v>
      </c>
      <c r="E620" s="1" t="s">
        <v>227</v>
      </c>
      <c r="F620" s="1" t="s">
        <v>33</v>
      </c>
      <c r="G620" s="1" t="s">
        <v>44</v>
      </c>
      <c r="H620" s="1" t="s">
        <v>950</v>
      </c>
      <c r="I620" s="1">
        <v>133.38</v>
      </c>
      <c r="J620" s="1">
        <v>6</v>
      </c>
      <c r="K620" s="1">
        <v>58.69</v>
      </c>
    </row>
    <row r="621" spans="1:11" ht="12.75" x14ac:dyDescent="0.2">
      <c r="A621" s="2">
        <v>42972</v>
      </c>
      <c r="B621" s="2" t="str">
        <f>TEXT(Table1[[#This Row],[Order Date]],"MMM")</f>
        <v>Aug</v>
      </c>
      <c r="C621" s="2" t="str">
        <f t="shared" si="9"/>
        <v>2017</v>
      </c>
      <c r="D621" s="1" t="s">
        <v>1016</v>
      </c>
      <c r="E621" s="1" t="s">
        <v>15</v>
      </c>
      <c r="F621" s="1" t="s">
        <v>11</v>
      </c>
      <c r="G621" s="1" t="s">
        <v>20</v>
      </c>
      <c r="H621" s="1" t="s">
        <v>1168</v>
      </c>
      <c r="I621" s="1">
        <v>4.79</v>
      </c>
      <c r="J621" s="1">
        <v>3</v>
      </c>
      <c r="K621" s="1">
        <v>-7.9</v>
      </c>
    </row>
    <row r="622" spans="1:11" ht="12.75" x14ac:dyDescent="0.2">
      <c r="A622" s="2">
        <v>41907</v>
      </c>
      <c r="B622" s="2" t="str">
        <f>TEXT(Table1[[#This Row],[Order Date]],"MMM")</f>
        <v>Sep</v>
      </c>
      <c r="C622" s="2" t="str">
        <f t="shared" si="9"/>
        <v>2014</v>
      </c>
      <c r="D622" s="1" t="s">
        <v>1313</v>
      </c>
      <c r="E622" s="1" t="s">
        <v>27</v>
      </c>
      <c r="F622" s="1" t="s">
        <v>33</v>
      </c>
      <c r="G622" s="1" t="s">
        <v>118</v>
      </c>
      <c r="H622" s="1" t="s">
        <v>1260</v>
      </c>
      <c r="I622" s="1">
        <v>2003.52</v>
      </c>
      <c r="J622" s="1">
        <v>6</v>
      </c>
      <c r="K622" s="1">
        <v>-325.57</v>
      </c>
    </row>
    <row r="623" spans="1:11" ht="12.75" x14ac:dyDescent="0.2">
      <c r="A623" s="2">
        <v>42272</v>
      </c>
      <c r="B623" s="2" t="str">
        <f>TEXT(Table1[[#This Row],[Order Date]],"MMM")</f>
        <v>Sep</v>
      </c>
      <c r="C623" s="2" t="str">
        <f t="shared" si="9"/>
        <v>2015</v>
      </c>
      <c r="D623" s="1" t="s">
        <v>1055</v>
      </c>
      <c r="E623" s="1" t="s">
        <v>101</v>
      </c>
      <c r="F623" s="1" t="s">
        <v>11</v>
      </c>
      <c r="G623" s="1" t="s">
        <v>20</v>
      </c>
      <c r="H623" s="1" t="s">
        <v>1203</v>
      </c>
      <c r="I623" s="1">
        <v>254.06</v>
      </c>
      <c r="J623" s="1">
        <v>7</v>
      </c>
      <c r="K623" s="1">
        <v>-169.37</v>
      </c>
    </row>
    <row r="624" spans="1:11" ht="12.75" x14ac:dyDescent="0.2">
      <c r="A624" s="2">
        <v>41937</v>
      </c>
      <c r="B624" s="2" t="str">
        <f>TEXT(Table1[[#This Row],[Order Date]],"MMM")</f>
        <v>Oct</v>
      </c>
      <c r="C624" s="2" t="str">
        <f t="shared" si="9"/>
        <v>2014</v>
      </c>
      <c r="D624" s="1" t="s">
        <v>812</v>
      </c>
      <c r="E624" s="1" t="s">
        <v>83</v>
      </c>
      <c r="F624" s="1" t="s">
        <v>33</v>
      </c>
      <c r="G624" s="1" t="s">
        <v>118</v>
      </c>
      <c r="H624" s="1" t="s">
        <v>327</v>
      </c>
      <c r="I624" s="1">
        <v>455.97</v>
      </c>
      <c r="J624" s="1">
        <v>6</v>
      </c>
      <c r="K624" s="1">
        <v>-218.87</v>
      </c>
    </row>
    <row r="625" spans="1:11" ht="12.75" x14ac:dyDescent="0.2">
      <c r="A625" s="2">
        <v>42699</v>
      </c>
      <c r="B625" s="2" t="str">
        <f>TEXT(Table1[[#This Row],[Order Date]],"MMM")</f>
        <v>Nov</v>
      </c>
      <c r="C625" s="2" t="str">
        <f t="shared" si="9"/>
        <v>2016</v>
      </c>
      <c r="D625" s="1" t="s">
        <v>744</v>
      </c>
      <c r="E625" s="1" t="s">
        <v>51</v>
      </c>
      <c r="F625" s="1" t="s">
        <v>33</v>
      </c>
      <c r="G625" s="1" t="s">
        <v>44</v>
      </c>
      <c r="H625" s="1" t="s">
        <v>1308</v>
      </c>
      <c r="I625" s="1">
        <v>572.76</v>
      </c>
      <c r="J625" s="1">
        <v>6</v>
      </c>
      <c r="K625" s="1">
        <v>166.1</v>
      </c>
    </row>
    <row r="626" spans="1:11" ht="12.75" x14ac:dyDescent="0.2">
      <c r="A626" s="2">
        <v>42363</v>
      </c>
      <c r="B626" s="2" t="str">
        <f>TEXT(Table1[[#This Row],[Order Date]],"MMM")</f>
        <v>Dec</v>
      </c>
      <c r="C626" s="2" t="str">
        <f t="shared" si="9"/>
        <v>2015</v>
      </c>
      <c r="D626" s="1" t="s">
        <v>485</v>
      </c>
      <c r="E626" s="1" t="s">
        <v>187</v>
      </c>
      <c r="F626" s="1" t="s">
        <v>11</v>
      </c>
      <c r="G626" s="1" t="s">
        <v>20</v>
      </c>
      <c r="H626" s="1" t="s">
        <v>77</v>
      </c>
      <c r="I626" s="1">
        <v>27.88</v>
      </c>
      <c r="J626" s="1">
        <v>3</v>
      </c>
      <c r="K626" s="1">
        <v>-20.45</v>
      </c>
    </row>
    <row r="627" spans="1:11" ht="12.75" x14ac:dyDescent="0.2">
      <c r="A627" s="2">
        <v>42729</v>
      </c>
      <c r="B627" s="2" t="str">
        <f>TEXT(Table1[[#This Row],[Order Date]],"MMM")</f>
        <v>Dec</v>
      </c>
      <c r="C627" s="2" t="str">
        <f t="shared" si="9"/>
        <v>2016</v>
      </c>
      <c r="D627" s="1" t="s">
        <v>539</v>
      </c>
      <c r="E627" s="1" t="s">
        <v>27</v>
      </c>
      <c r="F627" s="1" t="s">
        <v>38</v>
      </c>
      <c r="G627" s="1" t="s">
        <v>39</v>
      </c>
      <c r="H627" s="1" t="s">
        <v>1317</v>
      </c>
      <c r="I627" s="1">
        <v>2575.94</v>
      </c>
      <c r="J627" s="1">
        <v>7</v>
      </c>
      <c r="K627" s="1">
        <v>257.58999999999997</v>
      </c>
    </row>
    <row r="628" spans="1:11" ht="12.75" x14ac:dyDescent="0.2">
      <c r="A628" s="2">
        <v>41665</v>
      </c>
      <c r="B628" s="2" t="str">
        <f>TEXT(Table1[[#This Row],[Order Date]],"MMM")</f>
        <v>Jan</v>
      </c>
      <c r="C628" s="2" t="str">
        <f t="shared" si="9"/>
        <v>2014</v>
      </c>
      <c r="D628" s="1" t="s">
        <v>979</v>
      </c>
      <c r="E628" s="1" t="s">
        <v>134</v>
      </c>
      <c r="F628" s="1" t="s">
        <v>11</v>
      </c>
      <c r="G628" s="1" t="s">
        <v>12</v>
      </c>
      <c r="H628" s="1" t="s">
        <v>1316</v>
      </c>
      <c r="I628" s="1">
        <v>33.9</v>
      </c>
      <c r="J628" s="1">
        <v>5</v>
      </c>
      <c r="K628" s="1">
        <v>15.59</v>
      </c>
    </row>
    <row r="629" spans="1:11" ht="12.75" x14ac:dyDescent="0.2">
      <c r="A629" s="2">
        <v>42030</v>
      </c>
      <c r="B629" s="2" t="str">
        <f>TEXT(Table1[[#This Row],[Order Date]],"MMM")</f>
        <v>Jan</v>
      </c>
      <c r="C629" s="2" t="str">
        <f t="shared" si="9"/>
        <v>2015</v>
      </c>
      <c r="D629" s="1" t="s">
        <v>166</v>
      </c>
      <c r="E629" s="1" t="s">
        <v>127</v>
      </c>
      <c r="F629" s="1" t="s">
        <v>33</v>
      </c>
      <c r="G629" s="1" t="s">
        <v>34</v>
      </c>
      <c r="H629" s="1" t="s">
        <v>945</v>
      </c>
      <c r="I629" s="1">
        <v>754.45</v>
      </c>
      <c r="J629" s="1">
        <v>5</v>
      </c>
      <c r="K629" s="1">
        <v>60.36</v>
      </c>
    </row>
    <row r="630" spans="1:11" ht="12.75" x14ac:dyDescent="0.2">
      <c r="A630" s="2">
        <v>41724</v>
      </c>
      <c r="B630" s="2" t="str">
        <f>TEXT(Table1[[#This Row],[Order Date]],"MMM")</f>
        <v>Mar</v>
      </c>
      <c r="C630" s="2" t="str">
        <f t="shared" si="9"/>
        <v>2014</v>
      </c>
      <c r="D630" s="1" t="s">
        <v>510</v>
      </c>
      <c r="E630" s="1" t="s">
        <v>104</v>
      </c>
      <c r="F630" s="1" t="s">
        <v>11</v>
      </c>
      <c r="G630" s="1" t="s">
        <v>24</v>
      </c>
      <c r="H630" s="1" t="s">
        <v>1234</v>
      </c>
      <c r="I630" s="1">
        <v>3.64</v>
      </c>
      <c r="J630" s="1">
        <v>2</v>
      </c>
      <c r="K630" s="1">
        <v>1.64</v>
      </c>
    </row>
    <row r="631" spans="1:11" ht="12.75" x14ac:dyDescent="0.2">
      <c r="A631" s="2">
        <v>42089</v>
      </c>
      <c r="B631" s="2" t="str">
        <f>TEXT(Table1[[#This Row],[Order Date]],"MMM")</f>
        <v>Mar</v>
      </c>
      <c r="C631" s="2" t="str">
        <f t="shared" si="9"/>
        <v>2015</v>
      </c>
      <c r="D631" s="1" t="s">
        <v>147</v>
      </c>
      <c r="E631" s="1" t="s">
        <v>68</v>
      </c>
      <c r="F631" s="1" t="s">
        <v>33</v>
      </c>
      <c r="G631" s="1" t="s">
        <v>44</v>
      </c>
      <c r="H631" s="1" t="s">
        <v>965</v>
      </c>
      <c r="I631" s="1">
        <v>48.9</v>
      </c>
      <c r="J631" s="1">
        <v>4</v>
      </c>
      <c r="K631" s="1">
        <v>8.56</v>
      </c>
    </row>
    <row r="632" spans="1:11" ht="12.75" x14ac:dyDescent="0.2">
      <c r="A632" s="2">
        <v>42820</v>
      </c>
      <c r="B632" s="2" t="str">
        <f>TEXT(Table1[[#This Row],[Order Date]],"MMM")</f>
        <v>Mar</v>
      </c>
      <c r="C632" s="2" t="str">
        <f t="shared" si="9"/>
        <v>2017</v>
      </c>
      <c r="D632" s="1" t="s">
        <v>640</v>
      </c>
      <c r="E632" s="1" t="s">
        <v>187</v>
      </c>
      <c r="F632" s="1" t="s">
        <v>38</v>
      </c>
      <c r="G632" s="1" t="s">
        <v>214</v>
      </c>
      <c r="H632" s="1" t="s">
        <v>1294</v>
      </c>
      <c r="I632" s="1">
        <v>695.7</v>
      </c>
      <c r="J632" s="1">
        <v>2</v>
      </c>
      <c r="K632" s="1">
        <v>-27.83</v>
      </c>
    </row>
    <row r="633" spans="1:11" ht="12.75" x14ac:dyDescent="0.2">
      <c r="A633" s="2">
        <v>41755</v>
      </c>
      <c r="B633" s="2" t="str">
        <f>TEXT(Table1[[#This Row],[Order Date]],"MMM")</f>
        <v>Apr</v>
      </c>
      <c r="C633" s="2" t="str">
        <f t="shared" si="9"/>
        <v>2014</v>
      </c>
      <c r="D633" s="1" t="s">
        <v>74</v>
      </c>
      <c r="E633" s="1" t="s">
        <v>27</v>
      </c>
      <c r="F633" s="1" t="s">
        <v>11</v>
      </c>
      <c r="G633" s="1" t="s">
        <v>12</v>
      </c>
      <c r="H633" s="1" t="s">
        <v>1311</v>
      </c>
      <c r="I633" s="1">
        <v>38.880000000000003</v>
      </c>
      <c r="J633" s="1">
        <v>6</v>
      </c>
      <c r="K633" s="1">
        <v>18.66</v>
      </c>
    </row>
    <row r="634" spans="1:11" ht="12.75" x14ac:dyDescent="0.2">
      <c r="A634" s="2">
        <v>42486</v>
      </c>
      <c r="B634" s="2" t="str">
        <f>TEXT(Table1[[#This Row],[Order Date]],"MMM")</f>
        <v>Apr</v>
      </c>
      <c r="C634" s="2" t="str">
        <f t="shared" si="9"/>
        <v>2016</v>
      </c>
      <c r="D634" s="1" t="s">
        <v>561</v>
      </c>
      <c r="E634" s="1" t="s">
        <v>320</v>
      </c>
      <c r="F634" s="1" t="s">
        <v>11</v>
      </c>
      <c r="G634" s="1" t="s">
        <v>20</v>
      </c>
      <c r="H634" s="1" t="s">
        <v>151</v>
      </c>
      <c r="I634" s="1">
        <v>33.74</v>
      </c>
      <c r="J634" s="1">
        <v>7</v>
      </c>
      <c r="K634" s="1">
        <v>15.52</v>
      </c>
    </row>
    <row r="635" spans="1:11" ht="12.75" x14ac:dyDescent="0.2">
      <c r="A635" s="2">
        <v>42881</v>
      </c>
      <c r="B635" s="2" t="str">
        <f>TEXT(Table1[[#This Row],[Order Date]],"MMM")</f>
        <v>May</v>
      </c>
      <c r="C635" s="2" t="str">
        <f t="shared" si="9"/>
        <v>2017</v>
      </c>
      <c r="D635" s="1" t="s">
        <v>656</v>
      </c>
      <c r="E635" s="1" t="s">
        <v>134</v>
      </c>
      <c r="F635" s="1" t="s">
        <v>33</v>
      </c>
      <c r="G635" s="1" t="s">
        <v>118</v>
      </c>
      <c r="H635" s="1" t="s">
        <v>225</v>
      </c>
      <c r="I635" s="1">
        <v>892.98</v>
      </c>
      <c r="J635" s="1">
        <v>2</v>
      </c>
      <c r="K635" s="1">
        <v>80.37</v>
      </c>
    </row>
    <row r="636" spans="1:11" ht="12.75" x14ac:dyDescent="0.2">
      <c r="A636" s="2">
        <v>42181</v>
      </c>
      <c r="B636" s="2" t="str">
        <f>TEXT(Table1[[#This Row],[Order Date]],"MMM")</f>
        <v>Jun</v>
      </c>
      <c r="C636" s="2" t="str">
        <f t="shared" si="9"/>
        <v>2015</v>
      </c>
      <c r="D636" s="1" t="s">
        <v>1290</v>
      </c>
      <c r="E636" s="1" t="s">
        <v>23</v>
      </c>
      <c r="F636" s="1" t="s">
        <v>11</v>
      </c>
      <c r="G636" s="1" t="s">
        <v>80</v>
      </c>
      <c r="H636" s="1" t="s">
        <v>1306</v>
      </c>
      <c r="I636" s="1">
        <v>34.380000000000003</v>
      </c>
      <c r="J636" s="1">
        <v>1</v>
      </c>
      <c r="K636" s="1">
        <v>3.87</v>
      </c>
    </row>
    <row r="637" spans="1:11" ht="12.75" x14ac:dyDescent="0.2">
      <c r="A637" s="2">
        <v>42547</v>
      </c>
      <c r="B637" s="2" t="str">
        <f>TEXT(Table1[[#This Row],[Order Date]],"MMM")</f>
        <v>Jun</v>
      </c>
      <c r="C637" s="2" t="str">
        <f t="shared" si="9"/>
        <v>2016</v>
      </c>
      <c r="D637" s="1" t="s">
        <v>543</v>
      </c>
      <c r="E637" s="1" t="s">
        <v>10</v>
      </c>
      <c r="F637" s="1" t="s">
        <v>11</v>
      </c>
      <c r="G637" s="1" t="s">
        <v>16</v>
      </c>
      <c r="H637" s="1" t="s">
        <v>1198</v>
      </c>
      <c r="I637" s="1">
        <v>6</v>
      </c>
      <c r="J637" s="1">
        <v>2</v>
      </c>
      <c r="K637" s="1">
        <v>2.1</v>
      </c>
    </row>
    <row r="638" spans="1:11" ht="12.75" x14ac:dyDescent="0.2">
      <c r="A638" s="2">
        <v>41846</v>
      </c>
      <c r="B638" s="2" t="str">
        <f>TEXT(Table1[[#This Row],[Order Date]],"MMM")</f>
        <v>Jul</v>
      </c>
      <c r="C638" s="2" t="str">
        <f t="shared" si="9"/>
        <v>2014</v>
      </c>
      <c r="D638" s="1" t="s">
        <v>572</v>
      </c>
      <c r="E638" s="1" t="s">
        <v>134</v>
      </c>
      <c r="F638" s="1" t="s">
        <v>11</v>
      </c>
      <c r="G638" s="1" t="s">
        <v>18</v>
      </c>
      <c r="H638" s="1" t="s">
        <v>212</v>
      </c>
      <c r="I638" s="1">
        <v>242.94</v>
      </c>
      <c r="J638" s="1">
        <v>3</v>
      </c>
      <c r="K638" s="1">
        <v>9.7200000000000006</v>
      </c>
    </row>
    <row r="639" spans="1:11" ht="12.75" x14ac:dyDescent="0.2">
      <c r="A639" s="2">
        <v>42211</v>
      </c>
      <c r="B639" s="2" t="str">
        <f>TEXT(Table1[[#This Row],[Order Date]],"MMM")</f>
        <v>Jul</v>
      </c>
      <c r="C639" s="2" t="str">
        <f t="shared" si="9"/>
        <v>2015</v>
      </c>
      <c r="D639" s="1" t="s">
        <v>934</v>
      </c>
      <c r="E639" s="1" t="s">
        <v>337</v>
      </c>
      <c r="F639" s="1" t="s">
        <v>38</v>
      </c>
      <c r="G639" s="1" t="s">
        <v>388</v>
      </c>
      <c r="H639" s="1" t="s">
        <v>1318</v>
      </c>
      <c r="I639" s="1">
        <v>2999.95</v>
      </c>
      <c r="J639" s="1">
        <v>5</v>
      </c>
      <c r="K639" s="1">
        <v>1379.98</v>
      </c>
    </row>
    <row r="640" spans="1:11" ht="12.75" x14ac:dyDescent="0.2">
      <c r="A640" s="2">
        <v>42942</v>
      </c>
      <c r="B640" s="2" t="str">
        <f>TEXT(Table1[[#This Row],[Order Date]],"MMM")</f>
        <v>Jul</v>
      </c>
      <c r="C640" s="2" t="str">
        <f t="shared" si="9"/>
        <v>2017</v>
      </c>
      <c r="D640" s="1" t="s">
        <v>1091</v>
      </c>
      <c r="E640" s="1" t="s">
        <v>30</v>
      </c>
      <c r="F640" s="1" t="s">
        <v>11</v>
      </c>
      <c r="G640" s="1" t="s">
        <v>42</v>
      </c>
      <c r="H640" s="1" t="s">
        <v>762</v>
      </c>
      <c r="I640" s="1">
        <v>5.67</v>
      </c>
      <c r="J640" s="1">
        <v>3</v>
      </c>
      <c r="K640" s="1">
        <v>0.11</v>
      </c>
    </row>
    <row r="641" spans="1:11" ht="12.75" x14ac:dyDescent="0.2">
      <c r="A641" s="2">
        <v>42273</v>
      </c>
      <c r="B641" s="2" t="str">
        <f>TEXT(Table1[[#This Row],[Order Date]],"MMM")</f>
        <v>Sep</v>
      </c>
      <c r="C641" s="2" t="str">
        <f t="shared" si="9"/>
        <v>2015</v>
      </c>
      <c r="D641" s="1" t="s">
        <v>1076</v>
      </c>
      <c r="E641" s="1" t="s">
        <v>262</v>
      </c>
      <c r="F641" s="1" t="s">
        <v>11</v>
      </c>
      <c r="G641" s="1" t="s">
        <v>20</v>
      </c>
      <c r="H641" s="1" t="s">
        <v>881</v>
      </c>
      <c r="I641" s="1">
        <v>18.28</v>
      </c>
      <c r="J641" s="1">
        <v>2</v>
      </c>
      <c r="K641" s="1">
        <v>9.14</v>
      </c>
    </row>
    <row r="642" spans="1:11" ht="12.75" x14ac:dyDescent="0.2">
      <c r="A642" s="2">
        <v>42639</v>
      </c>
      <c r="B642" s="2" t="str">
        <f>TEXT(Table1[[#This Row],[Order Date]],"MMM")</f>
        <v>Sep</v>
      </c>
      <c r="C642" s="2" t="str">
        <f t="shared" ref="C642:C705" si="10">TEXT(A642,"YYY")</f>
        <v>2016</v>
      </c>
      <c r="D642" s="1" t="s">
        <v>91</v>
      </c>
      <c r="E642" s="1" t="s">
        <v>51</v>
      </c>
      <c r="F642" s="1" t="s">
        <v>33</v>
      </c>
      <c r="G642" s="1" t="s">
        <v>65</v>
      </c>
      <c r="H642" s="1" t="s">
        <v>919</v>
      </c>
      <c r="I642" s="1">
        <v>359.97</v>
      </c>
      <c r="J642" s="1">
        <v>3</v>
      </c>
      <c r="K642" s="1">
        <v>79.19</v>
      </c>
    </row>
    <row r="643" spans="1:11" ht="12.75" x14ac:dyDescent="0.2">
      <c r="A643" s="2">
        <v>43004</v>
      </c>
      <c r="B643" s="2" t="str">
        <f>TEXT(Table1[[#This Row],[Order Date]],"MMM")</f>
        <v>Sep</v>
      </c>
      <c r="C643" s="2" t="str">
        <f t="shared" si="10"/>
        <v>2017</v>
      </c>
      <c r="D643" s="1" t="s">
        <v>422</v>
      </c>
      <c r="E643" s="1" t="s">
        <v>27</v>
      </c>
      <c r="F643" s="1" t="s">
        <v>11</v>
      </c>
      <c r="G643" s="1" t="s">
        <v>20</v>
      </c>
      <c r="H643" s="1" t="s">
        <v>598</v>
      </c>
      <c r="I643" s="1">
        <v>21.34</v>
      </c>
      <c r="J643" s="1">
        <v>7</v>
      </c>
      <c r="K643" s="1">
        <v>7.73</v>
      </c>
    </row>
    <row r="644" spans="1:11" ht="12.75" x14ac:dyDescent="0.2">
      <c r="A644" s="2">
        <v>41938</v>
      </c>
      <c r="B644" s="2" t="str">
        <f>TEXT(Table1[[#This Row],[Order Date]],"MMM")</f>
        <v>Oct</v>
      </c>
      <c r="C644" s="2" t="str">
        <f t="shared" si="10"/>
        <v>2014</v>
      </c>
      <c r="D644" s="1" t="s">
        <v>636</v>
      </c>
      <c r="E644" s="1" t="s">
        <v>120</v>
      </c>
      <c r="F644" s="1" t="s">
        <v>11</v>
      </c>
      <c r="G644" s="1" t="s">
        <v>12</v>
      </c>
      <c r="H644" s="1" t="s">
        <v>890</v>
      </c>
      <c r="I644" s="1">
        <v>37.94</v>
      </c>
      <c r="J644" s="1">
        <v>2</v>
      </c>
      <c r="K644" s="1">
        <v>18.21</v>
      </c>
    </row>
    <row r="645" spans="1:11" ht="12.75" x14ac:dyDescent="0.2">
      <c r="A645" s="2">
        <v>42303</v>
      </c>
      <c r="B645" s="2" t="str">
        <f>TEXT(Table1[[#This Row],[Order Date]],"MMM")</f>
        <v>Oct</v>
      </c>
      <c r="C645" s="2" t="str">
        <f t="shared" si="10"/>
        <v>2015</v>
      </c>
      <c r="D645" s="1" t="s">
        <v>872</v>
      </c>
      <c r="E645" s="1" t="s">
        <v>15</v>
      </c>
      <c r="F645" s="1" t="s">
        <v>33</v>
      </c>
      <c r="G645" s="1" t="s">
        <v>118</v>
      </c>
      <c r="H645" s="1" t="s">
        <v>1004</v>
      </c>
      <c r="I645" s="1">
        <v>480.96</v>
      </c>
      <c r="J645" s="1">
        <v>3</v>
      </c>
      <c r="K645" s="1">
        <v>-269.33999999999997</v>
      </c>
    </row>
    <row r="646" spans="1:11" ht="12.75" x14ac:dyDescent="0.2">
      <c r="A646" s="2">
        <v>43034</v>
      </c>
      <c r="B646" s="2" t="str">
        <f>TEXT(Table1[[#This Row],[Order Date]],"MMM")</f>
        <v>Oct</v>
      </c>
      <c r="C646" s="2" t="str">
        <f t="shared" si="10"/>
        <v>2017</v>
      </c>
      <c r="D646" s="1" t="s">
        <v>1286</v>
      </c>
      <c r="E646" s="1" t="s">
        <v>27</v>
      </c>
      <c r="F646" s="1" t="s">
        <v>38</v>
      </c>
      <c r="G646" s="1" t="s">
        <v>39</v>
      </c>
      <c r="H646" s="1" t="s">
        <v>1298</v>
      </c>
      <c r="I646" s="1">
        <v>167.98</v>
      </c>
      <c r="J646" s="1">
        <v>3</v>
      </c>
      <c r="K646" s="1">
        <v>10.5</v>
      </c>
    </row>
    <row r="647" spans="1:11" ht="12.75" x14ac:dyDescent="0.2">
      <c r="A647" s="2">
        <v>41969</v>
      </c>
      <c r="B647" s="2" t="str">
        <f>TEXT(Table1[[#This Row],[Order Date]],"MMM")</f>
        <v>Nov</v>
      </c>
      <c r="C647" s="2" t="str">
        <f t="shared" si="10"/>
        <v>2014</v>
      </c>
      <c r="D647" s="1" t="s">
        <v>186</v>
      </c>
      <c r="E647" s="1" t="s">
        <v>30</v>
      </c>
      <c r="F647" s="1" t="s">
        <v>11</v>
      </c>
      <c r="G647" s="1" t="s">
        <v>80</v>
      </c>
      <c r="H647" s="1" t="s">
        <v>732</v>
      </c>
      <c r="I647" s="1">
        <v>1245.8599999999999</v>
      </c>
      <c r="J647" s="1">
        <v>7</v>
      </c>
      <c r="K647" s="1">
        <v>361.3</v>
      </c>
    </row>
    <row r="648" spans="1:11" ht="12.75" x14ac:dyDescent="0.2">
      <c r="A648" s="2">
        <v>43065</v>
      </c>
      <c r="B648" s="2" t="str">
        <f>TEXT(Table1[[#This Row],[Order Date]],"MMM")</f>
        <v>Nov</v>
      </c>
      <c r="C648" s="2" t="str">
        <f t="shared" si="10"/>
        <v>2017</v>
      </c>
      <c r="D648" s="1" t="s">
        <v>1054</v>
      </c>
      <c r="E648" s="1" t="s">
        <v>10</v>
      </c>
      <c r="F648" s="1" t="s">
        <v>38</v>
      </c>
      <c r="G648" s="1" t="s">
        <v>48</v>
      </c>
      <c r="H648" s="1" t="s">
        <v>623</v>
      </c>
      <c r="I648" s="1">
        <v>47.9</v>
      </c>
      <c r="J648" s="1">
        <v>1</v>
      </c>
      <c r="K648" s="1">
        <v>-2.99</v>
      </c>
    </row>
    <row r="649" spans="1:11" ht="12.75" x14ac:dyDescent="0.2">
      <c r="A649" s="2">
        <v>42730</v>
      </c>
      <c r="B649" s="2" t="str">
        <f>TEXT(Table1[[#This Row],[Order Date]],"MMM")</f>
        <v>Dec</v>
      </c>
      <c r="C649" s="2" t="str">
        <f t="shared" si="10"/>
        <v>2016</v>
      </c>
      <c r="D649" s="1" t="s">
        <v>1022</v>
      </c>
      <c r="E649" s="1" t="s">
        <v>27</v>
      </c>
      <c r="F649" s="1" t="s">
        <v>11</v>
      </c>
      <c r="G649" s="1" t="s">
        <v>12</v>
      </c>
      <c r="H649" s="1" t="s">
        <v>1147</v>
      </c>
      <c r="I649" s="1">
        <v>37.44</v>
      </c>
      <c r="J649" s="1">
        <v>6</v>
      </c>
      <c r="K649" s="1">
        <v>16.850000000000001</v>
      </c>
    </row>
    <row r="650" spans="1:11" ht="12.75" x14ac:dyDescent="0.2">
      <c r="A650" s="2">
        <v>43095</v>
      </c>
      <c r="B650" s="2" t="str">
        <f>TEXT(Table1[[#This Row],[Order Date]],"MMM")</f>
        <v>Dec</v>
      </c>
      <c r="C650" s="2" t="str">
        <f t="shared" si="10"/>
        <v>2017</v>
      </c>
      <c r="D650" s="1" t="s">
        <v>566</v>
      </c>
      <c r="E650" s="1" t="s">
        <v>15</v>
      </c>
      <c r="F650" s="1" t="s">
        <v>11</v>
      </c>
      <c r="G650" s="1" t="s">
        <v>20</v>
      </c>
      <c r="H650" s="1" t="s">
        <v>573</v>
      </c>
      <c r="I650" s="1">
        <v>1.79</v>
      </c>
      <c r="J650" s="1">
        <v>3</v>
      </c>
      <c r="K650" s="1">
        <v>-3.04</v>
      </c>
    </row>
    <row r="651" spans="1:11" ht="12.75" x14ac:dyDescent="0.2">
      <c r="A651" s="2">
        <v>41666</v>
      </c>
      <c r="B651" s="2" t="str">
        <f>TEXT(Table1[[#This Row],[Order Date]],"MMM")</f>
        <v>Jan</v>
      </c>
      <c r="C651" s="2" t="str">
        <f t="shared" si="10"/>
        <v>2014</v>
      </c>
      <c r="D651" s="1" t="s">
        <v>1139</v>
      </c>
      <c r="E651" s="1" t="s">
        <v>10</v>
      </c>
      <c r="F651" s="1" t="s">
        <v>11</v>
      </c>
      <c r="G651" s="1" t="s">
        <v>158</v>
      </c>
      <c r="H651" s="1" t="s">
        <v>504</v>
      </c>
      <c r="I651" s="1">
        <v>6.98</v>
      </c>
      <c r="J651" s="1">
        <v>4</v>
      </c>
      <c r="K651" s="1">
        <v>-1.4</v>
      </c>
    </row>
    <row r="652" spans="1:11" ht="12.75" x14ac:dyDescent="0.2">
      <c r="A652" s="2">
        <v>42031</v>
      </c>
      <c r="B652" s="2" t="str">
        <f>TEXT(Table1[[#This Row],[Order Date]],"MMM")</f>
        <v>Jan</v>
      </c>
      <c r="C652" s="2" t="str">
        <f t="shared" si="10"/>
        <v>2015</v>
      </c>
      <c r="D652" s="1" t="s">
        <v>1293</v>
      </c>
      <c r="E652" s="1" t="s">
        <v>32</v>
      </c>
      <c r="F652" s="1" t="s">
        <v>11</v>
      </c>
      <c r="G652" s="1" t="s">
        <v>80</v>
      </c>
      <c r="H652" s="1" t="s">
        <v>482</v>
      </c>
      <c r="I652" s="1">
        <v>72.8</v>
      </c>
      <c r="J652" s="1">
        <v>5</v>
      </c>
      <c r="K652" s="1">
        <v>19.66</v>
      </c>
    </row>
    <row r="653" spans="1:11" ht="12.75" x14ac:dyDescent="0.2">
      <c r="A653" s="2">
        <v>41697</v>
      </c>
      <c r="B653" s="2" t="str">
        <f>TEXT(Table1[[#This Row],[Order Date]],"MMM")</f>
        <v>Feb</v>
      </c>
      <c r="C653" s="2" t="str">
        <f t="shared" si="10"/>
        <v>2014</v>
      </c>
      <c r="D653" s="1" t="s">
        <v>895</v>
      </c>
      <c r="E653" s="1" t="s">
        <v>127</v>
      </c>
      <c r="F653" s="1" t="s">
        <v>11</v>
      </c>
      <c r="G653" s="1" t="s">
        <v>16</v>
      </c>
      <c r="H653" s="1" t="s">
        <v>1305</v>
      </c>
      <c r="I653" s="1">
        <v>25.06</v>
      </c>
      <c r="J653" s="1">
        <v>2</v>
      </c>
      <c r="K653" s="1">
        <v>11.78</v>
      </c>
    </row>
    <row r="654" spans="1:11" ht="12.75" x14ac:dyDescent="0.2">
      <c r="A654" s="2">
        <v>42427</v>
      </c>
      <c r="B654" s="2" t="str">
        <f>TEXT(Table1[[#This Row],[Order Date]],"MMM")</f>
        <v>Feb</v>
      </c>
      <c r="C654" s="2" t="str">
        <f t="shared" si="10"/>
        <v>2016</v>
      </c>
      <c r="D654" s="1" t="s">
        <v>1319</v>
      </c>
      <c r="E654" s="1" t="s">
        <v>120</v>
      </c>
      <c r="F654" s="1" t="s">
        <v>11</v>
      </c>
      <c r="G654" s="1" t="s">
        <v>12</v>
      </c>
      <c r="H654" s="1" t="s">
        <v>1070</v>
      </c>
      <c r="I654" s="1">
        <v>26.38</v>
      </c>
      <c r="J654" s="1">
        <v>1</v>
      </c>
      <c r="K654" s="1">
        <v>12.13</v>
      </c>
    </row>
    <row r="655" spans="1:11" ht="12.75" x14ac:dyDescent="0.2">
      <c r="A655" s="2">
        <v>42090</v>
      </c>
      <c r="B655" s="2" t="str">
        <f>TEXT(Table1[[#This Row],[Order Date]],"MMM")</f>
        <v>Mar</v>
      </c>
      <c r="C655" s="2" t="str">
        <f t="shared" si="10"/>
        <v>2015</v>
      </c>
      <c r="D655" s="1" t="s">
        <v>1304</v>
      </c>
      <c r="E655" s="1" t="s">
        <v>23</v>
      </c>
      <c r="F655" s="1" t="s">
        <v>11</v>
      </c>
      <c r="G655" s="1" t="s">
        <v>24</v>
      </c>
      <c r="H655" s="1" t="s">
        <v>1255</v>
      </c>
      <c r="I655" s="1">
        <v>5.25</v>
      </c>
      <c r="J655" s="1">
        <v>2</v>
      </c>
      <c r="K655" s="1">
        <v>0.59</v>
      </c>
    </row>
    <row r="656" spans="1:11" ht="12.75" x14ac:dyDescent="0.2">
      <c r="A656" s="2">
        <v>42456</v>
      </c>
      <c r="B656" s="2" t="str">
        <f>TEXT(Table1[[#This Row],[Order Date]],"MMM")</f>
        <v>Mar</v>
      </c>
      <c r="C656" s="2" t="str">
        <f t="shared" si="10"/>
        <v>2016</v>
      </c>
      <c r="D656" s="1" t="s">
        <v>1132</v>
      </c>
      <c r="E656" s="1" t="s">
        <v>94</v>
      </c>
      <c r="F656" s="1" t="s">
        <v>11</v>
      </c>
      <c r="G656" s="1" t="s">
        <v>20</v>
      </c>
      <c r="H656" s="1" t="s">
        <v>99</v>
      </c>
      <c r="I656" s="1">
        <v>895.92</v>
      </c>
      <c r="J656" s="1">
        <v>4</v>
      </c>
      <c r="K656" s="1">
        <v>421.08</v>
      </c>
    </row>
    <row r="657" spans="1:11" ht="12.75" x14ac:dyDescent="0.2">
      <c r="A657" s="2">
        <v>42821</v>
      </c>
      <c r="B657" s="2" t="str">
        <f>TEXT(Table1[[#This Row],[Order Date]],"MMM")</f>
        <v>Mar</v>
      </c>
      <c r="C657" s="2" t="str">
        <f t="shared" si="10"/>
        <v>2017</v>
      </c>
      <c r="D657" s="1" t="s">
        <v>796</v>
      </c>
      <c r="E657" s="1" t="s">
        <v>27</v>
      </c>
      <c r="F657" s="1" t="s">
        <v>11</v>
      </c>
      <c r="G657" s="1" t="s">
        <v>12</v>
      </c>
      <c r="H657" s="1" t="s">
        <v>936</v>
      </c>
      <c r="I657" s="1">
        <v>314.55</v>
      </c>
      <c r="J657" s="1">
        <v>3</v>
      </c>
      <c r="K657" s="1">
        <v>150.97999999999999</v>
      </c>
    </row>
    <row r="658" spans="1:11" ht="12.75" x14ac:dyDescent="0.2">
      <c r="A658" s="2">
        <v>42852</v>
      </c>
      <c r="B658" s="2" t="str">
        <f>TEXT(Table1[[#This Row],[Order Date]],"MMM")</f>
        <v>Apr</v>
      </c>
      <c r="C658" s="2" t="str">
        <f t="shared" si="10"/>
        <v>2017</v>
      </c>
      <c r="D658" s="1" t="s">
        <v>1127</v>
      </c>
      <c r="E658" s="1" t="s">
        <v>120</v>
      </c>
      <c r="F658" s="1" t="s">
        <v>11</v>
      </c>
      <c r="G658" s="1" t="s">
        <v>16</v>
      </c>
      <c r="H658" s="1" t="s">
        <v>414</v>
      </c>
      <c r="I658" s="1">
        <v>28.91</v>
      </c>
      <c r="J658" s="1">
        <v>7</v>
      </c>
      <c r="K658" s="1">
        <v>13.3</v>
      </c>
    </row>
    <row r="659" spans="1:11" ht="12.75" x14ac:dyDescent="0.2">
      <c r="A659" s="2">
        <v>41786</v>
      </c>
      <c r="B659" s="2" t="str">
        <f>TEXT(Table1[[#This Row],[Order Date]],"MMM")</f>
        <v>May</v>
      </c>
      <c r="C659" s="2" t="str">
        <f t="shared" si="10"/>
        <v>2014</v>
      </c>
      <c r="D659" s="1" t="s">
        <v>166</v>
      </c>
      <c r="E659" s="1" t="s">
        <v>107</v>
      </c>
      <c r="F659" s="1" t="s">
        <v>33</v>
      </c>
      <c r="G659" s="1" t="s">
        <v>44</v>
      </c>
      <c r="H659" s="1" t="s">
        <v>1281</v>
      </c>
      <c r="I659" s="1">
        <v>2.91</v>
      </c>
      <c r="J659" s="1">
        <v>1</v>
      </c>
      <c r="K659" s="1">
        <v>1.37</v>
      </c>
    </row>
    <row r="660" spans="1:11" ht="12.75" x14ac:dyDescent="0.2">
      <c r="A660" s="2">
        <v>42517</v>
      </c>
      <c r="B660" s="2" t="str">
        <f>TEXT(Table1[[#This Row],[Order Date]],"MMM")</f>
        <v>May</v>
      </c>
      <c r="C660" s="2" t="str">
        <f t="shared" si="10"/>
        <v>2016</v>
      </c>
      <c r="D660" s="1" t="s">
        <v>1257</v>
      </c>
      <c r="E660" s="1" t="s">
        <v>27</v>
      </c>
      <c r="F660" s="1" t="s">
        <v>33</v>
      </c>
      <c r="G660" s="1" t="s">
        <v>44</v>
      </c>
      <c r="H660" s="1" t="s">
        <v>727</v>
      </c>
      <c r="I660" s="1">
        <v>211.84</v>
      </c>
      <c r="J660" s="1">
        <v>8</v>
      </c>
      <c r="K660" s="1">
        <v>76.260000000000005</v>
      </c>
    </row>
    <row r="661" spans="1:11" ht="12.75" x14ac:dyDescent="0.2">
      <c r="A661" s="2">
        <v>41817</v>
      </c>
      <c r="B661" s="2" t="str">
        <f>TEXT(Table1[[#This Row],[Order Date]],"MMM")</f>
        <v>Jun</v>
      </c>
      <c r="C661" s="2" t="str">
        <f t="shared" si="10"/>
        <v>2014</v>
      </c>
      <c r="D661" s="1" t="s">
        <v>568</v>
      </c>
      <c r="E661" s="1" t="s">
        <v>120</v>
      </c>
      <c r="F661" s="1" t="s">
        <v>11</v>
      </c>
      <c r="G661" s="1" t="s">
        <v>12</v>
      </c>
      <c r="H661" s="1" t="s">
        <v>933</v>
      </c>
      <c r="I661" s="1">
        <v>221.92</v>
      </c>
      <c r="J661" s="1">
        <v>4</v>
      </c>
      <c r="K661" s="1">
        <v>106.52</v>
      </c>
    </row>
    <row r="662" spans="1:11" ht="12.75" x14ac:dyDescent="0.2">
      <c r="A662" s="2">
        <v>42548</v>
      </c>
      <c r="B662" s="2" t="str">
        <f>TEXT(Table1[[#This Row],[Order Date]],"MMM")</f>
        <v>Jun</v>
      </c>
      <c r="C662" s="2" t="str">
        <f t="shared" si="10"/>
        <v>2016</v>
      </c>
      <c r="D662" s="1" t="s">
        <v>243</v>
      </c>
      <c r="E662" s="1" t="s">
        <v>120</v>
      </c>
      <c r="F662" s="1" t="s">
        <v>33</v>
      </c>
      <c r="G662" s="1" t="s">
        <v>65</v>
      </c>
      <c r="H662" s="1" t="s">
        <v>1145</v>
      </c>
      <c r="I662" s="1">
        <v>257.57</v>
      </c>
      <c r="J662" s="1">
        <v>2</v>
      </c>
      <c r="K662" s="1">
        <v>-28.98</v>
      </c>
    </row>
    <row r="663" spans="1:11" ht="12.75" x14ac:dyDescent="0.2">
      <c r="A663" s="2">
        <v>41847</v>
      </c>
      <c r="B663" s="2" t="str">
        <f>TEXT(Table1[[#This Row],[Order Date]],"MMM")</f>
        <v>Jul</v>
      </c>
      <c r="C663" s="2" t="str">
        <f t="shared" si="10"/>
        <v>2014</v>
      </c>
      <c r="D663" s="1" t="s">
        <v>424</v>
      </c>
      <c r="E663" s="1" t="s">
        <v>23</v>
      </c>
      <c r="F663" s="1" t="s">
        <v>33</v>
      </c>
      <c r="G663" s="1" t="s">
        <v>44</v>
      </c>
      <c r="H663" s="1" t="s">
        <v>1075</v>
      </c>
      <c r="I663" s="1">
        <v>15.01</v>
      </c>
      <c r="J663" s="1">
        <v>2</v>
      </c>
      <c r="K663" s="1">
        <v>1.5</v>
      </c>
    </row>
    <row r="664" spans="1:11" ht="12.75" x14ac:dyDescent="0.2">
      <c r="A664" s="2">
        <v>42212</v>
      </c>
      <c r="B664" s="2" t="str">
        <f>TEXT(Table1[[#This Row],[Order Date]],"MMM")</f>
        <v>Jul</v>
      </c>
      <c r="C664" s="2" t="str">
        <f t="shared" si="10"/>
        <v>2015</v>
      </c>
      <c r="D664" s="1" t="s">
        <v>141</v>
      </c>
      <c r="E664" s="1" t="s">
        <v>101</v>
      </c>
      <c r="F664" s="1" t="s">
        <v>11</v>
      </c>
      <c r="G664" s="1" t="s">
        <v>20</v>
      </c>
      <c r="H664" s="1" t="s">
        <v>999</v>
      </c>
      <c r="I664" s="1">
        <v>68.739999999999995</v>
      </c>
      <c r="J664" s="1">
        <v>9</v>
      </c>
      <c r="K664" s="1">
        <v>-48.12</v>
      </c>
    </row>
    <row r="665" spans="1:11" ht="12.75" x14ac:dyDescent="0.2">
      <c r="A665" s="2">
        <v>41878</v>
      </c>
      <c r="B665" s="2" t="str">
        <f>TEXT(Table1[[#This Row],[Order Date]],"MMM")</f>
        <v>Aug</v>
      </c>
      <c r="C665" s="2" t="str">
        <f t="shared" si="10"/>
        <v>2014</v>
      </c>
      <c r="D665" s="1" t="s">
        <v>606</v>
      </c>
      <c r="E665" s="1" t="s">
        <v>107</v>
      </c>
      <c r="F665" s="1" t="s">
        <v>11</v>
      </c>
      <c r="G665" s="1" t="s">
        <v>18</v>
      </c>
      <c r="H665" s="1" t="s">
        <v>306</v>
      </c>
      <c r="I665" s="1">
        <v>81.400000000000006</v>
      </c>
      <c r="J665" s="1">
        <v>5</v>
      </c>
      <c r="K665" s="1">
        <v>21.16</v>
      </c>
    </row>
    <row r="666" spans="1:11" ht="12.75" x14ac:dyDescent="0.2">
      <c r="A666" s="2">
        <v>42974</v>
      </c>
      <c r="B666" s="2" t="str">
        <f>TEXT(Table1[[#This Row],[Order Date]],"MMM")</f>
        <v>Aug</v>
      </c>
      <c r="C666" s="2" t="str">
        <f t="shared" si="10"/>
        <v>2017</v>
      </c>
      <c r="D666" s="1" t="s">
        <v>1320</v>
      </c>
      <c r="E666" s="1" t="s">
        <v>518</v>
      </c>
      <c r="F666" s="1" t="s">
        <v>11</v>
      </c>
      <c r="G666" s="1" t="s">
        <v>58</v>
      </c>
      <c r="H666" s="1" t="s">
        <v>1321</v>
      </c>
      <c r="I666" s="1">
        <v>325.86</v>
      </c>
      <c r="J666" s="1">
        <v>2</v>
      </c>
      <c r="K666" s="1">
        <v>149.9</v>
      </c>
    </row>
    <row r="667" spans="1:11" ht="12.75" x14ac:dyDescent="0.2">
      <c r="A667" s="2">
        <v>41909</v>
      </c>
      <c r="B667" s="2" t="str">
        <f>TEXT(Table1[[#This Row],[Order Date]],"MMM")</f>
        <v>Sep</v>
      </c>
      <c r="C667" s="2" t="str">
        <f t="shared" si="10"/>
        <v>2014</v>
      </c>
      <c r="D667" s="1" t="s">
        <v>378</v>
      </c>
      <c r="E667" s="1" t="s">
        <v>10</v>
      </c>
      <c r="F667" s="1" t="s">
        <v>33</v>
      </c>
      <c r="G667" s="1" t="s">
        <v>65</v>
      </c>
      <c r="H667" s="1" t="s">
        <v>1153</v>
      </c>
      <c r="I667" s="1">
        <v>205.33</v>
      </c>
      <c r="J667" s="1">
        <v>2</v>
      </c>
      <c r="K667" s="1">
        <v>-36.24</v>
      </c>
    </row>
    <row r="668" spans="1:11" ht="12.75" x14ac:dyDescent="0.2">
      <c r="A668" s="2">
        <v>42640</v>
      </c>
      <c r="B668" s="2" t="str">
        <f>TEXT(Table1[[#This Row],[Order Date]],"MMM")</f>
        <v>Sep</v>
      </c>
      <c r="C668" s="2" t="str">
        <f t="shared" si="10"/>
        <v>2016</v>
      </c>
      <c r="D668" s="1" t="s">
        <v>383</v>
      </c>
      <c r="E668" s="1" t="s">
        <v>23</v>
      </c>
      <c r="F668" s="1" t="s">
        <v>33</v>
      </c>
      <c r="G668" s="1" t="s">
        <v>44</v>
      </c>
      <c r="H668" s="1" t="s">
        <v>629</v>
      </c>
      <c r="I668" s="1">
        <v>25.47</v>
      </c>
      <c r="J668" s="1">
        <v>4</v>
      </c>
      <c r="K668" s="1">
        <v>7.64</v>
      </c>
    </row>
    <row r="669" spans="1:11" ht="12.75" x14ac:dyDescent="0.2">
      <c r="A669" s="2">
        <v>42335</v>
      </c>
      <c r="B669" s="2" t="str">
        <f>TEXT(Table1[[#This Row],[Order Date]],"MMM")</f>
        <v>Nov</v>
      </c>
      <c r="C669" s="2" t="str">
        <f t="shared" si="10"/>
        <v>2015</v>
      </c>
      <c r="D669" s="1" t="s">
        <v>1204</v>
      </c>
      <c r="E669" s="1" t="s">
        <v>120</v>
      </c>
      <c r="F669" s="1" t="s">
        <v>11</v>
      </c>
      <c r="G669" s="1" t="s">
        <v>16</v>
      </c>
      <c r="H669" s="1" t="s">
        <v>1322</v>
      </c>
      <c r="I669" s="1">
        <v>9.82</v>
      </c>
      <c r="J669" s="1">
        <v>2</v>
      </c>
      <c r="K669" s="1">
        <v>4.8099999999999996</v>
      </c>
    </row>
    <row r="670" spans="1:11" ht="12.75" x14ac:dyDescent="0.2">
      <c r="A670" s="2">
        <v>43066</v>
      </c>
      <c r="B670" s="2" t="str">
        <f>TEXT(Table1[[#This Row],[Order Date]],"MMM")</f>
        <v>Nov</v>
      </c>
      <c r="C670" s="2" t="str">
        <f t="shared" si="10"/>
        <v>2017</v>
      </c>
      <c r="D670" s="1" t="s">
        <v>753</v>
      </c>
      <c r="E670" s="1" t="s">
        <v>27</v>
      </c>
      <c r="F670" s="1" t="s">
        <v>38</v>
      </c>
      <c r="G670" s="1" t="s">
        <v>48</v>
      </c>
      <c r="H670" s="1" t="s">
        <v>666</v>
      </c>
      <c r="I670" s="1">
        <v>199.95</v>
      </c>
      <c r="J670" s="1">
        <v>5</v>
      </c>
      <c r="K670" s="1">
        <v>21.99</v>
      </c>
    </row>
    <row r="671" spans="1:11" ht="12.75" x14ac:dyDescent="0.2">
      <c r="A671" s="2">
        <v>42365</v>
      </c>
      <c r="B671" s="2" t="str">
        <f>TEXT(Table1[[#This Row],[Order Date]],"MMM")</f>
        <v>Dec</v>
      </c>
      <c r="C671" s="2" t="str">
        <f t="shared" si="10"/>
        <v>2015</v>
      </c>
      <c r="D671" s="1" t="s">
        <v>718</v>
      </c>
      <c r="E671" s="1" t="s">
        <v>10</v>
      </c>
      <c r="F671" s="1" t="s">
        <v>11</v>
      </c>
      <c r="G671" s="1" t="s">
        <v>80</v>
      </c>
      <c r="H671" s="1" t="s">
        <v>1154</v>
      </c>
      <c r="I671" s="1">
        <v>97.26</v>
      </c>
      <c r="J671" s="1">
        <v>4</v>
      </c>
      <c r="K671" s="1">
        <v>-243.16</v>
      </c>
    </row>
    <row r="672" spans="1:11" ht="12.75" x14ac:dyDescent="0.2">
      <c r="A672" s="2">
        <v>43096</v>
      </c>
      <c r="B672" s="2" t="str">
        <f>TEXT(Table1[[#This Row],[Order Date]],"MMM")</f>
        <v>Dec</v>
      </c>
      <c r="C672" s="2" t="str">
        <f t="shared" si="10"/>
        <v>2017</v>
      </c>
      <c r="D672" s="1" t="s">
        <v>1314</v>
      </c>
      <c r="E672" s="1" t="s">
        <v>120</v>
      </c>
      <c r="F672" s="1" t="s">
        <v>11</v>
      </c>
      <c r="G672" s="1" t="s">
        <v>80</v>
      </c>
      <c r="H672" s="1" t="s">
        <v>1212</v>
      </c>
      <c r="I672" s="1">
        <v>121.94</v>
      </c>
      <c r="J672" s="1">
        <v>2</v>
      </c>
      <c r="K672" s="1">
        <v>35.36</v>
      </c>
    </row>
    <row r="673" spans="1:11" ht="12.75" x14ac:dyDescent="0.2">
      <c r="A673" s="2">
        <v>41667</v>
      </c>
      <c r="B673" s="2" t="str">
        <f>TEXT(Table1[[#This Row],[Order Date]],"MMM")</f>
        <v>Jan</v>
      </c>
      <c r="C673" s="2" t="str">
        <f t="shared" si="10"/>
        <v>2014</v>
      </c>
      <c r="D673" s="1" t="s">
        <v>259</v>
      </c>
      <c r="E673" s="1" t="s">
        <v>23</v>
      </c>
      <c r="F673" s="1" t="s">
        <v>11</v>
      </c>
      <c r="G673" s="1" t="s">
        <v>80</v>
      </c>
      <c r="H673" s="1" t="s">
        <v>667</v>
      </c>
      <c r="I673" s="1">
        <v>99.28</v>
      </c>
      <c r="J673" s="1">
        <v>2</v>
      </c>
      <c r="K673" s="1">
        <v>12.41</v>
      </c>
    </row>
    <row r="674" spans="1:11" ht="12.75" x14ac:dyDescent="0.2">
      <c r="A674" s="2">
        <v>42032</v>
      </c>
      <c r="B674" s="2" t="str">
        <f>TEXT(Table1[[#This Row],[Order Date]],"MMM")</f>
        <v>Jan</v>
      </c>
      <c r="C674" s="2" t="str">
        <f t="shared" si="10"/>
        <v>2015</v>
      </c>
      <c r="D674" s="1" t="s">
        <v>1286</v>
      </c>
      <c r="E674" s="1" t="s">
        <v>10</v>
      </c>
      <c r="F674" s="1" t="s">
        <v>11</v>
      </c>
      <c r="G674" s="1" t="s">
        <v>16</v>
      </c>
      <c r="H674" s="1" t="s">
        <v>954</v>
      </c>
      <c r="I674" s="1">
        <v>33.119999999999997</v>
      </c>
      <c r="J674" s="1">
        <v>4</v>
      </c>
      <c r="K674" s="1">
        <v>11.59</v>
      </c>
    </row>
    <row r="675" spans="1:11" ht="12.75" x14ac:dyDescent="0.2">
      <c r="A675" s="2">
        <v>42063</v>
      </c>
      <c r="B675" s="2" t="str">
        <f>TEXT(Table1[[#This Row],[Order Date]],"MMM")</f>
        <v>Feb</v>
      </c>
      <c r="C675" s="2" t="str">
        <f t="shared" si="10"/>
        <v>2015</v>
      </c>
      <c r="D675" s="1" t="s">
        <v>204</v>
      </c>
      <c r="E675" s="1" t="s">
        <v>68</v>
      </c>
      <c r="F675" s="1" t="s">
        <v>33</v>
      </c>
      <c r="G675" s="1" t="s">
        <v>118</v>
      </c>
      <c r="H675" s="1" t="s">
        <v>659</v>
      </c>
      <c r="I675" s="1">
        <v>1048.3499999999999</v>
      </c>
      <c r="J675" s="1">
        <v>5</v>
      </c>
      <c r="K675" s="1">
        <v>-69.89</v>
      </c>
    </row>
    <row r="676" spans="1:11" ht="12.75" x14ac:dyDescent="0.2">
      <c r="A676" s="2">
        <v>41726</v>
      </c>
      <c r="B676" s="2" t="str">
        <f>TEXT(Table1[[#This Row],[Order Date]],"MMM")</f>
        <v>Mar</v>
      </c>
      <c r="C676" s="2" t="str">
        <f t="shared" si="10"/>
        <v>2014</v>
      </c>
      <c r="D676" s="1" t="s">
        <v>706</v>
      </c>
      <c r="E676" s="1" t="s">
        <v>142</v>
      </c>
      <c r="F676" s="1" t="s">
        <v>33</v>
      </c>
      <c r="G676" s="1" t="s">
        <v>44</v>
      </c>
      <c r="H676" s="1" t="s">
        <v>986</v>
      </c>
      <c r="I676" s="1">
        <v>129.93</v>
      </c>
      <c r="J676" s="1">
        <v>3</v>
      </c>
      <c r="K676" s="1">
        <v>12.99</v>
      </c>
    </row>
    <row r="677" spans="1:11" ht="12.75" x14ac:dyDescent="0.2">
      <c r="A677" s="2">
        <v>42091</v>
      </c>
      <c r="B677" s="2" t="str">
        <f>TEXT(Table1[[#This Row],[Order Date]],"MMM")</f>
        <v>Mar</v>
      </c>
      <c r="C677" s="2" t="str">
        <f t="shared" si="10"/>
        <v>2015</v>
      </c>
      <c r="D677" s="1" t="s">
        <v>1302</v>
      </c>
      <c r="E677" s="1" t="s">
        <v>15</v>
      </c>
      <c r="F677" s="1" t="s">
        <v>11</v>
      </c>
      <c r="G677" s="1" t="s">
        <v>24</v>
      </c>
      <c r="H677" s="1" t="s">
        <v>372</v>
      </c>
      <c r="I677" s="1">
        <v>6.41</v>
      </c>
      <c r="J677" s="1">
        <v>3</v>
      </c>
      <c r="K677" s="1">
        <v>0.64</v>
      </c>
    </row>
    <row r="678" spans="1:11" ht="12.75" x14ac:dyDescent="0.2">
      <c r="A678" s="2">
        <v>42457</v>
      </c>
      <c r="B678" s="2" t="str">
        <f>TEXT(Table1[[#This Row],[Order Date]],"MMM")</f>
        <v>Mar</v>
      </c>
      <c r="C678" s="2" t="str">
        <f t="shared" si="10"/>
        <v>2016</v>
      </c>
      <c r="D678" s="1" t="s">
        <v>931</v>
      </c>
      <c r="E678" s="1" t="s">
        <v>68</v>
      </c>
      <c r="F678" s="1" t="s">
        <v>11</v>
      </c>
      <c r="G678" s="1" t="s">
        <v>18</v>
      </c>
      <c r="H678" s="1" t="s">
        <v>360</v>
      </c>
      <c r="I678" s="1">
        <v>221.02</v>
      </c>
      <c r="J678" s="1">
        <v>2</v>
      </c>
      <c r="K678" s="1">
        <v>-55.26</v>
      </c>
    </row>
    <row r="679" spans="1:11" ht="12.75" x14ac:dyDescent="0.2">
      <c r="A679" s="2">
        <v>42822</v>
      </c>
      <c r="B679" s="2" t="str">
        <f>TEXT(Table1[[#This Row],[Order Date]],"MMM")</f>
        <v>Mar</v>
      </c>
      <c r="C679" s="2" t="str">
        <f t="shared" si="10"/>
        <v>2017</v>
      </c>
      <c r="D679" s="1" t="s">
        <v>277</v>
      </c>
      <c r="E679" s="1" t="s">
        <v>1323</v>
      </c>
      <c r="F679" s="1" t="s">
        <v>11</v>
      </c>
      <c r="G679" s="1" t="s">
        <v>24</v>
      </c>
      <c r="H679" s="1" t="s">
        <v>503</v>
      </c>
      <c r="I679" s="1">
        <v>131.94</v>
      </c>
      <c r="J679" s="1">
        <v>3</v>
      </c>
      <c r="K679" s="1">
        <v>35.619999999999997</v>
      </c>
    </row>
    <row r="680" spans="1:11" ht="12.75" x14ac:dyDescent="0.2">
      <c r="A680" s="2">
        <v>41757</v>
      </c>
      <c r="B680" s="2" t="str">
        <f>TEXT(Table1[[#This Row],[Order Date]],"MMM")</f>
        <v>Apr</v>
      </c>
      <c r="C680" s="2" t="str">
        <f>TEXT(A680,"YYY")</f>
        <v>2014</v>
      </c>
      <c r="D680" s="1" t="s">
        <v>1304</v>
      </c>
      <c r="E680" s="1" t="s">
        <v>30</v>
      </c>
      <c r="F680" s="1" t="s">
        <v>11</v>
      </c>
      <c r="G680" s="1" t="s">
        <v>20</v>
      </c>
      <c r="H680" s="1" t="s">
        <v>1010</v>
      </c>
      <c r="I680" s="1">
        <v>29.84</v>
      </c>
      <c r="J680" s="1">
        <v>2</v>
      </c>
      <c r="K680" s="1">
        <v>13.43</v>
      </c>
    </row>
    <row r="681" spans="1:11" ht="12.75" x14ac:dyDescent="0.2">
      <c r="A681" s="2">
        <v>42122</v>
      </c>
      <c r="B681" s="2" t="str">
        <f>TEXT(Table1[[#This Row],[Order Date]],"MMM")</f>
        <v>Apr</v>
      </c>
      <c r="C681" s="2" t="str">
        <f t="shared" si="10"/>
        <v>2015</v>
      </c>
      <c r="D681" s="1" t="s">
        <v>990</v>
      </c>
      <c r="E681" s="1" t="s">
        <v>32</v>
      </c>
      <c r="F681" s="1" t="s">
        <v>11</v>
      </c>
      <c r="G681" s="1" t="s">
        <v>80</v>
      </c>
      <c r="H681" s="1" t="s">
        <v>1324</v>
      </c>
      <c r="I681" s="1">
        <v>208.44</v>
      </c>
      <c r="J681" s="1">
        <v>3</v>
      </c>
      <c r="K681" s="1">
        <v>62.53</v>
      </c>
    </row>
    <row r="682" spans="1:11" ht="12.75" x14ac:dyDescent="0.2">
      <c r="A682" s="2">
        <v>41787</v>
      </c>
      <c r="B682" s="2" t="str">
        <f>TEXT(Table1[[#This Row],[Order Date]],"MMM")</f>
        <v>May</v>
      </c>
      <c r="C682" s="2" t="str">
        <f t="shared" si="10"/>
        <v>2014</v>
      </c>
      <c r="D682" s="1" t="s">
        <v>506</v>
      </c>
      <c r="E682" s="1" t="s">
        <v>98</v>
      </c>
      <c r="F682" s="1" t="s">
        <v>33</v>
      </c>
      <c r="G682" s="1" t="s">
        <v>44</v>
      </c>
      <c r="H682" s="1" t="s">
        <v>948</v>
      </c>
      <c r="I682" s="1">
        <v>35.17</v>
      </c>
      <c r="J682" s="1">
        <v>7</v>
      </c>
      <c r="K682" s="1">
        <v>9.67</v>
      </c>
    </row>
    <row r="683" spans="1:11" ht="12.75" x14ac:dyDescent="0.2">
      <c r="A683" s="2">
        <v>42152</v>
      </c>
      <c r="B683" s="2" t="str">
        <f>TEXT(Table1[[#This Row],[Order Date]],"MMM")</f>
        <v>May</v>
      </c>
      <c r="C683" s="2" t="str">
        <f t="shared" si="10"/>
        <v>2015</v>
      </c>
      <c r="D683" s="1" t="s">
        <v>1284</v>
      </c>
      <c r="E683" s="1" t="s">
        <v>187</v>
      </c>
      <c r="F683" s="1" t="s">
        <v>33</v>
      </c>
      <c r="G683" s="1" t="s">
        <v>44</v>
      </c>
      <c r="H683" s="1" t="s">
        <v>725</v>
      </c>
      <c r="I683" s="1">
        <v>31.98</v>
      </c>
      <c r="J683" s="1">
        <v>2</v>
      </c>
      <c r="K683" s="1">
        <v>2</v>
      </c>
    </row>
    <row r="684" spans="1:11" ht="12.75" x14ac:dyDescent="0.2">
      <c r="A684" s="2">
        <v>41818</v>
      </c>
      <c r="B684" s="2" t="str">
        <f>TEXT(Table1[[#This Row],[Order Date]],"MMM")</f>
        <v>Jun</v>
      </c>
      <c r="C684" s="2" t="str">
        <f t="shared" si="10"/>
        <v>2014</v>
      </c>
      <c r="D684" s="1" t="s">
        <v>569</v>
      </c>
      <c r="E684" s="1" t="s">
        <v>27</v>
      </c>
      <c r="F684" s="1" t="s">
        <v>33</v>
      </c>
      <c r="G684" s="1" t="s">
        <v>44</v>
      </c>
      <c r="H684" s="1" t="s">
        <v>1297</v>
      </c>
      <c r="I684" s="1">
        <v>4.95</v>
      </c>
      <c r="J684" s="1">
        <v>1</v>
      </c>
      <c r="K684" s="1">
        <v>2.1800000000000002</v>
      </c>
    </row>
    <row r="685" spans="1:11" ht="12.75" x14ac:dyDescent="0.2">
      <c r="A685" s="2">
        <v>41848</v>
      </c>
      <c r="B685" s="2" t="str">
        <f>TEXT(Table1[[#This Row],[Order Date]],"MMM")</f>
        <v>Jul</v>
      </c>
      <c r="C685" s="2" t="str">
        <f t="shared" si="10"/>
        <v>2014</v>
      </c>
      <c r="D685" s="1" t="s">
        <v>272</v>
      </c>
      <c r="E685" s="1" t="s">
        <v>10</v>
      </c>
      <c r="F685" s="1" t="s">
        <v>11</v>
      </c>
      <c r="G685" s="1" t="s">
        <v>80</v>
      </c>
      <c r="H685" s="1" t="s">
        <v>1325</v>
      </c>
      <c r="I685" s="1">
        <v>1.62</v>
      </c>
      <c r="J685" s="1">
        <v>2</v>
      </c>
      <c r="K685" s="1">
        <v>-4.47</v>
      </c>
    </row>
    <row r="686" spans="1:11" ht="12.75" x14ac:dyDescent="0.2">
      <c r="A686" s="2">
        <v>42944</v>
      </c>
      <c r="B686" s="2" t="str">
        <f>TEXT(Table1[[#This Row],[Order Date]],"MMM")</f>
        <v>Jul</v>
      </c>
      <c r="C686" s="2" t="str">
        <f t="shared" si="10"/>
        <v>2017</v>
      </c>
      <c r="D686" s="1" t="s">
        <v>526</v>
      </c>
      <c r="E686" s="1" t="s">
        <v>27</v>
      </c>
      <c r="F686" s="1" t="s">
        <v>11</v>
      </c>
      <c r="G686" s="1" t="s">
        <v>12</v>
      </c>
      <c r="H686" s="1" t="s">
        <v>1082</v>
      </c>
      <c r="I686" s="1">
        <v>122.97</v>
      </c>
      <c r="J686" s="1">
        <v>3</v>
      </c>
      <c r="K686" s="1">
        <v>60.26</v>
      </c>
    </row>
    <row r="687" spans="1:11" ht="12.75" x14ac:dyDescent="0.2">
      <c r="A687" s="2">
        <v>42610</v>
      </c>
      <c r="B687" s="2" t="str">
        <f>TEXT(Table1[[#This Row],[Order Date]],"MMM")</f>
        <v>Aug</v>
      </c>
      <c r="C687" s="2" t="str">
        <f t="shared" si="10"/>
        <v>2016</v>
      </c>
      <c r="D687" s="1" t="s">
        <v>31</v>
      </c>
      <c r="E687" s="1" t="s">
        <v>30</v>
      </c>
      <c r="F687" s="1" t="s">
        <v>11</v>
      </c>
      <c r="G687" s="1" t="s">
        <v>20</v>
      </c>
      <c r="H687" s="1" t="s">
        <v>451</v>
      </c>
      <c r="I687" s="1">
        <v>91.2</v>
      </c>
      <c r="J687" s="1">
        <v>3</v>
      </c>
      <c r="K687" s="1">
        <v>41.95</v>
      </c>
    </row>
    <row r="688" spans="1:11" ht="12.75" x14ac:dyDescent="0.2">
      <c r="A688" s="2">
        <v>41910</v>
      </c>
      <c r="B688" s="2" t="str">
        <f>TEXT(Table1[[#This Row],[Order Date]],"MMM")</f>
        <v>Sep</v>
      </c>
      <c r="C688" s="2" t="str">
        <f t="shared" si="10"/>
        <v>2014</v>
      </c>
      <c r="D688" s="1" t="s">
        <v>1326</v>
      </c>
      <c r="E688" s="1" t="s">
        <v>27</v>
      </c>
      <c r="F688" s="1" t="s">
        <v>38</v>
      </c>
      <c r="G688" s="1" t="s">
        <v>39</v>
      </c>
      <c r="H688" s="1" t="s">
        <v>1250</v>
      </c>
      <c r="I688" s="1">
        <v>47.98</v>
      </c>
      <c r="J688" s="1">
        <v>3</v>
      </c>
      <c r="K688" s="1">
        <v>4.8</v>
      </c>
    </row>
    <row r="689" spans="1:11" ht="12.75" x14ac:dyDescent="0.2">
      <c r="A689" s="2">
        <v>41940</v>
      </c>
      <c r="B689" s="2" t="str">
        <f>TEXT(Table1[[#This Row],[Order Date]],"MMM")</f>
        <v>Oct</v>
      </c>
      <c r="C689" s="2" t="str">
        <f t="shared" si="10"/>
        <v>2014</v>
      </c>
      <c r="D689" s="1" t="s">
        <v>816</v>
      </c>
      <c r="E689" s="1" t="s">
        <v>120</v>
      </c>
      <c r="F689" s="1" t="s">
        <v>11</v>
      </c>
      <c r="G689" s="1" t="s">
        <v>12</v>
      </c>
      <c r="H689" s="1" t="s">
        <v>1235</v>
      </c>
      <c r="I689" s="1">
        <v>97.82</v>
      </c>
      <c r="J689" s="1">
        <v>2</v>
      </c>
      <c r="K689" s="1">
        <v>45.98</v>
      </c>
    </row>
    <row r="690" spans="1:11" ht="12.75" x14ac:dyDescent="0.2">
      <c r="A690" s="2">
        <v>42305</v>
      </c>
      <c r="B690" s="2" t="str">
        <f>TEXT(Table1[[#This Row],[Order Date]],"MMM")</f>
        <v>Oct</v>
      </c>
      <c r="C690" s="2" t="str">
        <f t="shared" si="10"/>
        <v>2015</v>
      </c>
      <c r="D690" s="1" t="s">
        <v>558</v>
      </c>
      <c r="E690" s="1" t="s">
        <v>101</v>
      </c>
      <c r="F690" s="1" t="s">
        <v>11</v>
      </c>
      <c r="G690" s="1" t="s">
        <v>58</v>
      </c>
      <c r="H690" s="1" t="s">
        <v>780</v>
      </c>
      <c r="I690" s="1">
        <v>37.61</v>
      </c>
      <c r="J690" s="1">
        <v>3</v>
      </c>
      <c r="K690" s="1">
        <v>12.69</v>
      </c>
    </row>
    <row r="691" spans="1:11" ht="12.75" x14ac:dyDescent="0.2">
      <c r="A691" s="2">
        <v>41971</v>
      </c>
      <c r="B691" s="2" t="str">
        <f>TEXT(Table1[[#This Row],[Order Date]],"MMM")</f>
        <v>Nov</v>
      </c>
      <c r="C691" s="2" t="str">
        <f t="shared" si="10"/>
        <v>2014</v>
      </c>
      <c r="D691" s="1" t="s">
        <v>208</v>
      </c>
      <c r="E691" s="1" t="s">
        <v>27</v>
      </c>
      <c r="F691" s="1" t="s">
        <v>11</v>
      </c>
      <c r="G691" s="1" t="s">
        <v>18</v>
      </c>
      <c r="H691" s="1" t="s">
        <v>1134</v>
      </c>
      <c r="I691" s="1">
        <v>1295.78</v>
      </c>
      <c r="J691" s="1">
        <v>2</v>
      </c>
      <c r="K691" s="1">
        <v>310.99</v>
      </c>
    </row>
    <row r="692" spans="1:11" ht="12.75" x14ac:dyDescent="0.2">
      <c r="A692" s="2">
        <v>42336</v>
      </c>
      <c r="B692" s="2" t="str">
        <f>TEXT(Table1[[#This Row],[Order Date]],"MMM")</f>
        <v>Nov</v>
      </c>
      <c r="C692" s="2" t="str">
        <f t="shared" si="10"/>
        <v>2015</v>
      </c>
      <c r="D692" s="1" t="s">
        <v>1151</v>
      </c>
      <c r="E692" s="1" t="s">
        <v>104</v>
      </c>
      <c r="F692" s="1" t="s">
        <v>11</v>
      </c>
      <c r="G692" s="1" t="s">
        <v>20</v>
      </c>
      <c r="H692" s="1" t="s">
        <v>1156</v>
      </c>
      <c r="I692" s="1">
        <v>75.790000000000006</v>
      </c>
      <c r="J692" s="1">
        <v>3</v>
      </c>
      <c r="K692" s="1">
        <v>25.58</v>
      </c>
    </row>
    <row r="693" spans="1:11" ht="12.75" x14ac:dyDescent="0.2">
      <c r="A693" s="2">
        <v>42001</v>
      </c>
      <c r="B693" s="2" t="str">
        <f>TEXT(Table1[[#This Row],[Order Date]],"MMM")</f>
        <v>Dec</v>
      </c>
      <c r="C693" s="2" t="str">
        <f t="shared" si="10"/>
        <v>2014</v>
      </c>
      <c r="D693" s="1" t="s">
        <v>1327</v>
      </c>
      <c r="E693" s="1" t="s">
        <v>30</v>
      </c>
      <c r="F693" s="1" t="s">
        <v>33</v>
      </c>
      <c r="G693" s="1" t="s">
        <v>44</v>
      </c>
      <c r="H693" s="1" t="s">
        <v>1020</v>
      </c>
      <c r="I693" s="1">
        <v>23.99</v>
      </c>
      <c r="J693" s="1">
        <v>1</v>
      </c>
      <c r="K693" s="1">
        <v>5.52</v>
      </c>
    </row>
    <row r="694" spans="1:11" ht="12.75" x14ac:dyDescent="0.2">
      <c r="A694" s="2">
        <v>43097</v>
      </c>
      <c r="B694" s="2" t="str">
        <f>TEXT(Table1[[#This Row],[Order Date]],"MMM")</f>
        <v>Dec</v>
      </c>
      <c r="C694" s="2" t="str">
        <f t="shared" si="10"/>
        <v>2017</v>
      </c>
      <c r="D694" s="1" t="s">
        <v>1097</v>
      </c>
      <c r="E694" s="1" t="s">
        <v>10</v>
      </c>
      <c r="F694" s="1" t="s">
        <v>33</v>
      </c>
      <c r="G694" s="1" t="s">
        <v>44</v>
      </c>
      <c r="H694" s="1" t="s">
        <v>1261</v>
      </c>
      <c r="I694" s="1">
        <v>332.03</v>
      </c>
      <c r="J694" s="1">
        <v>9</v>
      </c>
      <c r="K694" s="1">
        <v>-348.63</v>
      </c>
    </row>
    <row r="695" spans="1:11" ht="12.75" x14ac:dyDescent="0.2">
      <c r="A695" s="2">
        <v>41727</v>
      </c>
      <c r="B695" s="2" t="str">
        <f>TEXT(Table1[[#This Row],[Order Date]],"MMM")</f>
        <v>Mar</v>
      </c>
      <c r="C695" s="2" t="str">
        <f t="shared" si="10"/>
        <v>2014</v>
      </c>
      <c r="D695" s="1" t="s">
        <v>681</v>
      </c>
      <c r="E695" s="1" t="s">
        <v>120</v>
      </c>
      <c r="F695" s="1" t="s">
        <v>11</v>
      </c>
      <c r="G695" s="1" t="s">
        <v>20</v>
      </c>
      <c r="H695" s="1" t="s">
        <v>915</v>
      </c>
      <c r="I695" s="1">
        <v>17.47</v>
      </c>
      <c r="J695" s="1">
        <v>3</v>
      </c>
      <c r="K695" s="1">
        <v>6.33</v>
      </c>
    </row>
    <row r="696" spans="1:11" ht="12.75" x14ac:dyDescent="0.2">
      <c r="A696" s="2">
        <v>42092</v>
      </c>
      <c r="B696" s="2" t="str">
        <f>TEXT(Table1[[#This Row],[Order Date]],"MMM")</f>
        <v>Mar</v>
      </c>
      <c r="C696" s="2" t="str">
        <f t="shared" si="10"/>
        <v>2015</v>
      </c>
      <c r="D696" s="1" t="s">
        <v>387</v>
      </c>
      <c r="E696" s="1" t="s">
        <v>68</v>
      </c>
      <c r="F696" s="1" t="s">
        <v>11</v>
      </c>
      <c r="G696" s="1" t="s">
        <v>12</v>
      </c>
      <c r="H696" s="1" t="s">
        <v>1047</v>
      </c>
      <c r="I696" s="1">
        <v>3.82</v>
      </c>
      <c r="J696" s="1">
        <v>1</v>
      </c>
      <c r="K696" s="1">
        <v>1.19</v>
      </c>
    </row>
    <row r="697" spans="1:11" ht="12.75" x14ac:dyDescent="0.2">
      <c r="A697" s="2">
        <v>42458</v>
      </c>
      <c r="B697" s="2" t="str">
        <f>TEXT(Table1[[#This Row],[Order Date]],"MMM")</f>
        <v>Mar</v>
      </c>
      <c r="C697" s="2" t="str">
        <f t="shared" si="10"/>
        <v>2016</v>
      </c>
      <c r="D697" s="1" t="s">
        <v>578</v>
      </c>
      <c r="E697" s="1" t="s">
        <v>23</v>
      </c>
      <c r="F697" s="1" t="s">
        <v>38</v>
      </c>
      <c r="G697" s="1" t="s">
        <v>39</v>
      </c>
      <c r="H697" s="1" t="s">
        <v>574</v>
      </c>
      <c r="I697" s="1">
        <v>39.590000000000003</v>
      </c>
      <c r="J697" s="1">
        <v>1</v>
      </c>
      <c r="K697" s="1">
        <v>-7.26</v>
      </c>
    </row>
    <row r="698" spans="1:11" ht="12.75" x14ac:dyDescent="0.2">
      <c r="A698" s="2">
        <v>42823</v>
      </c>
      <c r="B698" s="2" t="str">
        <f>TEXT(Table1[[#This Row],[Order Date]],"MMM")</f>
        <v>Mar</v>
      </c>
      <c r="C698" s="2" t="str">
        <f t="shared" si="10"/>
        <v>2017</v>
      </c>
      <c r="D698" s="1" t="s">
        <v>1276</v>
      </c>
      <c r="E698" s="1" t="s">
        <v>113</v>
      </c>
      <c r="F698" s="1" t="s">
        <v>11</v>
      </c>
      <c r="G698" s="1" t="s">
        <v>16</v>
      </c>
      <c r="H698" s="1" t="s">
        <v>1299</v>
      </c>
      <c r="I698" s="1">
        <v>20.23</v>
      </c>
      <c r="J698" s="1">
        <v>7</v>
      </c>
      <c r="K698" s="1">
        <v>9.51</v>
      </c>
    </row>
    <row r="699" spans="1:11" ht="12.75" x14ac:dyDescent="0.2">
      <c r="A699" s="2">
        <v>41758</v>
      </c>
      <c r="B699" s="2" t="str">
        <f>TEXT(Table1[[#This Row],[Order Date]],"MMM")</f>
        <v>Apr</v>
      </c>
      <c r="C699" s="2" t="str">
        <f t="shared" si="10"/>
        <v>2014</v>
      </c>
      <c r="D699" s="1" t="s">
        <v>799</v>
      </c>
      <c r="E699" s="1" t="s">
        <v>27</v>
      </c>
      <c r="F699" s="1" t="s">
        <v>38</v>
      </c>
      <c r="G699" s="1" t="s">
        <v>48</v>
      </c>
      <c r="H699" s="1" t="s">
        <v>1128</v>
      </c>
      <c r="I699" s="1">
        <v>1649.95</v>
      </c>
      <c r="J699" s="1">
        <v>5</v>
      </c>
      <c r="K699" s="1">
        <v>659.98</v>
      </c>
    </row>
    <row r="700" spans="1:11" ht="12.75" x14ac:dyDescent="0.2">
      <c r="A700" s="2">
        <v>42123</v>
      </c>
      <c r="B700" s="2" t="str">
        <f>TEXT(Table1[[#This Row],[Order Date]],"MMM")</f>
        <v>Apr</v>
      </c>
      <c r="C700" s="2" t="str">
        <f t="shared" si="10"/>
        <v>2015</v>
      </c>
      <c r="D700" s="1" t="s">
        <v>1241</v>
      </c>
      <c r="E700" s="1" t="s">
        <v>27</v>
      </c>
      <c r="F700" s="1" t="s">
        <v>11</v>
      </c>
      <c r="G700" s="1" t="s">
        <v>20</v>
      </c>
      <c r="H700" s="1" t="s">
        <v>289</v>
      </c>
      <c r="I700" s="1">
        <v>9.98</v>
      </c>
      <c r="J700" s="1">
        <v>4</v>
      </c>
      <c r="K700" s="1">
        <v>3.62</v>
      </c>
    </row>
    <row r="701" spans="1:11" ht="12.75" x14ac:dyDescent="0.2">
      <c r="A701" s="2">
        <v>42854</v>
      </c>
      <c r="B701" s="2" t="str">
        <f>TEXT(Table1[[#This Row],[Order Date]],"MMM")</f>
        <v>Apr</v>
      </c>
      <c r="C701" s="2" t="str">
        <f t="shared" si="10"/>
        <v>2017</v>
      </c>
      <c r="D701" s="1" t="s">
        <v>1196</v>
      </c>
      <c r="E701" s="1" t="s">
        <v>15</v>
      </c>
      <c r="F701" s="1" t="s">
        <v>33</v>
      </c>
      <c r="G701" s="1" t="s">
        <v>65</v>
      </c>
      <c r="H701" s="1" t="s">
        <v>66</v>
      </c>
      <c r="I701" s="1">
        <v>183.37</v>
      </c>
      <c r="J701" s="1">
        <v>2</v>
      </c>
      <c r="K701" s="1">
        <v>-36.67</v>
      </c>
    </row>
    <row r="702" spans="1:11" ht="12.75" x14ac:dyDescent="0.2">
      <c r="A702" s="2">
        <v>42153</v>
      </c>
      <c r="B702" s="2" t="str">
        <f>TEXT(Table1[[#This Row],[Order Date]],"MMM")</f>
        <v>May</v>
      </c>
      <c r="C702" s="2" t="str">
        <f t="shared" si="10"/>
        <v>2015</v>
      </c>
      <c r="D702" s="1" t="s">
        <v>1157</v>
      </c>
      <c r="E702" s="1" t="s">
        <v>187</v>
      </c>
      <c r="F702" s="1" t="s">
        <v>38</v>
      </c>
      <c r="G702" s="1" t="s">
        <v>48</v>
      </c>
      <c r="H702" s="1" t="s">
        <v>661</v>
      </c>
      <c r="I702" s="1">
        <v>79.989999999999995</v>
      </c>
      <c r="J702" s="1">
        <v>1</v>
      </c>
      <c r="K702" s="1">
        <v>22</v>
      </c>
    </row>
    <row r="703" spans="1:11" ht="12.75" x14ac:dyDescent="0.2">
      <c r="A703" s="2">
        <v>42519</v>
      </c>
      <c r="B703" s="2" t="str">
        <f>TEXT(Table1[[#This Row],[Order Date]],"MMM")</f>
        <v>May</v>
      </c>
      <c r="C703" s="2" t="str">
        <f t="shared" si="10"/>
        <v>2016</v>
      </c>
      <c r="D703" s="1" t="s">
        <v>949</v>
      </c>
      <c r="E703" s="1" t="s">
        <v>120</v>
      </c>
      <c r="F703" s="1" t="s">
        <v>33</v>
      </c>
      <c r="G703" s="1" t="s">
        <v>44</v>
      </c>
      <c r="H703" s="1" t="s">
        <v>967</v>
      </c>
      <c r="I703" s="1">
        <v>40.479999999999997</v>
      </c>
      <c r="J703" s="1">
        <v>2</v>
      </c>
      <c r="K703" s="1">
        <v>15.79</v>
      </c>
    </row>
    <row r="704" spans="1:11" ht="12.75" x14ac:dyDescent="0.2">
      <c r="A704" s="2">
        <v>41819</v>
      </c>
      <c r="B704" s="2" t="str">
        <f>TEXT(Table1[[#This Row],[Order Date]],"MMM")</f>
        <v>Jun</v>
      </c>
      <c r="C704" s="2" t="str">
        <f t="shared" si="10"/>
        <v>2014</v>
      </c>
      <c r="D704" s="1" t="s">
        <v>871</v>
      </c>
      <c r="E704" s="1" t="s">
        <v>101</v>
      </c>
      <c r="F704" s="1" t="s">
        <v>38</v>
      </c>
      <c r="G704" s="1" t="s">
        <v>39</v>
      </c>
      <c r="H704" s="1" t="s">
        <v>377</v>
      </c>
      <c r="I704" s="1">
        <v>4367.8999999999996</v>
      </c>
      <c r="J704" s="1">
        <v>13</v>
      </c>
      <c r="K704" s="1">
        <v>327.58999999999997</v>
      </c>
    </row>
    <row r="705" spans="1:11" ht="12.75" x14ac:dyDescent="0.2">
      <c r="A705" s="2">
        <v>42915</v>
      </c>
      <c r="B705" s="2" t="str">
        <f>TEXT(Table1[[#This Row],[Order Date]],"MMM")</f>
        <v>Jun</v>
      </c>
      <c r="C705" s="2" t="str">
        <f t="shared" si="10"/>
        <v>2017</v>
      </c>
      <c r="D705" s="1" t="s">
        <v>1055</v>
      </c>
      <c r="E705" s="1" t="s">
        <v>120</v>
      </c>
      <c r="F705" s="1" t="s">
        <v>11</v>
      </c>
      <c r="G705" s="1" t="s">
        <v>20</v>
      </c>
      <c r="H705" s="1" t="s">
        <v>500</v>
      </c>
      <c r="I705" s="1">
        <v>24.67</v>
      </c>
      <c r="J705" s="1">
        <v>4</v>
      </c>
      <c r="K705" s="1">
        <v>7.71</v>
      </c>
    </row>
    <row r="706" spans="1:11" ht="12.75" x14ac:dyDescent="0.2">
      <c r="A706" s="2">
        <v>41880</v>
      </c>
      <c r="B706" s="2" t="str">
        <f>TEXT(Table1[[#This Row],[Order Date]],"MMM")</f>
        <v>Aug</v>
      </c>
      <c r="C706" s="2" t="str">
        <f t="shared" ref="C706:C760" si="11">TEXT(A706,"YYY")</f>
        <v>2014</v>
      </c>
      <c r="D706" s="1" t="s">
        <v>147</v>
      </c>
      <c r="E706" s="1" t="s">
        <v>187</v>
      </c>
      <c r="F706" s="1" t="s">
        <v>11</v>
      </c>
      <c r="G706" s="1" t="s">
        <v>12</v>
      </c>
      <c r="H706" s="1" t="s">
        <v>1226</v>
      </c>
      <c r="I706" s="1">
        <v>192.16</v>
      </c>
      <c r="J706" s="1">
        <v>5</v>
      </c>
      <c r="K706" s="1">
        <v>67.260000000000005</v>
      </c>
    </row>
    <row r="707" spans="1:11" ht="12.75" x14ac:dyDescent="0.2">
      <c r="A707" s="2">
        <v>42245</v>
      </c>
      <c r="B707" s="2" t="str">
        <f>TEXT(Table1[[#This Row],[Order Date]],"MMM")</f>
        <v>Aug</v>
      </c>
      <c r="C707" s="2" t="str">
        <f t="shared" si="11"/>
        <v>2015</v>
      </c>
      <c r="D707" s="1" t="s">
        <v>816</v>
      </c>
      <c r="E707" s="1" t="s">
        <v>287</v>
      </c>
      <c r="F707" s="1" t="s">
        <v>33</v>
      </c>
      <c r="G707" s="1" t="s">
        <v>118</v>
      </c>
      <c r="H707" s="1" t="s">
        <v>1265</v>
      </c>
      <c r="I707" s="1">
        <v>1488.42</v>
      </c>
      <c r="J707" s="1">
        <v>7</v>
      </c>
      <c r="K707" s="1">
        <v>-297.68</v>
      </c>
    </row>
    <row r="708" spans="1:11" ht="12.75" x14ac:dyDescent="0.2">
      <c r="A708" s="2">
        <v>42611</v>
      </c>
      <c r="B708" s="2" t="str">
        <f>TEXT(Table1[[#This Row],[Order Date]],"MMM")</f>
        <v>Aug</v>
      </c>
      <c r="C708" s="2" t="str">
        <f t="shared" si="11"/>
        <v>2016</v>
      </c>
      <c r="D708" s="1" t="s">
        <v>220</v>
      </c>
      <c r="E708" s="1" t="s">
        <v>120</v>
      </c>
      <c r="F708" s="1" t="s">
        <v>33</v>
      </c>
      <c r="G708" s="1" t="s">
        <v>44</v>
      </c>
      <c r="H708" s="1" t="s">
        <v>1315</v>
      </c>
      <c r="I708" s="1">
        <v>114.9</v>
      </c>
      <c r="J708" s="1">
        <v>5</v>
      </c>
      <c r="K708" s="1">
        <v>39.07</v>
      </c>
    </row>
    <row r="709" spans="1:11" ht="12.75" x14ac:dyDescent="0.2">
      <c r="A709" s="2">
        <v>41911</v>
      </c>
      <c r="B709" s="2" t="str">
        <f>TEXT(Table1[[#This Row],[Order Date]],"MMM")</f>
        <v>Sep</v>
      </c>
      <c r="C709" s="2" t="str">
        <f t="shared" si="11"/>
        <v>2014</v>
      </c>
      <c r="D709" s="1" t="s">
        <v>563</v>
      </c>
      <c r="E709" s="1" t="s">
        <v>15</v>
      </c>
      <c r="F709" s="1" t="s">
        <v>11</v>
      </c>
      <c r="G709" s="1" t="s">
        <v>20</v>
      </c>
      <c r="H709" s="1" t="s">
        <v>750</v>
      </c>
      <c r="I709" s="1">
        <v>42.62</v>
      </c>
      <c r="J709" s="1">
        <v>7</v>
      </c>
      <c r="K709" s="1">
        <v>-68.19</v>
      </c>
    </row>
    <row r="710" spans="1:11" ht="12.75" x14ac:dyDescent="0.2">
      <c r="A710" s="2">
        <v>42642</v>
      </c>
      <c r="B710" s="2" t="str">
        <f>TEXT(Table1[[#This Row],[Order Date]],"MMM")</f>
        <v>Sep</v>
      </c>
      <c r="C710" s="2" t="str">
        <f t="shared" si="11"/>
        <v>2016</v>
      </c>
      <c r="D710" s="1" t="s">
        <v>169</v>
      </c>
      <c r="E710" s="1" t="s">
        <v>15</v>
      </c>
      <c r="F710" s="1" t="s">
        <v>38</v>
      </c>
      <c r="G710" s="1" t="s">
        <v>39</v>
      </c>
      <c r="H710" s="1" t="s">
        <v>529</v>
      </c>
      <c r="I710" s="1">
        <v>147.16999999999999</v>
      </c>
      <c r="J710" s="1">
        <v>4</v>
      </c>
      <c r="K710" s="1">
        <v>16.559999999999999</v>
      </c>
    </row>
    <row r="711" spans="1:11" ht="12.75" x14ac:dyDescent="0.2">
      <c r="A711" s="2">
        <v>41941</v>
      </c>
      <c r="B711" s="2" t="str">
        <f>TEXT(Table1[[#This Row],[Order Date]],"MMM")</f>
        <v>Oct</v>
      </c>
      <c r="C711" s="2" t="str">
        <f t="shared" si="11"/>
        <v>2014</v>
      </c>
      <c r="D711" s="1" t="s">
        <v>755</v>
      </c>
      <c r="E711" s="1" t="s">
        <v>27</v>
      </c>
      <c r="F711" s="1" t="s">
        <v>33</v>
      </c>
      <c r="G711" s="1" t="s">
        <v>44</v>
      </c>
      <c r="H711" s="1" t="s">
        <v>989</v>
      </c>
      <c r="I711" s="1">
        <v>8.36</v>
      </c>
      <c r="J711" s="1">
        <v>2</v>
      </c>
      <c r="K711" s="1">
        <v>3.01</v>
      </c>
    </row>
    <row r="712" spans="1:11" ht="12.75" x14ac:dyDescent="0.2">
      <c r="A712" s="2">
        <v>42306</v>
      </c>
      <c r="B712" s="2" t="str">
        <f>TEXT(Table1[[#This Row],[Order Date]],"MMM")</f>
        <v>Oct</v>
      </c>
      <c r="C712" s="2" t="str">
        <f t="shared" si="11"/>
        <v>2015</v>
      </c>
      <c r="D712" s="1" t="s">
        <v>106</v>
      </c>
      <c r="E712" s="1" t="s">
        <v>187</v>
      </c>
      <c r="F712" s="1" t="s">
        <v>11</v>
      </c>
      <c r="G712" s="1" t="s">
        <v>24</v>
      </c>
      <c r="H712" s="1" t="s">
        <v>584</v>
      </c>
      <c r="I712" s="1">
        <v>15.92</v>
      </c>
      <c r="J712" s="1">
        <v>5</v>
      </c>
      <c r="K712" s="1">
        <v>2.79</v>
      </c>
    </row>
    <row r="713" spans="1:11" ht="12.75" x14ac:dyDescent="0.2">
      <c r="A713" s="2">
        <v>43037</v>
      </c>
      <c r="B713" s="2" t="str">
        <f>TEXT(Table1[[#This Row],[Order Date]],"MMM")</f>
        <v>Oct</v>
      </c>
      <c r="C713" s="2" t="str">
        <f t="shared" si="11"/>
        <v>2017</v>
      </c>
      <c r="D713" s="1" t="s">
        <v>1129</v>
      </c>
      <c r="E713" s="1" t="s">
        <v>10</v>
      </c>
      <c r="F713" s="1" t="s">
        <v>11</v>
      </c>
      <c r="G713" s="1" t="s">
        <v>12</v>
      </c>
      <c r="H713" s="1" t="s">
        <v>605</v>
      </c>
      <c r="I713" s="1">
        <v>31.87</v>
      </c>
      <c r="J713" s="1">
        <v>8</v>
      </c>
      <c r="K713" s="1">
        <v>11.55</v>
      </c>
    </row>
    <row r="714" spans="1:11" ht="12.75" x14ac:dyDescent="0.2">
      <c r="A714" s="2">
        <v>41972</v>
      </c>
      <c r="B714" s="2" t="str">
        <f>TEXT(Table1[[#This Row],[Order Date]],"MMM")</f>
        <v>Nov</v>
      </c>
      <c r="C714" s="2" t="str">
        <f t="shared" si="11"/>
        <v>2014</v>
      </c>
      <c r="D714" s="1" t="s">
        <v>641</v>
      </c>
      <c r="E714" s="1" t="s">
        <v>27</v>
      </c>
      <c r="F714" s="1" t="s">
        <v>11</v>
      </c>
      <c r="G714" s="1" t="s">
        <v>12</v>
      </c>
      <c r="H714" s="1" t="s">
        <v>1080</v>
      </c>
      <c r="I714" s="1">
        <v>8.82</v>
      </c>
      <c r="J714" s="1">
        <v>2</v>
      </c>
      <c r="K714" s="1">
        <v>4.0599999999999996</v>
      </c>
    </row>
    <row r="715" spans="1:11" ht="12.75" x14ac:dyDescent="0.2">
      <c r="A715" s="2">
        <v>42337</v>
      </c>
      <c r="B715" s="2" t="str">
        <f>TEXT(Table1[[#This Row],[Order Date]],"MMM")</f>
        <v>Nov</v>
      </c>
      <c r="C715" s="2" t="str">
        <f t="shared" si="11"/>
        <v>2015</v>
      </c>
      <c r="D715" s="1" t="s">
        <v>53</v>
      </c>
      <c r="E715" s="1" t="s">
        <v>120</v>
      </c>
      <c r="F715" s="1" t="s">
        <v>33</v>
      </c>
      <c r="G715" s="1" t="s">
        <v>34</v>
      </c>
      <c r="H715" s="1" t="s">
        <v>1249</v>
      </c>
      <c r="I715" s="1">
        <v>272.64999999999998</v>
      </c>
      <c r="J715" s="1">
        <v>3</v>
      </c>
      <c r="K715" s="1">
        <v>18.18</v>
      </c>
    </row>
    <row r="716" spans="1:11" ht="12.75" x14ac:dyDescent="0.2">
      <c r="A716" s="2">
        <v>42703</v>
      </c>
      <c r="B716" s="2" t="str">
        <f>TEXT(Table1[[#This Row],[Order Date]],"MMM")</f>
        <v>Nov</v>
      </c>
      <c r="C716" s="2" t="str">
        <f t="shared" si="11"/>
        <v>2016</v>
      </c>
      <c r="D716" s="1" t="s">
        <v>698</v>
      </c>
      <c r="E716" s="1" t="s">
        <v>221</v>
      </c>
      <c r="F716" s="1" t="s">
        <v>11</v>
      </c>
      <c r="G716" s="1" t="s">
        <v>20</v>
      </c>
      <c r="H716" s="1" t="s">
        <v>552</v>
      </c>
      <c r="I716" s="1">
        <v>20.16</v>
      </c>
      <c r="J716" s="1">
        <v>7</v>
      </c>
      <c r="K716" s="1">
        <v>9.8800000000000008</v>
      </c>
    </row>
    <row r="717" spans="1:11" ht="12.75" x14ac:dyDescent="0.2">
      <c r="A717" s="2">
        <v>43068</v>
      </c>
      <c r="B717" s="2" t="str">
        <f>TEXT(Table1[[#This Row],[Order Date]],"MMM")</f>
        <v>Nov</v>
      </c>
      <c r="C717" s="2" t="str">
        <f t="shared" si="11"/>
        <v>2017</v>
      </c>
      <c r="D717" s="1" t="s">
        <v>1197</v>
      </c>
      <c r="E717" s="1" t="s">
        <v>101</v>
      </c>
      <c r="F717" s="1" t="s">
        <v>33</v>
      </c>
      <c r="G717" s="1" t="s">
        <v>34</v>
      </c>
      <c r="H717" s="1" t="s">
        <v>823</v>
      </c>
      <c r="I717" s="1">
        <v>419.14</v>
      </c>
      <c r="J717" s="1">
        <v>4</v>
      </c>
      <c r="K717" s="1">
        <v>-57.63</v>
      </c>
    </row>
    <row r="718" spans="1:11" ht="12.75" x14ac:dyDescent="0.2">
      <c r="A718" s="2">
        <v>42002</v>
      </c>
      <c r="B718" s="2" t="str">
        <f>TEXT(Table1[[#This Row],[Order Date]],"MMM")</f>
        <v>Dec</v>
      </c>
      <c r="C718" s="2" t="str">
        <f t="shared" si="11"/>
        <v>2014</v>
      </c>
      <c r="D718" s="1" t="s">
        <v>867</v>
      </c>
      <c r="E718" s="1" t="s">
        <v>10</v>
      </c>
      <c r="F718" s="1" t="s">
        <v>11</v>
      </c>
      <c r="G718" s="1" t="s">
        <v>24</v>
      </c>
      <c r="H718" s="1" t="s">
        <v>1217</v>
      </c>
      <c r="I718" s="1">
        <v>6.67</v>
      </c>
      <c r="J718" s="1">
        <v>6</v>
      </c>
      <c r="K718" s="1">
        <v>0.5</v>
      </c>
    </row>
    <row r="719" spans="1:11" ht="12.75" x14ac:dyDescent="0.2">
      <c r="A719" s="2">
        <v>42367</v>
      </c>
      <c r="B719" s="2" t="str">
        <f>TEXT(Table1[[#This Row],[Order Date]],"MMM")</f>
        <v>Dec</v>
      </c>
      <c r="C719" s="2" t="str">
        <f t="shared" si="11"/>
        <v>2015</v>
      </c>
      <c r="D719" s="1" t="s">
        <v>865</v>
      </c>
      <c r="E719" s="1" t="s">
        <v>221</v>
      </c>
      <c r="F719" s="1" t="s">
        <v>11</v>
      </c>
      <c r="G719" s="1" t="s">
        <v>20</v>
      </c>
      <c r="H719" s="1" t="s">
        <v>693</v>
      </c>
      <c r="I719" s="1">
        <v>1793.98</v>
      </c>
      <c r="J719" s="1">
        <v>2</v>
      </c>
      <c r="K719" s="1">
        <v>843.17</v>
      </c>
    </row>
    <row r="720" spans="1:11" ht="12.75" x14ac:dyDescent="0.2">
      <c r="A720" s="2">
        <v>42733</v>
      </c>
      <c r="B720" s="2" t="str">
        <f>TEXT(Table1[[#This Row],[Order Date]],"MMM")</f>
        <v>Dec</v>
      </c>
      <c r="C720" s="2" t="str">
        <f t="shared" si="11"/>
        <v>2016</v>
      </c>
      <c r="D720" s="1" t="s">
        <v>646</v>
      </c>
      <c r="E720" s="1" t="s">
        <v>334</v>
      </c>
      <c r="F720" s="1" t="s">
        <v>33</v>
      </c>
      <c r="G720" s="1" t="s">
        <v>44</v>
      </c>
      <c r="H720" s="1" t="s">
        <v>1056</v>
      </c>
      <c r="I720" s="1">
        <v>41.96</v>
      </c>
      <c r="J720" s="1">
        <v>2</v>
      </c>
      <c r="K720" s="1">
        <v>2.94</v>
      </c>
    </row>
    <row r="721" spans="1:11" ht="12.75" x14ac:dyDescent="0.2">
      <c r="A721" s="2">
        <v>41669</v>
      </c>
      <c r="B721" s="2" t="str">
        <f>TEXT(Table1[[#This Row],[Order Date]],"MMM")</f>
        <v>Jan</v>
      </c>
      <c r="C721" s="2" t="str">
        <f t="shared" si="11"/>
        <v>2014</v>
      </c>
      <c r="D721" s="1" t="s">
        <v>56</v>
      </c>
      <c r="E721" s="1" t="s">
        <v>27</v>
      </c>
      <c r="F721" s="1" t="s">
        <v>38</v>
      </c>
      <c r="G721" s="1" t="s">
        <v>39</v>
      </c>
      <c r="H721" s="1" t="s">
        <v>860</v>
      </c>
      <c r="I721" s="1">
        <v>103.19</v>
      </c>
      <c r="J721" s="1">
        <v>1</v>
      </c>
      <c r="K721" s="1">
        <v>11.61</v>
      </c>
    </row>
    <row r="722" spans="1:11" ht="12.75" x14ac:dyDescent="0.2">
      <c r="A722" s="2">
        <v>42034</v>
      </c>
      <c r="B722" s="2" t="str">
        <f>TEXT(Table1[[#This Row],[Order Date]],"MMM")</f>
        <v>Jan</v>
      </c>
      <c r="C722" s="2" t="str">
        <f t="shared" si="11"/>
        <v>2015</v>
      </c>
      <c r="D722" s="1" t="s">
        <v>806</v>
      </c>
      <c r="E722" s="1" t="s">
        <v>187</v>
      </c>
      <c r="F722" s="1" t="s">
        <v>11</v>
      </c>
      <c r="G722" s="1" t="s">
        <v>12</v>
      </c>
      <c r="H722" s="1" t="s">
        <v>710</v>
      </c>
      <c r="I722" s="1">
        <v>10.82</v>
      </c>
      <c r="J722" s="1">
        <v>4</v>
      </c>
      <c r="K722" s="1">
        <v>3.52</v>
      </c>
    </row>
    <row r="723" spans="1:11" ht="12.75" x14ac:dyDescent="0.2">
      <c r="A723" s="2">
        <v>42765</v>
      </c>
      <c r="B723" s="2" t="str">
        <f>TEXT(Table1[[#This Row],[Order Date]],"MMM")</f>
        <v>Jan</v>
      </c>
      <c r="C723" s="2" t="str">
        <f t="shared" si="11"/>
        <v>2017</v>
      </c>
      <c r="D723" s="1" t="s">
        <v>602</v>
      </c>
      <c r="E723" s="1" t="s">
        <v>15</v>
      </c>
      <c r="F723" s="1" t="s">
        <v>33</v>
      </c>
      <c r="G723" s="1" t="s">
        <v>34</v>
      </c>
      <c r="H723" s="1" t="s">
        <v>1201</v>
      </c>
      <c r="I723" s="1">
        <v>239.36</v>
      </c>
      <c r="J723" s="1">
        <v>3</v>
      </c>
      <c r="K723" s="1">
        <v>-47.87</v>
      </c>
    </row>
    <row r="724" spans="1:11" ht="12.75" x14ac:dyDescent="0.2">
      <c r="A724" s="2">
        <v>41728</v>
      </c>
      <c r="B724" s="2" t="str">
        <f>TEXT(Table1[[#This Row],[Order Date]],"MMM")</f>
        <v>Mar</v>
      </c>
      <c r="C724" s="2" t="str">
        <f t="shared" si="11"/>
        <v>2014</v>
      </c>
      <c r="D724" s="1" t="s">
        <v>405</v>
      </c>
      <c r="E724" s="1" t="s">
        <v>15</v>
      </c>
      <c r="F724" s="1" t="s">
        <v>33</v>
      </c>
      <c r="G724" s="1" t="s">
        <v>34</v>
      </c>
      <c r="H724" s="1" t="s">
        <v>276</v>
      </c>
      <c r="I724" s="1">
        <v>254.6</v>
      </c>
      <c r="J724" s="1">
        <v>14</v>
      </c>
      <c r="K724" s="1">
        <v>-18.190000000000001</v>
      </c>
    </row>
    <row r="725" spans="1:11" ht="12.75" x14ac:dyDescent="0.2">
      <c r="A725" s="2">
        <v>42824</v>
      </c>
      <c r="B725" s="2" t="str">
        <f>TEXT(Table1[[#This Row],[Order Date]],"MMM")</f>
        <v>Mar</v>
      </c>
      <c r="C725" s="2" t="str">
        <f t="shared" si="11"/>
        <v>2017</v>
      </c>
      <c r="D725" s="1" t="s">
        <v>448</v>
      </c>
      <c r="E725" s="1" t="s">
        <v>27</v>
      </c>
      <c r="F725" s="1" t="s">
        <v>11</v>
      </c>
      <c r="G725" s="1" t="s">
        <v>24</v>
      </c>
      <c r="H725" s="1" t="s">
        <v>1328</v>
      </c>
      <c r="I725" s="1">
        <v>87.92</v>
      </c>
      <c r="J725" s="1">
        <v>4</v>
      </c>
      <c r="K725" s="1">
        <v>26.38</v>
      </c>
    </row>
    <row r="726" spans="1:11" ht="12.75" x14ac:dyDescent="0.2">
      <c r="A726" s="2">
        <v>41759</v>
      </c>
      <c r="B726" s="2" t="str">
        <f>TEXT(Table1[[#This Row],[Order Date]],"MMM")</f>
        <v>Apr</v>
      </c>
      <c r="C726" s="2" t="str">
        <f t="shared" si="11"/>
        <v>2014</v>
      </c>
      <c r="D726" s="1" t="s">
        <v>940</v>
      </c>
      <c r="E726" s="1" t="s">
        <v>863</v>
      </c>
      <c r="F726" s="1" t="s">
        <v>11</v>
      </c>
      <c r="G726" s="1" t="s">
        <v>18</v>
      </c>
      <c r="H726" s="1" t="s">
        <v>382</v>
      </c>
      <c r="I726" s="1">
        <v>49.96</v>
      </c>
      <c r="J726" s="1">
        <v>2</v>
      </c>
      <c r="K726" s="1">
        <v>9.49</v>
      </c>
    </row>
    <row r="727" spans="1:11" ht="12.75" x14ac:dyDescent="0.2">
      <c r="A727" s="2">
        <v>42124</v>
      </c>
      <c r="B727" s="2" t="str">
        <f>TEXT(Table1[[#This Row],[Order Date]],"MMM")</f>
        <v>Apr</v>
      </c>
      <c r="C727" s="2" t="str">
        <f t="shared" si="11"/>
        <v>2015</v>
      </c>
      <c r="D727" s="1" t="s">
        <v>1329</v>
      </c>
      <c r="E727" s="1" t="s">
        <v>101</v>
      </c>
      <c r="F727" s="1" t="s">
        <v>33</v>
      </c>
      <c r="G727" s="1" t="s">
        <v>34</v>
      </c>
      <c r="H727" s="1" t="s">
        <v>210</v>
      </c>
      <c r="I727" s="1">
        <v>683.95</v>
      </c>
      <c r="J727" s="1">
        <v>3</v>
      </c>
      <c r="K727" s="1">
        <v>42.75</v>
      </c>
    </row>
    <row r="728" spans="1:11" ht="12.75" x14ac:dyDescent="0.2">
      <c r="A728" s="2">
        <v>41789</v>
      </c>
      <c r="B728" s="2" t="str">
        <f>TEXT(Table1[[#This Row],[Order Date]],"MMM")</f>
        <v>May</v>
      </c>
      <c r="C728" s="2" t="str">
        <f t="shared" si="11"/>
        <v>2014</v>
      </c>
      <c r="D728" s="1" t="s">
        <v>751</v>
      </c>
      <c r="E728" s="1" t="s">
        <v>120</v>
      </c>
      <c r="F728" s="1" t="s">
        <v>38</v>
      </c>
      <c r="G728" s="1" t="s">
        <v>388</v>
      </c>
      <c r="H728" s="1" t="s">
        <v>1287</v>
      </c>
      <c r="I728" s="1">
        <v>11199.97</v>
      </c>
      <c r="J728" s="1">
        <v>4</v>
      </c>
      <c r="K728" s="1">
        <v>3919.99</v>
      </c>
    </row>
    <row r="729" spans="1:11" ht="12.75" x14ac:dyDescent="0.2">
      <c r="A729" s="2">
        <v>42154</v>
      </c>
      <c r="B729" s="2" t="str">
        <f>TEXT(Table1[[#This Row],[Order Date]],"MMM")</f>
        <v>May</v>
      </c>
      <c r="C729" s="2" t="str">
        <f t="shared" si="11"/>
        <v>2015</v>
      </c>
      <c r="D729" s="1" t="s">
        <v>871</v>
      </c>
      <c r="E729" s="1" t="s">
        <v>10</v>
      </c>
      <c r="F729" s="1" t="s">
        <v>33</v>
      </c>
      <c r="G729" s="1" t="s">
        <v>118</v>
      </c>
      <c r="H729" s="1" t="s">
        <v>771</v>
      </c>
      <c r="I729" s="1">
        <v>517.41</v>
      </c>
      <c r="J729" s="1">
        <v>5</v>
      </c>
      <c r="K729" s="1">
        <v>-81.31</v>
      </c>
    </row>
    <row r="730" spans="1:11" ht="12.75" x14ac:dyDescent="0.2">
      <c r="A730" s="2">
        <v>41820</v>
      </c>
      <c r="B730" s="2" t="str">
        <f>TEXT(Table1[[#This Row],[Order Date]],"MMM")</f>
        <v>Jun</v>
      </c>
      <c r="C730" s="2" t="str">
        <f t="shared" si="11"/>
        <v>2014</v>
      </c>
      <c r="D730" s="1" t="s">
        <v>417</v>
      </c>
      <c r="E730" s="1" t="s">
        <v>221</v>
      </c>
      <c r="F730" s="1" t="s">
        <v>38</v>
      </c>
      <c r="G730" s="1" t="s">
        <v>48</v>
      </c>
      <c r="H730" s="1" t="s">
        <v>1188</v>
      </c>
      <c r="I730" s="1">
        <v>19.989999999999998</v>
      </c>
      <c r="J730" s="1">
        <v>1</v>
      </c>
      <c r="K730" s="1">
        <v>6.8</v>
      </c>
    </row>
    <row r="731" spans="1:11" ht="12.75" x14ac:dyDescent="0.2">
      <c r="A731" s="2">
        <v>42551</v>
      </c>
      <c r="B731" s="2" t="str">
        <f>TEXT(Table1[[#This Row],[Order Date]],"MMM")</f>
        <v>Jun</v>
      </c>
      <c r="C731" s="2" t="str">
        <f t="shared" si="11"/>
        <v>2016</v>
      </c>
      <c r="D731" s="1" t="s">
        <v>374</v>
      </c>
      <c r="E731" s="1" t="s">
        <v>120</v>
      </c>
      <c r="F731" s="1" t="s">
        <v>11</v>
      </c>
      <c r="G731" s="1" t="s">
        <v>12</v>
      </c>
      <c r="H731" s="1" t="s">
        <v>1115</v>
      </c>
      <c r="I731" s="1">
        <v>46.96</v>
      </c>
      <c r="J731" s="1">
        <v>8</v>
      </c>
      <c r="K731" s="1">
        <v>22.54</v>
      </c>
    </row>
    <row r="732" spans="1:11" ht="12.75" x14ac:dyDescent="0.2">
      <c r="A732" s="2">
        <v>42916</v>
      </c>
      <c r="B732" s="2" t="str">
        <f>TEXT(Table1[[#This Row],[Order Date]],"MMM")</f>
        <v>Jun</v>
      </c>
      <c r="C732" s="2" t="str">
        <f t="shared" si="11"/>
        <v>2017</v>
      </c>
      <c r="D732" s="1" t="s">
        <v>490</v>
      </c>
      <c r="E732" s="1" t="s">
        <v>187</v>
      </c>
      <c r="F732" s="1" t="s">
        <v>38</v>
      </c>
      <c r="G732" s="1" t="s">
        <v>214</v>
      </c>
      <c r="H732" s="1" t="s">
        <v>1330</v>
      </c>
      <c r="I732" s="1">
        <v>7999.98</v>
      </c>
      <c r="J732" s="1">
        <v>4</v>
      </c>
      <c r="K732" s="1">
        <v>-3839.99</v>
      </c>
    </row>
    <row r="733" spans="1:11" ht="12.75" x14ac:dyDescent="0.2">
      <c r="A733" s="2">
        <v>41850</v>
      </c>
      <c r="B733" s="2" t="str">
        <f>TEXT(Table1[[#This Row],[Order Date]],"MMM")</f>
        <v>Jul</v>
      </c>
      <c r="C733" s="2" t="str">
        <f t="shared" si="11"/>
        <v>2014</v>
      </c>
      <c r="D733" s="1" t="s">
        <v>684</v>
      </c>
      <c r="E733" s="1" t="s">
        <v>83</v>
      </c>
      <c r="F733" s="1" t="s">
        <v>11</v>
      </c>
      <c r="G733" s="1" t="s">
        <v>20</v>
      </c>
      <c r="H733" s="1" t="s">
        <v>797</v>
      </c>
      <c r="I733" s="1">
        <v>2.39</v>
      </c>
      <c r="J733" s="1">
        <v>2</v>
      </c>
      <c r="K733" s="1">
        <v>-1.83</v>
      </c>
    </row>
    <row r="734" spans="1:11" ht="12.75" x14ac:dyDescent="0.2">
      <c r="A734" s="2">
        <v>41881</v>
      </c>
      <c r="B734" s="2" t="str">
        <f>TEXT(Table1[[#This Row],[Order Date]],"MMM")</f>
        <v>Aug</v>
      </c>
      <c r="C734" s="2" t="str">
        <f t="shared" si="11"/>
        <v>2014</v>
      </c>
      <c r="D734" s="1" t="s">
        <v>1178</v>
      </c>
      <c r="E734" s="1" t="s">
        <v>79</v>
      </c>
      <c r="F734" s="1" t="s">
        <v>11</v>
      </c>
      <c r="G734" s="1" t="s">
        <v>20</v>
      </c>
      <c r="H734" s="1" t="s">
        <v>834</v>
      </c>
      <c r="I734" s="1">
        <v>5.68</v>
      </c>
      <c r="J734" s="1">
        <v>1</v>
      </c>
      <c r="K734" s="1">
        <v>-3.79</v>
      </c>
    </row>
    <row r="735" spans="1:11" ht="12.75" x14ac:dyDescent="0.2">
      <c r="A735" s="2">
        <v>42612</v>
      </c>
      <c r="B735" s="2" t="str">
        <f>TEXT(Table1[[#This Row],[Order Date]],"MMM")</f>
        <v>Aug</v>
      </c>
      <c r="C735" s="2" t="str">
        <f t="shared" si="11"/>
        <v>2016</v>
      </c>
      <c r="D735" s="1" t="s">
        <v>1167</v>
      </c>
      <c r="E735" s="1" t="s">
        <v>120</v>
      </c>
      <c r="F735" s="1" t="s">
        <v>33</v>
      </c>
      <c r="G735" s="1" t="s">
        <v>44</v>
      </c>
      <c r="H735" s="1" t="s">
        <v>575</v>
      </c>
      <c r="I735" s="1">
        <v>96.53</v>
      </c>
      <c r="J735" s="1">
        <v>7</v>
      </c>
      <c r="K735" s="1">
        <v>40.54</v>
      </c>
    </row>
    <row r="736" spans="1:11" ht="12.75" x14ac:dyDescent="0.2">
      <c r="A736" s="2">
        <v>41912</v>
      </c>
      <c r="B736" s="2" t="str">
        <f>TEXT(Table1[[#This Row],[Order Date]],"MMM")</f>
        <v>Sep</v>
      </c>
      <c r="C736" s="2" t="str">
        <f t="shared" si="11"/>
        <v>2014</v>
      </c>
      <c r="D736" s="1" t="s">
        <v>440</v>
      </c>
      <c r="E736" s="1" t="s">
        <v>10</v>
      </c>
      <c r="F736" s="1" t="s">
        <v>11</v>
      </c>
      <c r="G736" s="1" t="s">
        <v>16</v>
      </c>
      <c r="H736" s="1" t="s">
        <v>916</v>
      </c>
      <c r="I736" s="1">
        <v>10.44</v>
      </c>
      <c r="J736" s="1">
        <v>5</v>
      </c>
      <c r="K736" s="1">
        <v>3.39</v>
      </c>
    </row>
    <row r="737" spans="1:11" ht="12.75" x14ac:dyDescent="0.2">
      <c r="A737" s="2">
        <v>42307</v>
      </c>
      <c r="B737" s="2" t="str">
        <f>TEXT(Table1[[#This Row],[Order Date]],"MMM")</f>
        <v>Oct</v>
      </c>
      <c r="C737" s="2" t="str">
        <f t="shared" si="11"/>
        <v>2015</v>
      </c>
      <c r="D737" s="1" t="s">
        <v>1059</v>
      </c>
      <c r="E737" s="1" t="s">
        <v>101</v>
      </c>
      <c r="F737" s="1" t="s">
        <v>33</v>
      </c>
      <c r="G737" s="1" t="s">
        <v>44</v>
      </c>
      <c r="H737" s="1" t="s">
        <v>930</v>
      </c>
      <c r="I737" s="1">
        <v>220.06</v>
      </c>
      <c r="J737" s="1">
        <v>4</v>
      </c>
      <c r="K737" s="1">
        <v>55.02</v>
      </c>
    </row>
    <row r="738" spans="1:11" ht="12.75" x14ac:dyDescent="0.2">
      <c r="A738" s="2">
        <v>41973</v>
      </c>
      <c r="B738" s="2" t="str">
        <f>TEXT(Table1[[#This Row],[Order Date]],"MMM")</f>
        <v>Nov</v>
      </c>
      <c r="C738" s="2" t="str">
        <f t="shared" si="11"/>
        <v>2014</v>
      </c>
      <c r="D738" s="1" t="s">
        <v>681</v>
      </c>
      <c r="E738" s="1" t="s">
        <v>51</v>
      </c>
      <c r="F738" s="1" t="s">
        <v>11</v>
      </c>
      <c r="G738" s="1" t="s">
        <v>80</v>
      </c>
      <c r="H738" s="1" t="s">
        <v>978</v>
      </c>
      <c r="I738" s="1">
        <v>35.04</v>
      </c>
      <c r="J738" s="1">
        <v>2</v>
      </c>
      <c r="K738" s="1">
        <v>12.26</v>
      </c>
    </row>
    <row r="739" spans="1:11" ht="12.75" x14ac:dyDescent="0.2">
      <c r="A739" s="2">
        <v>42338</v>
      </c>
      <c r="B739" s="2" t="str">
        <f>TEXT(Table1[[#This Row],[Order Date]],"MMM")</f>
        <v>Nov</v>
      </c>
      <c r="C739" s="2" t="str">
        <f t="shared" si="11"/>
        <v>2015</v>
      </c>
      <c r="D739" s="1" t="s">
        <v>1135</v>
      </c>
      <c r="E739" s="1" t="s">
        <v>15</v>
      </c>
      <c r="F739" s="1" t="s">
        <v>33</v>
      </c>
      <c r="G739" s="1" t="s">
        <v>118</v>
      </c>
      <c r="H739" s="1" t="s">
        <v>928</v>
      </c>
      <c r="I739" s="1">
        <v>219.08</v>
      </c>
      <c r="J739" s="1">
        <v>3</v>
      </c>
      <c r="K739" s="1">
        <v>-131.44999999999999</v>
      </c>
    </row>
    <row r="740" spans="1:11" ht="12.75" x14ac:dyDescent="0.2">
      <c r="A740" s="2">
        <v>42704</v>
      </c>
      <c r="B740" s="2" t="str">
        <f>TEXT(Table1[[#This Row],[Order Date]],"MMM")</f>
        <v>Nov</v>
      </c>
      <c r="C740" s="2" t="str">
        <f t="shared" si="11"/>
        <v>2016</v>
      </c>
      <c r="D740" s="1" t="s">
        <v>1275</v>
      </c>
      <c r="E740" s="1" t="s">
        <v>187</v>
      </c>
      <c r="F740" s="1" t="s">
        <v>38</v>
      </c>
      <c r="G740" s="1" t="s">
        <v>48</v>
      </c>
      <c r="H740" s="1" t="s">
        <v>1045</v>
      </c>
      <c r="I740" s="1">
        <v>74.11</v>
      </c>
      <c r="J740" s="1">
        <v>8</v>
      </c>
      <c r="K740" s="1">
        <v>17.600000000000001</v>
      </c>
    </row>
    <row r="741" spans="1:11" ht="12.75" x14ac:dyDescent="0.2">
      <c r="A741" s="2">
        <v>43069</v>
      </c>
      <c r="B741" s="2" t="str">
        <f>TEXT(Table1[[#This Row],[Order Date]],"MMM")</f>
        <v>Nov</v>
      </c>
      <c r="C741" s="2" t="str">
        <f t="shared" si="11"/>
        <v>2017</v>
      </c>
      <c r="D741" s="1" t="s">
        <v>838</v>
      </c>
      <c r="E741" s="1" t="s">
        <v>148</v>
      </c>
      <c r="F741" s="1" t="s">
        <v>33</v>
      </c>
      <c r="G741" s="1" t="s">
        <v>44</v>
      </c>
      <c r="H741" s="1" t="s">
        <v>1088</v>
      </c>
      <c r="I741" s="1">
        <v>126.3</v>
      </c>
      <c r="J741" s="1">
        <v>3</v>
      </c>
      <c r="K741" s="1">
        <v>40.42</v>
      </c>
    </row>
    <row r="742" spans="1:11" ht="12.75" x14ac:dyDescent="0.2">
      <c r="A742" s="2">
        <v>42003</v>
      </c>
      <c r="B742" s="2" t="str">
        <f>TEXT(Table1[[#This Row],[Order Date]],"MMM")</f>
        <v>Dec</v>
      </c>
      <c r="C742" s="2" t="str">
        <f t="shared" si="11"/>
        <v>2014</v>
      </c>
      <c r="D742" s="1" t="s">
        <v>568</v>
      </c>
      <c r="E742" s="1" t="s">
        <v>127</v>
      </c>
      <c r="F742" s="1" t="s">
        <v>33</v>
      </c>
      <c r="G742" s="1" t="s">
        <v>44</v>
      </c>
      <c r="H742" s="1" t="s">
        <v>347</v>
      </c>
      <c r="I742" s="1">
        <v>46.94</v>
      </c>
      <c r="J742" s="1">
        <v>1</v>
      </c>
      <c r="K742" s="1">
        <v>19.25</v>
      </c>
    </row>
    <row r="743" spans="1:11" ht="12.75" x14ac:dyDescent="0.2">
      <c r="A743" s="2">
        <v>42368</v>
      </c>
      <c r="B743" s="2" t="str">
        <f>TEXT(Table1[[#This Row],[Order Date]],"MMM")</f>
        <v>Dec</v>
      </c>
      <c r="C743" s="2" t="str">
        <f t="shared" si="11"/>
        <v>2015</v>
      </c>
      <c r="D743" s="1" t="s">
        <v>434</v>
      </c>
      <c r="E743" s="1" t="s">
        <v>98</v>
      </c>
      <c r="F743" s="1" t="s">
        <v>33</v>
      </c>
      <c r="G743" s="1" t="s">
        <v>34</v>
      </c>
      <c r="H743" s="1" t="s">
        <v>530</v>
      </c>
      <c r="I743" s="1">
        <v>390.37</v>
      </c>
      <c r="J743" s="1">
        <v>2</v>
      </c>
      <c r="K743" s="1">
        <v>48.8</v>
      </c>
    </row>
    <row r="744" spans="1:11" ht="12.75" x14ac:dyDescent="0.2">
      <c r="A744" s="2">
        <v>41670</v>
      </c>
      <c r="B744" s="2" t="str">
        <f>TEXT(Table1[[#This Row],[Order Date]],"MMM")</f>
        <v>Jan</v>
      </c>
      <c r="C744" s="2" t="str">
        <f t="shared" si="11"/>
        <v>2014</v>
      </c>
      <c r="D744" s="1" t="s">
        <v>403</v>
      </c>
      <c r="E744" s="1" t="s">
        <v>120</v>
      </c>
      <c r="F744" s="1" t="s">
        <v>11</v>
      </c>
      <c r="G744" s="1" t="s">
        <v>20</v>
      </c>
      <c r="H744" s="1" t="s">
        <v>1012</v>
      </c>
      <c r="I744" s="1">
        <v>68.47</v>
      </c>
      <c r="J744" s="1">
        <v>3</v>
      </c>
      <c r="K744" s="1">
        <v>23.11</v>
      </c>
    </row>
    <row r="745" spans="1:11" ht="12.75" x14ac:dyDescent="0.2">
      <c r="A745" s="2">
        <v>42035</v>
      </c>
      <c r="B745" s="2" t="str">
        <f>TEXT(Table1[[#This Row],[Order Date]],"MMM")</f>
        <v>Jan</v>
      </c>
      <c r="C745" s="2" t="str">
        <f t="shared" si="11"/>
        <v>2015</v>
      </c>
      <c r="D745" s="1" t="s">
        <v>672</v>
      </c>
      <c r="E745" s="1" t="s">
        <v>94</v>
      </c>
      <c r="F745" s="1" t="s">
        <v>11</v>
      </c>
      <c r="G745" s="1" t="s">
        <v>18</v>
      </c>
      <c r="H745" s="1" t="s">
        <v>826</v>
      </c>
      <c r="I745" s="1">
        <v>83.92</v>
      </c>
      <c r="J745" s="1">
        <v>4</v>
      </c>
      <c r="K745" s="1">
        <v>5.87</v>
      </c>
    </row>
    <row r="746" spans="1:11" ht="12.75" x14ac:dyDescent="0.2">
      <c r="A746" s="2">
        <v>42400</v>
      </c>
      <c r="B746" s="2" t="str">
        <f>TEXT(Table1[[#This Row],[Order Date]],"MMM")</f>
        <v>Jan</v>
      </c>
      <c r="C746" s="2" t="str">
        <f t="shared" si="11"/>
        <v>2016</v>
      </c>
      <c r="D746" s="1" t="s">
        <v>422</v>
      </c>
      <c r="E746" s="1" t="s">
        <v>27</v>
      </c>
      <c r="F746" s="1" t="s">
        <v>11</v>
      </c>
      <c r="G746" s="1" t="s">
        <v>18</v>
      </c>
      <c r="H746" s="1" t="s">
        <v>803</v>
      </c>
      <c r="I746" s="1">
        <v>559.62</v>
      </c>
      <c r="J746" s="1">
        <v>9</v>
      </c>
      <c r="K746" s="1">
        <v>151.1</v>
      </c>
    </row>
    <row r="747" spans="1:11" ht="12.75" x14ac:dyDescent="0.2">
      <c r="A747" s="2">
        <v>41729</v>
      </c>
      <c r="B747" s="2" t="str">
        <f>TEXT(Table1[[#This Row],[Order Date]],"MMM")</f>
        <v>Mar</v>
      </c>
      <c r="C747" s="2" t="str">
        <f t="shared" si="11"/>
        <v>2014</v>
      </c>
      <c r="D747" s="1" t="s">
        <v>979</v>
      </c>
      <c r="E747" s="1" t="s">
        <v>27</v>
      </c>
      <c r="F747" s="1" t="s">
        <v>38</v>
      </c>
      <c r="G747" s="1" t="s">
        <v>39</v>
      </c>
      <c r="H747" s="1" t="s">
        <v>1133</v>
      </c>
      <c r="I747" s="1">
        <v>374.38</v>
      </c>
      <c r="J747" s="1">
        <v>3</v>
      </c>
      <c r="K747" s="1">
        <v>46.8</v>
      </c>
    </row>
    <row r="748" spans="1:11" ht="12.75" x14ac:dyDescent="0.2">
      <c r="A748" s="2">
        <v>42094</v>
      </c>
      <c r="B748" s="2" t="str">
        <f>TEXT(Table1[[#This Row],[Order Date]],"MMM")</f>
        <v>Mar</v>
      </c>
      <c r="C748" s="2" t="str">
        <f t="shared" si="11"/>
        <v>2015</v>
      </c>
      <c r="D748" s="1" t="s">
        <v>1028</v>
      </c>
      <c r="E748" s="1" t="s">
        <v>10</v>
      </c>
      <c r="F748" s="1" t="s">
        <v>11</v>
      </c>
      <c r="G748" s="1" t="s">
        <v>20</v>
      </c>
      <c r="H748" s="1" t="s">
        <v>1161</v>
      </c>
      <c r="I748" s="1">
        <v>1.25</v>
      </c>
      <c r="J748" s="1">
        <v>3</v>
      </c>
      <c r="K748" s="1">
        <v>-1.93</v>
      </c>
    </row>
    <row r="749" spans="1:11" ht="12.75" x14ac:dyDescent="0.2">
      <c r="A749" s="2">
        <v>42460</v>
      </c>
      <c r="B749" s="2" t="str">
        <f>TEXT(Table1[[#This Row],[Order Date]],"MMM")</f>
        <v>Mar</v>
      </c>
      <c r="C749" s="2" t="str">
        <f t="shared" si="11"/>
        <v>2016</v>
      </c>
      <c r="D749" s="1" t="s">
        <v>1074</v>
      </c>
      <c r="E749" s="1" t="s">
        <v>27</v>
      </c>
      <c r="F749" s="1" t="s">
        <v>11</v>
      </c>
      <c r="G749" s="1" t="s">
        <v>20</v>
      </c>
      <c r="H749" s="1" t="s">
        <v>283</v>
      </c>
      <c r="I749" s="1">
        <v>19.940000000000001</v>
      </c>
      <c r="J749" s="1">
        <v>4</v>
      </c>
      <c r="K749" s="1">
        <v>7.23</v>
      </c>
    </row>
    <row r="750" spans="1:11" ht="12.75" x14ac:dyDescent="0.2">
      <c r="A750" s="2">
        <v>42825</v>
      </c>
      <c r="B750" s="2" t="str">
        <f>TEXT(Table1[[#This Row],[Order Date]],"MMM")</f>
        <v>Mar</v>
      </c>
      <c r="C750" s="2" t="str">
        <f t="shared" si="11"/>
        <v>2017</v>
      </c>
      <c r="D750" s="1" t="s">
        <v>122</v>
      </c>
      <c r="E750" s="1" t="s">
        <v>120</v>
      </c>
      <c r="F750" s="1" t="s">
        <v>11</v>
      </c>
      <c r="G750" s="1" t="s">
        <v>20</v>
      </c>
      <c r="H750" s="1" t="s">
        <v>728</v>
      </c>
      <c r="I750" s="1">
        <v>23.36</v>
      </c>
      <c r="J750" s="1">
        <v>4</v>
      </c>
      <c r="K750" s="1">
        <v>7.88</v>
      </c>
    </row>
    <row r="751" spans="1:11" ht="12.75" x14ac:dyDescent="0.2">
      <c r="A751" s="2">
        <v>41790</v>
      </c>
      <c r="B751" s="2" t="str">
        <f>TEXT(Table1[[#This Row],[Order Date]],"MMM")</f>
        <v>May</v>
      </c>
      <c r="C751" s="2" t="str">
        <f t="shared" si="11"/>
        <v>2014</v>
      </c>
      <c r="D751" s="1" t="s">
        <v>266</v>
      </c>
      <c r="E751" s="1" t="s">
        <v>27</v>
      </c>
      <c r="F751" s="1" t="s">
        <v>33</v>
      </c>
      <c r="G751" s="1" t="s">
        <v>44</v>
      </c>
      <c r="H751" s="1" t="s">
        <v>1310</v>
      </c>
      <c r="I751" s="1">
        <v>26.25</v>
      </c>
      <c r="J751" s="1">
        <v>3</v>
      </c>
      <c r="K751" s="1">
        <v>11.03</v>
      </c>
    </row>
    <row r="752" spans="1:11" ht="12.75" x14ac:dyDescent="0.2">
      <c r="A752" s="2">
        <v>42155</v>
      </c>
      <c r="B752" s="2" t="str">
        <f>TEXT(Table1[[#This Row],[Order Date]],"MMM")</f>
        <v>May</v>
      </c>
      <c r="C752" s="2" t="str">
        <f t="shared" si="11"/>
        <v>2015</v>
      </c>
      <c r="D752" s="1" t="s">
        <v>869</v>
      </c>
      <c r="E752" s="1" t="s">
        <v>134</v>
      </c>
      <c r="F752" s="1" t="s">
        <v>33</v>
      </c>
      <c r="G752" s="1" t="s">
        <v>44</v>
      </c>
      <c r="H752" s="1" t="s">
        <v>1018</v>
      </c>
      <c r="I752" s="1">
        <v>22.77</v>
      </c>
      <c r="J752" s="1">
        <v>3</v>
      </c>
      <c r="K752" s="1">
        <v>9.7899999999999991</v>
      </c>
    </row>
    <row r="753" spans="1:11" ht="12.75" x14ac:dyDescent="0.2">
      <c r="A753" s="2">
        <v>42521</v>
      </c>
      <c r="B753" s="2" t="str">
        <f>TEXT(Table1[[#This Row],[Order Date]],"MMM")</f>
        <v>May</v>
      </c>
      <c r="C753" s="2" t="str">
        <f t="shared" si="11"/>
        <v>2016</v>
      </c>
      <c r="D753" s="1" t="s">
        <v>744</v>
      </c>
      <c r="E753" s="1" t="s">
        <v>10</v>
      </c>
      <c r="F753" s="1" t="s">
        <v>11</v>
      </c>
      <c r="G753" s="1" t="s">
        <v>80</v>
      </c>
      <c r="H753" s="1" t="s">
        <v>811</v>
      </c>
      <c r="I753" s="1">
        <v>66.28</v>
      </c>
      <c r="J753" s="1">
        <v>2</v>
      </c>
      <c r="K753" s="1">
        <v>-178.97</v>
      </c>
    </row>
    <row r="754" spans="1:11" ht="12.75" x14ac:dyDescent="0.2">
      <c r="A754" s="2">
        <v>42216</v>
      </c>
      <c r="B754" s="2" t="str">
        <f>TEXT(Table1[[#This Row],[Order Date]],"MMM")</f>
        <v>Jul</v>
      </c>
      <c r="C754" s="2" t="str">
        <f t="shared" si="11"/>
        <v>2015</v>
      </c>
      <c r="D754" s="1" t="s">
        <v>67</v>
      </c>
      <c r="E754" s="1" t="s">
        <v>27</v>
      </c>
      <c r="F754" s="1" t="s">
        <v>11</v>
      </c>
      <c r="G754" s="1" t="s">
        <v>20</v>
      </c>
      <c r="H754" s="1" t="s">
        <v>1180</v>
      </c>
      <c r="I754" s="1">
        <v>36.67</v>
      </c>
      <c r="J754" s="1">
        <v>2</v>
      </c>
      <c r="K754" s="1">
        <v>11.46</v>
      </c>
    </row>
    <row r="755" spans="1:11" ht="12.75" x14ac:dyDescent="0.2">
      <c r="A755" s="2">
        <v>42582</v>
      </c>
      <c r="B755" s="2" t="str">
        <f>TEXT(Table1[[#This Row],[Order Date]],"MMM")</f>
        <v>Jul</v>
      </c>
      <c r="C755" s="2" t="str">
        <f t="shared" si="11"/>
        <v>2016</v>
      </c>
      <c r="D755" s="1" t="s">
        <v>1218</v>
      </c>
      <c r="E755" s="1" t="s">
        <v>148</v>
      </c>
      <c r="F755" s="1" t="s">
        <v>11</v>
      </c>
      <c r="G755" s="1" t="s">
        <v>80</v>
      </c>
      <c r="H755" s="1" t="s">
        <v>1295</v>
      </c>
      <c r="I755" s="1">
        <v>839.43</v>
      </c>
      <c r="J755" s="1">
        <v>3</v>
      </c>
      <c r="K755" s="1">
        <v>218.25</v>
      </c>
    </row>
    <row r="756" spans="1:11" ht="12.75" x14ac:dyDescent="0.2">
      <c r="A756" s="2">
        <v>41882</v>
      </c>
      <c r="B756" s="2" t="str">
        <f>TEXT(Table1[[#This Row],[Order Date]],"MMM")</f>
        <v>Aug</v>
      </c>
      <c r="C756" s="2" t="str">
        <f t="shared" si="11"/>
        <v>2014</v>
      </c>
      <c r="D756" s="1" t="s">
        <v>658</v>
      </c>
      <c r="E756" s="1" t="s">
        <v>27</v>
      </c>
      <c r="F756" s="1" t="s">
        <v>11</v>
      </c>
      <c r="G756" s="1" t="s">
        <v>24</v>
      </c>
      <c r="H756" s="1" t="s">
        <v>1113</v>
      </c>
      <c r="I756" s="1">
        <v>13.48</v>
      </c>
      <c r="J756" s="1">
        <v>4</v>
      </c>
      <c r="K756" s="1">
        <v>5.93</v>
      </c>
    </row>
    <row r="757" spans="1:11" ht="12.75" x14ac:dyDescent="0.2">
      <c r="A757" s="2">
        <v>42674</v>
      </c>
      <c r="B757" s="2" t="str">
        <f>TEXT(Table1[[#This Row],[Order Date]],"MMM")</f>
        <v>Oct</v>
      </c>
      <c r="C757" s="2" t="str">
        <f t="shared" si="11"/>
        <v>2016</v>
      </c>
      <c r="D757" s="1" t="s">
        <v>902</v>
      </c>
      <c r="E757" s="1" t="s">
        <v>120</v>
      </c>
      <c r="F757" s="1" t="s">
        <v>11</v>
      </c>
      <c r="G757" s="1" t="s">
        <v>80</v>
      </c>
      <c r="H757" s="1" t="s">
        <v>421</v>
      </c>
      <c r="I757" s="1">
        <v>35.909999999999997</v>
      </c>
      <c r="J757" s="1">
        <v>3</v>
      </c>
      <c r="K757" s="1">
        <v>9.6999999999999993</v>
      </c>
    </row>
    <row r="758" spans="1:11" ht="12.75" x14ac:dyDescent="0.2">
      <c r="A758" s="2">
        <v>42004</v>
      </c>
      <c r="B758" s="2" t="str">
        <f>TEXT(Table1[[#This Row],[Order Date]],"MMM")</f>
        <v>Dec</v>
      </c>
      <c r="C758" s="2" t="str">
        <f t="shared" si="11"/>
        <v>2014</v>
      </c>
      <c r="D758" s="1" t="s">
        <v>871</v>
      </c>
      <c r="E758" s="1" t="s">
        <v>262</v>
      </c>
      <c r="F758" s="1" t="s">
        <v>11</v>
      </c>
      <c r="G758" s="1" t="s">
        <v>12</v>
      </c>
      <c r="H758" s="1" t="s">
        <v>889</v>
      </c>
      <c r="I758" s="1">
        <v>44.75</v>
      </c>
      <c r="J758" s="1">
        <v>5</v>
      </c>
      <c r="K758" s="1">
        <v>20.59</v>
      </c>
    </row>
    <row r="759" spans="1:11" ht="12.75" x14ac:dyDescent="0.2">
      <c r="A759" s="2">
        <v>42369</v>
      </c>
      <c r="B759" s="2" t="str">
        <f>TEXT(Table1[[#This Row],[Order Date]],"MMM")</f>
        <v>Dec</v>
      </c>
      <c r="C759" s="2" t="str">
        <f t="shared" si="11"/>
        <v>2015</v>
      </c>
      <c r="D759" s="1" t="s">
        <v>1200</v>
      </c>
      <c r="E759" s="1" t="s">
        <v>68</v>
      </c>
      <c r="F759" s="1" t="s">
        <v>38</v>
      </c>
      <c r="G759" s="1" t="s">
        <v>39</v>
      </c>
      <c r="H759" s="1" t="s">
        <v>340</v>
      </c>
      <c r="I759" s="1">
        <v>164.39</v>
      </c>
      <c r="J759" s="1">
        <v>2</v>
      </c>
      <c r="K759" s="1">
        <v>-35.619999999999997</v>
      </c>
    </row>
    <row r="760" spans="1:11" ht="12.75" x14ac:dyDescent="0.2">
      <c r="A760" s="2">
        <v>42735</v>
      </c>
      <c r="B760" s="2" t="str">
        <f>TEXT(Table1[[#This Row],[Order Date]],"MMM")</f>
        <v>Dec</v>
      </c>
      <c r="C760" s="2" t="str">
        <f t="shared" si="11"/>
        <v>2016</v>
      </c>
      <c r="D760" s="1" t="s">
        <v>241</v>
      </c>
      <c r="E760" s="1" t="s">
        <v>27</v>
      </c>
      <c r="F760" s="1" t="s">
        <v>11</v>
      </c>
      <c r="G760" s="1" t="s">
        <v>18</v>
      </c>
      <c r="H760" s="1" t="s">
        <v>873</v>
      </c>
      <c r="I760" s="1">
        <v>725.84</v>
      </c>
      <c r="J760" s="1">
        <v>4</v>
      </c>
      <c r="K760" s="1">
        <v>210.49</v>
      </c>
    </row>
    <row r="761" spans="1:11" ht="12.75" x14ac:dyDescent="0.2"/>
    <row r="762" spans="1:11" ht="12.75" x14ac:dyDescent="0.2"/>
    <row r="763" spans="1:11" ht="12.75" x14ac:dyDescent="0.2"/>
    <row r="764" spans="1:11" ht="12.75" x14ac:dyDescent="0.2"/>
    <row r="765" spans="1:11" ht="12.75" x14ac:dyDescent="0.2"/>
    <row r="766" spans="1:11" ht="12.75" x14ac:dyDescent="0.2"/>
    <row r="767" spans="1:11" ht="12.75" x14ac:dyDescent="0.2"/>
    <row r="768" spans="1:11"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row r="1109" ht="12.75" x14ac:dyDescent="0.2"/>
    <row r="1110" ht="12.75" x14ac:dyDescent="0.2"/>
    <row r="1111" ht="12.75" x14ac:dyDescent="0.2"/>
    <row r="1112" ht="12.75" x14ac:dyDescent="0.2"/>
    <row r="1113" ht="12.75" x14ac:dyDescent="0.2"/>
    <row r="1114" ht="12.75" x14ac:dyDescent="0.2"/>
    <row r="1115" ht="12.75" x14ac:dyDescent="0.2"/>
    <row r="1116" ht="12.75" x14ac:dyDescent="0.2"/>
    <row r="1117" ht="12.75" x14ac:dyDescent="0.2"/>
    <row r="1118" ht="12.75" x14ac:dyDescent="0.2"/>
    <row r="1119" ht="12.75" x14ac:dyDescent="0.2"/>
    <row r="1120" ht="12.75" x14ac:dyDescent="0.2"/>
    <row r="1121" ht="12.75" x14ac:dyDescent="0.2"/>
    <row r="1122" ht="12.75" x14ac:dyDescent="0.2"/>
    <row r="1123" ht="12.75" x14ac:dyDescent="0.2"/>
    <row r="1124" ht="12.75" x14ac:dyDescent="0.2"/>
    <row r="1125" ht="12.75" x14ac:dyDescent="0.2"/>
    <row r="1126" ht="12.75" x14ac:dyDescent="0.2"/>
    <row r="1127" ht="12.75" x14ac:dyDescent="0.2"/>
    <row r="1128" ht="12.75" x14ac:dyDescent="0.2"/>
    <row r="1129" ht="12.75" x14ac:dyDescent="0.2"/>
    <row r="1130" ht="12.75" x14ac:dyDescent="0.2"/>
    <row r="1131" ht="12.75" x14ac:dyDescent="0.2"/>
    <row r="1132" ht="12.75" x14ac:dyDescent="0.2"/>
    <row r="1133" ht="12.75" x14ac:dyDescent="0.2"/>
    <row r="1134" ht="12.75" x14ac:dyDescent="0.2"/>
    <row r="1135" ht="12.75" x14ac:dyDescent="0.2"/>
    <row r="1136" ht="12.75" x14ac:dyDescent="0.2"/>
    <row r="1137" ht="12.75" x14ac:dyDescent="0.2"/>
    <row r="1138" ht="12.75" x14ac:dyDescent="0.2"/>
    <row r="1139" ht="12.75" x14ac:dyDescent="0.2"/>
    <row r="1140" ht="12.75" x14ac:dyDescent="0.2"/>
    <row r="1141" ht="12.75" x14ac:dyDescent="0.2"/>
    <row r="1142" ht="12.75" x14ac:dyDescent="0.2"/>
    <row r="1143" ht="12.75" x14ac:dyDescent="0.2"/>
    <row r="1144" ht="12.75" x14ac:dyDescent="0.2"/>
    <row r="1145" ht="12.75" x14ac:dyDescent="0.2"/>
    <row r="1146" ht="12.75" x14ac:dyDescent="0.2"/>
    <row r="1147" ht="12.75" x14ac:dyDescent="0.2"/>
    <row r="1148" ht="12.75" x14ac:dyDescent="0.2"/>
    <row r="1149" ht="12.75" x14ac:dyDescent="0.2"/>
    <row r="1150" ht="12.75" x14ac:dyDescent="0.2"/>
    <row r="1151" ht="12.75" x14ac:dyDescent="0.2"/>
    <row r="1152" ht="12.75" x14ac:dyDescent="0.2"/>
    <row r="1153" ht="12.75" x14ac:dyDescent="0.2"/>
    <row r="1154" ht="12.75" x14ac:dyDescent="0.2"/>
    <row r="1155" ht="12.75" x14ac:dyDescent="0.2"/>
    <row r="1156" ht="12.75" x14ac:dyDescent="0.2"/>
    <row r="1157" ht="12.75" x14ac:dyDescent="0.2"/>
    <row r="1158" ht="12.75" x14ac:dyDescent="0.2"/>
    <row r="1159" ht="12.75" x14ac:dyDescent="0.2"/>
    <row r="1160" ht="12.75" x14ac:dyDescent="0.2"/>
    <row r="1161" ht="12.75" x14ac:dyDescent="0.2"/>
    <row r="1162" ht="12.75" x14ac:dyDescent="0.2"/>
    <row r="1163" ht="12.75" x14ac:dyDescent="0.2"/>
    <row r="1164" ht="12.75" x14ac:dyDescent="0.2"/>
    <row r="1165" ht="12.75" x14ac:dyDescent="0.2"/>
    <row r="1166" ht="12.75" x14ac:dyDescent="0.2"/>
    <row r="1167" ht="12.75" x14ac:dyDescent="0.2"/>
    <row r="1168" ht="12.75" x14ac:dyDescent="0.2"/>
    <row r="1169" ht="12.75" x14ac:dyDescent="0.2"/>
    <row r="1170" ht="12.75" x14ac:dyDescent="0.2"/>
    <row r="1171" ht="12.75" x14ac:dyDescent="0.2"/>
    <row r="1172" ht="12.75" x14ac:dyDescent="0.2"/>
    <row r="1173" ht="12.75" x14ac:dyDescent="0.2"/>
    <row r="1174" ht="12.75" x14ac:dyDescent="0.2"/>
    <row r="1175" ht="12.75" x14ac:dyDescent="0.2"/>
    <row r="1176" ht="12.75" x14ac:dyDescent="0.2"/>
    <row r="1177" ht="12.75" x14ac:dyDescent="0.2"/>
    <row r="1178" ht="12.75" x14ac:dyDescent="0.2"/>
    <row r="1179" ht="12.75" x14ac:dyDescent="0.2"/>
    <row r="1180" ht="12.75" x14ac:dyDescent="0.2"/>
    <row r="1181" ht="12.75" x14ac:dyDescent="0.2"/>
    <row r="1182" ht="12.75" x14ac:dyDescent="0.2"/>
    <row r="1183" ht="12.75" x14ac:dyDescent="0.2"/>
    <row r="1184" ht="12.75" x14ac:dyDescent="0.2"/>
    <row r="1185" ht="12.75" x14ac:dyDescent="0.2"/>
    <row r="1186" ht="12.75" x14ac:dyDescent="0.2"/>
    <row r="1187" ht="12.75" x14ac:dyDescent="0.2"/>
    <row r="1188" ht="12.75" x14ac:dyDescent="0.2"/>
    <row r="1189" ht="12.75" x14ac:dyDescent="0.2"/>
    <row r="1190" ht="12.75" x14ac:dyDescent="0.2"/>
    <row r="1191" ht="12.75" x14ac:dyDescent="0.2"/>
    <row r="1192" ht="12.75" x14ac:dyDescent="0.2"/>
    <row r="1193" ht="12.75" x14ac:dyDescent="0.2"/>
    <row r="1194" ht="12.75" x14ac:dyDescent="0.2"/>
    <row r="1195" ht="12.75" x14ac:dyDescent="0.2"/>
    <row r="1196" ht="12.75" x14ac:dyDescent="0.2"/>
    <row r="1197" ht="12.75" x14ac:dyDescent="0.2"/>
    <row r="1198" ht="12.75" x14ac:dyDescent="0.2"/>
    <row r="1199" ht="12.75" x14ac:dyDescent="0.2"/>
    <row r="1200" ht="12.75" x14ac:dyDescent="0.2"/>
    <row r="1201" ht="12.75" x14ac:dyDescent="0.2"/>
    <row r="1202" ht="12.75" x14ac:dyDescent="0.2"/>
    <row r="1203" ht="12.75" x14ac:dyDescent="0.2"/>
    <row r="1204" ht="12.75" x14ac:dyDescent="0.2"/>
    <row r="1205" ht="12.75" x14ac:dyDescent="0.2"/>
    <row r="1206" ht="12.75" x14ac:dyDescent="0.2"/>
    <row r="1207" ht="12.75" x14ac:dyDescent="0.2"/>
    <row r="1208" ht="12.75" x14ac:dyDescent="0.2"/>
    <row r="1209" ht="12.75" x14ac:dyDescent="0.2"/>
    <row r="1210" ht="12.75" x14ac:dyDescent="0.2"/>
    <row r="1211" ht="12.75" x14ac:dyDescent="0.2"/>
    <row r="1212" ht="12.75" x14ac:dyDescent="0.2"/>
    <row r="1213" ht="12.75" x14ac:dyDescent="0.2"/>
    <row r="1214" ht="12.75" x14ac:dyDescent="0.2"/>
    <row r="1215" ht="12.75" x14ac:dyDescent="0.2"/>
    <row r="1216" ht="12.75" x14ac:dyDescent="0.2"/>
    <row r="1217" ht="12.75" x14ac:dyDescent="0.2"/>
    <row r="1218" ht="12.75" x14ac:dyDescent="0.2"/>
    <row r="1219" ht="12.75" x14ac:dyDescent="0.2"/>
    <row r="1220" ht="12.75" x14ac:dyDescent="0.2"/>
    <row r="1221" ht="12.75" x14ac:dyDescent="0.2"/>
    <row r="1222" ht="12.75" x14ac:dyDescent="0.2"/>
    <row r="1223" ht="12.75" x14ac:dyDescent="0.2"/>
    <row r="1224" ht="12.75" x14ac:dyDescent="0.2"/>
    <row r="1225" ht="12.75" x14ac:dyDescent="0.2"/>
    <row r="1226" ht="12.75" x14ac:dyDescent="0.2"/>
    <row r="1227" ht="12.75" x14ac:dyDescent="0.2"/>
    <row r="1228" ht="12.75" x14ac:dyDescent="0.2"/>
    <row r="1229" ht="12.75" x14ac:dyDescent="0.2"/>
    <row r="1230" ht="12.75" x14ac:dyDescent="0.2"/>
    <row r="1231" ht="12.75" x14ac:dyDescent="0.2"/>
    <row r="1232" ht="12.75" x14ac:dyDescent="0.2"/>
    <row r="1233" ht="12.75" x14ac:dyDescent="0.2"/>
    <row r="1234" ht="12.75" x14ac:dyDescent="0.2"/>
    <row r="1235" ht="12.75" x14ac:dyDescent="0.2"/>
    <row r="1236" ht="12.75" x14ac:dyDescent="0.2"/>
    <row r="1237" ht="12.75" x14ac:dyDescent="0.2"/>
    <row r="1238" ht="12.75" x14ac:dyDescent="0.2"/>
    <row r="1239" ht="12.75" x14ac:dyDescent="0.2"/>
    <row r="1240" ht="12.75" x14ac:dyDescent="0.2"/>
    <row r="1241" ht="12.75" x14ac:dyDescent="0.2"/>
    <row r="1242" ht="12.75" x14ac:dyDescent="0.2"/>
    <row r="1243" ht="12.75" x14ac:dyDescent="0.2"/>
    <row r="1244" ht="12.75" x14ac:dyDescent="0.2"/>
    <row r="1245" ht="12.75" x14ac:dyDescent="0.2"/>
    <row r="1246" ht="12.75" x14ac:dyDescent="0.2"/>
    <row r="1247" ht="12.75" x14ac:dyDescent="0.2"/>
    <row r="1248" ht="12.75" x14ac:dyDescent="0.2"/>
    <row r="1249" ht="12.75" x14ac:dyDescent="0.2"/>
    <row r="1250" ht="12.75" x14ac:dyDescent="0.2"/>
    <row r="1251" ht="12.75" x14ac:dyDescent="0.2"/>
    <row r="1252" ht="12.75" x14ac:dyDescent="0.2"/>
    <row r="1253" ht="12.75" x14ac:dyDescent="0.2"/>
    <row r="1254" ht="12.75" x14ac:dyDescent="0.2"/>
    <row r="1255" ht="12.75" x14ac:dyDescent="0.2"/>
    <row r="1256" ht="12.75" x14ac:dyDescent="0.2"/>
    <row r="1257" ht="12.75" x14ac:dyDescent="0.2"/>
    <row r="1258" ht="12.75" x14ac:dyDescent="0.2"/>
    <row r="1259" ht="12.75" x14ac:dyDescent="0.2"/>
    <row r="1260" ht="12.75" x14ac:dyDescent="0.2"/>
    <row r="1261" ht="12.75" x14ac:dyDescent="0.2"/>
    <row r="1262" ht="12.75" x14ac:dyDescent="0.2"/>
    <row r="1263" ht="12.75" x14ac:dyDescent="0.2"/>
    <row r="1264" ht="12.75" x14ac:dyDescent="0.2"/>
    <row r="1265" ht="12.75" x14ac:dyDescent="0.2"/>
    <row r="1266" ht="12.75" x14ac:dyDescent="0.2"/>
    <row r="1267" ht="12.75" x14ac:dyDescent="0.2"/>
    <row r="1268" ht="12.75" x14ac:dyDescent="0.2"/>
    <row r="1269" ht="12.75" x14ac:dyDescent="0.2"/>
    <row r="1270" ht="12.75" x14ac:dyDescent="0.2"/>
    <row r="1271" ht="12.75" x14ac:dyDescent="0.2"/>
    <row r="1272" ht="12.75" x14ac:dyDescent="0.2"/>
    <row r="1273" ht="12.75" x14ac:dyDescent="0.2"/>
    <row r="1274" ht="12.75" x14ac:dyDescent="0.2"/>
    <row r="1275" ht="12.75" x14ac:dyDescent="0.2"/>
    <row r="1276" ht="12.75" x14ac:dyDescent="0.2"/>
    <row r="1277" ht="12.75" x14ac:dyDescent="0.2"/>
    <row r="1278" ht="12.75" x14ac:dyDescent="0.2"/>
    <row r="1279" ht="12.75" x14ac:dyDescent="0.2"/>
    <row r="1280" ht="12.75" x14ac:dyDescent="0.2"/>
    <row r="1281" ht="12.75" x14ac:dyDescent="0.2"/>
    <row r="1282" ht="12.75" x14ac:dyDescent="0.2"/>
    <row r="1283" ht="12.75" x14ac:dyDescent="0.2"/>
    <row r="1284" ht="12.75" x14ac:dyDescent="0.2"/>
    <row r="1285" ht="12.75" x14ac:dyDescent="0.2"/>
    <row r="1286" ht="12.75" x14ac:dyDescent="0.2"/>
    <row r="1287" ht="12.75" x14ac:dyDescent="0.2"/>
    <row r="1288" ht="12.75" x14ac:dyDescent="0.2"/>
    <row r="1289" ht="12.75" x14ac:dyDescent="0.2"/>
    <row r="1290" ht="12.75" x14ac:dyDescent="0.2"/>
    <row r="1291" ht="12.75" x14ac:dyDescent="0.2"/>
    <row r="1292" ht="12.75" x14ac:dyDescent="0.2"/>
    <row r="1293" ht="12.75" x14ac:dyDescent="0.2"/>
    <row r="1294" ht="12.75" x14ac:dyDescent="0.2"/>
    <row r="1295" ht="12.75" x14ac:dyDescent="0.2"/>
    <row r="1296" ht="12.75" x14ac:dyDescent="0.2"/>
    <row r="1297" ht="12.75" x14ac:dyDescent="0.2"/>
    <row r="1298" ht="12.75" x14ac:dyDescent="0.2"/>
    <row r="1299" ht="12.75" x14ac:dyDescent="0.2"/>
    <row r="1300" ht="12.75" x14ac:dyDescent="0.2"/>
    <row r="1301" ht="12.75" x14ac:dyDescent="0.2"/>
    <row r="1302" ht="12.75" x14ac:dyDescent="0.2"/>
    <row r="1303" ht="12.75" x14ac:dyDescent="0.2"/>
    <row r="1304" ht="12.75" x14ac:dyDescent="0.2"/>
    <row r="1305" ht="12.75" x14ac:dyDescent="0.2"/>
    <row r="1306" ht="12.75" x14ac:dyDescent="0.2"/>
    <row r="1307" ht="12.75" x14ac:dyDescent="0.2"/>
    <row r="1308" ht="12.75" x14ac:dyDescent="0.2"/>
    <row r="1309" ht="12.75" x14ac:dyDescent="0.2"/>
    <row r="1310" ht="12.75" x14ac:dyDescent="0.2"/>
    <row r="1311" ht="12.75" x14ac:dyDescent="0.2"/>
    <row r="1312" ht="12.75" x14ac:dyDescent="0.2"/>
    <row r="1313" ht="12.75" x14ac:dyDescent="0.2"/>
    <row r="1314" ht="12.75" x14ac:dyDescent="0.2"/>
    <row r="1315" ht="12.75" x14ac:dyDescent="0.2"/>
    <row r="1316" ht="12.75" x14ac:dyDescent="0.2"/>
    <row r="1317" ht="12.75" x14ac:dyDescent="0.2"/>
    <row r="1318" ht="12.75" x14ac:dyDescent="0.2"/>
    <row r="1319" ht="12.75" x14ac:dyDescent="0.2"/>
    <row r="1320" ht="12.75" x14ac:dyDescent="0.2"/>
    <row r="1321" ht="12.75" x14ac:dyDescent="0.2"/>
    <row r="1322" ht="12.75" x14ac:dyDescent="0.2"/>
    <row r="1323" ht="12.75" x14ac:dyDescent="0.2"/>
    <row r="1324" ht="12.75" x14ac:dyDescent="0.2"/>
    <row r="1325" ht="12.75" x14ac:dyDescent="0.2"/>
    <row r="1326" ht="12.75" x14ac:dyDescent="0.2"/>
    <row r="1327" ht="12.75" x14ac:dyDescent="0.2"/>
    <row r="1328" ht="12.75" x14ac:dyDescent="0.2"/>
    <row r="1329" ht="12.75" x14ac:dyDescent="0.2"/>
    <row r="1330" ht="12.75" x14ac:dyDescent="0.2"/>
    <row r="1331" ht="12.75" x14ac:dyDescent="0.2"/>
    <row r="1332" ht="12.75" x14ac:dyDescent="0.2"/>
    <row r="1333" ht="12.75" x14ac:dyDescent="0.2"/>
    <row r="1334" ht="12.75" x14ac:dyDescent="0.2"/>
    <row r="1335" ht="12.75" x14ac:dyDescent="0.2"/>
    <row r="1336" ht="12.75" x14ac:dyDescent="0.2"/>
    <row r="1337" ht="12.75" x14ac:dyDescent="0.2"/>
    <row r="1338" ht="12.75" x14ac:dyDescent="0.2"/>
    <row r="1339" ht="12.75" x14ac:dyDescent="0.2"/>
    <row r="1340" ht="12.75" x14ac:dyDescent="0.2"/>
    <row r="1341" ht="12.75" x14ac:dyDescent="0.2"/>
    <row r="1342" ht="12.75" x14ac:dyDescent="0.2"/>
    <row r="1343" ht="12.75" x14ac:dyDescent="0.2"/>
    <row r="1344" ht="12.75" x14ac:dyDescent="0.2"/>
    <row r="1345" ht="12.75" x14ac:dyDescent="0.2"/>
    <row r="1346" ht="12.75" x14ac:dyDescent="0.2"/>
    <row r="1347" ht="12.75" x14ac:dyDescent="0.2"/>
    <row r="1348" ht="12.75" x14ac:dyDescent="0.2"/>
    <row r="1349" ht="12.75" x14ac:dyDescent="0.2"/>
    <row r="1350" ht="12.75" x14ac:dyDescent="0.2"/>
    <row r="1351" ht="12.75" x14ac:dyDescent="0.2"/>
    <row r="1352" ht="12.75" x14ac:dyDescent="0.2"/>
    <row r="1353" ht="12.75" x14ac:dyDescent="0.2"/>
    <row r="1354" ht="12.75" x14ac:dyDescent="0.2"/>
    <row r="1355" ht="12.75" x14ac:dyDescent="0.2"/>
    <row r="1356" ht="12.75" x14ac:dyDescent="0.2"/>
    <row r="1357" ht="12.75" x14ac:dyDescent="0.2"/>
    <row r="1358" ht="12.75" x14ac:dyDescent="0.2"/>
    <row r="1359" ht="12.75" x14ac:dyDescent="0.2"/>
    <row r="1360" ht="12.75" x14ac:dyDescent="0.2"/>
    <row r="1361" ht="12.75" x14ac:dyDescent="0.2"/>
    <row r="1362" ht="12.75" x14ac:dyDescent="0.2"/>
    <row r="1363" ht="12.75" x14ac:dyDescent="0.2"/>
    <row r="1364" ht="12.75" x14ac:dyDescent="0.2"/>
    <row r="1365" ht="12.75" x14ac:dyDescent="0.2"/>
    <row r="1366" ht="12.75" x14ac:dyDescent="0.2"/>
    <row r="1367" ht="12.75" x14ac:dyDescent="0.2"/>
    <row r="1368" ht="12.75" x14ac:dyDescent="0.2"/>
    <row r="1369" ht="12.75" x14ac:dyDescent="0.2"/>
    <row r="1370" ht="12.75" x14ac:dyDescent="0.2"/>
    <row r="1371" ht="12.75" x14ac:dyDescent="0.2"/>
    <row r="1372" ht="12.75" x14ac:dyDescent="0.2"/>
    <row r="1373" ht="12.75" x14ac:dyDescent="0.2"/>
    <row r="1374" ht="12.75" x14ac:dyDescent="0.2"/>
    <row r="1375" ht="12.75" x14ac:dyDescent="0.2"/>
    <row r="1376" ht="12.75" x14ac:dyDescent="0.2"/>
    <row r="1377" ht="12.75" x14ac:dyDescent="0.2"/>
    <row r="1378" ht="12.75" x14ac:dyDescent="0.2"/>
    <row r="1379" ht="12.75" x14ac:dyDescent="0.2"/>
    <row r="1380" ht="12.75" x14ac:dyDescent="0.2"/>
    <row r="1381" ht="12.75" x14ac:dyDescent="0.2"/>
    <row r="1382" ht="12.75" x14ac:dyDescent="0.2"/>
    <row r="1383" ht="12.75" x14ac:dyDescent="0.2"/>
    <row r="1384" ht="12.75" x14ac:dyDescent="0.2"/>
    <row r="1385" ht="12.75" x14ac:dyDescent="0.2"/>
    <row r="1386" ht="12.75" x14ac:dyDescent="0.2"/>
    <row r="1387" ht="12.75" x14ac:dyDescent="0.2"/>
    <row r="1388" ht="12.75" x14ac:dyDescent="0.2"/>
    <row r="1389" ht="12.75" x14ac:dyDescent="0.2"/>
    <row r="1390" ht="12.75" x14ac:dyDescent="0.2"/>
    <row r="1391" ht="12.75" x14ac:dyDescent="0.2"/>
    <row r="1392" ht="12.75" x14ac:dyDescent="0.2"/>
    <row r="1393" ht="12.75" x14ac:dyDescent="0.2"/>
    <row r="1394" ht="12.75" x14ac:dyDescent="0.2"/>
    <row r="1395" ht="12.75" x14ac:dyDescent="0.2"/>
    <row r="1396" ht="12.75" x14ac:dyDescent="0.2"/>
    <row r="1397" ht="12.75" x14ac:dyDescent="0.2"/>
    <row r="1398" ht="12.75" x14ac:dyDescent="0.2"/>
    <row r="1399" ht="12.75" x14ac:dyDescent="0.2"/>
    <row r="1400" ht="12.75" x14ac:dyDescent="0.2"/>
    <row r="1401" ht="12.75" x14ac:dyDescent="0.2"/>
    <row r="1402" ht="12.75" x14ac:dyDescent="0.2"/>
    <row r="1403" ht="12.75" x14ac:dyDescent="0.2"/>
    <row r="1404" ht="12.75" x14ac:dyDescent="0.2"/>
    <row r="1405" ht="12.75" x14ac:dyDescent="0.2"/>
    <row r="1406" ht="12.75" x14ac:dyDescent="0.2"/>
    <row r="1407" ht="12.75" x14ac:dyDescent="0.2"/>
    <row r="1408" ht="12.75" x14ac:dyDescent="0.2"/>
    <row r="1409" ht="12.75" x14ac:dyDescent="0.2"/>
    <row r="1410" ht="12.75" x14ac:dyDescent="0.2"/>
    <row r="1411" ht="12.75" x14ac:dyDescent="0.2"/>
    <row r="1412" ht="12.75" x14ac:dyDescent="0.2"/>
    <row r="1413" ht="12.75" x14ac:dyDescent="0.2"/>
    <row r="1414" ht="12.75" x14ac:dyDescent="0.2"/>
    <row r="1415" ht="12.75" x14ac:dyDescent="0.2"/>
    <row r="1416" ht="12.75" x14ac:dyDescent="0.2"/>
    <row r="1417" ht="12.75" x14ac:dyDescent="0.2"/>
    <row r="1418" ht="12.75" x14ac:dyDescent="0.2"/>
    <row r="1419" ht="12.75" x14ac:dyDescent="0.2"/>
    <row r="1420" ht="12.75" x14ac:dyDescent="0.2"/>
    <row r="1421" ht="12.75" x14ac:dyDescent="0.2"/>
    <row r="1422" ht="12.75" x14ac:dyDescent="0.2"/>
    <row r="1423" ht="12.75" x14ac:dyDescent="0.2"/>
    <row r="1424" ht="12.75" x14ac:dyDescent="0.2"/>
    <row r="1425" ht="12.75" x14ac:dyDescent="0.2"/>
    <row r="1426" ht="12.75" x14ac:dyDescent="0.2"/>
    <row r="1427" ht="12.75" x14ac:dyDescent="0.2"/>
    <row r="1428" ht="12.75" x14ac:dyDescent="0.2"/>
    <row r="1429" ht="12.75" x14ac:dyDescent="0.2"/>
    <row r="1430" ht="12.75" x14ac:dyDescent="0.2"/>
    <row r="1431" ht="12.75" x14ac:dyDescent="0.2"/>
    <row r="1432" ht="12.75" x14ac:dyDescent="0.2"/>
    <row r="1433" ht="12.75" x14ac:dyDescent="0.2"/>
    <row r="1434" ht="12.75" x14ac:dyDescent="0.2"/>
    <row r="1435" ht="12.75" x14ac:dyDescent="0.2"/>
    <row r="1436" ht="12.75" x14ac:dyDescent="0.2"/>
    <row r="1437" ht="12.75" x14ac:dyDescent="0.2"/>
    <row r="1438" ht="12.75" x14ac:dyDescent="0.2"/>
    <row r="1439" ht="12.75" x14ac:dyDescent="0.2"/>
    <row r="1440" ht="12.75" x14ac:dyDescent="0.2"/>
    <row r="1441" ht="12.75" x14ac:dyDescent="0.2"/>
    <row r="1442" ht="12.75" x14ac:dyDescent="0.2"/>
    <row r="1443" ht="12.75" x14ac:dyDescent="0.2"/>
    <row r="1444" ht="12.75" x14ac:dyDescent="0.2"/>
    <row r="1445" ht="12.75" x14ac:dyDescent="0.2"/>
    <row r="1446" ht="12.75" x14ac:dyDescent="0.2"/>
    <row r="1447" ht="12.75" x14ac:dyDescent="0.2"/>
    <row r="1448" ht="12.75" x14ac:dyDescent="0.2"/>
    <row r="1449" ht="12.75" x14ac:dyDescent="0.2"/>
    <row r="1450" ht="12.75" x14ac:dyDescent="0.2"/>
    <row r="1451" ht="12.75" x14ac:dyDescent="0.2"/>
    <row r="1452" ht="12.75" x14ac:dyDescent="0.2"/>
    <row r="1453" ht="12.75" x14ac:dyDescent="0.2"/>
    <row r="1454" ht="12.75" x14ac:dyDescent="0.2"/>
    <row r="1455" ht="12.75" x14ac:dyDescent="0.2"/>
    <row r="1456" ht="12.75" x14ac:dyDescent="0.2"/>
    <row r="1457" ht="12.75" x14ac:dyDescent="0.2"/>
    <row r="1458" ht="12.75" x14ac:dyDescent="0.2"/>
    <row r="1459" ht="12.75" x14ac:dyDescent="0.2"/>
    <row r="1460" ht="12.75" x14ac:dyDescent="0.2"/>
    <row r="1461" ht="12.75" x14ac:dyDescent="0.2"/>
    <row r="1462" ht="12.75" x14ac:dyDescent="0.2"/>
    <row r="1463" ht="12.75" x14ac:dyDescent="0.2"/>
    <row r="1464" ht="12.75" x14ac:dyDescent="0.2"/>
    <row r="1465" ht="12.75" x14ac:dyDescent="0.2"/>
    <row r="1466" ht="12.75" x14ac:dyDescent="0.2"/>
    <row r="1467" ht="12.75" x14ac:dyDescent="0.2"/>
    <row r="1468" ht="12.75" x14ac:dyDescent="0.2"/>
    <row r="1469" ht="12.75" x14ac:dyDescent="0.2"/>
    <row r="1470" ht="12.75" x14ac:dyDescent="0.2"/>
    <row r="1471" ht="12.75" x14ac:dyDescent="0.2"/>
    <row r="1472" ht="12.75" x14ac:dyDescent="0.2"/>
    <row r="1473" ht="12.75" x14ac:dyDescent="0.2"/>
    <row r="1474" ht="12.75" x14ac:dyDescent="0.2"/>
    <row r="1475" ht="12.75" x14ac:dyDescent="0.2"/>
    <row r="1476" ht="12.75" x14ac:dyDescent="0.2"/>
    <row r="1477" ht="12.75" x14ac:dyDescent="0.2"/>
    <row r="1478" ht="12.75" x14ac:dyDescent="0.2"/>
    <row r="1479" ht="12.75" x14ac:dyDescent="0.2"/>
    <row r="1480" ht="12.75" x14ac:dyDescent="0.2"/>
    <row r="1481" ht="12.75" x14ac:dyDescent="0.2"/>
    <row r="1482" ht="12.75" x14ac:dyDescent="0.2"/>
    <row r="1483" ht="12.75" x14ac:dyDescent="0.2"/>
    <row r="1484" ht="12.75" x14ac:dyDescent="0.2"/>
    <row r="1485" ht="12.75" x14ac:dyDescent="0.2"/>
    <row r="1486" ht="12.75" x14ac:dyDescent="0.2"/>
    <row r="1487" ht="12.75" x14ac:dyDescent="0.2"/>
    <row r="1488" ht="12.75" x14ac:dyDescent="0.2"/>
    <row r="1489" ht="12.75" x14ac:dyDescent="0.2"/>
    <row r="1490" ht="12.75" x14ac:dyDescent="0.2"/>
    <row r="1491" ht="12.75" x14ac:dyDescent="0.2"/>
    <row r="1492" ht="12.75" x14ac:dyDescent="0.2"/>
    <row r="1493" ht="12.75" x14ac:dyDescent="0.2"/>
    <row r="1494" ht="12.75" x14ac:dyDescent="0.2"/>
    <row r="1495" ht="12.75" x14ac:dyDescent="0.2"/>
    <row r="1496" ht="12.75" x14ac:dyDescent="0.2"/>
    <row r="1497" ht="12.75" x14ac:dyDescent="0.2"/>
    <row r="1498" ht="12.75" x14ac:dyDescent="0.2"/>
    <row r="1499" ht="12.75" x14ac:dyDescent="0.2"/>
    <row r="1500" ht="12.75" x14ac:dyDescent="0.2"/>
    <row r="1501" ht="12.75" x14ac:dyDescent="0.2"/>
    <row r="1502" ht="12.75" x14ac:dyDescent="0.2"/>
    <row r="1503" ht="12.75" x14ac:dyDescent="0.2"/>
    <row r="1504" ht="12.75" x14ac:dyDescent="0.2"/>
    <row r="1505" ht="12.75" x14ac:dyDescent="0.2"/>
    <row r="1506" ht="12.75" x14ac:dyDescent="0.2"/>
    <row r="1507" ht="12.75" x14ac:dyDescent="0.2"/>
    <row r="1508" ht="12.75" x14ac:dyDescent="0.2"/>
    <row r="1509" ht="12.75" x14ac:dyDescent="0.2"/>
    <row r="1510" ht="12.75" x14ac:dyDescent="0.2"/>
    <row r="1511" ht="12.75" x14ac:dyDescent="0.2"/>
    <row r="1512" ht="12.75" x14ac:dyDescent="0.2"/>
    <row r="1513" ht="12.75" x14ac:dyDescent="0.2"/>
    <row r="1514" ht="12.75" x14ac:dyDescent="0.2"/>
    <row r="1515" ht="12.75" x14ac:dyDescent="0.2"/>
    <row r="1516" ht="12.75" x14ac:dyDescent="0.2"/>
    <row r="1517" ht="12.75" x14ac:dyDescent="0.2"/>
    <row r="1518" ht="12.75" x14ac:dyDescent="0.2"/>
    <row r="1519" ht="12.75" x14ac:dyDescent="0.2"/>
    <row r="1520" ht="12.75" x14ac:dyDescent="0.2"/>
    <row r="1521" ht="12.75" x14ac:dyDescent="0.2"/>
    <row r="1522" ht="12.75" x14ac:dyDescent="0.2"/>
    <row r="1523" ht="12.75" x14ac:dyDescent="0.2"/>
    <row r="1524" ht="12.75" x14ac:dyDescent="0.2"/>
    <row r="1525" ht="12.75" x14ac:dyDescent="0.2"/>
    <row r="1526" ht="12.75" x14ac:dyDescent="0.2"/>
    <row r="1527" ht="12.75" x14ac:dyDescent="0.2"/>
    <row r="1528" ht="12.75" x14ac:dyDescent="0.2"/>
    <row r="1529" ht="12.75" x14ac:dyDescent="0.2"/>
    <row r="1530" ht="12.75" x14ac:dyDescent="0.2"/>
    <row r="1531" ht="12.75" x14ac:dyDescent="0.2"/>
    <row r="1532" ht="12.75" x14ac:dyDescent="0.2"/>
    <row r="1533" ht="12.75" x14ac:dyDescent="0.2"/>
    <row r="1534" ht="12.75" x14ac:dyDescent="0.2"/>
    <row r="1535" ht="12.75" x14ac:dyDescent="0.2"/>
    <row r="1536" ht="12.75" x14ac:dyDescent="0.2"/>
    <row r="1537" ht="12.75" x14ac:dyDescent="0.2"/>
    <row r="1538" ht="12.75" x14ac:dyDescent="0.2"/>
    <row r="1539" ht="12.75" x14ac:dyDescent="0.2"/>
    <row r="1540" ht="12.75" x14ac:dyDescent="0.2"/>
    <row r="1541" ht="12.75" x14ac:dyDescent="0.2"/>
    <row r="1542" ht="12.75" x14ac:dyDescent="0.2"/>
    <row r="1543" ht="12.75" x14ac:dyDescent="0.2"/>
    <row r="1544" ht="12.75" x14ac:dyDescent="0.2"/>
    <row r="1545" ht="12.75" x14ac:dyDescent="0.2"/>
    <row r="1546" ht="12.75" x14ac:dyDescent="0.2"/>
    <row r="1547" ht="12.75" x14ac:dyDescent="0.2"/>
    <row r="1548" ht="12.75" x14ac:dyDescent="0.2"/>
    <row r="1549" ht="12.75" x14ac:dyDescent="0.2"/>
    <row r="1550" ht="12.75" x14ac:dyDescent="0.2"/>
    <row r="1551" ht="12.75" x14ac:dyDescent="0.2"/>
    <row r="1552" ht="12.75" x14ac:dyDescent="0.2"/>
    <row r="1553" ht="12.75" x14ac:dyDescent="0.2"/>
    <row r="1554" ht="12.75" x14ac:dyDescent="0.2"/>
    <row r="1555" ht="12.75" x14ac:dyDescent="0.2"/>
    <row r="1556" ht="12.75" x14ac:dyDescent="0.2"/>
    <row r="1557" ht="12.75" x14ac:dyDescent="0.2"/>
    <row r="1558" ht="12.75" x14ac:dyDescent="0.2"/>
    <row r="1559" ht="12.75" x14ac:dyDescent="0.2"/>
    <row r="1560" ht="12.75" x14ac:dyDescent="0.2"/>
    <row r="1561" ht="12.75" x14ac:dyDescent="0.2"/>
    <row r="1562" ht="12.75" x14ac:dyDescent="0.2"/>
    <row r="1563" ht="12.75" x14ac:dyDescent="0.2"/>
    <row r="1564" ht="12.75" x14ac:dyDescent="0.2"/>
    <row r="1565" ht="12.75" x14ac:dyDescent="0.2"/>
    <row r="1566" ht="12.75" x14ac:dyDescent="0.2"/>
    <row r="1567" ht="12.75" x14ac:dyDescent="0.2"/>
    <row r="1568" ht="12.75" x14ac:dyDescent="0.2"/>
    <row r="1569" ht="12.75" x14ac:dyDescent="0.2"/>
    <row r="1570" ht="12.75" x14ac:dyDescent="0.2"/>
    <row r="1571" ht="12.75" x14ac:dyDescent="0.2"/>
    <row r="1572" ht="12.75" x14ac:dyDescent="0.2"/>
    <row r="1573" ht="12.75" x14ac:dyDescent="0.2"/>
    <row r="1574" ht="12.75" x14ac:dyDescent="0.2"/>
    <row r="1575" ht="12.75" x14ac:dyDescent="0.2"/>
    <row r="1576" ht="12.75" x14ac:dyDescent="0.2"/>
    <row r="1577" ht="12.75" x14ac:dyDescent="0.2"/>
    <row r="1578" ht="12.75" x14ac:dyDescent="0.2"/>
    <row r="1579" ht="12.75" x14ac:dyDescent="0.2"/>
    <row r="1580" ht="12.75" x14ac:dyDescent="0.2"/>
    <row r="1581" ht="12.75" x14ac:dyDescent="0.2"/>
    <row r="1582" ht="12.75" x14ac:dyDescent="0.2"/>
    <row r="1583" ht="12.75" x14ac:dyDescent="0.2"/>
    <row r="1584" ht="12.75" x14ac:dyDescent="0.2"/>
    <row r="1585" ht="12.75" x14ac:dyDescent="0.2"/>
    <row r="1586" ht="12.75" x14ac:dyDescent="0.2"/>
    <row r="1587" ht="12.75" x14ac:dyDescent="0.2"/>
    <row r="1588" ht="12.75" x14ac:dyDescent="0.2"/>
    <row r="1589" ht="12.75" x14ac:dyDescent="0.2"/>
    <row r="1590" ht="12.75" x14ac:dyDescent="0.2"/>
    <row r="1591" ht="12.75" x14ac:dyDescent="0.2"/>
    <row r="1592" ht="12.75" x14ac:dyDescent="0.2"/>
    <row r="1593" ht="12.75" x14ac:dyDescent="0.2"/>
    <row r="1594" ht="12.75" x14ac:dyDescent="0.2"/>
    <row r="1595" ht="12.75" x14ac:dyDescent="0.2"/>
    <row r="1596" ht="12.75" x14ac:dyDescent="0.2"/>
    <row r="1597" ht="12.75" x14ac:dyDescent="0.2"/>
    <row r="1598" ht="12.75" x14ac:dyDescent="0.2"/>
    <row r="1599" ht="12.75" x14ac:dyDescent="0.2"/>
    <row r="1600" ht="12.75" x14ac:dyDescent="0.2"/>
    <row r="1601" ht="12.75" x14ac:dyDescent="0.2"/>
    <row r="1602" ht="12.75" x14ac:dyDescent="0.2"/>
    <row r="1603" ht="12.75" x14ac:dyDescent="0.2"/>
    <row r="1604" ht="12.75" x14ac:dyDescent="0.2"/>
    <row r="1605" ht="12.75" x14ac:dyDescent="0.2"/>
    <row r="1606" ht="12.75" x14ac:dyDescent="0.2"/>
    <row r="1607" ht="12.75" x14ac:dyDescent="0.2"/>
    <row r="1608" ht="12.75" x14ac:dyDescent="0.2"/>
    <row r="1609" ht="12.75" x14ac:dyDescent="0.2"/>
    <row r="1610" ht="12.75" x14ac:dyDescent="0.2"/>
    <row r="1611" ht="12.75" x14ac:dyDescent="0.2"/>
    <row r="1612" ht="12.75" x14ac:dyDescent="0.2"/>
    <row r="1613" ht="12.75" x14ac:dyDescent="0.2"/>
    <row r="1614" ht="12.75" x14ac:dyDescent="0.2"/>
    <row r="1615" ht="12.75" x14ac:dyDescent="0.2"/>
    <row r="1616" ht="12.75" x14ac:dyDescent="0.2"/>
    <row r="1617" ht="12.75" x14ac:dyDescent="0.2"/>
    <row r="1618" ht="12.75" x14ac:dyDescent="0.2"/>
    <row r="1619" ht="12.75" x14ac:dyDescent="0.2"/>
    <row r="1620" ht="12.75" x14ac:dyDescent="0.2"/>
    <row r="1621" ht="12.75" x14ac:dyDescent="0.2"/>
    <row r="1622" ht="12.75" x14ac:dyDescent="0.2"/>
    <row r="1623" ht="12.75" x14ac:dyDescent="0.2"/>
    <row r="1624" ht="12.75" x14ac:dyDescent="0.2"/>
    <row r="1625" ht="12.75" x14ac:dyDescent="0.2"/>
    <row r="1626" ht="12.75" x14ac:dyDescent="0.2"/>
    <row r="1627" ht="12.75" x14ac:dyDescent="0.2"/>
    <row r="1628" ht="12.75" x14ac:dyDescent="0.2"/>
    <row r="1629" ht="12.75" x14ac:dyDescent="0.2"/>
    <row r="1630" ht="12.75" x14ac:dyDescent="0.2"/>
    <row r="1631" ht="12.75" x14ac:dyDescent="0.2"/>
    <row r="1632" ht="12.75" x14ac:dyDescent="0.2"/>
    <row r="1633" ht="12.75" x14ac:dyDescent="0.2"/>
    <row r="1634" ht="12.75" x14ac:dyDescent="0.2"/>
    <row r="1635" ht="12.75" x14ac:dyDescent="0.2"/>
    <row r="1636" ht="12.75" x14ac:dyDescent="0.2"/>
    <row r="1637" ht="12.75" x14ac:dyDescent="0.2"/>
    <row r="1638" ht="12.75" x14ac:dyDescent="0.2"/>
    <row r="1639" ht="12.75" x14ac:dyDescent="0.2"/>
    <row r="1640" ht="12.75" x14ac:dyDescent="0.2"/>
    <row r="1641" ht="12.75" x14ac:dyDescent="0.2"/>
    <row r="1642" ht="12.75" x14ac:dyDescent="0.2"/>
    <row r="1643" ht="12.75" x14ac:dyDescent="0.2"/>
    <row r="1644" ht="12.75" x14ac:dyDescent="0.2"/>
    <row r="1645" ht="12.75" x14ac:dyDescent="0.2"/>
    <row r="1646" ht="12.75" x14ac:dyDescent="0.2"/>
    <row r="1647" ht="12.75" x14ac:dyDescent="0.2"/>
    <row r="1648" ht="12.75" x14ac:dyDescent="0.2"/>
    <row r="1649" ht="12.75" x14ac:dyDescent="0.2"/>
    <row r="1650" ht="12.75" x14ac:dyDescent="0.2"/>
    <row r="1651" ht="12.75" x14ac:dyDescent="0.2"/>
    <row r="1652" ht="12.75" x14ac:dyDescent="0.2"/>
    <row r="1653" ht="12.75" x14ac:dyDescent="0.2"/>
    <row r="1654" ht="12.75" x14ac:dyDescent="0.2"/>
    <row r="1655" ht="12.75" x14ac:dyDescent="0.2"/>
    <row r="1656" ht="12.75" x14ac:dyDescent="0.2"/>
    <row r="1657" ht="12.75" x14ac:dyDescent="0.2"/>
    <row r="1658" ht="12.75" x14ac:dyDescent="0.2"/>
    <row r="1659" ht="12.75" x14ac:dyDescent="0.2"/>
    <row r="1660" ht="12.75" x14ac:dyDescent="0.2"/>
    <row r="1661" ht="12.75" x14ac:dyDescent="0.2"/>
    <row r="1662" ht="12.75" x14ac:dyDescent="0.2"/>
    <row r="1663" ht="12.75" x14ac:dyDescent="0.2"/>
    <row r="1664" ht="12.75" x14ac:dyDescent="0.2"/>
    <row r="1665" ht="12.75" x14ac:dyDescent="0.2"/>
    <row r="1666" ht="12.75" x14ac:dyDescent="0.2"/>
    <row r="1667" ht="12.75" x14ac:dyDescent="0.2"/>
    <row r="1668" ht="12.75" x14ac:dyDescent="0.2"/>
    <row r="1669" ht="12.75" x14ac:dyDescent="0.2"/>
    <row r="1670" ht="12.75" x14ac:dyDescent="0.2"/>
    <row r="1671" ht="12.75" x14ac:dyDescent="0.2"/>
    <row r="1672" ht="12.75" x14ac:dyDescent="0.2"/>
    <row r="1673" ht="12.75" x14ac:dyDescent="0.2"/>
    <row r="1674" ht="12.75" x14ac:dyDescent="0.2"/>
    <row r="1675" ht="12.75" x14ac:dyDescent="0.2"/>
    <row r="1676" ht="12.75" x14ac:dyDescent="0.2"/>
    <row r="1677" ht="12.75" x14ac:dyDescent="0.2"/>
    <row r="1678" ht="12.75" x14ac:dyDescent="0.2"/>
    <row r="1679" ht="12.75" x14ac:dyDescent="0.2"/>
    <row r="1680" ht="12.75" x14ac:dyDescent="0.2"/>
    <row r="1681" ht="12.75" x14ac:dyDescent="0.2"/>
    <row r="1682" ht="12.75" x14ac:dyDescent="0.2"/>
    <row r="1683" ht="12.75" x14ac:dyDescent="0.2"/>
    <row r="1684" ht="12.75" x14ac:dyDescent="0.2"/>
    <row r="1685" ht="12.75" x14ac:dyDescent="0.2"/>
    <row r="1686" ht="12.75" x14ac:dyDescent="0.2"/>
    <row r="1687" ht="12.75" x14ac:dyDescent="0.2"/>
    <row r="1688" ht="12.75" x14ac:dyDescent="0.2"/>
    <row r="1689" ht="12.75" x14ac:dyDescent="0.2"/>
    <row r="1690" ht="12.75" x14ac:dyDescent="0.2"/>
    <row r="1691" ht="12.75" x14ac:dyDescent="0.2"/>
    <row r="1692" ht="12.75" x14ac:dyDescent="0.2"/>
    <row r="1693" ht="12.75" x14ac:dyDescent="0.2"/>
    <row r="1694" ht="12.75" x14ac:dyDescent="0.2"/>
    <row r="1695" ht="12.75" x14ac:dyDescent="0.2"/>
    <row r="1696" ht="12.75" x14ac:dyDescent="0.2"/>
    <row r="1697" ht="12.75" x14ac:dyDescent="0.2"/>
    <row r="1698" ht="12.75" x14ac:dyDescent="0.2"/>
    <row r="1699" ht="12.75" x14ac:dyDescent="0.2"/>
    <row r="1700" ht="12.75" x14ac:dyDescent="0.2"/>
    <row r="1701" ht="12.75" x14ac:dyDescent="0.2"/>
    <row r="1702" ht="12.75" x14ac:dyDescent="0.2"/>
    <row r="1703" ht="12.75" x14ac:dyDescent="0.2"/>
    <row r="1704" ht="12.75" x14ac:dyDescent="0.2"/>
    <row r="1705" ht="12.75" x14ac:dyDescent="0.2"/>
    <row r="1706" ht="12.75" x14ac:dyDescent="0.2"/>
    <row r="1707" ht="12.75" x14ac:dyDescent="0.2"/>
    <row r="1708" ht="12.75" x14ac:dyDescent="0.2"/>
    <row r="1709" ht="12.75" x14ac:dyDescent="0.2"/>
    <row r="1710" ht="12.75" x14ac:dyDescent="0.2"/>
    <row r="1711" ht="12.75" x14ac:dyDescent="0.2"/>
    <row r="1712" ht="12.75" x14ac:dyDescent="0.2"/>
    <row r="1713" ht="12.75" x14ac:dyDescent="0.2"/>
    <row r="1714" ht="12.75" x14ac:dyDescent="0.2"/>
    <row r="1715" ht="12.75" x14ac:dyDescent="0.2"/>
    <row r="1716" ht="12.75" x14ac:dyDescent="0.2"/>
    <row r="1717" ht="12.75" x14ac:dyDescent="0.2"/>
    <row r="1718" ht="12.75" x14ac:dyDescent="0.2"/>
    <row r="1719" ht="12.75" x14ac:dyDescent="0.2"/>
    <row r="1720" ht="12.75" x14ac:dyDescent="0.2"/>
    <row r="1721" ht="12.75" x14ac:dyDescent="0.2"/>
    <row r="1722" ht="12.75" x14ac:dyDescent="0.2"/>
    <row r="1723" ht="12.75" x14ac:dyDescent="0.2"/>
    <row r="1724" ht="12.75" x14ac:dyDescent="0.2"/>
    <row r="1725" ht="12.75" x14ac:dyDescent="0.2"/>
    <row r="1726" ht="12.75" x14ac:dyDescent="0.2"/>
    <row r="1727" ht="12.75" x14ac:dyDescent="0.2"/>
    <row r="1728" ht="12.75" x14ac:dyDescent="0.2"/>
    <row r="1729" ht="12.75" x14ac:dyDescent="0.2"/>
    <row r="1730" ht="12.75" x14ac:dyDescent="0.2"/>
    <row r="1731" ht="12.75" x14ac:dyDescent="0.2"/>
    <row r="1732" ht="12.75" x14ac:dyDescent="0.2"/>
    <row r="1733" ht="12.75" x14ac:dyDescent="0.2"/>
    <row r="1734" ht="12.75" x14ac:dyDescent="0.2"/>
    <row r="1735" ht="12.75" x14ac:dyDescent="0.2"/>
    <row r="1736" ht="12.75" x14ac:dyDescent="0.2"/>
    <row r="1737" ht="12.75" x14ac:dyDescent="0.2"/>
    <row r="1738" ht="12.75" x14ac:dyDescent="0.2"/>
    <row r="1739" ht="12.75" x14ac:dyDescent="0.2"/>
    <row r="1740" ht="12.75" x14ac:dyDescent="0.2"/>
    <row r="1741" ht="12.75" x14ac:dyDescent="0.2"/>
    <row r="1742" ht="12.75" x14ac:dyDescent="0.2"/>
    <row r="1743" ht="12.75" x14ac:dyDescent="0.2"/>
    <row r="1744" ht="12.75" x14ac:dyDescent="0.2"/>
    <row r="1745" ht="12.75" x14ac:dyDescent="0.2"/>
    <row r="1746" ht="12.75" x14ac:dyDescent="0.2"/>
    <row r="1747" ht="12.75" x14ac:dyDescent="0.2"/>
    <row r="1748" ht="12.75" x14ac:dyDescent="0.2"/>
    <row r="1749" ht="12.75" x14ac:dyDescent="0.2"/>
    <row r="1750" ht="12.75" x14ac:dyDescent="0.2"/>
    <row r="1751" ht="12.75" x14ac:dyDescent="0.2"/>
    <row r="1752" ht="12.75" x14ac:dyDescent="0.2"/>
    <row r="1753" ht="12.75" x14ac:dyDescent="0.2"/>
    <row r="1754" ht="12.75" x14ac:dyDescent="0.2"/>
    <row r="1755" ht="12.75" x14ac:dyDescent="0.2"/>
    <row r="1756" ht="12.75" x14ac:dyDescent="0.2"/>
    <row r="1757" ht="12.75" x14ac:dyDescent="0.2"/>
    <row r="1758" ht="12.75" x14ac:dyDescent="0.2"/>
    <row r="1759" ht="12.75" x14ac:dyDescent="0.2"/>
    <row r="1760" ht="12.75" x14ac:dyDescent="0.2"/>
    <row r="1761" ht="12.75" x14ac:dyDescent="0.2"/>
    <row r="1762" ht="12.75" x14ac:dyDescent="0.2"/>
    <row r="1763" ht="12.75" x14ac:dyDescent="0.2"/>
    <row r="1764" ht="12.75" x14ac:dyDescent="0.2"/>
    <row r="1765" ht="12.75" x14ac:dyDescent="0.2"/>
    <row r="1766" ht="12.75" x14ac:dyDescent="0.2"/>
    <row r="1767" ht="12.75" x14ac:dyDescent="0.2"/>
    <row r="1768" ht="12.75" x14ac:dyDescent="0.2"/>
    <row r="1769" ht="12.75" x14ac:dyDescent="0.2"/>
    <row r="1770" ht="12.75" x14ac:dyDescent="0.2"/>
    <row r="1771" ht="12.75" x14ac:dyDescent="0.2"/>
    <row r="1772" ht="12.75" x14ac:dyDescent="0.2"/>
    <row r="1773" ht="12.75" x14ac:dyDescent="0.2"/>
    <row r="1774" ht="12.75" x14ac:dyDescent="0.2"/>
    <row r="1775" ht="12.75" x14ac:dyDescent="0.2"/>
    <row r="1776" ht="12.75" x14ac:dyDescent="0.2"/>
    <row r="1777" ht="12.75" x14ac:dyDescent="0.2"/>
    <row r="1778" ht="12.75" x14ac:dyDescent="0.2"/>
    <row r="1779" ht="12.75" x14ac:dyDescent="0.2"/>
    <row r="1780" ht="12.75" x14ac:dyDescent="0.2"/>
    <row r="1781" ht="12.75" x14ac:dyDescent="0.2"/>
    <row r="1782" ht="12.75" x14ac:dyDescent="0.2"/>
    <row r="1783" ht="12.75" x14ac:dyDescent="0.2"/>
    <row r="1784" ht="12.75" x14ac:dyDescent="0.2"/>
    <row r="1785" ht="12.75" x14ac:dyDescent="0.2"/>
    <row r="1786" ht="12.75" x14ac:dyDescent="0.2"/>
    <row r="1787" ht="12.75" x14ac:dyDescent="0.2"/>
    <row r="1788" ht="12.75" x14ac:dyDescent="0.2"/>
    <row r="1789" ht="12.75" x14ac:dyDescent="0.2"/>
    <row r="1790" ht="12.75" x14ac:dyDescent="0.2"/>
    <row r="1791" ht="12.75" x14ac:dyDescent="0.2"/>
    <row r="1792" ht="12.75" x14ac:dyDescent="0.2"/>
    <row r="1793" ht="12.75" x14ac:dyDescent="0.2"/>
    <row r="1794" ht="12.75" x14ac:dyDescent="0.2"/>
    <row r="1795" ht="12.75" x14ac:dyDescent="0.2"/>
    <row r="1796" ht="12.75" x14ac:dyDescent="0.2"/>
    <row r="1797" ht="12.75" x14ac:dyDescent="0.2"/>
    <row r="1798" ht="12.75" x14ac:dyDescent="0.2"/>
    <row r="1799" ht="12.75" x14ac:dyDescent="0.2"/>
    <row r="1800" ht="12.75" x14ac:dyDescent="0.2"/>
    <row r="1801" ht="12.75" x14ac:dyDescent="0.2"/>
    <row r="1802" ht="12.75" x14ac:dyDescent="0.2"/>
    <row r="1803" ht="12.75" x14ac:dyDescent="0.2"/>
    <row r="1804" ht="12.75" x14ac:dyDescent="0.2"/>
    <row r="1805" ht="12.75" x14ac:dyDescent="0.2"/>
    <row r="1806" ht="12.75" x14ac:dyDescent="0.2"/>
    <row r="1807" ht="12.75" x14ac:dyDescent="0.2"/>
    <row r="1808" ht="12.75" x14ac:dyDescent="0.2"/>
    <row r="1809" ht="12.75" x14ac:dyDescent="0.2"/>
    <row r="1810" ht="12.75" x14ac:dyDescent="0.2"/>
    <row r="1811" ht="12.75" x14ac:dyDescent="0.2"/>
    <row r="1812" ht="12.75" x14ac:dyDescent="0.2"/>
    <row r="1813" ht="12.75" x14ac:dyDescent="0.2"/>
    <row r="1814" ht="12.75" x14ac:dyDescent="0.2"/>
    <row r="1815" ht="12.75" x14ac:dyDescent="0.2"/>
    <row r="1816" ht="12.75" x14ac:dyDescent="0.2"/>
    <row r="1817" ht="12.75" x14ac:dyDescent="0.2"/>
    <row r="1818" ht="12.75" x14ac:dyDescent="0.2"/>
    <row r="1819" ht="12.75" x14ac:dyDescent="0.2"/>
    <row r="1820" ht="12.75" x14ac:dyDescent="0.2"/>
    <row r="1821" ht="12.75" x14ac:dyDescent="0.2"/>
    <row r="1822" ht="12.75" x14ac:dyDescent="0.2"/>
    <row r="1823" ht="12.75" x14ac:dyDescent="0.2"/>
    <row r="1824" ht="12.75" x14ac:dyDescent="0.2"/>
    <row r="1825" ht="12.75" x14ac:dyDescent="0.2"/>
    <row r="1826" ht="12.75" x14ac:dyDescent="0.2"/>
    <row r="1827" ht="12.75" x14ac:dyDescent="0.2"/>
    <row r="1828" ht="12.75" x14ac:dyDescent="0.2"/>
    <row r="1829" ht="12.75" x14ac:dyDescent="0.2"/>
    <row r="1830" ht="12.75" x14ac:dyDescent="0.2"/>
    <row r="1831" ht="12.75" x14ac:dyDescent="0.2"/>
    <row r="1832" ht="12.75" x14ac:dyDescent="0.2"/>
    <row r="1833" ht="12.75" x14ac:dyDescent="0.2"/>
    <row r="1834" ht="12.75" x14ac:dyDescent="0.2"/>
    <row r="1835" ht="12.75" x14ac:dyDescent="0.2"/>
    <row r="1836" ht="12.75" x14ac:dyDescent="0.2"/>
    <row r="1837" ht="12.75" x14ac:dyDescent="0.2"/>
    <row r="1838" ht="12.75" x14ac:dyDescent="0.2"/>
    <row r="1839" ht="12.75" x14ac:dyDescent="0.2"/>
    <row r="1840" ht="12.75" x14ac:dyDescent="0.2"/>
    <row r="1841" ht="12.75" x14ac:dyDescent="0.2"/>
    <row r="1842" ht="12.75" x14ac:dyDescent="0.2"/>
    <row r="1843" ht="12.75" x14ac:dyDescent="0.2"/>
    <row r="1844" ht="12.75" x14ac:dyDescent="0.2"/>
    <row r="1845" ht="12.75" x14ac:dyDescent="0.2"/>
    <row r="1846" ht="12.75" x14ac:dyDescent="0.2"/>
    <row r="1847" ht="12.75" x14ac:dyDescent="0.2"/>
    <row r="1848" ht="12.75" x14ac:dyDescent="0.2"/>
    <row r="1849" ht="12.75" x14ac:dyDescent="0.2"/>
    <row r="1850" ht="12.75" x14ac:dyDescent="0.2"/>
    <row r="1851" ht="12.75" x14ac:dyDescent="0.2"/>
    <row r="1852" ht="12.75" x14ac:dyDescent="0.2"/>
    <row r="1853" ht="12.75" x14ac:dyDescent="0.2"/>
    <row r="1854" ht="12.75" x14ac:dyDescent="0.2"/>
    <row r="1855" ht="12.75" x14ac:dyDescent="0.2"/>
    <row r="1856" ht="12.75" x14ac:dyDescent="0.2"/>
    <row r="1857" ht="12.75" x14ac:dyDescent="0.2"/>
    <row r="1858" ht="12.75" x14ac:dyDescent="0.2"/>
    <row r="1859" ht="12.75" x14ac:dyDescent="0.2"/>
    <row r="1860" ht="12.75" x14ac:dyDescent="0.2"/>
    <row r="1861" ht="12.75" x14ac:dyDescent="0.2"/>
    <row r="1862" ht="12.75" x14ac:dyDescent="0.2"/>
    <row r="1863" ht="12.75" x14ac:dyDescent="0.2"/>
    <row r="1864" ht="12.75" x14ac:dyDescent="0.2"/>
    <row r="1865" ht="12.75" x14ac:dyDescent="0.2"/>
    <row r="1866" ht="12.75" x14ac:dyDescent="0.2"/>
    <row r="1867" ht="12.75" x14ac:dyDescent="0.2"/>
    <row r="1868" ht="12.75" x14ac:dyDescent="0.2"/>
    <row r="1869" ht="12.75" x14ac:dyDescent="0.2"/>
    <row r="1870" ht="12.75" x14ac:dyDescent="0.2"/>
    <row r="1871" ht="12.75" x14ac:dyDescent="0.2"/>
    <row r="1872" ht="12.75" x14ac:dyDescent="0.2"/>
    <row r="1873" ht="12.75" x14ac:dyDescent="0.2"/>
    <row r="1874" ht="12.75" x14ac:dyDescent="0.2"/>
    <row r="1875" ht="12.75" x14ac:dyDescent="0.2"/>
    <row r="1876" ht="12.75" x14ac:dyDescent="0.2"/>
    <row r="1877" ht="12.75" x14ac:dyDescent="0.2"/>
    <row r="1878" ht="12.75" x14ac:dyDescent="0.2"/>
    <row r="1879" ht="12.75" x14ac:dyDescent="0.2"/>
    <row r="1880" ht="12.75" x14ac:dyDescent="0.2"/>
    <row r="1881" ht="12.75" x14ac:dyDescent="0.2"/>
    <row r="1882" ht="12.75" x14ac:dyDescent="0.2"/>
    <row r="1883" ht="12.75" x14ac:dyDescent="0.2"/>
    <row r="1884" ht="12.75" x14ac:dyDescent="0.2"/>
    <row r="1885" ht="12.75" x14ac:dyDescent="0.2"/>
    <row r="1886" ht="12.75" x14ac:dyDescent="0.2"/>
    <row r="1887" ht="12.75" x14ac:dyDescent="0.2"/>
    <row r="1888" ht="12.75" x14ac:dyDescent="0.2"/>
    <row r="1889" ht="12.75" x14ac:dyDescent="0.2"/>
    <row r="1890" ht="12.75" x14ac:dyDescent="0.2"/>
    <row r="1891" ht="12.75" x14ac:dyDescent="0.2"/>
    <row r="1892" ht="12.75" x14ac:dyDescent="0.2"/>
    <row r="1893" ht="12.75" x14ac:dyDescent="0.2"/>
    <row r="1894" ht="12.75" x14ac:dyDescent="0.2"/>
    <row r="1895" ht="12.75" x14ac:dyDescent="0.2"/>
    <row r="1896" ht="12.75" x14ac:dyDescent="0.2"/>
    <row r="1897" ht="12.75" x14ac:dyDescent="0.2"/>
    <row r="1898" ht="12.75" x14ac:dyDescent="0.2"/>
    <row r="1899" ht="12.75" x14ac:dyDescent="0.2"/>
    <row r="1900" ht="12.75" x14ac:dyDescent="0.2"/>
    <row r="1901" ht="12.75" x14ac:dyDescent="0.2"/>
    <row r="1902" ht="12.75" x14ac:dyDescent="0.2"/>
    <row r="1903" ht="12.75" x14ac:dyDescent="0.2"/>
    <row r="1904" ht="12.75" x14ac:dyDescent="0.2"/>
    <row r="1905" ht="12.75" x14ac:dyDescent="0.2"/>
    <row r="1906" ht="12.75" x14ac:dyDescent="0.2"/>
    <row r="1907" ht="12.75" x14ac:dyDescent="0.2"/>
    <row r="1908" ht="12.75" x14ac:dyDescent="0.2"/>
    <row r="1909" ht="12.75" x14ac:dyDescent="0.2"/>
    <row r="1910" ht="12.75" x14ac:dyDescent="0.2"/>
    <row r="1911" ht="12.75" x14ac:dyDescent="0.2"/>
    <row r="1912" ht="12.75" x14ac:dyDescent="0.2"/>
    <row r="1913" ht="12.75" x14ac:dyDescent="0.2"/>
    <row r="1914" ht="12.75" x14ac:dyDescent="0.2"/>
    <row r="1915" ht="12.75" x14ac:dyDescent="0.2"/>
    <row r="1916" ht="12.75" x14ac:dyDescent="0.2"/>
    <row r="1917" ht="12.75" x14ac:dyDescent="0.2"/>
    <row r="1918" ht="12.75" x14ac:dyDescent="0.2"/>
    <row r="1919" ht="12.75" x14ac:dyDescent="0.2"/>
    <row r="1920" ht="12.75" x14ac:dyDescent="0.2"/>
    <row r="1921" ht="12.75" x14ac:dyDescent="0.2"/>
    <row r="1922" ht="12.75" x14ac:dyDescent="0.2"/>
    <row r="1923" ht="12.75" x14ac:dyDescent="0.2"/>
    <row r="1924" ht="12.75" x14ac:dyDescent="0.2"/>
    <row r="1925" ht="12.75" x14ac:dyDescent="0.2"/>
    <row r="1926" ht="12.75" x14ac:dyDescent="0.2"/>
    <row r="1927" ht="12.75" x14ac:dyDescent="0.2"/>
    <row r="1928" ht="12.75" x14ac:dyDescent="0.2"/>
    <row r="1929" ht="12.75" x14ac:dyDescent="0.2"/>
    <row r="1930" ht="12.75" x14ac:dyDescent="0.2"/>
    <row r="1931" ht="12.75" x14ac:dyDescent="0.2"/>
    <row r="1932" ht="12.75" x14ac:dyDescent="0.2"/>
    <row r="1933" ht="12.75" x14ac:dyDescent="0.2"/>
    <row r="1934" ht="12.75" x14ac:dyDescent="0.2"/>
    <row r="1935" ht="12.75" x14ac:dyDescent="0.2"/>
    <row r="1936" ht="12.75" x14ac:dyDescent="0.2"/>
    <row r="1937" ht="12.75" x14ac:dyDescent="0.2"/>
    <row r="1938" ht="12.75" x14ac:dyDescent="0.2"/>
    <row r="1939" ht="12.75" x14ac:dyDescent="0.2"/>
    <row r="1940" ht="12.75" x14ac:dyDescent="0.2"/>
    <row r="1941" ht="12.75" x14ac:dyDescent="0.2"/>
    <row r="1942" ht="12.75" x14ac:dyDescent="0.2"/>
    <row r="1943" ht="12.75" x14ac:dyDescent="0.2"/>
    <row r="1944" ht="12.75" x14ac:dyDescent="0.2"/>
    <row r="1945" ht="12.75" x14ac:dyDescent="0.2"/>
    <row r="1946" ht="12.75" x14ac:dyDescent="0.2"/>
    <row r="1947" ht="12.75" x14ac:dyDescent="0.2"/>
    <row r="1948" ht="12.75" x14ac:dyDescent="0.2"/>
    <row r="1949" ht="12.75" x14ac:dyDescent="0.2"/>
    <row r="1950" ht="12.75" x14ac:dyDescent="0.2"/>
    <row r="1951" ht="12.75" x14ac:dyDescent="0.2"/>
    <row r="1952" ht="12.75" x14ac:dyDescent="0.2"/>
    <row r="1953" ht="12.75" x14ac:dyDescent="0.2"/>
    <row r="1954" ht="12.75" x14ac:dyDescent="0.2"/>
    <row r="1955" ht="12.75" x14ac:dyDescent="0.2"/>
    <row r="1956" ht="12.75" x14ac:dyDescent="0.2"/>
    <row r="1957" ht="12.75" x14ac:dyDescent="0.2"/>
    <row r="1958" ht="12.75" x14ac:dyDescent="0.2"/>
    <row r="1959" ht="12.75" x14ac:dyDescent="0.2"/>
    <row r="1960" ht="12.75" x14ac:dyDescent="0.2"/>
    <row r="1961" ht="12.75" x14ac:dyDescent="0.2"/>
    <row r="1962" ht="12.75" x14ac:dyDescent="0.2"/>
    <row r="1963" ht="12.75" x14ac:dyDescent="0.2"/>
    <row r="1964" ht="12.75" x14ac:dyDescent="0.2"/>
    <row r="1965" ht="12.75" x14ac:dyDescent="0.2"/>
    <row r="1966" ht="12.75" x14ac:dyDescent="0.2"/>
    <row r="1967" ht="12.75" x14ac:dyDescent="0.2"/>
    <row r="1968" ht="12.75" x14ac:dyDescent="0.2"/>
    <row r="1969" ht="12.75" x14ac:dyDescent="0.2"/>
    <row r="1970" ht="12.75" x14ac:dyDescent="0.2"/>
    <row r="1971" ht="12.75" x14ac:dyDescent="0.2"/>
    <row r="1972" ht="12.75" x14ac:dyDescent="0.2"/>
    <row r="1973" ht="12.75" x14ac:dyDescent="0.2"/>
    <row r="1974" ht="12.75" x14ac:dyDescent="0.2"/>
    <row r="1975" ht="12.75" x14ac:dyDescent="0.2"/>
    <row r="1976" ht="12.75" x14ac:dyDescent="0.2"/>
    <row r="1977" ht="12.75" x14ac:dyDescent="0.2"/>
    <row r="1978" ht="12.75" x14ac:dyDescent="0.2"/>
    <row r="1979" ht="12.75" x14ac:dyDescent="0.2"/>
    <row r="1980" ht="12.75" x14ac:dyDescent="0.2"/>
    <row r="1981" ht="12.75" x14ac:dyDescent="0.2"/>
    <row r="1982" ht="12.75" x14ac:dyDescent="0.2"/>
    <row r="1983" ht="12.75" x14ac:dyDescent="0.2"/>
    <row r="1984" ht="12.75" x14ac:dyDescent="0.2"/>
    <row r="1985" ht="12.75" x14ac:dyDescent="0.2"/>
    <row r="1986" ht="12.75" x14ac:dyDescent="0.2"/>
    <row r="1987" ht="12.75" x14ac:dyDescent="0.2"/>
    <row r="1988" ht="12.75" x14ac:dyDescent="0.2"/>
    <row r="1989" ht="12.75" x14ac:dyDescent="0.2"/>
    <row r="1990" ht="12.75" x14ac:dyDescent="0.2"/>
    <row r="1991" ht="12.75" x14ac:dyDescent="0.2"/>
    <row r="1992" ht="12.75" x14ac:dyDescent="0.2"/>
    <row r="1993" ht="12.75" x14ac:dyDescent="0.2"/>
    <row r="1994" ht="12.75" x14ac:dyDescent="0.2"/>
    <row r="1995" ht="12.75" x14ac:dyDescent="0.2"/>
    <row r="1996" ht="12.75" x14ac:dyDescent="0.2"/>
    <row r="1997" ht="12.75" x14ac:dyDescent="0.2"/>
    <row r="1998" ht="12.75" x14ac:dyDescent="0.2"/>
    <row r="1999" ht="12.75" x14ac:dyDescent="0.2"/>
    <row r="2000" ht="12.75" x14ac:dyDescent="0.2"/>
    <row r="2001" ht="12.75" x14ac:dyDescent="0.2"/>
    <row r="2002" ht="12.75" x14ac:dyDescent="0.2"/>
    <row r="2003" ht="12.75" x14ac:dyDescent="0.2"/>
    <row r="2004" ht="12.75" x14ac:dyDescent="0.2"/>
    <row r="2005" ht="12.75" x14ac:dyDescent="0.2"/>
    <row r="2006" ht="12.75" x14ac:dyDescent="0.2"/>
    <row r="2007" ht="12.75" x14ac:dyDescent="0.2"/>
    <row r="2008" ht="12.75" x14ac:dyDescent="0.2"/>
    <row r="2009" ht="12.75" x14ac:dyDescent="0.2"/>
    <row r="2010" ht="12.75" x14ac:dyDescent="0.2"/>
    <row r="2011" ht="12.75" x14ac:dyDescent="0.2"/>
    <row r="2012" ht="12.75" x14ac:dyDescent="0.2"/>
    <row r="2013" ht="12.75" x14ac:dyDescent="0.2"/>
    <row r="2014" ht="12.75" x14ac:dyDescent="0.2"/>
    <row r="2015" ht="12.75" x14ac:dyDescent="0.2"/>
    <row r="2016" ht="12.75" x14ac:dyDescent="0.2"/>
    <row r="2017" ht="12.75" x14ac:dyDescent="0.2"/>
    <row r="2018" ht="12.75" x14ac:dyDescent="0.2"/>
    <row r="2019" ht="12.75" x14ac:dyDescent="0.2"/>
    <row r="2020" ht="12.75" x14ac:dyDescent="0.2"/>
    <row r="2021" ht="12.75" x14ac:dyDescent="0.2"/>
    <row r="2022" ht="12.75" x14ac:dyDescent="0.2"/>
    <row r="2023" ht="12.75" x14ac:dyDescent="0.2"/>
    <row r="2024" ht="12.75" x14ac:dyDescent="0.2"/>
    <row r="2025" ht="12.75" x14ac:dyDescent="0.2"/>
    <row r="2026" ht="12.75" x14ac:dyDescent="0.2"/>
    <row r="2027" ht="12.75" x14ac:dyDescent="0.2"/>
    <row r="2028" ht="12.75" x14ac:dyDescent="0.2"/>
    <row r="2029" ht="12.75" x14ac:dyDescent="0.2"/>
    <row r="2030" ht="12.75" x14ac:dyDescent="0.2"/>
    <row r="2031" ht="12.75" x14ac:dyDescent="0.2"/>
    <row r="2032" ht="12.75" x14ac:dyDescent="0.2"/>
    <row r="2033" ht="12.75" x14ac:dyDescent="0.2"/>
    <row r="2034" ht="12.75" x14ac:dyDescent="0.2"/>
    <row r="2035" ht="12.75" x14ac:dyDescent="0.2"/>
    <row r="2036" ht="12.75" x14ac:dyDescent="0.2"/>
    <row r="2037" ht="12.75" x14ac:dyDescent="0.2"/>
    <row r="2038" ht="12.75" x14ac:dyDescent="0.2"/>
    <row r="2039" ht="12.75" x14ac:dyDescent="0.2"/>
    <row r="2040" ht="12.75" x14ac:dyDescent="0.2"/>
    <row r="2041" ht="12.75" x14ac:dyDescent="0.2"/>
    <row r="2042" ht="12.75" x14ac:dyDescent="0.2"/>
    <row r="2043" ht="12.75" x14ac:dyDescent="0.2"/>
    <row r="2044" ht="12.75" x14ac:dyDescent="0.2"/>
    <row r="2045" ht="12.75" x14ac:dyDescent="0.2"/>
    <row r="2046" ht="12.75" x14ac:dyDescent="0.2"/>
    <row r="2047" ht="12.75" x14ac:dyDescent="0.2"/>
    <row r="2048" ht="12.75" x14ac:dyDescent="0.2"/>
    <row r="2049" ht="12.75" x14ac:dyDescent="0.2"/>
    <row r="2050" ht="12.75" x14ac:dyDescent="0.2"/>
    <row r="2051" ht="12.75" x14ac:dyDescent="0.2"/>
    <row r="2052" ht="12.75" x14ac:dyDescent="0.2"/>
    <row r="2053" ht="12.75" x14ac:dyDescent="0.2"/>
    <row r="2054" ht="12.75" x14ac:dyDescent="0.2"/>
    <row r="2055" ht="12.75" x14ac:dyDescent="0.2"/>
    <row r="2056" ht="12.75" x14ac:dyDescent="0.2"/>
    <row r="2057" ht="12.75" x14ac:dyDescent="0.2"/>
    <row r="2058" ht="12.75" x14ac:dyDescent="0.2"/>
    <row r="2059" ht="12.75" x14ac:dyDescent="0.2"/>
    <row r="2060" ht="12.75" x14ac:dyDescent="0.2"/>
    <row r="2061" ht="12.75" x14ac:dyDescent="0.2"/>
    <row r="2062" ht="12.75" x14ac:dyDescent="0.2"/>
    <row r="2063" ht="12.75" x14ac:dyDescent="0.2"/>
    <row r="2064" ht="12.75" x14ac:dyDescent="0.2"/>
    <row r="2065" ht="12.75" x14ac:dyDescent="0.2"/>
    <row r="2066" ht="12.75" x14ac:dyDescent="0.2"/>
    <row r="2067" ht="12.75" x14ac:dyDescent="0.2"/>
    <row r="2068" ht="12.75" x14ac:dyDescent="0.2"/>
    <row r="2069" ht="12.75" x14ac:dyDescent="0.2"/>
    <row r="2070" ht="12.75" x14ac:dyDescent="0.2"/>
    <row r="2071" ht="12.75" x14ac:dyDescent="0.2"/>
    <row r="2072" ht="12.75" x14ac:dyDescent="0.2"/>
    <row r="2073" ht="12.75" x14ac:dyDescent="0.2"/>
    <row r="2074" ht="12.75" x14ac:dyDescent="0.2"/>
    <row r="2075" ht="12.75" x14ac:dyDescent="0.2"/>
    <row r="2076" ht="12.75" x14ac:dyDescent="0.2"/>
    <row r="2077" ht="12.75" x14ac:dyDescent="0.2"/>
    <row r="2078" ht="12.75" x14ac:dyDescent="0.2"/>
    <row r="2079" ht="12.75" x14ac:dyDescent="0.2"/>
    <row r="2080" ht="12.75" x14ac:dyDescent="0.2"/>
    <row r="2081" ht="12.75" x14ac:dyDescent="0.2"/>
    <row r="2082" ht="12.75" x14ac:dyDescent="0.2"/>
    <row r="2083" ht="12.75" x14ac:dyDescent="0.2"/>
    <row r="2084" ht="12.75" x14ac:dyDescent="0.2"/>
    <row r="2085" ht="12.75" x14ac:dyDescent="0.2"/>
    <row r="2086" ht="12.75" x14ac:dyDescent="0.2"/>
    <row r="2087" ht="12.75" x14ac:dyDescent="0.2"/>
    <row r="2088" ht="12.75" x14ac:dyDescent="0.2"/>
    <row r="2089" ht="12.75" x14ac:dyDescent="0.2"/>
    <row r="2090" ht="12.75" x14ac:dyDescent="0.2"/>
    <row r="2091" ht="12.75" x14ac:dyDescent="0.2"/>
    <row r="2092" ht="12.75" x14ac:dyDescent="0.2"/>
    <row r="2093" ht="12.75" x14ac:dyDescent="0.2"/>
    <row r="2094" ht="12.75" x14ac:dyDescent="0.2"/>
    <row r="2095" ht="12.75" x14ac:dyDescent="0.2"/>
    <row r="2096" ht="12.75" x14ac:dyDescent="0.2"/>
    <row r="2097" ht="12.75" x14ac:dyDescent="0.2"/>
    <row r="2098" ht="12.75" x14ac:dyDescent="0.2"/>
    <row r="2099" ht="12.75" x14ac:dyDescent="0.2"/>
    <row r="2100" ht="12.75" x14ac:dyDescent="0.2"/>
    <row r="2101" ht="12.75" x14ac:dyDescent="0.2"/>
    <row r="2102" ht="12.75" x14ac:dyDescent="0.2"/>
    <row r="2103" ht="12.75" x14ac:dyDescent="0.2"/>
    <row r="2104" ht="12.75" x14ac:dyDescent="0.2"/>
    <row r="2105" ht="12.75" x14ac:dyDescent="0.2"/>
    <row r="2106" ht="12.75" x14ac:dyDescent="0.2"/>
    <row r="2107" ht="12.75" x14ac:dyDescent="0.2"/>
    <row r="2108" ht="12.75" x14ac:dyDescent="0.2"/>
    <row r="2109" ht="12.75" x14ac:dyDescent="0.2"/>
    <row r="2110" ht="12.75" x14ac:dyDescent="0.2"/>
    <row r="2111" ht="12.75" x14ac:dyDescent="0.2"/>
    <row r="2112" ht="12.75" x14ac:dyDescent="0.2"/>
    <row r="2113" ht="12.75" x14ac:dyDescent="0.2"/>
    <row r="2114" ht="12.75" x14ac:dyDescent="0.2"/>
    <row r="2115" ht="12.75" x14ac:dyDescent="0.2"/>
    <row r="2116" ht="12.75" x14ac:dyDescent="0.2"/>
    <row r="2117" ht="12.75" x14ac:dyDescent="0.2"/>
    <row r="2118" ht="12.75" x14ac:dyDescent="0.2"/>
    <row r="2119" ht="12.75" x14ac:dyDescent="0.2"/>
    <row r="2120" ht="12.75" x14ac:dyDescent="0.2"/>
    <row r="2121" ht="12.75" x14ac:dyDescent="0.2"/>
    <row r="2122" ht="12.75" x14ac:dyDescent="0.2"/>
    <row r="2123" ht="12.75" x14ac:dyDescent="0.2"/>
    <row r="2124" ht="12.75" x14ac:dyDescent="0.2"/>
    <row r="2125" ht="12.75" x14ac:dyDescent="0.2"/>
    <row r="2126" ht="12.75" x14ac:dyDescent="0.2"/>
    <row r="2127" ht="12.75" x14ac:dyDescent="0.2"/>
    <row r="2128" ht="12.75" x14ac:dyDescent="0.2"/>
    <row r="2129" ht="12.75" x14ac:dyDescent="0.2"/>
    <row r="2130" ht="12.75" x14ac:dyDescent="0.2"/>
    <row r="2131" ht="12.75" x14ac:dyDescent="0.2"/>
    <row r="2132" ht="12.75" x14ac:dyDescent="0.2"/>
    <row r="2133" ht="12.75" x14ac:dyDescent="0.2"/>
    <row r="2134" ht="12.75" x14ac:dyDescent="0.2"/>
    <row r="2135" ht="12.75" x14ac:dyDescent="0.2"/>
    <row r="2136" ht="12.75" x14ac:dyDescent="0.2"/>
    <row r="2137" ht="12.75" x14ac:dyDescent="0.2"/>
    <row r="2138" ht="12.75" x14ac:dyDescent="0.2"/>
    <row r="2139" ht="12.75" x14ac:dyDescent="0.2"/>
    <row r="2140" ht="12.75" x14ac:dyDescent="0.2"/>
    <row r="2141" ht="12.75" x14ac:dyDescent="0.2"/>
    <row r="2142" ht="12.75" x14ac:dyDescent="0.2"/>
    <row r="2143" ht="12.75" x14ac:dyDescent="0.2"/>
    <row r="2144" ht="12.75" x14ac:dyDescent="0.2"/>
    <row r="2145" ht="12.75" x14ac:dyDescent="0.2"/>
    <row r="2146" ht="12.75" x14ac:dyDescent="0.2"/>
    <row r="2147" ht="12.75" x14ac:dyDescent="0.2"/>
    <row r="2148" ht="12.75" x14ac:dyDescent="0.2"/>
    <row r="2149" ht="12.75" x14ac:dyDescent="0.2"/>
    <row r="2150" ht="12.75" x14ac:dyDescent="0.2"/>
    <row r="2151" ht="12.75" x14ac:dyDescent="0.2"/>
    <row r="2152" ht="12.75" x14ac:dyDescent="0.2"/>
    <row r="2153" ht="12.75" x14ac:dyDescent="0.2"/>
    <row r="2154" ht="12.75" x14ac:dyDescent="0.2"/>
    <row r="2155" ht="12.75" x14ac:dyDescent="0.2"/>
    <row r="2156" ht="12.75" x14ac:dyDescent="0.2"/>
    <row r="2157" ht="12.75" x14ac:dyDescent="0.2"/>
    <row r="2158" ht="12.75" x14ac:dyDescent="0.2"/>
    <row r="2159" ht="12.75" x14ac:dyDescent="0.2"/>
    <row r="2160" ht="12.75" x14ac:dyDescent="0.2"/>
    <row r="2161" ht="12.75" x14ac:dyDescent="0.2"/>
    <row r="2162" ht="12.75" x14ac:dyDescent="0.2"/>
    <row r="2163" ht="12.75" x14ac:dyDescent="0.2"/>
    <row r="2164" ht="12.75" x14ac:dyDescent="0.2"/>
    <row r="2165" ht="12.75" x14ac:dyDescent="0.2"/>
    <row r="2166" ht="12.75" x14ac:dyDescent="0.2"/>
    <row r="2167" ht="12.75" x14ac:dyDescent="0.2"/>
    <row r="2168" ht="12.75" x14ac:dyDescent="0.2"/>
    <row r="2169" ht="12.75" x14ac:dyDescent="0.2"/>
    <row r="2170" ht="12.75" x14ac:dyDescent="0.2"/>
    <row r="2171" ht="12.75" x14ac:dyDescent="0.2"/>
    <row r="2172" ht="12.75" x14ac:dyDescent="0.2"/>
    <row r="2173" ht="12.75" x14ac:dyDescent="0.2"/>
    <row r="2174" ht="12.75" x14ac:dyDescent="0.2"/>
    <row r="2175" ht="12.75" x14ac:dyDescent="0.2"/>
    <row r="2176" ht="12.75" x14ac:dyDescent="0.2"/>
    <row r="2177" ht="12.75" x14ac:dyDescent="0.2"/>
    <row r="2178" ht="12.75" x14ac:dyDescent="0.2"/>
    <row r="2179" ht="12.75" x14ac:dyDescent="0.2"/>
    <row r="2180" ht="12.75" x14ac:dyDescent="0.2"/>
    <row r="2181" ht="12.75" x14ac:dyDescent="0.2"/>
    <row r="2182" ht="12.75" x14ac:dyDescent="0.2"/>
    <row r="2183" ht="12.75" x14ac:dyDescent="0.2"/>
    <row r="2184" ht="12.75" x14ac:dyDescent="0.2"/>
    <row r="2185" ht="12.75" x14ac:dyDescent="0.2"/>
    <row r="2186" ht="12.75" x14ac:dyDescent="0.2"/>
    <row r="2187" ht="12.75" x14ac:dyDescent="0.2"/>
    <row r="2188" ht="12.75" x14ac:dyDescent="0.2"/>
    <row r="2189" ht="12.75" x14ac:dyDescent="0.2"/>
    <row r="2190" ht="12.75" x14ac:dyDescent="0.2"/>
    <row r="2191" ht="12.75" x14ac:dyDescent="0.2"/>
    <row r="2192" ht="12.75" x14ac:dyDescent="0.2"/>
    <row r="2193" ht="12.75" x14ac:dyDescent="0.2"/>
    <row r="2194" ht="12.75" x14ac:dyDescent="0.2"/>
    <row r="2195" ht="12.75" x14ac:dyDescent="0.2"/>
    <row r="2196" ht="12.75" x14ac:dyDescent="0.2"/>
    <row r="2197" ht="12.75" x14ac:dyDescent="0.2"/>
    <row r="2198" ht="12.75" x14ac:dyDescent="0.2"/>
    <row r="2199" ht="12.75" x14ac:dyDescent="0.2"/>
    <row r="2200" ht="12.75" x14ac:dyDescent="0.2"/>
    <row r="2201" ht="12.75" x14ac:dyDescent="0.2"/>
    <row r="2202" ht="12.75" x14ac:dyDescent="0.2"/>
    <row r="2203" ht="12.75" x14ac:dyDescent="0.2"/>
    <row r="2204" ht="12.75" x14ac:dyDescent="0.2"/>
    <row r="2205" ht="12.75" x14ac:dyDescent="0.2"/>
    <row r="2206" ht="12.75" x14ac:dyDescent="0.2"/>
    <row r="2207" ht="12.75" x14ac:dyDescent="0.2"/>
    <row r="2208" ht="12.75" x14ac:dyDescent="0.2"/>
    <row r="2209" ht="12.75" x14ac:dyDescent="0.2"/>
    <row r="2210" ht="12.75" x14ac:dyDescent="0.2"/>
    <row r="2211" ht="12.75" x14ac:dyDescent="0.2"/>
    <row r="2212" ht="12.75" x14ac:dyDescent="0.2"/>
    <row r="2213" ht="12.75" x14ac:dyDescent="0.2"/>
    <row r="2214" ht="12.75" x14ac:dyDescent="0.2"/>
    <row r="2215" ht="12.75" x14ac:dyDescent="0.2"/>
    <row r="2216" ht="12.75" x14ac:dyDescent="0.2"/>
    <row r="2217" ht="12.75" x14ac:dyDescent="0.2"/>
    <row r="2218" ht="12.75" x14ac:dyDescent="0.2"/>
    <row r="2219" ht="12.75" x14ac:dyDescent="0.2"/>
    <row r="2220" ht="12.75" x14ac:dyDescent="0.2"/>
    <row r="2221" ht="12.75" x14ac:dyDescent="0.2"/>
    <row r="2222" ht="12.75" x14ac:dyDescent="0.2"/>
    <row r="2223" ht="12.75" x14ac:dyDescent="0.2"/>
    <row r="2224" ht="12.75" x14ac:dyDescent="0.2"/>
    <row r="2225" ht="12.75" x14ac:dyDescent="0.2"/>
    <row r="2226" ht="12.75" x14ac:dyDescent="0.2"/>
    <row r="2227" ht="12.75" x14ac:dyDescent="0.2"/>
    <row r="2228" ht="12.75" x14ac:dyDescent="0.2"/>
    <row r="2229" ht="12.75" x14ac:dyDescent="0.2"/>
    <row r="2230" ht="12.75" x14ac:dyDescent="0.2"/>
    <row r="2231" ht="12.75" x14ac:dyDescent="0.2"/>
    <row r="2232" ht="12.75" x14ac:dyDescent="0.2"/>
    <row r="2233" ht="12.75" x14ac:dyDescent="0.2"/>
    <row r="2234" ht="12.75" x14ac:dyDescent="0.2"/>
    <row r="2235" ht="12.75" x14ac:dyDescent="0.2"/>
    <row r="2236" ht="12.75" x14ac:dyDescent="0.2"/>
    <row r="2237" ht="12.75" x14ac:dyDescent="0.2"/>
    <row r="2238" ht="12.75" x14ac:dyDescent="0.2"/>
    <row r="2239" ht="12.75" x14ac:dyDescent="0.2"/>
    <row r="2240" ht="12.75" x14ac:dyDescent="0.2"/>
    <row r="2241" ht="12.75" x14ac:dyDescent="0.2"/>
    <row r="2242" ht="12.75" x14ac:dyDescent="0.2"/>
    <row r="2243" ht="12.75" x14ac:dyDescent="0.2"/>
    <row r="2244" ht="12.75" x14ac:dyDescent="0.2"/>
    <row r="2245" ht="12.75" x14ac:dyDescent="0.2"/>
    <row r="2246" ht="12.75" x14ac:dyDescent="0.2"/>
    <row r="2247" ht="12.75" x14ac:dyDescent="0.2"/>
    <row r="2248" ht="12.75" x14ac:dyDescent="0.2"/>
    <row r="2249" ht="12.75" x14ac:dyDescent="0.2"/>
    <row r="2250" ht="12.75" x14ac:dyDescent="0.2"/>
    <row r="2251" ht="12.75" x14ac:dyDescent="0.2"/>
    <row r="2252" ht="12.75" x14ac:dyDescent="0.2"/>
    <row r="2253" ht="12.75" x14ac:dyDescent="0.2"/>
    <row r="2254" ht="12.75" x14ac:dyDescent="0.2"/>
    <row r="2255" ht="12.75" x14ac:dyDescent="0.2"/>
    <row r="2256" ht="12.75" x14ac:dyDescent="0.2"/>
    <row r="2257" ht="12.75" x14ac:dyDescent="0.2"/>
    <row r="2258" ht="12.75" x14ac:dyDescent="0.2"/>
    <row r="2259" ht="12.75" x14ac:dyDescent="0.2"/>
    <row r="2260" ht="12.75" x14ac:dyDescent="0.2"/>
    <row r="2261" ht="12.75" x14ac:dyDescent="0.2"/>
    <row r="2262" ht="12.75" x14ac:dyDescent="0.2"/>
    <row r="2263" ht="12.75" x14ac:dyDescent="0.2"/>
    <row r="2264" ht="12.75" x14ac:dyDescent="0.2"/>
    <row r="2265" ht="12.75" x14ac:dyDescent="0.2"/>
    <row r="2266" ht="12.75" x14ac:dyDescent="0.2"/>
    <row r="2267" ht="12.75" x14ac:dyDescent="0.2"/>
    <row r="2268" ht="12.75" x14ac:dyDescent="0.2"/>
    <row r="2269" ht="12.75" x14ac:dyDescent="0.2"/>
    <row r="2270" ht="12.75" x14ac:dyDescent="0.2"/>
    <row r="2271" ht="12.75" x14ac:dyDescent="0.2"/>
    <row r="2272" ht="12.75" x14ac:dyDescent="0.2"/>
    <row r="2273" ht="12.75" x14ac:dyDescent="0.2"/>
    <row r="2274" ht="12.75" x14ac:dyDescent="0.2"/>
    <row r="2275" ht="12.75" x14ac:dyDescent="0.2"/>
    <row r="2276" ht="12.75" x14ac:dyDescent="0.2"/>
    <row r="2277" ht="12.75" x14ac:dyDescent="0.2"/>
    <row r="2278" ht="12.75" x14ac:dyDescent="0.2"/>
    <row r="2279" ht="12.75" x14ac:dyDescent="0.2"/>
    <row r="2280" ht="12.75" x14ac:dyDescent="0.2"/>
    <row r="2281" ht="12.75" x14ac:dyDescent="0.2"/>
    <row r="2282" ht="12.75" x14ac:dyDescent="0.2"/>
    <row r="2283" ht="12.75" x14ac:dyDescent="0.2"/>
    <row r="2284" ht="12.75" x14ac:dyDescent="0.2"/>
    <row r="2285" ht="12.75" x14ac:dyDescent="0.2"/>
    <row r="2286" ht="12.75" x14ac:dyDescent="0.2"/>
    <row r="2287" ht="12.75" x14ac:dyDescent="0.2"/>
    <row r="2288" ht="12.75" x14ac:dyDescent="0.2"/>
    <row r="2289" ht="12.75" x14ac:dyDescent="0.2"/>
    <row r="2290" ht="12.75" x14ac:dyDescent="0.2"/>
    <row r="2291" ht="12.75" x14ac:dyDescent="0.2"/>
    <row r="2292" ht="12.75" x14ac:dyDescent="0.2"/>
    <row r="2293" ht="12.75" x14ac:dyDescent="0.2"/>
    <row r="2294" ht="12.75" x14ac:dyDescent="0.2"/>
    <row r="2295" ht="12.75" x14ac:dyDescent="0.2"/>
    <row r="2296" ht="12.75" x14ac:dyDescent="0.2"/>
    <row r="2297" ht="12.75" x14ac:dyDescent="0.2"/>
    <row r="2298" ht="12.75" x14ac:dyDescent="0.2"/>
    <row r="2299" ht="12.75" x14ac:dyDescent="0.2"/>
    <row r="2300" ht="12.75" x14ac:dyDescent="0.2"/>
    <row r="2301" ht="12.75" x14ac:dyDescent="0.2"/>
    <row r="2302" ht="12.75" x14ac:dyDescent="0.2"/>
    <row r="2303" ht="12.75" x14ac:dyDescent="0.2"/>
    <row r="2304" ht="12.75" x14ac:dyDescent="0.2"/>
    <row r="2305" ht="12.75" x14ac:dyDescent="0.2"/>
    <row r="2306" ht="12.75" x14ac:dyDescent="0.2"/>
    <row r="2307" ht="12.75" x14ac:dyDescent="0.2"/>
    <row r="2308" ht="12.75" x14ac:dyDescent="0.2"/>
    <row r="2309" ht="12.75" x14ac:dyDescent="0.2"/>
    <row r="2310" ht="12.75" x14ac:dyDescent="0.2"/>
    <row r="2311" ht="12.75" x14ac:dyDescent="0.2"/>
    <row r="2312" ht="12.75" x14ac:dyDescent="0.2"/>
    <row r="2313" ht="12.75" x14ac:dyDescent="0.2"/>
    <row r="2314" ht="12.75" x14ac:dyDescent="0.2"/>
    <row r="2315" ht="12.75" x14ac:dyDescent="0.2"/>
    <row r="2316" ht="12.75" x14ac:dyDescent="0.2"/>
    <row r="2317" ht="12.75" x14ac:dyDescent="0.2"/>
    <row r="2318" ht="12.75" x14ac:dyDescent="0.2"/>
    <row r="2319" ht="12.75" x14ac:dyDescent="0.2"/>
    <row r="2320" ht="12.75" x14ac:dyDescent="0.2"/>
    <row r="2321" ht="12.75" x14ac:dyDescent="0.2"/>
    <row r="2322" ht="12.75" x14ac:dyDescent="0.2"/>
    <row r="2323" ht="12.75" x14ac:dyDescent="0.2"/>
    <row r="2324" ht="12.75" x14ac:dyDescent="0.2"/>
    <row r="2325" ht="12.75" x14ac:dyDescent="0.2"/>
    <row r="2326" ht="12.75" x14ac:dyDescent="0.2"/>
    <row r="2327" ht="12.75" x14ac:dyDescent="0.2"/>
    <row r="2328" ht="12.75" x14ac:dyDescent="0.2"/>
    <row r="2329" ht="12.75" x14ac:dyDescent="0.2"/>
    <row r="2330" ht="12.75" x14ac:dyDescent="0.2"/>
    <row r="2331" ht="12.75" x14ac:dyDescent="0.2"/>
    <row r="2332" ht="12.75" x14ac:dyDescent="0.2"/>
    <row r="2333" ht="12.75" x14ac:dyDescent="0.2"/>
    <row r="2334" ht="12.75" x14ac:dyDescent="0.2"/>
    <row r="2335" ht="12.75" x14ac:dyDescent="0.2"/>
    <row r="2336" ht="12.75" x14ac:dyDescent="0.2"/>
    <row r="2337" ht="12.75" x14ac:dyDescent="0.2"/>
    <row r="2338" ht="12.75" x14ac:dyDescent="0.2"/>
    <row r="2339" ht="12.75" x14ac:dyDescent="0.2"/>
    <row r="2340" ht="12.75" x14ac:dyDescent="0.2"/>
    <row r="2341" ht="12.75" x14ac:dyDescent="0.2"/>
    <row r="2342" ht="12.75" x14ac:dyDescent="0.2"/>
    <row r="2343" ht="12.75" x14ac:dyDescent="0.2"/>
    <row r="2344" ht="12.75" x14ac:dyDescent="0.2"/>
    <row r="2345" ht="12.75" x14ac:dyDescent="0.2"/>
    <row r="2346" ht="12.75" x14ac:dyDescent="0.2"/>
    <row r="2347" ht="12.75" x14ac:dyDescent="0.2"/>
    <row r="2348" ht="12.75" x14ac:dyDescent="0.2"/>
    <row r="2349" ht="12.75" x14ac:dyDescent="0.2"/>
    <row r="2350" ht="12.75" x14ac:dyDescent="0.2"/>
    <row r="2351" ht="12.75" x14ac:dyDescent="0.2"/>
    <row r="2352" ht="12.75" x14ac:dyDescent="0.2"/>
    <row r="2353" ht="12.75" x14ac:dyDescent="0.2"/>
    <row r="2354" ht="12.75" x14ac:dyDescent="0.2"/>
    <row r="2355" ht="12.75" x14ac:dyDescent="0.2"/>
    <row r="2356" ht="12.75" x14ac:dyDescent="0.2"/>
    <row r="2357" ht="12.75" x14ac:dyDescent="0.2"/>
    <row r="2358" ht="12.75" x14ac:dyDescent="0.2"/>
    <row r="2359" ht="12.75" x14ac:dyDescent="0.2"/>
    <row r="2360" ht="12.75" x14ac:dyDescent="0.2"/>
    <row r="2361" ht="12.75" x14ac:dyDescent="0.2"/>
    <row r="2362" ht="12.75" x14ac:dyDescent="0.2"/>
    <row r="2363" ht="12.75" x14ac:dyDescent="0.2"/>
    <row r="2364" ht="12.75" x14ac:dyDescent="0.2"/>
    <row r="2365" ht="12.75" x14ac:dyDescent="0.2"/>
    <row r="2366" ht="12.75" x14ac:dyDescent="0.2"/>
    <row r="2367" ht="12.75" x14ac:dyDescent="0.2"/>
    <row r="2368" ht="12.75" x14ac:dyDescent="0.2"/>
    <row r="2369" ht="12.75" x14ac:dyDescent="0.2"/>
    <row r="2370" ht="12.75" x14ac:dyDescent="0.2"/>
    <row r="2371" ht="12.75" x14ac:dyDescent="0.2"/>
    <row r="2372" ht="12.75" x14ac:dyDescent="0.2"/>
    <row r="2373" ht="12.75" x14ac:dyDescent="0.2"/>
    <row r="2374" ht="12.75" x14ac:dyDescent="0.2"/>
    <row r="2375" ht="12.75" x14ac:dyDescent="0.2"/>
    <row r="2376" ht="12.75" x14ac:dyDescent="0.2"/>
    <row r="2377" ht="12.75" x14ac:dyDescent="0.2"/>
    <row r="2378" ht="12.75" x14ac:dyDescent="0.2"/>
    <row r="2379" ht="12.75" x14ac:dyDescent="0.2"/>
    <row r="2380" ht="12.75" x14ac:dyDescent="0.2"/>
    <row r="2381" ht="12.75" x14ac:dyDescent="0.2"/>
    <row r="2382" ht="12.75" x14ac:dyDescent="0.2"/>
    <row r="2383" ht="12.75" x14ac:dyDescent="0.2"/>
    <row r="2384" ht="12.75" x14ac:dyDescent="0.2"/>
    <row r="2385" ht="12.75" x14ac:dyDescent="0.2"/>
    <row r="2386" ht="12.75" x14ac:dyDescent="0.2"/>
    <row r="2387" ht="12.75" x14ac:dyDescent="0.2"/>
    <row r="2388" ht="12.75" x14ac:dyDescent="0.2"/>
    <row r="2389" ht="12.75" x14ac:dyDescent="0.2"/>
    <row r="2390" ht="12.75" x14ac:dyDescent="0.2"/>
    <row r="2391" ht="12.75" x14ac:dyDescent="0.2"/>
    <row r="2392" ht="12.75" x14ac:dyDescent="0.2"/>
    <row r="2393" ht="12.75" x14ac:dyDescent="0.2"/>
    <row r="2394" ht="12.75" x14ac:dyDescent="0.2"/>
    <row r="2395" ht="12.75" x14ac:dyDescent="0.2"/>
    <row r="2396" ht="12.75" x14ac:dyDescent="0.2"/>
    <row r="2397" ht="12.75" x14ac:dyDescent="0.2"/>
    <row r="2398" ht="12.75" x14ac:dyDescent="0.2"/>
    <row r="2399" ht="12.75" x14ac:dyDescent="0.2"/>
    <row r="2400" ht="12.75" x14ac:dyDescent="0.2"/>
    <row r="2401" ht="12.75" x14ac:dyDescent="0.2"/>
    <row r="2402" ht="12.75" x14ac:dyDescent="0.2"/>
    <row r="2403" ht="12.75" x14ac:dyDescent="0.2"/>
    <row r="2404" ht="12.75" x14ac:dyDescent="0.2"/>
    <row r="2405" ht="12.75" x14ac:dyDescent="0.2"/>
    <row r="2406" ht="12.75" x14ac:dyDescent="0.2"/>
    <row r="2407" ht="12.75" x14ac:dyDescent="0.2"/>
    <row r="2408" ht="12.75" x14ac:dyDescent="0.2"/>
    <row r="2409" ht="12.75" x14ac:dyDescent="0.2"/>
    <row r="2410" ht="12.75" x14ac:dyDescent="0.2"/>
    <row r="2411" ht="12.75" x14ac:dyDescent="0.2"/>
    <row r="2412" ht="12.75" x14ac:dyDescent="0.2"/>
    <row r="2413" ht="12.75" x14ac:dyDescent="0.2"/>
    <row r="2414" ht="12.75" x14ac:dyDescent="0.2"/>
    <row r="2415" ht="12.75" x14ac:dyDescent="0.2"/>
    <row r="2416" ht="12.75" x14ac:dyDescent="0.2"/>
    <row r="2417" ht="12.75" x14ac:dyDescent="0.2"/>
    <row r="2418" ht="12.75" x14ac:dyDescent="0.2"/>
    <row r="2419" ht="12.75" x14ac:dyDescent="0.2"/>
    <row r="2420" ht="12.75" x14ac:dyDescent="0.2"/>
    <row r="2421" ht="12.75" x14ac:dyDescent="0.2"/>
    <row r="2422" ht="12.75" x14ac:dyDescent="0.2"/>
    <row r="2423" ht="12.75" x14ac:dyDescent="0.2"/>
    <row r="2424" ht="12.75" x14ac:dyDescent="0.2"/>
    <row r="2425" ht="12.75" x14ac:dyDescent="0.2"/>
    <row r="2426" ht="12.75" x14ac:dyDescent="0.2"/>
    <row r="2427" ht="12.75" x14ac:dyDescent="0.2"/>
    <row r="2428" ht="12.75" x14ac:dyDescent="0.2"/>
    <row r="2429" ht="12.75" x14ac:dyDescent="0.2"/>
    <row r="2430" ht="12.75" x14ac:dyDescent="0.2"/>
    <row r="2431" ht="12.75" x14ac:dyDescent="0.2"/>
    <row r="2432" ht="12.75" x14ac:dyDescent="0.2"/>
    <row r="2433" ht="12.75" x14ac:dyDescent="0.2"/>
    <row r="2434" ht="12.75" x14ac:dyDescent="0.2"/>
    <row r="2435" ht="12.75" x14ac:dyDescent="0.2"/>
    <row r="2436" ht="12.75" x14ac:dyDescent="0.2"/>
    <row r="2437" ht="12.75" x14ac:dyDescent="0.2"/>
    <row r="2438" ht="12.75" x14ac:dyDescent="0.2"/>
    <row r="2439" ht="12.75" x14ac:dyDescent="0.2"/>
    <row r="2440" ht="12.75" x14ac:dyDescent="0.2"/>
    <row r="2441" ht="12.75" x14ac:dyDescent="0.2"/>
    <row r="2442" ht="12.75" x14ac:dyDescent="0.2"/>
    <row r="2443" ht="12.75" x14ac:dyDescent="0.2"/>
    <row r="2444" ht="12.75" x14ac:dyDescent="0.2"/>
    <row r="2445" ht="12.75" x14ac:dyDescent="0.2"/>
    <row r="2446" ht="12.75" x14ac:dyDescent="0.2"/>
    <row r="2447" ht="12.75" x14ac:dyDescent="0.2"/>
    <row r="2448" ht="12.75" x14ac:dyDescent="0.2"/>
    <row r="2449" ht="12.75" x14ac:dyDescent="0.2"/>
    <row r="2450" ht="12.75" x14ac:dyDescent="0.2"/>
    <row r="2451" ht="12.75" x14ac:dyDescent="0.2"/>
    <row r="2452" ht="12.75" x14ac:dyDescent="0.2"/>
    <row r="2453" ht="12.75" x14ac:dyDescent="0.2"/>
    <row r="2454" ht="12.75" x14ac:dyDescent="0.2"/>
    <row r="2455" ht="12.75" x14ac:dyDescent="0.2"/>
    <row r="2456" ht="12.75" x14ac:dyDescent="0.2"/>
    <row r="2457" ht="12.75" x14ac:dyDescent="0.2"/>
    <row r="2458" ht="12.75" x14ac:dyDescent="0.2"/>
    <row r="2459" ht="12.75" x14ac:dyDescent="0.2"/>
    <row r="2460" ht="12.75" x14ac:dyDescent="0.2"/>
    <row r="2461" ht="12.75" x14ac:dyDescent="0.2"/>
    <row r="2462" ht="12.75" x14ac:dyDescent="0.2"/>
    <row r="2463" ht="12.75" x14ac:dyDescent="0.2"/>
    <row r="2464" ht="12.75" x14ac:dyDescent="0.2"/>
    <row r="2465" ht="12.75" x14ac:dyDescent="0.2"/>
    <row r="2466" ht="12.75" x14ac:dyDescent="0.2"/>
    <row r="2467" ht="12.75" x14ac:dyDescent="0.2"/>
    <row r="2468" ht="12.75" x14ac:dyDescent="0.2"/>
    <row r="2469" ht="12.75" x14ac:dyDescent="0.2"/>
    <row r="2470" ht="12.75" x14ac:dyDescent="0.2"/>
    <row r="2471" ht="12.75" x14ac:dyDescent="0.2"/>
    <row r="2472" ht="12.75" x14ac:dyDescent="0.2"/>
    <row r="2473" ht="12.75" x14ac:dyDescent="0.2"/>
    <row r="2474" ht="12.75" x14ac:dyDescent="0.2"/>
    <row r="2475" ht="12.75" x14ac:dyDescent="0.2"/>
    <row r="2476" ht="12.75" x14ac:dyDescent="0.2"/>
    <row r="2477" ht="12.75" x14ac:dyDescent="0.2"/>
    <row r="2478" ht="12.75" x14ac:dyDescent="0.2"/>
    <row r="2479" ht="12.75" x14ac:dyDescent="0.2"/>
    <row r="2480" ht="12.75" x14ac:dyDescent="0.2"/>
    <row r="2481" ht="12.75" x14ac:dyDescent="0.2"/>
    <row r="2482" ht="12.75" x14ac:dyDescent="0.2"/>
    <row r="2483" ht="12.75" x14ac:dyDescent="0.2"/>
    <row r="2484" ht="12.75" x14ac:dyDescent="0.2"/>
    <row r="2485" ht="12.75" x14ac:dyDescent="0.2"/>
    <row r="2486" ht="12.75" x14ac:dyDescent="0.2"/>
    <row r="2487" ht="12.75" x14ac:dyDescent="0.2"/>
    <row r="2488" ht="12.75" x14ac:dyDescent="0.2"/>
    <row r="2489" ht="12.75" x14ac:dyDescent="0.2"/>
    <row r="2490" ht="12.75" x14ac:dyDescent="0.2"/>
    <row r="2491" ht="12.75" x14ac:dyDescent="0.2"/>
    <row r="2492" ht="12.75" x14ac:dyDescent="0.2"/>
    <row r="2493" ht="12.75" x14ac:dyDescent="0.2"/>
    <row r="2494" ht="12.75" x14ac:dyDescent="0.2"/>
    <row r="2495" ht="12.75" x14ac:dyDescent="0.2"/>
    <row r="2496" ht="12.75" x14ac:dyDescent="0.2"/>
    <row r="2497" ht="12.75" x14ac:dyDescent="0.2"/>
    <row r="2498" ht="12.75" x14ac:dyDescent="0.2"/>
    <row r="2499" ht="12.75" x14ac:dyDescent="0.2"/>
    <row r="2500" ht="12.75" x14ac:dyDescent="0.2"/>
    <row r="2501" ht="12.75" x14ac:dyDescent="0.2"/>
    <row r="2502" ht="12.75" x14ac:dyDescent="0.2"/>
    <row r="2503" ht="12.75" x14ac:dyDescent="0.2"/>
    <row r="2504" ht="12.75" x14ac:dyDescent="0.2"/>
    <row r="2505" ht="12.75" x14ac:dyDescent="0.2"/>
    <row r="2506" ht="12.75" x14ac:dyDescent="0.2"/>
    <row r="2507" ht="12.75" x14ac:dyDescent="0.2"/>
    <row r="2508" ht="12.75" x14ac:dyDescent="0.2"/>
    <row r="2509" ht="12.75" x14ac:dyDescent="0.2"/>
    <row r="2510" ht="12.75" x14ac:dyDescent="0.2"/>
    <row r="2511" ht="12.75" x14ac:dyDescent="0.2"/>
    <row r="2512" ht="12.75" x14ac:dyDescent="0.2"/>
    <row r="2513" ht="12.75" x14ac:dyDescent="0.2"/>
    <row r="2514" ht="12.75" x14ac:dyDescent="0.2"/>
    <row r="2515" ht="12.75" x14ac:dyDescent="0.2"/>
    <row r="2516" ht="12.75" x14ac:dyDescent="0.2"/>
    <row r="2517" ht="12.75" x14ac:dyDescent="0.2"/>
    <row r="2518" ht="12.75" x14ac:dyDescent="0.2"/>
    <row r="2519" ht="12.75" x14ac:dyDescent="0.2"/>
    <row r="2520" ht="12.75" x14ac:dyDescent="0.2"/>
    <row r="2521" ht="12.75" x14ac:dyDescent="0.2"/>
    <row r="2522" ht="12.75" x14ac:dyDescent="0.2"/>
    <row r="2523" ht="12.75" x14ac:dyDescent="0.2"/>
    <row r="2524" ht="12.75" x14ac:dyDescent="0.2"/>
    <row r="2525" ht="12.75" x14ac:dyDescent="0.2"/>
    <row r="2526" ht="12.75" x14ac:dyDescent="0.2"/>
    <row r="2527" ht="12.75" x14ac:dyDescent="0.2"/>
    <row r="2528" ht="12.75" x14ac:dyDescent="0.2"/>
    <row r="2529" ht="12.75" x14ac:dyDescent="0.2"/>
    <row r="2530" ht="12.75" x14ac:dyDescent="0.2"/>
    <row r="2531" ht="12.75" x14ac:dyDescent="0.2"/>
    <row r="2532" ht="12.75" x14ac:dyDescent="0.2"/>
    <row r="2533" ht="12.75" x14ac:dyDescent="0.2"/>
    <row r="2534" ht="12.75" x14ac:dyDescent="0.2"/>
    <row r="2535" ht="12.75" x14ac:dyDescent="0.2"/>
    <row r="2536" ht="12.75" x14ac:dyDescent="0.2"/>
    <row r="2537" ht="12.75" x14ac:dyDescent="0.2"/>
    <row r="2538" ht="12.75" x14ac:dyDescent="0.2"/>
    <row r="2539" ht="12.75" x14ac:dyDescent="0.2"/>
    <row r="2540" ht="12.75" x14ac:dyDescent="0.2"/>
    <row r="2541" ht="12.75" x14ac:dyDescent="0.2"/>
    <row r="2542" ht="12.75" x14ac:dyDescent="0.2"/>
    <row r="2543" ht="12.75" x14ac:dyDescent="0.2"/>
    <row r="2544" ht="12.75" x14ac:dyDescent="0.2"/>
    <row r="2545" ht="12.75" x14ac:dyDescent="0.2"/>
    <row r="2546" ht="12.75" x14ac:dyDescent="0.2"/>
    <row r="2547" ht="12.75" x14ac:dyDescent="0.2"/>
    <row r="2548" ht="12.75" x14ac:dyDescent="0.2"/>
    <row r="2549" ht="12.75" x14ac:dyDescent="0.2"/>
    <row r="2550" ht="12.75" x14ac:dyDescent="0.2"/>
    <row r="2551" ht="12.75" x14ac:dyDescent="0.2"/>
    <row r="2552" ht="12.75" x14ac:dyDescent="0.2"/>
    <row r="2553" ht="12.75" x14ac:dyDescent="0.2"/>
    <row r="2554" ht="12.75" x14ac:dyDescent="0.2"/>
    <row r="2555" ht="12.75" x14ac:dyDescent="0.2"/>
    <row r="2556" ht="12.75" x14ac:dyDescent="0.2"/>
    <row r="2557" ht="12.75" x14ac:dyDescent="0.2"/>
    <row r="2558" ht="12.75" x14ac:dyDescent="0.2"/>
    <row r="2559" ht="12.75" x14ac:dyDescent="0.2"/>
    <row r="2560" ht="12.75" x14ac:dyDescent="0.2"/>
    <row r="2561" ht="12.75" x14ac:dyDescent="0.2"/>
    <row r="2562" ht="12.75" x14ac:dyDescent="0.2"/>
    <row r="2563" ht="12.75" x14ac:dyDescent="0.2"/>
    <row r="2564" ht="12.75" x14ac:dyDescent="0.2"/>
    <row r="2565" ht="12.75" x14ac:dyDescent="0.2"/>
    <row r="2566" ht="12.75" x14ac:dyDescent="0.2"/>
    <row r="2567" ht="12.75" x14ac:dyDescent="0.2"/>
    <row r="2568" ht="12.75" x14ac:dyDescent="0.2"/>
    <row r="2569" ht="12.75" x14ac:dyDescent="0.2"/>
    <row r="2570" ht="12.75" x14ac:dyDescent="0.2"/>
    <row r="2571" ht="12.75" x14ac:dyDescent="0.2"/>
    <row r="2572" ht="12.75" x14ac:dyDescent="0.2"/>
    <row r="2573" ht="12.75" x14ac:dyDescent="0.2"/>
    <row r="2574" ht="12.75" x14ac:dyDescent="0.2"/>
    <row r="2575" ht="12.75" x14ac:dyDescent="0.2"/>
    <row r="2576" ht="12.75" x14ac:dyDescent="0.2"/>
    <row r="2577" ht="12.75" x14ac:dyDescent="0.2"/>
    <row r="2578" ht="12.75" x14ac:dyDescent="0.2"/>
    <row r="2579" ht="12.75" x14ac:dyDescent="0.2"/>
    <row r="2580" ht="12.75" x14ac:dyDescent="0.2"/>
    <row r="2581" ht="12.75" x14ac:dyDescent="0.2"/>
    <row r="2582" ht="12.75" x14ac:dyDescent="0.2"/>
    <row r="2583" ht="12.75" x14ac:dyDescent="0.2"/>
    <row r="2584" ht="12.75" x14ac:dyDescent="0.2"/>
    <row r="2585" ht="12.75" x14ac:dyDescent="0.2"/>
    <row r="2586" ht="12.75" x14ac:dyDescent="0.2"/>
    <row r="2587" ht="12.75" x14ac:dyDescent="0.2"/>
    <row r="2588" ht="12.75" x14ac:dyDescent="0.2"/>
    <row r="2589" ht="12.75" x14ac:dyDescent="0.2"/>
    <row r="2590" ht="12.75" x14ac:dyDescent="0.2"/>
    <row r="2591" ht="12.75" x14ac:dyDescent="0.2"/>
    <row r="2592" ht="12.75" x14ac:dyDescent="0.2"/>
    <row r="2593" ht="12.75" x14ac:dyDescent="0.2"/>
    <row r="2594" ht="12.75" x14ac:dyDescent="0.2"/>
    <row r="2595" ht="12.75" x14ac:dyDescent="0.2"/>
    <row r="2596" ht="12.75" x14ac:dyDescent="0.2"/>
    <row r="2597" ht="12.75" x14ac:dyDescent="0.2"/>
    <row r="2598" ht="12.75" x14ac:dyDescent="0.2"/>
    <row r="2599" ht="12.75" x14ac:dyDescent="0.2"/>
    <row r="2600" ht="12.75" x14ac:dyDescent="0.2"/>
    <row r="2601" ht="12.75" x14ac:dyDescent="0.2"/>
    <row r="2602" ht="12.75" x14ac:dyDescent="0.2"/>
    <row r="2603" ht="12.75" x14ac:dyDescent="0.2"/>
    <row r="2604" ht="12.75" x14ac:dyDescent="0.2"/>
    <row r="2605" ht="12.75" x14ac:dyDescent="0.2"/>
    <row r="2606" ht="12.75" x14ac:dyDescent="0.2"/>
    <row r="2607" ht="12.75" x14ac:dyDescent="0.2"/>
    <row r="2608" ht="12.75" x14ac:dyDescent="0.2"/>
    <row r="2609" ht="12.75" x14ac:dyDescent="0.2"/>
    <row r="2610" ht="12.75" x14ac:dyDescent="0.2"/>
    <row r="2611" ht="12.75" x14ac:dyDescent="0.2"/>
    <row r="2612" ht="12.75" x14ac:dyDescent="0.2"/>
    <row r="2613" ht="12.75" x14ac:dyDescent="0.2"/>
    <row r="2614" ht="12.75" x14ac:dyDescent="0.2"/>
    <row r="2615" ht="12.75" x14ac:dyDescent="0.2"/>
    <row r="2616" ht="12.75" x14ac:dyDescent="0.2"/>
    <row r="2617" ht="12.75" x14ac:dyDescent="0.2"/>
    <row r="2618" ht="12.75" x14ac:dyDescent="0.2"/>
    <row r="2619" ht="12.75" x14ac:dyDescent="0.2"/>
    <row r="2620" ht="12.75" x14ac:dyDescent="0.2"/>
    <row r="2621" ht="12.75" x14ac:dyDescent="0.2"/>
    <row r="2622" ht="12.75" x14ac:dyDescent="0.2"/>
    <row r="2623" ht="12.75" x14ac:dyDescent="0.2"/>
    <row r="2624" ht="12.75" x14ac:dyDescent="0.2"/>
    <row r="2625" ht="12.75" x14ac:dyDescent="0.2"/>
    <row r="2626" ht="12.75" x14ac:dyDescent="0.2"/>
    <row r="2627" ht="12.75" x14ac:dyDescent="0.2"/>
    <row r="2628" ht="12.75" x14ac:dyDescent="0.2"/>
    <row r="2629" ht="12.75" x14ac:dyDescent="0.2"/>
    <row r="2630" ht="12.75" x14ac:dyDescent="0.2"/>
    <row r="2631" ht="12.75" x14ac:dyDescent="0.2"/>
    <row r="2632" ht="12.75" x14ac:dyDescent="0.2"/>
    <row r="2633" ht="12.75" x14ac:dyDescent="0.2"/>
    <row r="2634" ht="12.75" x14ac:dyDescent="0.2"/>
    <row r="2635" ht="12.75" x14ac:dyDescent="0.2"/>
    <row r="2636" ht="12.75" x14ac:dyDescent="0.2"/>
    <row r="2637" ht="12.75" x14ac:dyDescent="0.2"/>
    <row r="2638" ht="12.75" x14ac:dyDescent="0.2"/>
    <row r="2639" ht="12.75" x14ac:dyDescent="0.2"/>
    <row r="2640" ht="12.75" x14ac:dyDescent="0.2"/>
    <row r="2641" ht="12.75" x14ac:dyDescent="0.2"/>
    <row r="2642" ht="12.75" x14ac:dyDescent="0.2"/>
    <row r="2643" ht="12.75" x14ac:dyDescent="0.2"/>
    <row r="2644" ht="12.75" x14ac:dyDescent="0.2"/>
    <row r="2645" ht="12.75" x14ac:dyDescent="0.2"/>
    <row r="2646" ht="12.75" x14ac:dyDescent="0.2"/>
    <row r="2647" ht="12.75" x14ac:dyDescent="0.2"/>
    <row r="2648" ht="12.75" x14ac:dyDescent="0.2"/>
    <row r="2649" ht="12.75" x14ac:dyDescent="0.2"/>
    <row r="2650" ht="12.75" x14ac:dyDescent="0.2"/>
    <row r="2651" ht="12.75" x14ac:dyDescent="0.2"/>
    <row r="2652" ht="12.75" x14ac:dyDescent="0.2"/>
    <row r="2653" ht="12.75" x14ac:dyDescent="0.2"/>
    <row r="2654" ht="12.75" x14ac:dyDescent="0.2"/>
    <row r="2655" ht="12.75" x14ac:dyDescent="0.2"/>
    <row r="2656" ht="12.75" x14ac:dyDescent="0.2"/>
    <row r="2657" ht="12.75" x14ac:dyDescent="0.2"/>
    <row r="2658" ht="12.75" x14ac:dyDescent="0.2"/>
    <row r="2659" ht="12.75" x14ac:dyDescent="0.2"/>
    <row r="2660" ht="12.75" x14ac:dyDescent="0.2"/>
    <row r="2661" ht="12.75" x14ac:dyDescent="0.2"/>
    <row r="2662" ht="12.75" x14ac:dyDescent="0.2"/>
    <row r="2663" ht="12.75" x14ac:dyDescent="0.2"/>
    <row r="2664" ht="12.75" x14ac:dyDescent="0.2"/>
    <row r="2665" ht="12.75" x14ac:dyDescent="0.2"/>
    <row r="2666" ht="12.75" x14ac:dyDescent="0.2"/>
    <row r="2667" ht="12.75" x14ac:dyDescent="0.2"/>
    <row r="2668" ht="12.75" x14ac:dyDescent="0.2"/>
    <row r="2669" ht="12.75" x14ac:dyDescent="0.2"/>
    <row r="2670" ht="12.75" x14ac:dyDescent="0.2"/>
    <row r="2671" ht="12.75" x14ac:dyDescent="0.2"/>
    <row r="2672" ht="12.75" x14ac:dyDescent="0.2"/>
    <row r="2673" ht="12.75" x14ac:dyDescent="0.2"/>
    <row r="2674" ht="12.75" x14ac:dyDescent="0.2"/>
    <row r="2675" ht="12.75" x14ac:dyDescent="0.2"/>
    <row r="2676" ht="12.75" x14ac:dyDescent="0.2"/>
    <row r="2677" ht="12.75" x14ac:dyDescent="0.2"/>
    <row r="2678" ht="12.75" x14ac:dyDescent="0.2"/>
    <row r="2679" ht="12.75" x14ac:dyDescent="0.2"/>
    <row r="2680" ht="12.75" x14ac:dyDescent="0.2"/>
    <row r="2681" ht="12.75" x14ac:dyDescent="0.2"/>
    <row r="2682" ht="12.75" x14ac:dyDescent="0.2"/>
    <row r="2683" ht="12.75" x14ac:dyDescent="0.2"/>
    <row r="2684" ht="12.75" x14ac:dyDescent="0.2"/>
    <row r="2685" ht="12.75" x14ac:dyDescent="0.2"/>
    <row r="2686" ht="12.75" x14ac:dyDescent="0.2"/>
    <row r="2687" ht="12.75" x14ac:dyDescent="0.2"/>
    <row r="2688" ht="12.75" x14ac:dyDescent="0.2"/>
    <row r="2689" ht="12.75" x14ac:dyDescent="0.2"/>
    <row r="2690" ht="12.75" x14ac:dyDescent="0.2"/>
    <row r="2691" ht="12.75" x14ac:dyDescent="0.2"/>
    <row r="2692" ht="12.75" x14ac:dyDescent="0.2"/>
    <row r="2693" ht="12.75" x14ac:dyDescent="0.2"/>
    <row r="2694" ht="12.75" x14ac:dyDescent="0.2"/>
    <row r="2695" ht="12.75" x14ac:dyDescent="0.2"/>
    <row r="2696" ht="12.75" x14ac:dyDescent="0.2"/>
    <row r="2697" ht="12.75" x14ac:dyDescent="0.2"/>
    <row r="2698" ht="12.75" x14ac:dyDescent="0.2"/>
    <row r="2699" ht="12.75" x14ac:dyDescent="0.2"/>
    <row r="2700" ht="12.75" x14ac:dyDescent="0.2"/>
    <row r="2701" ht="12.75" x14ac:dyDescent="0.2"/>
    <row r="2702" ht="12.75" x14ac:dyDescent="0.2"/>
    <row r="2703" ht="12.75" x14ac:dyDescent="0.2"/>
    <row r="2704" ht="12.75" x14ac:dyDescent="0.2"/>
    <row r="2705" ht="12.75" x14ac:dyDescent="0.2"/>
    <row r="2706" ht="12.75" x14ac:dyDescent="0.2"/>
    <row r="2707" ht="12.75" x14ac:dyDescent="0.2"/>
    <row r="2708" ht="12.75" x14ac:dyDescent="0.2"/>
    <row r="2709" ht="12.75" x14ac:dyDescent="0.2"/>
    <row r="2710" ht="12.75" x14ac:dyDescent="0.2"/>
    <row r="2711" ht="12.75" x14ac:dyDescent="0.2"/>
    <row r="2712" ht="12.75" x14ac:dyDescent="0.2"/>
    <row r="2713" ht="12.75" x14ac:dyDescent="0.2"/>
    <row r="2714" ht="12.75" x14ac:dyDescent="0.2"/>
    <row r="2715" ht="12.75" x14ac:dyDescent="0.2"/>
    <row r="2716" ht="12.75" x14ac:dyDescent="0.2"/>
    <row r="2717" ht="12.75" x14ac:dyDescent="0.2"/>
    <row r="2718" ht="12.75" x14ac:dyDescent="0.2"/>
    <row r="2719" ht="12.75" x14ac:dyDescent="0.2"/>
    <row r="2720" ht="12.75" x14ac:dyDescent="0.2"/>
    <row r="2721" ht="12.75" x14ac:dyDescent="0.2"/>
    <row r="2722" ht="12.75" x14ac:dyDescent="0.2"/>
    <row r="2723" ht="12.75" x14ac:dyDescent="0.2"/>
    <row r="2724" ht="12.75" x14ac:dyDescent="0.2"/>
    <row r="2725" ht="12.75" x14ac:dyDescent="0.2"/>
    <row r="2726" ht="12.75" x14ac:dyDescent="0.2"/>
    <row r="2727" ht="12.75" x14ac:dyDescent="0.2"/>
    <row r="2728" ht="12.75" x14ac:dyDescent="0.2"/>
    <row r="2729" ht="12.75" x14ac:dyDescent="0.2"/>
    <row r="2730" ht="12.75" x14ac:dyDescent="0.2"/>
    <row r="2731" ht="12.75" x14ac:dyDescent="0.2"/>
    <row r="2732" ht="12.75" x14ac:dyDescent="0.2"/>
    <row r="2733" ht="12.75" x14ac:dyDescent="0.2"/>
    <row r="2734" ht="12.75" x14ac:dyDescent="0.2"/>
    <row r="2735" ht="12.75" x14ac:dyDescent="0.2"/>
    <row r="2736" ht="12.75" x14ac:dyDescent="0.2"/>
    <row r="2737" ht="12.75" x14ac:dyDescent="0.2"/>
    <row r="2738" ht="12.75" x14ac:dyDescent="0.2"/>
    <row r="2739" ht="12.75" x14ac:dyDescent="0.2"/>
    <row r="2740" ht="12.75" x14ac:dyDescent="0.2"/>
    <row r="2741" ht="12.75" x14ac:dyDescent="0.2"/>
    <row r="2742" ht="12.75" x14ac:dyDescent="0.2"/>
    <row r="2743" ht="12.75" x14ac:dyDescent="0.2"/>
    <row r="2744" ht="12.75" x14ac:dyDescent="0.2"/>
    <row r="2745" ht="12.75" x14ac:dyDescent="0.2"/>
    <row r="2746" ht="12.75" x14ac:dyDescent="0.2"/>
    <row r="2747" ht="12.75" x14ac:dyDescent="0.2"/>
    <row r="2748" ht="12.75" x14ac:dyDescent="0.2"/>
    <row r="2749" ht="12.75" x14ac:dyDescent="0.2"/>
    <row r="2750" ht="12.75" x14ac:dyDescent="0.2"/>
    <row r="2751" ht="12.75" x14ac:dyDescent="0.2"/>
    <row r="2752" ht="12.75" x14ac:dyDescent="0.2"/>
    <row r="2753" ht="12.75" x14ac:dyDescent="0.2"/>
    <row r="2754" ht="12.75" x14ac:dyDescent="0.2"/>
    <row r="2755" ht="12.75" x14ac:dyDescent="0.2"/>
    <row r="2756" ht="12.75" x14ac:dyDescent="0.2"/>
    <row r="2757" ht="12.75" x14ac:dyDescent="0.2"/>
    <row r="2758" ht="12.75" x14ac:dyDescent="0.2"/>
    <row r="2759" ht="12.75" x14ac:dyDescent="0.2"/>
    <row r="2760" ht="12.75" x14ac:dyDescent="0.2"/>
    <row r="2761" ht="12.75" x14ac:dyDescent="0.2"/>
    <row r="2762" ht="12.75" x14ac:dyDescent="0.2"/>
    <row r="2763" ht="12.75" x14ac:dyDescent="0.2"/>
    <row r="2764" ht="12.75" x14ac:dyDescent="0.2"/>
    <row r="2765" ht="12.75" x14ac:dyDescent="0.2"/>
    <row r="2766" ht="12.75" x14ac:dyDescent="0.2"/>
    <row r="2767" ht="12.75" x14ac:dyDescent="0.2"/>
    <row r="2768" ht="12.75" x14ac:dyDescent="0.2"/>
    <row r="2769" ht="12.75" x14ac:dyDescent="0.2"/>
    <row r="2770" ht="12.75" x14ac:dyDescent="0.2"/>
    <row r="2771" ht="12.75" x14ac:dyDescent="0.2"/>
    <row r="2772" ht="12.75" x14ac:dyDescent="0.2"/>
    <row r="2773" ht="12.75" x14ac:dyDescent="0.2"/>
    <row r="2774" ht="12.75" x14ac:dyDescent="0.2"/>
    <row r="2775" ht="12.75" x14ac:dyDescent="0.2"/>
    <row r="2776" ht="12.75" x14ac:dyDescent="0.2"/>
    <row r="2777" ht="12.75" x14ac:dyDescent="0.2"/>
    <row r="2778" ht="12.75" x14ac:dyDescent="0.2"/>
    <row r="2779" ht="12.75" x14ac:dyDescent="0.2"/>
    <row r="2780" ht="12.75" x14ac:dyDescent="0.2"/>
    <row r="2781" ht="12.75" x14ac:dyDescent="0.2"/>
    <row r="2782" ht="12.75" x14ac:dyDescent="0.2"/>
    <row r="2783" ht="12.75" x14ac:dyDescent="0.2"/>
    <row r="2784" ht="12.75" x14ac:dyDescent="0.2"/>
    <row r="2785" ht="12.75" x14ac:dyDescent="0.2"/>
    <row r="2786" ht="12.75" x14ac:dyDescent="0.2"/>
    <row r="2787" ht="12.75" x14ac:dyDescent="0.2"/>
    <row r="2788" ht="12.75" x14ac:dyDescent="0.2"/>
    <row r="2789" ht="12.75" x14ac:dyDescent="0.2"/>
    <row r="2790" ht="12.75" x14ac:dyDescent="0.2"/>
    <row r="2791" ht="12.75" x14ac:dyDescent="0.2"/>
    <row r="2792" ht="12.75" x14ac:dyDescent="0.2"/>
    <row r="2793" ht="12.75" x14ac:dyDescent="0.2"/>
    <row r="2794" ht="12.75" x14ac:dyDescent="0.2"/>
    <row r="2795" ht="12.75" x14ac:dyDescent="0.2"/>
    <row r="2796" ht="12.75" x14ac:dyDescent="0.2"/>
    <row r="2797" ht="12.75" x14ac:dyDescent="0.2"/>
    <row r="2798" ht="12.75" x14ac:dyDescent="0.2"/>
    <row r="2799" ht="12.75" x14ac:dyDescent="0.2"/>
    <row r="2800" ht="12.75" x14ac:dyDescent="0.2"/>
    <row r="2801" ht="12.75" x14ac:dyDescent="0.2"/>
    <row r="2802" ht="12.75" x14ac:dyDescent="0.2"/>
    <row r="2803" ht="12.75" x14ac:dyDescent="0.2"/>
    <row r="2804" ht="12.75" x14ac:dyDescent="0.2"/>
    <row r="2805" ht="12.75" x14ac:dyDescent="0.2"/>
    <row r="2806" ht="12.75" x14ac:dyDescent="0.2"/>
    <row r="2807" ht="12.75" x14ac:dyDescent="0.2"/>
    <row r="2808" ht="12.75" x14ac:dyDescent="0.2"/>
    <row r="2809" ht="12.75" x14ac:dyDescent="0.2"/>
    <row r="2810" ht="12.75" x14ac:dyDescent="0.2"/>
    <row r="2811" ht="12.75" x14ac:dyDescent="0.2"/>
    <row r="2812" ht="12.75" x14ac:dyDescent="0.2"/>
    <row r="2813" ht="12.75" x14ac:dyDescent="0.2"/>
    <row r="2814" ht="12.75" x14ac:dyDescent="0.2"/>
    <row r="2815" ht="12.75" x14ac:dyDescent="0.2"/>
    <row r="2816" ht="12.75" x14ac:dyDescent="0.2"/>
    <row r="2817" ht="12.75" x14ac:dyDescent="0.2"/>
    <row r="2818" ht="12.75" x14ac:dyDescent="0.2"/>
    <row r="2819" ht="12.75" x14ac:dyDescent="0.2"/>
    <row r="2820" ht="12.75" x14ac:dyDescent="0.2"/>
    <row r="2821" ht="12.75" x14ac:dyDescent="0.2"/>
    <row r="2822" ht="12.75" x14ac:dyDescent="0.2"/>
    <row r="2823" ht="12.75" x14ac:dyDescent="0.2"/>
    <row r="2824" ht="12.75" x14ac:dyDescent="0.2"/>
    <row r="2825" ht="12.75" x14ac:dyDescent="0.2"/>
    <row r="2826" ht="12.75" x14ac:dyDescent="0.2"/>
    <row r="2827" ht="12.75" x14ac:dyDescent="0.2"/>
    <row r="2828" ht="12.75" x14ac:dyDescent="0.2"/>
    <row r="2829" ht="12.75" x14ac:dyDescent="0.2"/>
    <row r="2830" ht="12.75" x14ac:dyDescent="0.2"/>
    <row r="2831" ht="12.75" x14ac:dyDescent="0.2"/>
    <row r="2832" ht="12.75" x14ac:dyDescent="0.2"/>
    <row r="2833" ht="12.75" x14ac:dyDescent="0.2"/>
    <row r="2834" ht="12.75" x14ac:dyDescent="0.2"/>
    <row r="2835" ht="12.75" x14ac:dyDescent="0.2"/>
    <row r="2836" ht="12.75" x14ac:dyDescent="0.2"/>
    <row r="2837" ht="12.75" x14ac:dyDescent="0.2"/>
    <row r="2838" ht="12.75" x14ac:dyDescent="0.2"/>
    <row r="2839" ht="12.75" x14ac:dyDescent="0.2"/>
    <row r="2840" ht="12.75" x14ac:dyDescent="0.2"/>
    <row r="2841" ht="12.75" x14ac:dyDescent="0.2"/>
    <row r="2842" ht="12.75" x14ac:dyDescent="0.2"/>
    <row r="2843" ht="12.75" x14ac:dyDescent="0.2"/>
    <row r="2844" ht="12.75" x14ac:dyDescent="0.2"/>
    <row r="2845" ht="12.75" x14ac:dyDescent="0.2"/>
    <row r="2846" ht="12.75" x14ac:dyDescent="0.2"/>
    <row r="2847" ht="12.75" x14ac:dyDescent="0.2"/>
    <row r="2848" ht="12.75" x14ac:dyDescent="0.2"/>
    <row r="2849" ht="12.75" x14ac:dyDescent="0.2"/>
    <row r="2850" ht="12.75" x14ac:dyDescent="0.2"/>
    <row r="2851" ht="12.75" x14ac:dyDescent="0.2"/>
    <row r="2852" ht="12.75" x14ac:dyDescent="0.2"/>
    <row r="2853" ht="12.75" x14ac:dyDescent="0.2"/>
    <row r="2854" ht="12.75" x14ac:dyDescent="0.2"/>
    <row r="2855" ht="12.75" x14ac:dyDescent="0.2"/>
    <row r="2856" ht="12.75" x14ac:dyDescent="0.2"/>
    <row r="2857" ht="12.75" x14ac:dyDescent="0.2"/>
    <row r="2858" ht="12.75" x14ac:dyDescent="0.2"/>
    <row r="2859" ht="12.75" x14ac:dyDescent="0.2"/>
    <row r="2860" ht="12.75" x14ac:dyDescent="0.2"/>
    <row r="2861" ht="12.75" x14ac:dyDescent="0.2"/>
    <row r="2862" ht="12.75" x14ac:dyDescent="0.2"/>
    <row r="2863" ht="12.75" x14ac:dyDescent="0.2"/>
    <row r="2864" ht="12.75" x14ac:dyDescent="0.2"/>
    <row r="2865" ht="12.75" x14ac:dyDescent="0.2"/>
    <row r="2866" ht="12.75" x14ac:dyDescent="0.2"/>
    <row r="2867" ht="12.75" x14ac:dyDescent="0.2"/>
    <row r="2868" ht="12.75" x14ac:dyDescent="0.2"/>
    <row r="2869" ht="12.75" x14ac:dyDescent="0.2"/>
    <row r="2870" ht="12.75" x14ac:dyDescent="0.2"/>
    <row r="2871" ht="12.75" x14ac:dyDescent="0.2"/>
    <row r="2872" ht="12.75" x14ac:dyDescent="0.2"/>
    <row r="2873" ht="12.75" x14ac:dyDescent="0.2"/>
    <row r="2874" ht="12.75" x14ac:dyDescent="0.2"/>
    <row r="2875" ht="12.75" x14ac:dyDescent="0.2"/>
    <row r="2876" ht="12.75" x14ac:dyDescent="0.2"/>
    <row r="2877" ht="12.75" x14ac:dyDescent="0.2"/>
    <row r="2878" ht="12.75" x14ac:dyDescent="0.2"/>
    <row r="2879" ht="12.75" x14ac:dyDescent="0.2"/>
    <row r="2880" ht="12.75" x14ac:dyDescent="0.2"/>
    <row r="2881" ht="12.75" x14ac:dyDescent="0.2"/>
    <row r="2882" ht="12.75" x14ac:dyDescent="0.2"/>
    <row r="2883" ht="12.75" x14ac:dyDescent="0.2"/>
    <row r="2884" ht="12.75" x14ac:dyDescent="0.2"/>
    <row r="2885" ht="12.75" x14ac:dyDescent="0.2"/>
    <row r="2886" ht="12.75" x14ac:dyDescent="0.2"/>
    <row r="2887" ht="12.75" x14ac:dyDescent="0.2"/>
    <row r="2888" ht="12.75" x14ac:dyDescent="0.2"/>
    <row r="2889" ht="12.75" x14ac:dyDescent="0.2"/>
    <row r="2890" ht="12.75" x14ac:dyDescent="0.2"/>
    <row r="2891" ht="12.75" x14ac:dyDescent="0.2"/>
    <row r="2892" ht="12.75" x14ac:dyDescent="0.2"/>
    <row r="2893" ht="12.75" x14ac:dyDescent="0.2"/>
    <row r="2894" ht="12.75" x14ac:dyDescent="0.2"/>
    <row r="2895" ht="12.75" x14ac:dyDescent="0.2"/>
    <row r="2896" ht="12.75" x14ac:dyDescent="0.2"/>
    <row r="2897" ht="12.75" x14ac:dyDescent="0.2"/>
    <row r="2898" ht="12.75" x14ac:dyDescent="0.2"/>
    <row r="2899" ht="12.75" x14ac:dyDescent="0.2"/>
    <row r="2900" ht="12.75" x14ac:dyDescent="0.2"/>
    <row r="2901" ht="12.75" x14ac:dyDescent="0.2"/>
    <row r="2902" ht="12.75" x14ac:dyDescent="0.2"/>
    <row r="2903" ht="12.75" x14ac:dyDescent="0.2"/>
    <row r="2904" ht="12.75" x14ac:dyDescent="0.2"/>
    <row r="2905" ht="12.75" x14ac:dyDescent="0.2"/>
    <row r="2906" ht="12.75" x14ac:dyDescent="0.2"/>
    <row r="2907" ht="12.75" x14ac:dyDescent="0.2"/>
    <row r="2908" ht="12.75" x14ac:dyDescent="0.2"/>
    <row r="2909" ht="12.75" x14ac:dyDescent="0.2"/>
    <row r="2910" ht="12.75" x14ac:dyDescent="0.2"/>
    <row r="2911" ht="12.75" x14ac:dyDescent="0.2"/>
    <row r="2912" ht="12.75" x14ac:dyDescent="0.2"/>
    <row r="2913" ht="12.75" x14ac:dyDescent="0.2"/>
    <row r="2914" ht="12.75" x14ac:dyDescent="0.2"/>
    <row r="2915" ht="12.75" x14ac:dyDescent="0.2"/>
    <row r="2916" ht="12.75" x14ac:dyDescent="0.2"/>
    <row r="2917" ht="12.75" x14ac:dyDescent="0.2"/>
    <row r="2918" ht="12.75" x14ac:dyDescent="0.2"/>
    <row r="2919" ht="12.75" x14ac:dyDescent="0.2"/>
    <row r="2920" ht="12.75" x14ac:dyDescent="0.2"/>
    <row r="2921" ht="12.75" x14ac:dyDescent="0.2"/>
    <row r="2922" ht="12.75" x14ac:dyDescent="0.2"/>
    <row r="2923" ht="12.75" x14ac:dyDescent="0.2"/>
    <row r="2924" ht="12.75" x14ac:dyDescent="0.2"/>
    <row r="2925" ht="12.75" x14ac:dyDescent="0.2"/>
    <row r="2926" ht="12.75" x14ac:dyDescent="0.2"/>
    <row r="2927" ht="12.75" x14ac:dyDescent="0.2"/>
    <row r="2928" ht="12.75" x14ac:dyDescent="0.2"/>
    <row r="2929" ht="12.75" x14ac:dyDescent="0.2"/>
    <row r="2930" ht="12.75" x14ac:dyDescent="0.2"/>
    <row r="2931" ht="12.75" x14ac:dyDescent="0.2"/>
    <row r="2932" ht="12.75" x14ac:dyDescent="0.2"/>
    <row r="2933" ht="12.75" x14ac:dyDescent="0.2"/>
    <row r="2934" ht="12.75" x14ac:dyDescent="0.2"/>
    <row r="2935" ht="12.75" x14ac:dyDescent="0.2"/>
    <row r="2936" ht="12.75" x14ac:dyDescent="0.2"/>
    <row r="2937" ht="12.75" x14ac:dyDescent="0.2"/>
    <row r="2938" ht="12.75" x14ac:dyDescent="0.2"/>
    <row r="2939" ht="12.75" x14ac:dyDescent="0.2"/>
    <row r="2940" ht="12.75" x14ac:dyDescent="0.2"/>
    <row r="2941" ht="12.75" x14ac:dyDescent="0.2"/>
    <row r="2942" ht="12.75" x14ac:dyDescent="0.2"/>
    <row r="2943" ht="12.75" x14ac:dyDescent="0.2"/>
    <row r="2944" ht="12.75" x14ac:dyDescent="0.2"/>
    <row r="2945" ht="12.75" x14ac:dyDescent="0.2"/>
    <row r="2946" ht="12.75" x14ac:dyDescent="0.2"/>
    <row r="2947" ht="12.75" x14ac:dyDescent="0.2"/>
    <row r="2948" ht="12.75" x14ac:dyDescent="0.2"/>
    <row r="2949" ht="12.75" x14ac:dyDescent="0.2"/>
    <row r="2950" ht="12.75" x14ac:dyDescent="0.2"/>
    <row r="2951" ht="12.75" x14ac:dyDescent="0.2"/>
    <row r="2952" ht="12.75" x14ac:dyDescent="0.2"/>
    <row r="2953" ht="12.75" x14ac:dyDescent="0.2"/>
    <row r="2954" ht="12.75" x14ac:dyDescent="0.2"/>
    <row r="2955" ht="12.75" x14ac:dyDescent="0.2"/>
    <row r="2956" ht="12.75" x14ac:dyDescent="0.2"/>
    <row r="2957" ht="12.75" x14ac:dyDescent="0.2"/>
    <row r="2958" ht="12.75" x14ac:dyDescent="0.2"/>
    <row r="2959" ht="12.75" x14ac:dyDescent="0.2"/>
    <row r="2960" ht="12.75" x14ac:dyDescent="0.2"/>
    <row r="2961" ht="12.75" x14ac:dyDescent="0.2"/>
    <row r="2962" ht="12.75" x14ac:dyDescent="0.2"/>
    <row r="2963" ht="12.75" x14ac:dyDescent="0.2"/>
    <row r="2964" ht="12.75" x14ac:dyDescent="0.2"/>
    <row r="2965" ht="12.75" x14ac:dyDescent="0.2"/>
    <row r="2966" ht="12.75" x14ac:dyDescent="0.2"/>
    <row r="2967" ht="12.75" x14ac:dyDescent="0.2"/>
    <row r="2968" ht="12.75" x14ac:dyDescent="0.2"/>
    <row r="2969" ht="12.75" x14ac:dyDescent="0.2"/>
    <row r="2970" ht="12.75" x14ac:dyDescent="0.2"/>
    <row r="2971" ht="12.75" x14ac:dyDescent="0.2"/>
    <row r="2972" ht="12.75" x14ac:dyDescent="0.2"/>
    <row r="2973" ht="12.75" x14ac:dyDescent="0.2"/>
    <row r="2974" ht="12.75" x14ac:dyDescent="0.2"/>
    <row r="2975" ht="12.75" x14ac:dyDescent="0.2"/>
    <row r="2976" ht="12.75" x14ac:dyDescent="0.2"/>
    <row r="2977" ht="12.75" x14ac:dyDescent="0.2"/>
    <row r="2978" ht="12.75" x14ac:dyDescent="0.2"/>
    <row r="2979" ht="12.75" x14ac:dyDescent="0.2"/>
    <row r="2980" ht="12.75" x14ac:dyDescent="0.2"/>
    <row r="2981" ht="12.75" x14ac:dyDescent="0.2"/>
    <row r="2982" ht="12.75" x14ac:dyDescent="0.2"/>
    <row r="2983" ht="12.75" x14ac:dyDescent="0.2"/>
    <row r="2984" ht="12.75" x14ac:dyDescent="0.2"/>
    <row r="2985" ht="12.75" x14ac:dyDescent="0.2"/>
    <row r="2986" ht="12.75" x14ac:dyDescent="0.2"/>
    <row r="2987" ht="12.75" x14ac:dyDescent="0.2"/>
    <row r="2988" ht="12.75" x14ac:dyDescent="0.2"/>
    <row r="2989" ht="12.75" x14ac:dyDescent="0.2"/>
    <row r="2990" ht="12.75" x14ac:dyDescent="0.2"/>
    <row r="2991" ht="12.75" x14ac:dyDescent="0.2"/>
    <row r="2992" ht="12.75" x14ac:dyDescent="0.2"/>
    <row r="2993" ht="12.75" x14ac:dyDescent="0.2"/>
    <row r="2994" ht="12.75" x14ac:dyDescent="0.2"/>
    <row r="2995" ht="12.75" x14ac:dyDescent="0.2"/>
    <row r="2996" ht="12.75" x14ac:dyDescent="0.2"/>
    <row r="2997" ht="12.75" x14ac:dyDescent="0.2"/>
    <row r="2998" ht="12.75" x14ac:dyDescent="0.2"/>
    <row r="2999" ht="12.75" x14ac:dyDescent="0.2"/>
    <row r="3000" ht="12.75" x14ac:dyDescent="0.2"/>
    <row r="3001" ht="12.75" x14ac:dyDescent="0.2"/>
    <row r="3002" ht="12.75" x14ac:dyDescent="0.2"/>
    <row r="3003" ht="12.75" x14ac:dyDescent="0.2"/>
    <row r="3004" ht="12.75" x14ac:dyDescent="0.2"/>
    <row r="3005" ht="12.75" x14ac:dyDescent="0.2"/>
    <row r="3006" ht="12.75" x14ac:dyDescent="0.2"/>
    <row r="3007" ht="12.75" x14ac:dyDescent="0.2"/>
    <row r="3008" ht="12.75" x14ac:dyDescent="0.2"/>
    <row r="3009" ht="12.75" x14ac:dyDescent="0.2"/>
    <row r="3010" ht="12.75" x14ac:dyDescent="0.2"/>
    <row r="3011" ht="12.75" x14ac:dyDescent="0.2"/>
    <row r="3012" ht="12.75" x14ac:dyDescent="0.2"/>
    <row r="3013" ht="12.75" x14ac:dyDescent="0.2"/>
    <row r="3014" ht="12.75" x14ac:dyDescent="0.2"/>
    <row r="3015" ht="12.75" x14ac:dyDescent="0.2"/>
    <row r="3016" ht="12.75" x14ac:dyDescent="0.2"/>
    <row r="3017" ht="12.75" x14ac:dyDescent="0.2"/>
    <row r="3018" ht="12.75" x14ac:dyDescent="0.2"/>
    <row r="3019" ht="12.75" x14ac:dyDescent="0.2"/>
    <row r="3020" ht="12.75" x14ac:dyDescent="0.2"/>
    <row r="3021" ht="12.75" x14ac:dyDescent="0.2"/>
    <row r="3022" ht="12.75" x14ac:dyDescent="0.2"/>
    <row r="3023" ht="12.75" x14ac:dyDescent="0.2"/>
    <row r="3024" ht="12.75" x14ac:dyDescent="0.2"/>
    <row r="3025" ht="12.75" x14ac:dyDescent="0.2"/>
    <row r="3026" ht="12.75" x14ac:dyDescent="0.2"/>
    <row r="3027" ht="12.75" x14ac:dyDescent="0.2"/>
    <row r="3028" ht="12.75" x14ac:dyDescent="0.2"/>
    <row r="3029" ht="12.75" x14ac:dyDescent="0.2"/>
    <row r="3030" ht="12.75" x14ac:dyDescent="0.2"/>
    <row r="3031" ht="12.75" x14ac:dyDescent="0.2"/>
    <row r="3032" ht="12.75" x14ac:dyDescent="0.2"/>
    <row r="3033" ht="12.75" x14ac:dyDescent="0.2"/>
    <row r="3034" ht="12.75" x14ac:dyDescent="0.2"/>
    <row r="3035" ht="12.75" x14ac:dyDescent="0.2"/>
    <row r="3036" ht="12.75" x14ac:dyDescent="0.2"/>
    <row r="3037" ht="12.75" x14ac:dyDescent="0.2"/>
    <row r="3038" ht="12.75" x14ac:dyDescent="0.2"/>
    <row r="3039" ht="12.75" x14ac:dyDescent="0.2"/>
    <row r="3040" ht="12.75" x14ac:dyDescent="0.2"/>
    <row r="3041" ht="12.75" x14ac:dyDescent="0.2"/>
    <row r="3042" ht="12.75" x14ac:dyDescent="0.2"/>
    <row r="3043" ht="12.75" x14ac:dyDescent="0.2"/>
    <row r="3044" ht="12.75" x14ac:dyDescent="0.2"/>
    <row r="3045" ht="12.75" x14ac:dyDescent="0.2"/>
    <row r="3046" ht="12.75" x14ac:dyDescent="0.2"/>
    <row r="3047" ht="12.75" x14ac:dyDescent="0.2"/>
    <row r="3048" ht="12.75" x14ac:dyDescent="0.2"/>
    <row r="3049" ht="12.75" x14ac:dyDescent="0.2"/>
    <row r="3050" ht="12.75" x14ac:dyDescent="0.2"/>
    <row r="3051" ht="12.75" x14ac:dyDescent="0.2"/>
    <row r="3052" ht="12.75" x14ac:dyDescent="0.2"/>
    <row r="3053" ht="12.75" x14ac:dyDescent="0.2"/>
    <row r="3054" ht="12.75" x14ac:dyDescent="0.2"/>
    <row r="3055" ht="12.75" x14ac:dyDescent="0.2"/>
    <row r="3056" ht="12.75" x14ac:dyDescent="0.2"/>
    <row r="3057" ht="12.75" x14ac:dyDescent="0.2"/>
    <row r="3058" ht="12.75" x14ac:dyDescent="0.2"/>
    <row r="3059" ht="12.75" x14ac:dyDescent="0.2"/>
    <row r="3060" ht="12.75" x14ac:dyDescent="0.2"/>
    <row r="3061" ht="12.75" x14ac:dyDescent="0.2"/>
    <row r="3062" ht="12.75" x14ac:dyDescent="0.2"/>
    <row r="3063" ht="12.75" x14ac:dyDescent="0.2"/>
    <row r="3064" ht="12.75" x14ac:dyDescent="0.2"/>
    <row r="3065" ht="12.75" x14ac:dyDescent="0.2"/>
    <row r="3066" ht="12.75" x14ac:dyDescent="0.2"/>
    <row r="3067" ht="12.75" x14ac:dyDescent="0.2"/>
    <row r="3068" ht="12.75" x14ac:dyDescent="0.2"/>
    <row r="3069" ht="12.75" x14ac:dyDescent="0.2"/>
    <row r="3070" ht="12.75" x14ac:dyDescent="0.2"/>
    <row r="3071" ht="12.75" x14ac:dyDescent="0.2"/>
    <row r="3072" ht="12.75" x14ac:dyDescent="0.2"/>
    <row r="3073" ht="12.75" x14ac:dyDescent="0.2"/>
    <row r="3074" ht="12.75" x14ac:dyDescent="0.2"/>
    <row r="3075" ht="12.75" x14ac:dyDescent="0.2"/>
    <row r="3076" ht="12.75" x14ac:dyDescent="0.2"/>
    <row r="3077" ht="12.75" x14ac:dyDescent="0.2"/>
    <row r="3078" ht="12.75" x14ac:dyDescent="0.2"/>
    <row r="3079" ht="12.75" x14ac:dyDescent="0.2"/>
    <row r="3080" ht="12.75" x14ac:dyDescent="0.2"/>
    <row r="3081" ht="12.75" x14ac:dyDescent="0.2"/>
    <row r="3082" ht="12.75" x14ac:dyDescent="0.2"/>
    <row r="3083" ht="12.75" x14ac:dyDescent="0.2"/>
    <row r="3084" ht="12.75" x14ac:dyDescent="0.2"/>
    <row r="3085" ht="12.75" x14ac:dyDescent="0.2"/>
    <row r="3086" ht="12.75" x14ac:dyDescent="0.2"/>
    <row r="3087" ht="12.75" x14ac:dyDescent="0.2"/>
    <row r="3088" ht="12.75" x14ac:dyDescent="0.2"/>
    <row r="3089" ht="12.75" x14ac:dyDescent="0.2"/>
    <row r="3090" ht="12.75" x14ac:dyDescent="0.2"/>
    <row r="3091" ht="12.75" x14ac:dyDescent="0.2"/>
    <row r="3092" ht="12.75" x14ac:dyDescent="0.2"/>
    <row r="3093" ht="12.75" x14ac:dyDescent="0.2"/>
    <row r="3094" ht="12.75" x14ac:dyDescent="0.2"/>
    <row r="3095" ht="12.75" x14ac:dyDescent="0.2"/>
    <row r="3096" ht="12.75" x14ac:dyDescent="0.2"/>
    <row r="3097" ht="12.75" x14ac:dyDescent="0.2"/>
    <row r="3098" ht="12.75" x14ac:dyDescent="0.2"/>
    <row r="3099" ht="12.75" x14ac:dyDescent="0.2"/>
    <row r="3100" ht="12.75" x14ac:dyDescent="0.2"/>
    <row r="3101" ht="12.75" x14ac:dyDescent="0.2"/>
    <row r="3102" ht="12.75" x14ac:dyDescent="0.2"/>
    <row r="3103" ht="12.75" x14ac:dyDescent="0.2"/>
    <row r="3104" ht="12.75" x14ac:dyDescent="0.2"/>
    <row r="3105" ht="12.75" x14ac:dyDescent="0.2"/>
    <row r="3106" ht="12.75" x14ac:dyDescent="0.2"/>
    <row r="3107" ht="12.75" x14ac:dyDescent="0.2"/>
    <row r="3108" ht="12.75" x14ac:dyDescent="0.2"/>
    <row r="3109" ht="12.75" x14ac:dyDescent="0.2"/>
    <row r="3110" ht="12.75" x14ac:dyDescent="0.2"/>
    <row r="3111" ht="12.75" x14ac:dyDescent="0.2"/>
    <row r="3112" ht="12.75" x14ac:dyDescent="0.2"/>
    <row r="3113" ht="12.75" x14ac:dyDescent="0.2"/>
    <row r="3114" ht="12.75" x14ac:dyDescent="0.2"/>
    <row r="3115" ht="12.75" x14ac:dyDescent="0.2"/>
    <row r="3116" ht="12.75" x14ac:dyDescent="0.2"/>
    <row r="3117" ht="12.75" x14ac:dyDescent="0.2"/>
    <row r="3118" ht="12.75" x14ac:dyDescent="0.2"/>
    <row r="3119" ht="12.75" x14ac:dyDescent="0.2"/>
    <row r="3120" ht="12.75" x14ac:dyDescent="0.2"/>
    <row r="3121" ht="12.75" x14ac:dyDescent="0.2"/>
    <row r="3122" ht="12.75" x14ac:dyDescent="0.2"/>
    <row r="3123" ht="12.75" x14ac:dyDescent="0.2"/>
    <row r="3124" ht="12.75" x14ac:dyDescent="0.2"/>
    <row r="3125" ht="12.75" x14ac:dyDescent="0.2"/>
    <row r="3126" ht="12.75" x14ac:dyDescent="0.2"/>
    <row r="3127" ht="12.75" x14ac:dyDescent="0.2"/>
    <row r="3128" ht="12.75" x14ac:dyDescent="0.2"/>
    <row r="3129" ht="12.75" x14ac:dyDescent="0.2"/>
    <row r="3130" ht="12.75" x14ac:dyDescent="0.2"/>
    <row r="3131" ht="12.75" x14ac:dyDescent="0.2"/>
    <row r="3132" ht="12.75" x14ac:dyDescent="0.2"/>
    <row r="3133" ht="12.75" x14ac:dyDescent="0.2"/>
    <row r="3134" ht="12.75" x14ac:dyDescent="0.2"/>
    <row r="3135" ht="12.75" x14ac:dyDescent="0.2"/>
    <row r="3136" ht="12.75" x14ac:dyDescent="0.2"/>
    <row r="3137" ht="12.75" x14ac:dyDescent="0.2"/>
    <row r="3138" ht="12.75" x14ac:dyDescent="0.2"/>
    <row r="3139" ht="12.75" x14ac:dyDescent="0.2"/>
    <row r="3140" ht="12.75" x14ac:dyDescent="0.2"/>
    <row r="3141" ht="12.75" x14ac:dyDescent="0.2"/>
    <row r="3142" ht="12.75" x14ac:dyDescent="0.2"/>
    <row r="3143" ht="12.75" x14ac:dyDescent="0.2"/>
    <row r="3144" ht="12.75" x14ac:dyDescent="0.2"/>
    <row r="3145" ht="12.75" x14ac:dyDescent="0.2"/>
    <row r="3146" ht="12.75" x14ac:dyDescent="0.2"/>
    <row r="3147" ht="12.75" x14ac:dyDescent="0.2"/>
    <row r="3148" ht="12.75" x14ac:dyDescent="0.2"/>
    <row r="3149" ht="12.75" x14ac:dyDescent="0.2"/>
    <row r="3150" ht="12.75" x14ac:dyDescent="0.2"/>
    <row r="3151" ht="12.75" x14ac:dyDescent="0.2"/>
    <row r="3152" ht="12.75" x14ac:dyDescent="0.2"/>
    <row r="3153" ht="12.75" x14ac:dyDescent="0.2"/>
    <row r="3154" ht="12.75" x14ac:dyDescent="0.2"/>
    <row r="3155" ht="12.75" x14ac:dyDescent="0.2"/>
    <row r="3156" ht="12.75" x14ac:dyDescent="0.2"/>
    <row r="3157" ht="12.75" x14ac:dyDescent="0.2"/>
    <row r="3158" ht="12.75" x14ac:dyDescent="0.2"/>
    <row r="3159" ht="12.75" x14ac:dyDescent="0.2"/>
    <row r="3160" ht="12.75" x14ac:dyDescent="0.2"/>
    <row r="3161" ht="12.75" x14ac:dyDescent="0.2"/>
    <row r="3162" ht="12.75" x14ac:dyDescent="0.2"/>
    <row r="3163" ht="12.75" x14ac:dyDescent="0.2"/>
    <row r="3164" ht="12.75" x14ac:dyDescent="0.2"/>
    <row r="3165" ht="12.75" x14ac:dyDescent="0.2"/>
    <row r="3166" ht="12.75" x14ac:dyDescent="0.2"/>
    <row r="3167" ht="12.75" x14ac:dyDescent="0.2"/>
    <row r="3168" ht="12.75" x14ac:dyDescent="0.2"/>
    <row r="3169" ht="12.75" x14ac:dyDescent="0.2"/>
    <row r="3170" ht="12.75" x14ac:dyDescent="0.2"/>
    <row r="3171" ht="12.75" x14ac:dyDescent="0.2"/>
    <row r="3172" ht="12.75" x14ac:dyDescent="0.2"/>
    <row r="3173" ht="12.75" x14ac:dyDescent="0.2"/>
    <row r="3174" ht="12.75" x14ac:dyDescent="0.2"/>
    <row r="3175" ht="12.75" x14ac:dyDescent="0.2"/>
    <row r="3176" ht="12.75" x14ac:dyDescent="0.2"/>
    <row r="3177" ht="12.75" x14ac:dyDescent="0.2"/>
    <row r="3178" ht="12.75" x14ac:dyDescent="0.2"/>
    <row r="3179" ht="12.75" x14ac:dyDescent="0.2"/>
    <row r="3180" ht="12.75" x14ac:dyDescent="0.2"/>
    <row r="3181" ht="12.75" x14ac:dyDescent="0.2"/>
    <row r="3182" ht="12.75" x14ac:dyDescent="0.2"/>
    <row r="3183" ht="12.75" x14ac:dyDescent="0.2"/>
    <row r="3184" ht="12.75" x14ac:dyDescent="0.2"/>
    <row r="3185" ht="12.75" x14ac:dyDescent="0.2"/>
    <row r="3186" ht="12.75" x14ac:dyDescent="0.2"/>
    <row r="3187" ht="12.75" x14ac:dyDescent="0.2"/>
    <row r="3188" ht="12.75" x14ac:dyDescent="0.2"/>
    <row r="3189" ht="12.75" x14ac:dyDescent="0.2"/>
    <row r="3190" ht="12.75" x14ac:dyDescent="0.2"/>
    <row r="3191" ht="12.75" x14ac:dyDescent="0.2"/>
    <row r="3192" ht="12.75" x14ac:dyDescent="0.2"/>
    <row r="3193" ht="12.75" x14ac:dyDescent="0.2"/>
    <row r="3194" ht="12.75" x14ac:dyDescent="0.2"/>
    <row r="3195" ht="12.75" x14ac:dyDescent="0.2"/>
    <row r="3196" ht="12.75" x14ac:dyDescent="0.2"/>
    <row r="3197" ht="12.75" x14ac:dyDescent="0.2"/>
    <row r="3198" ht="12.75" x14ac:dyDescent="0.2"/>
    <row r="3199" ht="12.75" x14ac:dyDescent="0.2"/>
    <row r="3200" ht="12.75" x14ac:dyDescent="0.2"/>
    <row r="3201" ht="12.75" x14ac:dyDescent="0.2"/>
    <row r="3202" ht="12.75" x14ac:dyDescent="0.2"/>
    <row r="3203" ht="12.75" x14ac:dyDescent="0.2"/>
    <row r="3204" ht="12.75" x14ac:dyDescent="0.2"/>
    <row r="3205" ht="12.75" x14ac:dyDescent="0.2"/>
    <row r="3206" ht="12.75" x14ac:dyDescent="0.2"/>
    <row r="3207" ht="12.75" x14ac:dyDescent="0.2"/>
    <row r="3208" ht="12.75" x14ac:dyDescent="0.2"/>
    <row r="3209" ht="12.75" x14ac:dyDescent="0.2"/>
    <row r="3210" ht="12.75" x14ac:dyDescent="0.2"/>
    <row r="3211" ht="12.75" x14ac:dyDescent="0.2"/>
    <row r="3212" ht="12.75" x14ac:dyDescent="0.2"/>
    <row r="3213" ht="12.75" x14ac:dyDescent="0.2"/>
    <row r="3214" ht="12.75" x14ac:dyDescent="0.2"/>
    <row r="3215" ht="12.75" x14ac:dyDescent="0.2"/>
    <row r="3216" ht="12.75" x14ac:dyDescent="0.2"/>
    <row r="3217" ht="12.75" x14ac:dyDescent="0.2"/>
    <row r="3218" ht="12.75" x14ac:dyDescent="0.2"/>
    <row r="3219" ht="12.75" x14ac:dyDescent="0.2"/>
    <row r="3220" ht="12.75" x14ac:dyDescent="0.2"/>
    <row r="3221" ht="12.75" x14ac:dyDescent="0.2"/>
    <row r="3222" ht="12.75" x14ac:dyDescent="0.2"/>
    <row r="3223" ht="12.75" x14ac:dyDescent="0.2"/>
    <row r="3224" ht="12.75" x14ac:dyDescent="0.2"/>
    <row r="3225" ht="12.75" x14ac:dyDescent="0.2"/>
    <row r="3226" ht="12.75" x14ac:dyDescent="0.2"/>
    <row r="3227" ht="12.75" x14ac:dyDescent="0.2"/>
    <row r="3228" ht="12.75" x14ac:dyDescent="0.2"/>
    <row r="3229" ht="12.75" x14ac:dyDescent="0.2"/>
    <row r="3230" ht="12.75" x14ac:dyDescent="0.2"/>
    <row r="3231" ht="12.75" x14ac:dyDescent="0.2"/>
    <row r="3232" ht="12.75" x14ac:dyDescent="0.2"/>
    <row r="3233" ht="12.75" x14ac:dyDescent="0.2"/>
    <row r="3234" ht="12.75" x14ac:dyDescent="0.2"/>
    <row r="3235" ht="12.75" x14ac:dyDescent="0.2"/>
    <row r="3236" ht="12.75" x14ac:dyDescent="0.2"/>
    <row r="3237" ht="12.75" x14ac:dyDescent="0.2"/>
    <row r="3238" ht="12.75" x14ac:dyDescent="0.2"/>
    <row r="3239" ht="12.75" x14ac:dyDescent="0.2"/>
    <row r="3240" ht="12.75" x14ac:dyDescent="0.2"/>
    <row r="3241" ht="12.75" x14ac:dyDescent="0.2"/>
    <row r="3242" ht="12.75" x14ac:dyDescent="0.2"/>
    <row r="3243" ht="12.75" x14ac:dyDescent="0.2"/>
    <row r="3244" ht="12.75" x14ac:dyDescent="0.2"/>
    <row r="3245" ht="12.75" x14ac:dyDescent="0.2"/>
    <row r="3246" ht="12.75" x14ac:dyDescent="0.2"/>
    <row r="3247" ht="12.75" x14ac:dyDescent="0.2"/>
    <row r="3248" ht="12.75" x14ac:dyDescent="0.2"/>
    <row r="3249" ht="12.75" x14ac:dyDescent="0.2"/>
    <row r="3250" ht="12.75" x14ac:dyDescent="0.2"/>
    <row r="3251" ht="12.75" x14ac:dyDescent="0.2"/>
    <row r="3252" ht="12.75" x14ac:dyDescent="0.2"/>
    <row r="3253" ht="12.75" x14ac:dyDescent="0.2"/>
    <row r="3254" ht="12.75" x14ac:dyDescent="0.2"/>
    <row r="3255" ht="12.75" x14ac:dyDescent="0.2"/>
    <row r="3256" ht="12.75" x14ac:dyDescent="0.2"/>
    <row r="3257" ht="12.75" x14ac:dyDescent="0.2"/>
    <row r="3258" ht="12.75" x14ac:dyDescent="0.2"/>
    <row r="3259" ht="12.75" x14ac:dyDescent="0.2"/>
    <row r="3260" ht="12.75" x14ac:dyDescent="0.2"/>
    <row r="3261" ht="12.75" x14ac:dyDescent="0.2"/>
    <row r="3262" ht="12.75" x14ac:dyDescent="0.2"/>
    <row r="3263" ht="12.75" x14ac:dyDescent="0.2"/>
    <row r="3264" ht="12.75" x14ac:dyDescent="0.2"/>
    <row r="3265" ht="12.75" x14ac:dyDescent="0.2"/>
    <row r="3266" ht="12.75" x14ac:dyDescent="0.2"/>
    <row r="3267" ht="12.75" x14ac:dyDescent="0.2"/>
    <row r="3268" ht="12.75" x14ac:dyDescent="0.2"/>
    <row r="3269" ht="12.75" x14ac:dyDescent="0.2"/>
    <row r="3270" ht="12.75" x14ac:dyDescent="0.2"/>
    <row r="3271" ht="12.75" x14ac:dyDescent="0.2"/>
    <row r="3272" ht="12.75" x14ac:dyDescent="0.2"/>
    <row r="3273" ht="12.75" x14ac:dyDescent="0.2"/>
    <row r="3274" ht="12.75" x14ac:dyDescent="0.2"/>
    <row r="3275" ht="12.75" x14ac:dyDescent="0.2"/>
    <row r="3276" ht="12.75" x14ac:dyDescent="0.2"/>
    <row r="3277" ht="12.75" x14ac:dyDescent="0.2"/>
    <row r="3278" ht="12.75" x14ac:dyDescent="0.2"/>
    <row r="3279" ht="12.75" x14ac:dyDescent="0.2"/>
    <row r="3280" ht="12.75" x14ac:dyDescent="0.2"/>
    <row r="3281" ht="12.75" x14ac:dyDescent="0.2"/>
    <row r="3282" ht="12.75" x14ac:dyDescent="0.2"/>
    <row r="3283" ht="12.75" x14ac:dyDescent="0.2"/>
    <row r="3284" ht="12.75" x14ac:dyDescent="0.2"/>
    <row r="3285" ht="12.75" x14ac:dyDescent="0.2"/>
    <row r="3286" ht="12.75" x14ac:dyDescent="0.2"/>
    <row r="3287" ht="12.75" x14ac:dyDescent="0.2"/>
    <row r="3288" ht="12.75" x14ac:dyDescent="0.2"/>
    <row r="3289" ht="12.75" x14ac:dyDescent="0.2"/>
    <row r="3290" ht="12.75" x14ac:dyDescent="0.2"/>
    <row r="3291" ht="12.75" x14ac:dyDescent="0.2"/>
    <row r="3292" ht="12.75" x14ac:dyDescent="0.2"/>
    <row r="3293" ht="12.75" x14ac:dyDescent="0.2"/>
    <row r="3294" ht="12.75" x14ac:dyDescent="0.2"/>
    <row r="3295" ht="12.75" x14ac:dyDescent="0.2"/>
    <row r="3296" ht="12.75" x14ac:dyDescent="0.2"/>
    <row r="3297" ht="12.75" x14ac:dyDescent="0.2"/>
    <row r="3298" ht="12.75" x14ac:dyDescent="0.2"/>
    <row r="3299" ht="12.75" x14ac:dyDescent="0.2"/>
    <row r="3300" ht="12.75" x14ac:dyDescent="0.2"/>
    <row r="3301" ht="12.75" x14ac:dyDescent="0.2"/>
    <row r="3302" ht="12.75" x14ac:dyDescent="0.2"/>
    <row r="3303" ht="12.75" x14ac:dyDescent="0.2"/>
    <row r="3304" ht="12.75" x14ac:dyDescent="0.2"/>
    <row r="3305" ht="12.75" x14ac:dyDescent="0.2"/>
    <row r="3306" ht="12.75" x14ac:dyDescent="0.2"/>
    <row r="3307" ht="12.75" x14ac:dyDescent="0.2"/>
    <row r="3308" ht="12.75" x14ac:dyDescent="0.2"/>
    <row r="3309" ht="12.75" x14ac:dyDescent="0.2"/>
    <row r="3310" ht="12.75" x14ac:dyDescent="0.2"/>
    <row r="3311" ht="12.75" x14ac:dyDescent="0.2"/>
    <row r="3312" ht="12.75" x14ac:dyDescent="0.2"/>
    <row r="3313" ht="12.75" x14ac:dyDescent="0.2"/>
    <row r="3314" ht="12.75" x14ac:dyDescent="0.2"/>
    <row r="3315" ht="12.75" x14ac:dyDescent="0.2"/>
    <row r="3316" ht="12.75" x14ac:dyDescent="0.2"/>
    <row r="3317" ht="12.75" x14ac:dyDescent="0.2"/>
    <row r="3318" ht="12.75" x14ac:dyDescent="0.2"/>
    <row r="3319" ht="12.75" x14ac:dyDescent="0.2"/>
    <row r="3320" ht="12.75" x14ac:dyDescent="0.2"/>
    <row r="3321" ht="12.75" x14ac:dyDescent="0.2"/>
    <row r="3322" ht="12.75" x14ac:dyDescent="0.2"/>
    <row r="3323" ht="12.75" x14ac:dyDescent="0.2"/>
    <row r="3324" ht="12.75" x14ac:dyDescent="0.2"/>
    <row r="3325" ht="12.75" x14ac:dyDescent="0.2"/>
    <row r="3326" ht="12.75" x14ac:dyDescent="0.2"/>
    <row r="3327" ht="12.75" x14ac:dyDescent="0.2"/>
    <row r="3328" ht="12.75" x14ac:dyDescent="0.2"/>
    <row r="3329" ht="12.75" x14ac:dyDescent="0.2"/>
    <row r="3330" ht="12.75" x14ac:dyDescent="0.2"/>
    <row r="3331" ht="12.75" x14ac:dyDescent="0.2"/>
    <row r="3332" ht="12.75" x14ac:dyDescent="0.2"/>
    <row r="3333" ht="12.75" x14ac:dyDescent="0.2"/>
    <row r="3334" ht="12.75" x14ac:dyDescent="0.2"/>
    <row r="3335" ht="12.75" x14ac:dyDescent="0.2"/>
    <row r="3336" ht="12.75" x14ac:dyDescent="0.2"/>
    <row r="3337" ht="12.75" x14ac:dyDescent="0.2"/>
    <row r="3338" ht="12.75" x14ac:dyDescent="0.2"/>
    <row r="3339" ht="12.75" x14ac:dyDescent="0.2"/>
    <row r="3340" ht="12.75" x14ac:dyDescent="0.2"/>
    <row r="3341" ht="12.75" x14ac:dyDescent="0.2"/>
    <row r="3342" ht="12.75" x14ac:dyDescent="0.2"/>
    <row r="3343" ht="12.75" x14ac:dyDescent="0.2"/>
    <row r="3344" ht="12.75" x14ac:dyDescent="0.2"/>
    <row r="3345" ht="12.75" x14ac:dyDescent="0.2"/>
    <row r="3346" ht="12.75" x14ac:dyDescent="0.2"/>
    <row r="3347" ht="12.75" x14ac:dyDescent="0.2"/>
    <row r="3348" ht="12.75" x14ac:dyDescent="0.2"/>
    <row r="3349" ht="12.75" x14ac:dyDescent="0.2"/>
    <row r="3350" ht="12.75" x14ac:dyDescent="0.2"/>
    <row r="3351" ht="12.75" x14ac:dyDescent="0.2"/>
    <row r="3352" ht="12.75" x14ac:dyDescent="0.2"/>
    <row r="3353" ht="12.75" x14ac:dyDescent="0.2"/>
    <row r="3354" ht="12.75" x14ac:dyDescent="0.2"/>
    <row r="3355" ht="12.75" x14ac:dyDescent="0.2"/>
    <row r="3356" ht="12.75" x14ac:dyDescent="0.2"/>
    <row r="3357" ht="12.75" x14ac:dyDescent="0.2"/>
    <row r="3358" ht="12.75" x14ac:dyDescent="0.2"/>
    <row r="3359" ht="12.75" x14ac:dyDescent="0.2"/>
    <row r="3360" ht="12.75" x14ac:dyDescent="0.2"/>
    <row r="3361" ht="12.75" x14ac:dyDescent="0.2"/>
    <row r="3362" ht="12.75" x14ac:dyDescent="0.2"/>
    <row r="3363" ht="12.75" x14ac:dyDescent="0.2"/>
    <row r="3364" ht="12.75" x14ac:dyDescent="0.2"/>
    <row r="3365" ht="12.75" x14ac:dyDescent="0.2"/>
    <row r="3366" ht="12.75" x14ac:dyDescent="0.2"/>
    <row r="3367" ht="12.75" x14ac:dyDescent="0.2"/>
    <row r="3368" ht="12.75" x14ac:dyDescent="0.2"/>
    <row r="3369" ht="12.75" x14ac:dyDescent="0.2"/>
    <row r="3370" ht="12.75" x14ac:dyDescent="0.2"/>
    <row r="3371" ht="12.75" x14ac:dyDescent="0.2"/>
    <row r="3372" ht="12.75" x14ac:dyDescent="0.2"/>
    <row r="3373" ht="12.75" x14ac:dyDescent="0.2"/>
    <row r="3374" ht="12.75" x14ac:dyDescent="0.2"/>
    <row r="3375" ht="12.75" x14ac:dyDescent="0.2"/>
    <row r="3376" ht="12.75" x14ac:dyDescent="0.2"/>
    <row r="3377" ht="12.75" x14ac:dyDescent="0.2"/>
    <row r="3378" ht="12.75" x14ac:dyDescent="0.2"/>
    <row r="3379" ht="12.75" x14ac:dyDescent="0.2"/>
    <row r="3380" ht="12.75" x14ac:dyDescent="0.2"/>
    <row r="3381" ht="12.75" x14ac:dyDescent="0.2"/>
    <row r="3382" ht="12.75" x14ac:dyDescent="0.2"/>
    <row r="3383" ht="12.75" x14ac:dyDescent="0.2"/>
    <row r="3384" ht="12.75" x14ac:dyDescent="0.2"/>
    <row r="3385" ht="12.75" x14ac:dyDescent="0.2"/>
    <row r="3386" ht="12.75" x14ac:dyDescent="0.2"/>
    <row r="3387" ht="12.75" x14ac:dyDescent="0.2"/>
    <row r="3388" ht="12.75" x14ac:dyDescent="0.2"/>
    <row r="3389" ht="12.75" x14ac:dyDescent="0.2"/>
    <row r="3390" ht="12.75" x14ac:dyDescent="0.2"/>
    <row r="3391" ht="12.75" x14ac:dyDescent="0.2"/>
    <row r="3392" ht="12.75" x14ac:dyDescent="0.2"/>
    <row r="3393" ht="12.75" x14ac:dyDescent="0.2"/>
    <row r="3394" ht="12.75" x14ac:dyDescent="0.2"/>
    <row r="3395" ht="12.75" x14ac:dyDescent="0.2"/>
    <row r="3396" ht="12.75" x14ac:dyDescent="0.2"/>
    <row r="3397" ht="12.75" x14ac:dyDescent="0.2"/>
    <row r="3398" ht="12.75" x14ac:dyDescent="0.2"/>
    <row r="3399" ht="12.75" x14ac:dyDescent="0.2"/>
    <row r="3400" ht="12.75" x14ac:dyDescent="0.2"/>
    <row r="3401" ht="12.75" x14ac:dyDescent="0.2"/>
    <row r="3402" ht="12.75" x14ac:dyDescent="0.2"/>
    <row r="3403" ht="12.75" x14ac:dyDescent="0.2"/>
    <row r="3404" ht="12.75" x14ac:dyDescent="0.2"/>
    <row r="3405" ht="12.75" x14ac:dyDescent="0.2"/>
    <row r="3406" ht="12.75" x14ac:dyDescent="0.2"/>
    <row r="3407" ht="12.75" x14ac:dyDescent="0.2"/>
    <row r="3408" ht="12.75" x14ac:dyDescent="0.2"/>
    <row r="3409" ht="12.75" x14ac:dyDescent="0.2"/>
    <row r="3410" ht="12.75" x14ac:dyDescent="0.2"/>
    <row r="3411" ht="12.75" x14ac:dyDescent="0.2"/>
    <row r="3412" ht="12.75" x14ac:dyDescent="0.2"/>
    <row r="3413" ht="12.75" x14ac:dyDescent="0.2"/>
    <row r="3414" ht="12.75" x14ac:dyDescent="0.2"/>
    <row r="3415" ht="12.75" x14ac:dyDescent="0.2"/>
    <row r="3416" ht="12.75" x14ac:dyDescent="0.2"/>
    <row r="3417" ht="12.75" x14ac:dyDescent="0.2"/>
    <row r="3418" ht="12.75" x14ac:dyDescent="0.2"/>
    <row r="3419" ht="12.75" x14ac:dyDescent="0.2"/>
    <row r="3420" ht="12.75" x14ac:dyDescent="0.2"/>
    <row r="3421" ht="12.75" x14ac:dyDescent="0.2"/>
    <row r="3422" ht="12.75" x14ac:dyDescent="0.2"/>
    <row r="3423" ht="12.75" x14ac:dyDescent="0.2"/>
    <row r="3424" ht="12.75" x14ac:dyDescent="0.2"/>
    <row r="3425" ht="12.75" x14ac:dyDescent="0.2"/>
    <row r="3426" ht="12.75" x14ac:dyDescent="0.2"/>
    <row r="3427" ht="12.75" x14ac:dyDescent="0.2"/>
    <row r="3428" ht="12.75" x14ac:dyDescent="0.2"/>
    <row r="3429" ht="12.75" x14ac:dyDescent="0.2"/>
    <row r="3430" ht="12.75" x14ac:dyDescent="0.2"/>
    <row r="3431" ht="12.75" x14ac:dyDescent="0.2"/>
    <row r="3432" ht="12.75" x14ac:dyDescent="0.2"/>
    <row r="3433" ht="12.75" x14ac:dyDescent="0.2"/>
    <row r="3434" ht="12.75" x14ac:dyDescent="0.2"/>
    <row r="3435" ht="12.75" x14ac:dyDescent="0.2"/>
    <row r="3436" ht="12.75" x14ac:dyDescent="0.2"/>
    <row r="3437" ht="12.75" x14ac:dyDescent="0.2"/>
    <row r="3438" ht="12.75" x14ac:dyDescent="0.2"/>
    <row r="3439" ht="12.75" x14ac:dyDescent="0.2"/>
    <row r="3440" ht="12.75" x14ac:dyDescent="0.2"/>
    <row r="3441" ht="12.75" x14ac:dyDescent="0.2"/>
    <row r="3442" ht="12.75" x14ac:dyDescent="0.2"/>
    <row r="3443" ht="12.75" x14ac:dyDescent="0.2"/>
    <row r="3444" ht="12.75" x14ac:dyDescent="0.2"/>
    <row r="3445" ht="12.75" x14ac:dyDescent="0.2"/>
    <row r="3446" ht="12.75" x14ac:dyDescent="0.2"/>
    <row r="3447" ht="12.75" x14ac:dyDescent="0.2"/>
    <row r="3448" ht="12.75" x14ac:dyDescent="0.2"/>
    <row r="3449" ht="12.75" x14ac:dyDescent="0.2"/>
    <row r="3450" ht="12.75" x14ac:dyDescent="0.2"/>
    <row r="3451" ht="12.75" x14ac:dyDescent="0.2"/>
    <row r="3452" ht="12.75" x14ac:dyDescent="0.2"/>
    <row r="3453" ht="12.75" x14ac:dyDescent="0.2"/>
    <row r="3454" ht="12.75" x14ac:dyDescent="0.2"/>
    <row r="3455" ht="12.75" x14ac:dyDescent="0.2"/>
    <row r="3456" ht="12.75" x14ac:dyDescent="0.2"/>
    <row r="3457" ht="12.75" x14ac:dyDescent="0.2"/>
    <row r="3458" ht="12.75" x14ac:dyDescent="0.2"/>
    <row r="3459" ht="12.75" x14ac:dyDescent="0.2"/>
    <row r="3460" ht="12.75" x14ac:dyDescent="0.2"/>
    <row r="3461" ht="12.75" x14ac:dyDescent="0.2"/>
    <row r="3462" ht="12.75" x14ac:dyDescent="0.2"/>
    <row r="3463" ht="12.75" x14ac:dyDescent="0.2"/>
    <row r="3464" ht="12.75" x14ac:dyDescent="0.2"/>
    <row r="3465" ht="12.75" x14ac:dyDescent="0.2"/>
    <row r="3466" ht="12.75" x14ac:dyDescent="0.2"/>
    <row r="3467" ht="12.75" x14ac:dyDescent="0.2"/>
    <row r="3468" ht="12.75" x14ac:dyDescent="0.2"/>
    <row r="3469" ht="12.75" x14ac:dyDescent="0.2"/>
    <row r="3470" ht="12.75" x14ac:dyDescent="0.2"/>
    <row r="3471" ht="12.75" x14ac:dyDescent="0.2"/>
    <row r="3472" ht="12.75" x14ac:dyDescent="0.2"/>
    <row r="3473" ht="12.75" x14ac:dyDescent="0.2"/>
    <row r="3474" ht="12.75" x14ac:dyDescent="0.2"/>
    <row r="3475" ht="12.75" x14ac:dyDescent="0.2"/>
    <row r="3476" ht="12.75" x14ac:dyDescent="0.2"/>
    <row r="3477" ht="12.75" x14ac:dyDescent="0.2"/>
    <row r="3478" ht="12.75" x14ac:dyDescent="0.2"/>
    <row r="3479" ht="12.75" x14ac:dyDescent="0.2"/>
    <row r="3480" ht="12.75" x14ac:dyDescent="0.2"/>
    <row r="3481" ht="12.75" x14ac:dyDescent="0.2"/>
    <row r="3482" ht="12.75" x14ac:dyDescent="0.2"/>
    <row r="3483" ht="12.75" x14ac:dyDescent="0.2"/>
    <row r="3484" ht="12.75" x14ac:dyDescent="0.2"/>
    <row r="3485" ht="12.75" x14ac:dyDescent="0.2"/>
    <row r="3486" ht="12.75" x14ac:dyDescent="0.2"/>
    <row r="3487" ht="12.75" x14ac:dyDescent="0.2"/>
    <row r="3488" ht="12.75" x14ac:dyDescent="0.2"/>
    <row r="3489" ht="12.75" x14ac:dyDescent="0.2"/>
    <row r="3490" ht="12.75" x14ac:dyDescent="0.2"/>
    <row r="3491" ht="12.75" x14ac:dyDescent="0.2"/>
    <row r="3492" ht="12.75" x14ac:dyDescent="0.2"/>
    <row r="3493" ht="12.75" x14ac:dyDescent="0.2"/>
    <row r="3494" ht="12.75" x14ac:dyDescent="0.2"/>
    <row r="3495" ht="12.75" x14ac:dyDescent="0.2"/>
    <row r="3496" ht="12.75" x14ac:dyDescent="0.2"/>
    <row r="3497" ht="12.75" x14ac:dyDescent="0.2"/>
    <row r="3498" ht="12.75" x14ac:dyDescent="0.2"/>
    <row r="3499" ht="12.75" x14ac:dyDescent="0.2"/>
    <row r="3500" ht="12.75" x14ac:dyDescent="0.2"/>
    <row r="3501" ht="12.75" x14ac:dyDescent="0.2"/>
    <row r="3502" ht="12.75" x14ac:dyDescent="0.2"/>
    <row r="3503" ht="12.75" x14ac:dyDescent="0.2"/>
    <row r="3504" ht="12.75" x14ac:dyDescent="0.2"/>
    <row r="3505" ht="12.75" x14ac:dyDescent="0.2"/>
    <row r="3506" ht="12.75" x14ac:dyDescent="0.2"/>
    <row r="3507" ht="12.75" x14ac:dyDescent="0.2"/>
    <row r="3508" ht="12.75" x14ac:dyDescent="0.2"/>
    <row r="3509" ht="12.75" x14ac:dyDescent="0.2"/>
    <row r="3510" ht="12.75" x14ac:dyDescent="0.2"/>
    <row r="3511" ht="12.75" x14ac:dyDescent="0.2"/>
    <row r="3512" ht="12.75" x14ac:dyDescent="0.2"/>
    <row r="3513" ht="12.75" x14ac:dyDescent="0.2"/>
    <row r="3514" ht="12.75" x14ac:dyDescent="0.2"/>
    <row r="3515" ht="12.75" x14ac:dyDescent="0.2"/>
    <row r="3516" ht="12.75" x14ac:dyDescent="0.2"/>
    <row r="3517" ht="12.75" x14ac:dyDescent="0.2"/>
    <row r="3518" ht="12.75" x14ac:dyDescent="0.2"/>
    <row r="3519" ht="12.75" x14ac:dyDescent="0.2"/>
    <row r="3520" ht="12.75" x14ac:dyDescent="0.2"/>
    <row r="3521" ht="12.75" x14ac:dyDescent="0.2"/>
    <row r="3522" ht="12.75" x14ac:dyDescent="0.2"/>
    <row r="3523" ht="12.75" x14ac:dyDescent="0.2"/>
    <row r="3524" ht="12.75" x14ac:dyDescent="0.2"/>
    <row r="3525" ht="12.75" x14ac:dyDescent="0.2"/>
    <row r="3526" ht="12.75" x14ac:dyDescent="0.2"/>
    <row r="3527" ht="12.75" x14ac:dyDescent="0.2"/>
    <row r="3528" ht="12.75" x14ac:dyDescent="0.2"/>
    <row r="3529" ht="12.75" x14ac:dyDescent="0.2"/>
    <row r="3530" ht="12.75" x14ac:dyDescent="0.2"/>
    <row r="3531" ht="12.75" x14ac:dyDescent="0.2"/>
    <row r="3532" ht="12.75" x14ac:dyDescent="0.2"/>
    <row r="3533" ht="12.75" x14ac:dyDescent="0.2"/>
    <row r="3534" ht="12.75" x14ac:dyDescent="0.2"/>
    <row r="3535" ht="12.75" x14ac:dyDescent="0.2"/>
    <row r="3536" ht="12.75" x14ac:dyDescent="0.2"/>
    <row r="3537" ht="12.75" x14ac:dyDescent="0.2"/>
    <row r="3538" ht="12.75" x14ac:dyDescent="0.2"/>
    <row r="3539" ht="12.75" x14ac:dyDescent="0.2"/>
    <row r="3540" ht="12.75" x14ac:dyDescent="0.2"/>
    <row r="3541" ht="12.75" x14ac:dyDescent="0.2"/>
    <row r="3542" ht="12.75" x14ac:dyDescent="0.2"/>
    <row r="3543" ht="12.75" x14ac:dyDescent="0.2"/>
    <row r="3544" ht="12.75" x14ac:dyDescent="0.2"/>
    <row r="3545" ht="12.75" x14ac:dyDescent="0.2"/>
    <row r="3546" ht="12.75" x14ac:dyDescent="0.2"/>
    <row r="3547" ht="12.75" x14ac:dyDescent="0.2"/>
    <row r="3548" ht="12.75" x14ac:dyDescent="0.2"/>
    <row r="3549" ht="12.75" x14ac:dyDescent="0.2"/>
    <row r="3550" ht="12.75" x14ac:dyDescent="0.2"/>
    <row r="3551" ht="12.75" x14ac:dyDescent="0.2"/>
    <row r="3552" ht="12.75" x14ac:dyDescent="0.2"/>
    <row r="3553" ht="12.75" x14ac:dyDescent="0.2"/>
    <row r="3554" ht="12.75" x14ac:dyDescent="0.2"/>
    <row r="3555" ht="12.75" x14ac:dyDescent="0.2"/>
    <row r="3556" ht="12.75" x14ac:dyDescent="0.2"/>
    <row r="3557" ht="12.75" x14ac:dyDescent="0.2"/>
    <row r="3558" ht="12.75" x14ac:dyDescent="0.2"/>
    <row r="3559" ht="12.75" x14ac:dyDescent="0.2"/>
    <row r="3560" ht="12.75" x14ac:dyDescent="0.2"/>
    <row r="3561" ht="12.75" x14ac:dyDescent="0.2"/>
    <row r="3562" ht="12.75" x14ac:dyDescent="0.2"/>
    <row r="3563" ht="12.75" x14ac:dyDescent="0.2"/>
    <row r="3564" ht="12.75" x14ac:dyDescent="0.2"/>
    <row r="3565" ht="12.75" x14ac:dyDescent="0.2"/>
    <row r="3566" ht="12.75" x14ac:dyDescent="0.2"/>
    <row r="3567" ht="12.75" x14ac:dyDescent="0.2"/>
    <row r="3568" ht="12.75" x14ac:dyDescent="0.2"/>
    <row r="3569" ht="12.75" x14ac:dyDescent="0.2"/>
    <row r="3570" ht="12.75" x14ac:dyDescent="0.2"/>
    <row r="3571" ht="12.75" x14ac:dyDescent="0.2"/>
    <row r="3572" ht="12.75" x14ac:dyDescent="0.2"/>
    <row r="3573" ht="12.75" x14ac:dyDescent="0.2"/>
    <row r="3574" ht="12.75" x14ac:dyDescent="0.2"/>
    <row r="3575" ht="12.75" x14ac:dyDescent="0.2"/>
    <row r="3576" ht="12.75" x14ac:dyDescent="0.2"/>
    <row r="3577" ht="12.75" x14ac:dyDescent="0.2"/>
    <row r="3578" ht="12.75" x14ac:dyDescent="0.2"/>
    <row r="3579" ht="12.75" x14ac:dyDescent="0.2"/>
    <row r="3580" ht="12.75" x14ac:dyDescent="0.2"/>
    <row r="3581" ht="12.75" x14ac:dyDescent="0.2"/>
    <row r="3582" ht="12.75" x14ac:dyDescent="0.2"/>
    <row r="3583" ht="12.75" x14ac:dyDescent="0.2"/>
    <row r="3584" ht="12.75" x14ac:dyDescent="0.2"/>
    <row r="3585" ht="12.75" x14ac:dyDescent="0.2"/>
    <row r="3586" ht="12.75" x14ac:dyDescent="0.2"/>
    <row r="3587" ht="12.75" x14ac:dyDescent="0.2"/>
    <row r="3588" ht="12.75" x14ac:dyDescent="0.2"/>
    <row r="3589" ht="12.75" x14ac:dyDescent="0.2"/>
    <row r="3590" ht="12.75" x14ac:dyDescent="0.2"/>
    <row r="3591" ht="12.75" x14ac:dyDescent="0.2"/>
    <row r="3592" ht="12.75" x14ac:dyDescent="0.2"/>
    <row r="3593" ht="12.75" x14ac:dyDescent="0.2"/>
    <row r="3594" ht="12.75" x14ac:dyDescent="0.2"/>
    <row r="3595" ht="12.75" x14ac:dyDescent="0.2"/>
    <row r="3596" ht="12.75" x14ac:dyDescent="0.2"/>
    <row r="3597" ht="12.75" x14ac:dyDescent="0.2"/>
    <row r="3598" ht="12.75" x14ac:dyDescent="0.2"/>
    <row r="3599" ht="12.75" x14ac:dyDescent="0.2"/>
    <row r="3600" ht="12.75" x14ac:dyDescent="0.2"/>
    <row r="3601" ht="12.75" x14ac:dyDescent="0.2"/>
    <row r="3602" ht="12.75" x14ac:dyDescent="0.2"/>
    <row r="3603" ht="12.75" x14ac:dyDescent="0.2"/>
    <row r="3604" ht="12.75" x14ac:dyDescent="0.2"/>
    <row r="3605" ht="12.75" x14ac:dyDescent="0.2"/>
    <row r="3606" ht="12.75" x14ac:dyDescent="0.2"/>
    <row r="3607" ht="12.75" x14ac:dyDescent="0.2"/>
    <row r="3608" ht="12.75" x14ac:dyDescent="0.2"/>
    <row r="3609" ht="12.75" x14ac:dyDescent="0.2"/>
    <row r="3610" ht="12.75" x14ac:dyDescent="0.2"/>
    <row r="3611" ht="12.75" x14ac:dyDescent="0.2"/>
    <row r="3612" ht="12.75" x14ac:dyDescent="0.2"/>
    <row r="3613" ht="12.75" x14ac:dyDescent="0.2"/>
    <row r="3614" ht="12.75" x14ac:dyDescent="0.2"/>
    <row r="3615" ht="12.75" x14ac:dyDescent="0.2"/>
    <row r="3616" ht="12.75" x14ac:dyDescent="0.2"/>
    <row r="3617" ht="12.75" x14ac:dyDescent="0.2"/>
    <row r="3618" ht="12.75" x14ac:dyDescent="0.2"/>
    <row r="3619" ht="12.75" x14ac:dyDescent="0.2"/>
    <row r="3620" ht="12.75" x14ac:dyDescent="0.2"/>
    <row r="3621" ht="12.75" x14ac:dyDescent="0.2"/>
    <row r="3622" ht="12.75" x14ac:dyDescent="0.2"/>
    <row r="3623" ht="12.75" x14ac:dyDescent="0.2"/>
    <row r="3624" ht="12.75" x14ac:dyDescent="0.2"/>
    <row r="3625" ht="12.75" x14ac:dyDescent="0.2"/>
    <row r="3626" ht="12.75" x14ac:dyDescent="0.2"/>
    <row r="3627" ht="12.75" x14ac:dyDescent="0.2"/>
    <row r="3628" ht="12.75" x14ac:dyDescent="0.2"/>
    <row r="3629" ht="12.75" x14ac:dyDescent="0.2"/>
    <row r="3630" ht="12.75" x14ac:dyDescent="0.2"/>
    <row r="3631" ht="12.75" x14ac:dyDescent="0.2"/>
    <row r="3632" ht="12.75" x14ac:dyDescent="0.2"/>
    <row r="3633" ht="12.75" x14ac:dyDescent="0.2"/>
    <row r="3634" ht="12.75" x14ac:dyDescent="0.2"/>
    <row r="3635" ht="12.75" x14ac:dyDescent="0.2"/>
    <row r="3636" ht="12.75" x14ac:dyDescent="0.2"/>
    <row r="3637" ht="12.75" x14ac:dyDescent="0.2"/>
    <row r="3638" ht="12.75" x14ac:dyDescent="0.2"/>
    <row r="3639" ht="12.75" x14ac:dyDescent="0.2"/>
    <row r="3640" ht="12.75" x14ac:dyDescent="0.2"/>
    <row r="3641" ht="12.75" x14ac:dyDescent="0.2"/>
    <row r="3642" ht="12.75" x14ac:dyDescent="0.2"/>
    <row r="3643" ht="12.75" x14ac:dyDescent="0.2"/>
    <row r="3644" ht="12.75" x14ac:dyDescent="0.2"/>
    <row r="3645" ht="12.75" x14ac:dyDescent="0.2"/>
    <row r="3646" ht="12.75" x14ac:dyDescent="0.2"/>
    <row r="3647" ht="12.75" x14ac:dyDescent="0.2"/>
    <row r="3648" ht="12.75" x14ac:dyDescent="0.2"/>
    <row r="3649" ht="12.75" x14ac:dyDescent="0.2"/>
    <row r="3650" ht="12.75" x14ac:dyDescent="0.2"/>
    <row r="3651" ht="12.75" x14ac:dyDescent="0.2"/>
    <row r="3652" ht="12.75" x14ac:dyDescent="0.2"/>
    <row r="3653" ht="12.75" x14ac:dyDescent="0.2"/>
    <row r="3654" ht="12.75" x14ac:dyDescent="0.2"/>
    <row r="3655" ht="12.75" x14ac:dyDescent="0.2"/>
    <row r="3656" ht="12.75" x14ac:dyDescent="0.2"/>
    <row r="3657" ht="12.75" x14ac:dyDescent="0.2"/>
    <row r="3658" ht="12.75" x14ac:dyDescent="0.2"/>
    <row r="3659" ht="12.75" x14ac:dyDescent="0.2"/>
    <row r="3660" ht="12.75" x14ac:dyDescent="0.2"/>
    <row r="3661" ht="12.75" x14ac:dyDescent="0.2"/>
    <row r="3662" ht="12.75" x14ac:dyDescent="0.2"/>
    <row r="3663" ht="12.75" x14ac:dyDescent="0.2"/>
    <row r="3664" ht="12.75" x14ac:dyDescent="0.2"/>
    <row r="3665" ht="12.75" x14ac:dyDescent="0.2"/>
    <row r="3666" ht="12.75" x14ac:dyDescent="0.2"/>
    <row r="3667" ht="12.75" x14ac:dyDescent="0.2"/>
    <row r="3668" ht="12.75" x14ac:dyDescent="0.2"/>
    <row r="3669" ht="12.75" x14ac:dyDescent="0.2"/>
    <row r="3670" ht="12.75" x14ac:dyDescent="0.2"/>
    <row r="3671" ht="12.75" x14ac:dyDescent="0.2"/>
    <row r="3672" ht="12.75" x14ac:dyDescent="0.2"/>
    <row r="3673" ht="12.75" x14ac:dyDescent="0.2"/>
    <row r="3674" ht="12.75" x14ac:dyDescent="0.2"/>
    <row r="3675" ht="12.75" x14ac:dyDescent="0.2"/>
    <row r="3676" ht="12.75" x14ac:dyDescent="0.2"/>
    <row r="3677" ht="12.75" x14ac:dyDescent="0.2"/>
    <row r="3678" ht="12.75" x14ac:dyDescent="0.2"/>
    <row r="3679" ht="12.75" x14ac:dyDescent="0.2"/>
    <row r="3680" ht="12.75" x14ac:dyDescent="0.2"/>
    <row r="3681" ht="12.75" x14ac:dyDescent="0.2"/>
    <row r="3682" ht="12.75" x14ac:dyDescent="0.2"/>
    <row r="3683" ht="12.75" x14ac:dyDescent="0.2"/>
    <row r="3684" ht="12.75" x14ac:dyDescent="0.2"/>
    <row r="3685" ht="12.75" x14ac:dyDescent="0.2"/>
    <row r="3686" ht="12.75" x14ac:dyDescent="0.2"/>
    <row r="3687" ht="12.75" x14ac:dyDescent="0.2"/>
    <row r="3688" ht="12.75" x14ac:dyDescent="0.2"/>
    <row r="3689" ht="12.75" x14ac:dyDescent="0.2"/>
    <row r="3690" ht="12.75" x14ac:dyDescent="0.2"/>
    <row r="3691" ht="12.75" x14ac:dyDescent="0.2"/>
    <row r="3692" ht="12.75" x14ac:dyDescent="0.2"/>
    <row r="3693" ht="12.75" x14ac:dyDescent="0.2"/>
    <row r="3694" ht="12.75" x14ac:dyDescent="0.2"/>
    <row r="3695" ht="12.75" x14ac:dyDescent="0.2"/>
    <row r="3696" ht="12.75" x14ac:dyDescent="0.2"/>
    <row r="3697" ht="12.75" x14ac:dyDescent="0.2"/>
    <row r="3698" ht="12.75" x14ac:dyDescent="0.2"/>
    <row r="3699" ht="12.75" x14ac:dyDescent="0.2"/>
    <row r="3700" ht="12.75" x14ac:dyDescent="0.2"/>
    <row r="3701" ht="12.75" x14ac:dyDescent="0.2"/>
    <row r="3702" ht="12.75" x14ac:dyDescent="0.2"/>
    <row r="3703" ht="12.75" x14ac:dyDescent="0.2"/>
    <row r="3704" ht="12.75" x14ac:dyDescent="0.2"/>
    <row r="3705" ht="12.75" x14ac:dyDescent="0.2"/>
    <row r="3706" ht="12.75" x14ac:dyDescent="0.2"/>
    <row r="3707" ht="12.75" x14ac:dyDescent="0.2"/>
    <row r="3708" ht="12.75" x14ac:dyDescent="0.2"/>
    <row r="3709" ht="12.75" x14ac:dyDescent="0.2"/>
    <row r="3710" ht="12.75" x14ac:dyDescent="0.2"/>
    <row r="3711" ht="12.75" x14ac:dyDescent="0.2"/>
    <row r="3712" ht="12.75" x14ac:dyDescent="0.2"/>
    <row r="3713" ht="12.75" x14ac:dyDescent="0.2"/>
    <row r="3714" ht="12.75" x14ac:dyDescent="0.2"/>
    <row r="3715" ht="12.75" x14ac:dyDescent="0.2"/>
    <row r="3716" ht="12.75" x14ac:dyDescent="0.2"/>
    <row r="3717" ht="12.75" x14ac:dyDescent="0.2"/>
    <row r="3718" ht="12.75" x14ac:dyDescent="0.2"/>
    <row r="3719" ht="12.75" x14ac:dyDescent="0.2"/>
    <row r="3720" ht="12.75" x14ac:dyDescent="0.2"/>
    <row r="3721" ht="12.75" x14ac:dyDescent="0.2"/>
    <row r="3722" ht="12.75" x14ac:dyDescent="0.2"/>
    <row r="3723" ht="12.75" x14ac:dyDescent="0.2"/>
    <row r="3724" ht="12.75" x14ac:dyDescent="0.2"/>
    <row r="3725" ht="12.75" x14ac:dyDescent="0.2"/>
    <row r="3726" ht="12.75" x14ac:dyDescent="0.2"/>
    <row r="3727" ht="12.75" x14ac:dyDescent="0.2"/>
    <row r="3728" ht="12.75" x14ac:dyDescent="0.2"/>
    <row r="3729" ht="12.75" x14ac:dyDescent="0.2"/>
    <row r="3730" ht="12.75" x14ac:dyDescent="0.2"/>
    <row r="3731" ht="12.75" x14ac:dyDescent="0.2"/>
    <row r="3732" ht="12.75" x14ac:dyDescent="0.2"/>
    <row r="3733" ht="12.75" x14ac:dyDescent="0.2"/>
    <row r="3734" ht="12.75" x14ac:dyDescent="0.2"/>
    <row r="3735" ht="12.75" x14ac:dyDescent="0.2"/>
    <row r="3736" ht="12.75" x14ac:dyDescent="0.2"/>
    <row r="3737" ht="12.75" x14ac:dyDescent="0.2"/>
    <row r="3738" ht="12.75" x14ac:dyDescent="0.2"/>
    <row r="3739" ht="12.75" x14ac:dyDescent="0.2"/>
    <row r="3740" ht="12.75" x14ac:dyDescent="0.2"/>
    <row r="3741" ht="12.75" x14ac:dyDescent="0.2"/>
    <row r="3742" ht="12.75" x14ac:dyDescent="0.2"/>
    <row r="3743" ht="12.75" x14ac:dyDescent="0.2"/>
    <row r="3744" ht="12.75" x14ac:dyDescent="0.2"/>
    <row r="3745" ht="12.75" x14ac:dyDescent="0.2"/>
    <row r="3746" ht="12.75" x14ac:dyDescent="0.2"/>
    <row r="3747" ht="12.75" x14ac:dyDescent="0.2"/>
    <row r="3748" ht="12.75" x14ac:dyDescent="0.2"/>
    <row r="3749" ht="12.75" x14ac:dyDescent="0.2"/>
    <row r="3750" ht="12.75" x14ac:dyDescent="0.2"/>
    <row r="3751" ht="12.75" x14ac:dyDescent="0.2"/>
    <row r="3752" ht="12.75" x14ac:dyDescent="0.2"/>
    <row r="3753" ht="12.75" x14ac:dyDescent="0.2"/>
    <row r="3754" ht="12.75" x14ac:dyDescent="0.2"/>
    <row r="3755" ht="12.75" x14ac:dyDescent="0.2"/>
    <row r="3756" ht="12.75" x14ac:dyDescent="0.2"/>
    <row r="3757" ht="12.75" x14ac:dyDescent="0.2"/>
    <row r="3758" ht="12.75" x14ac:dyDescent="0.2"/>
    <row r="3759" ht="12.75" x14ac:dyDescent="0.2"/>
    <row r="3760" ht="12.75" x14ac:dyDescent="0.2"/>
    <row r="3761" ht="12.75" x14ac:dyDescent="0.2"/>
    <row r="3762" ht="12.75" x14ac:dyDescent="0.2"/>
    <row r="3763" ht="12.75" x14ac:dyDescent="0.2"/>
    <row r="3764" ht="12.75" x14ac:dyDescent="0.2"/>
    <row r="3765" ht="12.75" x14ac:dyDescent="0.2"/>
    <row r="3766" ht="12.75" x14ac:dyDescent="0.2"/>
    <row r="3767" ht="12.75" x14ac:dyDescent="0.2"/>
    <row r="3768" ht="12.75" x14ac:dyDescent="0.2"/>
    <row r="3769" ht="12.75" x14ac:dyDescent="0.2"/>
    <row r="3770" ht="12.75" x14ac:dyDescent="0.2"/>
    <row r="3771" ht="12.75" x14ac:dyDescent="0.2"/>
    <row r="3772" ht="12.75" x14ac:dyDescent="0.2"/>
    <row r="3773" ht="12.75" x14ac:dyDescent="0.2"/>
    <row r="3774" ht="12.75" x14ac:dyDescent="0.2"/>
    <row r="3775" ht="12.75" x14ac:dyDescent="0.2"/>
    <row r="3776" ht="12.75" x14ac:dyDescent="0.2"/>
    <row r="3777" ht="12.75" x14ac:dyDescent="0.2"/>
    <row r="3778" ht="12.75" x14ac:dyDescent="0.2"/>
    <row r="3779" ht="12.75" x14ac:dyDescent="0.2"/>
    <row r="3780" ht="12.75" x14ac:dyDescent="0.2"/>
    <row r="3781" ht="12.75" x14ac:dyDescent="0.2"/>
    <row r="3782" ht="12.75" x14ac:dyDescent="0.2"/>
    <row r="3783" ht="12.75" x14ac:dyDescent="0.2"/>
    <row r="3784" ht="12.75" x14ac:dyDescent="0.2"/>
    <row r="3785" ht="12.75" x14ac:dyDescent="0.2"/>
    <row r="3786" ht="12.75" x14ac:dyDescent="0.2"/>
    <row r="3787" ht="12.75" x14ac:dyDescent="0.2"/>
    <row r="3788" ht="12.75" x14ac:dyDescent="0.2"/>
    <row r="3789" ht="12.75" x14ac:dyDescent="0.2"/>
    <row r="3790" ht="12.75" x14ac:dyDescent="0.2"/>
    <row r="3791" ht="12.75" x14ac:dyDescent="0.2"/>
    <row r="3792" ht="12.75" x14ac:dyDescent="0.2"/>
    <row r="3793" ht="12.75" x14ac:dyDescent="0.2"/>
    <row r="3794" ht="12.75" x14ac:dyDescent="0.2"/>
    <row r="3795" ht="12.75" x14ac:dyDescent="0.2"/>
    <row r="3796" ht="12.75" x14ac:dyDescent="0.2"/>
    <row r="3797" ht="12.75" x14ac:dyDescent="0.2"/>
    <row r="3798" ht="12.75" x14ac:dyDescent="0.2"/>
    <row r="3799" ht="12.75" x14ac:dyDescent="0.2"/>
    <row r="3800" ht="12.75" x14ac:dyDescent="0.2"/>
    <row r="3801" ht="12.75" x14ac:dyDescent="0.2"/>
    <row r="3802" ht="12.75" x14ac:dyDescent="0.2"/>
    <row r="3803" ht="12.75" x14ac:dyDescent="0.2"/>
    <row r="3804" ht="12.75" x14ac:dyDescent="0.2"/>
    <row r="3805" ht="12.75" x14ac:dyDescent="0.2"/>
    <row r="3806" ht="12.75" x14ac:dyDescent="0.2"/>
    <row r="3807" ht="12.75" x14ac:dyDescent="0.2"/>
    <row r="3808" ht="12.75" x14ac:dyDescent="0.2"/>
    <row r="3809" ht="12.75" x14ac:dyDescent="0.2"/>
    <row r="3810" ht="12.75" x14ac:dyDescent="0.2"/>
    <row r="3811" ht="12.75" x14ac:dyDescent="0.2"/>
    <row r="3812" ht="12.75" x14ac:dyDescent="0.2"/>
    <row r="3813" ht="12.75" x14ac:dyDescent="0.2"/>
    <row r="3814" ht="12.75" x14ac:dyDescent="0.2"/>
    <row r="3815" ht="12.75" x14ac:dyDescent="0.2"/>
    <row r="3816" ht="12.75" x14ac:dyDescent="0.2"/>
    <row r="3817" ht="12.75" x14ac:dyDescent="0.2"/>
    <row r="3818" ht="12.75" x14ac:dyDescent="0.2"/>
    <row r="3819" ht="12.75" x14ac:dyDescent="0.2"/>
    <row r="3820" ht="12.75" x14ac:dyDescent="0.2"/>
    <row r="3821" ht="12.75" x14ac:dyDescent="0.2"/>
    <row r="3822" ht="12.75" x14ac:dyDescent="0.2"/>
    <row r="3823" ht="12.75" x14ac:dyDescent="0.2"/>
    <row r="3824" ht="12.75" x14ac:dyDescent="0.2"/>
    <row r="3825" ht="12.75" x14ac:dyDescent="0.2"/>
    <row r="3826" ht="12.75" x14ac:dyDescent="0.2"/>
    <row r="3827" ht="12.75" x14ac:dyDescent="0.2"/>
    <row r="3828" ht="12.75" x14ac:dyDescent="0.2"/>
    <row r="3829" ht="12.75" x14ac:dyDescent="0.2"/>
    <row r="3830" ht="12.75" x14ac:dyDescent="0.2"/>
    <row r="3831" ht="12.75" x14ac:dyDescent="0.2"/>
    <row r="3832" ht="12.75" x14ac:dyDescent="0.2"/>
    <row r="3833" ht="12.75" x14ac:dyDescent="0.2"/>
    <row r="3834" ht="12.75" x14ac:dyDescent="0.2"/>
    <row r="3835" ht="12.75" x14ac:dyDescent="0.2"/>
    <row r="3836" ht="12.75" x14ac:dyDescent="0.2"/>
    <row r="3837" ht="12.75" x14ac:dyDescent="0.2"/>
    <row r="3838" ht="12.75" x14ac:dyDescent="0.2"/>
    <row r="3839" ht="12.75" x14ac:dyDescent="0.2"/>
    <row r="3840" ht="12.75" x14ac:dyDescent="0.2"/>
    <row r="3841" ht="12.75" x14ac:dyDescent="0.2"/>
    <row r="3842" ht="12.75" x14ac:dyDescent="0.2"/>
    <row r="3843" ht="12.75" x14ac:dyDescent="0.2"/>
    <row r="3844" ht="12.75" x14ac:dyDescent="0.2"/>
    <row r="3845" ht="12.75" x14ac:dyDescent="0.2"/>
    <row r="3846" ht="12.75" x14ac:dyDescent="0.2"/>
    <row r="3847" ht="12.75" x14ac:dyDescent="0.2"/>
    <row r="3848" ht="12.75" x14ac:dyDescent="0.2"/>
    <row r="3849" ht="12.75" x14ac:dyDescent="0.2"/>
    <row r="3850" ht="12.75" x14ac:dyDescent="0.2"/>
    <row r="3851" ht="12.75" x14ac:dyDescent="0.2"/>
    <row r="3852" ht="12.75" x14ac:dyDescent="0.2"/>
    <row r="3853" ht="12.75" x14ac:dyDescent="0.2"/>
    <row r="3854" ht="12.75" x14ac:dyDescent="0.2"/>
    <row r="3855" ht="12.75" x14ac:dyDescent="0.2"/>
    <row r="3856" ht="12.75" x14ac:dyDescent="0.2"/>
    <row r="3857" ht="12.75" x14ac:dyDescent="0.2"/>
    <row r="3858" ht="12.75" x14ac:dyDescent="0.2"/>
    <row r="3859" ht="12.75" x14ac:dyDescent="0.2"/>
    <row r="3860" ht="12.75" x14ac:dyDescent="0.2"/>
    <row r="3861" ht="12.75" x14ac:dyDescent="0.2"/>
    <row r="3862" ht="12.75" x14ac:dyDescent="0.2"/>
    <row r="3863" ht="12.75" x14ac:dyDescent="0.2"/>
    <row r="3864" ht="12.75" x14ac:dyDescent="0.2"/>
    <row r="3865" ht="12.75" x14ac:dyDescent="0.2"/>
    <row r="3866" ht="12.75" x14ac:dyDescent="0.2"/>
    <row r="3867" ht="12.75" x14ac:dyDescent="0.2"/>
    <row r="3868" ht="12.75" x14ac:dyDescent="0.2"/>
    <row r="3869" ht="12.75" x14ac:dyDescent="0.2"/>
    <row r="3870" ht="12.75" x14ac:dyDescent="0.2"/>
    <row r="3871" ht="12.75" x14ac:dyDescent="0.2"/>
    <row r="3872" ht="12.75" x14ac:dyDescent="0.2"/>
    <row r="3873" ht="12.75" x14ac:dyDescent="0.2"/>
    <row r="3874" ht="12.75" x14ac:dyDescent="0.2"/>
    <row r="3875" ht="12.75" x14ac:dyDescent="0.2"/>
    <row r="3876" ht="12.75" x14ac:dyDescent="0.2"/>
    <row r="3877" ht="12.75" x14ac:dyDescent="0.2"/>
    <row r="3878" ht="12.75" x14ac:dyDescent="0.2"/>
    <row r="3879" ht="12.75" x14ac:dyDescent="0.2"/>
    <row r="3880" ht="12.75" x14ac:dyDescent="0.2"/>
    <row r="3881" ht="12.75" x14ac:dyDescent="0.2"/>
    <row r="3882" ht="12.75" x14ac:dyDescent="0.2"/>
    <row r="3883" ht="12.75" x14ac:dyDescent="0.2"/>
    <row r="3884" ht="12.75" x14ac:dyDescent="0.2"/>
    <row r="3885" ht="12.75" x14ac:dyDescent="0.2"/>
    <row r="3886" ht="12.75" x14ac:dyDescent="0.2"/>
    <row r="3887" ht="12.75" x14ac:dyDescent="0.2"/>
    <row r="3888" ht="12.75" x14ac:dyDescent="0.2"/>
    <row r="3889" ht="12.75" x14ac:dyDescent="0.2"/>
    <row r="3890" ht="12.75" x14ac:dyDescent="0.2"/>
    <row r="3891" ht="12.75" x14ac:dyDescent="0.2"/>
    <row r="3892" ht="12.75" x14ac:dyDescent="0.2"/>
    <row r="3893" ht="12.75" x14ac:dyDescent="0.2"/>
    <row r="3894" ht="12.75" x14ac:dyDescent="0.2"/>
    <row r="3895" ht="12.75" x14ac:dyDescent="0.2"/>
    <row r="3896" ht="12.75" x14ac:dyDescent="0.2"/>
    <row r="3897" ht="12.75" x14ac:dyDescent="0.2"/>
    <row r="3898" ht="12.75" x14ac:dyDescent="0.2"/>
    <row r="3899" ht="12.75" x14ac:dyDescent="0.2"/>
    <row r="3900" ht="12.75" x14ac:dyDescent="0.2"/>
    <row r="3901" ht="12.75" x14ac:dyDescent="0.2"/>
    <row r="3902" ht="12.75" x14ac:dyDescent="0.2"/>
    <row r="3903" ht="12.75" x14ac:dyDescent="0.2"/>
    <row r="3904" ht="12.75" x14ac:dyDescent="0.2"/>
    <row r="3905" ht="12.75" x14ac:dyDescent="0.2"/>
    <row r="3906" ht="12.75" x14ac:dyDescent="0.2"/>
    <row r="3907" ht="12.75" x14ac:dyDescent="0.2"/>
    <row r="3908" ht="12.75" x14ac:dyDescent="0.2"/>
    <row r="3909" ht="12.75" x14ac:dyDescent="0.2"/>
    <row r="3910" ht="12.75" x14ac:dyDescent="0.2"/>
    <row r="3911" ht="12.75" x14ac:dyDescent="0.2"/>
    <row r="3912" ht="12.75" x14ac:dyDescent="0.2"/>
    <row r="3913" ht="12.75" x14ac:dyDescent="0.2"/>
    <row r="3914" ht="12.75" x14ac:dyDescent="0.2"/>
    <row r="3915" ht="12.75" x14ac:dyDescent="0.2"/>
    <row r="3916" ht="12.75" x14ac:dyDescent="0.2"/>
    <row r="3917" ht="12.75" x14ac:dyDescent="0.2"/>
    <row r="3918" ht="12.75" x14ac:dyDescent="0.2"/>
    <row r="3919" ht="12.75" x14ac:dyDescent="0.2"/>
    <row r="3920" ht="12.75" x14ac:dyDescent="0.2"/>
    <row r="3921" ht="12.75" x14ac:dyDescent="0.2"/>
    <row r="3922" ht="12.75" x14ac:dyDescent="0.2"/>
    <row r="3923" ht="12.75" x14ac:dyDescent="0.2"/>
    <row r="3924" ht="12.75" x14ac:dyDescent="0.2"/>
    <row r="3925" ht="12.75" x14ac:dyDescent="0.2"/>
    <row r="3926" ht="12.75" x14ac:dyDescent="0.2"/>
    <row r="3927" ht="12.75" x14ac:dyDescent="0.2"/>
    <row r="3928" ht="12.75" x14ac:dyDescent="0.2"/>
    <row r="3929" ht="12.75" x14ac:dyDescent="0.2"/>
    <row r="3930" ht="12.75" x14ac:dyDescent="0.2"/>
    <row r="3931" ht="12.75" x14ac:dyDescent="0.2"/>
    <row r="3932" ht="12.75" x14ac:dyDescent="0.2"/>
    <row r="3933" ht="12.75" x14ac:dyDescent="0.2"/>
    <row r="3934" ht="12.75" x14ac:dyDescent="0.2"/>
    <row r="3935" ht="12.75" x14ac:dyDescent="0.2"/>
    <row r="3936" ht="12.75" x14ac:dyDescent="0.2"/>
    <row r="3937" ht="12.75" x14ac:dyDescent="0.2"/>
    <row r="3938" ht="12.75" x14ac:dyDescent="0.2"/>
    <row r="3939" ht="12.75" x14ac:dyDescent="0.2"/>
    <row r="3940" ht="12.75" x14ac:dyDescent="0.2"/>
    <row r="3941" ht="12.75" x14ac:dyDescent="0.2"/>
    <row r="3942" ht="12.75" x14ac:dyDescent="0.2"/>
    <row r="3943" ht="12.75" x14ac:dyDescent="0.2"/>
    <row r="3944" ht="12.75" x14ac:dyDescent="0.2"/>
    <row r="3945" ht="12.75" x14ac:dyDescent="0.2"/>
    <row r="3946" ht="12.75" x14ac:dyDescent="0.2"/>
    <row r="3947" ht="12.75" x14ac:dyDescent="0.2"/>
    <row r="3948" ht="12.75" x14ac:dyDescent="0.2"/>
    <row r="3949" ht="12.75" x14ac:dyDescent="0.2"/>
    <row r="3950" ht="12.75" x14ac:dyDescent="0.2"/>
    <row r="3951" ht="12.75" x14ac:dyDescent="0.2"/>
    <row r="3952" ht="12.75" x14ac:dyDescent="0.2"/>
    <row r="3953" ht="12.75" x14ac:dyDescent="0.2"/>
    <row r="3954" ht="12.75" x14ac:dyDescent="0.2"/>
    <row r="3955" ht="12.75" x14ac:dyDescent="0.2"/>
    <row r="3956" ht="12.75" x14ac:dyDescent="0.2"/>
    <row r="3957" ht="12.75" x14ac:dyDescent="0.2"/>
    <row r="3958" ht="12.75" x14ac:dyDescent="0.2"/>
    <row r="3959" ht="12.75" x14ac:dyDescent="0.2"/>
    <row r="3960" ht="12.75" x14ac:dyDescent="0.2"/>
    <row r="3961" ht="12.75" x14ac:dyDescent="0.2"/>
    <row r="3962" ht="12.75" x14ac:dyDescent="0.2"/>
    <row r="3963" ht="12.75" x14ac:dyDescent="0.2"/>
    <row r="3964" ht="12.75" x14ac:dyDescent="0.2"/>
    <row r="3965" ht="12.75" x14ac:dyDescent="0.2"/>
    <row r="3966" ht="12.75" x14ac:dyDescent="0.2"/>
    <row r="3967" ht="12.75" x14ac:dyDescent="0.2"/>
    <row r="3968" ht="12.75" x14ac:dyDescent="0.2"/>
    <row r="3969" ht="12.75" x14ac:dyDescent="0.2"/>
    <row r="3970" ht="12.75" x14ac:dyDescent="0.2"/>
    <row r="3971" ht="12.75" x14ac:dyDescent="0.2"/>
    <row r="3972" ht="12.75" x14ac:dyDescent="0.2"/>
    <row r="3973" ht="12.75" x14ac:dyDescent="0.2"/>
    <row r="3974" ht="12.75" x14ac:dyDescent="0.2"/>
    <row r="3975" ht="12.75" x14ac:dyDescent="0.2"/>
    <row r="3976" ht="12.75" x14ac:dyDescent="0.2"/>
    <row r="3977" ht="12.75" x14ac:dyDescent="0.2"/>
    <row r="3978" ht="12.75" x14ac:dyDescent="0.2"/>
    <row r="3979" ht="12.75" x14ac:dyDescent="0.2"/>
    <row r="3980" ht="12.75" x14ac:dyDescent="0.2"/>
    <row r="3981" ht="12.75" x14ac:dyDescent="0.2"/>
    <row r="3982" ht="12.75" x14ac:dyDescent="0.2"/>
    <row r="3983" ht="12.75" x14ac:dyDescent="0.2"/>
    <row r="3984" ht="12.75" x14ac:dyDescent="0.2"/>
    <row r="3985" ht="12.75" x14ac:dyDescent="0.2"/>
    <row r="3986" ht="12.75" x14ac:dyDescent="0.2"/>
    <row r="3987" ht="12.75" x14ac:dyDescent="0.2"/>
    <row r="3988" ht="12.75" x14ac:dyDescent="0.2"/>
    <row r="3989" ht="12.75" x14ac:dyDescent="0.2"/>
    <row r="3990" ht="12.75" x14ac:dyDescent="0.2"/>
    <row r="3991" ht="12.75" x14ac:dyDescent="0.2"/>
    <row r="3992" ht="12.75" x14ac:dyDescent="0.2"/>
    <row r="3993" ht="12.75" x14ac:dyDescent="0.2"/>
    <row r="3994" ht="12.75" x14ac:dyDescent="0.2"/>
    <row r="3995" ht="12.75" x14ac:dyDescent="0.2"/>
    <row r="3996" ht="12.75" x14ac:dyDescent="0.2"/>
    <row r="3997" ht="12.75" x14ac:dyDescent="0.2"/>
    <row r="3998" ht="12.75" x14ac:dyDescent="0.2"/>
    <row r="3999" ht="12.75" x14ac:dyDescent="0.2"/>
    <row r="4000" ht="12.75" x14ac:dyDescent="0.2"/>
    <row r="4001" ht="12.75" x14ac:dyDescent="0.2"/>
    <row r="4002" ht="12.75" x14ac:dyDescent="0.2"/>
    <row r="4003" ht="12.75" x14ac:dyDescent="0.2"/>
    <row r="4004" ht="12.75" x14ac:dyDescent="0.2"/>
    <row r="4005" ht="12.75" x14ac:dyDescent="0.2"/>
    <row r="4006" ht="12.75" x14ac:dyDescent="0.2"/>
    <row r="4007" ht="12.75" x14ac:dyDescent="0.2"/>
    <row r="4008" ht="12.75" x14ac:dyDescent="0.2"/>
    <row r="4009" ht="12.75" x14ac:dyDescent="0.2"/>
    <row r="4010" ht="12.75" x14ac:dyDescent="0.2"/>
    <row r="4011" ht="12.75" x14ac:dyDescent="0.2"/>
    <row r="4012" ht="12.75" x14ac:dyDescent="0.2"/>
    <row r="4013" ht="12.75" x14ac:dyDescent="0.2"/>
    <row r="4014" ht="12.75" x14ac:dyDescent="0.2"/>
    <row r="4015" ht="12.75" x14ac:dyDescent="0.2"/>
    <row r="4016" ht="12.75" x14ac:dyDescent="0.2"/>
    <row r="4017" ht="12.75" x14ac:dyDescent="0.2"/>
    <row r="4018" ht="12.75" x14ac:dyDescent="0.2"/>
    <row r="4019" ht="12.75" x14ac:dyDescent="0.2"/>
    <row r="4020" ht="12.75" x14ac:dyDescent="0.2"/>
    <row r="4021" ht="12.75" x14ac:dyDescent="0.2"/>
    <row r="4022" ht="12.75" x14ac:dyDescent="0.2"/>
    <row r="4023" ht="12.75" x14ac:dyDescent="0.2"/>
    <row r="4024" ht="12.75" x14ac:dyDescent="0.2"/>
    <row r="4025" ht="12.75" x14ac:dyDescent="0.2"/>
    <row r="4026" ht="12.75" x14ac:dyDescent="0.2"/>
    <row r="4027" ht="12.75" x14ac:dyDescent="0.2"/>
    <row r="4028" ht="12.75" x14ac:dyDescent="0.2"/>
    <row r="4029" ht="12.75" x14ac:dyDescent="0.2"/>
    <row r="4030" ht="12.75" x14ac:dyDescent="0.2"/>
    <row r="4031" ht="12.75" x14ac:dyDescent="0.2"/>
    <row r="4032" ht="12.75" x14ac:dyDescent="0.2"/>
    <row r="4033" ht="12.75" x14ac:dyDescent="0.2"/>
    <row r="4034" ht="12.75" x14ac:dyDescent="0.2"/>
    <row r="4035" ht="12.75" x14ac:dyDescent="0.2"/>
    <row r="4036" ht="12.75" x14ac:dyDescent="0.2"/>
    <row r="4037" ht="12.75" x14ac:dyDescent="0.2"/>
    <row r="4038" ht="12.75" x14ac:dyDescent="0.2"/>
    <row r="4039" ht="12.75" x14ac:dyDescent="0.2"/>
    <row r="4040" ht="12.75" x14ac:dyDescent="0.2"/>
    <row r="4041" ht="12.75" x14ac:dyDescent="0.2"/>
    <row r="4042" ht="12.75" x14ac:dyDescent="0.2"/>
    <row r="4043" ht="12.75" x14ac:dyDescent="0.2"/>
    <row r="4044" ht="12.75" x14ac:dyDescent="0.2"/>
    <row r="4045" ht="12.75" x14ac:dyDescent="0.2"/>
    <row r="4046" ht="12.75" x14ac:dyDescent="0.2"/>
    <row r="4047" ht="12.75" x14ac:dyDescent="0.2"/>
    <row r="4048" ht="12.75" x14ac:dyDescent="0.2"/>
    <row r="4049" ht="12.75" x14ac:dyDescent="0.2"/>
    <row r="4050" ht="12.75" x14ac:dyDescent="0.2"/>
    <row r="4051" ht="12.75" x14ac:dyDescent="0.2"/>
    <row r="4052" ht="12.75" x14ac:dyDescent="0.2"/>
    <row r="4053" ht="12.75" x14ac:dyDescent="0.2"/>
    <row r="4054" ht="12.75" x14ac:dyDescent="0.2"/>
    <row r="4055" ht="12.75" x14ac:dyDescent="0.2"/>
    <row r="4056" ht="12.75" x14ac:dyDescent="0.2"/>
    <row r="4057" ht="12.75" x14ac:dyDescent="0.2"/>
    <row r="4058" ht="12.75" x14ac:dyDescent="0.2"/>
    <row r="4059" ht="12.75" x14ac:dyDescent="0.2"/>
    <row r="4060" ht="12.75" x14ac:dyDescent="0.2"/>
    <row r="4061" ht="12.75" x14ac:dyDescent="0.2"/>
    <row r="4062" ht="12.75" x14ac:dyDescent="0.2"/>
    <row r="4063" ht="12.75" x14ac:dyDescent="0.2"/>
    <row r="4064" ht="12.75" x14ac:dyDescent="0.2"/>
    <row r="4065" ht="12.75" x14ac:dyDescent="0.2"/>
    <row r="4066" ht="12.75" x14ac:dyDescent="0.2"/>
    <row r="4067" ht="12.75" x14ac:dyDescent="0.2"/>
    <row r="4068" ht="12.75" x14ac:dyDescent="0.2"/>
    <row r="4069" ht="12.75" x14ac:dyDescent="0.2"/>
    <row r="4070" ht="12.75" x14ac:dyDescent="0.2"/>
    <row r="4071" ht="12.75" x14ac:dyDescent="0.2"/>
    <row r="4072" ht="12.75" x14ac:dyDescent="0.2"/>
    <row r="4073" ht="12.75" x14ac:dyDescent="0.2"/>
    <row r="4074" ht="12.75" x14ac:dyDescent="0.2"/>
    <row r="4075" ht="12.75" x14ac:dyDescent="0.2"/>
    <row r="4076" ht="12.75" x14ac:dyDescent="0.2"/>
    <row r="4077" ht="12.75" x14ac:dyDescent="0.2"/>
    <row r="4078" ht="12.75" x14ac:dyDescent="0.2"/>
    <row r="4079" ht="12.75" x14ac:dyDescent="0.2"/>
    <row r="4080" ht="12.75" x14ac:dyDescent="0.2"/>
    <row r="4081" ht="12.75" x14ac:dyDescent="0.2"/>
    <row r="4082" ht="12.75" x14ac:dyDescent="0.2"/>
    <row r="4083" ht="12.75" x14ac:dyDescent="0.2"/>
    <row r="4084" ht="12.75" x14ac:dyDescent="0.2"/>
    <row r="4085" ht="12.75" x14ac:dyDescent="0.2"/>
    <row r="4086" ht="12.75" x14ac:dyDescent="0.2"/>
    <row r="4087" ht="12.75" x14ac:dyDescent="0.2"/>
    <row r="4088" ht="12.75" x14ac:dyDescent="0.2"/>
    <row r="4089" ht="12.75" x14ac:dyDescent="0.2"/>
    <row r="4090" ht="12.75" x14ac:dyDescent="0.2"/>
    <row r="4091" ht="12.75" x14ac:dyDescent="0.2"/>
    <row r="4092" ht="12.75" x14ac:dyDescent="0.2"/>
    <row r="4093" ht="12.75" x14ac:dyDescent="0.2"/>
    <row r="4094" ht="12.75" x14ac:dyDescent="0.2"/>
    <row r="4095" ht="12.75" x14ac:dyDescent="0.2"/>
    <row r="4096" ht="12.75" x14ac:dyDescent="0.2"/>
    <row r="4097" ht="12.75" x14ac:dyDescent="0.2"/>
    <row r="4098" ht="12.75" x14ac:dyDescent="0.2"/>
    <row r="4099" ht="12.75" x14ac:dyDescent="0.2"/>
    <row r="4100" ht="12.75" x14ac:dyDescent="0.2"/>
    <row r="4101" ht="12.75" x14ac:dyDescent="0.2"/>
    <row r="4102" ht="12.75" x14ac:dyDescent="0.2"/>
    <row r="4103" ht="12.75" x14ac:dyDescent="0.2"/>
    <row r="4104" ht="12.75" x14ac:dyDescent="0.2"/>
    <row r="4105" ht="12.75" x14ac:dyDescent="0.2"/>
    <row r="4106" ht="12.75" x14ac:dyDescent="0.2"/>
    <row r="4107" ht="12.75" x14ac:dyDescent="0.2"/>
    <row r="4108" ht="12.75" x14ac:dyDescent="0.2"/>
    <row r="4109" ht="12.75" x14ac:dyDescent="0.2"/>
    <row r="4110" ht="12.75" x14ac:dyDescent="0.2"/>
    <row r="4111" ht="12.75" x14ac:dyDescent="0.2"/>
    <row r="4112" ht="12.75" x14ac:dyDescent="0.2"/>
    <row r="4113" ht="12.75" x14ac:dyDescent="0.2"/>
    <row r="4114" ht="12.75" x14ac:dyDescent="0.2"/>
    <row r="4115" ht="12.75" x14ac:dyDescent="0.2"/>
    <row r="4116" ht="12.75" x14ac:dyDescent="0.2"/>
    <row r="4117" ht="12.75" x14ac:dyDescent="0.2"/>
    <row r="4118" ht="12.75" x14ac:dyDescent="0.2"/>
    <row r="4119" ht="12.75" x14ac:dyDescent="0.2"/>
    <row r="4120" ht="12.75" x14ac:dyDescent="0.2"/>
    <row r="4121" ht="12.75" x14ac:dyDescent="0.2"/>
    <row r="4122" ht="12.75" x14ac:dyDescent="0.2"/>
    <row r="4123" ht="12.75" x14ac:dyDescent="0.2"/>
    <row r="4124" ht="12.75" x14ac:dyDescent="0.2"/>
    <row r="4125" ht="12.75" x14ac:dyDescent="0.2"/>
    <row r="4126" ht="12.75" x14ac:dyDescent="0.2"/>
    <row r="4127" ht="12.75" x14ac:dyDescent="0.2"/>
    <row r="4128" ht="12.75" x14ac:dyDescent="0.2"/>
    <row r="4129" ht="12.75" x14ac:dyDescent="0.2"/>
    <row r="4130" ht="12.75" x14ac:dyDescent="0.2"/>
    <row r="4131" ht="12.75" x14ac:dyDescent="0.2"/>
    <row r="4132" ht="12.75" x14ac:dyDescent="0.2"/>
    <row r="4133" ht="12.75" x14ac:dyDescent="0.2"/>
    <row r="4134" ht="12.75" x14ac:dyDescent="0.2"/>
    <row r="4135" ht="12.75" x14ac:dyDescent="0.2"/>
    <row r="4136" ht="12.75" x14ac:dyDescent="0.2"/>
    <row r="4137" ht="12.75" x14ac:dyDescent="0.2"/>
    <row r="4138" ht="12.75" x14ac:dyDescent="0.2"/>
    <row r="4139" ht="12.75" x14ac:dyDescent="0.2"/>
    <row r="4140" ht="12.75" x14ac:dyDescent="0.2"/>
    <row r="4141" ht="12.75" x14ac:dyDescent="0.2"/>
    <row r="4142" ht="12.75" x14ac:dyDescent="0.2"/>
    <row r="4143" ht="12.75" x14ac:dyDescent="0.2"/>
    <row r="4144" ht="12.75" x14ac:dyDescent="0.2"/>
    <row r="4145" ht="12.75" x14ac:dyDescent="0.2"/>
    <row r="4146" ht="12.75" x14ac:dyDescent="0.2"/>
    <row r="4147" ht="12.75" x14ac:dyDescent="0.2"/>
    <row r="4148" ht="12.75" x14ac:dyDescent="0.2"/>
    <row r="4149" ht="12.75" x14ac:dyDescent="0.2"/>
    <row r="4150" ht="12.75" x14ac:dyDescent="0.2"/>
    <row r="4151" ht="12.75" x14ac:dyDescent="0.2"/>
    <row r="4152" ht="12.75" x14ac:dyDescent="0.2"/>
    <row r="4153" ht="12.75" x14ac:dyDescent="0.2"/>
    <row r="4154" ht="12.75" x14ac:dyDescent="0.2"/>
    <row r="4155" ht="12.75" x14ac:dyDescent="0.2"/>
    <row r="4156" ht="12.75" x14ac:dyDescent="0.2"/>
    <row r="4157" ht="12.75" x14ac:dyDescent="0.2"/>
    <row r="4158" ht="12.75" x14ac:dyDescent="0.2"/>
    <row r="4159" ht="12.75" x14ac:dyDescent="0.2"/>
    <row r="4160" ht="12.75" x14ac:dyDescent="0.2"/>
    <row r="4161" ht="12.75" x14ac:dyDescent="0.2"/>
    <row r="4162" ht="12.75" x14ac:dyDescent="0.2"/>
    <row r="4163" ht="12.75" x14ac:dyDescent="0.2"/>
    <row r="4164" ht="12.75" x14ac:dyDescent="0.2"/>
    <row r="4165" ht="12.75" x14ac:dyDescent="0.2"/>
    <row r="4166" ht="12.75" x14ac:dyDescent="0.2"/>
    <row r="4167" ht="12.75" x14ac:dyDescent="0.2"/>
    <row r="4168" ht="12.75" x14ac:dyDescent="0.2"/>
    <row r="4169" ht="12.75" x14ac:dyDescent="0.2"/>
    <row r="4170" ht="12.75" x14ac:dyDescent="0.2"/>
    <row r="4171" ht="12.75" x14ac:dyDescent="0.2"/>
    <row r="4172" ht="12.75" x14ac:dyDescent="0.2"/>
    <row r="4173" ht="12.75" x14ac:dyDescent="0.2"/>
    <row r="4174" ht="12.75" x14ac:dyDescent="0.2"/>
    <row r="4175" ht="12.75" x14ac:dyDescent="0.2"/>
    <row r="4176" ht="12.75" x14ac:dyDescent="0.2"/>
    <row r="4177" ht="12.75" x14ac:dyDescent="0.2"/>
    <row r="4178" ht="12.75" x14ac:dyDescent="0.2"/>
    <row r="4179" ht="12.75" x14ac:dyDescent="0.2"/>
    <row r="4180" ht="12.75" x14ac:dyDescent="0.2"/>
    <row r="4181" ht="12.75" x14ac:dyDescent="0.2"/>
    <row r="4182" ht="12.75" x14ac:dyDescent="0.2"/>
    <row r="4183" ht="12.75" x14ac:dyDescent="0.2"/>
    <row r="4184" ht="12.75" x14ac:dyDescent="0.2"/>
    <row r="4185" ht="12.75" x14ac:dyDescent="0.2"/>
    <row r="4186" ht="12.75" x14ac:dyDescent="0.2"/>
    <row r="4187" ht="12.75" x14ac:dyDescent="0.2"/>
    <row r="4188" ht="12.75" x14ac:dyDescent="0.2"/>
    <row r="4189" ht="12.75" x14ac:dyDescent="0.2"/>
    <row r="4190" ht="12.75" x14ac:dyDescent="0.2"/>
    <row r="4191" ht="12.75" x14ac:dyDescent="0.2"/>
    <row r="4192" ht="12.75" x14ac:dyDescent="0.2"/>
    <row r="4193" ht="12.75" x14ac:dyDescent="0.2"/>
    <row r="4194" ht="12.75" x14ac:dyDescent="0.2"/>
    <row r="4195" ht="12.75" x14ac:dyDescent="0.2"/>
    <row r="4196" ht="12.75" x14ac:dyDescent="0.2"/>
    <row r="4197" ht="12.75" x14ac:dyDescent="0.2"/>
    <row r="4198" ht="12.75" x14ac:dyDescent="0.2"/>
    <row r="4199" ht="12.75" x14ac:dyDescent="0.2"/>
    <row r="4200" ht="12.75" x14ac:dyDescent="0.2"/>
    <row r="4201" ht="12.75" x14ac:dyDescent="0.2"/>
    <row r="4202" ht="12.75" x14ac:dyDescent="0.2"/>
    <row r="4203" ht="12.75" x14ac:dyDescent="0.2"/>
    <row r="4204" ht="12.75" x14ac:dyDescent="0.2"/>
    <row r="4205" ht="12.75" x14ac:dyDescent="0.2"/>
    <row r="4206" ht="12.75" x14ac:dyDescent="0.2"/>
    <row r="4207" ht="12.75" x14ac:dyDescent="0.2"/>
    <row r="4208" ht="12.75" x14ac:dyDescent="0.2"/>
    <row r="4209" ht="12.75" x14ac:dyDescent="0.2"/>
    <row r="4210" ht="12.75" x14ac:dyDescent="0.2"/>
    <row r="4211" ht="12.75" x14ac:dyDescent="0.2"/>
    <row r="4212" ht="12.75" x14ac:dyDescent="0.2"/>
    <row r="4213" ht="12.75" x14ac:dyDescent="0.2"/>
    <row r="4214" ht="12.75" x14ac:dyDescent="0.2"/>
    <row r="4215" ht="12.75" x14ac:dyDescent="0.2"/>
    <row r="4216" ht="12.75" x14ac:dyDescent="0.2"/>
    <row r="4217" ht="12.75" x14ac:dyDescent="0.2"/>
    <row r="4218" ht="12.75" x14ac:dyDescent="0.2"/>
    <row r="4219" ht="12.75" x14ac:dyDescent="0.2"/>
    <row r="4220" ht="12.75" x14ac:dyDescent="0.2"/>
    <row r="4221" ht="12.75" x14ac:dyDescent="0.2"/>
    <row r="4222" ht="12.75" x14ac:dyDescent="0.2"/>
    <row r="4223" ht="12.75" x14ac:dyDescent="0.2"/>
    <row r="4224" ht="12.75" x14ac:dyDescent="0.2"/>
    <row r="4225" ht="12.75" x14ac:dyDescent="0.2"/>
    <row r="4226" ht="12.75" x14ac:dyDescent="0.2"/>
    <row r="4227" ht="12.75" x14ac:dyDescent="0.2"/>
    <row r="4228" ht="12.75" x14ac:dyDescent="0.2"/>
    <row r="4229" ht="12.75" x14ac:dyDescent="0.2"/>
    <row r="4230" ht="12.75" x14ac:dyDescent="0.2"/>
    <row r="4231" ht="12.75" x14ac:dyDescent="0.2"/>
    <row r="4232" ht="12.75" x14ac:dyDescent="0.2"/>
    <row r="4233" ht="12.75" x14ac:dyDescent="0.2"/>
    <row r="4234" ht="12.75" x14ac:dyDescent="0.2"/>
    <row r="4235" ht="12.75" x14ac:dyDescent="0.2"/>
    <row r="4236" ht="12.75" x14ac:dyDescent="0.2"/>
    <row r="4237" ht="12.75" x14ac:dyDescent="0.2"/>
    <row r="4238" ht="12.75" x14ac:dyDescent="0.2"/>
    <row r="4239" ht="12.75" x14ac:dyDescent="0.2"/>
    <row r="4240" ht="12.75" x14ac:dyDescent="0.2"/>
    <row r="4241" ht="12.75" x14ac:dyDescent="0.2"/>
    <row r="4242" ht="12.75" x14ac:dyDescent="0.2"/>
    <row r="4243" ht="12.75" x14ac:dyDescent="0.2"/>
    <row r="4244" ht="12.75" x14ac:dyDescent="0.2"/>
    <row r="4245" ht="12.75" x14ac:dyDescent="0.2"/>
    <row r="4246" ht="12.75" x14ac:dyDescent="0.2"/>
    <row r="4247" ht="12.75" x14ac:dyDescent="0.2"/>
    <row r="4248" ht="12.75" x14ac:dyDescent="0.2"/>
    <row r="4249" ht="12.75" x14ac:dyDescent="0.2"/>
    <row r="4250" ht="12.75" x14ac:dyDescent="0.2"/>
    <row r="4251" ht="12.75" x14ac:dyDescent="0.2"/>
    <row r="4252" ht="12.75" x14ac:dyDescent="0.2"/>
    <row r="4253" ht="12.75" x14ac:dyDescent="0.2"/>
    <row r="4254" ht="12.75" x14ac:dyDescent="0.2"/>
    <row r="4255" ht="12.75" x14ac:dyDescent="0.2"/>
    <row r="4256" ht="12.75" x14ac:dyDescent="0.2"/>
    <row r="4257" ht="12.75" x14ac:dyDescent="0.2"/>
    <row r="4258" ht="12.75" x14ac:dyDescent="0.2"/>
    <row r="4259" ht="12.75" x14ac:dyDescent="0.2"/>
    <row r="4260" ht="12.75" x14ac:dyDescent="0.2"/>
    <row r="4261" ht="12.75" x14ac:dyDescent="0.2"/>
    <row r="4262" ht="12.75" x14ac:dyDescent="0.2"/>
    <row r="4263" ht="12.75" x14ac:dyDescent="0.2"/>
    <row r="4264" ht="12.75" x14ac:dyDescent="0.2"/>
    <row r="4265" ht="12.75" x14ac:dyDescent="0.2"/>
    <row r="4266" ht="12.75" x14ac:dyDescent="0.2"/>
    <row r="4267" ht="12.75" x14ac:dyDescent="0.2"/>
    <row r="4268" ht="12.75" x14ac:dyDescent="0.2"/>
    <row r="4269" ht="12.75" x14ac:dyDescent="0.2"/>
    <row r="4270" ht="12.75" x14ac:dyDescent="0.2"/>
    <row r="4271" ht="12.75" x14ac:dyDescent="0.2"/>
    <row r="4272" ht="12.75" x14ac:dyDescent="0.2"/>
    <row r="4273" ht="12.75" x14ac:dyDescent="0.2"/>
    <row r="4274" ht="12.75" x14ac:dyDescent="0.2"/>
    <row r="4275" ht="12.75" x14ac:dyDescent="0.2"/>
    <row r="4276" ht="12.75" x14ac:dyDescent="0.2"/>
    <row r="4277" ht="12.75" x14ac:dyDescent="0.2"/>
    <row r="4278" ht="12.75" x14ac:dyDescent="0.2"/>
    <row r="4279" ht="12.75" x14ac:dyDescent="0.2"/>
    <row r="4280" ht="12.75" x14ac:dyDescent="0.2"/>
    <row r="4281" ht="12.75" x14ac:dyDescent="0.2"/>
    <row r="4282" ht="12.75" x14ac:dyDescent="0.2"/>
    <row r="4283" ht="12.75" x14ac:dyDescent="0.2"/>
    <row r="4284" ht="12.75" x14ac:dyDescent="0.2"/>
    <row r="4285" ht="12.75" x14ac:dyDescent="0.2"/>
    <row r="4286" ht="12.75" x14ac:dyDescent="0.2"/>
    <row r="4287" ht="12.75" x14ac:dyDescent="0.2"/>
    <row r="4288" ht="12.75" x14ac:dyDescent="0.2"/>
    <row r="4289" ht="12.75" x14ac:dyDescent="0.2"/>
    <row r="4290" ht="12.75" x14ac:dyDescent="0.2"/>
    <row r="4291" ht="12.75" x14ac:dyDescent="0.2"/>
    <row r="4292" ht="12.75" x14ac:dyDescent="0.2"/>
    <row r="4293" ht="12.75" x14ac:dyDescent="0.2"/>
    <row r="4294" ht="12.75" x14ac:dyDescent="0.2"/>
    <row r="4295" ht="12.75" x14ac:dyDescent="0.2"/>
    <row r="4296" ht="12.75" x14ac:dyDescent="0.2"/>
    <row r="4297" ht="12.75" x14ac:dyDescent="0.2"/>
    <row r="4298" ht="12.75" x14ac:dyDescent="0.2"/>
    <row r="4299" ht="12.75" x14ac:dyDescent="0.2"/>
    <row r="4300" ht="12.75" x14ac:dyDescent="0.2"/>
    <row r="4301" ht="12.75" x14ac:dyDescent="0.2"/>
    <row r="4302" ht="12.75" x14ac:dyDescent="0.2"/>
    <row r="4303" ht="12.75" x14ac:dyDescent="0.2"/>
    <row r="4304" ht="12.75" x14ac:dyDescent="0.2"/>
    <row r="4305" ht="12.75" x14ac:dyDescent="0.2"/>
    <row r="4306" ht="12.75" x14ac:dyDescent="0.2"/>
    <row r="4307" ht="12.75" x14ac:dyDescent="0.2"/>
    <row r="4308" ht="12.75" x14ac:dyDescent="0.2"/>
    <row r="4309" ht="12.75" x14ac:dyDescent="0.2"/>
    <row r="4310" ht="12.75" x14ac:dyDescent="0.2"/>
    <row r="4311" ht="12.75" x14ac:dyDescent="0.2"/>
    <row r="4312" ht="12.75" x14ac:dyDescent="0.2"/>
    <row r="4313" ht="12.75" x14ac:dyDescent="0.2"/>
    <row r="4314" ht="12.75" x14ac:dyDescent="0.2"/>
    <row r="4315" ht="12.75" x14ac:dyDescent="0.2"/>
    <row r="4316" ht="12.75" x14ac:dyDescent="0.2"/>
    <row r="4317" ht="12.75" x14ac:dyDescent="0.2"/>
    <row r="4318" ht="12.75" x14ac:dyDescent="0.2"/>
    <row r="4319" ht="12.75" x14ac:dyDescent="0.2"/>
    <row r="4320" ht="12.75" x14ac:dyDescent="0.2"/>
    <row r="4321" ht="12.75" x14ac:dyDescent="0.2"/>
    <row r="4322" ht="12.75" x14ac:dyDescent="0.2"/>
    <row r="4323" ht="12.75" x14ac:dyDescent="0.2"/>
    <row r="4324" ht="12.75" x14ac:dyDescent="0.2"/>
    <row r="4325" ht="12.75" x14ac:dyDescent="0.2"/>
    <row r="4326" ht="12.75" x14ac:dyDescent="0.2"/>
    <row r="4327" ht="12.75" x14ac:dyDescent="0.2"/>
    <row r="4328" ht="12.75" x14ac:dyDescent="0.2"/>
    <row r="4329" ht="12.75" x14ac:dyDescent="0.2"/>
    <row r="4330" ht="12.75" x14ac:dyDescent="0.2"/>
    <row r="4331" ht="12.75" x14ac:dyDescent="0.2"/>
    <row r="4332" ht="12.75" x14ac:dyDescent="0.2"/>
    <row r="4333" ht="12.75" x14ac:dyDescent="0.2"/>
    <row r="4334" ht="12.75" x14ac:dyDescent="0.2"/>
    <row r="4335" ht="12.75" x14ac:dyDescent="0.2"/>
    <row r="4336" ht="12.75" x14ac:dyDescent="0.2"/>
    <row r="4337" ht="12.75" x14ac:dyDescent="0.2"/>
    <row r="4338" ht="12.75" x14ac:dyDescent="0.2"/>
    <row r="4339" ht="12.75" x14ac:dyDescent="0.2"/>
    <row r="4340" ht="12.75" x14ac:dyDescent="0.2"/>
    <row r="4341" ht="12.75" x14ac:dyDescent="0.2"/>
    <row r="4342" ht="12.75" x14ac:dyDescent="0.2"/>
    <row r="4343" ht="12.75" x14ac:dyDescent="0.2"/>
    <row r="4344" ht="12.75" x14ac:dyDescent="0.2"/>
    <row r="4345" ht="12.75" x14ac:dyDescent="0.2"/>
    <row r="4346" ht="12.75" x14ac:dyDescent="0.2"/>
    <row r="4347" ht="12.75" x14ac:dyDescent="0.2"/>
    <row r="4348" ht="12.75" x14ac:dyDescent="0.2"/>
    <row r="4349" ht="12.75" x14ac:dyDescent="0.2"/>
    <row r="4350" ht="12.75" x14ac:dyDescent="0.2"/>
    <row r="4351" ht="12.75" x14ac:dyDescent="0.2"/>
    <row r="4352" ht="12.75" x14ac:dyDescent="0.2"/>
    <row r="4353" ht="12.75" x14ac:dyDescent="0.2"/>
    <row r="4354" ht="12.75" x14ac:dyDescent="0.2"/>
    <row r="4355" ht="12.75" x14ac:dyDescent="0.2"/>
    <row r="4356" ht="12.75" x14ac:dyDescent="0.2"/>
    <row r="4357" ht="12.75" x14ac:dyDescent="0.2"/>
    <row r="4358" ht="12.75" x14ac:dyDescent="0.2"/>
    <row r="4359" ht="12.75" x14ac:dyDescent="0.2"/>
    <row r="4360" ht="12.75" x14ac:dyDescent="0.2"/>
    <row r="4361" ht="12.75" x14ac:dyDescent="0.2"/>
    <row r="4362" ht="12.75" x14ac:dyDescent="0.2"/>
    <row r="4363" ht="12.75" x14ac:dyDescent="0.2"/>
    <row r="4364" ht="12.75" x14ac:dyDescent="0.2"/>
    <row r="4365" ht="12.75" x14ac:dyDescent="0.2"/>
    <row r="4366" ht="12.75" x14ac:dyDescent="0.2"/>
    <row r="4367" ht="12.75" x14ac:dyDescent="0.2"/>
    <row r="4368" ht="12.75" x14ac:dyDescent="0.2"/>
    <row r="4369" ht="12.75" x14ac:dyDescent="0.2"/>
    <row r="4370" ht="12.75" x14ac:dyDescent="0.2"/>
    <row r="4371" ht="12.75" x14ac:dyDescent="0.2"/>
    <row r="4372" ht="12.75" x14ac:dyDescent="0.2"/>
    <row r="4373" ht="12.75" x14ac:dyDescent="0.2"/>
    <row r="4374" ht="12.75" x14ac:dyDescent="0.2"/>
    <row r="4375" ht="12.75" x14ac:dyDescent="0.2"/>
    <row r="4376" ht="12.75" x14ac:dyDescent="0.2"/>
    <row r="4377" ht="12.75" x14ac:dyDescent="0.2"/>
    <row r="4378" ht="12.75" x14ac:dyDescent="0.2"/>
    <row r="4379" ht="12.75" x14ac:dyDescent="0.2"/>
    <row r="4380" ht="12.75" x14ac:dyDescent="0.2"/>
    <row r="4381" ht="12.75" x14ac:dyDescent="0.2"/>
    <row r="4382" ht="12.75" x14ac:dyDescent="0.2"/>
    <row r="4383" ht="12.75" x14ac:dyDescent="0.2"/>
    <row r="4384" ht="12.75" x14ac:dyDescent="0.2"/>
    <row r="4385" ht="12.75" x14ac:dyDescent="0.2"/>
    <row r="4386" ht="12.75" x14ac:dyDescent="0.2"/>
    <row r="4387" ht="12.75" x14ac:dyDescent="0.2"/>
    <row r="4388" ht="12.75" x14ac:dyDescent="0.2"/>
    <row r="4389" ht="12.75" x14ac:dyDescent="0.2"/>
    <row r="4390" ht="12.75" x14ac:dyDescent="0.2"/>
    <row r="4391" ht="12.75" x14ac:dyDescent="0.2"/>
    <row r="4392" ht="12.75" x14ac:dyDescent="0.2"/>
    <row r="4393" ht="12.75" x14ac:dyDescent="0.2"/>
    <row r="4394" ht="12.75" x14ac:dyDescent="0.2"/>
    <row r="4395" ht="12.75" x14ac:dyDescent="0.2"/>
    <row r="4396" ht="12.75" x14ac:dyDescent="0.2"/>
    <row r="4397" ht="12.75" x14ac:dyDescent="0.2"/>
    <row r="4398" ht="12.75" x14ac:dyDescent="0.2"/>
    <row r="4399" ht="12.75" x14ac:dyDescent="0.2"/>
    <row r="4400" ht="12.75" x14ac:dyDescent="0.2"/>
    <row r="4401" ht="12.75" x14ac:dyDescent="0.2"/>
    <row r="4402" ht="12.75" x14ac:dyDescent="0.2"/>
    <row r="4403" ht="12.75" x14ac:dyDescent="0.2"/>
    <row r="4404" ht="12.75" x14ac:dyDescent="0.2"/>
    <row r="4405" ht="12.75" x14ac:dyDescent="0.2"/>
    <row r="4406" ht="12.75" x14ac:dyDescent="0.2"/>
    <row r="4407" ht="12.75" x14ac:dyDescent="0.2"/>
    <row r="4408" ht="12.75" x14ac:dyDescent="0.2"/>
    <row r="4409" ht="12.75" x14ac:dyDescent="0.2"/>
    <row r="4410" ht="12.75" x14ac:dyDescent="0.2"/>
    <row r="4411" ht="12.75" x14ac:dyDescent="0.2"/>
    <row r="4412" ht="12.75" x14ac:dyDescent="0.2"/>
    <row r="4413" ht="12.75" x14ac:dyDescent="0.2"/>
    <row r="4414" ht="12.75" x14ac:dyDescent="0.2"/>
    <row r="4415" ht="12.75" x14ac:dyDescent="0.2"/>
    <row r="4416" ht="12.75" x14ac:dyDescent="0.2"/>
    <row r="4417" ht="12.75" x14ac:dyDescent="0.2"/>
    <row r="4418" ht="12.75" x14ac:dyDescent="0.2"/>
    <row r="4419" ht="12.75" x14ac:dyDescent="0.2"/>
    <row r="4420" ht="12.75" x14ac:dyDescent="0.2"/>
    <row r="4421" ht="12.75" x14ac:dyDescent="0.2"/>
    <row r="4422" ht="12.75" x14ac:dyDescent="0.2"/>
    <row r="4423" ht="12.75" x14ac:dyDescent="0.2"/>
    <row r="4424" ht="12.75" x14ac:dyDescent="0.2"/>
    <row r="4425" ht="12.75" x14ac:dyDescent="0.2"/>
    <row r="4426" ht="12.75" x14ac:dyDescent="0.2"/>
    <row r="4427" ht="12.75" x14ac:dyDescent="0.2"/>
    <row r="4428" ht="12.75" x14ac:dyDescent="0.2"/>
    <row r="4429" ht="12.75" x14ac:dyDescent="0.2"/>
    <row r="4430" ht="12.75" x14ac:dyDescent="0.2"/>
    <row r="4431" ht="12.75" x14ac:dyDescent="0.2"/>
    <row r="4432" ht="12.75" x14ac:dyDescent="0.2"/>
    <row r="4433" ht="12.75" x14ac:dyDescent="0.2"/>
    <row r="4434" ht="12.75" x14ac:dyDescent="0.2"/>
    <row r="4435" ht="12.75" x14ac:dyDescent="0.2"/>
    <row r="4436" ht="12.75" x14ac:dyDescent="0.2"/>
    <row r="4437" ht="12.75" x14ac:dyDescent="0.2"/>
    <row r="4438" ht="12.75" x14ac:dyDescent="0.2"/>
    <row r="4439" ht="12.75" x14ac:dyDescent="0.2"/>
    <row r="4440" ht="12.75" x14ac:dyDescent="0.2"/>
    <row r="4441" ht="12.75" x14ac:dyDescent="0.2"/>
    <row r="4442" ht="12.75" x14ac:dyDescent="0.2"/>
    <row r="4443" ht="12.75" x14ac:dyDescent="0.2"/>
    <row r="4444" ht="12.75" x14ac:dyDescent="0.2"/>
    <row r="4445" ht="12.75" x14ac:dyDescent="0.2"/>
    <row r="4446" ht="12.75" x14ac:dyDescent="0.2"/>
    <row r="4447" ht="12.75" x14ac:dyDescent="0.2"/>
    <row r="4448" ht="12.75" x14ac:dyDescent="0.2"/>
    <row r="4449" ht="12.75" x14ac:dyDescent="0.2"/>
    <row r="4450" ht="12.75" x14ac:dyDescent="0.2"/>
    <row r="4451" ht="12.75" x14ac:dyDescent="0.2"/>
    <row r="4452" ht="12.75" x14ac:dyDescent="0.2"/>
    <row r="4453" ht="12.75" x14ac:dyDescent="0.2"/>
    <row r="4454" ht="12.75" x14ac:dyDescent="0.2"/>
    <row r="4455" ht="12.75" x14ac:dyDescent="0.2"/>
    <row r="4456" ht="12.75" x14ac:dyDescent="0.2"/>
    <row r="4457" ht="12.75" x14ac:dyDescent="0.2"/>
    <row r="4458" ht="12.75" x14ac:dyDescent="0.2"/>
    <row r="4459" ht="12.75" x14ac:dyDescent="0.2"/>
    <row r="4460" ht="12.75" x14ac:dyDescent="0.2"/>
    <row r="4461" ht="12.75" x14ac:dyDescent="0.2"/>
    <row r="4462" ht="12.75" x14ac:dyDescent="0.2"/>
    <row r="4463" ht="12.75" x14ac:dyDescent="0.2"/>
    <row r="4464" ht="12.75" x14ac:dyDescent="0.2"/>
    <row r="4465" ht="12.75" x14ac:dyDescent="0.2"/>
    <row r="4466" ht="12.75" x14ac:dyDescent="0.2"/>
    <row r="4467" ht="12.75" x14ac:dyDescent="0.2"/>
    <row r="4468" ht="12.75" x14ac:dyDescent="0.2"/>
    <row r="4469" ht="12.75" x14ac:dyDescent="0.2"/>
    <row r="4470" ht="12.75" x14ac:dyDescent="0.2"/>
    <row r="4471" ht="12.75" x14ac:dyDescent="0.2"/>
    <row r="4472" ht="12.75" x14ac:dyDescent="0.2"/>
    <row r="4473" ht="12.75" x14ac:dyDescent="0.2"/>
    <row r="4474" ht="12.75" x14ac:dyDescent="0.2"/>
    <row r="4475" ht="12.75" x14ac:dyDescent="0.2"/>
    <row r="4476" ht="12.75" x14ac:dyDescent="0.2"/>
    <row r="4477" ht="12.75" x14ac:dyDescent="0.2"/>
    <row r="4478" ht="12.75" x14ac:dyDescent="0.2"/>
    <row r="4479" ht="12.75" x14ac:dyDescent="0.2"/>
    <row r="4480" ht="12.75" x14ac:dyDescent="0.2"/>
    <row r="4481" ht="12.75" x14ac:dyDescent="0.2"/>
    <row r="4482" ht="12.75" x14ac:dyDescent="0.2"/>
    <row r="4483" ht="12.75" x14ac:dyDescent="0.2"/>
    <row r="4484" ht="12.75" x14ac:dyDescent="0.2"/>
    <row r="4485" ht="12.75" x14ac:dyDescent="0.2"/>
    <row r="4486" ht="12.75" x14ac:dyDescent="0.2"/>
    <row r="4487" ht="12.75" x14ac:dyDescent="0.2"/>
    <row r="4488" ht="12.75" x14ac:dyDescent="0.2"/>
    <row r="4489" ht="12.75" x14ac:dyDescent="0.2"/>
    <row r="4490" ht="12.75" x14ac:dyDescent="0.2"/>
    <row r="4491" ht="12.75" x14ac:dyDescent="0.2"/>
    <row r="4492" ht="12.75" x14ac:dyDescent="0.2"/>
    <row r="4493" ht="12.75" x14ac:dyDescent="0.2"/>
    <row r="4494" ht="12.75" x14ac:dyDescent="0.2"/>
    <row r="4495" ht="12.75" x14ac:dyDescent="0.2"/>
    <row r="4496" ht="12.75" x14ac:dyDescent="0.2"/>
    <row r="4497" ht="12.75" x14ac:dyDescent="0.2"/>
    <row r="4498" ht="12.75" x14ac:dyDescent="0.2"/>
    <row r="4499" ht="12.75" x14ac:dyDescent="0.2"/>
    <row r="4500" ht="12.75" x14ac:dyDescent="0.2"/>
    <row r="4501" ht="12.75" x14ac:dyDescent="0.2"/>
    <row r="4502" ht="12.75" x14ac:dyDescent="0.2"/>
    <row r="4503" ht="12.75" x14ac:dyDescent="0.2"/>
    <row r="4504" ht="12.75" x14ac:dyDescent="0.2"/>
    <row r="4505" ht="12.75" x14ac:dyDescent="0.2"/>
    <row r="4506" ht="12.75" x14ac:dyDescent="0.2"/>
    <row r="4507" ht="12.75" x14ac:dyDescent="0.2"/>
    <row r="4508" ht="12.75" x14ac:dyDescent="0.2"/>
    <row r="4509" ht="12.75" x14ac:dyDescent="0.2"/>
    <row r="4510" ht="12.75" x14ac:dyDescent="0.2"/>
    <row r="4511" ht="12.75" x14ac:dyDescent="0.2"/>
    <row r="4512" ht="12.75" x14ac:dyDescent="0.2"/>
    <row r="4513" ht="12.75" x14ac:dyDescent="0.2"/>
    <row r="4514" ht="12.75" x14ac:dyDescent="0.2"/>
    <row r="4515" ht="12.75" x14ac:dyDescent="0.2"/>
    <row r="4516" ht="12.75" x14ac:dyDescent="0.2"/>
    <row r="4517" ht="12.75" x14ac:dyDescent="0.2"/>
    <row r="4518" ht="12.75" x14ac:dyDescent="0.2"/>
    <row r="4519" ht="12.75" x14ac:dyDescent="0.2"/>
    <row r="4520" ht="12.75" x14ac:dyDescent="0.2"/>
    <row r="4521" ht="12.75" x14ac:dyDescent="0.2"/>
    <row r="4522" ht="12.75" x14ac:dyDescent="0.2"/>
    <row r="4523" ht="12.75" x14ac:dyDescent="0.2"/>
    <row r="4524" ht="12.75" x14ac:dyDescent="0.2"/>
    <row r="4525" ht="12.75" x14ac:dyDescent="0.2"/>
    <row r="4526" ht="12.75" x14ac:dyDescent="0.2"/>
    <row r="4527" ht="12.75" x14ac:dyDescent="0.2"/>
    <row r="4528" ht="12.75" x14ac:dyDescent="0.2"/>
    <row r="4529" ht="12.75" x14ac:dyDescent="0.2"/>
    <row r="4530" ht="12.75" x14ac:dyDescent="0.2"/>
    <row r="4531" ht="12.75" x14ac:dyDescent="0.2"/>
    <row r="4532" ht="12.75" x14ac:dyDescent="0.2"/>
    <row r="4533" ht="12.75" x14ac:dyDescent="0.2"/>
    <row r="4534" ht="12.75" x14ac:dyDescent="0.2"/>
    <row r="4535" ht="12.75" x14ac:dyDescent="0.2"/>
    <row r="4536" ht="12.75" x14ac:dyDescent="0.2"/>
    <row r="4537" ht="12.75" x14ac:dyDescent="0.2"/>
    <row r="4538" ht="12.75" x14ac:dyDescent="0.2"/>
    <row r="4539" ht="12.75" x14ac:dyDescent="0.2"/>
    <row r="4540" ht="12.75" x14ac:dyDescent="0.2"/>
    <row r="4541" ht="12.75" x14ac:dyDescent="0.2"/>
    <row r="4542" ht="12.75" x14ac:dyDescent="0.2"/>
    <row r="4543" ht="12.75" x14ac:dyDescent="0.2"/>
    <row r="4544" ht="12.75" x14ac:dyDescent="0.2"/>
    <row r="4545" ht="12.75" x14ac:dyDescent="0.2"/>
    <row r="4546" ht="12.75" x14ac:dyDescent="0.2"/>
    <row r="4547" ht="12.75" x14ac:dyDescent="0.2"/>
    <row r="4548" ht="12.75" x14ac:dyDescent="0.2"/>
    <row r="4549" ht="12.75" x14ac:dyDescent="0.2"/>
    <row r="4550" ht="12.75" x14ac:dyDescent="0.2"/>
    <row r="4551" ht="12.75" x14ac:dyDescent="0.2"/>
    <row r="4552" ht="12.75" x14ac:dyDescent="0.2"/>
    <row r="4553" ht="12.75" x14ac:dyDescent="0.2"/>
    <row r="4554" ht="12.75" x14ac:dyDescent="0.2"/>
    <row r="4555" ht="12.75" x14ac:dyDescent="0.2"/>
    <row r="4556" ht="12.75" x14ac:dyDescent="0.2"/>
    <row r="4557" ht="12.75" x14ac:dyDescent="0.2"/>
    <row r="4558" ht="12.75" x14ac:dyDescent="0.2"/>
    <row r="4559" ht="12.75" x14ac:dyDescent="0.2"/>
    <row r="4560" ht="12.75" x14ac:dyDescent="0.2"/>
    <row r="4561" ht="12.75" x14ac:dyDescent="0.2"/>
    <row r="4562" ht="12.75" x14ac:dyDescent="0.2"/>
    <row r="4563" ht="12.75" x14ac:dyDescent="0.2"/>
    <row r="4564" ht="12.75" x14ac:dyDescent="0.2"/>
    <row r="4565" ht="12.75" x14ac:dyDescent="0.2"/>
    <row r="4566" ht="12.75" x14ac:dyDescent="0.2"/>
    <row r="4567" ht="12.75" x14ac:dyDescent="0.2"/>
    <row r="4568" ht="12.75" x14ac:dyDescent="0.2"/>
    <row r="4569" ht="12.75" x14ac:dyDescent="0.2"/>
    <row r="4570" ht="12.75" x14ac:dyDescent="0.2"/>
    <row r="4571" ht="12.75" x14ac:dyDescent="0.2"/>
    <row r="4572" ht="12.75" x14ac:dyDescent="0.2"/>
    <row r="4573" ht="12.75" x14ac:dyDescent="0.2"/>
    <row r="4574" ht="12.75" x14ac:dyDescent="0.2"/>
    <row r="4575" ht="12.75" x14ac:dyDescent="0.2"/>
    <row r="4576" ht="12.75" x14ac:dyDescent="0.2"/>
    <row r="4577" ht="12.75" x14ac:dyDescent="0.2"/>
    <row r="4578" ht="12.75" x14ac:dyDescent="0.2"/>
    <row r="4579" ht="12.75" x14ac:dyDescent="0.2"/>
    <row r="4580" ht="12.75" x14ac:dyDescent="0.2"/>
    <row r="4581" ht="12.75" x14ac:dyDescent="0.2"/>
    <row r="4582" ht="12.75" x14ac:dyDescent="0.2"/>
    <row r="4583" ht="12.75" x14ac:dyDescent="0.2"/>
    <row r="4584" ht="12.75" x14ac:dyDescent="0.2"/>
    <row r="4585" ht="12.75" x14ac:dyDescent="0.2"/>
    <row r="4586" ht="12.75" x14ac:dyDescent="0.2"/>
    <row r="4587" ht="12.75" x14ac:dyDescent="0.2"/>
    <row r="4588" ht="12.75" x14ac:dyDescent="0.2"/>
    <row r="4589" ht="12.75" x14ac:dyDescent="0.2"/>
    <row r="4590" ht="12.75" x14ac:dyDescent="0.2"/>
    <row r="4591" ht="12.75" x14ac:dyDescent="0.2"/>
    <row r="4592" ht="12.75" x14ac:dyDescent="0.2"/>
    <row r="4593" ht="12.75" x14ac:dyDescent="0.2"/>
    <row r="4594" ht="12.75" x14ac:dyDescent="0.2"/>
    <row r="4595" ht="12.75" x14ac:dyDescent="0.2"/>
    <row r="4596" ht="12.75" x14ac:dyDescent="0.2"/>
    <row r="4597" ht="12.75" x14ac:dyDescent="0.2"/>
    <row r="4598" ht="12.75" x14ac:dyDescent="0.2"/>
    <row r="4599" ht="12.75" x14ac:dyDescent="0.2"/>
    <row r="4600" ht="12.75" x14ac:dyDescent="0.2"/>
    <row r="4601" ht="12.75" x14ac:dyDescent="0.2"/>
    <row r="4602" ht="12.75" x14ac:dyDescent="0.2"/>
    <row r="4603" ht="12.75" x14ac:dyDescent="0.2"/>
    <row r="4604" ht="12.75" x14ac:dyDescent="0.2"/>
    <row r="4605" ht="12.75" x14ac:dyDescent="0.2"/>
    <row r="4606" ht="12.75" x14ac:dyDescent="0.2"/>
    <row r="4607" ht="12.75" x14ac:dyDescent="0.2"/>
    <row r="4608" ht="12.75" x14ac:dyDescent="0.2"/>
    <row r="4609" ht="12.75" x14ac:dyDescent="0.2"/>
    <row r="4610" ht="12.75" x14ac:dyDescent="0.2"/>
    <row r="4611" ht="12.75" x14ac:dyDescent="0.2"/>
    <row r="4612" ht="12.75" x14ac:dyDescent="0.2"/>
    <row r="4613" ht="12.75" x14ac:dyDescent="0.2"/>
    <row r="4614" ht="12.75" x14ac:dyDescent="0.2"/>
    <row r="4615" ht="12.75" x14ac:dyDescent="0.2"/>
    <row r="4616" ht="12.75" x14ac:dyDescent="0.2"/>
    <row r="4617" ht="12.75" x14ac:dyDescent="0.2"/>
    <row r="4618" ht="12.75" x14ac:dyDescent="0.2"/>
    <row r="4619" ht="12.75" x14ac:dyDescent="0.2"/>
    <row r="4620" ht="12.75" x14ac:dyDescent="0.2"/>
    <row r="4621" ht="12.75" x14ac:dyDescent="0.2"/>
    <row r="4622" ht="12.75" x14ac:dyDescent="0.2"/>
    <row r="4623" ht="12.75" x14ac:dyDescent="0.2"/>
    <row r="4624" ht="12.75" x14ac:dyDescent="0.2"/>
    <row r="4625" ht="12.75" x14ac:dyDescent="0.2"/>
    <row r="4626" ht="12.75" x14ac:dyDescent="0.2"/>
    <row r="4627" ht="12.75" x14ac:dyDescent="0.2"/>
    <row r="4628" ht="12.75" x14ac:dyDescent="0.2"/>
    <row r="4629" ht="12.75" x14ac:dyDescent="0.2"/>
    <row r="4630" ht="12.75" x14ac:dyDescent="0.2"/>
    <row r="4631" ht="12.75" x14ac:dyDescent="0.2"/>
    <row r="4632" ht="12.75" x14ac:dyDescent="0.2"/>
    <row r="4633" ht="12.75" x14ac:dyDescent="0.2"/>
    <row r="4634" ht="12.75" x14ac:dyDescent="0.2"/>
    <row r="4635" ht="12.75" x14ac:dyDescent="0.2"/>
    <row r="4636" ht="12.75" x14ac:dyDescent="0.2"/>
    <row r="4637" ht="12.75" x14ac:dyDescent="0.2"/>
    <row r="4638" ht="12.75" x14ac:dyDescent="0.2"/>
    <row r="4639" ht="12.75" x14ac:dyDescent="0.2"/>
    <row r="4640" ht="12.75" x14ac:dyDescent="0.2"/>
    <row r="4641" ht="12.75" x14ac:dyDescent="0.2"/>
    <row r="4642" ht="12.75" x14ac:dyDescent="0.2"/>
    <row r="4643" ht="12.75" x14ac:dyDescent="0.2"/>
    <row r="4644" ht="12.75" x14ac:dyDescent="0.2"/>
    <row r="4645" ht="12.75" x14ac:dyDescent="0.2"/>
    <row r="4646" ht="12.75" x14ac:dyDescent="0.2"/>
    <row r="4647" ht="12.75" x14ac:dyDescent="0.2"/>
    <row r="4648" ht="12.75" x14ac:dyDescent="0.2"/>
    <row r="4649" ht="12.75" x14ac:dyDescent="0.2"/>
    <row r="4650" ht="12.75" x14ac:dyDescent="0.2"/>
    <row r="4651" ht="12.75" x14ac:dyDescent="0.2"/>
    <row r="4652" ht="12.75" x14ac:dyDescent="0.2"/>
    <row r="4653" ht="12.75" x14ac:dyDescent="0.2"/>
    <row r="4654" ht="12.75" x14ac:dyDescent="0.2"/>
    <row r="4655" ht="12.75" x14ac:dyDescent="0.2"/>
    <row r="4656" ht="12.75" x14ac:dyDescent="0.2"/>
    <row r="4657" ht="12.75" x14ac:dyDescent="0.2"/>
    <row r="4658" ht="12.75" x14ac:dyDescent="0.2"/>
    <row r="4659" ht="12.75" x14ac:dyDescent="0.2"/>
    <row r="4660" ht="12.75" x14ac:dyDescent="0.2"/>
    <row r="4661" ht="12.75" x14ac:dyDescent="0.2"/>
    <row r="4662" ht="12.75" x14ac:dyDescent="0.2"/>
    <row r="4663" ht="12.75" x14ac:dyDescent="0.2"/>
    <row r="4664" ht="12.75" x14ac:dyDescent="0.2"/>
    <row r="4665" ht="12.75" x14ac:dyDescent="0.2"/>
    <row r="4666" ht="12.75" x14ac:dyDescent="0.2"/>
    <row r="4667" ht="12.75" x14ac:dyDescent="0.2"/>
    <row r="4668" ht="12.75" x14ac:dyDescent="0.2"/>
    <row r="4669" ht="12.75" x14ac:dyDescent="0.2"/>
    <row r="4670" ht="12.75" x14ac:dyDescent="0.2"/>
    <row r="4671" ht="12.75" x14ac:dyDescent="0.2"/>
    <row r="4672" ht="12.75" x14ac:dyDescent="0.2"/>
    <row r="4673" ht="12.75" x14ac:dyDescent="0.2"/>
    <row r="4674" ht="12.75" x14ac:dyDescent="0.2"/>
    <row r="4675" ht="12.75" x14ac:dyDescent="0.2"/>
    <row r="4676" ht="12.75" x14ac:dyDescent="0.2"/>
    <row r="4677" ht="12.75" x14ac:dyDescent="0.2"/>
    <row r="4678" ht="12.75" x14ac:dyDescent="0.2"/>
    <row r="4679" ht="12.75" x14ac:dyDescent="0.2"/>
    <row r="4680" ht="12.75" x14ac:dyDescent="0.2"/>
    <row r="4681" ht="12.75" x14ac:dyDescent="0.2"/>
    <row r="4682" ht="12.75" x14ac:dyDescent="0.2"/>
    <row r="4683" ht="12.75" x14ac:dyDescent="0.2"/>
    <row r="4684" ht="12.75" x14ac:dyDescent="0.2"/>
    <row r="4685" ht="12.75" x14ac:dyDescent="0.2"/>
    <row r="4686" ht="12.75" x14ac:dyDescent="0.2"/>
    <row r="4687" ht="12.75" x14ac:dyDescent="0.2"/>
    <row r="4688" ht="12.75" x14ac:dyDescent="0.2"/>
    <row r="4689" ht="12.75" x14ac:dyDescent="0.2"/>
    <row r="4690" ht="12.75" x14ac:dyDescent="0.2"/>
    <row r="4691" ht="12.75" x14ac:dyDescent="0.2"/>
    <row r="4692" ht="12.75" x14ac:dyDescent="0.2"/>
    <row r="4693" ht="12.75" x14ac:dyDescent="0.2"/>
    <row r="4694" ht="12.75" x14ac:dyDescent="0.2"/>
    <row r="4695" ht="12.75" x14ac:dyDescent="0.2"/>
    <row r="4696" ht="12.75" x14ac:dyDescent="0.2"/>
    <row r="4697" ht="12.75" x14ac:dyDescent="0.2"/>
    <row r="4698" ht="12.75" x14ac:dyDescent="0.2"/>
    <row r="4699" ht="12.75" x14ac:dyDescent="0.2"/>
    <row r="4700" ht="12.75" x14ac:dyDescent="0.2"/>
    <row r="4701" ht="12.75" x14ac:dyDescent="0.2"/>
    <row r="4702" ht="12.75" x14ac:dyDescent="0.2"/>
    <row r="4703" ht="12.75" x14ac:dyDescent="0.2"/>
    <row r="4704" ht="12.75" x14ac:dyDescent="0.2"/>
    <row r="4705" ht="12.75" x14ac:dyDescent="0.2"/>
    <row r="4706" ht="12.75" x14ac:dyDescent="0.2"/>
    <row r="4707" ht="12.75" x14ac:dyDescent="0.2"/>
    <row r="4708" ht="12.75" x14ac:dyDescent="0.2"/>
    <row r="4709" ht="12.75" x14ac:dyDescent="0.2"/>
    <row r="4710" ht="12.75" x14ac:dyDescent="0.2"/>
    <row r="4711" ht="12.75" x14ac:dyDescent="0.2"/>
    <row r="4712" ht="12.75" x14ac:dyDescent="0.2"/>
    <row r="4713" ht="12.75" x14ac:dyDescent="0.2"/>
    <row r="4714" ht="12.75" x14ac:dyDescent="0.2"/>
    <row r="4715" ht="12.75" x14ac:dyDescent="0.2"/>
    <row r="4716" ht="12.75" x14ac:dyDescent="0.2"/>
    <row r="4717" ht="12.75" x14ac:dyDescent="0.2"/>
    <row r="4718" ht="12.75" x14ac:dyDescent="0.2"/>
    <row r="4719" ht="12.75" x14ac:dyDescent="0.2"/>
    <row r="4720" ht="12.75" x14ac:dyDescent="0.2"/>
    <row r="4721" ht="12.75" x14ac:dyDescent="0.2"/>
    <row r="4722" ht="12.75" x14ac:dyDescent="0.2"/>
    <row r="4723" ht="12.75" x14ac:dyDescent="0.2"/>
    <row r="4724" ht="12.75" x14ac:dyDescent="0.2"/>
    <row r="4725" ht="12.75" x14ac:dyDescent="0.2"/>
    <row r="4726" ht="12.75" x14ac:dyDescent="0.2"/>
    <row r="4727" ht="12.75" x14ac:dyDescent="0.2"/>
    <row r="4728" ht="12.75" x14ac:dyDescent="0.2"/>
    <row r="4729" ht="12.75" x14ac:dyDescent="0.2"/>
    <row r="4730" ht="12.75" x14ac:dyDescent="0.2"/>
    <row r="4731" ht="12.75" x14ac:dyDescent="0.2"/>
    <row r="4732" ht="12.75" x14ac:dyDescent="0.2"/>
    <row r="4733" ht="12.75" x14ac:dyDescent="0.2"/>
    <row r="4734" ht="12.75" x14ac:dyDescent="0.2"/>
    <row r="4735" ht="12.75" x14ac:dyDescent="0.2"/>
    <row r="4736" ht="12.75" x14ac:dyDescent="0.2"/>
    <row r="4737" ht="12.75" x14ac:dyDescent="0.2"/>
    <row r="4738" ht="12.75" x14ac:dyDescent="0.2"/>
    <row r="4739" ht="12.75" x14ac:dyDescent="0.2"/>
    <row r="4740" ht="12.75" x14ac:dyDescent="0.2"/>
    <row r="4741" ht="12.75" x14ac:dyDescent="0.2"/>
    <row r="4742" ht="12.75" x14ac:dyDescent="0.2"/>
    <row r="4743" ht="12.75" x14ac:dyDescent="0.2"/>
    <row r="4744" ht="12.75" x14ac:dyDescent="0.2"/>
    <row r="4745" ht="12.75" x14ac:dyDescent="0.2"/>
    <row r="4746" ht="12.75" x14ac:dyDescent="0.2"/>
    <row r="4747" ht="12.75" x14ac:dyDescent="0.2"/>
    <row r="4748" ht="12.75" x14ac:dyDescent="0.2"/>
    <row r="4749" ht="12.75" x14ac:dyDescent="0.2"/>
    <row r="4750" ht="12.75" x14ac:dyDescent="0.2"/>
    <row r="4751" ht="12.75" x14ac:dyDescent="0.2"/>
    <row r="4752" ht="12.75" x14ac:dyDescent="0.2"/>
    <row r="4753" ht="12.75" x14ac:dyDescent="0.2"/>
    <row r="4754" ht="12.75" x14ac:dyDescent="0.2"/>
    <row r="4755" ht="12.75" x14ac:dyDescent="0.2"/>
    <row r="4756" ht="12.75" x14ac:dyDescent="0.2"/>
    <row r="4757" ht="12.75" x14ac:dyDescent="0.2"/>
    <row r="4758" ht="12.75" x14ac:dyDescent="0.2"/>
    <row r="4759" ht="12.75" x14ac:dyDescent="0.2"/>
    <row r="4760" ht="12.75" x14ac:dyDescent="0.2"/>
    <row r="4761" ht="12.75" x14ac:dyDescent="0.2"/>
    <row r="4762" ht="12.75" x14ac:dyDescent="0.2"/>
    <row r="4763" ht="12.75" x14ac:dyDescent="0.2"/>
    <row r="4764" ht="12.75" x14ac:dyDescent="0.2"/>
    <row r="4765" ht="12.75" x14ac:dyDescent="0.2"/>
    <row r="4766" ht="12.75" x14ac:dyDescent="0.2"/>
    <row r="4767" ht="12.75" x14ac:dyDescent="0.2"/>
    <row r="4768" ht="12.75" x14ac:dyDescent="0.2"/>
    <row r="4769" ht="12.75" x14ac:dyDescent="0.2"/>
    <row r="4770" ht="12.75" x14ac:dyDescent="0.2"/>
    <row r="4771" ht="12.75" x14ac:dyDescent="0.2"/>
    <row r="4772" ht="12.75" x14ac:dyDescent="0.2"/>
    <row r="4773" ht="12.75" x14ac:dyDescent="0.2"/>
    <row r="4774" ht="12.75" x14ac:dyDescent="0.2"/>
    <row r="4775" ht="12.75" x14ac:dyDescent="0.2"/>
    <row r="4776" ht="12.75" x14ac:dyDescent="0.2"/>
    <row r="4777" ht="12.75" x14ac:dyDescent="0.2"/>
    <row r="4778" ht="12.75" x14ac:dyDescent="0.2"/>
    <row r="4779" ht="12.75" x14ac:dyDescent="0.2"/>
    <row r="4780" ht="12.75" x14ac:dyDescent="0.2"/>
    <row r="4781" ht="12.75" x14ac:dyDescent="0.2"/>
    <row r="4782" ht="12.75" x14ac:dyDescent="0.2"/>
    <row r="4783" ht="12.75" x14ac:dyDescent="0.2"/>
    <row r="4784" ht="12.75" x14ac:dyDescent="0.2"/>
    <row r="4785" ht="12.75" x14ac:dyDescent="0.2"/>
    <row r="4786" ht="12.75" x14ac:dyDescent="0.2"/>
    <row r="4787" ht="12.75" x14ac:dyDescent="0.2"/>
    <row r="4788" ht="12.75" x14ac:dyDescent="0.2"/>
    <row r="4789" ht="12.75" x14ac:dyDescent="0.2"/>
    <row r="4790" ht="12.75" x14ac:dyDescent="0.2"/>
    <row r="4791" ht="12.75" x14ac:dyDescent="0.2"/>
    <row r="4792" ht="12.75" x14ac:dyDescent="0.2"/>
    <row r="4793" ht="12.75" x14ac:dyDescent="0.2"/>
    <row r="4794" ht="12.75" x14ac:dyDescent="0.2"/>
    <row r="4795" ht="12.75" x14ac:dyDescent="0.2"/>
    <row r="4796" ht="12.75" x14ac:dyDescent="0.2"/>
    <row r="4797" ht="12.75" x14ac:dyDescent="0.2"/>
    <row r="4798" ht="12.75" x14ac:dyDescent="0.2"/>
    <row r="4799" ht="12.75" x14ac:dyDescent="0.2"/>
    <row r="4800" ht="12.75" x14ac:dyDescent="0.2"/>
    <row r="4801" ht="12.75" x14ac:dyDescent="0.2"/>
    <row r="4802" ht="12.75" x14ac:dyDescent="0.2"/>
    <row r="4803" ht="12.75" x14ac:dyDescent="0.2"/>
    <row r="4804" ht="12.75" x14ac:dyDescent="0.2"/>
    <row r="4805" ht="12.75" x14ac:dyDescent="0.2"/>
    <row r="4806" ht="12.75" x14ac:dyDescent="0.2"/>
    <row r="4807" ht="12.75" x14ac:dyDescent="0.2"/>
    <row r="4808" ht="12.75" x14ac:dyDescent="0.2"/>
    <row r="4809" ht="12.75" x14ac:dyDescent="0.2"/>
    <row r="4810" ht="12.75" x14ac:dyDescent="0.2"/>
    <row r="4811" ht="12.75" x14ac:dyDescent="0.2"/>
    <row r="4812" ht="12.75" x14ac:dyDescent="0.2"/>
    <row r="4813" ht="12.75" x14ac:dyDescent="0.2"/>
    <row r="4814" ht="12.75" x14ac:dyDescent="0.2"/>
    <row r="4815" ht="12.75" x14ac:dyDescent="0.2"/>
    <row r="4816" ht="12.75" x14ac:dyDescent="0.2"/>
    <row r="4817" ht="12.75" x14ac:dyDescent="0.2"/>
    <row r="4818" ht="12.75" x14ac:dyDescent="0.2"/>
    <row r="4819" ht="12.75" x14ac:dyDescent="0.2"/>
    <row r="4820" ht="12.75" x14ac:dyDescent="0.2"/>
    <row r="4821" ht="12.75" x14ac:dyDescent="0.2"/>
    <row r="4822" ht="12.75" x14ac:dyDescent="0.2"/>
    <row r="4823" ht="12.75" x14ac:dyDescent="0.2"/>
    <row r="4824" ht="12.75" x14ac:dyDescent="0.2"/>
    <row r="4825" ht="12.75" x14ac:dyDescent="0.2"/>
    <row r="4826" ht="12.75" x14ac:dyDescent="0.2"/>
    <row r="4827" ht="12.75" x14ac:dyDescent="0.2"/>
    <row r="4828" ht="12.75" x14ac:dyDescent="0.2"/>
    <row r="4829" ht="12.75" x14ac:dyDescent="0.2"/>
    <row r="4830" ht="12.75" x14ac:dyDescent="0.2"/>
    <row r="4831" ht="12.75" x14ac:dyDescent="0.2"/>
    <row r="4832" ht="12.75" x14ac:dyDescent="0.2"/>
    <row r="4833" ht="12.75" x14ac:dyDescent="0.2"/>
    <row r="4834" ht="12.75" x14ac:dyDescent="0.2"/>
    <row r="4835" ht="12.75" x14ac:dyDescent="0.2"/>
    <row r="4836" ht="12.75" x14ac:dyDescent="0.2"/>
    <row r="4837" ht="12.75" x14ac:dyDescent="0.2"/>
    <row r="4838" ht="12.75" x14ac:dyDescent="0.2"/>
    <row r="4839" ht="12.75" x14ac:dyDescent="0.2"/>
    <row r="4840" ht="12.75" x14ac:dyDescent="0.2"/>
    <row r="4841" ht="12.75" x14ac:dyDescent="0.2"/>
    <row r="4842" ht="12.75" x14ac:dyDescent="0.2"/>
    <row r="4843" ht="12.75" x14ac:dyDescent="0.2"/>
    <row r="4844" ht="12.75" x14ac:dyDescent="0.2"/>
    <row r="4845" ht="12.75" x14ac:dyDescent="0.2"/>
    <row r="4846" ht="12.75" x14ac:dyDescent="0.2"/>
    <row r="4847" ht="12.75" x14ac:dyDescent="0.2"/>
    <row r="4848" ht="12.75" x14ac:dyDescent="0.2"/>
    <row r="4849" ht="12.75" x14ac:dyDescent="0.2"/>
    <row r="4850" ht="12.75" x14ac:dyDescent="0.2"/>
    <row r="4851" ht="12.75" x14ac:dyDescent="0.2"/>
    <row r="4852" ht="12.75" x14ac:dyDescent="0.2"/>
    <row r="4853" ht="12.75" x14ac:dyDescent="0.2"/>
    <row r="4854" ht="12.75" x14ac:dyDescent="0.2"/>
    <row r="4855" ht="12.75" x14ac:dyDescent="0.2"/>
    <row r="4856" ht="12.75" x14ac:dyDescent="0.2"/>
    <row r="4857" ht="12.75" x14ac:dyDescent="0.2"/>
    <row r="4858" ht="12.75" x14ac:dyDescent="0.2"/>
    <row r="4859" ht="12.75" x14ac:dyDescent="0.2"/>
    <row r="4860" ht="12.75" x14ac:dyDescent="0.2"/>
    <row r="4861" ht="12.75" x14ac:dyDescent="0.2"/>
    <row r="4862" ht="12.75" x14ac:dyDescent="0.2"/>
    <row r="4863" ht="12.75" x14ac:dyDescent="0.2"/>
    <row r="4864" ht="12.75" x14ac:dyDescent="0.2"/>
    <row r="4865" ht="12.75" x14ac:dyDescent="0.2"/>
    <row r="4866" ht="12.75" x14ac:dyDescent="0.2"/>
    <row r="4867" ht="12.75" x14ac:dyDescent="0.2"/>
    <row r="4868" ht="12.75" x14ac:dyDescent="0.2"/>
    <row r="4869" ht="12.75" x14ac:dyDescent="0.2"/>
    <row r="4870" ht="12.75" x14ac:dyDescent="0.2"/>
    <row r="4871" ht="12.75" x14ac:dyDescent="0.2"/>
    <row r="4872" ht="12.75" x14ac:dyDescent="0.2"/>
    <row r="4873" ht="12.75" x14ac:dyDescent="0.2"/>
    <row r="4874" ht="12.75" x14ac:dyDescent="0.2"/>
    <row r="4875" ht="12.75" x14ac:dyDescent="0.2"/>
    <row r="4876" ht="12.75" x14ac:dyDescent="0.2"/>
    <row r="4877" ht="12.75" x14ac:dyDescent="0.2"/>
    <row r="4878" ht="12.75" x14ac:dyDescent="0.2"/>
    <row r="4879" ht="12.75" x14ac:dyDescent="0.2"/>
    <row r="4880" ht="12.75" x14ac:dyDescent="0.2"/>
    <row r="4881" ht="12.75" x14ac:dyDescent="0.2"/>
    <row r="4882" ht="12.75" x14ac:dyDescent="0.2"/>
    <row r="4883" ht="12.75" x14ac:dyDescent="0.2"/>
    <row r="4884" ht="12.75" x14ac:dyDescent="0.2"/>
    <row r="4885" ht="12.75" x14ac:dyDescent="0.2"/>
    <row r="4886" ht="12.75" x14ac:dyDescent="0.2"/>
    <row r="4887" ht="12.75" x14ac:dyDescent="0.2"/>
    <row r="4888" ht="12.75" x14ac:dyDescent="0.2"/>
    <row r="4889" ht="12.75" x14ac:dyDescent="0.2"/>
    <row r="4890" ht="12.75" x14ac:dyDescent="0.2"/>
    <row r="4891" ht="12.75" x14ac:dyDescent="0.2"/>
    <row r="4892" ht="12.75" x14ac:dyDescent="0.2"/>
    <row r="4893" ht="12.75" x14ac:dyDescent="0.2"/>
    <row r="4894" ht="12.75" x14ac:dyDescent="0.2"/>
    <row r="4895" ht="12.75" x14ac:dyDescent="0.2"/>
    <row r="4896" ht="12.75" x14ac:dyDescent="0.2"/>
    <row r="4897" ht="12.75" x14ac:dyDescent="0.2"/>
    <row r="4898" ht="12.75" x14ac:dyDescent="0.2"/>
    <row r="4899" ht="12.75" x14ac:dyDescent="0.2"/>
    <row r="4900" ht="12.75" x14ac:dyDescent="0.2"/>
    <row r="4901" ht="12.75" x14ac:dyDescent="0.2"/>
    <row r="4902" ht="12.75" x14ac:dyDescent="0.2"/>
    <row r="4903" ht="12.75" x14ac:dyDescent="0.2"/>
    <row r="4904" ht="12.75" x14ac:dyDescent="0.2"/>
    <row r="4905" ht="12.75" x14ac:dyDescent="0.2"/>
    <row r="4906" ht="12.75" x14ac:dyDescent="0.2"/>
    <row r="4907" ht="12.75" x14ac:dyDescent="0.2"/>
    <row r="4908" ht="12.75" x14ac:dyDescent="0.2"/>
    <row r="4909" ht="12.75" x14ac:dyDescent="0.2"/>
    <row r="4910" ht="12.75" x14ac:dyDescent="0.2"/>
    <row r="4911" ht="12.75" x14ac:dyDescent="0.2"/>
    <row r="4912" ht="12.75" x14ac:dyDescent="0.2"/>
    <row r="4913" ht="12.75" x14ac:dyDescent="0.2"/>
    <row r="4914" ht="12.75" x14ac:dyDescent="0.2"/>
    <row r="4915" ht="12.75" x14ac:dyDescent="0.2"/>
    <row r="4916" ht="12.75" x14ac:dyDescent="0.2"/>
    <row r="4917" ht="12.75" x14ac:dyDescent="0.2"/>
    <row r="4918" ht="12.75" x14ac:dyDescent="0.2"/>
    <row r="4919" ht="12.75" x14ac:dyDescent="0.2"/>
    <row r="4920" ht="12.75" x14ac:dyDescent="0.2"/>
    <row r="4921" ht="12.75" x14ac:dyDescent="0.2"/>
    <row r="4922" ht="12.75" x14ac:dyDescent="0.2"/>
    <row r="4923" ht="12.75" x14ac:dyDescent="0.2"/>
    <row r="4924" ht="12.75" x14ac:dyDescent="0.2"/>
    <row r="4925" ht="12.75" x14ac:dyDescent="0.2"/>
    <row r="4926" ht="12.75" x14ac:dyDescent="0.2"/>
    <row r="4927" ht="12.75" x14ac:dyDescent="0.2"/>
    <row r="4928" ht="12.75" x14ac:dyDescent="0.2"/>
    <row r="4929" ht="12.75" x14ac:dyDescent="0.2"/>
    <row r="4930" ht="12.75" x14ac:dyDescent="0.2"/>
    <row r="4931" ht="12.75" x14ac:dyDescent="0.2"/>
    <row r="4932" ht="12.75" x14ac:dyDescent="0.2"/>
    <row r="4933" ht="12.75" x14ac:dyDescent="0.2"/>
    <row r="4934" ht="12.75" x14ac:dyDescent="0.2"/>
    <row r="4935" ht="12.75" x14ac:dyDescent="0.2"/>
    <row r="4936" ht="12.75" x14ac:dyDescent="0.2"/>
    <row r="4937" ht="12.75" x14ac:dyDescent="0.2"/>
    <row r="4938" ht="12.75" x14ac:dyDescent="0.2"/>
    <row r="4939" ht="12.75" x14ac:dyDescent="0.2"/>
    <row r="4940" ht="12.75" x14ac:dyDescent="0.2"/>
    <row r="4941" ht="12.75" x14ac:dyDescent="0.2"/>
    <row r="4942" ht="12.75" x14ac:dyDescent="0.2"/>
    <row r="4943" ht="12.75" x14ac:dyDescent="0.2"/>
    <row r="4944" ht="12.75" x14ac:dyDescent="0.2"/>
    <row r="4945" ht="12.75" x14ac:dyDescent="0.2"/>
    <row r="4946" ht="12.75" x14ac:dyDescent="0.2"/>
    <row r="4947" ht="12.75" x14ac:dyDescent="0.2"/>
    <row r="4948" ht="12.75" x14ac:dyDescent="0.2"/>
    <row r="4949" ht="12.75" x14ac:dyDescent="0.2"/>
    <row r="4950" ht="12.75" x14ac:dyDescent="0.2"/>
    <row r="4951" ht="12.75" x14ac:dyDescent="0.2"/>
    <row r="4952" ht="12.75" x14ac:dyDescent="0.2"/>
    <row r="4953" ht="12.75" x14ac:dyDescent="0.2"/>
    <row r="4954" ht="12.75" x14ac:dyDescent="0.2"/>
    <row r="4955" ht="12.75" x14ac:dyDescent="0.2"/>
    <row r="4956" ht="12.75" x14ac:dyDescent="0.2"/>
    <row r="4957" ht="12.75" x14ac:dyDescent="0.2"/>
    <row r="4958" ht="12.75" x14ac:dyDescent="0.2"/>
    <row r="4959" ht="12.75" x14ac:dyDescent="0.2"/>
    <row r="4960" ht="12.75" x14ac:dyDescent="0.2"/>
    <row r="4961" ht="12.75" x14ac:dyDescent="0.2"/>
    <row r="4962" ht="12.75" x14ac:dyDescent="0.2"/>
    <row r="4963" ht="12.75" x14ac:dyDescent="0.2"/>
    <row r="4964" ht="12.75" x14ac:dyDescent="0.2"/>
    <row r="4965" ht="12.75" x14ac:dyDescent="0.2"/>
    <row r="4966" ht="12.75" x14ac:dyDescent="0.2"/>
    <row r="4967" ht="12.75" x14ac:dyDescent="0.2"/>
    <row r="4968" ht="12.75" x14ac:dyDescent="0.2"/>
    <row r="4969" ht="12.75" x14ac:dyDescent="0.2"/>
    <row r="4970" ht="12.75" x14ac:dyDescent="0.2"/>
    <row r="4971" ht="12.75" x14ac:dyDescent="0.2"/>
    <row r="4972" ht="12.75" x14ac:dyDescent="0.2"/>
    <row r="4973" ht="12.75" x14ac:dyDescent="0.2"/>
    <row r="4974" ht="12.75" x14ac:dyDescent="0.2"/>
    <row r="4975" ht="12.75" x14ac:dyDescent="0.2"/>
    <row r="4976" ht="12.75" x14ac:dyDescent="0.2"/>
    <row r="4977" ht="12.75" x14ac:dyDescent="0.2"/>
    <row r="4978" ht="12.75" x14ac:dyDescent="0.2"/>
    <row r="4979" ht="12.75" x14ac:dyDescent="0.2"/>
    <row r="4980" ht="12.75" x14ac:dyDescent="0.2"/>
    <row r="4981" ht="12.75" x14ac:dyDescent="0.2"/>
    <row r="4982" ht="12.75" x14ac:dyDescent="0.2"/>
    <row r="4983" ht="12.75" x14ac:dyDescent="0.2"/>
    <row r="4984" ht="12.75" x14ac:dyDescent="0.2"/>
    <row r="4985" ht="12.75" x14ac:dyDescent="0.2"/>
    <row r="4986" ht="12.75" x14ac:dyDescent="0.2"/>
    <row r="4987" ht="12.75" x14ac:dyDescent="0.2"/>
    <row r="4988" ht="12.75" x14ac:dyDescent="0.2"/>
    <row r="4989" ht="12.75" x14ac:dyDescent="0.2"/>
    <row r="4990" ht="12.75" x14ac:dyDescent="0.2"/>
    <row r="4991" ht="12.75" x14ac:dyDescent="0.2"/>
    <row r="4992" ht="12.75" x14ac:dyDescent="0.2"/>
    <row r="4993" ht="12.75" x14ac:dyDescent="0.2"/>
    <row r="4994" ht="12.75" x14ac:dyDescent="0.2"/>
    <row r="4995" ht="12.75" x14ac:dyDescent="0.2"/>
    <row r="4996" ht="12.75" x14ac:dyDescent="0.2"/>
    <row r="4997" ht="12.75" x14ac:dyDescent="0.2"/>
    <row r="4998" ht="12.75" x14ac:dyDescent="0.2"/>
    <row r="4999" ht="12.75" x14ac:dyDescent="0.2"/>
    <row r="5000" ht="12.75" x14ac:dyDescent="0.2"/>
    <row r="5001" ht="12.75" x14ac:dyDescent="0.2"/>
    <row r="5002" ht="12.75" x14ac:dyDescent="0.2"/>
    <row r="5003" ht="12.75" x14ac:dyDescent="0.2"/>
    <row r="5004" ht="12.75" x14ac:dyDescent="0.2"/>
    <row r="5005" ht="12.75" x14ac:dyDescent="0.2"/>
    <row r="5006" ht="12.75" x14ac:dyDescent="0.2"/>
    <row r="5007" ht="12.75" x14ac:dyDescent="0.2"/>
    <row r="5008" ht="12.75" x14ac:dyDescent="0.2"/>
    <row r="5009" ht="12.75" x14ac:dyDescent="0.2"/>
    <row r="5010" ht="12.75" x14ac:dyDescent="0.2"/>
    <row r="5011" ht="12.75" x14ac:dyDescent="0.2"/>
    <row r="5012" ht="12.75" x14ac:dyDescent="0.2"/>
    <row r="5013" ht="12.75" x14ac:dyDescent="0.2"/>
    <row r="5014" ht="12.75" x14ac:dyDescent="0.2"/>
    <row r="5015" ht="12.75" x14ac:dyDescent="0.2"/>
    <row r="5016" ht="12.75" x14ac:dyDescent="0.2"/>
    <row r="5017" ht="12.75" x14ac:dyDescent="0.2"/>
    <row r="5018" ht="12.75" x14ac:dyDescent="0.2"/>
    <row r="5019" ht="12.75" x14ac:dyDescent="0.2"/>
    <row r="5020" ht="12.75" x14ac:dyDescent="0.2"/>
    <row r="5021" ht="12.75" x14ac:dyDescent="0.2"/>
    <row r="5022" ht="12.75" x14ac:dyDescent="0.2"/>
    <row r="5023" ht="12.75" x14ac:dyDescent="0.2"/>
    <row r="5024" ht="12.75" x14ac:dyDescent="0.2"/>
    <row r="5025" ht="12.75" x14ac:dyDescent="0.2"/>
    <row r="5026" ht="12.75" x14ac:dyDescent="0.2"/>
    <row r="5027" ht="12.75" x14ac:dyDescent="0.2"/>
    <row r="5028" ht="12.75" x14ac:dyDescent="0.2"/>
    <row r="5029" ht="12.75" x14ac:dyDescent="0.2"/>
    <row r="5030" ht="12.75" x14ac:dyDescent="0.2"/>
    <row r="5031" ht="12.75" x14ac:dyDescent="0.2"/>
    <row r="5032" ht="12.75" x14ac:dyDescent="0.2"/>
    <row r="5033" ht="12.75" x14ac:dyDescent="0.2"/>
    <row r="5034" ht="12.75" x14ac:dyDescent="0.2"/>
    <row r="5035" ht="12.75" x14ac:dyDescent="0.2"/>
    <row r="5036" ht="12.75" x14ac:dyDescent="0.2"/>
    <row r="5037" ht="12.75" x14ac:dyDescent="0.2"/>
    <row r="5038" ht="12.75" x14ac:dyDescent="0.2"/>
    <row r="5039" ht="12.75" x14ac:dyDescent="0.2"/>
    <row r="5040" ht="12.75" x14ac:dyDescent="0.2"/>
    <row r="5041" ht="12.75" x14ac:dyDescent="0.2"/>
    <row r="5042" ht="12.75" x14ac:dyDescent="0.2"/>
    <row r="5043" ht="12.75" x14ac:dyDescent="0.2"/>
    <row r="5044" ht="12.75" x14ac:dyDescent="0.2"/>
    <row r="5045" ht="12.75" x14ac:dyDescent="0.2"/>
    <row r="5046" ht="12.75" x14ac:dyDescent="0.2"/>
    <row r="5047" ht="12.75" x14ac:dyDescent="0.2"/>
    <row r="5048" ht="12.75" x14ac:dyDescent="0.2"/>
    <row r="5049" ht="12.75" x14ac:dyDescent="0.2"/>
    <row r="5050" ht="12.75" x14ac:dyDescent="0.2"/>
    <row r="5051" ht="12.75" x14ac:dyDescent="0.2"/>
    <row r="5052" ht="12.75" x14ac:dyDescent="0.2"/>
    <row r="5053" ht="12.75" x14ac:dyDescent="0.2"/>
    <row r="5054" ht="12.75" x14ac:dyDescent="0.2"/>
    <row r="5055" ht="12.75" x14ac:dyDescent="0.2"/>
    <row r="5056" ht="12.75" x14ac:dyDescent="0.2"/>
    <row r="5057" ht="12.75" x14ac:dyDescent="0.2"/>
    <row r="5058" ht="12.75" x14ac:dyDescent="0.2"/>
    <row r="5059" ht="12.75" x14ac:dyDescent="0.2"/>
    <row r="5060" ht="12.75" x14ac:dyDescent="0.2"/>
    <row r="5061" ht="12.75" x14ac:dyDescent="0.2"/>
    <row r="5062" ht="12.75" x14ac:dyDescent="0.2"/>
    <row r="5063" ht="12.75" x14ac:dyDescent="0.2"/>
    <row r="5064" ht="12.75" x14ac:dyDescent="0.2"/>
    <row r="5065" ht="12.75" x14ac:dyDescent="0.2"/>
    <row r="5066" ht="12.75" x14ac:dyDescent="0.2"/>
    <row r="5067" ht="12.75" x14ac:dyDescent="0.2"/>
    <row r="5068" ht="12.75" x14ac:dyDescent="0.2"/>
    <row r="5069" ht="12.75" x14ac:dyDescent="0.2"/>
    <row r="5070" ht="12.75" x14ac:dyDescent="0.2"/>
    <row r="5071" ht="12.75" x14ac:dyDescent="0.2"/>
    <row r="5072" ht="12.75" x14ac:dyDescent="0.2"/>
    <row r="5073" ht="12.75" x14ac:dyDescent="0.2"/>
    <row r="5074" ht="12.75" x14ac:dyDescent="0.2"/>
    <row r="5075" ht="12.75" x14ac:dyDescent="0.2"/>
    <row r="5076" ht="12.75" x14ac:dyDescent="0.2"/>
    <row r="5077" ht="12.75" x14ac:dyDescent="0.2"/>
    <row r="5078" ht="12.75" x14ac:dyDescent="0.2"/>
    <row r="5079" ht="12.75" x14ac:dyDescent="0.2"/>
    <row r="5080" ht="12.75" x14ac:dyDescent="0.2"/>
    <row r="5081" ht="12.75" x14ac:dyDescent="0.2"/>
    <row r="5082" ht="12.75" x14ac:dyDescent="0.2"/>
    <row r="5083" ht="12.75" x14ac:dyDescent="0.2"/>
    <row r="5084" ht="12.75" x14ac:dyDescent="0.2"/>
    <row r="5085" ht="12.75" x14ac:dyDescent="0.2"/>
    <row r="5086" ht="12.75" x14ac:dyDescent="0.2"/>
    <row r="5087" ht="12.75" x14ac:dyDescent="0.2"/>
    <row r="5088" ht="12.75" x14ac:dyDescent="0.2"/>
    <row r="5089" ht="12.75" x14ac:dyDescent="0.2"/>
    <row r="5090" ht="12.75" x14ac:dyDescent="0.2"/>
    <row r="5091" ht="12.75" x14ac:dyDescent="0.2"/>
    <row r="5092" ht="12.75" x14ac:dyDescent="0.2"/>
    <row r="5093" ht="12.75" x14ac:dyDescent="0.2"/>
    <row r="5094" ht="12.75" x14ac:dyDescent="0.2"/>
    <row r="5095" ht="12.75" x14ac:dyDescent="0.2"/>
    <row r="5096" ht="12.75" x14ac:dyDescent="0.2"/>
    <row r="5097" ht="12.75" x14ac:dyDescent="0.2"/>
    <row r="5098" ht="12.75" x14ac:dyDescent="0.2"/>
    <row r="5099" ht="12.75" x14ac:dyDescent="0.2"/>
    <row r="5100" ht="12.75" x14ac:dyDescent="0.2"/>
    <row r="5101" ht="12.75" x14ac:dyDescent="0.2"/>
    <row r="5102" ht="12.75" x14ac:dyDescent="0.2"/>
    <row r="5103" ht="12.75" x14ac:dyDescent="0.2"/>
    <row r="5104" ht="12.75" x14ac:dyDescent="0.2"/>
    <row r="5105" ht="12.75" x14ac:dyDescent="0.2"/>
    <row r="5106" ht="12.75" x14ac:dyDescent="0.2"/>
    <row r="5107" ht="12.75" x14ac:dyDescent="0.2"/>
    <row r="5108" ht="12.75" x14ac:dyDescent="0.2"/>
    <row r="5109" ht="12.75" x14ac:dyDescent="0.2"/>
    <row r="5110" ht="12.75" x14ac:dyDescent="0.2"/>
    <row r="5111" ht="12.75" x14ac:dyDescent="0.2"/>
    <row r="5112" ht="12.75" x14ac:dyDescent="0.2"/>
    <row r="5113" ht="12.75" x14ac:dyDescent="0.2"/>
    <row r="5114" ht="12.75" x14ac:dyDescent="0.2"/>
    <row r="5115" ht="12.75" x14ac:dyDescent="0.2"/>
    <row r="5116" ht="12.75" x14ac:dyDescent="0.2"/>
    <row r="5117" ht="12.75" x14ac:dyDescent="0.2"/>
    <row r="5118" ht="12.75" x14ac:dyDescent="0.2"/>
    <row r="5119" ht="12.75" x14ac:dyDescent="0.2"/>
    <row r="5120" ht="12.75" x14ac:dyDescent="0.2"/>
    <row r="5121" ht="12.75" x14ac:dyDescent="0.2"/>
    <row r="5122" ht="12.75" x14ac:dyDescent="0.2"/>
    <row r="5123" ht="12.75" x14ac:dyDescent="0.2"/>
    <row r="5124" ht="12.75" x14ac:dyDescent="0.2"/>
    <row r="5125" ht="12.75" x14ac:dyDescent="0.2"/>
    <row r="5126" ht="12.75" x14ac:dyDescent="0.2"/>
    <row r="5127" ht="12.75" x14ac:dyDescent="0.2"/>
    <row r="5128" ht="12.75" x14ac:dyDescent="0.2"/>
    <row r="5129" ht="12.75" x14ac:dyDescent="0.2"/>
    <row r="5130" ht="12.75" x14ac:dyDescent="0.2"/>
    <row r="5131" ht="12.75" x14ac:dyDescent="0.2"/>
    <row r="5132" ht="12.75" x14ac:dyDescent="0.2"/>
    <row r="5133" ht="12.75" x14ac:dyDescent="0.2"/>
    <row r="5134" ht="12.75" x14ac:dyDescent="0.2"/>
    <row r="5135" ht="12.75" x14ac:dyDescent="0.2"/>
    <row r="5136" ht="12.75" x14ac:dyDescent="0.2"/>
    <row r="5137" ht="12.75" x14ac:dyDescent="0.2"/>
    <row r="5138" ht="12.75" x14ac:dyDescent="0.2"/>
    <row r="5139" ht="12.75" x14ac:dyDescent="0.2"/>
    <row r="5140" ht="12.75" x14ac:dyDescent="0.2"/>
    <row r="5141" ht="12.75" x14ac:dyDescent="0.2"/>
    <row r="5142" ht="12.75" x14ac:dyDescent="0.2"/>
    <row r="5143" ht="12.75" x14ac:dyDescent="0.2"/>
    <row r="5144" ht="12.75" x14ac:dyDescent="0.2"/>
    <row r="5145" ht="12.75" x14ac:dyDescent="0.2"/>
    <row r="5146" ht="12.75" x14ac:dyDescent="0.2"/>
    <row r="5147" ht="12.75" x14ac:dyDescent="0.2"/>
    <row r="5148" ht="12.75" x14ac:dyDescent="0.2"/>
    <row r="5149" ht="12.75" x14ac:dyDescent="0.2"/>
    <row r="5150" ht="12.75" x14ac:dyDescent="0.2"/>
    <row r="5151" ht="12.75" x14ac:dyDescent="0.2"/>
    <row r="5152" ht="12.75" x14ac:dyDescent="0.2"/>
    <row r="5153" ht="12.75" x14ac:dyDescent="0.2"/>
    <row r="5154" ht="12.75" x14ac:dyDescent="0.2"/>
    <row r="5155" ht="12.75" x14ac:dyDescent="0.2"/>
    <row r="5156" ht="12.75" x14ac:dyDescent="0.2"/>
    <row r="5157" ht="12.75" x14ac:dyDescent="0.2"/>
    <row r="5158" ht="12.75" x14ac:dyDescent="0.2"/>
    <row r="5159" ht="12.75" x14ac:dyDescent="0.2"/>
    <row r="5160" ht="12.75" x14ac:dyDescent="0.2"/>
    <row r="5161" ht="12.75" x14ac:dyDescent="0.2"/>
    <row r="5162" ht="12.75" x14ac:dyDescent="0.2"/>
    <row r="5163" ht="12.75" x14ac:dyDescent="0.2"/>
    <row r="5164" ht="12.75" x14ac:dyDescent="0.2"/>
    <row r="5165" ht="12.75" x14ac:dyDescent="0.2"/>
    <row r="5166" ht="12.75" x14ac:dyDescent="0.2"/>
    <row r="5167" ht="12.75" x14ac:dyDescent="0.2"/>
    <row r="5168" ht="12.75" x14ac:dyDescent="0.2"/>
    <row r="5169" ht="12.75" x14ac:dyDescent="0.2"/>
    <row r="5170" ht="12.75" x14ac:dyDescent="0.2"/>
    <row r="5171" ht="12.75" x14ac:dyDescent="0.2"/>
    <row r="5172" ht="12.75" x14ac:dyDescent="0.2"/>
    <row r="5173" ht="12.75" x14ac:dyDescent="0.2"/>
    <row r="5174" ht="12.75" x14ac:dyDescent="0.2"/>
    <row r="5175" ht="12.75" x14ac:dyDescent="0.2"/>
    <row r="5176" ht="12.75" x14ac:dyDescent="0.2"/>
    <row r="5177" ht="12.75" x14ac:dyDescent="0.2"/>
    <row r="5178" ht="12.75" x14ac:dyDescent="0.2"/>
    <row r="5179" ht="12.75" x14ac:dyDescent="0.2"/>
    <row r="5180" ht="12.75" x14ac:dyDescent="0.2"/>
    <row r="5181" ht="12.75" x14ac:dyDescent="0.2"/>
    <row r="5182" ht="12.75" x14ac:dyDescent="0.2"/>
    <row r="5183" ht="12.75" x14ac:dyDescent="0.2"/>
    <row r="5184" ht="12.75" x14ac:dyDescent="0.2"/>
    <row r="5185" ht="12.75" x14ac:dyDescent="0.2"/>
    <row r="5186" ht="12.75" x14ac:dyDescent="0.2"/>
    <row r="5187" ht="12.75" x14ac:dyDescent="0.2"/>
    <row r="5188" ht="12.75" x14ac:dyDescent="0.2"/>
    <row r="5189" ht="12.75" x14ac:dyDescent="0.2"/>
    <row r="5190" ht="12.75" x14ac:dyDescent="0.2"/>
    <row r="5191" ht="12.75" x14ac:dyDescent="0.2"/>
    <row r="5192" ht="12.75" x14ac:dyDescent="0.2"/>
    <row r="5193" ht="12.75" x14ac:dyDescent="0.2"/>
    <row r="5194" ht="12.75" x14ac:dyDescent="0.2"/>
    <row r="5195" ht="12.75" x14ac:dyDescent="0.2"/>
    <row r="5196" ht="12.75" x14ac:dyDescent="0.2"/>
    <row r="5197" ht="12.75" x14ac:dyDescent="0.2"/>
    <row r="5198" ht="12.75" x14ac:dyDescent="0.2"/>
    <row r="5199" ht="12.75" x14ac:dyDescent="0.2"/>
    <row r="5200" ht="12.75" x14ac:dyDescent="0.2"/>
    <row r="5201" ht="12.75" x14ac:dyDescent="0.2"/>
    <row r="5202" ht="12.75" x14ac:dyDescent="0.2"/>
    <row r="5203" ht="12.75" x14ac:dyDescent="0.2"/>
    <row r="5204" ht="12.75" x14ac:dyDescent="0.2"/>
    <row r="5205" ht="12.75" x14ac:dyDescent="0.2"/>
    <row r="5206" ht="12.75" x14ac:dyDescent="0.2"/>
    <row r="5207" ht="12.75" x14ac:dyDescent="0.2"/>
    <row r="5208" ht="12.75" x14ac:dyDescent="0.2"/>
    <row r="5209" ht="12.75" x14ac:dyDescent="0.2"/>
    <row r="5210" ht="12.75" x14ac:dyDescent="0.2"/>
    <row r="5211" ht="12.75" x14ac:dyDescent="0.2"/>
    <row r="5212" ht="12.75" x14ac:dyDescent="0.2"/>
    <row r="5213" ht="12.75" x14ac:dyDescent="0.2"/>
    <row r="5214" ht="12.75" x14ac:dyDescent="0.2"/>
    <row r="5215" ht="12.75" x14ac:dyDescent="0.2"/>
    <row r="5216" ht="12.75" x14ac:dyDescent="0.2"/>
    <row r="5217" ht="12.75" x14ac:dyDescent="0.2"/>
    <row r="5218" ht="12.75" x14ac:dyDescent="0.2"/>
    <row r="5219" ht="12.75" x14ac:dyDescent="0.2"/>
    <row r="5220" ht="12.75" x14ac:dyDescent="0.2"/>
    <row r="5221" ht="12.75" x14ac:dyDescent="0.2"/>
    <row r="5222" ht="12.75" x14ac:dyDescent="0.2"/>
    <row r="5223" ht="12.75" x14ac:dyDescent="0.2"/>
    <row r="5224" ht="12.75" x14ac:dyDescent="0.2"/>
    <row r="5225" ht="12.75" x14ac:dyDescent="0.2"/>
    <row r="5226" ht="12.75" x14ac:dyDescent="0.2"/>
    <row r="5227" ht="12.75" x14ac:dyDescent="0.2"/>
    <row r="5228" ht="12.75" x14ac:dyDescent="0.2"/>
    <row r="5229" ht="12.75" x14ac:dyDescent="0.2"/>
    <row r="5230" ht="12.75" x14ac:dyDescent="0.2"/>
    <row r="5231" ht="12.75" x14ac:dyDescent="0.2"/>
    <row r="5232" ht="12.75" x14ac:dyDescent="0.2"/>
    <row r="5233" ht="12.75" x14ac:dyDescent="0.2"/>
    <row r="5234" ht="12.75" x14ac:dyDescent="0.2"/>
    <row r="5235" ht="12.75" x14ac:dyDescent="0.2"/>
    <row r="5236" ht="12.75" x14ac:dyDescent="0.2"/>
    <row r="5237" ht="12.75" x14ac:dyDescent="0.2"/>
    <row r="5238" ht="12.75" x14ac:dyDescent="0.2"/>
    <row r="5239" ht="12.75" x14ac:dyDescent="0.2"/>
    <row r="5240" ht="12.75" x14ac:dyDescent="0.2"/>
    <row r="5241" ht="12.75" x14ac:dyDescent="0.2"/>
    <row r="5242" ht="12.75" x14ac:dyDescent="0.2"/>
    <row r="5243" ht="12.75" x14ac:dyDescent="0.2"/>
    <row r="5244" ht="12.75" x14ac:dyDescent="0.2"/>
    <row r="5245" ht="12.75" x14ac:dyDescent="0.2"/>
    <row r="5246" ht="12.75" x14ac:dyDescent="0.2"/>
    <row r="5247" ht="12.75" x14ac:dyDescent="0.2"/>
    <row r="5248" ht="12.75" x14ac:dyDescent="0.2"/>
    <row r="5249" ht="12.75" x14ac:dyDescent="0.2"/>
    <row r="5250" ht="12.75" x14ac:dyDescent="0.2"/>
    <row r="5251" ht="12.75" x14ac:dyDescent="0.2"/>
    <row r="5252" ht="12.75" x14ac:dyDescent="0.2"/>
    <row r="5253" ht="12.75" x14ac:dyDescent="0.2"/>
    <row r="5254" ht="12.75" x14ac:dyDescent="0.2"/>
    <row r="5255" ht="12.75" x14ac:dyDescent="0.2"/>
    <row r="5256" ht="12.75" x14ac:dyDescent="0.2"/>
    <row r="5257" ht="12.75" x14ac:dyDescent="0.2"/>
    <row r="5258" ht="12.75" x14ac:dyDescent="0.2"/>
    <row r="5259" ht="12.75" x14ac:dyDescent="0.2"/>
    <row r="5260" ht="12.75" x14ac:dyDescent="0.2"/>
    <row r="5261" ht="12.75" x14ac:dyDescent="0.2"/>
    <row r="5262" ht="12.75" x14ac:dyDescent="0.2"/>
    <row r="5263" ht="12.75" x14ac:dyDescent="0.2"/>
    <row r="5264" ht="12.75" x14ac:dyDescent="0.2"/>
    <row r="5265" ht="12.75" x14ac:dyDescent="0.2"/>
    <row r="5266" ht="12.75" x14ac:dyDescent="0.2"/>
    <row r="5267" ht="12.75" x14ac:dyDescent="0.2"/>
    <row r="5268" ht="12.75" x14ac:dyDescent="0.2"/>
    <row r="5269" ht="12.75" x14ac:dyDescent="0.2"/>
    <row r="5270" ht="12.75" x14ac:dyDescent="0.2"/>
    <row r="5271" ht="12.75" x14ac:dyDescent="0.2"/>
    <row r="5272" ht="12.75" x14ac:dyDescent="0.2"/>
    <row r="5273" ht="12.75" x14ac:dyDescent="0.2"/>
    <row r="5274" ht="12.75" x14ac:dyDescent="0.2"/>
    <row r="5275" ht="12.75" x14ac:dyDescent="0.2"/>
    <row r="5276" ht="12.75" x14ac:dyDescent="0.2"/>
    <row r="5277" ht="12.75" x14ac:dyDescent="0.2"/>
    <row r="5278" ht="12.75" x14ac:dyDescent="0.2"/>
    <row r="5279" ht="12.75" x14ac:dyDescent="0.2"/>
    <row r="5280" ht="12.75" x14ac:dyDescent="0.2"/>
    <row r="5281" ht="12.75" x14ac:dyDescent="0.2"/>
    <row r="5282" ht="12.75" x14ac:dyDescent="0.2"/>
    <row r="5283" ht="12.75" x14ac:dyDescent="0.2"/>
    <row r="5284" ht="12.75" x14ac:dyDescent="0.2"/>
    <row r="5285" ht="12.75" x14ac:dyDescent="0.2"/>
    <row r="5286" ht="12.75" x14ac:dyDescent="0.2"/>
    <row r="5287" ht="12.75" x14ac:dyDescent="0.2"/>
    <row r="5288" ht="12.75" x14ac:dyDescent="0.2"/>
    <row r="5289" ht="12.75" x14ac:dyDescent="0.2"/>
    <row r="5290" ht="12.75" x14ac:dyDescent="0.2"/>
    <row r="5291" ht="12.75" x14ac:dyDescent="0.2"/>
    <row r="5292" ht="12.75" x14ac:dyDescent="0.2"/>
    <row r="5293" ht="12.75" x14ac:dyDescent="0.2"/>
    <row r="5294" ht="12.75" x14ac:dyDescent="0.2"/>
    <row r="5295" ht="12.75" x14ac:dyDescent="0.2"/>
    <row r="5296" ht="12.75" x14ac:dyDescent="0.2"/>
    <row r="5297" ht="12.75" x14ac:dyDescent="0.2"/>
    <row r="5298" ht="12.75" x14ac:dyDescent="0.2"/>
    <row r="5299" ht="12.75" x14ac:dyDescent="0.2"/>
    <row r="5300" ht="12.75" x14ac:dyDescent="0.2"/>
    <row r="5301" ht="12.75" x14ac:dyDescent="0.2"/>
    <row r="5302" ht="12.75" x14ac:dyDescent="0.2"/>
    <row r="5303" ht="12.75" x14ac:dyDescent="0.2"/>
    <row r="5304" ht="12.75" x14ac:dyDescent="0.2"/>
    <row r="5305" ht="12.75" x14ac:dyDescent="0.2"/>
    <row r="5306" ht="12.75" x14ac:dyDescent="0.2"/>
    <row r="5307" ht="12.75" x14ac:dyDescent="0.2"/>
    <row r="5308" ht="12.75" x14ac:dyDescent="0.2"/>
    <row r="5309" ht="12.75" x14ac:dyDescent="0.2"/>
    <row r="5310" ht="12.75" x14ac:dyDescent="0.2"/>
    <row r="5311" ht="12.75" x14ac:dyDescent="0.2"/>
    <row r="5312" ht="12.75" x14ac:dyDescent="0.2"/>
    <row r="5313" ht="12.75" x14ac:dyDescent="0.2"/>
    <row r="5314" ht="12.75" x14ac:dyDescent="0.2"/>
    <row r="5315" ht="12.75" x14ac:dyDescent="0.2"/>
    <row r="5316" ht="12.75" x14ac:dyDescent="0.2"/>
    <row r="5317" ht="12.75" x14ac:dyDescent="0.2"/>
    <row r="5318" ht="12.75" x14ac:dyDescent="0.2"/>
    <row r="5319" ht="12.75" x14ac:dyDescent="0.2"/>
    <row r="5320" ht="12.75" x14ac:dyDescent="0.2"/>
    <row r="5321" ht="12.75" x14ac:dyDescent="0.2"/>
    <row r="5322" ht="12.75" x14ac:dyDescent="0.2"/>
    <row r="5323" ht="12.75" x14ac:dyDescent="0.2"/>
    <row r="5324" ht="12.75" x14ac:dyDescent="0.2"/>
    <row r="5325" ht="12.75" x14ac:dyDescent="0.2"/>
    <row r="5326" ht="12.75" x14ac:dyDescent="0.2"/>
    <row r="5327" ht="12.75" x14ac:dyDescent="0.2"/>
    <row r="5328" ht="12.75" x14ac:dyDescent="0.2"/>
    <row r="5329" ht="12.75" x14ac:dyDescent="0.2"/>
    <row r="5330" ht="12.75" x14ac:dyDescent="0.2"/>
    <row r="5331" ht="12.75" x14ac:dyDescent="0.2"/>
    <row r="5332" ht="12.75" x14ac:dyDescent="0.2"/>
    <row r="5333" ht="12.75" x14ac:dyDescent="0.2"/>
    <row r="5334" ht="12.75" x14ac:dyDescent="0.2"/>
    <row r="5335" ht="12.75" x14ac:dyDescent="0.2"/>
    <row r="5336" ht="12.75" x14ac:dyDescent="0.2"/>
    <row r="5337" ht="12.75" x14ac:dyDescent="0.2"/>
    <row r="5338" ht="12.75" x14ac:dyDescent="0.2"/>
    <row r="5339" ht="12.75" x14ac:dyDescent="0.2"/>
    <row r="5340" ht="12.75" x14ac:dyDescent="0.2"/>
    <row r="5341" ht="12.75" x14ac:dyDescent="0.2"/>
    <row r="5342" ht="12.75" x14ac:dyDescent="0.2"/>
    <row r="5343" ht="12.75" x14ac:dyDescent="0.2"/>
    <row r="5344" ht="12.75" x14ac:dyDescent="0.2"/>
    <row r="5345" ht="12.75" x14ac:dyDescent="0.2"/>
    <row r="5346" ht="12.75" x14ac:dyDescent="0.2"/>
    <row r="5347" ht="12.75" x14ac:dyDescent="0.2"/>
    <row r="5348" ht="12.75" x14ac:dyDescent="0.2"/>
    <row r="5349" ht="12.75" x14ac:dyDescent="0.2"/>
    <row r="5350" ht="12.75" x14ac:dyDescent="0.2"/>
    <row r="5351" ht="12.75" x14ac:dyDescent="0.2"/>
    <row r="5352" ht="12.75" x14ac:dyDescent="0.2"/>
    <row r="5353" ht="12.75" x14ac:dyDescent="0.2"/>
    <row r="5354" ht="12.75" x14ac:dyDescent="0.2"/>
    <row r="5355" ht="12.75" x14ac:dyDescent="0.2"/>
    <row r="5356" ht="12.75" x14ac:dyDescent="0.2"/>
    <row r="5357" ht="12.75" x14ac:dyDescent="0.2"/>
    <row r="5358" ht="12.75" x14ac:dyDescent="0.2"/>
    <row r="5359" ht="12.75" x14ac:dyDescent="0.2"/>
    <row r="5360" ht="12.75" x14ac:dyDescent="0.2"/>
    <row r="5361" ht="12.75" x14ac:dyDescent="0.2"/>
    <row r="5362" ht="12.75" x14ac:dyDescent="0.2"/>
    <row r="5363" ht="12.75" x14ac:dyDescent="0.2"/>
    <row r="5364" ht="12.75" x14ac:dyDescent="0.2"/>
    <row r="5365" ht="12.75" x14ac:dyDescent="0.2"/>
    <row r="5366" ht="12.75" x14ac:dyDescent="0.2"/>
    <row r="5367" ht="12.75" x14ac:dyDescent="0.2"/>
    <row r="5368" ht="12.75" x14ac:dyDescent="0.2"/>
    <row r="5369" ht="12.75" x14ac:dyDescent="0.2"/>
    <row r="5370" ht="12.75" x14ac:dyDescent="0.2"/>
    <row r="5371" ht="12.75" x14ac:dyDescent="0.2"/>
    <row r="5372" ht="12.75" x14ac:dyDescent="0.2"/>
    <row r="5373" ht="12.75" x14ac:dyDescent="0.2"/>
    <row r="5374" ht="12.75" x14ac:dyDescent="0.2"/>
    <row r="5375" ht="12.75" x14ac:dyDescent="0.2"/>
    <row r="5376" ht="12.75" x14ac:dyDescent="0.2"/>
    <row r="5377" ht="12.75" x14ac:dyDescent="0.2"/>
    <row r="5378" ht="12.75" x14ac:dyDescent="0.2"/>
    <row r="5379" ht="12.75" x14ac:dyDescent="0.2"/>
    <row r="5380" ht="12.75" x14ac:dyDescent="0.2"/>
    <row r="5381" ht="12.75" x14ac:dyDescent="0.2"/>
    <row r="5382" ht="12.75" x14ac:dyDescent="0.2"/>
    <row r="5383" ht="12.75" x14ac:dyDescent="0.2"/>
    <row r="5384" ht="12.75" x14ac:dyDescent="0.2"/>
    <row r="5385" ht="12.75" x14ac:dyDescent="0.2"/>
    <row r="5386" ht="12.75" x14ac:dyDescent="0.2"/>
    <row r="5387" ht="12.75" x14ac:dyDescent="0.2"/>
    <row r="5388" ht="12.75" x14ac:dyDescent="0.2"/>
    <row r="5389" ht="12.75" x14ac:dyDescent="0.2"/>
    <row r="5390" ht="12.75" x14ac:dyDescent="0.2"/>
    <row r="5391" ht="12.75" x14ac:dyDescent="0.2"/>
    <row r="5392" ht="12.75" x14ac:dyDescent="0.2"/>
    <row r="5393" ht="12.75" x14ac:dyDescent="0.2"/>
    <row r="5394" ht="12.75" x14ac:dyDescent="0.2"/>
    <row r="5395" ht="12.75" x14ac:dyDescent="0.2"/>
    <row r="5396" ht="12.75" x14ac:dyDescent="0.2"/>
    <row r="5397" ht="12.75" x14ac:dyDescent="0.2"/>
    <row r="5398" ht="12.75" x14ac:dyDescent="0.2"/>
    <row r="5399" ht="12.75" x14ac:dyDescent="0.2"/>
    <row r="5400" ht="12.75" x14ac:dyDescent="0.2"/>
    <row r="5401" ht="12.75" x14ac:dyDescent="0.2"/>
    <row r="5402" ht="12.75" x14ac:dyDescent="0.2"/>
    <row r="5403" ht="12.75" x14ac:dyDescent="0.2"/>
    <row r="5404" ht="12.75" x14ac:dyDescent="0.2"/>
    <row r="5405" ht="12.75" x14ac:dyDescent="0.2"/>
    <row r="5406" ht="12.75" x14ac:dyDescent="0.2"/>
    <row r="5407" ht="12.75" x14ac:dyDescent="0.2"/>
    <row r="5408" ht="12.75" x14ac:dyDescent="0.2"/>
    <row r="5409" ht="12.75" x14ac:dyDescent="0.2"/>
    <row r="5410" ht="12.75" x14ac:dyDescent="0.2"/>
    <row r="5411" ht="12.75" x14ac:dyDescent="0.2"/>
    <row r="5412" ht="12.75" x14ac:dyDescent="0.2"/>
    <row r="5413" ht="12.75" x14ac:dyDescent="0.2"/>
    <row r="5414" ht="12.75" x14ac:dyDescent="0.2"/>
    <row r="5415" ht="12.75" x14ac:dyDescent="0.2"/>
    <row r="5416" ht="12.75" x14ac:dyDescent="0.2"/>
    <row r="5417" ht="12.75" x14ac:dyDescent="0.2"/>
    <row r="5418" ht="12.75" x14ac:dyDescent="0.2"/>
    <row r="5419" ht="12.75" x14ac:dyDescent="0.2"/>
    <row r="5420" ht="12.75" x14ac:dyDescent="0.2"/>
    <row r="5421" ht="12.75" x14ac:dyDescent="0.2"/>
    <row r="5422" ht="12.75" x14ac:dyDescent="0.2"/>
    <row r="5423" ht="12.75" x14ac:dyDescent="0.2"/>
    <row r="5424" ht="12.75" x14ac:dyDescent="0.2"/>
    <row r="5425" ht="12.75" x14ac:dyDescent="0.2"/>
    <row r="5426" ht="12.75" x14ac:dyDescent="0.2"/>
    <row r="5427" ht="12.75" x14ac:dyDescent="0.2"/>
    <row r="5428" ht="12.75" x14ac:dyDescent="0.2"/>
    <row r="5429" ht="12.75" x14ac:dyDescent="0.2"/>
    <row r="5430" ht="12.75" x14ac:dyDescent="0.2"/>
    <row r="5431" ht="12.75" x14ac:dyDescent="0.2"/>
    <row r="5432" ht="12.75" x14ac:dyDescent="0.2"/>
    <row r="5433" ht="12.75" x14ac:dyDescent="0.2"/>
    <row r="5434" ht="12.75" x14ac:dyDescent="0.2"/>
    <row r="5435" ht="12.75" x14ac:dyDescent="0.2"/>
    <row r="5436" ht="12.75" x14ac:dyDescent="0.2"/>
    <row r="5437" ht="12.75" x14ac:dyDescent="0.2"/>
    <row r="5438" ht="12.75" x14ac:dyDescent="0.2"/>
    <row r="5439" ht="12.75" x14ac:dyDescent="0.2"/>
    <row r="5440" ht="12.75" x14ac:dyDescent="0.2"/>
    <row r="5441" ht="12.75" x14ac:dyDescent="0.2"/>
    <row r="5442" ht="12.75" x14ac:dyDescent="0.2"/>
    <row r="5443" ht="12.75" x14ac:dyDescent="0.2"/>
    <row r="5444" ht="12.75" x14ac:dyDescent="0.2"/>
    <row r="5445" ht="12.75" x14ac:dyDescent="0.2"/>
    <row r="5446" ht="12.75" x14ac:dyDescent="0.2"/>
    <row r="5447" ht="12.75" x14ac:dyDescent="0.2"/>
    <row r="5448" ht="12.75" x14ac:dyDescent="0.2"/>
    <row r="5449" ht="12.75" x14ac:dyDescent="0.2"/>
    <row r="5450" ht="12.75" x14ac:dyDescent="0.2"/>
    <row r="5451" ht="12.75" x14ac:dyDescent="0.2"/>
    <row r="5452" ht="12.75" x14ac:dyDescent="0.2"/>
    <row r="5453" ht="12.75" x14ac:dyDescent="0.2"/>
    <row r="5454" ht="12.75" x14ac:dyDescent="0.2"/>
    <row r="5455" ht="12.75" x14ac:dyDescent="0.2"/>
    <row r="5456" ht="12.75" x14ac:dyDescent="0.2"/>
    <row r="5457" ht="12.75" x14ac:dyDescent="0.2"/>
    <row r="5458" ht="12.75" x14ac:dyDescent="0.2"/>
    <row r="5459" ht="12.75" x14ac:dyDescent="0.2"/>
    <row r="5460" ht="12.75" x14ac:dyDescent="0.2"/>
    <row r="5461" ht="12.75" x14ac:dyDescent="0.2"/>
    <row r="5462" ht="12.75" x14ac:dyDescent="0.2"/>
    <row r="5463" ht="12.75" x14ac:dyDescent="0.2"/>
    <row r="5464" ht="12.75" x14ac:dyDescent="0.2"/>
    <row r="5465" ht="12.75" x14ac:dyDescent="0.2"/>
    <row r="5466" ht="12.75" x14ac:dyDescent="0.2"/>
    <row r="5467" ht="12.75" x14ac:dyDescent="0.2"/>
    <row r="5468" ht="12.75" x14ac:dyDescent="0.2"/>
    <row r="5469" ht="12.75" x14ac:dyDescent="0.2"/>
    <row r="5470" ht="12.75" x14ac:dyDescent="0.2"/>
    <row r="5471" ht="12.75" x14ac:dyDescent="0.2"/>
    <row r="5472" ht="12.75" x14ac:dyDescent="0.2"/>
    <row r="5473" ht="12.75" x14ac:dyDescent="0.2"/>
    <row r="5474" ht="12.75" x14ac:dyDescent="0.2"/>
    <row r="5475" ht="12.75" x14ac:dyDescent="0.2"/>
    <row r="5476" ht="12.75" x14ac:dyDescent="0.2"/>
    <row r="5477" ht="12.75" x14ac:dyDescent="0.2"/>
    <row r="5478" ht="12.75" x14ac:dyDescent="0.2"/>
    <row r="5479" ht="12.75" x14ac:dyDescent="0.2"/>
    <row r="5480" ht="12.75" x14ac:dyDescent="0.2"/>
    <row r="5481" ht="12.75" x14ac:dyDescent="0.2"/>
    <row r="5482" ht="12.75" x14ac:dyDescent="0.2"/>
    <row r="5483" ht="12.75" x14ac:dyDescent="0.2"/>
    <row r="5484" ht="12.75" x14ac:dyDescent="0.2"/>
    <row r="5485" ht="12.75" x14ac:dyDescent="0.2"/>
    <row r="5486" ht="12.75" x14ac:dyDescent="0.2"/>
    <row r="5487" ht="12.75" x14ac:dyDescent="0.2"/>
    <row r="5488" ht="12.75" x14ac:dyDescent="0.2"/>
    <row r="5489" ht="12.75" x14ac:dyDescent="0.2"/>
    <row r="5490" ht="12.75" x14ac:dyDescent="0.2"/>
    <row r="5491" ht="12.75" x14ac:dyDescent="0.2"/>
    <row r="5492" ht="12.75" x14ac:dyDescent="0.2"/>
    <row r="5493" ht="12.75" x14ac:dyDescent="0.2"/>
    <row r="5494" ht="12.75" x14ac:dyDescent="0.2"/>
    <row r="5495" ht="12.75" x14ac:dyDescent="0.2"/>
    <row r="5496" ht="12.75" x14ac:dyDescent="0.2"/>
    <row r="5497" ht="12.75" x14ac:dyDescent="0.2"/>
    <row r="5498" ht="12.75" x14ac:dyDescent="0.2"/>
    <row r="5499" ht="12.75" x14ac:dyDescent="0.2"/>
    <row r="5500" ht="12.75" x14ac:dyDescent="0.2"/>
    <row r="5501" ht="12.75" x14ac:dyDescent="0.2"/>
    <row r="5502" ht="12.75" x14ac:dyDescent="0.2"/>
    <row r="5503" ht="12.75" x14ac:dyDescent="0.2"/>
    <row r="5504" ht="12.75" x14ac:dyDescent="0.2"/>
    <row r="5505" ht="12.75" x14ac:dyDescent="0.2"/>
    <row r="5506" ht="12.75" x14ac:dyDescent="0.2"/>
    <row r="5507" ht="12.75" x14ac:dyDescent="0.2"/>
    <row r="5508" ht="12.75" x14ac:dyDescent="0.2"/>
    <row r="5509" ht="12.75" x14ac:dyDescent="0.2"/>
    <row r="5510" ht="12.75" x14ac:dyDescent="0.2"/>
    <row r="5511" ht="12.75" x14ac:dyDescent="0.2"/>
    <row r="5512" ht="12.75" x14ac:dyDescent="0.2"/>
    <row r="5513" ht="12.75" x14ac:dyDescent="0.2"/>
    <row r="5514" ht="12.75" x14ac:dyDescent="0.2"/>
    <row r="5515" ht="12.75" x14ac:dyDescent="0.2"/>
    <row r="5516" ht="12.75" x14ac:dyDescent="0.2"/>
    <row r="5517" ht="12.75" x14ac:dyDescent="0.2"/>
    <row r="5518" ht="12.75" x14ac:dyDescent="0.2"/>
    <row r="5519" ht="12.75" x14ac:dyDescent="0.2"/>
    <row r="5520" ht="12.75" x14ac:dyDescent="0.2"/>
    <row r="5521" ht="12.75" x14ac:dyDescent="0.2"/>
    <row r="5522" ht="12.75" x14ac:dyDescent="0.2"/>
    <row r="5523" ht="12.75" x14ac:dyDescent="0.2"/>
    <row r="5524" ht="12.75" x14ac:dyDescent="0.2"/>
    <row r="5525" ht="12.75" x14ac:dyDescent="0.2"/>
    <row r="5526" ht="12.75" x14ac:dyDescent="0.2"/>
    <row r="5527" ht="12.75" x14ac:dyDescent="0.2"/>
    <row r="5528" ht="12.75" x14ac:dyDescent="0.2"/>
    <row r="5529" ht="12.75" x14ac:dyDescent="0.2"/>
    <row r="5530" ht="12.75" x14ac:dyDescent="0.2"/>
    <row r="5531" ht="12.75" x14ac:dyDescent="0.2"/>
    <row r="5532" ht="12.75" x14ac:dyDescent="0.2"/>
    <row r="5533" ht="12.75" x14ac:dyDescent="0.2"/>
    <row r="5534" ht="12.75" x14ac:dyDescent="0.2"/>
    <row r="5535" ht="12.75" x14ac:dyDescent="0.2"/>
    <row r="5536" ht="12.75" x14ac:dyDescent="0.2"/>
    <row r="5537" ht="12.75" x14ac:dyDescent="0.2"/>
    <row r="5538" ht="12.75" x14ac:dyDescent="0.2"/>
    <row r="5539" ht="12.75" x14ac:dyDescent="0.2"/>
    <row r="5540" ht="12.75" x14ac:dyDescent="0.2"/>
    <row r="5541" ht="12.75" x14ac:dyDescent="0.2"/>
    <row r="5542" ht="12.75" x14ac:dyDescent="0.2"/>
    <row r="5543" ht="12.75" x14ac:dyDescent="0.2"/>
    <row r="5544" ht="12.75" x14ac:dyDescent="0.2"/>
    <row r="5545" ht="12.75" x14ac:dyDescent="0.2"/>
    <row r="5546" ht="12.75" x14ac:dyDescent="0.2"/>
    <row r="5547" ht="12.75" x14ac:dyDescent="0.2"/>
    <row r="5548" ht="12.75" x14ac:dyDescent="0.2"/>
    <row r="5549" ht="12.75" x14ac:dyDescent="0.2"/>
    <row r="5550" ht="12.75" x14ac:dyDescent="0.2"/>
    <row r="5551" ht="12.75" x14ac:dyDescent="0.2"/>
    <row r="5552" ht="12.75" x14ac:dyDescent="0.2"/>
    <row r="5553" ht="12.75" x14ac:dyDescent="0.2"/>
    <row r="5554" ht="12.75" x14ac:dyDescent="0.2"/>
    <row r="5555" ht="12.75" x14ac:dyDescent="0.2"/>
    <row r="5556" ht="12.75" x14ac:dyDescent="0.2"/>
    <row r="5557" ht="12.75" x14ac:dyDescent="0.2"/>
    <row r="5558" ht="12.75" x14ac:dyDescent="0.2"/>
    <row r="5559" ht="12.75" x14ac:dyDescent="0.2"/>
    <row r="5560" ht="12.75" x14ac:dyDescent="0.2"/>
    <row r="5561" ht="12.75" x14ac:dyDescent="0.2"/>
    <row r="5562" ht="12.75" x14ac:dyDescent="0.2"/>
    <row r="5563" ht="12.75" x14ac:dyDescent="0.2"/>
    <row r="5564" ht="12.75" x14ac:dyDescent="0.2"/>
    <row r="5565" ht="12.75" x14ac:dyDescent="0.2"/>
    <row r="5566" ht="12.75" x14ac:dyDescent="0.2"/>
    <row r="5567" ht="12.75" x14ac:dyDescent="0.2"/>
    <row r="5568" ht="12.75" x14ac:dyDescent="0.2"/>
    <row r="5569" ht="12.75" x14ac:dyDescent="0.2"/>
    <row r="5570" ht="12.75" x14ac:dyDescent="0.2"/>
    <row r="5571" ht="12.75" x14ac:dyDescent="0.2"/>
    <row r="5572" ht="12.75" x14ac:dyDescent="0.2"/>
    <row r="5573" ht="12.75" x14ac:dyDescent="0.2"/>
    <row r="5574" ht="12.75" x14ac:dyDescent="0.2"/>
    <row r="5575" ht="12.75" x14ac:dyDescent="0.2"/>
    <row r="5576" ht="12.75" x14ac:dyDescent="0.2"/>
    <row r="5577" ht="12.75" x14ac:dyDescent="0.2"/>
    <row r="5578" ht="12.75" x14ac:dyDescent="0.2"/>
    <row r="5579" ht="12.75" x14ac:dyDescent="0.2"/>
    <row r="5580" ht="12.75" x14ac:dyDescent="0.2"/>
    <row r="5581" ht="12.75" x14ac:dyDescent="0.2"/>
    <row r="5582" ht="12.75" x14ac:dyDescent="0.2"/>
    <row r="5583" ht="12.75" x14ac:dyDescent="0.2"/>
    <row r="5584" ht="12.75" x14ac:dyDescent="0.2"/>
    <row r="5585" ht="12.75" x14ac:dyDescent="0.2"/>
    <row r="5586" ht="12.75" x14ac:dyDescent="0.2"/>
    <row r="5587" ht="12.75" x14ac:dyDescent="0.2"/>
    <row r="5588" ht="12.75" x14ac:dyDescent="0.2"/>
    <row r="5589" ht="12.75" x14ac:dyDescent="0.2"/>
    <row r="5590" ht="12.75" x14ac:dyDescent="0.2"/>
    <row r="5591" ht="12.75" x14ac:dyDescent="0.2"/>
    <row r="5592" ht="12.75" x14ac:dyDescent="0.2"/>
    <row r="5593" ht="12.75" x14ac:dyDescent="0.2"/>
    <row r="5594" ht="12.75" x14ac:dyDescent="0.2"/>
    <row r="5595" ht="12.75" x14ac:dyDescent="0.2"/>
    <row r="5596" ht="12.75" x14ac:dyDescent="0.2"/>
    <row r="5597" ht="12.75" x14ac:dyDescent="0.2"/>
    <row r="5598" ht="12.75" x14ac:dyDescent="0.2"/>
    <row r="5599" ht="12.75" x14ac:dyDescent="0.2"/>
    <row r="5600" ht="12.75" x14ac:dyDescent="0.2"/>
    <row r="5601" ht="12.75" x14ac:dyDescent="0.2"/>
    <row r="5602" ht="12.75" x14ac:dyDescent="0.2"/>
    <row r="5603" ht="12.75" x14ac:dyDescent="0.2"/>
    <row r="5604" ht="12.75" x14ac:dyDescent="0.2"/>
    <row r="5605" ht="12.75" x14ac:dyDescent="0.2"/>
    <row r="5606" ht="12.75" x14ac:dyDescent="0.2"/>
    <row r="5607" ht="12.75" x14ac:dyDescent="0.2"/>
    <row r="5608" ht="12.75" x14ac:dyDescent="0.2"/>
    <row r="5609" ht="12.75" x14ac:dyDescent="0.2"/>
    <row r="5610" ht="12.75" x14ac:dyDescent="0.2"/>
    <row r="5611" ht="12.75" x14ac:dyDescent="0.2"/>
    <row r="5612" ht="12.75" x14ac:dyDescent="0.2"/>
    <row r="5613" ht="12.75" x14ac:dyDescent="0.2"/>
    <row r="5614" ht="12.75" x14ac:dyDescent="0.2"/>
    <row r="5615" ht="12.75" x14ac:dyDescent="0.2"/>
    <row r="5616" ht="12.75" x14ac:dyDescent="0.2"/>
    <row r="5617" ht="12.75" x14ac:dyDescent="0.2"/>
    <row r="5618" ht="12.75" x14ac:dyDescent="0.2"/>
    <row r="5619" ht="12.75" x14ac:dyDescent="0.2"/>
    <row r="5620" ht="12.75" x14ac:dyDescent="0.2"/>
    <row r="5621" ht="12.75" x14ac:dyDescent="0.2"/>
    <row r="5622" ht="12.75" x14ac:dyDescent="0.2"/>
    <row r="5623" ht="12.75" x14ac:dyDescent="0.2"/>
    <row r="5624" ht="12.75" x14ac:dyDescent="0.2"/>
    <row r="5625" ht="12.75" x14ac:dyDescent="0.2"/>
    <row r="5626" ht="12.75" x14ac:dyDescent="0.2"/>
    <row r="5627" ht="12.75" x14ac:dyDescent="0.2"/>
    <row r="5628" ht="12.75" x14ac:dyDescent="0.2"/>
    <row r="5629" ht="12.75" x14ac:dyDescent="0.2"/>
    <row r="5630" ht="12.75" x14ac:dyDescent="0.2"/>
    <row r="5631" ht="12.75" x14ac:dyDescent="0.2"/>
    <row r="5632" ht="12.75" x14ac:dyDescent="0.2"/>
    <row r="5633" ht="12.75" x14ac:dyDescent="0.2"/>
    <row r="5634" ht="12.75" x14ac:dyDescent="0.2"/>
    <row r="5635" ht="12.75" x14ac:dyDescent="0.2"/>
    <row r="5636" ht="12.75" x14ac:dyDescent="0.2"/>
    <row r="5637" ht="12.75" x14ac:dyDescent="0.2"/>
    <row r="5638" ht="12.75" x14ac:dyDescent="0.2"/>
    <row r="5639" ht="12.75" x14ac:dyDescent="0.2"/>
    <row r="5640" ht="12.75" x14ac:dyDescent="0.2"/>
    <row r="5641" ht="12.75" x14ac:dyDescent="0.2"/>
    <row r="5642" ht="12.75" x14ac:dyDescent="0.2"/>
    <row r="5643" ht="12.75" x14ac:dyDescent="0.2"/>
    <row r="5644" ht="12.75" x14ac:dyDescent="0.2"/>
    <row r="5645" ht="12.75" x14ac:dyDescent="0.2"/>
    <row r="5646" ht="12.75" x14ac:dyDescent="0.2"/>
    <row r="5647" ht="12.75" x14ac:dyDescent="0.2"/>
    <row r="5648" ht="12.75" x14ac:dyDescent="0.2"/>
    <row r="5649" ht="12.75" x14ac:dyDescent="0.2"/>
    <row r="5650" ht="12.75" x14ac:dyDescent="0.2"/>
    <row r="5651" ht="12.75" x14ac:dyDescent="0.2"/>
    <row r="5652" ht="12.75" x14ac:dyDescent="0.2"/>
    <row r="5653" ht="12.75" x14ac:dyDescent="0.2"/>
    <row r="5654" ht="12.75" x14ac:dyDescent="0.2"/>
    <row r="5655" ht="12.75" x14ac:dyDescent="0.2"/>
    <row r="5656" ht="12.75" x14ac:dyDescent="0.2"/>
    <row r="5657" ht="12.75" x14ac:dyDescent="0.2"/>
    <row r="5658" ht="12.75" x14ac:dyDescent="0.2"/>
    <row r="5659" ht="12.75" x14ac:dyDescent="0.2"/>
    <row r="5660" ht="12.75" x14ac:dyDescent="0.2"/>
    <row r="5661" ht="12.75" x14ac:dyDescent="0.2"/>
    <row r="5662" ht="12.75" x14ac:dyDescent="0.2"/>
    <row r="5663" ht="12.75" x14ac:dyDescent="0.2"/>
    <row r="5664" ht="12.75" x14ac:dyDescent="0.2"/>
    <row r="5665" ht="12.75" x14ac:dyDescent="0.2"/>
    <row r="5666" ht="12.75" x14ac:dyDescent="0.2"/>
    <row r="5667" ht="12.75" x14ac:dyDescent="0.2"/>
    <row r="5668" ht="12.75" x14ac:dyDescent="0.2"/>
    <row r="5669" ht="12.75" x14ac:dyDescent="0.2"/>
    <row r="5670" ht="12.75" x14ac:dyDescent="0.2"/>
    <row r="5671" ht="12.75" x14ac:dyDescent="0.2"/>
    <row r="5672" ht="12.75" x14ac:dyDescent="0.2"/>
    <row r="5673" ht="12.75" x14ac:dyDescent="0.2"/>
    <row r="5674" ht="12.75" x14ac:dyDescent="0.2"/>
    <row r="5675" ht="12.75" x14ac:dyDescent="0.2"/>
    <row r="5676" ht="12.75" x14ac:dyDescent="0.2"/>
    <row r="5677" ht="12.75" x14ac:dyDescent="0.2"/>
    <row r="5678" ht="12.75" x14ac:dyDescent="0.2"/>
    <row r="5679" ht="12.75" x14ac:dyDescent="0.2"/>
    <row r="5680" ht="12.75" x14ac:dyDescent="0.2"/>
    <row r="5681" ht="12.75" x14ac:dyDescent="0.2"/>
    <row r="5682" ht="12.75" x14ac:dyDescent="0.2"/>
    <row r="5683" ht="12.75" x14ac:dyDescent="0.2"/>
    <row r="5684" ht="12.75" x14ac:dyDescent="0.2"/>
    <row r="5685" ht="12.75" x14ac:dyDescent="0.2"/>
    <row r="5686" ht="12.75" x14ac:dyDescent="0.2"/>
    <row r="5687" ht="12.75" x14ac:dyDescent="0.2"/>
    <row r="5688" ht="12.75" x14ac:dyDescent="0.2"/>
    <row r="5689" ht="12.75" x14ac:dyDescent="0.2"/>
    <row r="5690" ht="12.75" x14ac:dyDescent="0.2"/>
    <row r="5691" ht="12.75" x14ac:dyDescent="0.2"/>
    <row r="5692" ht="12.75" x14ac:dyDescent="0.2"/>
    <row r="5693" ht="12.75" x14ac:dyDescent="0.2"/>
    <row r="5694" ht="12.75" x14ac:dyDescent="0.2"/>
    <row r="5695" ht="12.75" x14ac:dyDescent="0.2"/>
    <row r="5696" ht="12.75" x14ac:dyDescent="0.2"/>
    <row r="5697" ht="12.75" x14ac:dyDescent="0.2"/>
    <row r="5698" ht="12.75" x14ac:dyDescent="0.2"/>
    <row r="5699" ht="12.75" x14ac:dyDescent="0.2"/>
    <row r="5700" ht="12.75" x14ac:dyDescent="0.2"/>
    <row r="5701" ht="12.75" x14ac:dyDescent="0.2"/>
    <row r="5702" ht="12.75" x14ac:dyDescent="0.2"/>
    <row r="5703" ht="12.75" x14ac:dyDescent="0.2"/>
    <row r="5704" ht="12.75" x14ac:dyDescent="0.2"/>
    <row r="5705" ht="12.75" x14ac:dyDescent="0.2"/>
    <row r="5706" ht="12.75" x14ac:dyDescent="0.2"/>
    <row r="5707" ht="12.75" x14ac:dyDescent="0.2"/>
    <row r="5708" ht="12.75" x14ac:dyDescent="0.2"/>
    <row r="5709" ht="12.75" x14ac:dyDescent="0.2"/>
    <row r="5710" ht="12.75" x14ac:dyDescent="0.2"/>
    <row r="5711" ht="12.75" x14ac:dyDescent="0.2"/>
    <row r="5712" ht="12.75" x14ac:dyDescent="0.2"/>
    <row r="5713" ht="12.75" x14ac:dyDescent="0.2"/>
    <row r="5714" ht="12.75" x14ac:dyDescent="0.2"/>
    <row r="5715" ht="12.75" x14ac:dyDescent="0.2"/>
    <row r="5716" ht="12.75" x14ac:dyDescent="0.2"/>
    <row r="5717" ht="12.75" x14ac:dyDescent="0.2"/>
    <row r="5718" ht="12.75" x14ac:dyDescent="0.2"/>
    <row r="5719" ht="12.75" x14ac:dyDescent="0.2"/>
    <row r="5720" ht="12.75" x14ac:dyDescent="0.2"/>
    <row r="5721" ht="12.75" x14ac:dyDescent="0.2"/>
    <row r="5722" ht="12.75" x14ac:dyDescent="0.2"/>
    <row r="5723" ht="12.75" x14ac:dyDescent="0.2"/>
    <row r="5724" ht="12.75" x14ac:dyDescent="0.2"/>
    <row r="5725" ht="12.75" x14ac:dyDescent="0.2"/>
    <row r="5726" ht="12.75" x14ac:dyDescent="0.2"/>
    <row r="5727" ht="12.75" x14ac:dyDescent="0.2"/>
    <row r="5728" ht="12.75" x14ac:dyDescent="0.2"/>
    <row r="5729" ht="12.75" x14ac:dyDescent="0.2"/>
    <row r="5730" ht="12.75" x14ac:dyDescent="0.2"/>
    <row r="5731" ht="12.75" x14ac:dyDescent="0.2"/>
    <row r="5732" ht="12.75" x14ac:dyDescent="0.2"/>
    <row r="5733" ht="12.75" x14ac:dyDescent="0.2"/>
    <row r="5734" ht="12.75" x14ac:dyDescent="0.2"/>
    <row r="5735" ht="12.75" x14ac:dyDescent="0.2"/>
    <row r="5736" ht="12.75" x14ac:dyDescent="0.2"/>
    <row r="5737" ht="12.75" x14ac:dyDescent="0.2"/>
    <row r="5738" ht="12.75" x14ac:dyDescent="0.2"/>
    <row r="5739" ht="12.75" x14ac:dyDescent="0.2"/>
    <row r="5740" ht="12.75" x14ac:dyDescent="0.2"/>
    <row r="5741" ht="12.75" x14ac:dyDescent="0.2"/>
    <row r="5742" ht="12.75" x14ac:dyDescent="0.2"/>
    <row r="5743" ht="12.75" x14ac:dyDescent="0.2"/>
    <row r="5744" ht="12.75" x14ac:dyDescent="0.2"/>
    <row r="5745" ht="12.75" x14ac:dyDescent="0.2"/>
    <row r="5746" ht="12.75" x14ac:dyDescent="0.2"/>
    <row r="5747" ht="12.75" x14ac:dyDescent="0.2"/>
    <row r="5748" ht="12.75" x14ac:dyDescent="0.2"/>
    <row r="5749" ht="12.75" x14ac:dyDescent="0.2"/>
    <row r="5750" ht="12.75" x14ac:dyDescent="0.2"/>
    <row r="5751" ht="12.75" x14ac:dyDescent="0.2"/>
    <row r="5752" ht="12.75" x14ac:dyDescent="0.2"/>
    <row r="5753" ht="12.75" x14ac:dyDescent="0.2"/>
    <row r="5754" ht="12.75" x14ac:dyDescent="0.2"/>
    <row r="5755" ht="12.75" x14ac:dyDescent="0.2"/>
    <row r="5756" ht="12.75" x14ac:dyDescent="0.2"/>
    <row r="5757" ht="12.75" x14ac:dyDescent="0.2"/>
    <row r="5758" ht="12.75" x14ac:dyDescent="0.2"/>
    <row r="5759" ht="12.75" x14ac:dyDescent="0.2"/>
    <row r="5760" ht="12.75" x14ac:dyDescent="0.2"/>
    <row r="5761" ht="12.75" x14ac:dyDescent="0.2"/>
    <row r="5762" ht="12.75" x14ac:dyDescent="0.2"/>
    <row r="5763" ht="12.75" x14ac:dyDescent="0.2"/>
    <row r="5764" ht="12.75" x14ac:dyDescent="0.2"/>
    <row r="5765" ht="12.75" x14ac:dyDescent="0.2"/>
    <row r="5766" ht="12.75" x14ac:dyDescent="0.2"/>
    <row r="5767" ht="12.75" x14ac:dyDescent="0.2"/>
    <row r="5768" ht="12.75" x14ac:dyDescent="0.2"/>
    <row r="5769" ht="12.75" x14ac:dyDescent="0.2"/>
    <row r="5770" ht="12.75" x14ac:dyDescent="0.2"/>
    <row r="5771" ht="12.75" x14ac:dyDescent="0.2"/>
    <row r="5772" ht="12.75" x14ac:dyDescent="0.2"/>
    <row r="5773" ht="12.75" x14ac:dyDescent="0.2"/>
    <row r="5774" ht="12.75" x14ac:dyDescent="0.2"/>
    <row r="5775" ht="12.75" x14ac:dyDescent="0.2"/>
    <row r="5776" ht="12.75" x14ac:dyDescent="0.2"/>
    <row r="5777" ht="12.75" x14ac:dyDescent="0.2"/>
    <row r="5778" ht="12.75" x14ac:dyDescent="0.2"/>
    <row r="5779" ht="12.75" x14ac:dyDescent="0.2"/>
    <row r="5780" ht="12.75" x14ac:dyDescent="0.2"/>
    <row r="5781" ht="12.75" x14ac:dyDescent="0.2"/>
    <row r="5782" ht="12.75" x14ac:dyDescent="0.2"/>
    <row r="5783" ht="12.75" x14ac:dyDescent="0.2"/>
    <row r="5784" ht="12.75" x14ac:dyDescent="0.2"/>
    <row r="5785" ht="12.75" x14ac:dyDescent="0.2"/>
    <row r="5786" ht="12.75" x14ac:dyDescent="0.2"/>
    <row r="5787" ht="12.75" x14ac:dyDescent="0.2"/>
    <row r="5788" ht="12.75" x14ac:dyDescent="0.2"/>
    <row r="5789" ht="12.75" x14ac:dyDescent="0.2"/>
    <row r="5790" ht="12.75" x14ac:dyDescent="0.2"/>
    <row r="5791" ht="12.75" x14ac:dyDescent="0.2"/>
    <row r="5792" ht="12.75" x14ac:dyDescent="0.2"/>
    <row r="5793" ht="12.75" x14ac:dyDescent="0.2"/>
    <row r="5794" ht="12.75" x14ac:dyDescent="0.2"/>
    <row r="5795" ht="12.75" x14ac:dyDescent="0.2"/>
    <row r="5796" ht="12.75" x14ac:dyDescent="0.2"/>
    <row r="5797" ht="12.75" x14ac:dyDescent="0.2"/>
    <row r="5798" ht="12.75" x14ac:dyDescent="0.2"/>
    <row r="5799" ht="12.75" x14ac:dyDescent="0.2"/>
    <row r="5800" ht="12.75" x14ac:dyDescent="0.2"/>
    <row r="5801" ht="12.75" x14ac:dyDescent="0.2"/>
    <row r="5802" ht="12.75" x14ac:dyDescent="0.2"/>
    <row r="5803" ht="12.75" x14ac:dyDescent="0.2"/>
    <row r="5804" ht="12.75" x14ac:dyDescent="0.2"/>
    <row r="5805" ht="12.75" x14ac:dyDescent="0.2"/>
    <row r="5806" ht="12.75" x14ac:dyDescent="0.2"/>
    <row r="5807" ht="12.75" x14ac:dyDescent="0.2"/>
    <row r="5808" ht="12.75" x14ac:dyDescent="0.2"/>
    <row r="5809" ht="12.75" x14ac:dyDescent="0.2"/>
    <row r="5810" ht="12.75" x14ac:dyDescent="0.2"/>
    <row r="5811" ht="12.75" x14ac:dyDescent="0.2"/>
    <row r="5812" ht="12.75" x14ac:dyDescent="0.2"/>
    <row r="5813" ht="12.75" x14ac:dyDescent="0.2"/>
    <row r="5814" ht="12.75" x14ac:dyDescent="0.2"/>
    <row r="5815" ht="12.75" x14ac:dyDescent="0.2"/>
    <row r="5816" ht="12.75" x14ac:dyDescent="0.2"/>
    <row r="5817" ht="12.75" x14ac:dyDescent="0.2"/>
    <row r="5818" ht="12.75" x14ac:dyDescent="0.2"/>
    <row r="5819" ht="12.75" x14ac:dyDescent="0.2"/>
    <row r="5820" ht="12.75" x14ac:dyDescent="0.2"/>
    <row r="5821" ht="12.75" x14ac:dyDescent="0.2"/>
    <row r="5822" ht="12.75" x14ac:dyDescent="0.2"/>
    <row r="5823" ht="12.75" x14ac:dyDescent="0.2"/>
    <row r="5824" ht="12.75" x14ac:dyDescent="0.2"/>
    <row r="5825" ht="12.75" x14ac:dyDescent="0.2"/>
    <row r="5826" ht="12.75" x14ac:dyDescent="0.2"/>
    <row r="5827" ht="12.75" x14ac:dyDescent="0.2"/>
    <row r="5828" ht="12.75" x14ac:dyDescent="0.2"/>
    <row r="5829" ht="12.75" x14ac:dyDescent="0.2"/>
    <row r="5830" ht="12.75" x14ac:dyDescent="0.2"/>
    <row r="5831" ht="12.75" x14ac:dyDescent="0.2"/>
    <row r="5832" ht="12.75" x14ac:dyDescent="0.2"/>
    <row r="5833" ht="12.75" x14ac:dyDescent="0.2"/>
    <row r="5834" ht="12.75" x14ac:dyDescent="0.2"/>
    <row r="5835" ht="12.75" x14ac:dyDescent="0.2"/>
    <row r="5836" ht="12.75" x14ac:dyDescent="0.2"/>
    <row r="5837" ht="12.75" x14ac:dyDescent="0.2"/>
    <row r="5838" ht="12.75" x14ac:dyDescent="0.2"/>
    <row r="5839" ht="12.75" x14ac:dyDescent="0.2"/>
    <row r="5840" ht="12.75" x14ac:dyDescent="0.2"/>
    <row r="5841" ht="12.75" x14ac:dyDescent="0.2"/>
    <row r="5842" ht="12.75" x14ac:dyDescent="0.2"/>
    <row r="5843" ht="12.75" x14ac:dyDescent="0.2"/>
    <row r="5844" ht="12.75" x14ac:dyDescent="0.2"/>
    <row r="5845" ht="12.75" x14ac:dyDescent="0.2"/>
    <row r="5846" ht="12.75" x14ac:dyDescent="0.2"/>
    <row r="5847" ht="12.75" x14ac:dyDescent="0.2"/>
    <row r="5848" ht="12.75" x14ac:dyDescent="0.2"/>
    <row r="5849" ht="12.75" x14ac:dyDescent="0.2"/>
    <row r="5850" ht="12.75" x14ac:dyDescent="0.2"/>
    <row r="5851" ht="12.75" x14ac:dyDescent="0.2"/>
    <row r="5852" ht="12.75" x14ac:dyDescent="0.2"/>
    <row r="5853" ht="12.75" x14ac:dyDescent="0.2"/>
    <row r="5854" ht="12.75" x14ac:dyDescent="0.2"/>
    <row r="5855" ht="12.75" x14ac:dyDescent="0.2"/>
    <row r="5856" ht="12.75" x14ac:dyDescent="0.2"/>
    <row r="5857" ht="12.75" x14ac:dyDescent="0.2"/>
    <row r="5858" ht="12.75" x14ac:dyDescent="0.2"/>
    <row r="5859" ht="12.75" x14ac:dyDescent="0.2"/>
    <row r="5860" ht="12.75" x14ac:dyDescent="0.2"/>
    <row r="5861" ht="12.75" x14ac:dyDescent="0.2"/>
    <row r="5862" ht="12.75" x14ac:dyDescent="0.2"/>
    <row r="5863" ht="12.75" x14ac:dyDescent="0.2"/>
    <row r="5864" ht="12.75" x14ac:dyDescent="0.2"/>
    <row r="5865" ht="12.75" x14ac:dyDescent="0.2"/>
    <row r="5866" ht="12.75" x14ac:dyDescent="0.2"/>
    <row r="5867" ht="12.75" x14ac:dyDescent="0.2"/>
    <row r="5868" ht="12.75" x14ac:dyDescent="0.2"/>
    <row r="5869" ht="12.75" x14ac:dyDescent="0.2"/>
    <row r="5870" ht="12.75" x14ac:dyDescent="0.2"/>
    <row r="5871" ht="12.75" x14ac:dyDescent="0.2"/>
    <row r="5872" ht="12.75" x14ac:dyDescent="0.2"/>
    <row r="5873" ht="12.75" x14ac:dyDescent="0.2"/>
    <row r="5874" ht="12.75" x14ac:dyDescent="0.2"/>
    <row r="5875" ht="12.75" x14ac:dyDescent="0.2"/>
    <row r="5876" ht="12.75" x14ac:dyDescent="0.2"/>
    <row r="5877" ht="12.75" x14ac:dyDescent="0.2"/>
    <row r="5878" ht="12.75" x14ac:dyDescent="0.2"/>
    <row r="5879" ht="12.75" x14ac:dyDescent="0.2"/>
    <row r="5880" ht="12.75" x14ac:dyDescent="0.2"/>
    <row r="5881" ht="12.75" x14ac:dyDescent="0.2"/>
    <row r="5882" ht="12.75" x14ac:dyDescent="0.2"/>
    <row r="5883" ht="12.75" x14ac:dyDescent="0.2"/>
    <row r="5884" ht="12.75" x14ac:dyDescent="0.2"/>
    <row r="5885" ht="12.75" x14ac:dyDescent="0.2"/>
    <row r="5886" ht="12.75" x14ac:dyDescent="0.2"/>
    <row r="5887" ht="12.75" x14ac:dyDescent="0.2"/>
    <row r="5888" ht="12.75" x14ac:dyDescent="0.2"/>
    <row r="5889" ht="12.75" x14ac:dyDescent="0.2"/>
    <row r="5890" ht="12.75" x14ac:dyDescent="0.2"/>
    <row r="5891" ht="12.75" x14ac:dyDescent="0.2"/>
    <row r="5892" ht="12.75" x14ac:dyDescent="0.2"/>
    <row r="5893" ht="12.75" x14ac:dyDescent="0.2"/>
    <row r="5894" ht="12.75" x14ac:dyDescent="0.2"/>
    <row r="5895" ht="12.75" x14ac:dyDescent="0.2"/>
    <row r="5896" ht="12.75" x14ac:dyDescent="0.2"/>
    <row r="5897" ht="12.75" x14ac:dyDescent="0.2"/>
    <row r="5898" ht="12.75" x14ac:dyDescent="0.2"/>
    <row r="5899" ht="12.75" x14ac:dyDescent="0.2"/>
    <row r="5900" ht="12.75" x14ac:dyDescent="0.2"/>
    <row r="5901" ht="12.75" x14ac:dyDescent="0.2"/>
    <row r="5902" ht="12.75" x14ac:dyDescent="0.2"/>
    <row r="5903" ht="12.75" x14ac:dyDescent="0.2"/>
    <row r="5904" ht="12.75" x14ac:dyDescent="0.2"/>
    <row r="5905" ht="12.75" x14ac:dyDescent="0.2"/>
    <row r="5906" ht="12.75" x14ac:dyDescent="0.2"/>
    <row r="5907" ht="12.75" x14ac:dyDescent="0.2"/>
    <row r="5908" ht="12.75" x14ac:dyDescent="0.2"/>
    <row r="5909" ht="12.75" x14ac:dyDescent="0.2"/>
    <row r="5910" ht="12.75" x14ac:dyDescent="0.2"/>
    <row r="5911" ht="12.75" x14ac:dyDescent="0.2"/>
    <row r="5912" ht="12.75" x14ac:dyDescent="0.2"/>
    <row r="5913" ht="12.75" x14ac:dyDescent="0.2"/>
    <row r="5914" ht="12.75" x14ac:dyDescent="0.2"/>
    <row r="5915" ht="12.75" x14ac:dyDescent="0.2"/>
    <row r="5916" ht="12.75" x14ac:dyDescent="0.2"/>
    <row r="5917" ht="12.75" x14ac:dyDescent="0.2"/>
    <row r="5918" ht="12.75" x14ac:dyDescent="0.2"/>
    <row r="5919" ht="12.75" x14ac:dyDescent="0.2"/>
    <row r="5920" ht="12.75" x14ac:dyDescent="0.2"/>
    <row r="5921" ht="12.75" x14ac:dyDescent="0.2"/>
    <row r="5922" ht="12.75" x14ac:dyDescent="0.2"/>
    <row r="5923" ht="12.75" x14ac:dyDescent="0.2"/>
    <row r="5924" ht="12.75" x14ac:dyDescent="0.2"/>
    <row r="5925" ht="12.75" x14ac:dyDescent="0.2"/>
    <row r="5926" ht="12.75" x14ac:dyDescent="0.2"/>
    <row r="5927" ht="12.75" x14ac:dyDescent="0.2"/>
    <row r="5928" ht="12.75" x14ac:dyDescent="0.2"/>
    <row r="5929" ht="12.75" x14ac:dyDescent="0.2"/>
    <row r="5930" ht="12.75" x14ac:dyDescent="0.2"/>
    <row r="5931" ht="12.75" x14ac:dyDescent="0.2"/>
    <row r="5932" ht="12.75" x14ac:dyDescent="0.2"/>
    <row r="5933" ht="12.75" x14ac:dyDescent="0.2"/>
    <row r="5934" ht="12.75" x14ac:dyDescent="0.2"/>
    <row r="5935" ht="12.75" x14ac:dyDescent="0.2"/>
    <row r="5936" ht="12.75" x14ac:dyDescent="0.2"/>
    <row r="5937" ht="12.75" x14ac:dyDescent="0.2"/>
    <row r="5938" ht="12.75" x14ac:dyDescent="0.2"/>
    <row r="5939" ht="12.75" x14ac:dyDescent="0.2"/>
    <row r="5940" ht="12.75" x14ac:dyDescent="0.2"/>
    <row r="5941" ht="12.75" x14ac:dyDescent="0.2"/>
    <row r="5942" ht="12.75" x14ac:dyDescent="0.2"/>
    <row r="5943" ht="12.75" x14ac:dyDescent="0.2"/>
    <row r="5944" ht="12.75" x14ac:dyDescent="0.2"/>
    <row r="5945" ht="12.75" x14ac:dyDescent="0.2"/>
    <row r="5946" ht="12.75" x14ac:dyDescent="0.2"/>
    <row r="5947" ht="12.75" x14ac:dyDescent="0.2"/>
    <row r="5948" ht="12.75" x14ac:dyDescent="0.2"/>
    <row r="5949" ht="12.75" x14ac:dyDescent="0.2"/>
    <row r="5950" ht="12.75" x14ac:dyDescent="0.2"/>
    <row r="5951" ht="12.75" x14ac:dyDescent="0.2"/>
    <row r="5952" ht="12.75" x14ac:dyDescent="0.2"/>
    <row r="5953" ht="12.75" x14ac:dyDescent="0.2"/>
    <row r="5954" ht="12.75" x14ac:dyDescent="0.2"/>
    <row r="5955" ht="12.75" x14ac:dyDescent="0.2"/>
    <row r="5956" ht="12.75" x14ac:dyDescent="0.2"/>
    <row r="5957" ht="12.75" x14ac:dyDescent="0.2"/>
    <row r="5958" ht="12.75" x14ac:dyDescent="0.2"/>
    <row r="5959" ht="12.75" x14ac:dyDescent="0.2"/>
    <row r="5960" ht="12.75" x14ac:dyDescent="0.2"/>
    <row r="5961" ht="12.75" x14ac:dyDescent="0.2"/>
    <row r="5962" ht="12.75" x14ac:dyDescent="0.2"/>
    <row r="5963" ht="12.75" x14ac:dyDescent="0.2"/>
    <row r="5964" ht="12.75" x14ac:dyDescent="0.2"/>
    <row r="5965" ht="12.75" x14ac:dyDescent="0.2"/>
    <row r="5966" ht="12.75" x14ac:dyDescent="0.2"/>
    <row r="5967" ht="12.75" x14ac:dyDescent="0.2"/>
    <row r="5968" ht="12.75" x14ac:dyDescent="0.2"/>
    <row r="5969" ht="12.75" x14ac:dyDescent="0.2"/>
    <row r="5970" ht="12.75" x14ac:dyDescent="0.2"/>
    <row r="5971" ht="12.75" x14ac:dyDescent="0.2"/>
    <row r="5972" ht="12.75" x14ac:dyDescent="0.2"/>
    <row r="5973" ht="12.75" x14ac:dyDescent="0.2"/>
    <row r="5974" ht="12.75" x14ac:dyDescent="0.2"/>
    <row r="5975" ht="12.75" x14ac:dyDescent="0.2"/>
    <row r="5976" ht="12.75" x14ac:dyDescent="0.2"/>
    <row r="5977" ht="12.75" x14ac:dyDescent="0.2"/>
    <row r="5978" ht="12.75" x14ac:dyDescent="0.2"/>
    <row r="5979" ht="12.75" x14ac:dyDescent="0.2"/>
    <row r="5980" ht="12.75" x14ac:dyDescent="0.2"/>
    <row r="5981" ht="12.75" x14ac:dyDescent="0.2"/>
    <row r="5982" ht="12.75" x14ac:dyDescent="0.2"/>
    <row r="5983" ht="12.75" x14ac:dyDescent="0.2"/>
    <row r="5984" ht="12.75" x14ac:dyDescent="0.2"/>
    <row r="5985" ht="12.75" x14ac:dyDescent="0.2"/>
    <row r="5986" ht="12.75" x14ac:dyDescent="0.2"/>
    <row r="5987" ht="12.75" x14ac:dyDescent="0.2"/>
    <row r="5988" ht="12.75" x14ac:dyDescent="0.2"/>
    <row r="5989" ht="12.75" x14ac:dyDescent="0.2"/>
    <row r="5990" ht="12.75" x14ac:dyDescent="0.2"/>
    <row r="5991" ht="12.75" x14ac:dyDescent="0.2"/>
    <row r="5992" ht="12.75" x14ac:dyDescent="0.2"/>
    <row r="5993" ht="12.75" x14ac:dyDescent="0.2"/>
    <row r="5994" ht="12.75" x14ac:dyDescent="0.2"/>
    <row r="5995" ht="12.75" x14ac:dyDescent="0.2"/>
    <row r="5996" ht="12.75" x14ac:dyDescent="0.2"/>
    <row r="5997" ht="12.75" x14ac:dyDescent="0.2"/>
    <row r="5998" ht="12.75" x14ac:dyDescent="0.2"/>
    <row r="5999" ht="12.75" x14ac:dyDescent="0.2"/>
    <row r="6000" ht="12.75" x14ac:dyDescent="0.2"/>
    <row r="6001" ht="12.75" x14ac:dyDescent="0.2"/>
    <row r="6002" ht="12.75" x14ac:dyDescent="0.2"/>
    <row r="6003" ht="12.75" x14ac:dyDescent="0.2"/>
    <row r="6004" ht="12.75" x14ac:dyDescent="0.2"/>
    <row r="6005" ht="12.75" x14ac:dyDescent="0.2"/>
    <row r="6006" ht="12.75" x14ac:dyDescent="0.2"/>
    <row r="6007" ht="12.75" x14ac:dyDescent="0.2"/>
    <row r="6008" ht="12.75" x14ac:dyDescent="0.2"/>
    <row r="6009" ht="12.75" x14ac:dyDescent="0.2"/>
    <row r="6010" ht="12.75" x14ac:dyDescent="0.2"/>
    <row r="6011" ht="12.75" x14ac:dyDescent="0.2"/>
    <row r="6012" ht="12.75" x14ac:dyDescent="0.2"/>
    <row r="6013" ht="12.75" x14ac:dyDescent="0.2"/>
    <row r="6014" ht="12.75" x14ac:dyDescent="0.2"/>
    <row r="6015" ht="12.75" x14ac:dyDescent="0.2"/>
    <row r="6016" ht="12.75" x14ac:dyDescent="0.2"/>
    <row r="6017" ht="12.75" x14ac:dyDescent="0.2"/>
    <row r="6018" ht="12.75" x14ac:dyDescent="0.2"/>
    <row r="6019" ht="12.75" x14ac:dyDescent="0.2"/>
    <row r="6020" ht="12.75" x14ac:dyDescent="0.2"/>
    <row r="6021" ht="12.75" x14ac:dyDescent="0.2"/>
    <row r="6022" ht="12.75" x14ac:dyDescent="0.2"/>
    <row r="6023" ht="12.75" x14ac:dyDescent="0.2"/>
    <row r="6024" ht="12.75" x14ac:dyDescent="0.2"/>
    <row r="6025" ht="12.75" x14ac:dyDescent="0.2"/>
    <row r="6026" ht="12.75" x14ac:dyDescent="0.2"/>
    <row r="6027" ht="12.75" x14ac:dyDescent="0.2"/>
    <row r="6028" ht="12.75" x14ac:dyDescent="0.2"/>
    <row r="6029" ht="12.75" x14ac:dyDescent="0.2"/>
    <row r="6030" ht="12.75" x14ac:dyDescent="0.2"/>
    <row r="6031" ht="12.75" x14ac:dyDescent="0.2"/>
    <row r="6032" ht="12.75" x14ac:dyDescent="0.2"/>
    <row r="6033" ht="12.75" x14ac:dyDescent="0.2"/>
    <row r="6034" ht="12.75" x14ac:dyDescent="0.2"/>
    <row r="6035" ht="12.75" x14ac:dyDescent="0.2"/>
    <row r="6036" ht="12.75" x14ac:dyDescent="0.2"/>
    <row r="6037" ht="12.75" x14ac:dyDescent="0.2"/>
    <row r="6038" ht="12.75" x14ac:dyDescent="0.2"/>
    <row r="6039" ht="12.75" x14ac:dyDescent="0.2"/>
    <row r="6040" ht="12.75" x14ac:dyDescent="0.2"/>
    <row r="6041" ht="12.75" x14ac:dyDescent="0.2"/>
    <row r="6042" ht="12.75" x14ac:dyDescent="0.2"/>
    <row r="6043" ht="12.75" x14ac:dyDescent="0.2"/>
    <row r="6044" ht="12.75" x14ac:dyDescent="0.2"/>
    <row r="6045" ht="12.75" x14ac:dyDescent="0.2"/>
    <row r="6046" ht="12.75" x14ac:dyDescent="0.2"/>
    <row r="6047" ht="12.75" x14ac:dyDescent="0.2"/>
    <row r="6048" ht="12.75" x14ac:dyDescent="0.2"/>
    <row r="6049" ht="12.75" x14ac:dyDescent="0.2"/>
    <row r="6050" ht="12.75" x14ac:dyDescent="0.2"/>
    <row r="6051" ht="12.75" x14ac:dyDescent="0.2"/>
    <row r="6052" ht="12.75" x14ac:dyDescent="0.2"/>
    <row r="6053" ht="12.75" x14ac:dyDescent="0.2"/>
    <row r="6054" ht="12.75" x14ac:dyDescent="0.2"/>
    <row r="6055" ht="12.75" x14ac:dyDescent="0.2"/>
    <row r="6056" ht="12.75" x14ac:dyDescent="0.2"/>
    <row r="6057" ht="12.75" x14ac:dyDescent="0.2"/>
    <row r="6058" ht="12.75" x14ac:dyDescent="0.2"/>
    <row r="6059" ht="12.75" x14ac:dyDescent="0.2"/>
    <row r="6060" ht="12.75" x14ac:dyDescent="0.2"/>
    <row r="6061" ht="12.75" x14ac:dyDescent="0.2"/>
    <row r="6062" ht="12.75" x14ac:dyDescent="0.2"/>
    <row r="6063" ht="12.75" x14ac:dyDescent="0.2"/>
    <row r="6064" ht="12.75" x14ac:dyDescent="0.2"/>
    <row r="6065" ht="12.75" x14ac:dyDescent="0.2"/>
    <row r="6066" ht="12.75" x14ac:dyDescent="0.2"/>
    <row r="6067" ht="12.75" x14ac:dyDescent="0.2"/>
    <row r="6068" ht="12.75" x14ac:dyDescent="0.2"/>
    <row r="6069" ht="12.75" x14ac:dyDescent="0.2"/>
    <row r="6070" ht="12.75" x14ac:dyDescent="0.2"/>
    <row r="6071" ht="12.75" x14ac:dyDescent="0.2"/>
    <row r="6072" ht="12.75" x14ac:dyDescent="0.2"/>
    <row r="6073" ht="12.75" x14ac:dyDescent="0.2"/>
    <row r="6074" ht="12.75" x14ac:dyDescent="0.2"/>
    <row r="6075" ht="12.75" x14ac:dyDescent="0.2"/>
    <row r="6076" ht="12.75" x14ac:dyDescent="0.2"/>
    <row r="6077" ht="12.75" x14ac:dyDescent="0.2"/>
    <row r="6078" ht="12.75" x14ac:dyDescent="0.2"/>
    <row r="6079" ht="12.75" x14ac:dyDescent="0.2"/>
    <row r="6080" ht="12.75" x14ac:dyDescent="0.2"/>
    <row r="6081" ht="12.75" x14ac:dyDescent="0.2"/>
    <row r="6082" ht="12.75" x14ac:dyDescent="0.2"/>
    <row r="6083" ht="12.75" x14ac:dyDescent="0.2"/>
    <row r="6084" ht="12.75" x14ac:dyDescent="0.2"/>
    <row r="6085" ht="12.75" x14ac:dyDescent="0.2"/>
    <row r="6086" ht="12.75" x14ac:dyDescent="0.2"/>
    <row r="6087" ht="12.75" x14ac:dyDescent="0.2"/>
    <row r="6088" ht="12.75" x14ac:dyDescent="0.2"/>
    <row r="6089" ht="12.75" x14ac:dyDescent="0.2"/>
    <row r="6090" ht="12.75" x14ac:dyDescent="0.2"/>
    <row r="6091" ht="12.75" x14ac:dyDescent="0.2"/>
    <row r="6092" ht="12.75" x14ac:dyDescent="0.2"/>
    <row r="6093" ht="12.75" x14ac:dyDescent="0.2"/>
    <row r="6094" ht="12.75" x14ac:dyDescent="0.2"/>
    <row r="6095" ht="12.75" x14ac:dyDescent="0.2"/>
    <row r="6096" ht="12.75" x14ac:dyDescent="0.2"/>
    <row r="6097" ht="12.75" x14ac:dyDescent="0.2"/>
    <row r="6098" ht="12.75" x14ac:dyDescent="0.2"/>
    <row r="6099" ht="12.75" x14ac:dyDescent="0.2"/>
    <row r="6100" ht="12.75" x14ac:dyDescent="0.2"/>
    <row r="6101" ht="12.75" x14ac:dyDescent="0.2"/>
    <row r="6102" ht="12.75" x14ac:dyDescent="0.2"/>
    <row r="6103" ht="12.75" x14ac:dyDescent="0.2"/>
    <row r="6104" ht="12.75" x14ac:dyDescent="0.2"/>
    <row r="6105" ht="12.75" x14ac:dyDescent="0.2"/>
    <row r="6106" ht="12.75" x14ac:dyDescent="0.2"/>
    <row r="6107" ht="12.75" x14ac:dyDescent="0.2"/>
    <row r="6108" ht="12.75" x14ac:dyDescent="0.2"/>
    <row r="6109" ht="12.75" x14ac:dyDescent="0.2"/>
    <row r="6110" ht="12.75" x14ac:dyDescent="0.2"/>
    <row r="6111" ht="12.75" x14ac:dyDescent="0.2"/>
    <row r="6112" ht="12.75" x14ac:dyDescent="0.2"/>
    <row r="6113" ht="12.75" x14ac:dyDescent="0.2"/>
    <row r="6114" ht="12.75" x14ac:dyDescent="0.2"/>
    <row r="6115" ht="12.75" x14ac:dyDescent="0.2"/>
    <row r="6116" ht="12.75" x14ac:dyDescent="0.2"/>
    <row r="6117" ht="12.75" x14ac:dyDescent="0.2"/>
    <row r="6118" ht="12.75" x14ac:dyDescent="0.2"/>
    <row r="6119" ht="12.75" x14ac:dyDescent="0.2"/>
    <row r="6120" ht="12.75" x14ac:dyDescent="0.2"/>
    <row r="6121" ht="12.75" x14ac:dyDescent="0.2"/>
    <row r="6122" ht="12.75" x14ac:dyDescent="0.2"/>
    <row r="6123" ht="12.75" x14ac:dyDescent="0.2"/>
    <row r="6124" ht="12.75" x14ac:dyDescent="0.2"/>
    <row r="6125" ht="12.75" x14ac:dyDescent="0.2"/>
    <row r="6126" ht="12.75" x14ac:dyDescent="0.2"/>
    <row r="6127" ht="12.75" x14ac:dyDescent="0.2"/>
    <row r="6128" ht="12.75" x14ac:dyDescent="0.2"/>
    <row r="6129" ht="12.75" x14ac:dyDescent="0.2"/>
    <row r="6130" ht="12.75" x14ac:dyDescent="0.2"/>
    <row r="6131" ht="12.75" x14ac:dyDescent="0.2"/>
    <row r="6132" ht="12.75" x14ac:dyDescent="0.2"/>
    <row r="6133" ht="12.75" x14ac:dyDescent="0.2"/>
    <row r="6134" ht="12.75" x14ac:dyDescent="0.2"/>
    <row r="6135" ht="12.75" x14ac:dyDescent="0.2"/>
    <row r="6136" ht="12.75" x14ac:dyDescent="0.2"/>
    <row r="6137" ht="12.75" x14ac:dyDescent="0.2"/>
    <row r="6138" ht="12.75" x14ac:dyDescent="0.2"/>
    <row r="6139" ht="12.75" x14ac:dyDescent="0.2"/>
    <row r="6140" ht="12.75" x14ac:dyDescent="0.2"/>
    <row r="6141" ht="12.75" x14ac:dyDescent="0.2"/>
    <row r="6142" ht="12.75" x14ac:dyDescent="0.2"/>
    <row r="6143" ht="12.75" x14ac:dyDescent="0.2"/>
    <row r="6144" ht="12.75" x14ac:dyDescent="0.2"/>
    <row r="6145" ht="12.75" x14ac:dyDescent="0.2"/>
    <row r="6146" ht="12.75" x14ac:dyDescent="0.2"/>
    <row r="6147" ht="12.75" x14ac:dyDescent="0.2"/>
    <row r="6148" ht="12.75" x14ac:dyDescent="0.2"/>
    <row r="6149" ht="12.75" x14ac:dyDescent="0.2"/>
    <row r="6150" ht="12.75" x14ac:dyDescent="0.2"/>
    <row r="6151" ht="12.75" x14ac:dyDescent="0.2"/>
    <row r="6152" ht="12.75" x14ac:dyDescent="0.2"/>
    <row r="6153" ht="12.75" x14ac:dyDescent="0.2"/>
    <row r="6154" ht="12.75" x14ac:dyDescent="0.2"/>
    <row r="6155" ht="12.75" x14ac:dyDescent="0.2"/>
    <row r="6156" ht="12.75" x14ac:dyDescent="0.2"/>
    <row r="6157" ht="12.75" x14ac:dyDescent="0.2"/>
    <row r="6158" ht="12.75" x14ac:dyDescent="0.2"/>
    <row r="6159" ht="12.75" x14ac:dyDescent="0.2"/>
    <row r="6160" ht="12.75" x14ac:dyDescent="0.2"/>
    <row r="6161" ht="12.75" x14ac:dyDescent="0.2"/>
    <row r="6162" ht="12.75" x14ac:dyDescent="0.2"/>
    <row r="6163" ht="12.75" x14ac:dyDescent="0.2"/>
    <row r="6164" ht="12.75" x14ac:dyDescent="0.2"/>
    <row r="6165" ht="12.75" x14ac:dyDescent="0.2"/>
    <row r="6166" ht="12.75" x14ac:dyDescent="0.2"/>
    <row r="6167" ht="12.75" x14ac:dyDescent="0.2"/>
    <row r="6168" ht="12.75" x14ac:dyDescent="0.2"/>
    <row r="6169" ht="12.75" x14ac:dyDescent="0.2"/>
    <row r="6170" ht="12.75" x14ac:dyDescent="0.2"/>
    <row r="6171" ht="12.75" x14ac:dyDescent="0.2"/>
    <row r="6172" ht="12.75" x14ac:dyDescent="0.2"/>
    <row r="6173" ht="12.75" x14ac:dyDescent="0.2"/>
    <row r="6174" ht="12.75" x14ac:dyDescent="0.2"/>
    <row r="6175" ht="12.75" x14ac:dyDescent="0.2"/>
    <row r="6176" ht="12.75" x14ac:dyDescent="0.2"/>
    <row r="6177" ht="12.75" x14ac:dyDescent="0.2"/>
    <row r="6178" ht="12.75" x14ac:dyDescent="0.2"/>
    <row r="6179" ht="12.75" x14ac:dyDescent="0.2"/>
    <row r="6180" ht="12.75" x14ac:dyDescent="0.2"/>
    <row r="6181" ht="12.75" x14ac:dyDescent="0.2"/>
    <row r="6182" ht="12.75" x14ac:dyDescent="0.2"/>
    <row r="6183" ht="12.75" x14ac:dyDescent="0.2"/>
    <row r="6184" ht="12.75" x14ac:dyDescent="0.2"/>
    <row r="6185" ht="12.75" x14ac:dyDescent="0.2"/>
    <row r="6186" ht="12.75" x14ac:dyDescent="0.2"/>
    <row r="6187" ht="12.75" x14ac:dyDescent="0.2"/>
    <row r="6188" ht="12.75" x14ac:dyDescent="0.2"/>
    <row r="6189" ht="12.75" x14ac:dyDescent="0.2"/>
    <row r="6190" ht="12.75" x14ac:dyDescent="0.2"/>
    <row r="6191" ht="12.75" x14ac:dyDescent="0.2"/>
    <row r="6192" ht="12.75" x14ac:dyDescent="0.2"/>
    <row r="6193" ht="12.75" x14ac:dyDescent="0.2"/>
    <row r="6194" ht="12.75" x14ac:dyDescent="0.2"/>
    <row r="6195" ht="12.75" x14ac:dyDescent="0.2"/>
    <row r="6196" ht="12.75" x14ac:dyDescent="0.2"/>
    <row r="6197" ht="12.75" x14ac:dyDescent="0.2"/>
    <row r="6198" ht="12.75" x14ac:dyDescent="0.2"/>
    <row r="6199" ht="12.75" x14ac:dyDescent="0.2"/>
    <row r="6200" ht="12.75" x14ac:dyDescent="0.2"/>
    <row r="6201" ht="12.75" x14ac:dyDescent="0.2"/>
    <row r="6202" ht="12.75" x14ac:dyDescent="0.2"/>
    <row r="6203" ht="12.75" x14ac:dyDescent="0.2"/>
    <row r="6204" ht="12.75" x14ac:dyDescent="0.2"/>
    <row r="6205" ht="12.75" x14ac:dyDescent="0.2"/>
    <row r="6206" ht="12.75" x14ac:dyDescent="0.2"/>
    <row r="6207" ht="12.75" x14ac:dyDescent="0.2"/>
    <row r="6208" ht="12.75" x14ac:dyDescent="0.2"/>
    <row r="6209" ht="12.75" x14ac:dyDescent="0.2"/>
    <row r="6210" ht="12.75" x14ac:dyDescent="0.2"/>
    <row r="6211" ht="12.75" x14ac:dyDescent="0.2"/>
    <row r="6212" ht="12.75" x14ac:dyDescent="0.2"/>
    <row r="6213" ht="12.75" x14ac:dyDescent="0.2"/>
    <row r="6214" ht="12.75" x14ac:dyDescent="0.2"/>
    <row r="6215" ht="12.75" x14ac:dyDescent="0.2"/>
    <row r="6216" ht="12.75" x14ac:dyDescent="0.2"/>
    <row r="6217" ht="12.75" x14ac:dyDescent="0.2"/>
    <row r="6218" ht="12.75" x14ac:dyDescent="0.2"/>
    <row r="6219" ht="12.75" x14ac:dyDescent="0.2"/>
    <row r="6220" ht="12.75" x14ac:dyDescent="0.2"/>
    <row r="6221" ht="12.75" x14ac:dyDescent="0.2"/>
    <row r="6222" ht="12.75" x14ac:dyDescent="0.2"/>
    <row r="6223" ht="12.75" x14ac:dyDescent="0.2"/>
    <row r="6224" ht="12.75" x14ac:dyDescent="0.2"/>
    <row r="6225" ht="12.75" x14ac:dyDescent="0.2"/>
    <row r="6226" ht="12.75" x14ac:dyDescent="0.2"/>
    <row r="6227" ht="12.75" x14ac:dyDescent="0.2"/>
    <row r="6228" ht="12.75" x14ac:dyDescent="0.2"/>
    <row r="6229" ht="12.75" x14ac:dyDescent="0.2"/>
    <row r="6230" ht="12.75" x14ac:dyDescent="0.2"/>
    <row r="6231" ht="12.75" x14ac:dyDescent="0.2"/>
    <row r="6232" ht="12.75" x14ac:dyDescent="0.2"/>
    <row r="6233" ht="12.75" x14ac:dyDescent="0.2"/>
    <row r="6234" ht="12.75" x14ac:dyDescent="0.2"/>
    <row r="6235" ht="12.75" x14ac:dyDescent="0.2"/>
    <row r="6236" ht="12.75" x14ac:dyDescent="0.2"/>
    <row r="6237" ht="12.75" x14ac:dyDescent="0.2"/>
    <row r="6238" ht="12.75" x14ac:dyDescent="0.2"/>
    <row r="6239" ht="12.75" x14ac:dyDescent="0.2"/>
    <row r="6240" ht="12.75" x14ac:dyDescent="0.2"/>
    <row r="6241" ht="12.75" x14ac:dyDescent="0.2"/>
    <row r="6242" ht="12.75" x14ac:dyDescent="0.2"/>
    <row r="6243" ht="12.75" x14ac:dyDescent="0.2"/>
    <row r="6244" ht="12.75" x14ac:dyDescent="0.2"/>
    <row r="6245" ht="12.75" x14ac:dyDescent="0.2"/>
    <row r="6246" ht="12.75" x14ac:dyDescent="0.2"/>
    <row r="6247" ht="12.75" x14ac:dyDescent="0.2"/>
    <row r="6248" ht="12.75" x14ac:dyDescent="0.2"/>
    <row r="6249" ht="12.75" x14ac:dyDescent="0.2"/>
    <row r="6250" ht="12.75" x14ac:dyDescent="0.2"/>
    <row r="6251" ht="12.75" x14ac:dyDescent="0.2"/>
    <row r="6252" ht="12.75" x14ac:dyDescent="0.2"/>
    <row r="6253" ht="12.75" x14ac:dyDescent="0.2"/>
    <row r="6254" ht="12.75" x14ac:dyDescent="0.2"/>
    <row r="6255" ht="12.75" x14ac:dyDescent="0.2"/>
    <row r="6256" ht="12.75" x14ac:dyDescent="0.2"/>
    <row r="6257" ht="12.75" x14ac:dyDescent="0.2"/>
    <row r="6258" ht="12.75" x14ac:dyDescent="0.2"/>
    <row r="6259" ht="12.75" x14ac:dyDescent="0.2"/>
    <row r="6260" ht="12.75" x14ac:dyDescent="0.2"/>
    <row r="6261" ht="12.75" x14ac:dyDescent="0.2"/>
    <row r="6262" ht="12.75" x14ac:dyDescent="0.2"/>
    <row r="6263" ht="12.75" x14ac:dyDescent="0.2"/>
    <row r="6264" ht="12.75" x14ac:dyDescent="0.2"/>
    <row r="6265" ht="12.75" x14ac:dyDescent="0.2"/>
    <row r="6266" ht="12.75" x14ac:dyDescent="0.2"/>
    <row r="6267" ht="12.75" x14ac:dyDescent="0.2"/>
    <row r="6268" ht="12.75" x14ac:dyDescent="0.2"/>
    <row r="6269" ht="12.75" x14ac:dyDescent="0.2"/>
    <row r="6270" ht="12.75" x14ac:dyDescent="0.2"/>
    <row r="6271" ht="12.75" x14ac:dyDescent="0.2"/>
    <row r="6272" ht="12.75" x14ac:dyDescent="0.2"/>
    <row r="6273" ht="12.75" x14ac:dyDescent="0.2"/>
    <row r="6274" ht="12.75" x14ac:dyDescent="0.2"/>
    <row r="6275" ht="12.75" x14ac:dyDescent="0.2"/>
    <row r="6276" ht="12.75" x14ac:dyDescent="0.2"/>
    <row r="6277" ht="12.75" x14ac:dyDescent="0.2"/>
    <row r="6278" ht="12.75" x14ac:dyDescent="0.2"/>
    <row r="6279" ht="12.75" x14ac:dyDescent="0.2"/>
    <row r="6280" ht="12.75" x14ac:dyDescent="0.2"/>
    <row r="6281" ht="12.75" x14ac:dyDescent="0.2"/>
    <row r="6282" ht="12.75" x14ac:dyDescent="0.2"/>
    <row r="6283" ht="12.75" x14ac:dyDescent="0.2"/>
    <row r="6284" ht="12.75" x14ac:dyDescent="0.2"/>
    <row r="6285" ht="12.75" x14ac:dyDescent="0.2"/>
    <row r="6286" ht="12.75" x14ac:dyDescent="0.2"/>
    <row r="6287" ht="12.75" x14ac:dyDescent="0.2"/>
    <row r="6288" ht="12.75" x14ac:dyDescent="0.2"/>
    <row r="6289" ht="12.75" x14ac:dyDescent="0.2"/>
    <row r="6290" ht="12.75" x14ac:dyDescent="0.2"/>
    <row r="6291" ht="12.75" x14ac:dyDescent="0.2"/>
    <row r="6292" ht="12.75" x14ac:dyDescent="0.2"/>
    <row r="6293" ht="12.75" x14ac:dyDescent="0.2"/>
    <row r="6294" ht="12.75" x14ac:dyDescent="0.2"/>
    <row r="6295" ht="12.75" x14ac:dyDescent="0.2"/>
    <row r="6296" ht="12.75" x14ac:dyDescent="0.2"/>
    <row r="6297" ht="12.75" x14ac:dyDescent="0.2"/>
    <row r="6298" ht="12.75" x14ac:dyDescent="0.2"/>
    <row r="6299" ht="12.75" x14ac:dyDescent="0.2"/>
    <row r="6300" ht="12.75" x14ac:dyDescent="0.2"/>
    <row r="6301" ht="12.75" x14ac:dyDescent="0.2"/>
    <row r="6302" ht="12.75" x14ac:dyDescent="0.2"/>
    <row r="6303" ht="12.75" x14ac:dyDescent="0.2"/>
    <row r="6304" ht="12.75" x14ac:dyDescent="0.2"/>
    <row r="6305" ht="12.75" x14ac:dyDescent="0.2"/>
    <row r="6306" ht="12.75" x14ac:dyDescent="0.2"/>
    <row r="6307" ht="12.75" x14ac:dyDescent="0.2"/>
    <row r="6308" ht="12.75" x14ac:dyDescent="0.2"/>
    <row r="6309" ht="12.75" x14ac:dyDescent="0.2"/>
    <row r="6310" ht="12.75" x14ac:dyDescent="0.2"/>
    <row r="6311" ht="12.75" x14ac:dyDescent="0.2"/>
    <row r="6312" ht="12.75" x14ac:dyDescent="0.2"/>
    <row r="6313" ht="12.75" x14ac:dyDescent="0.2"/>
    <row r="6314" ht="12.75" x14ac:dyDescent="0.2"/>
    <row r="6315" ht="12.75" x14ac:dyDescent="0.2"/>
    <row r="6316" ht="12.75" x14ac:dyDescent="0.2"/>
    <row r="6317" ht="12.75" x14ac:dyDescent="0.2"/>
    <row r="6318" ht="12.75" x14ac:dyDescent="0.2"/>
    <row r="6319" ht="12.75" x14ac:dyDescent="0.2"/>
    <row r="6320" ht="12.75" x14ac:dyDescent="0.2"/>
    <row r="6321" ht="12.75" x14ac:dyDescent="0.2"/>
    <row r="6322" ht="12.75" x14ac:dyDescent="0.2"/>
    <row r="6323" ht="12.75" x14ac:dyDescent="0.2"/>
    <row r="6324" ht="12.75" x14ac:dyDescent="0.2"/>
    <row r="6325" ht="12.75" x14ac:dyDescent="0.2"/>
    <row r="6326" ht="12.75" x14ac:dyDescent="0.2"/>
    <row r="6327" ht="12.75" x14ac:dyDescent="0.2"/>
    <row r="6328" ht="12.75" x14ac:dyDescent="0.2"/>
    <row r="6329" ht="12.75" x14ac:dyDescent="0.2"/>
    <row r="6330" ht="12.75" x14ac:dyDescent="0.2"/>
    <row r="6331" ht="12.75" x14ac:dyDescent="0.2"/>
    <row r="6332" ht="12.75" x14ac:dyDescent="0.2"/>
    <row r="6333" ht="12.75" x14ac:dyDescent="0.2"/>
    <row r="6334" ht="12.75" x14ac:dyDescent="0.2"/>
    <row r="6335" ht="12.75" x14ac:dyDescent="0.2"/>
    <row r="6336" ht="12.75" x14ac:dyDescent="0.2"/>
    <row r="6337" ht="12.75" x14ac:dyDescent="0.2"/>
    <row r="6338" ht="12.75" x14ac:dyDescent="0.2"/>
    <row r="6339" ht="12.75" x14ac:dyDescent="0.2"/>
    <row r="6340" ht="12.75" x14ac:dyDescent="0.2"/>
    <row r="6341" ht="12.75" x14ac:dyDescent="0.2"/>
    <row r="6342" ht="12.75" x14ac:dyDescent="0.2"/>
    <row r="6343" ht="12.75" x14ac:dyDescent="0.2"/>
    <row r="6344" ht="12.75" x14ac:dyDescent="0.2"/>
    <row r="6345" ht="12.75" x14ac:dyDescent="0.2"/>
    <row r="6346" ht="12.75" x14ac:dyDescent="0.2"/>
    <row r="6347" ht="12.75" x14ac:dyDescent="0.2"/>
    <row r="6348" ht="12.75" x14ac:dyDescent="0.2"/>
    <row r="6349" ht="12.75" x14ac:dyDescent="0.2"/>
    <row r="6350" ht="12.75" x14ac:dyDescent="0.2"/>
    <row r="6351" ht="12.75" x14ac:dyDescent="0.2"/>
    <row r="6352" ht="12.75" x14ac:dyDescent="0.2"/>
    <row r="6353" ht="12.75" x14ac:dyDescent="0.2"/>
    <row r="6354" ht="12.75" x14ac:dyDescent="0.2"/>
    <row r="6355" ht="12.75" x14ac:dyDescent="0.2"/>
    <row r="6356" ht="12.75" x14ac:dyDescent="0.2"/>
    <row r="6357" ht="12.75" x14ac:dyDescent="0.2"/>
    <row r="6358" ht="12.75" x14ac:dyDescent="0.2"/>
    <row r="6359" ht="12.75" x14ac:dyDescent="0.2"/>
    <row r="6360" ht="12.75" x14ac:dyDescent="0.2"/>
    <row r="6361" ht="12.75" x14ac:dyDescent="0.2"/>
    <row r="6362" ht="12.75" x14ac:dyDescent="0.2"/>
    <row r="6363" ht="12.75" x14ac:dyDescent="0.2"/>
    <row r="6364" ht="12.75" x14ac:dyDescent="0.2"/>
    <row r="6365" ht="12.75" x14ac:dyDescent="0.2"/>
    <row r="6366" ht="12.75" x14ac:dyDescent="0.2"/>
    <row r="6367" ht="12.75" x14ac:dyDescent="0.2"/>
    <row r="6368" ht="12.75" x14ac:dyDescent="0.2"/>
    <row r="6369" ht="12.75" x14ac:dyDescent="0.2"/>
    <row r="6370" ht="12.75" x14ac:dyDescent="0.2"/>
    <row r="6371" ht="12.75" x14ac:dyDescent="0.2"/>
    <row r="6372" ht="12.75" x14ac:dyDescent="0.2"/>
    <row r="6373" ht="12.75" x14ac:dyDescent="0.2"/>
    <row r="6374" ht="12.75" x14ac:dyDescent="0.2"/>
    <row r="6375" ht="12.75" x14ac:dyDescent="0.2"/>
    <row r="6376" ht="12.75" x14ac:dyDescent="0.2"/>
    <row r="6377" ht="12.75" x14ac:dyDescent="0.2"/>
    <row r="6378" ht="12.75" x14ac:dyDescent="0.2"/>
    <row r="6379" ht="12.75" x14ac:dyDescent="0.2"/>
    <row r="6380" ht="12.75" x14ac:dyDescent="0.2"/>
    <row r="6381" ht="12.75" x14ac:dyDescent="0.2"/>
    <row r="6382" ht="12.75" x14ac:dyDescent="0.2"/>
    <row r="6383" ht="12.75" x14ac:dyDescent="0.2"/>
    <row r="6384" ht="12.75" x14ac:dyDescent="0.2"/>
    <row r="6385" ht="12.75" x14ac:dyDescent="0.2"/>
    <row r="6386" ht="12.75" x14ac:dyDescent="0.2"/>
    <row r="6387" ht="12.75" x14ac:dyDescent="0.2"/>
    <row r="6388" ht="12.75" x14ac:dyDescent="0.2"/>
    <row r="6389" ht="12.75" x14ac:dyDescent="0.2"/>
    <row r="6390" ht="12.75" x14ac:dyDescent="0.2"/>
    <row r="6391" ht="12.75" x14ac:dyDescent="0.2"/>
    <row r="6392" ht="12.75" x14ac:dyDescent="0.2"/>
    <row r="6393" ht="12.75" x14ac:dyDescent="0.2"/>
    <row r="6394" ht="12.75" x14ac:dyDescent="0.2"/>
    <row r="6395" ht="12.75" x14ac:dyDescent="0.2"/>
    <row r="6396" ht="12.75" x14ac:dyDescent="0.2"/>
    <row r="6397" ht="12.75" x14ac:dyDescent="0.2"/>
    <row r="6398" ht="12.75" x14ac:dyDescent="0.2"/>
    <row r="6399" ht="12.75" x14ac:dyDescent="0.2"/>
    <row r="6400" ht="12.75" x14ac:dyDescent="0.2"/>
    <row r="6401" ht="12.75" x14ac:dyDescent="0.2"/>
    <row r="6402" ht="12.75" x14ac:dyDescent="0.2"/>
    <row r="6403" ht="12.75" x14ac:dyDescent="0.2"/>
    <row r="6404" ht="12.75" x14ac:dyDescent="0.2"/>
    <row r="6405" ht="12.75" x14ac:dyDescent="0.2"/>
    <row r="6406" ht="12.75" x14ac:dyDescent="0.2"/>
    <row r="6407" ht="12.75" x14ac:dyDescent="0.2"/>
    <row r="6408" ht="12.75" x14ac:dyDescent="0.2"/>
    <row r="6409" ht="12.75" x14ac:dyDescent="0.2"/>
    <row r="6410" ht="12.75" x14ac:dyDescent="0.2"/>
    <row r="6411" ht="12.75" x14ac:dyDescent="0.2"/>
    <row r="6412" ht="12.75" x14ac:dyDescent="0.2"/>
    <row r="6413" ht="12.75" x14ac:dyDescent="0.2"/>
    <row r="6414" ht="12.75" x14ac:dyDescent="0.2"/>
    <row r="6415" ht="12.75" x14ac:dyDescent="0.2"/>
    <row r="6416" ht="12.75" x14ac:dyDescent="0.2"/>
    <row r="6417" ht="12.75" x14ac:dyDescent="0.2"/>
    <row r="6418" ht="12.75" x14ac:dyDescent="0.2"/>
    <row r="6419" ht="12.75" x14ac:dyDescent="0.2"/>
    <row r="6420" ht="12.75" x14ac:dyDescent="0.2"/>
    <row r="6421" ht="12.75" x14ac:dyDescent="0.2"/>
    <row r="6422" ht="12.75" x14ac:dyDescent="0.2"/>
    <row r="6423" ht="12.75" x14ac:dyDescent="0.2"/>
    <row r="6424" ht="12.75" x14ac:dyDescent="0.2"/>
    <row r="6425" ht="12.75" x14ac:dyDescent="0.2"/>
    <row r="6426" ht="12.75" x14ac:dyDescent="0.2"/>
    <row r="6427" ht="12.75" x14ac:dyDescent="0.2"/>
    <row r="6428" ht="12.75" x14ac:dyDescent="0.2"/>
    <row r="6429" ht="12.75" x14ac:dyDescent="0.2"/>
    <row r="6430" ht="12.75" x14ac:dyDescent="0.2"/>
    <row r="6431" ht="12.75" x14ac:dyDescent="0.2"/>
    <row r="6432" ht="12.75" x14ac:dyDescent="0.2"/>
    <row r="6433" ht="12.75" x14ac:dyDescent="0.2"/>
    <row r="6434" ht="12.75" x14ac:dyDescent="0.2"/>
    <row r="6435" ht="12.75" x14ac:dyDescent="0.2"/>
    <row r="6436" ht="12.75" x14ac:dyDescent="0.2"/>
    <row r="6437" ht="12.75" x14ac:dyDescent="0.2"/>
    <row r="6438" ht="12.75" x14ac:dyDescent="0.2"/>
    <row r="6439" ht="12.75" x14ac:dyDescent="0.2"/>
    <row r="6440" ht="12.75" x14ac:dyDescent="0.2"/>
    <row r="6441" ht="12.75" x14ac:dyDescent="0.2"/>
    <row r="6442" ht="12.75" x14ac:dyDescent="0.2"/>
    <row r="6443" ht="12.75" x14ac:dyDescent="0.2"/>
    <row r="6444" ht="12.75" x14ac:dyDescent="0.2"/>
    <row r="6445" ht="12.75" x14ac:dyDescent="0.2"/>
    <row r="6446" ht="12.75" x14ac:dyDescent="0.2"/>
    <row r="6447" ht="12.75" x14ac:dyDescent="0.2"/>
    <row r="6448" ht="12.75" x14ac:dyDescent="0.2"/>
    <row r="6449" ht="12.75" x14ac:dyDescent="0.2"/>
    <row r="6450" ht="12.75" x14ac:dyDescent="0.2"/>
    <row r="6451" ht="12.75" x14ac:dyDescent="0.2"/>
    <row r="6452" ht="12.75" x14ac:dyDescent="0.2"/>
    <row r="6453" ht="12.75" x14ac:dyDescent="0.2"/>
    <row r="6454" ht="12.75" x14ac:dyDescent="0.2"/>
    <row r="6455" ht="12.75" x14ac:dyDescent="0.2"/>
    <row r="6456" ht="12.75" x14ac:dyDescent="0.2"/>
    <row r="6457" ht="12.75" x14ac:dyDescent="0.2"/>
    <row r="6458" ht="12.75" x14ac:dyDescent="0.2"/>
    <row r="6459" ht="12.75" x14ac:dyDescent="0.2"/>
    <row r="6460" ht="12.75" x14ac:dyDescent="0.2"/>
    <row r="6461" ht="12.75" x14ac:dyDescent="0.2"/>
    <row r="6462" ht="12.75" x14ac:dyDescent="0.2"/>
    <row r="6463" ht="12.75" x14ac:dyDescent="0.2"/>
    <row r="6464" ht="12.75" x14ac:dyDescent="0.2"/>
    <row r="6465" ht="12.75" x14ac:dyDescent="0.2"/>
    <row r="6466" ht="12.75" x14ac:dyDescent="0.2"/>
    <row r="6467" ht="12.75" x14ac:dyDescent="0.2"/>
    <row r="6468" ht="12.75" x14ac:dyDescent="0.2"/>
    <row r="6469" ht="12.75" x14ac:dyDescent="0.2"/>
    <row r="6470" ht="12.75" x14ac:dyDescent="0.2"/>
    <row r="6471" ht="12.75" x14ac:dyDescent="0.2"/>
    <row r="6472" ht="12.75" x14ac:dyDescent="0.2"/>
    <row r="6473" ht="12.75" x14ac:dyDescent="0.2"/>
    <row r="6474" ht="12.75" x14ac:dyDescent="0.2"/>
    <row r="6475" ht="12.75" x14ac:dyDescent="0.2"/>
    <row r="6476" ht="12.75" x14ac:dyDescent="0.2"/>
    <row r="6477" ht="12.75" x14ac:dyDescent="0.2"/>
    <row r="6478" ht="12.75" x14ac:dyDescent="0.2"/>
    <row r="6479" ht="12.75" x14ac:dyDescent="0.2"/>
    <row r="6480" ht="12.75" x14ac:dyDescent="0.2"/>
    <row r="6481" ht="12.75" x14ac:dyDescent="0.2"/>
    <row r="6482" ht="12.75" x14ac:dyDescent="0.2"/>
    <row r="6483" ht="12.75" x14ac:dyDescent="0.2"/>
    <row r="6484" ht="12.75" x14ac:dyDescent="0.2"/>
    <row r="6485" ht="12.75" x14ac:dyDescent="0.2"/>
    <row r="6486" ht="12.75" x14ac:dyDescent="0.2"/>
    <row r="6487" ht="12.75" x14ac:dyDescent="0.2"/>
    <row r="6488" ht="12.75" x14ac:dyDescent="0.2"/>
    <row r="6489" ht="12.75" x14ac:dyDescent="0.2"/>
    <row r="6490" ht="12.75" x14ac:dyDescent="0.2"/>
    <row r="6491" ht="12.75" x14ac:dyDescent="0.2"/>
    <row r="6492" ht="12.75" x14ac:dyDescent="0.2"/>
    <row r="6493" ht="12.75" x14ac:dyDescent="0.2"/>
    <row r="6494" ht="12.75" x14ac:dyDescent="0.2"/>
    <row r="6495" ht="12.75" x14ac:dyDescent="0.2"/>
    <row r="6496" ht="12.75" x14ac:dyDescent="0.2"/>
    <row r="6497" ht="12.75" x14ac:dyDescent="0.2"/>
    <row r="6498" ht="12.75" x14ac:dyDescent="0.2"/>
    <row r="6499" ht="12.75" x14ac:dyDescent="0.2"/>
    <row r="6500" ht="12.75" x14ac:dyDescent="0.2"/>
    <row r="6501" ht="12.75" x14ac:dyDescent="0.2"/>
    <row r="6502" ht="12.75" x14ac:dyDescent="0.2"/>
    <row r="6503" ht="12.75" x14ac:dyDescent="0.2"/>
    <row r="6504" ht="12.75" x14ac:dyDescent="0.2"/>
    <row r="6505" ht="12.75" x14ac:dyDescent="0.2"/>
    <row r="6506" ht="12.75" x14ac:dyDescent="0.2"/>
    <row r="6507" ht="12.75" x14ac:dyDescent="0.2"/>
    <row r="6508" ht="12.75" x14ac:dyDescent="0.2"/>
    <row r="6509" ht="12.75" x14ac:dyDescent="0.2"/>
    <row r="6510" ht="12.75" x14ac:dyDescent="0.2"/>
    <row r="6511" ht="12.75" x14ac:dyDescent="0.2"/>
    <row r="6512" ht="12.75" x14ac:dyDescent="0.2"/>
    <row r="6513" ht="12.75" x14ac:dyDescent="0.2"/>
    <row r="6514" ht="12.75" x14ac:dyDescent="0.2"/>
    <row r="6515" ht="12.75" x14ac:dyDescent="0.2"/>
    <row r="6516" ht="12.75" x14ac:dyDescent="0.2"/>
    <row r="6517" ht="12.75" x14ac:dyDescent="0.2"/>
    <row r="6518" ht="12.75" x14ac:dyDescent="0.2"/>
    <row r="6519" ht="12.75" x14ac:dyDescent="0.2"/>
    <row r="6520" ht="12.75" x14ac:dyDescent="0.2"/>
    <row r="6521" ht="12.75" x14ac:dyDescent="0.2"/>
    <row r="6522" ht="12.75" x14ac:dyDescent="0.2"/>
    <row r="6523" ht="12.75" x14ac:dyDescent="0.2"/>
    <row r="6524" ht="12.75" x14ac:dyDescent="0.2"/>
    <row r="6525" ht="12.75" x14ac:dyDescent="0.2"/>
    <row r="6526" ht="12.75" x14ac:dyDescent="0.2"/>
    <row r="6527" ht="12.75" x14ac:dyDescent="0.2"/>
    <row r="6528" ht="12.75" x14ac:dyDescent="0.2"/>
    <row r="6529" ht="12.75" x14ac:dyDescent="0.2"/>
    <row r="6530" ht="12.75" x14ac:dyDescent="0.2"/>
    <row r="6531" ht="12.75" x14ac:dyDescent="0.2"/>
    <row r="6532" ht="12.75" x14ac:dyDescent="0.2"/>
    <row r="6533" ht="12.75" x14ac:dyDescent="0.2"/>
    <row r="6534" ht="12.75" x14ac:dyDescent="0.2"/>
    <row r="6535" ht="12.75" x14ac:dyDescent="0.2"/>
    <row r="6536" ht="12.75" x14ac:dyDescent="0.2"/>
    <row r="6537" ht="12.75" x14ac:dyDescent="0.2"/>
    <row r="6538" ht="12.75" x14ac:dyDescent="0.2"/>
    <row r="6539" ht="12.75" x14ac:dyDescent="0.2"/>
    <row r="6540" ht="12.75" x14ac:dyDescent="0.2"/>
    <row r="6541" ht="12.75" x14ac:dyDescent="0.2"/>
    <row r="6542" ht="12.75" x14ac:dyDescent="0.2"/>
    <row r="6543" ht="12.75" x14ac:dyDescent="0.2"/>
    <row r="6544" ht="12.75" x14ac:dyDescent="0.2"/>
    <row r="6545" ht="12.75" x14ac:dyDescent="0.2"/>
    <row r="6546" ht="12.75" x14ac:dyDescent="0.2"/>
    <row r="6547" ht="12.75" x14ac:dyDescent="0.2"/>
    <row r="6548" ht="12.75" x14ac:dyDescent="0.2"/>
    <row r="6549" ht="12.75" x14ac:dyDescent="0.2"/>
    <row r="6550" ht="12.75" x14ac:dyDescent="0.2"/>
    <row r="6551" ht="12.75" x14ac:dyDescent="0.2"/>
    <row r="6552" ht="12.75" x14ac:dyDescent="0.2"/>
    <row r="6553" ht="12.75" x14ac:dyDescent="0.2"/>
    <row r="6554" ht="12.75" x14ac:dyDescent="0.2"/>
    <row r="6555" ht="12.75" x14ac:dyDescent="0.2"/>
    <row r="6556" ht="12.75" x14ac:dyDescent="0.2"/>
    <row r="6557" ht="12.75" x14ac:dyDescent="0.2"/>
    <row r="6558" ht="12.75" x14ac:dyDescent="0.2"/>
    <row r="6559" ht="12.75" x14ac:dyDescent="0.2"/>
    <row r="6560" ht="12.75" x14ac:dyDescent="0.2"/>
    <row r="6561" ht="12.75" x14ac:dyDescent="0.2"/>
    <row r="6562" ht="12.75" x14ac:dyDescent="0.2"/>
    <row r="6563" ht="12.75" x14ac:dyDescent="0.2"/>
    <row r="6564" ht="12.75" x14ac:dyDescent="0.2"/>
    <row r="6565" ht="12.75" x14ac:dyDescent="0.2"/>
    <row r="6566" ht="12.75" x14ac:dyDescent="0.2"/>
    <row r="6567" ht="12.75" x14ac:dyDescent="0.2"/>
    <row r="6568" ht="12.75" x14ac:dyDescent="0.2"/>
    <row r="6569" ht="12.75" x14ac:dyDescent="0.2"/>
    <row r="6570" ht="12.75" x14ac:dyDescent="0.2"/>
    <row r="6571" ht="12.75" x14ac:dyDescent="0.2"/>
    <row r="6572" ht="12.75" x14ac:dyDescent="0.2"/>
    <row r="6573" ht="12.75" x14ac:dyDescent="0.2"/>
    <row r="6574" ht="12.75" x14ac:dyDescent="0.2"/>
    <row r="6575" ht="12.75" x14ac:dyDescent="0.2"/>
    <row r="6576" ht="12.75" x14ac:dyDescent="0.2"/>
    <row r="6577" ht="12.75" x14ac:dyDescent="0.2"/>
    <row r="6578" ht="12.75" x14ac:dyDescent="0.2"/>
    <row r="6579" ht="12.75" x14ac:dyDescent="0.2"/>
    <row r="6580" ht="12.75" x14ac:dyDescent="0.2"/>
    <row r="6581" ht="12.75" x14ac:dyDescent="0.2"/>
    <row r="6582" ht="12.75" x14ac:dyDescent="0.2"/>
    <row r="6583" ht="12.75" x14ac:dyDescent="0.2"/>
    <row r="6584" ht="12.75" x14ac:dyDescent="0.2"/>
    <row r="6585" ht="12.75" x14ac:dyDescent="0.2"/>
    <row r="6586" ht="12.75" x14ac:dyDescent="0.2"/>
    <row r="6587" ht="12.75" x14ac:dyDescent="0.2"/>
    <row r="6588" ht="12.75" x14ac:dyDescent="0.2"/>
    <row r="6589" ht="12.75" x14ac:dyDescent="0.2"/>
    <row r="6590" ht="12.75" x14ac:dyDescent="0.2"/>
    <row r="6591" ht="12.75" x14ac:dyDescent="0.2"/>
    <row r="6592" ht="12.75" x14ac:dyDescent="0.2"/>
    <row r="6593" ht="12.75" x14ac:dyDescent="0.2"/>
    <row r="6594" ht="12.75" x14ac:dyDescent="0.2"/>
    <row r="6595" ht="12.75" x14ac:dyDescent="0.2"/>
    <row r="6596" ht="12.75" x14ac:dyDescent="0.2"/>
    <row r="6597" ht="12.75" x14ac:dyDescent="0.2"/>
    <row r="6598" ht="12.75" x14ac:dyDescent="0.2"/>
    <row r="6599" ht="12.75" x14ac:dyDescent="0.2"/>
    <row r="6600" ht="12.75" x14ac:dyDescent="0.2"/>
    <row r="6601" ht="12.75" x14ac:dyDescent="0.2"/>
    <row r="6602" ht="12.75" x14ac:dyDescent="0.2"/>
    <row r="6603" ht="12.75" x14ac:dyDescent="0.2"/>
    <row r="6604" ht="12.75" x14ac:dyDescent="0.2"/>
    <row r="6605" ht="12.75" x14ac:dyDescent="0.2"/>
    <row r="6606" ht="12.75" x14ac:dyDescent="0.2"/>
    <row r="6607" ht="12.75" x14ac:dyDescent="0.2"/>
    <row r="6608" ht="12.75" x14ac:dyDescent="0.2"/>
    <row r="6609" ht="12.75" x14ac:dyDescent="0.2"/>
    <row r="6610" ht="12.75" x14ac:dyDescent="0.2"/>
    <row r="6611" ht="12.75" x14ac:dyDescent="0.2"/>
    <row r="6612" ht="12.75" x14ac:dyDescent="0.2"/>
    <row r="6613" ht="12.75" x14ac:dyDescent="0.2"/>
    <row r="6614" ht="12.75" x14ac:dyDescent="0.2"/>
    <row r="6615" ht="12.75" x14ac:dyDescent="0.2"/>
    <row r="6616" ht="12.75" x14ac:dyDescent="0.2"/>
    <row r="6617" ht="12.75" x14ac:dyDescent="0.2"/>
    <row r="6618" ht="12.75" x14ac:dyDescent="0.2"/>
    <row r="6619" ht="12.75" x14ac:dyDescent="0.2"/>
    <row r="6620" ht="12.75" x14ac:dyDescent="0.2"/>
    <row r="6621" ht="12.75" x14ac:dyDescent="0.2"/>
    <row r="6622" ht="12.75" x14ac:dyDescent="0.2"/>
    <row r="6623" ht="12.75" x14ac:dyDescent="0.2"/>
    <row r="6624" ht="12.75" x14ac:dyDescent="0.2"/>
    <row r="6625" ht="12.75" x14ac:dyDescent="0.2"/>
    <row r="6626" ht="12.75" x14ac:dyDescent="0.2"/>
    <row r="6627" ht="12.75" x14ac:dyDescent="0.2"/>
    <row r="6628" ht="12.75" x14ac:dyDescent="0.2"/>
    <row r="6629" ht="12.75" x14ac:dyDescent="0.2"/>
    <row r="6630" ht="12.75" x14ac:dyDescent="0.2"/>
    <row r="6631" ht="12.75" x14ac:dyDescent="0.2"/>
    <row r="6632" ht="12.75" x14ac:dyDescent="0.2"/>
    <row r="6633" ht="12.75" x14ac:dyDescent="0.2"/>
    <row r="6634" ht="12.75" x14ac:dyDescent="0.2"/>
    <row r="6635" ht="12.75" x14ac:dyDescent="0.2"/>
    <row r="6636" ht="12.75" x14ac:dyDescent="0.2"/>
    <row r="6637" ht="12.75" x14ac:dyDescent="0.2"/>
    <row r="6638" ht="12.75" x14ac:dyDescent="0.2"/>
    <row r="6639" ht="12.75" x14ac:dyDescent="0.2"/>
    <row r="6640" ht="12.75" x14ac:dyDescent="0.2"/>
    <row r="6641" ht="12.75" x14ac:dyDescent="0.2"/>
    <row r="6642" ht="12.75" x14ac:dyDescent="0.2"/>
    <row r="6643" ht="12.75" x14ac:dyDescent="0.2"/>
    <row r="6644" ht="12.75" x14ac:dyDescent="0.2"/>
    <row r="6645" ht="12.75" x14ac:dyDescent="0.2"/>
    <row r="6646" ht="12.75" x14ac:dyDescent="0.2"/>
    <row r="6647" ht="12.75" x14ac:dyDescent="0.2"/>
    <row r="6648" ht="12.75" x14ac:dyDescent="0.2"/>
    <row r="6649" ht="12.75" x14ac:dyDescent="0.2"/>
    <row r="6650" ht="12.75" x14ac:dyDescent="0.2"/>
    <row r="6651" ht="12.75" x14ac:dyDescent="0.2"/>
    <row r="6652" ht="12.75" x14ac:dyDescent="0.2"/>
    <row r="6653" ht="12.75" x14ac:dyDescent="0.2"/>
    <row r="6654" ht="12.75" x14ac:dyDescent="0.2"/>
    <row r="6655" ht="12.75" x14ac:dyDescent="0.2"/>
    <row r="6656" ht="12.75" x14ac:dyDescent="0.2"/>
    <row r="6657" ht="12.75" x14ac:dyDescent="0.2"/>
    <row r="6658" ht="12.75" x14ac:dyDescent="0.2"/>
    <row r="6659" ht="12.75" x14ac:dyDescent="0.2"/>
    <row r="6660" ht="12.75" x14ac:dyDescent="0.2"/>
    <row r="6661" ht="12.75" x14ac:dyDescent="0.2"/>
    <row r="6662" ht="12.75" x14ac:dyDescent="0.2"/>
    <row r="6663" ht="12.75" x14ac:dyDescent="0.2"/>
    <row r="6664" ht="12.75" x14ac:dyDescent="0.2"/>
    <row r="6665" ht="12.75" x14ac:dyDescent="0.2"/>
    <row r="6666" ht="12.75" x14ac:dyDescent="0.2"/>
    <row r="6667" ht="12.75" x14ac:dyDescent="0.2"/>
    <row r="6668" ht="12.75" x14ac:dyDescent="0.2"/>
    <row r="6669" ht="12.75" x14ac:dyDescent="0.2"/>
    <row r="6670" ht="12.75" x14ac:dyDescent="0.2"/>
    <row r="6671" ht="12.75" x14ac:dyDescent="0.2"/>
    <row r="6672" ht="12.75" x14ac:dyDescent="0.2"/>
    <row r="6673" ht="12.75" x14ac:dyDescent="0.2"/>
    <row r="6674" ht="12.75" x14ac:dyDescent="0.2"/>
    <row r="6675" ht="12.75" x14ac:dyDescent="0.2"/>
    <row r="6676" ht="12.75" x14ac:dyDescent="0.2"/>
    <row r="6677" ht="12.75" x14ac:dyDescent="0.2"/>
    <row r="6678" ht="12.75" x14ac:dyDescent="0.2"/>
    <row r="6679" ht="12.75" x14ac:dyDescent="0.2"/>
    <row r="6680" ht="12.75" x14ac:dyDescent="0.2"/>
    <row r="6681" ht="12.75" x14ac:dyDescent="0.2"/>
    <row r="6682" ht="12.75" x14ac:dyDescent="0.2"/>
    <row r="6683" ht="12.75" x14ac:dyDescent="0.2"/>
    <row r="6684" ht="12.75" x14ac:dyDescent="0.2"/>
    <row r="6685" ht="12.75" x14ac:dyDescent="0.2"/>
    <row r="6686" ht="12.75" x14ac:dyDescent="0.2"/>
    <row r="6687" ht="12.75" x14ac:dyDescent="0.2"/>
    <row r="6688" ht="12.75" x14ac:dyDescent="0.2"/>
    <row r="6689" ht="12.75" x14ac:dyDescent="0.2"/>
    <row r="6690" ht="12.75" x14ac:dyDescent="0.2"/>
    <row r="6691" ht="12.75" x14ac:dyDescent="0.2"/>
    <row r="6692" ht="12.75" x14ac:dyDescent="0.2"/>
    <row r="6693" ht="12.75" x14ac:dyDescent="0.2"/>
    <row r="6694" ht="12.75" x14ac:dyDescent="0.2"/>
    <row r="6695" ht="12.75" x14ac:dyDescent="0.2"/>
    <row r="6696" ht="12.75" x14ac:dyDescent="0.2"/>
    <row r="6697" ht="12.75" x14ac:dyDescent="0.2"/>
    <row r="6698" ht="12.75" x14ac:dyDescent="0.2"/>
    <row r="6699" ht="12.75" x14ac:dyDescent="0.2"/>
    <row r="6700" ht="12.75" x14ac:dyDescent="0.2"/>
    <row r="6701" ht="12.75" x14ac:dyDescent="0.2"/>
    <row r="6702" ht="12.75" x14ac:dyDescent="0.2"/>
    <row r="6703" ht="12.75" x14ac:dyDescent="0.2"/>
    <row r="6704" ht="12.75" x14ac:dyDescent="0.2"/>
    <row r="6705" ht="12.75" x14ac:dyDescent="0.2"/>
    <row r="6706" ht="12.75" x14ac:dyDescent="0.2"/>
    <row r="6707" ht="12.75" x14ac:dyDescent="0.2"/>
    <row r="6708" ht="12.75" x14ac:dyDescent="0.2"/>
    <row r="6709" ht="12.75" x14ac:dyDescent="0.2"/>
    <row r="6710" ht="12.75" x14ac:dyDescent="0.2"/>
    <row r="6711" ht="12.75" x14ac:dyDescent="0.2"/>
    <row r="6712" ht="12.75" x14ac:dyDescent="0.2"/>
    <row r="6713" ht="12.75" x14ac:dyDescent="0.2"/>
    <row r="6714" ht="12.75" x14ac:dyDescent="0.2"/>
    <row r="6715" ht="12.75" x14ac:dyDescent="0.2"/>
    <row r="6716" ht="12.75" x14ac:dyDescent="0.2"/>
    <row r="6717" ht="12.75" x14ac:dyDescent="0.2"/>
    <row r="6718" ht="12.75" x14ac:dyDescent="0.2"/>
    <row r="6719" ht="12.75" x14ac:dyDescent="0.2"/>
    <row r="6720" ht="12.75" x14ac:dyDescent="0.2"/>
    <row r="6721" ht="12.75" x14ac:dyDescent="0.2"/>
    <row r="6722" ht="12.75" x14ac:dyDescent="0.2"/>
    <row r="6723" ht="12.75" x14ac:dyDescent="0.2"/>
    <row r="6724" ht="12.75" x14ac:dyDescent="0.2"/>
    <row r="6725" ht="12.75" x14ac:dyDescent="0.2"/>
    <row r="6726" ht="12.75" x14ac:dyDescent="0.2"/>
    <row r="6727" ht="12.75" x14ac:dyDescent="0.2"/>
    <row r="6728" ht="12.75" x14ac:dyDescent="0.2"/>
    <row r="6729" ht="12.75" x14ac:dyDescent="0.2"/>
    <row r="6730" ht="12.75" x14ac:dyDescent="0.2"/>
    <row r="6731" ht="12.75" x14ac:dyDescent="0.2"/>
    <row r="6732" ht="12.75" x14ac:dyDescent="0.2"/>
    <row r="6733" ht="12.75" x14ac:dyDescent="0.2"/>
    <row r="6734" ht="12.75" x14ac:dyDescent="0.2"/>
    <row r="6735" ht="12.75" x14ac:dyDescent="0.2"/>
    <row r="6736" ht="12.75" x14ac:dyDescent="0.2"/>
    <row r="6737" ht="12.75" x14ac:dyDescent="0.2"/>
    <row r="6738" ht="12.75" x14ac:dyDescent="0.2"/>
    <row r="6739" ht="12.75" x14ac:dyDescent="0.2"/>
    <row r="6740" ht="12.75" x14ac:dyDescent="0.2"/>
    <row r="6741" ht="12.75" x14ac:dyDescent="0.2"/>
    <row r="6742" ht="12.75" x14ac:dyDescent="0.2"/>
    <row r="6743" ht="12.75" x14ac:dyDescent="0.2"/>
    <row r="6744" ht="12.75" x14ac:dyDescent="0.2"/>
    <row r="6745" ht="12.75" x14ac:dyDescent="0.2"/>
    <row r="6746" ht="12.75" x14ac:dyDescent="0.2"/>
    <row r="6747" ht="12.75" x14ac:dyDescent="0.2"/>
    <row r="6748" ht="12.75" x14ac:dyDescent="0.2"/>
    <row r="6749" ht="12.75" x14ac:dyDescent="0.2"/>
    <row r="6750" ht="12.75" x14ac:dyDescent="0.2"/>
    <row r="6751" ht="12.75" x14ac:dyDescent="0.2"/>
    <row r="6752" ht="12.75" x14ac:dyDescent="0.2"/>
    <row r="6753" ht="12.75" x14ac:dyDescent="0.2"/>
    <row r="6754" ht="12.75" x14ac:dyDescent="0.2"/>
    <row r="6755" ht="12.75" x14ac:dyDescent="0.2"/>
    <row r="6756" ht="12.75" x14ac:dyDescent="0.2"/>
    <row r="6757" ht="12.75" x14ac:dyDescent="0.2"/>
    <row r="6758" ht="12.75" x14ac:dyDescent="0.2"/>
    <row r="6759" ht="12.75" x14ac:dyDescent="0.2"/>
    <row r="6760" ht="12.75" x14ac:dyDescent="0.2"/>
    <row r="6761" ht="12.75" x14ac:dyDescent="0.2"/>
    <row r="6762" ht="12.75" x14ac:dyDescent="0.2"/>
    <row r="6763" ht="12.75" x14ac:dyDescent="0.2"/>
    <row r="6764" ht="12.75" x14ac:dyDescent="0.2"/>
    <row r="6765" ht="12.75" x14ac:dyDescent="0.2"/>
    <row r="6766" ht="12.75" x14ac:dyDescent="0.2"/>
    <row r="6767" ht="12.75" x14ac:dyDescent="0.2"/>
    <row r="6768" ht="12.75" x14ac:dyDescent="0.2"/>
    <row r="6769" ht="12.75" x14ac:dyDescent="0.2"/>
    <row r="6770" ht="12.75" x14ac:dyDescent="0.2"/>
    <row r="6771" ht="12.75" x14ac:dyDescent="0.2"/>
    <row r="6772" ht="12.75" x14ac:dyDescent="0.2"/>
    <row r="6773" ht="12.75" x14ac:dyDescent="0.2"/>
    <row r="6774" ht="12.75" x14ac:dyDescent="0.2"/>
    <row r="6775" ht="12.75" x14ac:dyDescent="0.2"/>
    <row r="6776" ht="12.75" x14ac:dyDescent="0.2"/>
    <row r="6777" ht="12.75" x14ac:dyDescent="0.2"/>
    <row r="6778" ht="12.75" x14ac:dyDescent="0.2"/>
    <row r="6779" ht="12.75" x14ac:dyDescent="0.2"/>
    <row r="6780" ht="12.75" x14ac:dyDescent="0.2"/>
    <row r="6781" ht="12.75" x14ac:dyDescent="0.2"/>
    <row r="6782" ht="12.75" x14ac:dyDescent="0.2"/>
    <row r="6783" ht="12.75" x14ac:dyDescent="0.2"/>
    <row r="6784" ht="12.75" x14ac:dyDescent="0.2"/>
    <row r="6785" ht="12.75" x14ac:dyDescent="0.2"/>
    <row r="6786" ht="12.75" x14ac:dyDescent="0.2"/>
    <row r="6787" ht="12.75" x14ac:dyDescent="0.2"/>
    <row r="6788" ht="12.75" x14ac:dyDescent="0.2"/>
    <row r="6789" ht="12.75" x14ac:dyDescent="0.2"/>
    <row r="6790" ht="12.75" x14ac:dyDescent="0.2"/>
    <row r="6791" ht="12.75" x14ac:dyDescent="0.2"/>
    <row r="6792" ht="12.75" x14ac:dyDescent="0.2"/>
    <row r="6793" ht="12.75" x14ac:dyDescent="0.2"/>
    <row r="6794" ht="12.75" x14ac:dyDescent="0.2"/>
    <row r="6795" ht="12.75" x14ac:dyDescent="0.2"/>
    <row r="6796" ht="12.75" x14ac:dyDescent="0.2"/>
    <row r="6797" ht="12.75" x14ac:dyDescent="0.2"/>
    <row r="6798" ht="12.75" x14ac:dyDescent="0.2"/>
    <row r="6799" ht="12.75" x14ac:dyDescent="0.2"/>
    <row r="6800" ht="12.75" x14ac:dyDescent="0.2"/>
    <row r="6801" ht="12.75" x14ac:dyDescent="0.2"/>
    <row r="6802" ht="12.75" x14ac:dyDescent="0.2"/>
    <row r="6803" ht="12.75" x14ac:dyDescent="0.2"/>
    <row r="6804" ht="12.75" x14ac:dyDescent="0.2"/>
    <row r="6805" ht="12.75" x14ac:dyDescent="0.2"/>
    <row r="6806" ht="12.75" x14ac:dyDescent="0.2"/>
    <row r="6807" ht="12.75" x14ac:dyDescent="0.2"/>
    <row r="6808" ht="12.75" x14ac:dyDescent="0.2"/>
    <row r="6809" ht="12.75" x14ac:dyDescent="0.2"/>
    <row r="6810" ht="12.75" x14ac:dyDescent="0.2"/>
    <row r="6811" ht="12.75" x14ac:dyDescent="0.2"/>
    <row r="6812" ht="12.75" x14ac:dyDescent="0.2"/>
    <row r="6813" ht="12.75" x14ac:dyDescent="0.2"/>
    <row r="6814" ht="12.75" x14ac:dyDescent="0.2"/>
    <row r="6815" ht="12.75" x14ac:dyDescent="0.2"/>
    <row r="6816" ht="12.75" x14ac:dyDescent="0.2"/>
    <row r="6817" ht="12.75" x14ac:dyDescent="0.2"/>
    <row r="6818" ht="12.75" x14ac:dyDescent="0.2"/>
    <row r="6819" ht="12.75" x14ac:dyDescent="0.2"/>
    <row r="6820" ht="12.75" x14ac:dyDescent="0.2"/>
    <row r="6821" ht="12.75" x14ac:dyDescent="0.2"/>
    <row r="6822" ht="12.75" x14ac:dyDescent="0.2"/>
    <row r="6823" ht="12.75" x14ac:dyDescent="0.2"/>
    <row r="6824" ht="12.75" x14ac:dyDescent="0.2"/>
    <row r="6825" ht="12.75" x14ac:dyDescent="0.2"/>
    <row r="6826" ht="12.75" x14ac:dyDescent="0.2"/>
    <row r="6827" ht="12.75" x14ac:dyDescent="0.2"/>
    <row r="6828" ht="12.75" x14ac:dyDescent="0.2"/>
    <row r="6829" ht="12.75" x14ac:dyDescent="0.2"/>
    <row r="6830" ht="12.75" x14ac:dyDescent="0.2"/>
    <row r="6831" ht="12.75" x14ac:dyDescent="0.2"/>
    <row r="6832" ht="12.75" x14ac:dyDescent="0.2"/>
    <row r="6833" ht="12.75" x14ac:dyDescent="0.2"/>
    <row r="6834" ht="12.75" x14ac:dyDescent="0.2"/>
    <row r="6835" ht="12.75" x14ac:dyDescent="0.2"/>
    <row r="6836" ht="12.75" x14ac:dyDescent="0.2"/>
    <row r="6837" ht="12.75" x14ac:dyDescent="0.2"/>
    <row r="6838" ht="12.75" x14ac:dyDescent="0.2"/>
    <row r="6839" ht="12.75" x14ac:dyDescent="0.2"/>
    <row r="6840" ht="12.75" x14ac:dyDescent="0.2"/>
    <row r="6841" ht="12.75" x14ac:dyDescent="0.2"/>
    <row r="6842" ht="12.75" x14ac:dyDescent="0.2"/>
    <row r="6843" ht="12.75" x14ac:dyDescent="0.2"/>
    <row r="6844" ht="12.75" x14ac:dyDescent="0.2"/>
    <row r="6845" ht="12.75" x14ac:dyDescent="0.2"/>
    <row r="6846" ht="12.75" x14ac:dyDescent="0.2"/>
    <row r="6847" ht="12.75" x14ac:dyDescent="0.2"/>
    <row r="6848" ht="12.75" x14ac:dyDescent="0.2"/>
    <row r="6849" ht="12.75" x14ac:dyDescent="0.2"/>
    <row r="6850" ht="12.75" x14ac:dyDescent="0.2"/>
    <row r="6851" ht="12.75" x14ac:dyDescent="0.2"/>
    <row r="6852" ht="12.75" x14ac:dyDescent="0.2"/>
    <row r="6853" ht="12.75" x14ac:dyDescent="0.2"/>
    <row r="6854" ht="12.75" x14ac:dyDescent="0.2"/>
    <row r="6855" ht="12.75" x14ac:dyDescent="0.2"/>
    <row r="6856" ht="12.75" x14ac:dyDescent="0.2"/>
    <row r="6857" ht="12.75" x14ac:dyDescent="0.2"/>
    <row r="6858" ht="12.75" x14ac:dyDescent="0.2"/>
    <row r="6859" ht="12.75" x14ac:dyDescent="0.2"/>
    <row r="6860" ht="12.75" x14ac:dyDescent="0.2"/>
    <row r="6861" ht="12.75" x14ac:dyDescent="0.2"/>
    <row r="6862" ht="12.75" x14ac:dyDescent="0.2"/>
    <row r="6863" ht="12.75" x14ac:dyDescent="0.2"/>
    <row r="6864" ht="12.75" x14ac:dyDescent="0.2"/>
    <row r="6865" ht="12.75" x14ac:dyDescent="0.2"/>
    <row r="6866" ht="12.75" x14ac:dyDescent="0.2"/>
    <row r="6867" ht="12.75" x14ac:dyDescent="0.2"/>
    <row r="6868" ht="12.75" x14ac:dyDescent="0.2"/>
    <row r="6869" ht="12.75" x14ac:dyDescent="0.2"/>
    <row r="6870" ht="12.75" x14ac:dyDescent="0.2"/>
    <row r="6871" ht="12.75" x14ac:dyDescent="0.2"/>
    <row r="6872" ht="12.75" x14ac:dyDescent="0.2"/>
    <row r="6873" ht="12.75" x14ac:dyDescent="0.2"/>
    <row r="6874" ht="12.75" x14ac:dyDescent="0.2"/>
    <row r="6875" ht="12.75" x14ac:dyDescent="0.2"/>
    <row r="6876" ht="12.75" x14ac:dyDescent="0.2"/>
    <row r="6877" ht="12.75" x14ac:dyDescent="0.2"/>
    <row r="6878" ht="12.75" x14ac:dyDescent="0.2"/>
    <row r="6879" ht="12.75" x14ac:dyDescent="0.2"/>
    <row r="6880" ht="12.75" x14ac:dyDescent="0.2"/>
    <row r="6881" ht="12.75" x14ac:dyDescent="0.2"/>
    <row r="6882" ht="12.75" x14ac:dyDescent="0.2"/>
    <row r="6883" ht="12.75" x14ac:dyDescent="0.2"/>
    <row r="6884" ht="12.75" x14ac:dyDescent="0.2"/>
    <row r="6885" ht="12.75" x14ac:dyDescent="0.2"/>
    <row r="6886" ht="12.75" x14ac:dyDescent="0.2"/>
    <row r="6887" ht="12.75" x14ac:dyDescent="0.2"/>
    <row r="6888" ht="12.75" x14ac:dyDescent="0.2"/>
    <row r="6889" ht="12.75" x14ac:dyDescent="0.2"/>
    <row r="6890" ht="12.75" x14ac:dyDescent="0.2"/>
    <row r="6891" ht="12.75" x14ac:dyDescent="0.2"/>
    <row r="6892" ht="12.75" x14ac:dyDescent="0.2"/>
    <row r="6893" ht="12.75" x14ac:dyDescent="0.2"/>
    <row r="6894" ht="12.75" x14ac:dyDescent="0.2"/>
    <row r="6895" ht="12.75" x14ac:dyDescent="0.2"/>
    <row r="6896" ht="12.75" x14ac:dyDescent="0.2"/>
    <row r="6897" ht="12.75" x14ac:dyDescent="0.2"/>
    <row r="6898" ht="12.75" x14ac:dyDescent="0.2"/>
    <row r="6899" ht="12.75" x14ac:dyDescent="0.2"/>
    <row r="6900" ht="12.75" x14ac:dyDescent="0.2"/>
    <row r="6901" ht="12.75" x14ac:dyDescent="0.2"/>
    <row r="6902" ht="12.75" x14ac:dyDescent="0.2"/>
    <row r="6903" ht="12.75" x14ac:dyDescent="0.2"/>
    <row r="6904" ht="12.75" x14ac:dyDescent="0.2"/>
    <row r="6905" ht="12.75" x14ac:dyDescent="0.2"/>
    <row r="6906" ht="12.75" x14ac:dyDescent="0.2"/>
    <row r="6907" ht="12.75" x14ac:dyDescent="0.2"/>
    <row r="6908" ht="12.75" x14ac:dyDescent="0.2"/>
    <row r="6909" ht="12.75" x14ac:dyDescent="0.2"/>
    <row r="6910" ht="12.75" x14ac:dyDescent="0.2"/>
    <row r="6911" ht="12.75" x14ac:dyDescent="0.2"/>
    <row r="6912" ht="12.75" x14ac:dyDescent="0.2"/>
    <row r="6913" ht="12.75" x14ac:dyDescent="0.2"/>
    <row r="6914" ht="12.75" x14ac:dyDescent="0.2"/>
    <row r="6915" ht="12.75" x14ac:dyDescent="0.2"/>
    <row r="6916" ht="12.75" x14ac:dyDescent="0.2"/>
    <row r="6917" ht="12.75" x14ac:dyDescent="0.2"/>
    <row r="6918" ht="12.75" x14ac:dyDescent="0.2"/>
    <row r="6919" ht="12.75" x14ac:dyDescent="0.2"/>
    <row r="6920" ht="12.75" x14ac:dyDescent="0.2"/>
    <row r="6921" ht="12.75" x14ac:dyDescent="0.2"/>
    <row r="6922" ht="12.75" x14ac:dyDescent="0.2"/>
    <row r="6923" ht="12.75" x14ac:dyDescent="0.2"/>
    <row r="6924" ht="12.75" x14ac:dyDescent="0.2"/>
    <row r="6925" ht="12.75" x14ac:dyDescent="0.2"/>
    <row r="6926" ht="12.75" x14ac:dyDescent="0.2"/>
    <row r="6927" ht="12.75" x14ac:dyDescent="0.2"/>
    <row r="6928" ht="12.75" x14ac:dyDescent="0.2"/>
    <row r="6929" ht="12.75" x14ac:dyDescent="0.2"/>
    <row r="6930" ht="12.75" x14ac:dyDescent="0.2"/>
    <row r="6931" ht="12.75" x14ac:dyDescent="0.2"/>
    <row r="6932" ht="12.75" x14ac:dyDescent="0.2"/>
    <row r="6933" ht="12.75" x14ac:dyDescent="0.2"/>
    <row r="6934" ht="12.75" x14ac:dyDescent="0.2"/>
    <row r="6935" ht="12.75" x14ac:dyDescent="0.2"/>
    <row r="6936" ht="12.75" x14ac:dyDescent="0.2"/>
    <row r="6937" ht="12.75" x14ac:dyDescent="0.2"/>
    <row r="6938" ht="12.75" x14ac:dyDescent="0.2"/>
    <row r="6939" ht="12.75" x14ac:dyDescent="0.2"/>
    <row r="6940" ht="12.75" x14ac:dyDescent="0.2"/>
    <row r="6941" ht="12.75" x14ac:dyDescent="0.2"/>
    <row r="6942" ht="12.75" x14ac:dyDescent="0.2"/>
    <row r="6943" ht="12.75" x14ac:dyDescent="0.2"/>
    <row r="6944" ht="12.75" x14ac:dyDescent="0.2"/>
    <row r="6945" ht="12.75" x14ac:dyDescent="0.2"/>
    <row r="6946" ht="12.75" x14ac:dyDescent="0.2"/>
    <row r="6947" ht="12.75" x14ac:dyDescent="0.2"/>
    <row r="6948" ht="12.75" x14ac:dyDescent="0.2"/>
    <row r="6949" ht="12.75" x14ac:dyDescent="0.2"/>
    <row r="6950" ht="12.75" x14ac:dyDescent="0.2"/>
    <row r="6951" ht="12.75" x14ac:dyDescent="0.2"/>
    <row r="6952" ht="12.75" x14ac:dyDescent="0.2"/>
    <row r="6953" ht="12.75" x14ac:dyDescent="0.2"/>
    <row r="6954" ht="12.75" x14ac:dyDescent="0.2"/>
    <row r="6955" ht="12.75" x14ac:dyDescent="0.2"/>
    <row r="6956" ht="12.75" x14ac:dyDescent="0.2"/>
    <row r="6957" ht="12.75" x14ac:dyDescent="0.2"/>
    <row r="6958" ht="12.75" x14ac:dyDescent="0.2"/>
    <row r="6959" ht="12.75" x14ac:dyDescent="0.2"/>
    <row r="6960" ht="12.75" x14ac:dyDescent="0.2"/>
    <row r="6961" ht="12.75" x14ac:dyDescent="0.2"/>
    <row r="6962" ht="12.75" x14ac:dyDescent="0.2"/>
    <row r="6963" ht="12.75" x14ac:dyDescent="0.2"/>
    <row r="6964" ht="12.75" x14ac:dyDescent="0.2"/>
    <row r="6965" ht="12.75" x14ac:dyDescent="0.2"/>
    <row r="6966" ht="12.75" x14ac:dyDescent="0.2"/>
    <row r="6967" ht="12.75" x14ac:dyDescent="0.2"/>
    <row r="6968" ht="12.75" x14ac:dyDescent="0.2"/>
    <row r="6969" ht="12.75" x14ac:dyDescent="0.2"/>
    <row r="6970" ht="12.75" x14ac:dyDescent="0.2"/>
    <row r="6971" ht="12.75" x14ac:dyDescent="0.2"/>
    <row r="6972" ht="12.75" x14ac:dyDescent="0.2"/>
    <row r="6973" ht="12.75" x14ac:dyDescent="0.2"/>
    <row r="6974" ht="12.75" x14ac:dyDescent="0.2"/>
    <row r="6975" ht="12.75" x14ac:dyDescent="0.2"/>
    <row r="6976" ht="12.75" x14ac:dyDescent="0.2"/>
    <row r="6977" ht="12.75" x14ac:dyDescent="0.2"/>
    <row r="6978" ht="12.75" x14ac:dyDescent="0.2"/>
    <row r="6979" ht="12.75" x14ac:dyDescent="0.2"/>
    <row r="6980" ht="12.75" x14ac:dyDescent="0.2"/>
    <row r="6981" ht="12.75" x14ac:dyDescent="0.2"/>
    <row r="6982" ht="12.75" x14ac:dyDescent="0.2"/>
    <row r="6983" ht="12.75" x14ac:dyDescent="0.2"/>
    <row r="6984" ht="12.75" x14ac:dyDescent="0.2"/>
    <row r="6985" ht="12.75" x14ac:dyDescent="0.2"/>
    <row r="6986" ht="12.75" x14ac:dyDescent="0.2"/>
    <row r="6987" ht="12.75" x14ac:dyDescent="0.2"/>
    <row r="6988" ht="12.75" x14ac:dyDescent="0.2"/>
    <row r="6989" ht="12.75" x14ac:dyDescent="0.2"/>
    <row r="6990" ht="12.75" x14ac:dyDescent="0.2"/>
    <row r="6991" ht="12.75" x14ac:dyDescent="0.2"/>
    <row r="6992" ht="12.75" x14ac:dyDescent="0.2"/>
    <row r="6993" ht="12.75" x14ac:dyDescent="0.2"/>
    <row r="6994" ht="12.75" x14ac:dyDescent="0.2"/>
    <row r="6995" ht="12.75" x14ac:dyDescent="0.2"/>
    <row r="6996" ht="12.75" x14ac:dyDescent="0.2"/>
    <row r="6997" ht="12.75" x14ac:dyDescent="0.2"/>
    <row r="6998" ht="12.75" x14ac:dyDescent="0.2"/>
    <row r="6999" ht="12.75" x14ac:dyDescent="0.2"/>
    <row r="7000" ht="12.75" x14ac:dyDescent="0.2"/>
    <row r="7001" ht="12.75" x14ac:dyDescent="0.2"/>
    <row r="7002" ht="12.75" x14ac:dyDescent="0.2"/>
    <row r="7003" ht="12.75" x14ac:dyDescent="0.2"/>
    <row r="7004" ht="12.75" x14ac:dyDescent="0.2"/>
    <row r="7005" ht="12.75" x14ac:dyDescent="0.2"/>
    <row r="7006" ht="12.75" x14ac:dyDescent="0.2"/>
    <row r="7007" ht="12.75" x14ac:dyDescent="0.2"/>
    <row r="7008" ht="12.75" x14ac:dyDescent="0.2"/>
    <row r="7009" ht="12.75" x14ac:dyDescent="0.2"/>
    <row r="7010" ht="12.75" x14ac:dyDescent="0.2"/>
    <row r="7011" ht="12.75" x14ac:dyDescent="0.2"/>
    <row r="7012" ht="12.75" x14ac:dyDescent="0.2"/>
    <row r="7013" ht="12.75" x14ac:dyDescent="0.2"/>
    <row r="7014" ht="12.75" x14ac:dyDescent="0.2"/>
    <row r="7015" ht="12.75" x14ac:dyDescent="0.2"/>
    <row r="7016" ht="12.75" x14ac:dyDescent="0.2"/>
    <row r="7017" ht="12.75" x14ac:dyDescent="0.2"/>
    <row r="7018" ht="12.75" x14ac:dyDescent="0.2"/>
    <row r="7019" ht="12.75" x14ac:dyDescent="0.2"/>
    <row r="7020" ht="12.75" x14ac:dyDescent="0.2"/>
    <row r="7021" ht="12.75" x14ac:dyDescent="0.2"/>
    <row r="7022" ht="12.75" x14ac:dyDescent="0.2"/>
    <row r="7023" ht="12.75" x14ac:dyDescent="0.2"/>
    <row r="7024" ht="12.75" x14ac:dyDescent="0.2"/>
    <row r="7025" ht="12.75" x14ac:dyDescent="0.2"/>
    <row r="7026" ht="12.75" x14ac:dyDescent="0.2"/>
    <row r="7027" ht="12.75" x14ac:dyDescent="0.2"/>
    <row r="7028" ht="12.75" x14ac:dyDescent="0.2"/>
    <row r="7029" ht="12.75" x14ac:dyDescent="0.2"/>
    <row r="7030" ht="12.75" x14ac:dyDescent="0.2"/>
    <row r="7031" ht="12.75" x14ac:dyDescent="0.2"/>
    <row r="7032" ht="12.75" x14ac:dyDescent="0.2"/>
    <row r="7033" ht="12.75" x14ac:dyDescent="0.2"/>
    <row r="7034" ht="12.75" x14ac:dyDescent="0.2"/>
    <row r="7035" ht="12.75" x14ac:dyDescent="0.2"/>
    <row r="7036" ht="12.75" x14ac:dyDescent="0.2"/>
    <row r="7037" ht="12.75" x14ac:dyDescent="0.2"/>
    <row r="7038" ht="12.75" x14ac:dyDescent="0.2"/>
    <row r="7039" ht="12.75" x14ac:dyDescent="0.2"/>
    <row r="7040" ht="12.75" x14ac:dyDescent="0.2"/>
    <row r="7041" ht="12.75" x14ac:dyDescent="0.2"/>
    <row r="7042" ht="12.75" x14ac:dyDescent="0.2"/>
    <row r="7043" ht="12.75" x14ac:dyDescent="0.2"/>
    <row r="7044" ht="12.75" x14ac:dyDescent="0.2"/>
    <row r="7045" ht="12.75" x14ac:dyDescent="0.2"/>
    <row r="7046" ht="12.75" x14ac:dyDescent="0.2"/>
    <row r="7047" ht="12.75" x14ac:dyDescent="0.2"/>
    <row r="7048" ht="12.75" x14ac:dyDescent="0.2"/>
    <row r="7049" ht="12.75" x14ac:dyDescent="0.2"/>
    <row r="7050" ht="12.75" x14ac:dyDescent="0.2"/>
    <row r="7051" ht="12.75" x14ac:dyDescent="0.2"/>
    <row r="7052" ht="12.75" x14ac:dyDescent="0.2"/>
    <row r="7053" ht="12.75" x14ac:dyDescent="0.2"/>
    <row r="7054" ht="12.75" x14ac:dyDescent="0.2"/>
    <row r="7055" ht="12.75" x14ac:dyDescent="0.2"/>
    <row r="7056" ht="12.75" x14ac:dyDescent="0.2"/>
    <row r="7057" ht="12.75" x14ac:dyDescent="0.2"/>
    <row r="7058" ht="12.75" x14ac:dyDescent="0.2"/>
    <row r="7059" ht="12.75" x14ac:dyDescent="0.2"/>
    <row r="7060" ht="12.75" x14ac:dyDescent="0.2"/>
    <row r="7061" ht="12.75" x14ac:dyDescent="0.2"/>
    <row r="7062" ht="12.75" x14ac:dyDescent="0.2"/>
    <row r="7063" ht="12.75" x14ac:dyDescent="0.2"/>
    <row r="7064" ht="12.75" x14ac:dyDescent="0.2"/>
    <row r="7065" ht="12.75" x14ac:dyDescent="0.2"/>
    <row r="7066" ht="12.75" x14ac:dyDescent="0.2"/>
    <row r="7067" ht="12.75" x14ac:dyDescent="0.2"/>
    <row r="7068" ht="12.75" x14ac:dyDescent="0.2"/>
    <row r="7069" ht="12.75" x14ac:dyDescent="0.2"/>
    <row r="7070" ht="12.75" x14ac:dyDescent="0.2"/>
    <row r="7071" ht="12.75" x14ac:dyDescent="0.2"/>
    <row r="7072" ht="12.75" x14ac:dyDescent="0.2"/>
    <row r="7073" ht="12.75" x14ac:dyDescent="0.2"/>
    <row r="7074" ht="12.75" x14ac:dyDescent="0.2"/>
    <row r="7075" ht="12.75" x14ac:dyDescent="0.2"/>
    <row r="7076" ht="12.75" x14ac:dyDescent="0.2"/>
    <row r="7077" ht="12.75" x14ac:dyDescent="0.2"/>
    <row r="7078" ht="12.75" x14ac:dyDescent="0.2"/>
    <row r="7079" ht="12.75" x14ac:dyDescent="0.2"/>
    <row r="7080" ht="12.75" x14ac:dyDescent="0.2"/>
    <row r="7081" ht="12.75" x14ac:dyDescent="0.2"/>
    <row r="7082" ht="12.75" x14ac:dyDescent="0.2"/>
    <row r="7083" ht="12.75" x14ac:dyDescent="0.2"/>
    <row r="7084" ht="12.75" x14ac:dyDescent="0.2"/>
    <row r="7085" ht="12.75" x14ac:dyDescent="0.2"/>
    <row r="7086" ht="12.75" x14ac:dyDescent="0.2"/>
    <row r="7087" ht="12.75" x14ac:dyDescent="0.2"/>
    <row r="7088" ht="12.75" x14ac:dyDescent="0.2"/>
    <row r="7089" ht="12.75" x14ac:dyDescent="0.2"/>
    <row r="7090" ht="12.75" x14ac:dyDescent="0.2"/>
    <row r="7091" ht="12.75" x14ac:dyDescent="0.2"/>
    <row r="7092" ht="12.75" x14ac:dyDescent="0.2"/>
    <row r="7093" ht="12.75" x14ac:dyDescent="0.2"/>
    <row r="7094" ht="12.75" x14ac:dyDescent="0.2"/>
    <row r="7095" ht="12.75" x14ac:dyDescent="0.2"/>
    <row r="7096" ht="12.75" x14ac:dyDescent="0.2"/>
    <row r="7097" ht="12.75" x14ac:dyDescent="0.2"/>
    <row r="7098" ht="12.75" x14ac:dyDescent="0.2"/>
    <row r="7099" ht="12.75" x14ac:dyDescent="0.2"/>
    <row r="7100" ht="12.75" x14ac:dyDescent="0.2"/>
    <row r="7101" ht="12.75" x14ac:dyDescent="0.2"/>
    <row r="7102" ht="12.75" x14ac:dyDescent="0.2"/>
    <row r="7103" ht="12.75" x14ac:dyDescent="0.2"/>
    <row r="7104" ht="12.75" x14ac:dyDescent="0.2"/>
    <row r="7105" ht="12.75" x14ac:dyDescent="0.2"/>
    <row r="7106" ht="12.75" x14ac:dyDescent="0.2"/>
    <row r="7107" ht="12.75" x14ac:dyDescent="0.2"/>
    <row r="7108" ht="12.75" x14ac:dyDescent="0.2"/>
    <row r="7109" ht="12.75" x14ac:dyDescent="0.2"/>
    <row r="7110" ht="12.75" x14ac:dyDescent="0.2"/>
    <row r="7111" ht="12.75" x14ac:dyDescent="0.2"/>
    <row r="7112" ht="12.75" x14ac:dyDescent="0.2"/>
    <row r="7113" ht="12.75" x14ac:dyDescent="0.2"/>
    <row r="7114" ht="12.75" x14ac:dyDescent="0.2"/>
    <row r="7115" ht="12.75" x14ac:dyDescent="0.2"/>
    <row r="7116" ht="12.75" x14ac:dyDescent="0.2"/>
    <row r="7117" ht="12.75" x14ac:dyDescent="0.2"/>
    <row r="7118" ht="12.75" x14ac:dyDescent="0.2"/>
    <row r="7119" ht="12.75" x14ac:dyDescent="0.2"/>
    <row r="7120" ht="12.75" x14ac:dyDescent="0.2"/>
    <row r="7121" ht="12.75" x14ac:dyDescent="0.2"/>
    <row r="7122" ht="12.75" x14ac:dyDescent="0.2"/>
    <row r="7123" ht="12.75" x14ac:dyDescent="0.2"/>
    <row r="7124" ht="12.75" x14ac:dyDescent="0.2"/>
    <row r="7125" ht="12.75" x14ac:dyDescent="0.2"/>
    <row r="7126" ht="12.75" x14ac:dyDescent="0.2"/>
    <row r="7127" ht="12.75" x14ac:dyDescent="0.2"/>
    <row r="7128" ht="12.75" x14ac:dyDescent="0.2"/>
    <row r="7129" ht="12.75" x14ac:dyDescent="0.2"/>
    <row r="7130" ht="12.75" x14ac:dyDescent="0.2"/>
    <row r="7131" ht="12.75" x14ac:dyDescent="0.2"/>
    <row r="7132" ht="12.75" x14ac:dyDescent="0.2"/>
    <row r="7133" ht="12.75" x14ac:dyDescent="0.2"/>
    <row r="7134" ht="12.75" x14ac:dyDescent="0.2"/>
    <row r="7135" ht="12.75" x14ac:dyDescent="0.2"/>
    <row r="7136" ht="12.75" x14ac:dyDescent="0.2"/>
    <row r="7137" ht="12.75" x14ac:dyDescent="0.2"/>
    <row r="7138" ht="12.75" x14ac:dyDescent="0.2"/>
    <row r="7139" ht="12.75" x14ac:dyDescent="0.2"/>
    <row r="7140" ht="12.75" x14ac:dyDescent="0.2"/>
    <row r="7141" ht="12.75" x14ac:dyDescent="0.2"/>
    <row r="7142" ht="12.75" x14ac:dyDescent="0.2"/>
    <row r="7143" ht="12.75" x14ac:dyDescent="0.2"/>
    <row r="7144" ht="12.75" x14ac:dyDescent="0.2"/>
    <row r="7145" ht="12.75" x14ac:dyDescent="0.2"/>
    <row r="7146" ht="12.75" x14ac:dyDescent="0.2"/>
    <row r="7147" ht="12.75" x14ac:dyDescent="0.2"/>
    <row r="7148" ht="12.75" x14ac:dyDescent="0.2"/>
    <row r="7149" ht="12.75" x14ac:dyDescent="0.2"/>
    <row r="7150" ht="12.75" x14ac:dyDescent="0.2"/>
    <row r="7151" ht="12.75" x14ac:dyDescent="0.2"/>
    <row r="7152" ht="12.75" x14ac:dyDescent="0.2"/>
    <row r="7153" ht="12.75" x14ac:dyDescent="0.2"/>
    <row r="7154" ht="12.75" x14ac:dyDescent="0.2"/>
    <row r="7155" ht="12.75" x14ac:dyDescent="0.2"/>
    <row r="7156" ht="12.75" x14ac:dyDescent="0.2"/>
    <row r="7157" ht="12.75" x14ac:dyDescent="0.2"/>
    <row r="7158" ht="12.75" x14ac:dyDescent="0.2"/>
    <row r="7159" ht="12.75" x14ac:dyDescent="0.2"/>
    <row r="7160" ht="12.75" x14ac:dyDescent="0.2"/>
    <row r="7161" ht="12.75" x14ac:dyDescent="0.2"/>
    <row r="7162" ht="12.75" x14ac:dyDescent="0.2"/>
    <row r="7163" ht="12.75" x14ac:dyDescent="0.2"/>
    <row r="7164" ht="12.75" x14ac:dyDescent="0.2"/>
    <row r="7165" ht="12.75" x14ac:dyDescent="0.2"/>
    <row r="7166" ht="12.75" x14ac:dyDescent="0.2"/>
    <row r="7167" ht="12.75" x14ac:dyDescent="0.2"/>
    <row r="7168" ht="12.75" x14ac:dyDescent="0.2"/>
    <row r="7169" ht="12.75" x14ac:dyDescent="0.2"/>
    <row r="7170" ht="12.75" x14ac:dyDescent="0.2"/>
    <row r="7171" ht="12.75" x14ac:dyDescent="0.2"/>
    <row r="7172" ht="12.75" x14ac:dyDescent="0.2"/>
    <row r="7173" ht="12.75" x14ac:dyDescent="0.2"/>
    <row r="7174" ht="12.75" x14ac:dyDescent="0.2"/>
    <row r="7175" ht="12.75" x14ac:dyDescent="0.2"/>
    <row r="7176" ht="12.75" x14ac:dyDescent="0.2"/>
    <row r="7177" ht="12.75" x14ac:dyDescent="0.2"/>
    <row r="7178" ht="12.75" x14ac:dyDescent="0.2"/>
    <row r="7179" ht="12.75" x14ac:dyDescent="0.2"/>
    <row r="7180" ht="12.75" x14ac:dyDescent="0.2"/>
    <row r="7181" ht="12.75" x14ac:dyDescent="0.2"/>
    <row r="7182" ht="12.75" x14ac:dyDescent="0.2"/>
    <row r="7183" ht="12.75" x14ac:dyDescent="0.2"/>
    <row r="7184" ht="12.75" x14ac:dyDescent="0.2"/>
    <row r="7185" ht="12.75" x14ac:dyDescent="0.2"/>
    <row r="7186" ht="12.75" x14ac:dyDescent="0.2"/>
    <row r="7187" ht="12.75" x14ac:dyDescent="0.2"/>
    <row r="7188" ht="12.75" x14ac:dyDescent="0.2"/>
    <row r="7189" ht="12.75" x14ac:dyDescent="0.2"/>
    <row r="7190" ht="12.75" x14ac:dyDescent="0.2"/>
    <row r="7191" ht="12.75" x14ac:dyDescent="0.2"/>
    <row r="7192" ht="12.75" x14ac:dyDescent="0.2"/>
    <row r="7193" ht="12.75" x14ac:dyDescent="0.2"/>
    <row r="7194" ht="12.75" x14ac:dyDescent="0.2"/>
    <row r="7195" ht="12.75" x14ac:dyDescent="0.2"/>
    <row r="7196" ht="12.75" x14ac:dyDescent="0.2"/>
    <row r="7197" ht="12.75" x14ac:dyDescent="0.2"/>
    <row r="7198" ht="12.75" x14ac:dyDescent="0.2"/>
    <row r="7199" ht="12.75" x14ac:dyDescent="0.2"/>
    <row r="7200" ht="12.75" x14ac:dyDescent="0.2"/>
    <row r="7201" ht="12.75" x14ac:dyDescent="0.2"/>
    <row r="7202" ht="12.75" x14ac:dyDescent="0.2"/>
    <row r="7203" ht="12.75" x14ac:dyDescent="0.2"/>
    <row r="7204" ht="12.75" x14ac:dyDescent="0.2"/>
    <row r="7205" ht="12.75" x14ac:dyDescent="0.2"/>
    <row r="7206" ht="12.75" x14ac:dyDescent="0.2"/>
    <row r="7207" ht="12.75" x14ac:dyDescent="0.2"/>
    <row r="7208" ht="12.75" x14ac:dyDescent="0.2"/>
    <row r="7209" ht="12.75" x14ac:dyDescent="0.2"/>
    <row r="7210" ht="12.75" x14ac:dyDescent="0.2"/>
    <row r="7211" ht="12.75" x14ac:dyDescent="0.2"/>
    <row r="7212" ht="12.75" x14ac:dyDescent="0.2"/>
    <row r="7213" ht="12.75" x14ac:dyDescent="0.2"/>
    <row r="7214" ht="12.75" x14ac:dyDescent="0.2"/>
    <row r="7215" ht="12.75" x14ac:dyDescent="0.2"/>
    <row r="7216" ht="12.75" x14ac:dyDescent="0.2"/>
    <row r="7217" ht="12.75" x14ac:dyDescent="0.2"/>
    <row r="7218" ht="12.75" x14ac:dyDescent="0.2"/>
    <row r="7219" ht="12.75" x14ac:dyDescent="0.2"/>
    <row r="7220" ht="12.75" x14ac:dyDescent="0.2"/>
    <row r="7221" ht="12.75" x14ac:dyDescent="0.2"/>
    <row r="7222" ht="12.75" x14ac:dyDescent="0.2"/>
    <row r="7223" ht="12.75" x14ac:dyDescent="0.2"/>
    <row r="7224" ht="12.75" x14ac:dyDescent="0.2"/>
    <row r="7225" ht="12.75" x14ac:dyDescent="0.2"/>
    <row r="7226" ht="12.75" x14ac:dyDescent="0.2"/>
    <row r="7227" ht="12.75" x14ac:dyDescent="0.2"/>
    <row r="7228" ht="12.75" x14ac:dyDescent="0.2"/>
    <row r="7229" ht="12.75" x14ac:dyDescent="0.2"/>
    <row r="7230" ht="12.75" x14ac:dyDescent="0.2"/>
    <row r="7231" ht="12.75" x14ac:dyDescent="0.2"/>
    <row r="7232" ht="12.75" x14ac:dyDescent="0.2"/>
    <row r="7233" ht="12.75" x14ac:dyDescent="0.2"/>
    <row r="7234" ht="12.75" x14ac:dyDescent="0.2"/>
    <row r="7235" ht="12.75" x14ac:dyDescent="0.2"/>
    <row r="7236" ht="12.75" x14ac:dyDescent="0.2"/>
    <row r="7237" ht="12.75" x14ac:dyDescent="0.2"/>
    <row r="7238" ht="12.75" x14ac:dyDescent="0.2"/>
    <row r="7239" ht="12.75" x14ac:dyDescent="0.2"/>
    <row r="7240" ht="12.75" x14ac:dyDescent="0.2"/>
    <row r="7241" ht="12.75" x14ac:dyDescent="0.2"/>
    <row r="7242" ht="12.75" x14ac:dyDescent="0.2"/>
    <row r="7243" ht="12.75" x14ac:dyDescent="0.2"/>
    <row r="7244" ht="12.75" x14ac:dyDescent="0.2"/>
    <row r="7245" ht="12.75" x14ac:dyDescent="0.2"/>
    <row r="7246" ht="12.75" x14ac:dyDescent="0.2"/>
    <row r="7247" ht="12.75" x14ac:dyDescent="0.2"/>
    <row r="7248" ht="12.75" x14ac:dyDescent="0.2"/>
    <row r="7249" ht="12.75" x14ac:dyDescent="0.2"/>
    <row r="7250" ht="12.75" x14ac:dyDescent="0.2"/>
    <row r="7251" ht="12.75" x14ac:dyDescent="0.2"/>
    <row r="7252" ht="12.75" x14ac:dyDescent="0.2"/>
    <row r="7253" ht="12.75" x14ac:dyDescent="0.2"/>
    <row r="7254" ht="12.75" x14ac:dyDescent="0.2"/>
    <row r="7255" ht="12.75" x14ac:dyDescent="0.2"/>
    <row r="7256" ht="12.75" x14ac:dyDescent="0.2"/>
    <row r="7257" ht="12.75" x14ac:dyDescent="0.2"/>
    <row r="7258" ht="12.75" x14ac:dyDescent="0.2"/>
    <row r="7259" ht="12.75" x14ac:dyDescent="0.2"/>
    <row r="7260" ht="12.75" x14ac:dyDescent="0.2"/>
    <row r="7261" ht="12.75" x14ac:dyDescent="0.2"/>
    <row r="7262" ht="12.75" x14ac:dyDescent="0.2"/>
    <row r="7263" ht="12.75" x14ac:dyDescent="0.2"/>
    <row r="7264" ht="12.75" x14ac:dyDescent="0.2"/>
    <row r="7265" ht="12.75" x14ac:dyDescent="0.2"/>
    <row r="7266" ht="12.75" x14ac:dyDescent="0.2"/>
    <row r="7267" ht="12.75" x14ac:dyDescent="0.2"/>
    <row r="7268" ht="12.75" x14ac:dyDescent="0.2"/>
    <row r="7269" ht="12.75" x14ac:dyDescent="0.2"/>
    <row r="7270" ht="12.75" x14ac:dyDescent="0.2"/>
    <row r="7271" ht="12.75" x14ac:dyDescent="0.2"/>
    <row r="7272" ht="12.75" x14ac:dyDescent="0.2"/>
    <row r="7273" ht="12.75" x14ac:dyDescent="0.2"/>
    <row r="7274" ht="12.75" x14ac:dyDescent="0.2"/>
    <row r="7275" ht="12.75" x14ac:dyDescent="0.2"/>
    <row r="7276" ht="12.75" x14ac:dyDescent="0.2"/>
    <row r="7277" ht="12.75" x14ac:dyDescent="0.2"/>
    <row r="7278" ht="12.75" x14ac:dyDescent="0.2"/>
    <row r="7279" ht="12.75" x14ac:dyDescent="0.2"/>
    <row r="7280" ht="12.75" x14ac:dyDescent="0.2"/>
    <row r="7281" ht="12.75" x14ac:dyDescent="0.2"/>
    <row r="7282" ht="12.75" x14ac:dyDescent="0.2"/>
    <row r="7283" ht="12.75" x14ac:dyDescent="0.2"/>
    <row r="7284" ht="12.75" x14ac:dyDescent="0.2"/>
    <row r="7285" ht="12.75" x14ac:dyDescent="0.2"/>
    <row r="7286" ht="12.75" x14ac:dyDescent="0.2"/>
    <row r="7287" ht="12.75" x14ac:dyDescent="0.2"/>
    <row r="7288" ht="12.75" x14ac:dyDescent="0.2"/>
    <row r="7289" ht="12.75" x14ac:dyDescent="0.2"/>
    <row r="7290" ht="12.75" x14ac:dyDescent="0.2"/>
    <row r="7291" ht="12.75" x14ac:dyDescent="0.2"/>
    <row r="7292" ht="12.75" x14ac:dyDescent="0.2"/>
    <row r="7293" ht="12.75" x14ac:dyDescent="0.2"/>
    <row r="7294" ht="12.75" x14ac:dyDescent="0.2"/>
    <row r="7295" ht="12.75" x14ac:dyDescent="0.2"/>
    <row r="7296" ht="12.75" x14ac:dyDescent="0.2"/>
    <row r="7297" ht="12.75" x14ac:dyDescent="0.2"/>
    <row r="7298" ht="12.75" x14ac:dyDescent="0.2"/>
    <row r="7299" ht="12.75" x14ac:dyDescent="0.2"/>
    <row r="7300" ht="12.75" x14ac:dyDescent="0.2"/>
    <row r="7301" ht="12.75" x14ac:dyDescent="0.2"/>
    <row r="7302" ht="12.75" x14ac:dyDescent="0.2"/>
    <row r="7303" ht="12.75" x14ac:dyDescent="0.2"/>
    <row r="7304" ht="12.75" x14ac:dyDescent="0.2"/>
    <row r="7305" ht="12.75" x14ac:dyDescent="0.2"/>
    <row r="7306" ht="12.75" x14ac:dyDescent="0.2"/>
    <row r="7307" ht="12.75" x14ac:dyDescent="0.2"/>
    <row r="7308" ht="12.75" x14ac:dyDescent="0.2"/>
    <row r="7309" ht="12.75" x14ac:dyDescent="0.2"/>
    <row r="7310" ht="12.75" x14ac:dyDescent="0.2"/>
    <row r="7311" ht="12.75" x14ac:dyDescent="0.2"/>
    <row r="7312" ht="12.75" x14ac:dyDescent="0.2"/>
    <row r="7313" ht="12.75" x14ac:dyDescent="0.2"/>
    <row r="7314" ht="12.75" x14ac:dyDescent="0.2"/>
    <row r="7315" ht="12.75" x14ac:dyDescent="0.2"/>
    <row r="7316" ht="12.75" x14ac:dyDescent="0.2"/>
    <row r="7317" ht="12.75" x14ac:dyDescent="0.2"/>
    <row r="7318" ht="12.75" x14ac:dyDescent="0.2"/>
    <row r="7319" ht="12.75" x14ac:dyDescent="0.2"/>
    <row r="7320" ht="12.75" x14ac:dyDescent="0.2"/>
    <row r="7321" ht="12.75" x14ac:dyDescent="0.2"/>
    <row r="7322" ht="12.75" x14ac:dyDescent="0.2"/>
    <row r="7323" ht="12.75" x14ac:dyDescent="0.2"/>
    <row r="7324" ht="12.75" x14ac:dyDescent="0.2"/>
    <row r="7325" ht="12.75" x14ac:dyDescent="0.2"/>
    <row r="7326" ht="12.75" x14ac:dyDescent="0.2"/>
    <row r="7327" ht="12.75" x14ac:dyDescent="0.2"/>
    <row r="7328" ht="12.75" x14ac:dyDescent="0.2"/>
    <row r="7329" ht="12.75" x14ac:dyDescent="0.2"/>
    <row r="7330" ht="12.75" x14ac:dyDescent="0.2"/>
    <row r="7331" ht="12.75" x14ac:dyDescent="0.2"/>
    <row r="7332" ht="12.75" x14ac:dyDescent="0.2"/>
    <row r="7333" ht="12.75" x14ac:dyDescent="0.2"/>
    <row r="7334" ht="12.75" x14ac:dyDescent="0.2"/>
    <row r="7335" ht="12.75" x14ac:dyDescent="0.2"/>
    <row r="7336" ht="12.75" x14ac:dyDescent="0.2"/>
    <row r="7337" ht="12.75" x14ac:dyDescent="0.2"/>
    <row r="7338" ht="12.75" x14ac:dyDescent="0.2"/>
    <row r="7339" ht="12.75" x14ac:dyDescent="0.2"/>
    <row r="7340" ht="12.75" x14ac:dyDescent="0.2"/>
    <row r="7341" ht="12.75" x14ac:dyDescent="0.2"/>
    <row r="7342" ht="12.75" x14ac:dyDescent="0.2"/>
    <row r="7343" ht="12.75" x14ac:dyDescent="0.2"/>
    <row r="7344" ht="12.75" x14ac:dyDescent="0.2"/>
    <row r="7345" ht="12.75" x14ac:dyDescent="0.2"/>
    <row r="7346" ht="12.75" x14ac:dyDescent="0.2"/>
    <row r="7347" ht="12.75" x14ac:dyDescent="0.2"/>
    <row r="7348" ht="12.75" x14ac:dyDescent="0.2"/>
    <row r="7349" ht="12.75" x14ac:dyDescent="0.2"/>
    <row r="7350" ht="12.75" x14ac:dyDescent="0.2"/>
    <row r="7351" ht="12.75" x14ac:dyDescent="0.2"/>
    <row r="7352" ht="12.75" x14ac:dyDescent="0.2"/>
    <row r="7353" ht="12.75" x14ac:dyDescent="0.2"/>
    <row r="7354" ht="12.75" x14ac:dyDescent="0.2"/>
    <row r="7355" ht="12.75" x14ac:dyDescent="0.2"/>
    <row r="7356" ht="12.75" x14ac:dyDescent="0.2"/>
    <row r="7357" ht="12.75" x14ac:dyDescent="0.2"/>
    <row r="7358" ht="12.75" x14ac:dyDescent="0.2"/>
    <row r="7359" ht="12.75" x14ac:dyDescent="0.2"/>
    <row r="7360" ht="12.75" x14ac:dyDescent="0.2"/>
    <row r="7361" ht="12.75" x14ac:dyDescent="0.2"/>
    <row r="7362" ht="12.75" x14ac:dyDescent="0.2"/>
    <row r="7363" ht="12.75" x14ac:dyDescent="0.2"/>
    <row r="7364" ht="12.75" x14ac:dyDescent="0.2"/>
    <row r="7365" ht="12.75" x14ac:dyDescent="0.2"/>
    <row r="7366" ht="12.75" x14ac:dyDescent="0.2"/>
    <row r="7367" ht="12.75" x14ac:dyDescent="0.2"/>
    <row r="7368" ht="12.75" x14ac:dyDescent="0.2"/>
    <row r="7369" ht="12.75" x14ac:dyDescent="0.2"/>
    <row r="7370" ht="12.75" x14ac:dyDescent="0.2"/>
    <row r="7371" ht="12.75" x14ac:dyDescent="0.2"/>
    <row r="7372" ht="12.75" x14ac:dyDescent="0.2"/>
    <row r="7373" ht="12.75" x14ac:dyDescent="0.2"/>
    <row r="7374" ht="12.75" x14ac:dyDescent="0.2"/>
    <row r="7375" ht="12.75" x14ac:dyDescent="0.2"/>
    <row r="7376" ht="12.75" x14ac:dyDescent="0.2"/>
    <row r="7377" ht="12.75" x14ac:dyDescent="0.2"/>
    <row r="7378" ht="12.75" x14ac:dyDescent="0.2"/>
    <row r="7379" ht="12.75" x14ac:dyDescent="0.2"/>
    <row r="7380" ht="12.75" x14ac:dyDescent="0.2"/>
    <row r="7381" ht="12.75" x14ac:dyDescent="0.2"/>
    <row r="7382" ht="12.75" x14ac:dyDescent="0.2"/>
    <row r="7383" ht="12.75" x14ac:dyDescent="0.2"/>
    <row r="7384" ht="12.75" x14ac:dyDescent="0.2"/>
    <row r="7385" ht="12.75" x14ac:dyDescent="0.2"/>
    <row r="7386" ht="12.75" x14ac:dyDescent="0.2"/>
    <row r="7387" ht="12.75" x14ac:dyDescent="0.2"/>
    <row r="7388" ht="12.75" x14ac:dyDescent="0.2"/>
    <row r="7389" ht="12.75" x14ac:dyDescent="0.2"/>
    <row r="7390" ht="12.75" x14ac:dyDescent="0.2"/>
    <row r="7391" ht="12.75" x14ac:dyDescent="0.2"/>
    <row r="7392" ht="12.75" x14ac:dyDescent="0.2"/>
    <row r="7393" ht="12.75" x14ac:dyDescent="0.2"/>
    <row r="7394" ht="12.75" x14ac:dyDescent="0.2"/>
    <row r="7395" ht="12.75" x14ac:dyDescent="0.2"/>
    <row r="7396" ht="12.75" x14ac:dyDescent="0.2"/>
    <row r="7397" ht="12.75" x14ac:dyDescent="0.2"/>
    <row r="7398" ht="12.75" x14ac:dyDescent="0.2"/>
    <row r="7399" ht="12.75" x14ac:dyDescent="0.2"/>
    <row r="7400" ht="12.75" x14ac:dyDescent="0.2"/>
    <row r="7401" ht="12.75" x14ac:dyDescent="0.2"/>
    <row r="7402" ht="12.75" x14ac:dyDescent="0.2"/>
    <row r="7403" ht="12.75" x14ac:dyDescent="0.2"/>
    <row r="7404" ht="12.75" x14ac:dyDescent="0.2"/>
    <row r="7405" ht="12.75" x14ac:dyDescent="0.2"/>
    <row r="7406" ht="12.75" x14ac:dyDescent="0.2"/>
    <row r="7407" ht="12.75" x14ac:dyDescent="0.2"/>
    <row r="7408" ht="12.75" x14ac:dyDescent="0.2"/>
    <row r="7409" ht="12.75" x14ac:dyDescent="0.2"/>
    <row r="7410" ht="12.75" x14ac:dyDescent="0.2"/>
    <row r="7411" ht="12.75" x14ac:dyDescent="0.2"/>
    <row r="7412" ht="12.75" x14ac:dyDescent="0.2"/>
    <row r="7413" ht="12.75" x14ac:dyDescent="0.2"/>
    <row r="7414" ht="12.75" x14ac:dyDescent="0.2"/>
    <row r="7415" ht="12.75" x14ac:dyDescent="0.2"/>
    <row r="7416" ht="12.75" x14ac:dyDescent="0.2"/>
    <row r="7417" ht="12.75" x14ac:dyDescent="0.2"/>
    <row r="7418" ht="12.75" x14ac:dyDescent="0.2"/>
    <row r="7419" ht="12.75" x14ac:dyDescent="0.2"/>
    <row r="7420" ht="12.75" x14ac:dyDescent="0.2"/>
    <row r="7421" ht="12.75" x14ac:dyDescent="0.2"/>
    <row r="7422" ht="12.75" x14ac:dyDescent="0.2"/>
    <row r="7423" ht="12.75" x14ac:dyDescent="0.2"/>
    <row r="7424" ht="12.75" x14ac:dyDescent="0.2"/>
    <row r="7425" ht="12.75" x14ac:dyDescent="0.2"/>
    <row r="7426" ht="12.75" x14ac:dyDescent="0.2"/>
    <row r="7427" ht="12.75" x14ac:dyDescent="0.2"/>
    <row r="7428" ht="12.75" x14ac:dyDescent="0.2"/>
    <row r="7429" ht="12.75" x14ac:dyDescent="0.2"/>
    <row r="7430" ht="12.75" x14ac:dyDescent="0.2"/>
    <row r="7431" ht="12.75" x14ac:dyDescent="0.2"/>
    <row r="7432" ht="12.75" x14ac:dyDescent="0.2"/>
    <row r="7433" ht="12.75" x14ac:dyDescent="0.2"/>
    <row r="7434" ht="12.75" x14ac:dyDescent="0.2"/>
    <row r="7435" ht="12.75" x14ac:dyDescent="0.2"/>
    <row r="7436" ht="12.75" x14ac:dyDescent="0.2"/>
    <row r="7437" ht="12.75" x14ac:dyDescent="0.2"/>
    <row r="7438" ht="12.75" x14ac:dyDescent="0.2"/>
    <row r="7439" ht="12.75" x14ac:dyDescent="0.2"/>
    <row r="7440" ht="12.75" x14ac:dyDescent="0.2"/>
    <row r="7441" ht="12.75" x14ac:dyDescent="0.2"/>
    <row r="7442" ht="12.75" x14ac:dyDescent="0.2"/>
    <row r="7443" ht="12.75" x14ac:dyDescent="0.2"/>
    <row r="7444" ht="12.75" x14ac:dyDescent="0.2"/>
    <row r="7445" ht="12.75" x14ac:dyDescent="0.2"/>
    <row r="7446" ht="12.75" x14ac:dyDescent="0.2"/>
    <row r="7447" ht="12.75" x14ac:dyDescent="0.2"/>
    <row r="7448" ht="12.75" x14ac:dyDescent="0.2"/>
    <row r="7449" ht="12.75" x14ac:dyDescent="0.2"/>
    <row r="7450" ht="12.75" x14ac:dyDescent="0.2"/>
    <row r="7451" ht="12.75" x14ac:dyDescent="0.2"/>
    <row r="7452" ht="12.75" x14ac:dyDescent="0.2"/>
    <row r="7453" ht="12.75" x14ac:dyDescent="0.2"/>
    <row r="7454" ht="12.75" x14ac:dyDescent="0.2"/>
    <row r="7455" ht="12.75" x14ac:dyDescent="0.2"/>
    <row r="7456" ht="12.75" x14ac:dyDescent="0.2"/>
    <row r="7457" ht="12.75" x14ac:dyDescent="0.2"/>
    <row r="7458" ht="12.75" x14ac:dyDescent="0.2"/>
    <row r="7459" ht="12.75" x14ac:dyDescent="0.2"/>
    <row r="7460" ht="12.75" x14ac:dyDescent="0.2"/>
    <row r="7461" ht="12.75" x14ac:dyDescent="0.2"/>
    <row r="7462" ht="12.75" x14ac:dyDescent="0.2"/>
    <row r="7463" ht="12.75" x14ac:dyDescent="0.2"/>
    <row r="7464" ht="12.75" x14ac:dyDescent="0.2"/>
    <row r="7465" ht="12.75" x14ac:dyDescent="0.2"/>
    <row r="7466" ht="12.75" x14ac:dyDescent="0.2"/>
    <row r="7467" ht="12.75" x14ac:dyDescent="0.2"/>
    <row r="7468" ht="12.75" x14ac:dyDescent="0.2"/>
    <row r="7469" ht="12.75" x14ac:dyDescent="0.2"/>
    <row r="7470" ht="12.75" x14ac:dyDescent="0.2"/>
    <row r="7471" ht="12.75" x14ac:dyDescent="0.2"/>
    <row r="7472" ht="12.75" x14ac:dyDescent="0.2"/>
    <row r="7473" ht="12.75" x14ac:dyDescent="0.2"/>
    <row r="7474" ht="12.75" x14ac:dyDescent="0.2"/>
    <row r="7475" ht="12.75" x14ac:dyDescent="0.2"/>
    <row r="7476" ht="12.75" x14ac:dyDescent="0.2"/>
    <row r="7477" ht="12.75" x14ac:dyDescent="0.2"/>
    <row r="7478" ht="12.75" x14ac:dyDescent="0.2"/>
    <row r="7479" ht="12.75" x14ac:dyDescent="0.2"/>
    <row r="7480" ht="12.75" x14ac:dyDescent="0.2"/>
    <row r="7481" ht="12.75" x14ac:dyDescent="0.2"/>
    <row r="7482" ht="12.75" x14ac:dyDescent="0.2"/>
    <row r="7483" ht="12.75" x14ac:dyDescent="0.2"/>
    <row r="7484" ht="12.75" x14ac:dyDescent="0.2"/>
    <row r="7485" ht="12.75" x14ac:dyDescent="0.2"/>
    <row r="7486" ht="12.75" x14ac:dyDescent="0.2"/>
    <row r="7487" ht="12.75" x14ac:dyDescent="0.2"/>
    <row r="7488" ht="12.75" x14ac:dyDescent="0.2"/>
    <row r="7489" ht="12.75" x14ac:dyDescent="0.2"/>
    <row r="7490" ht="12.75" x14ac:dyDescent="0.2"/>
    <row r="7491" ht="12.75" x14ac:dyDescent="0.2"/>
    <row r="7492" ht="12.75" x14ac:dyDescent="0.2"/>
    <row r="7493" ht="12.75" x14ac:dyDescent="0.2"/>
    <row r="7494" ht="12.75" x14ac:dyDescent="0.2"/>
    <row r="7495" ht="12.75" x14ac:dyDescent="0.2"/>
    <row r="7496" ht="12.75" x14ac:dyDescent="0.2"/>
    <row r="7497" ht="12.75" x14ac:dyDescent="0.2"/>
    <row r="7498" ht="12.75" x14ac:dyDescent="0.2"/>
    <row r="7499" ht="12.75" x14ac:dyDescent="0.2"/>
    <row r="7500" ht="12.75" x14ac:dyDescent="0.2"/>
    <row r="7501" ht="12.75" x14ac:dyDescent="0.2"/>
    <row r="7502" ht="12.75" x14ac:dyDescent="0.2"/>
    <row r="7503" ht="12.75" x14ac:dyDescent="0.2"/>
    <row r="7504" ht="12.75" x14ac:dyDescent="0.2"/>
    <row r="7505" ht="12.75" x14ac:dyDescent="0.2"/>
    <row r="7506" ht="12.75" x14ac:dyDescent="0.2"/>
    <row r="7507" ht="12.75" x14ac:dyDescent="0.2"/>
    <row r="7508" ht="12.75" x14ac:dyDescent="0.2"/>
    <row r="7509" ht="12.75" x14ac:dyDescent="0.2"/>
    <row r="7510" ht="12.75" x14ac:dyDescent="0.2"/>
    <row r="7511" ht="12.75" x14ac:dyDescent="0.2"/>
    <row r="7512" ht="12.75" x14ac:dyDescent="0.2"/>
    <row r="7513" ht="12.75" x14ac:dyDescent="0.2"/>
    <row r="7514" ht="12.75" x14ac:dyDescent="0.2"/>
    <row r="7515" ht="12.75" x14ac:dyDescent="0.2"/>
    <row r="7516" ht="12.75" x14ac:dyDescent="0.2"/>
    <row r="7517" ht="12.75" x14ac:dyDescent="0.2"/>
    <row r="7518" ht="12.75" x14ac:dyDescent="0.2"/>
    <row r="7519" ht="12.75" x14ac:dyDescent="0.2"/>
    <row r="7520" ht="12.75" x14ac:dyDescent="0.2"/>
    <row r="7521" ht="12.75" x14ac:dyDescent="0.2"/>
    <row r="7522" ht="12.75" x14ac:dyDescent="0.2"/>
    <row r="7523" ht="12.75" x14ac:dyDescent="0.2"/>
    <row r="7524" ht="12.75" x14ac:dyDescent="0.2"/>
    <row r="7525" ht="12.75" x14ac:dyDescent="0.2"/>
    <row r="7526" ht="12.75" x14ac:dyDescent="0.2"/>
    <row r="7527" ht="12.75" x14ac:dyDescent="0.2"/>
    <row r="7528" ht="12.75" x14ac:dyDescent="0.2"/>
    <row r="7529" ht="12.75" x14ac:dyDescent="0.2"/>
    <row r="7530" ht="12.75" x14ac:dyDescent="0.2"/>
    <row r="7531" ht="12.75" x14ac:dyDescent="0.2"/>
    <row r="7532" ht="12.75" x14ac:dyDescent="0.2"/>
    <row r="7533" ht="12.75" x14ac:dyDescent="0.2"/>
    <row r="7534" ht="12.75" x14ac:dyDescent="0.2"/>
    <row r="7535" ht="12.75" x14ac:dyDescent="0.2"/>
    <row r="7536" ht="12.75" x14ac:dyDescent="0.2"/>
    <row r="7537" ht="12.75" x14ac:dyDescent="0.2"/>
    <row r="7538" ht="12.75" x14ac:dyDescent="0.2"/>
    <row r="7539" ht="12.75" x14ac:dyDescent="0.2"/>
    <row r="7540" ht="12.75" x14ac:dyDescent="0.2"/>
    <row r="7541" ht="12.75" x14ac:dyDescent="0.2"/>
    <row r="7542" ht="12.75" x14ac:dyDescent="0.2"/>
    <row r="7543" ht="12.75" x14ac:dyDescent="0.2"/>
    <row r="7544" ht="12.75" x14ac:dyDescent="0.2"/>
    <row r="7545" ht="12.75" x14ac:dyDescent="0.2"/>
    <row r="7546" ht="12.75" x14ac:dyDescent="0.2"/>
    <row r="7547" ht="12.75" x14ac:dyDescent="0.2"/>
    <row r="7548" ht="12.75" x14ac:dyDescent="0.2"/>
    <row r="7549" ht="12.75" x14ac:dyDescent="0.2"/>
    <row r="7550" ht="12.75" x14ac:dyDescent="0.2"/>
    <row r="7551" ht="12.75" x14ac:dyDescent="0.2"/>
    <row r="7552" ht="12.75" x14ac:dyDescent="0.2"/>
    <row r="7553" ht="12.75" x14ac:dyDescent="0.2"/>
    <row r="7554" ht="12.75" x14ac:dyDescent="0.2"/>
    <row r="7555" ht="12.75" x14ac:dyDescent="0.2"/>
    <row r="7556" ht="12.75" x14ac:dyDescent="0.2"/>
    <row r="7557" ht="12.75" x14ac:dyDescent="0.2"/>
    <row r="7558" ht="12.75" x14ac:dyDescent="0.2"/>
    <row r="7559" ht="12.75" x14ac:dyDescent="0.2"/>
    <row r="7560" ht="12.75" x14ac:dyDescent="0.2"/>
    <row r="7561" ht="12.75" x14ac:dyDescent="0.2"/>
    <row r="7562" ht="12.75" x14ac:dyDescent="0.2"/>
    <row r="7563" ht="12.75" x14ac:dyDescent="0.2"/>
    <row r="7564" ht="12.75" x14ac:dyDescent="0.2"/>
    <row r="7565" ht="12.75" x14ac:dyDescent="0.2"/>
    <row r="7566" ht="12.75" x14ac:dyDescent="0.2"/>
    <row r="7567" ht="12.75" x14ac:dyDescent="0.2"/>
    <row r="7568" ht="12.75" x14ac:dyDescent="0.2"/>
    <row r="7569" ht="12.75" x14ac:dyDescent="0.2"/>
    <row r="7570" ht="12.75" x14ac:dyDescent="0.2"/>
    <row r="7571" ht="12.75" x14ac:dyDescent="0.2"/>
    <row r="7572" ht="12.75" x14ac:dyDescent="0.2"/>
    <row r="7573" ht="12.75" x14ac:dyDescent="0.2"/>
    <row r="7574" ht="12.75" x14ac:dyDescent="0.2"/>
    <row r="7575" ht="12.75" x14ac:dyDescent="0.2"/>
    <row r="7576" ht="12.75" x14ac:dyDescent="0.2"/>
    <row r="7577" ht="12.75" x14ac:dyDescent="0.2"/>
    <row r="7578" ht="12.75" x14ac:dyDescent="0.2"/>
    <row r="7579" ht="12.75" x14ac:dyDescent="0.2"/>
    <row r="7580" ht="12.75" x14ac:dyDescent="0.2"/>
    <row r="7581" ht="12.75" x14ac:dyDescent="0.2"/>
    <row r="7582" ht="12.75" x14ac:dyDescent="0.2"/>
    <row r="7583" ht="12.75" x14ac:dyDescent="0.2"/>
    <row r="7584" ht="12.75" x14ac:dyDescent="0.2"/>
    <row r="7585" ht="12.75" x14ac:dyDescent="0.2"/>
    <row r="7586" ht="12.75" x14ac:dyDescent="0.2"/>
    <row r="7587" ht="12.75" x14ac:dyDescent="0.2"/>
    <row r="7588" ht="12.75" x14ac:dyDescent="0.2"/>
    <row r="7589" ht="12.75" x14ac:dyDescent="0.2"/>
    <row r="7590" ht="12.75" x14ac:dyDescent="0.2"/>
    <row r="7591" ht="12.75" x14ac:dyDescent="0.2"/>
    <row r="7592" ht="12.75" x14ac:dyDescent="0.2"/>
    <row r="7593" ht="12.75" x14ac:dyDescent="0.2"/>
    <row r="7594" ht="12.75" x14ac:dyDescent="0.2"/>
    <row r="7595" ht="12.75" x14ac:dyDescent="0.2"/>
    <row r="7596" ht="12.75" x14ac:dyDescent="0.2"/>
    <row r="7597" ht="12.75" x14ac:dyDescent="0.2"/>
    <row r="7598" ht="12.75" x14ac:dyDescent="0.2"/>
    <row r="7599" ht="12.75" x14ac:dyDescent="0.2"/>
    <row r="7600" ht="12.75" x14ac:dyDescent="0.2"/>
    <row r="7601" ht="12.75" x14ac:dyDescent="0.2"/>
    <row r="7602" ht="12.75" x14ac:dyDescent="0.2"/>
    <row r="7603" ht="12.75" x14ac:dyDescent="0.2"/>
    <row r="7604" ht="12.75" x14ac:dyDescent="0.2"/>
    <row r="7605" ht="12.75" x14ac:dyDescent="0.2"/>
    <row r="7606" ht="12.75" x14ac:dyDescent="0.2"/>
    <row r="7607" ht="12.75" x14ac:dyDescent="0.2"/>
    <row r="7608" ht="12.75" x14ac:dyDescent="0.2"/>
    <row r="7609" ht="12.75" x14ac:dyDescent="0.2"/>
    <row r="7610" ht="12.75" x14ac:dyDescent="0.2"/>
    <row r="7611" ht="12.75" x14ac:dyDescent="0.2"/>
    <row r="7612" ht="12.75" x14ac:dyDescent="0.2"/>
    <row r="7613" ht="12.75" x14ac:dyDescent="0.2"/>
    <row r="7614" ht="12.75" x14ac:dyDescent="0.2"/>
    <row r="7615" ht="12.75" x14ac:dyDescent="0.2"/>
    <row r="7616" ht="12.75" x14ac:dyDescent="0.2"/>
    <row r="7617" ht="12.75" x14ac:dyDescent="0.2"/>
    <row r="7618" ht="12.75" x14ac:dyDescent="0.2"/>
    <row r="7619" ht="12.75" x14ac:dyDescent="0.2"/>
    <row r="7620" ht="12.75" x14ac:dyDescent="0.2"/>
    <row r="7621" ht="12.75" x14ac:dyDescent="0.2"/>
    <row r="7622" ht="12.75" x14ac:dyDescent="0.2"/>
    <row r="7623" ht="12.75" x14ac:dyDescent="0.2"/>
    <row r="7624" ht="12.75" x14ac:dyDescent="0.2"/>
    <row r="7625" ht="12.75" x14ac:dyDescent="0.2"/>
    <row r="7626" ht="12.75" x14ac:dyDescent="0.2"/>
    <row r="7627" ht="12.75" x14ac:dyDescent="0.2"/>
    <row r="7628" ht="12.75" x14ac:dyDescent="0.2"/>
    <row r="7629" ht="12.75" x14ac:dyDescent="0.2"/>
    <row r="7630" ht="12.75" x14ac:dyDescent="0.2"/>
    <row r="7631" ht="12.75" x14ac:dyDescent="0.2"/>
    <row r="7632" ht="12.75" x14ac:dyDescent="0.2"/>
    <row r="7633" ht="12.75" x14ac:dyDescent="0.2"/>
    <row r="7634" ht="12.75" x14ac:dyDescent="0.2"/>
    <row r="7635" ht="12.75" x14ac:dyDescent="0.2"/>
    <row r="7636" ht="12.75" x14ac:dyDescent="0.2"/>
    <row r="7637" ht="12.75" x14ac:dyDescent="0.2"/>
    <row r="7638" ht="12.75" x14ac:dyDescent="0.2"/>
    <row r="7639" ht="12.75" x14ac:dyDescent="0.2"/>
    <row r="7640" ht="12.75" x14ac:dyDescent="0.2"/>
    <row r="7641" ht="12.75" x14ac:dyDescent="0.2"/>
    <row r="7642" ht="12.75" x14ac:dyDescent="0.2"/>
    <row r="7643" ht="12.75" x14ac:dyDescent="0.2"/>
    <row r="7644" ht="12.75" x14ac:dyDescent="0.2"/>
    <row r="7645" ht="12.75" x14ac:dyDescent="0.2"/>
    <row r="7646" ht="12.75" x14ac:dyDescent="0.2"/>
    <row r="7647" ht="12.75" x14ac:dyDescent="0.2"/>
    <row r="7648" ht="12.75" x14ac:dyDescent="0.2"/>
    <row r="7649" ht="12.75" x14ac:dyDescent="0.2"/>
    <row r="7650" ht="12.75" x14ac:dyDescent="0.2"/>
    <row r="7651" ht="12.75" x14ac:dyDescent="0.2"/>
    <row r="7652" ht="12.75" x14ac:dyDescent="0.2"/>
    <row r="7653" ht="12.75" x14ac:dyDescent="0.2"/>
    <row r="7654" ht="12.75" x14ac:dyDescent="0.2"/>
    <row r="7655" ht="12.75" x14ac:dyDescent="0.2"/>
    <row r="7656" ht="12.75" x14ac:dyDescent="0.2"/>
    <row r="7657" ht="12.75" x14ac:dyDescent="0.2"/>
    <row r="7658" ht="12.75" x14ac:dyDescent="0.2"/>
    <row r="7659" ht="12.75" x14ac:dyDescent="0.2"/>
    <row r="7660" ht="12.75" x14ac:dyDescent="0.2"/>
    <row r="7661" ht="12.75" x14ac:dyDescent="0.2"/>
    <row r="7662" ht="12.75" x14ac:dyDescent="0.2"/>
    <row r="7663" ht="12.75" x14ac:dyDescent="0.2"/>
    <row r="7664" ht="12.75" x14ac:dyDescent="0.2"/>
    <row r="7665" ht="12.75" x14ac:dyDescent="0.2"/>
    <row r="7666" ht="12.75" x14ac:dyDescent="0.2"/>
    <row r="7667" ht="12.75" x14ac:dyDescent="0.2"/>
    <row r="7668" ht="12.75" x14ac:dyDescent="0.2"/>
    <row r="7669" ht="12.75" x14ac:dyDescent="0.2"/>
    <row r="7670" ht="12.75" x14ac:dyDescent="0.2"/>
    <row r="7671" ht="12.75" x14ac:dyDescent="0.2"/>
    <row r="7672" ht="12.75" x14ac:dyDescent="0.2"/>
    <row r="7673" ht="12.75" x14ac:dyDescent="0.2"/>
    <row r="7674" ht="12.75" x14ac:dyDescent="0.2"/>
    <row r="7675" ht="12.75" x14ac:dyDescent="0.2"/>
    <row r="7676" ht="12.75" x14ac:dyDescent="0.2"/>
    <row r="7677" ht="12.75" x14ac:dyDescent="0.2"/>
    <row r="7678" ht="12.75" x14ac:dyDescent="0.2"/>
    <row r="7679" ht="12.75" x14ac:dyDescent="0.2"/>
    <row r="7680" ht="12.75" x14ac:dyDescent="0.2"/>
    <row r="7681" ht="12.75" x14ac:dyDescent="0.2"/>
    <row r="7682" ht="12.75" x14ac:dyDescent="0.2"/>
    <row r="7683" ht="12.75" x14ac:dyDescent="0.2"/>
    <row r="7684" ht="12.75" x14ac:dyDescent="0.2"/>
    <row r="7685" ht="12.75" x14ac:dyDescent="0.2"/>
    <row r="7686" ht="12.75" x14ac:dyDescent="0.2"/>
    <row r="7687" ht="12.75" x14ac:dyDescent="0.2"/>
    <row r="7688" ht="12.75" x14ac:dyDescent="0.2"/>
    <row r="7689" ht="12.75" x14ac:dyDescent="0.2"/>
    <row r="7690" ht="12.75" x14ac:dyDescent="0.2"/>
    <row r="7691" ht="12.75" x14ac:dyDescent="0.2"/>
    <row r="7692" ht="12.75" x14ac:dyDescent="0.2"/>
    <row r="7693" ht="12.75" x14ac:dyDescent="0.2"/>
    <row r="7694" ht="12.75" x14ac:dyDescent="0.2"/>
    <row r="7695" ht="12.75" x14ac:dyDescent="0.2"/>
    <row r="7696" ht="12.75" x14ac:dyDescent="0.2"/>
    <row r="7697" ht="12.75" x14ac:dyDescent="0.2"/>
    <row r="7698" ht="12.75" x14ac:dyDescent="0.2"/>
    <row r="7699" ht="12.75" x14ac:dyDescent="0.2"/>
    <row r="7700" ht="12.75" x14ac:dyDescent="0.2"/>
    <row r="7701" ht="12.75" x14ac:dyDescent="0.2"/>
    <row r="7702" ht="12.75" x14ac:dyDescent="0.2"/>
    <row r="7703" ht="12.75" x14ac:dyDescent="0.2"/>
    <row r="7704" ht="12.75" x14ac:dyDescent="0.2"/>
    <row r="7705" ht="12.75" x14ac:dyDescent="0.2"/>
    <row r="7706" ht="12.75" x14ac:dyDescent="0.2"/>
    <row r="7707" ht="12.75" x14ac:dyDescent="0.2"/>
    <row r="7708" ht="12.75" x14ac:dyDescent="0.2"/>
    <row r="7709" ht="12.75" x14ac:dyDescent="0.2"/>
    <row r="7710" ht="12.75" x14ac:dyDescent="0.2"/>
    <row r="7711" ht="12.75" x14ac:dyDescent="0.2"/>
    <row r="7712" ht="12.75" x14ac:dyDescent="0.2"/>
    <row r="7713" ht="12.75" x14ac:dyDescent="0.2"/>
    <row r="7714" ht="12.75" x14ac:dyDescent="0.2"/>
    <row r="7715" ht="12.75" x14ac:dyDescent="0.2"/>
    <row r="7716" ht="12.75" x14ac:dyDescent="0.2"/>
    <row r="7717" ht="12.75" x14ac:dyDescent="0.2"/>
    <row r="7718" ht="12.75" x14ac:dyDescent="0.2"/>
    <row r="7719" ht="12.75" x14ac:dyDescent="0.2"/>
    <row r="7720" ht="12.75" x14ac:dyDescent="0.2"/>
    <row r="7721" ht="12.75" x14ac:dyDescent="0.2"/>
    <row r="7722" ht="12.75" x14ac:dyDescent="0.2"/>
    <row r="7723" ht="12.75" x14ac:dyDescent="0.2"/>
    <row r="7724" ht="12.75" x14ac:dyDescent="0.2"/>
    <row r="7725" ht="12.75" x14ac:dyDescent="0.2"/>
    <row r="7726" ht="12.75" x14ac:dyDescent="0.2"/>
    <row r="7727" ht="12.75" x14ac:dyDescent="0.2"/>
    <row r="7728" ht="12.75" x14ac:dyDescent="0.2"/>
    <row r="7729" ht="12.75" x14ac:dyDescent="0.2"/>
    <row r="7730" ht="12.75" x14ac:dyDescent="0.2"/>
    <row r="7731" ht="12.75" x14ac:dyDescent="0.2"/>
    <row r="7732" ht="12.75" x14ac:dyDescent="0.2"/>
    <row r="7733" ht="12.75" x14ac:dyDescent="0.2"/>
    <row r="7734" ht="12.75" x14ac:dyDescent="0.2"/>
    <row r="7735" ht="12.75" x14ac:dyDescent="0.2"/>
    <row r="7736" ht="12.75" x14ac:dyDescent="0.2"/>
    <row r="7737" ht="12.75" x14ac:dyDescent="0.2"/>
    <row r="7738" ht="12.75" x14ac:dyDescent="0.2"/>
    <row r="7739" ht="12.75" x14ac:dyDescent="0.2"/>
    <row r="7740" ht="12.75" x14ac:dyDescent="0.2"/>
    <row r="7741" ht="12.75" x14ac:dyDescent="0.2"/>
    <row r="7742" ht="12.75" x14ac:dyDescent="0.2"/>
    <row r="7743" ht="12.75" x14ac:dyDescent="0.2"/>
    <row r="7744" ht="12.75" x14ac:dyDescent="0.2"/>
    <row r="7745" ht="12.75" x14ac:dyDescent="0.2"/>
    <row r="7746" ht="12.75" x14ac:dyDescent="0.2"/>
    <row r="7747" ht="12.75" x14ac:dyDescent="0.2"/>
    <row r="7748" ht="12.75" x14ac:dyDescent="0.2"/>
    <row r="7749" ht="12.75" x14ac:dyDescent="0.2"/>
    <row r="7750" ht="12.75" x14ac:dyDescent="0.2"/>
    <row r="7751" ht="12.75" x14ac:dyDescent="0.2"/>
    <row r="7752" ht="12.75" x14ac:dyDescent="0.2"/>
    <row r="7753" ht="12.75" x14ac:dyDescent="0.2"/>
    <row r="7754" ht="12.75" x14ac:dyDescent="0.2"/>
    <row r="7755" ht="12.75" x14ac:dyDescent="0.2"/>
    <row r="7756" ht="12.75" x14ac:dyDescent="0.2"/>
    <row r="7757" ht="12.75" x14ac:dyDescent="0.2"/>
    <row r="7758" ht="12.75" x14ac:dyDescent="0.2"/>
    <row r="7759" ht="12.75" x14ac:dyDescent="0.2"/>
    <row r="7760" ht="12.75" x14ac:dyDescent="0.2"/>
    <row r="7761" ht="12.75" x14ac:dyDescent="0.2"/>
    <row r="7762" ht="12.75" x14ac:dyDescent="0.2"/>
    <row r="7763" ht="12.75" x14ac:dyDescent="0.2"/>
    <row r="7764" ht="12.75" x14ac:dyDescent="0.2"/>
    <row r="7765" ht="12.75" x14ac:dyDescent="0.2"/>
    <row r="7766" ht="12.75" x14ac:dyDescent="0.2"/>
    <row r="7767" ht="12.75" x14ac:dyDescent="0.2"/>
    <row r="7768" ht="12.75" x14ac:dyDescent="0.2"/>
    <row r="7769" ht="12.75" x14ac:dyDescent="0.2"/>
    <row r="7770" ht="12.75" x14ac:dyDescent="0.2"/>
    <row r="7771" ht="12.75" x14ac:dyDescent="0.2"/>
    <row r="7772" ht="12.75" x14ac:dyDescent="0.2"/>
    <row r="7773" ht="12.75" x14ac:dyDescent="0.2"/>
    <row r="7774" ht="12.75" x14ac:dyDescent="0.2"/>
    <row r="7775" ht="12.75" x14ac:dyDescent="0.2"/>
    <row r="7776" ht="12.75" x14ac:dyDescent="0.2"/>
    <row r="7777" ht="12.75" x14ac:dyDescent="0.2"/>
    <row r="7778" ht="12.75" x14ac:dyDescent="0.2"/>
    <row r="7779" ht="12.75" x14ac:dyDescent="0.2"/>
    <row r="7780" ht="12.75" x14ac:dyDescent="0.2"/>
    <row r="7781" ht="12.75" x14ac:dyDescent="0.2"/>
    <row r="7782" ht="12.75" x14ac:dyDescent="0.2"/>
    <row r="7783" ht="12.75" x14ac:dyDescent="0.2"/>
    <row r="7784" ht="12.75" x14ac:dyDescent="0.2"/>
    <row r="7785" ht="12.75" x14ac:dyDescent="0.2"/>
    <row r="7786" ht="12.75" x14ac:dyDescent="0.2"/>
    <row r="7787" ht="12.75" x14ac:dyDescent="0.2"/>
    <row r="7788" ht="12.75" x14ac:dyDescent="0.2"/>
    <row r="7789" ht="12.75" x14ac:dyDescent="0.2"/>
    <row r="7790" ht="12.75" x14ac:dyDescent="0.2"/>
    <row r="7791" ht="12.75" x14ac:dyDescent="0.2"/>
    <row r="7792" ht="12.75" x14ac:dyDescent="0.2"/>
    <row r="7793" ht="12.75" x14ac:dyDescent="0.2"/>
    <row r="7794" ht="12.75" x14ac:dyDescent="0.2"/>
    <row r="7795" ht="12.75" x14ac:dyDescent="0.2"/>
    <row r="7796" ht="12.75" x14ac:dyDescent="0.2"/>
    <row r="7797" ht="12.75" x14ac:dyDescent="0.2"/>
    <row r="7798" ht="12.75" x14ac:dyDescent="0.2"/>
    <row r="7799" ht="12.75" x14ac:dyDescent="0.2"/>
    <row r="7800" ht="12.75" x14ac:dyDescent="0.2"/>
    <row r="7801" ht="12.75" x14ac:dyDescent="0.2"/>
    <row r="7802" ht="12.75" x14ac:dyDescent="0.2"/>
    <row r="7803" ht="12.75" x14ac:dyDescent="0.2"/>
    <row r="7804" ht="12.75" x14ac:dyDescent="0.2"/>
    <row r="7805" ht="12.75" x14ac:dyDescent="0.2"/>
    <row r="7806" ht="12.75" x14ac:dyDescent="0.2"/>
    <row r="7807" ht="12.75" x14ac:dyDescent="0.2"/>
    <row r="7808" ht="12.75" x14ac:dyDescent="0.2"/>
    <row r="7809" ht="12.75" x14ac:dyDescent="0.2"/>
    <row r="7810" ht="12.75" x14ac:dyDescent="0.2"/>
    <row r="7811" ht="12.75" x14ac:dyDescent="0.2"/>
    <row r="7812" ht="12.75" x14ac:dyDescent="0.2"/>
    <row r="7813" ht="12.75" x14ac:dyDescent="0.2"/>
    <row r="7814" ht="12.75" x14ac:dyDescent="0.2"/>
    <row r="7815" ht="12.75" x14ac:dyDescent="0.2"/>
    <row r="7816" ht="12.75" x14ac:dyDescent="0.2"/>
    <row r="7817" ht="12.75" x14ac:dyDescent="0.2"/>
    <row r="7818" ht="12.75" x14ac:dyDescent="0.2"/>
    <row r="7819" ht="12.75" x14ac:dyDescent="0.2"/>
    <row r="7820" ht="12.75" x14ac:dyDescent="0.2"/>
    <row r="7821" ht="12.75" x14ac:dyDescent="0.2"/>
    <row r="7822" ht="12.75" x14ac:dyDescent="0.2"/>
    <row r="7823" ht="12.75" x14ac:dyDescent="0.2"/>
    <row r="7824" ht="12.75" x14ac:dyDescent="0.2"/>
    <row r="7825" ht="12.75" x14ac:dyDescent="0.2"/>
    <row r="7826" ht="12.75" x14ac:dyDescent="0.2"/>
    <row r="7827" ht="12.75" x14ac:dyDescent="0.2"/>
    <row r="7828" ht="12.75" x14ac:dyDescent="0.2"/>
    <row r="7829" ht="12.75" x14ac:dyDescent="0.2"/>
    <row r="7830" ht="12.75" x14ac:dyDescent="0.2"/>
    <row r="7831" ht="12.75" x14ac:dyDescent="0.2"/>
    <row r="7832" ht="12.75" x14ac:dyDescent="0.2"/>
    <row r="7833" ht="12.75" x14ac:dyDescent="0.2"/>
    <row r="7834" ht="12.75" x14ac:dyDescent="0.2"/>
    <row r="7835" ht="12.75" x14ac:dyDescent="0.2"/>
    <row r="7836" ht="12.75" x14ac:dyDescent="0.2"/>
    <row r="7837" ht="12.75" x14ac:dyDescent="0.2"/>
    <row r="7838" ht="12.75" x14ac:dyDescent="0.2"/>
    <row r="7839" ht="12.75" x14ac:dyDescent="0.2"/>
    <row r="7840" ht="12.75" x14ac:dyDescent="0.2"/>
    <row r="7841" ht="12.75" x14ac:dyDescent="0.2"/>
    <row r="7842" ht="12.75" x14ac:dyDescent="0.2"/>
    <row r="7843" ht="12.75" x14ac:dyDescent="0.2"/>
    <row r="7844" ht="12.75" x14ac:dyDescent="0.2"/>
    <row r="7845" ht="12.75" x14ac:dyDescent="0.2"/>
    <row r="7846" ht="12.75" x14ac:dyDescent="0.2"/>
    <row r="7847" ht="12.75" x14ac:dyDescent="0.2"/>
    <row r="7848" ht="12.75" x14ac:dyDescent="0.2"/>
    <row r="7849" ht="12.75" x14ac:dyDescent="0.2"/>
    <row r="7850" ht="12.75" x14ac:dyDescent="0.2"/>
    <row r="7851" ht="12.75" x14ac:dyDescent="0.2"/>
    <row r="7852" ht="12.75" x14ac:dyDescent="0.2"/>
    <row r="7853" ht="12.75" x14ac:dyDescent="0.2"/>
    <row r="7854" ht="12.75" x14ac:dyDescent="0.2"/>
    <row r="7855" ht="12.75" x14ac:dyDescent="0.2"/>
    <row r="7856" ht="12.75" x14ac:dyDescent="0.2"/>
    <row r="7857" ht="12.75" x14ac:dyDescent="0.2"/>
    <row r="7858" ht="12.75" x14ac:dyDescent="0.2"/>
    <row r="7859" ht="12.75" x14ac:dyDescent="0.2"/>
    <row r="7860" ht="12.75" x14ac:dyDescent="0.2"/>
    <row r="7861" ht="12.75" x14ac:dyDescent="0.2"/>
    <row r="7862" ht="12.75" x14ac:dyDescent="0.2"/>
    <row r="7863" ht="12.75" x14ac:dyDescent="0.2"/>
    <row r="7864" ht="12.75" x14ac:dyDescent="0.2"/>
    <row r="7865" ht="12.75" x14ac:dyDescent="0.2"/>
    <row r="7866" ht="12.75" x14ac:dyDescent="0.2"/>
    <row r="7867" ht="12.75" x14ac:dyDescent="0.2"/>
    <row r="7868" ht="12.75" x14ac:dyDescent="0.2"/>
    <row r="7869" ht="12.75" x14ac:dyDescent="0.2"/>
    <row r="7870" ht="12.75" x14ac:dyDescent="0.2"/>
    <row r="7871" ht="12.75" x14ac:dyDescent="0.2"/>
    <row r="7872" ht="12.75" x14ac:dyDescent="0.2"/>
    <row r="7873" ht="12.75" x14ac:dyDescent="0.2"/>
    <row r="7874" ht="12.75" x14ac:dyDescent="0.2"/>
    <row r="7875" ht="12.75" x14ac:dyDescent="0.2"/>
    <row r="7876" ht="12.75" x14ac:dyDescent="0.2"/>
    <row r="7877" ht="12.75" x14ac:dyDescent="0.2"/>
    <row r="7878" ht="12.75" x14ac:dyDescent="0.2"/>
    <row r="7879" ht="12.75" x14ac:dyDescent="0.2"/>
    <row r="7880" ht="12.75" x14ac:dyDescent="0.2"/>
    <row r="7881" ht="12.75" x14ac:dyDescent="0.2"/>
    <row r="7882" ht="12.75" x14ac:dyDescent="0.2"/>
    <row r="7883" ht="12.75" x14ac:dyDescent="0.2"/>
    <row r="7884" ht="12.75" x14ac:dyDescent="0.2"/>
    <row r="7885" ht="12.75" x14ac:dyDescent="0.2"/>
    <row r="7886" ht="12.75" x14ac:dyDescent="0.2"/>
    <row r="7887" ht="12.75" x14ac:dyDescent="0.2"/>
    <row r="7888" ht="12.75" x14ac:dyDescent="0.2"/>
    <row r="7889" ht="12.75" x14ac:dyDescent="0.2"/>
    <row r="7890" ht="12.75" x14ac:dyDescent="0.2"/>
    <row r="7891" ht="12.75" x14ac:dyDescent="0.2"/>
    <row r="7892" ht="12.75" x14ac:dyDescent="0.2"/>
    <row r="7893" ht="12.75" x14ac:dyDescent="0.2"/>
    <row r="7894" ht="12.75" x14ac:dyDescent="0.2"/>
    <row r="7895" ht="12.75" x14ac:dyDescent="0.2"/>
    <row r="7896" ht="12.75" x14ac:dyDescent="0.2"/>
    <row r="7897" ht="12.75" x14ac:dyDescent="0.2"/>
    <row r="7898" ht="12.75" x14ac:dyDescent="0.2"/>
    <row r="7899" ht="12.75" x14ac:dyDescent="0.2"/>
    <row r="7900" ht="12.75" x14ac:dyDescent="0.2"/>
    <row r="7901" ht="12.75" x14ac:dyDescent="0.2"/>
    <row r="7902" ht="12.75" x14ac:dyDescent="0.2"/>
    <row r="7903" ht="12.75" x14ac:dyDescent="0.2"/>
    <row r="7904" ht="12.75" x14ac:dyDescent="0.2"/>
    <row r="7905" ht="12.75" x14ac:dyDescent="0.2"/>
    <row r="7906" ht="12.75" x14ac:dyDescent="0.2"/>
    <row r="7907" ht="12.75" x14ac:dyDescent="0.2"/>
    <row r="7908" ht="12.75" x14ac:dyDescent="0.2"/>
    <row r="7909" ht="12.75" x14ac:dyDescent="0.2"/>
    <row r="7910" ht="12.75" x14ac:dyDescent="0.2"/>
    <row r="7911" ht="12.75" x14ac:dyDescent="0.2"/>
    <row r="7912" ht="12.75" x14ac:dyDescent="0.2"/>
    <row r="7913" ht="12.75" x14ac:dyDescent="0.2"/>
    <row r="7914" ht="12.75" x14ac:dyDescent="0.2"/>
    <row r="7915" ht="12.75" x14ac:dyDescent="0.2"/>
    <row r="7916" ht="12.75" x14ac:dyDescent="0.2"/>
    <row r="7917" ht="12.75" x14ac:dyDescent="0.2"/>
    <row r="7918" ht="12.75" x14ac:dyDescent="0.2"/>
    <row r="7919" ht="12.75" x14ac:dyDescent="0.2"/>
    <row r="7920" ht="12.75" x14ac:dyDescent="0.2"/>
    <row r="7921" ht="12.75" x14ac:dyDescent="0.2"/>
    <row r="7922" ht="12.75" x14ac:dyDescent="0.2"/>
    <row r="7923" ht="12.75" x14ac:dyDescent="0.2"/>
    <row r="7924" ht="12.75" x14ac:dyDescent="0.2"/>
    <row r="7925" ht="12.75" x14ac:dyDescent="0.2"/>
    <row r="7926" ht="12.75" x14ac:dyDescent="0.2"/>
    <row r="7927" ht="12.75" x14ac:dyDescent="0.2"/>
    <row r="7928" ht="12.75" x14ac:dyDescent="0.2"/>
    <row r="7929" ht="12.75" x14ac:dyDescent="0.2"/>
    <row r="7930" ht="12.75" x14ac:dyDescent="0.2"/>
    <row r="7931" ht="12.75" x14ac:dyDescent="0.2"/>
    <row r="7932" ht="12.75" x14ac:dyDescent="0.2"/>
    <row r="7933" ht="12.75" x14ac:dyDescent="0.2"/>
    <row r="7934" ht="12.75" x14ac:dyDescent="0.2"/>
    <row r="7935" ht="12.75" x14ac:dyDescent="0.2"/>
    <row r="7936" ht="12.75" x14ac:dyDescent="0.2"/>
    <row r="7937" ht="12.75" x14ac:dyDescent="0.2"/>
    <row r="7938" ht="12.75" x14ac:dyDescent="0.2"/>
    <row r="7939" ht="12.75" x14ac:dyDescent="0.2"/>
    <row r="7940" ht="12.75" x14ac:dyDescent="0.2"/>
    <row r="7941" ht="12.75" x14ac:dyDescent="0.2"/>
    <row r="7942" ht="12.75" x14ac:dyDescent="0.2"/>
    <row r="7943" ht="12.75" x14ac:dyDescent="0.2"/>
    <row r="7944" ht="12.75" x14ac:dyDescent="0.2"/>
    <row r="7945" ht="12.75" x14ac:dyDescent="0.2"/>
    <row r="7946" ht="12.75" x14ac:dyDescent="0.2"/>
    <row r="7947" ht="12.75" x14ac:dyDescent="0.2"/>
    <row r="7948" ht="12.75" x14ac:dyDescent="0.2"/>
    <row r="7949" ht="12.75" x14ac:dyDescent="0.2"/>
    <row r="7950" ht="12.75" x14ac:dyDescent="0.2"/>
    <row r="7951" ht="12.75" x14ac:dyDescent="0.2"/>
    <row r="7952" ht="12.75" x14ac:dyDescent="0.2"/>
    <row r="7953" ht="12.75" x14ac:dyDescent="0.2"/>
    <row r="7954" ht="12.75" x14ac:dyDescent="0.2"/>
    <row r="7955" ht="12.75" x14ac:dyDescent="0.2"/>
    <row r="7956" ht="12.75" x14ac:dyDescent="0.2"/>
    <row r="7957" ht="12.75" x14ac:dyDescent="0.2"/>
    <row r="7958" ht="12.75" x14ac:dyDescent="0.2"/>
    <row r="7959" ht="12.75" x14ac:dyDescent="0.2"/>
    <row r="7960" ht="12.75" x14ac:dyDescent="0.2"/>
    <row r="7961" ht="12.75" x14ac:dyDescent="0.2"/>
    <row r="7962" ht="12.75" x14ac:dyDescent="0.2"/>
    <row r="7963" ht="12.75" x14ac:dyDescent="0.2"/>
    <row r="7964" ht="12.75" x14ac:dyDescent="0.2"/>
    <row r="7965" ht="12.75" x14ac:dyDescent="0.2"/>
    <row r="7966" ht="12.75" x14ac:dyDescent="0.2"/>
    <row r="7967" ht="12.75" x14ac:dyDescent="0.2"/>
    <row r="7968" ht="12.75" x14ac:dyDescent="0.2"/>
    <row r="7969" ht="12.75" x14ac:dyDescent="0.2"/>
    <row r="7970" ht="12.75" x14ac:dyDescent="0.2"/>
    <row r="7971" ht="12.75" x14ac:dyDescent="0.2"/>
    <row r="7972" ht="12.75" x14ac:dyDescent="0.2"/>
    <row r="7973" ht="12.75" x14ac:dyDescent="0.2"/>
    <row r="7974" ht="12.75" x14ac:dyDescent="0.2"/>
    <row r="7975" ht="12.75" x14ac:dyDescent="0.2"/>
    <row r="7976" ht="12.75" x14ac:dyDescent="0.2"/>
    <row r="7977" ht="12.75" x14ac:dyDescent="0.2"/>
    <row r="7978" ht="12.75" x14ac:dyDescent="0.2"/>
    <row r="7979" ht="12.75" x14ac:dyDescent="0.2"/>
    <row r="7980" ht="12.75" x14ac:dyDescent="0.2"/>
    <row r="7981" ht="12.75" x14ac:dyDescent="0.2"/>
    <row r="7982" ht="12.75" x14ac:dyDescent="0.2"/>
    <row r="7983" ht="12.75" x14ac:dyDescent="0.2"/>
    <row r="7984" ht="12.75" x14ac:dyDescent="0.2"/>
    <row r="7985" ht="12.75" x14ac:dyDescent="0.2"/>
    <row r="7986" ht="12.75" x14ac:dyDescent="0.2"/>
    <row r="7987" ht="12.75" x14ac:dyDescent="0.2"/>
    <row r="7988" ht="12.75" x14ac:dyDescent="0.2"/>
    <row r="7989" ht="12.75" x14ac:dyDescent="0.2"/>
    <row r="7990" ht="12.75" x14ac:dyDescent="0.2"/>
    <row r="7991" ht="12.75" x14ac:dyDescent="0.2"/>
    <row r="7992" ht="12.75" x14ac:dyDescent="0.2"/>
    <row r="7993" ht="12.75" x14ac:dyDescent="0.2"/>
    <row r="7994" ht="12.75" x14ac:dyDescent="0.2"/>
    <row r="7995" ht="12.75" x14ac:dyDescent="0.2"/>
    <row r="7996" ht="12.75" x14ac:dyDescent="0.2"/>
    <row r="7997" ht="12.75" x14ac:dyDescent="0.2"/>
    <row r="7998" ht="12.75" x14ac:dyDescent="0.2"/>
    <row r="7999" ht="12.75" x14ac:dyDescent="0.2"/>
    <row r="8000" ht="12.75" x14ac:dyDescent="0.2"/>
    <row r="8001" ht="12.75" x14ac:dyDescent="0.2"/>
    <row r="8002" ht="12.75" x14ac:dyDescent="0.2"/>
    <row r="8003" ht="12.75" x14ac:dyDescent="0.2"/>
    <row r="8004" ht="12.75" x14ac:dyDescent="0.2"/>
    <row r="8005" ht="12.75" x14ac:dyDescent="0.2"/>
    <row r="8006" ht="12.75" x14ac:dyDescent="0.2"/>
    <row r="8007" ht="12.75" x14ac:dyDescent="0.2"/>
    <row r="8008" ht="12.75" x14ac:dyDescent="0.2"/>
    <row r="8009" ht="12.75" x14ac:dyDescent="0.2"/>
    <row r="8010" ht="12.75" x14ac:dyDescent="0.2"/>
    <row r="8011" ht="12.75" x14ac:dyDescent="0.2"/>
    <row r="8012" ht="12.75" x14ac:dyDescent="0.2"/>
    <row r="8013" ht="12.75" x14ac:dyDescent="0.2"/>
    <row r="8014" ht="12.75" x14ac:dyDescent="0.2"/>
    <row r="8015" ht="12.75" x14ac:dyDescent="0.2"/>
    <row r="8016" ht="12.75" x14ac:dyDescent="0.2"/>
    <row r="8017" ht="12.75" x14ac:dyDescent="0.2"/>
    <row r="8018" ht="12.75" x14ac:dyDescent="0.2"/>
    <row r="8019" ht="12.75" x14ac:dyDescent="0.2"/>
    <row r="8020" ht="12.75" x14ac:dyDescent="0.2"/>
    <row r="8021" ht="12.75" x14ac:dyDescent="0.2"/>
    <row r="8022" ht="12.75" x14ac:dyDescent="0.2"/>
    <row r="8023" ht="12.75" x14ac:dyDescent="0.2"/>
    <row r="8024" ht="12.75" x14ac:dyDescent="0.2"/>
    <row r="8025" ht="12.75" x14ac:dyDescent="0.2"/>
    <row r="8026" ht="12.75" x14ac:dyDescent="0.2"/>
    <row r="8027" ht="12.75" x14ac:dyDescent="0.2"/>
    <row r="8028" ht="12.75" x14ac:dyDescent="0.2"/>
    <row r="8029" ht="12.75" x14ac:dyDescent="0.2"/>
    <row r="8030" ht="12.75" x14ac:dyDescent="0.2"/>
    <row r="8031" ht="12.75" x14ac:dyDescent="0.2"/>
    <row r="8032" ht="12.75" x14ac:dyDescent="0.2"/>
    <row r="8033" ht="12.75" x14ac:dyDescent="0.2"/>
    <row r="8034" ht="12.75" x14ac:dyDescent="0.2"/>
    <row r="8035" ht="12.75" x14ac:dyDescent="0.2"/>
    <row r="8036" ht="12.75" x14ac:dyDescent="0.2"/>
    <row r="8037" ht="12.75" x14ac:dyDescent="0.2"/>
    <row r="8038" ht="12.75" x14ac:dyDescent="0.2"/>
    <row r="8039" ht="12.75" x14ac:dyDescent="0.2"/>
    <row r="8040" ht="12.75" x14ac:dyDescent="0.2"/>
    <row r="8041" ht="12.75" x14ac:dyDescent="0.2"/>
    <row r="8042" ht="12.75" x14ac:dyDescent="0.2"/>
    <row r="8043" ht="12.75" x14ac:dyDescent="0.2"/>
    <row r="8044" ht="12.75" x14ac:dyDescent="0.2"/>
    <row r="8045" ht="12.75" x14ac:dyDescent="0.2"/>
    <row r="8046" ht="12.75" x14ac:dyDescent="0.2"/>
    <row r="8047" ht="12.75" x14ac:dyDescent="0.2"/>
    <row r="8048" ht="12.75" x14ac:dyDescent="0.2"/>
    <row r="8049" ht="12.75" x14ac:dyDescent="0.2"/>
    <row r="8050" ht="12.75" x14ac:dyDescent="0.2"/>
    <row r="8051" ht="12.75" x14ac:dyDescent="0.2"/>
    <row r="8052" ht="12.75" x14ac:dyDescent="0.2"/>
    <row r="8053" ht="12.75" x14ac:dyDescent="0.2"/>
    <row r="8054" ht="12.75" x14ac:dyDescent="0.2"/>
    <row r="8055" ht="12.75" x14ac:dyDescent="0.2"/>
    <row r="8056" ht="12.75" x14ac:dyDescent="0.2"/>
    <row r="8057" ht="12.75" x14ac:dyDescent="0.2"/>
    <row r="8058" ht="12.75" x14ac:dyDescent="0.2"/>
    <row r="8059" ht="12.75" x14ac:dyDescent="0.2"/>
    <row r="8060" ht="12.75" x14ac:dyDescent="0.2"/>
    <row r="8061" ht="12.75" x14ac:dyDescent="0.2"/>
    <row r="8062" ht="12.75" x14ac:dyDescent="0.2"/>
    <row r="8063" ht="12.75" x14ac:dyDescent="0.2"/>
    <row r="8064" ht="12.75" x14ac:dyDescent="0.2"/>
    <row r="8065" ht="12.75" x14ac:dyDescent="0.2"/>
    <row r="8066" ht="12.75" x14ac:dyDescent="0.2"/>
    <row r="8067" ht="12.75" x14ac:dyDescent="0.2"/>
    <row r="8068" ht="12.75" x14ac:dyDescent="0.2"/>
    <row r="8069" ht="12.75" x14ac:dyDescent="0.2"/>
    <row r="8070" ht="12.75" x14ac:dyDescent="0.2"/>
    <row r="8071" ht="12.75" x14ac:dyDescent="0.2"/>
    <row r="8072" ht="12.75" x14ac:dyDescent="0.2"/>
    <row r="8073" ht="12.75" x14ac:dyDescent="0.2"/>
    <row r="8074" ht="12.75" x14ac:dyDescent="0.2"/>
    <row r="8075" ht="12.75" x14ac:dyDescent="0.2"/>
    <row r="8076" ht="12.75" x14ac:dyDescent="0.2"/>
    <row r="8077" ht="12.75" x14ac:dyDescent="0.2"/>
    <row r="8078" ht="12.75" x14ac:dyDescent="0.2"/>
    <row r="8079" ht="12.75" x14ac:dyDescent="0.2"/>
    <row r="8080" ht="12.75" x14ac:dyDescent="0.2"/>
    <row r="8081" ht="12.75" x14ac:dyDescent="0.2"/>
    <row r="8082" ht="12.75" x14ac:dyDescent="0.2"/>
    <row r="8083" ht="12.75" x14ac:dyDescent="0.2"/>
    <row r="8084" ht="12.75" x14ac:dyDescent="0.2"/>
    <row r="8085" ht="12.75" x14ac:dyDescent="0.2"/>
    <row r="8086" ht="12.75" x14ac:dyDescent="0.2"/>
    <row r="8087" ht="12.75" x14ac:dyDescent="0.2"/>
    <row r="8088" ht="12.75" x14ac:dyDescent="0.2"/>
    <row r="8089" ht="12.75" x14ac:dyDescent="0.2"/>
    <row r="8090" ht="12.75" x14ac:dyDescent="0.2"/>
    <row r="8091" ht="12.75" x14ac:dyDescent="0.2"/>
    <row r="8092" ht="12.75" x14ac:dyDescent="0.2"/>
    <row r="8093" ht="12.75" x14ac:dyDescent="0.2"/>
    <row r="8094" ht="12.75" x14ac:dyDescent="0.2"/>
    <row r="8095" ht="12.75" x14ac:dyDescent="0.2"/>
    <row r="8096" ht="12.75" x14ac:dyDescent="0.2"/>
    <row r="8097" ht="12.75" x14ac:dyDescent="0.2"/>
    <row r="8098" ht="12.75" x14ac:dyDescent="0.2"/>
    <row r="8099" ht="12.75" x14ac:dyDescent="0.2"/>
    <row r="8100" ht="12.75" x14ac:dyDescent="0.2"/>
    <row r="8101" ht="12.75" x14ac:dyDescent="0.2"/>
    <row r="8102" ht="12.75" x14ac:dyDescent="0.2"/>
    <row r="8103" ht="12.75" x14ac:dyDescent="0.2"/>
    <row r="8104" ht="12.75" x14ac:dyDescent="0.2"/>
    <row r="8105" ht="12.75" x14ac:dyDescent="0.2"/>
    <row r="8106" ht="12.75" x14ac:dyDescent="0.2"/>
    <row r="8107" ht="12.75" x14ac:dyDescent="0.2"/>
    <row r="8108" ht="12.75" x14ac:dyDescent="0.2"/>
    <row r="8109" ht="12.75" x14ac:dyDescent="0.2"/>
    <row r="8110" ht="12.75" x14ac:dyDescent="0.2"/>
    <row r="8111" ht="12.75" x14ac:dyDescent="0.2"/>
    <row r="8112" ht="12.75" x14ac:dyDescent="0.2"/>
    <row r="8113" ht="12.75" x14ac:dyDescent="0.2"/>
    <row r="8114" ht="12.75" x14ac:dyDescent="0.2"/>
    <row r="8115" ht="12.75" x14ac:dyDescent="0.2"/>
    <row r="8116" ht="12.75" x14ac:dyDescent="0.2"/>
    <row r="8117" ht="12.75" x14ac:dyDescent="0.2"/>
    <row r="8118" ht="12.75" x14ac:dyDescent="0.2"/>
    <row r="8119" ht="12.75" x14ac:dyDescent="0.2"/>
    <row r="8120" ht="12.75" x14ac:dyDescent="0.2"/>
    <row r="8121" ht="12.75" x14ac:dyDescent="0.2"/>
    <row r="8122" ht="12.75" x14ac:dyDescent="0.2"/>
    <row r="8123" ht="12.75" x14ac:dyDescent="0.2"/>
    <row r="8124" ht="12.75" x14ac:dyDescent="0.2"/>
    <row r="8125" ht="12.75" x14ac:dyDescent="0.2"/>
    <row r="8126" ht="12.75" x14ac:dyDescent="0.2"/>
    <row r="8127" ht="12.75" x14ac:dyDescent="0.2"/>
    <row r="8128" ht="12.75" x14ac:dyDescent="0.2"/>
    <row r="8129" ht="12.75" x14ac:dyDescent="0.2"/>
    <row r="8130" ht="12.75" x14ac:dyDescent="0.2"/>
    <row r="8131" ht="12.75" x14ac:dyDescent="0.2"/>
    <row r="8132" ht="12.75" x14ac:dyDescent="0.2"/>
    <row r="8133" ht="12.75" x14ac:dyDescent="0.2"/>
    <row r="8134" ht="12.75" x14ac:dyDescent="0.2"/>
    <row r="8135" ht="12.75" x14ac:dyDescent="0.2"/>
    <row r="8136" ht="12.75" x14ac:dyDescent="0.2"/>
    <row r="8137" ht="12.75" x14ac:dyDescent="0.2"/>
    <row r="8138" ht="12.75" x14ac:dyDescent="0.2"/>
    <row r="8139" ht="12.75" x14ac:dyDescent="0.2"/>
    <row r="8140" ht="12.75" x14ac:dyDescent="0.2"/>
    <row r="8141" ht="12.75" x14ac:dyDescent="0.2"/>
    <row r="8142" ht="12.75" x14ac:dyDescent="0.2"/>
    <row r="8143" ht="12.75" x14ac:dyDescent="0.2"/>
    <row r="8144" ht="12.75" x14ac:dyDescent="0.2"/>
    <row r="8145" ht="12.75" x14ac:dyDescent="0.2"/>
    <row r="8146" ht="12.75" x14ac:dyDescent="0.2"/>
    <row r="8147" ht="12.75" x14ac:dyDescent="0.2"/>
    <row r="8148" ht="12.75" x14ac:dyDescent="0.2"/>
    <row r="8149" ht="12.75" x14ac:dyDescent="0.2"/>
    <row r="8150" ht="12.75" x14ac:dyDescent="0.2"/>
    <row r="8151" ht="12.75" x14ac:dyDescent="0.2"/>
    <row r="8152" ht="12.75" x14ac:dyDescent="0.2"/>
    <row r="8153" ht="12.75" x14ac:dyDescent="0.2"/>
    <row r="8154" ht="12.75" x14ac:dyDescent="0.2"/>
    <row r="8155" ht="12.75" x14ac:dyDescent="0.2"/>
    <row r="8156" ht="12.75" x14ac:dyDescent="0.2"/>
    <row r="8157" ht="12.75" x14ac:dyDescent="0.2"/>
    <row r="8158" ht="12.75" x14ac:dyDescent="0.2"/>
    <row r="8159" ht="12.75" x14ac:dyDescent="0.2"/>
    <row r="8160" ht="12.75" x14ac:dyDescent="0.2"/>
    <row r="8161" ht="12.75" x14ac:dyDescent="0.2"/>
    <row r="8162" ht="12.75" x14ac:dyDescent="0.2"/>
    <row r="8163" ht="12.75" x14ac:dyDescent="0.2"/>
    <row r="8164" ht="12.75" x14ac:dyDescent="0.2"/>
    <row r="8165" ht="12.75" x14ac:dyDescent="0.2"/>
    <row r="8166" ht="12.75" x14ac:dyDescent="0.2"/>
    <row r="8167" ht="12.75" x14ac:dyDescent="0.2"/>
    <row r="8168" ht="12.75" x14ac:dyDescent="0.2"/>
    <row r="8169" ht="12.75" x14ac:dyDescent="0.2"/>
    <row r="8170" ht="12.75" x14ac:dyDescent="0.2"/>
    <row r="8171" ht="12.75" x14ac:dyDescent="0.2"/>
    <row r="8172" ht="12.75" x14ac:dyDescent="0.2"/>
    <row r="8173" ht="12.75" x14ac:dyDescent="0.2"/>
    <row r="8174" ht="12.75" x14ac:dyDescent="0.2"/>
    <row r="8175" ht="12.75" x14ac:dyDescent="0.2"/>
    <row r="8176" ht="12.75" x14ac:dyDescent="0.2"/>
    <row r="8177" ht="12.75" x14ac:dyDescent="0.2"/>
    <row r="8178" ht="12.75" x14ac:dyDescent="0.2"/>
    <row r="8179" ht="12.75" x14ac:dyDescent="0.2"/>
    <row r="8180" ht="12.75" x14ac:dyDescent="0.2"/>
    <row r="8181" ht="12.75" x14ac:dyDescent="0.2"/>
    <row r="8182" ht="12.75" x14ac:dyDescent="0.2"/>
    <row r="8183" ht="12.75" x14ac:dyDescent="0.2"/>
    <row r="8184" ht="12.75" x14ac:dyDescent="0.2"/>
    <row r="8185" ht="12.75" x14ac:dyDescent="0.2"/>
    <row r="8186" ht="12.75" x14ac:dyDescent="0.2"/>
    <row r="8187" ht="12.75" x14ac:dyDescent="0.2"/>
    <row r="8188" ht="12.75" x14ac:dyDescent="0.2"/>
    <row r="8189" ht="12.75" x14ac:dyDescent="0.2"/>
    <row r="8190" ht="12.75" x14ac:dyDescent="0.2"/>
    <row r="8191" ht="12.75" x14ac:dyDescent="0.2"/>
    <row r="8192" ht="12.75" x14ac:dyDescent="0.2"/>
    <row r="8193" ht="12.75" x14ac:dyDescent="0.2"/>
    <row r="8194" ht="12.75" x14ac:dyDescent="0.2"/>
    <row r="8195" ht="12.75" x14ac:dyDescent="0.2"/>
    <row r="8196" ht="12.75" x14ac:dyDescent="0.2"/>
    <row r="8197" ht="12.75" x14ac:dyDescent="0.2"/>
    <row r="8198" ht="12.75" x14ac:dyDescent="0.2"/>
    <row r="8199" ht="12.75" x14ac:dyDescent="0.2"/>
    <row r="8200" ht="12.75" x14ac:dyDescent="0.2"/>
    <row r="8201" ht="12.75" x14ac:dyDescent="0.2"/>
    <row r="8202" ht="12.75" x14ac:dyDescent="0.2"/>
    <row r="8203" ht="12.75" x14ac:dyDescent="0.2"/>
    <row r="8204" ht="12.75" x14ac:dyDescent="0.2"/>
    <row r="8205" ht="12.75" x14ac:dyDescent="0.2"/>
    <row r="8206" ht="12.75" x14ac:dyDescent="0.2"/>
    <row r="8207" ht="12.75" x14ac:dyDescent="0.2"/>
    <row r="8208" ht="12.75" x14ac:dyDescent="0.2"/>
    <row r="8209" ht="12.75" x14ac:dyDescent="0.2"/>
    <row r="8210" ht="12.75" x14ac:dyDescent="0.2"/>
    <row r="8211" ht="12.75" x14ac:dyDescent="0.2"/>
    <row r="8212" ht="12.75" x14ac:dyDescent="0.2"/>
    <row r="8213" ht="12.75" x14ac:dyDescent="0.2"/>
    <row r="8214" ht="12.75" x14ac:dyDescent="0.2"/>
    <row r="8215" ht="12.75" x14ac:dyDescent="0.2"/>
    <row r="8216" ht="12.75" x14ac:dyDescent="0.2"/>
    <row r="8217" ht="12.75" x14ac:dyDescent="0.2"/>
    <row r="8218" ht="12.75" x14ac:dyDescent="0.2"/>
    <row r="8219" ht="12.75" x14ac:dyDescent="0.2"/>
    <row r="8220" ht="12.75" x14ac:dyDescent="0.2"/>
    <row r="8221" ht="12.75" x14ac:dyDescent="0.2"/>
    <row r="8222" ht="12.75" x14ac:dyDescent="0.2"/>
    <row r="8223" ht="12.75" x14ac:dyDescent="0.2"/>
    <row r="8224" ht="12.75" x14ac:dyDescent="0.2"/>
    <row r="8225" ht="12.75" x14ac:dyDescent="0.2"/>
    <row r="8226" ht="12.75" x14ac:dyDescent="0.2"/>
    <row r="8227" ht="12.75" x14ac:dyDescent="0.2"/>
    <row r="8228" ht="12.75" x14ac:dyDescent="0.2"/>
    <row r="8229" ht="12.75" x14ac:dyDescent="0.2"/>
    <row r="8230" ht="12.75" x14ac:dyDescent="0.2"/>
    <row r="8231" ht="12.75" x14ac:dyDescent="0.2"/>
    <row r="8232" ht="12.75" x14ac:dyDescent="0.2"/>
    <row r="8233" ht="12.75" x14ac:dyDescent="0.2"/>
    <row r="8234" ht="12.75" x14ac:dyDescent="0.2"/>
    <row r="8235" ht="12.75" x14ac:dyDescent="0.2"/>
    <row r="8236" ht="12.75" x14ac:dyDescent="0.2"/>
    <row r="8237" ht="12.75" x14ac:dyDescent="0.2"/>
    <row r="8238" ht="12.75" x14ac:dyDescent="0.2"/>
    <row r="8239" ht="12.75" x14ac:dyDescent="0.2"/>
    <row r="8240" ht="12.75" x14ac:dyDescent="0.2"/>
    <row r="8241" ht="12.75" x14ac:dyDescent="0.2"/>
    <row r="8242" ht="12.75" x14ac:dyDescent="0.2"/>
    <row r="8243" ht="12.75" x14ac:dyDescent="0.2"/>
    <row r="8244" ht="12.75" x14ac:dyDescent="0.2"/>
    <row r="8245" ht="12.75" x14ac:dyDescent="0.2"/>
    <row r="8246" ht="12.75" x14ac:dyDescent="0.2"/>
    <row r="8247" ht="12.75" x14ac:dyDescent="0.2"/>
    <row r="8248" ht="12.75" x14ac:dyDescent="0.2"/>
    <row r="8249" ht="12.75" x14ac:dyDescent="0.2"/>
    <row r="8250" ht="12.75" x14ac:dyDescent="0.2"/>
    <row r="8251" ht="12.75" x14ac:dyDescent="0.2"/>
    <row r="8252" ht="12.75" x14ac:dyDescent="0.2"/>
    <row r="8253" ht="12.75" x14ac:dyDescent="0.2"/>
    <row r="8254" ht="12.75" x14ac:dyDescent="0.2"/>
    <row r="8255" ht="12.75" x14ac:dyDescent="0.2"/>
    <row r="8256" ht="12.75" x14ac:dyDescent="0.2"/>
    <row r="8257" ht="12.75" x14ac:dyDescent="0.2"/>
    <row r="8258" ht="12.75" x14ac:dyDescent="0.2"/>
    <row r="8259" ht="12.75" x14ac:dyDescent="0.2"/>
    <row r="8260" ht="12.75" x14ac:dyDescent="0.2"/>
    <row r="8261" ht="12.75" x14ac:dyDescent="0.2"/>
    <row r="8262" ht="12.75" x14ac:dyDescent="0.2"/>
    <row r="8263" ht="12.75" x14ac:dyDescent="0.2"/>
    <row r="8264" ht="12.75" x14ac:dyDescent="0.2"/>
    <row r="8265" ht="12.75" x14ac:dyDescent="0.2"/>
    <row r="8266" ht="12.75" x14ac:dyDescent="0.2"/>
    <row r="8267" ht="12.75" x14ac:dyDescent="0.2"/>
    <row r="8268" ht="12.75" x14ac:dyDescent="0.2"/>
    <row r="8269" ht="12.75" x14ac:dyDescent="0.2"/>
    <row r="8270" ht="12.75" x14ac:dyDescent="0.2"/>
    <row r="8271" ht="12.75" x14ac:dyDescent="0.2"/>
    <row r="8272" ht="12.75" x14ac:dyDescent="0.2"/>
    <row r="8273" ht="12.75" x14ac:dyDescent="0.2"/>
    <row r="8274" ht="12.75" x14ac:dyDescent="0.2"/>
    <row r="8275" ht="12.75" x14ac:dyDescent="0.2"/>
    <row r="8276" ht="12.75" x14ac:dyDescent="0.2"/>
    <row r="8277" ht="12.75" x14ac:dyDescent="0.2"/>
    <row r="8278" ht="12.75" x14ac:dyDescent="0.2"/>
    <row r="8279" ht="12.75" x14ac:dyDescent="0.2"/>
    <row r="8280" ht="12.75" x14ac:dyDescent="0.2"/>
    <row r="8281" ht="12.75" x14ac:dyDescent="0.2"/>
    <row r="8282" ht="12.75" x14ac:dyDescent="0.2"/>
    <row r="8283" ht="12.75" x14ac:dyDescent="0.2"/>
    <row r="8284" ht="12.75" x14ac:dyDescent="0.2"/>
    <row r="8285" ht="12.75" x14ac:dyDescent="0.2"/>
    <row r="8286" ht="12.75" x14ac:dyDescent="0.2"/>
    <row r="8287" ht="12.75" x14ac:dyDescent="0.2"/>
    <row r="8288" ht="12.75" x14ac:dyDescent="0.2"/>
    <row r="8289" ht="12.75" x14ac:dyDescent="0.2"/>
    <row r="8290" ht="12.75" x14ac:dyDescent="0.2"/>
    <row r="8291" ht="12.75" x14ac:dyDescent="0.2"/>
    <row r="8292" ht="12.75" x14ac:dyDescent="0.2"/>
    <row r="8293" ht="12.75" x14ac:dyDescent="0.2"/>
    <row r="8294" ht="12.75" x14ac:dyDescent="0.2"/>
    <row r="8295" ht="12.75" x14ac:dyDescent="0.2"/>
    <row r="8296" ht="12.75" x14ac:dyDescent="0.2"/>
    <row r="8297" ht="12.75" x14ac:dyDescent="0.2"/>
    <row r="8298" ht="12.75" x14ac:dyDescent="0.2"/>
    <row r="8299" ht="12.75" x14ac:dyDescent="0.2"/>
    <row r="8300" ht="12.75" x14ac:dyDescent="0.2"/>
    <row r="8301" ht="12.75" x14ac:dyDescent="0.2"/>
    <row r="8302" ht="12.75" x14ac:dyDescent="0.2"/>
    <row r="8303" ht="12.75" x14ac:dyDescent="0.2"/>
    <row r="8304" ht="12.75" x14ac:dyDescent="0.2"/>
    <row r="8305" ht="12.75" x14ac:dyDescent="0.2"/>
    <row r="8306" ht="12.75" x14ac:dyDescent="0.2"/>
    <row r="8307" ht="12.75" x14ac:dyDescent="0.2"/>
    <row r="8308" ht="12.75" x14ac:dyDescent="0.2"/>
    <row r="8309" ht="12.75" x14ac:dyDescent="0.2"/>
    <row r="8310" ht="12.75" x14ac:dyDescent="0.2"/>
    <row r="8311" ht="12.75" x14ac:dyDescent="0.2"/>
    <row r="8312" ht="12.75" x14ac:dyDescent="0.2"/>
    <row r="8313" ht="12.75" x14ac:dyDescent="0.2"/>
    <row r="8314" ht="12.75" x14ac:dyDescent="0.2"/>
    <row r="8315" ht="12.75" x14ac:dyDescent="0.2"/>
    <row r="8316" ht="12.75" x14ac:dyDescent="0.2"/>
    <row r="8317" ht="12.75" x14ac:dyDescent="0.2"/>
    <row r="8318" ht="12.75" x14ac:dyDescent="0.2"/>
    <row r="8319" ht="12.75" x14ac:dyDescent="0.2"/>
    <row r="8320" ht="12.75" x14ac:dyDescent="0.2"/>
    <row r="8321" ht="12.75" x14ac:dyDescent="0.2"/>
    <row r="8322" ht="12.75" x14ac:dyDescent="0.2"/>
    <row r="8323" ht="12.75" x14ac:dyDescent="0.2"/>
    <row r="8324" ht="12.75" x14ac:dyDescent="0.2"/>
    <row r="8325" ht="12.75" x14ac:dyDescent="0.2"/>
    <row r="8326" ht="12.75" x14ac:dyDescent="0.2"/>
    <row r="8327" ht="12.75" x14ac:dyDescent="0.2"/>
    <row r="8328" ht="12.75" x14ac:dyDescent="0.2"/>
    <row r="8329" ht="12.75" x14ac:dyDescent="0.2"/>
    <row r="8330" ht="12.75" x14ac:dyDescent="0.2"/>
    <row r="8331" ht="12.75" x14ac:dyDescent="0.2"/>
    <row r="8332" ht="12.75" x14ac:dyDescent="0.2"/>
    <row r="8333" ht="12.75" x14ac:dyDescent="0.2"/>
    <row r="8334" ht="12.75" x14ac:dyDescent="0.2"/>
    <row r="8335" ht="12.75" x14ac:dyDescent="0.2"/>
    <row r="8336" ht="12.75" x14ac:dyDescent="0.2"/>
    <row r="8337" ht="12.75" x14ac:dyDescent="0.2"/>
    <row r="8338" ht="12.75" x14ac:dyDescent="0.2"/>
    <row r="8339" ht="12.75" x14ac:dyDescent="0.2"/>
    <row r="8340" ht="12.75" x14ac:dyDescent="0.2"/>
    <row r="8341" ht="12.75" x14ac:dyDescent="0.2"/>
    <row r="8342" ht="12.75" x14ac:dyDescent="0.2"/>
    <row r="8343" ht="12.75" x14ac:dyDescent="0.2"/>
    <row r="8344" ht="12.75" x14ac:dyDescent="0.2"/>
    <row r="8345" ht="12.75" x14ac:dyDescent="0.2"/>
    <row r="8346" ht="12.75" x14ac:dyDescent="0.2"/>
    <row r="8347" ht="12.75" x14ac:dyDescent="0.2"/>
    <row r="8348" ht="12.75" x14ac:dyDescent="0.2"/>
    <row r="8349" ht="12.75" x14ac:dyDescent="0.2"/>
    <row r="8350" ht="12.75" x14ac:dyDescent="0.2"/>
    <row r="8351" ht="12.75" x14ac:dyDescent="0.2"/>
    <row r="8352" ht="12.75" x14ac:dyDescent="0.2"/>
    <row r="8353" ht="12.75" x14ac:dyDescent="0.2"/>
    <row r="8354" ht="12.75" x14ac:dyDescent="0.2"/>
    <row r="8355" ht="12.75" x14ac:dyDescent="0.2"/>
    <row r="8356" ht="12.75" x14ac:dyDescent="0.2"/>
    <row r="8357" ht="12.75" x14ac:dyDescent="0.2"/>
    <row r="8358" ht="12.75" x14ac:dyDescent="0.2"/>
    <row r="8359" ht="12.75" x14ac:dyDescent="0.2"/>
    <row r="8360" ht="12.75" x14ac:dyDescent="0.2"/>
    <row r="8361" ht="12.75" x14ac:dyDescent="0.2"/>
    <row r="8362" ht="12.75" x14ac:dyDescent="0.2"/>
    <row r="8363" ht="12.75" x14ac:dyDescent="0.2"/>
    <row r="8364" ht="12.75" x14ac:dyDescent="0.2"/>
    <row r="8365" ht="12.75" x14ac:dyDescent="0.2"/>
    <row r="8366" ht="12.75" x14ac:dyDescent="0.2"/>
    <row r="8367" ht="12.75" x14ac:dyDescent="0.2"/>
    <row r="8368" ht="12.75" x14ac:dyDescent="0.2"/>
    <row r="8369" ht="12.75" x14ac:dyDescent="0.2"/>
    <row r="8370" ht="12.75" x14ac:dyDescent="0.2"/>
    <row r="8371" ht="12.75" x14ac:dyDescent="0.2"/>
    <row r="8372" ht="12.75" x14ac:dyDescent="0.2"/>
    <row r="8373" ht="12.75" x14ac:dyDescent="0.2"/>
    <row r="8374" ht="12.75" x14ac:dyDescent="0.2"/>
    <row r="8375" ht="12.75" x14ac:dyDescent="0.2"/>
    <row r="8376" ht="12.75" x14ac:dyDescent="0.2"/>
    <row r="8377" ht="12.75" x14ac:dyDescent="0.2"/>
    <row r="8378" ht="12.75" x14ac:dyDescent="0.2"/>
    <row r="8379" ht="12.75" x14ac:dyDescent="0.2"/>
    <row r="8380" ht="12.75" x14ac:dyDescent="0.2"/>
    <row r="8381" ht="12.75" x14ac:dyDescent="0.2"/>
    <row r="8382" ht="12.75" x14ac:dyDescent="0.2"/>
    <row r="8383" ht="12.75" x14ac:dyDescent="0.2"/>
    <row r="8384" ht="12.75" x14ac:dyDescent="0.2"/>
    <row r="8385" ht="12.75" x14ac:dyDescent="0.2"/>
    <row r="8386" ht="12.75" x14ac:dyDescent="0.2"/>
    <row r="8387" ht="12.75" x14ac:dyDescent="0.2"/>
    <row r="8388" ht="12.75" x14ac:dyDescent="0.2"/>
    <row r="8389" ht="12.75" x14ac:dyDescent="0.2"/>
    <row r="8390" ht="12.75" x14ac:dyDescent="0.2"/>
    <row r="8391" ht="12.75" x14ac:dyDescent="0.2"/>
    <row r="8392" ht="12.75" x14ac:dyDescent="0.2"/>
    <row r="8393" ht="12.75" x14ac:dyDescent="0.2"/>
    <row r="8394" ht="12.75" x14ac:dyDescent="0.2"/>
    <row r="8395" ht="12.75" x14ac:dyDescent="0.2"/>
    <row r="8396" ht="12.75" x14ac:dyDescent="0.2"/>
    <row r="8397" ht="12.75" x14ac:dyDescent="0.2"/>
    <row r="8398" ht="12.75" x14ac:dyDescent="0.2"/>
    <row r="8399" ht="12.75" x14ac:dyDescent="0.2"/>
    <row r="8400" ht="12.75" x14ac:dyDescent="0.2"/>
    <row r="8401" ht="12.75" x14ac:dyDescent="0.2"/>
    <row r="8402" ht="12.75" x14ac:dyDescent="0.2"/>
    <row r="8403" ht="12.75" x14ac:dyDescent="0.2"/>
    <row r="8404" ht="12.75" x14ac:dyDescent="0.2"/>
    <row r="8405" ht="12.75" x14ac:dyDescent="0.2"/>
    <row r="8406" ht="12.75" x14ac:dyDescent="0.2"/>
    <row r="8407" ht="12.75" x14ac:dyDescent="0.2"/>
    <row r="8408" ht="12.75" x14ac:dyDescent="0.2"/>
    <row r="8409" ht="12.75" x14ac:dyDescent="0.2"/>
    <row r="8410" ht="12.75" x14ac:dyDescent="0.2"/>
    <row r="8411" ht="12.75" x14ac:dyDescent="0.2"/>
    <row r="8412" ht="12.75" x14ac:dyDescent="0.2"/>
    <row r="8413" ht="12.75" x14ac:dyDescent="0.2"/>
    <row r="8414" ht="12.75" x14ac:dyDescent="0.2"/>
    <row r="8415" ht="12.75" x14ac:dyDescent="0.2"/>
    <row r="8416" ht="12.75" x14ac:dyDescent="0.2"/>
    <row r="8417" ht="12.75" x14ac:dyDescent="0.2"/>
    <row r="8418" ht="12.75" x14ac:dyDescent="0.2"/>
    <row r="8419" ht="12.75" x14ac:dyDescent="0.2"/>
    <row r="8420" ht="12.75" x14ac:dyDescent="0.2"/>
    <row r="8421" ht="12.75" x14ac:dyDescent="0.2"/>
    <row r="8422" ht="12.75" x14ac:dyDescent="0.2"/>
    <row r="8423" ht="12.75" x14ac:dyDescent="0.2"/>
    <row r="8424" ht="12.75" x14ac:dyDescent="0.2"/>
    <row r="8425" ht="12.75" x14ac:dyDescent="0.2"/>
    <row r="8426" ht="12.75" x14ac:dyDescent="0.2"/>
    <row r="8427" ht="12.75" x14ac:dyDescent="0.2"/>
    <row r="8428" ht="12.75" x14ac:dyDescent="0.2"/>
    <row r="8429" ht="12.75" x14ac:dyDescent="0.2"/>
    <row r="8430" ht="12.75" x14ac:dyDescent="0.2"/>
    <row r="8431" ht="12.75" x14ac:dyDescent="0.2"/>
    <row r="8432" ht="12.75" x14ac:dyDescent="0.2"/>
    <row r="8433" ht="12.75" x14ac:dyDescent="0.2"/>
    <row r="8434" ht="12.75" x14ac:dyDescent="0.2"/>
    <row r="8435" ht="12.75" x14ac:dyDescent="0.2"/>
    <row r="8436" ht="12.75" x14ac:dyDescent="0.2"/>
    <row r="8437" ht="12.75" x14ac:dyDescent="0.2"/>
    <row r="8438" ht="12.75" x14ac:dyDescent="0.2"/>
    <row r="8439" ht="12.75" x14ac:dyDescent="0.2"/>
    <row r="8440" ht="12.75" x14ac:dyDescent="0.2"/>
    <row r="8441" ht="12.75" x14ac:dyDescent="0.2"/>
    <row r="8442" ht="12.75" x14ac:dyDescent="0.2"/>
    <row r="8443" ht="12.75" x14ac:dyDescent="0.2"/>
    <row r="8444" ht="12.75" x14ac:dyDescent="0.2"/>
    <row r="8445" ht="12.75" x14ac:dyDescent="0.2"/>
    <row r="8446" ht="12.75" x14ac:dyDescent="0.2"/>
    <row r="8447" ht="12.75" x14ac:dyDescent="0.2"/>
    <row r="8448" ht="12.75" x14ac:dyDescent="0.2"/>
    <row r="8449" ht="12.75" x14ac:dyDescent="0.2"/>
    <row r="8450" ht="12.75" x14ac:dyDescent="0.2"/>
    <row r="8451" ht="12.75" x14ac:dyDescent="0.2"/>
    <row r="8452" ht="12.75" x14ac:dyDescent="0.2"/>
    <row r="8453" ht="12.75" x14ac:dyDescent="0.2"/>
    <row r="8454" ht="12.75" x14ac:dyDescent="0.2"/>
    <row r="8455" ht="12.75" x14ac:dyDescent="0.2"/>
    <row r="8456" ht="12.75" x14ac:dyDescent="0.2"/>
    <row r="8457" ht="12.75" x14ac:dyDescent="0.2"/>
    <row r="8458" ht="12.75" x14ac:dyDescent="0.2"/>
    <row r="8459" ht="12.75" x14ac:dyDescent="0.2"/>
    <row r="8460" ht="12.75" x14ac:dyDescent="0.2"/>
    <row r="8461" ht="12.75" x14ac:dyDescent="0.2"/>
    <row r="8462" ht="12.75" x14ac:dyDescent="0.2"/>
    <row r="8463" ht="12.75" x14ac:dyDescent="0.2"/>
    <row r="8464" ht="12.75" x14ac:dyDescent="0.2"/>
    <row r="8465" ht="12.75" x14ac:dyDescent="0.2"/>
    <row r="8466" ht="12.75" x14ac:dyDescent="0.2"/>
    <row r="8467" ht="12.75" x14ac:dyDescent="0.2"/>
    <row r="8468" ht="12.75" x14ac:dyDescent="0.2"/>
    <row r="8469" ht="12.75" x14ac:dyDescent="0.2"/>
    <row r="8470" ht="12.75" x14ac:dyDescent="0.2"/>
    <row r="8471" ht="12.75" x14ac:dyDescent="0.2"/>
    <row r="8472" ht="12.75" x14ac:dyDescent="0.2"/>
    <row r="8473" ht="12.75" x14ac:dyDescent="0.2"/>
    <row r="8474" ht="12.75" x14ac:dyDescent="0.2"/>
    <row r="8475" ht="12.75" x14ac:dyDescent="0.2"/>
    <row r="8476" ht="12.75" x14ac:dyDescent="0.2"/>
    <row r="8477" ht="12.75" x14ac:dyDescent="0.2"/>
    <row r="8478" ht="12.75" x14ac:dyDescent="0.2"/>
    <row r="8479" ht="12.75" x14ac:dyDescent="0.2"/>
    <row r="8480" ht="12.75" x14ac:dyDescent="0.2"/>
    <row r="8481" ht="12.75" x14ac:dyDescent="0.2"/>
    <row r="8482" ht="12.75" x14ac:dyDescent="0.2"/>
    <row r="8483" ht="12.75" x14ac:dyDescent="0.2"/>
    <row r="8484" ht="12.75" x14ac:dyDescent="0.2"/>
    <row r="8485" ht="12.75" x14ac:dyDescent="0.2"/>
    <row r="8486" ht="12.75" x14ac:dyDescent="0.2"/>
    <row r="8487" ht="12.75" x14ac:dyDescent="0.2"/>
    <row r="8488" ht="12.75" x14ac:dyDescent="0.2"/>
    <row r="8489" ht="12.75" x14ac:dyDescent="0.2"/>
    <row r="8490" ht="12.75" x14ac:dyDescent="0.2"/>
    <row r="8491" ht="12.75" x14ac:dyDescent="0.2"/>
    <row r="8492" ht="12.75" x14ac:dyDescent="0.2"/>
    <row r="8493" ht="12.75" x14ac:dyDescent="0.2"/>
    <row r="8494" ht="12.75" x14ac:dyDescent="0.2"/>
    <row r="8495" ht="12.75" x14ac:dyDescent="0.2"/>
    <row r="8496" ht="12.75" x14ac:dyDescent="0.2"/>
    <row r="8497" ht="12.75" x14ac:dyDescent="0.2"/>
    <row r="8498" ht="12.75" x14ac:dyDescent="0.2"/>
    <row r="8499" ht="12.75" x14ac:dyDescent="0.2"/>
    <row r="8500" ht="12.75" x14ac:dyDescent="0.2"/>
    <row r="8501" ht="12.75" x14ac:dyDescent="0.2"/>
    <row r="8502" ht="12.75" x14ac:dyDescent="0.2"/>
    <row r="8503" ht="12.75" x14ac:dyDescent="0.2"/>
    <row r="8504" ht="12.75" x14ac:dyDescent="0.2"/>
    <row r="8505" ht="12.75" x14ac:dyDescent="0.2"/>
    <row r="8506" ht="12.75" x14ac:dyDescent="0.2"/>
    <row r="8507" ht="12.75" x14ac:dyDescent="0.2"/>
    <row r="8508" ht="12.75" x14ac:dyDescent="0.2"/>
    <row r="8509" ht="12.75" x14ac:dyDescent="0.2"/>
    <row r="8510" ht="12.75" x14ac:dyDescent="0.2"/>
    <row r="8511" ht="12.75" x14ac:dyDescent="0.2"/>
    <row r="8512" ht="12.75" x14ac:dyDescent="0.2"/>
    <row r="8513" ht="12.75" x14ac:dyDescent="0.2"/>
    <row r="8514" ht="12.75" x14ac:dyDescent="0.2"/>
    <row r="8515" ht="12.75" x14ac:dyDescent="0.2"/>
    <row r="8516" ht="12.75" x14ac:dyDescent="0.2"/>
    <row r="8517" ht="12.75" x14ac:dyDescent="0.2"/>
    <row r="8518" ht="12.75" x14ac:dyDescent="0.2"/>
    <row r="8519" ht="12.75" x14ac:dyDescent="0.2"/>
    <row r="8520" ht="12.75" x14ac:dyDescent="0.2"/>
    <row r="8521" ht="12.75" x14ac:dyDescent="0.2"/>
    <row r="8522" ht="12.75" x14ac:dyDescent="0.2"/>
    <row r="8523" ht="12.75" x14ac:dyDescent="0.2"/>
    <row r="8524" ht="12.75" x14ac:dyDescent="0.2"/>
    <row r="8525" ht="12.75" x14ac:dyDescent="0.2"/>
    <row r="8526" ht="12.75" x14ac:dyDescent="0.2"/>
    <row r="8527" ht="12.75" x14ac:dyDescent="0.2"/>
    <row r="8528" ht="12.75" x14ac:dyDescent="0.2"/>
    <row r="8529" ht="12.75" x14ac:dyDescent="0.2"/>
    <row r="8530" ht="12.75" x14ac:dyDescent="0.2"/>
    <row r="8531" ht="12.75" x14ac:dyDescent="0.2"/>
    <row r="8532" ht="12.75" x14ac:dyDescent="0.2"/>
    <row r="8533" ht="12.75" x14ac:dyDescent="0.2"/>
    <row r="8534" ht="12.75" x14ac:dyDescent="0.2"/>
    <row r="8535" ht="12.75" x14ac:dyDescent="0.2"/>
    <row r="8536" ht="12.75" x14ac:dyDescent="0.2"/>
    <row r="8537" ht="12.75" x14ac:dyDescent="0.2"/>
    <row r="8538" ht="12.75" x14ac:dyDescent="0.2"/>
    <row r="8539" ht="12.75" x14ac:dyDescent="0.2"/>
    <row r="8540" ht="12.75" x14ac:dyDescent="0.2"/>
    <row r="8541" ht="12.75" x14ac:dyDescent="0.2"/>
    <row r="8542" ht="12.75" x14ac:dyDescent="0.2"/>
    <row r="8543" ht="12.75" x14ac:dyDescent="0.2"/>
    <row r="8544" ht="12.75" x14ac:dyDescent="0.2"/>
    <row r="8545" ht="12.75" x14ac:dyDescent="0.2"/>
    <row r="8546" ht="12.75" x14ac:dyDescent="0.2"/>
    <row r="8547" ht="12.75" x14ac:dyDescent="0.2"/>
    <row r="8548" ht="12.75" x14ac:dyDescent="0.2"/>
    <row r="8549" ht="12.75" x14ac:dyDescent="0.2"/>
    <row r="8550" ht="12.75" x14ac:dyDescent="0.2"/>
    <row r="8551" ht="12.75" x14ac:dyDescent="0.2"/>
    <row r="8552" ht="12.75" x14ac:dyDescent="0.2"/>
    <row r="8553" ht="12.75" x14ac:dyDescent="0.2"/>
    <row r="8554" ht="12.75" x14ac:dyDescent="0.2"/>
    <row r="8555" ht="12.75" x14ac:dyDescent="0.2"/>
    <row r="8556" ht="12.75" x14ac:dyDescent="0.2"/>
    <row r="8557" ht="12.75" x14ac:dyDescent="0.2"/>
    <row r="8558" ht="12.75" x14ac:dyDescent="0.2"/>
    <row r="8559" ht="12.75" x14ac:dyDescent="0.2"/>
    <row r="8560" ht="12.75" x14ac:dyDescent="0.2"/>
    <row r="8561" ht="12.75" x14ac:dyDescent="0.2"/>
    <row r="8562" ht="12.75" x14ac:dyDescent="0.2"/>
    <row r="8563" ht="12.75" x14ac:dyDescent="0.2"/>
    <row r="8564" ht="12.75" x14ac:dyDescent="0.2"/>
    <row r="8565" ht="12.75" x14ac:dyDescent="0.2"/>
    <row r="8566" ht="12.75" x14ac:dyDescent="0.2"/>
    <row r="8567" ht="12.75" x14ac:dyDescent="0.2"/>
    <row r="8568" ht="12.75" x14ac:dyDescent="0.2"/>
    <row r="8569" ht="12.75" x14ac:dyDescent="0.2"/>
    <row r="8570" ht="12.75" x14ac:dyDescent="0.2"/>
    <row r="8571" ht="12.75" x14ac:dyDescent="0.2"/>
    <row r="8572" ht="12.75" x14ac:dyDescent="0.2"/>
    <row r="8573" ht="12.75" x14ac:dyDescent="0.2"/>
    <row r="8574" ht="12.75" x14ac:dyDescent="0.2"/>
    <row r="8575" ht="12.75" x14ac:dyDescent="0.2"/>
    <row r="8576" ht="12.75" x14ac:dyDescent="0.2"/>
    <row r="8577" ht="12.75" x14ac:dyDescent="0.2"/>
    <row r="8578" ht="12.75" x14ac:dyDescent="0.2"/>
    <row r="8579" ht="12.75" x14ac:dyDescent="0.2"/>
    <row r="8580" ht="12.75" x14ac:dyDescent="0.2"/>
    <row r="8581" ht="12.75" x14ac:dyDescent="0.2"/>
    <row r="8582" ht="12.75" x14ac:dyDescent="0.2"/>
    <row r="8583" ht="12.75" x14ac:dyDescent="0.2"/>
    <row r="8584" ht="12.75" x14ac:dyDescent="0.2"/>
    <row r="8585" ht="12.75" x14ac:dyDescent="0.2"/>
    <row r="8586" ht="12.75" x14ac:dyDescent="0.2"/>
    <row r="8587" ht="12.75" x14ac:dyDescent="0.2"/>
    <row r="8588" ht="12.75" x14ac:dyDescent="0.2"/>
    <row r="8589" ht="12.75" x14ac:dyDescent="0.2"/>
    <row r="8590" ht="12.75" x14ac:dyDescent="0.2"/>
    <row r="8591" ht="12.75" x14ac:dyDescent="0.2"/>
    <row r="8592" ht="12.75" x14ac:dyDescent="0.2"/>
    <row r="8593" ht="12.75" x14ac:dyDescent="0.2"/>
    <row r="8594" ht="12.75" x14ac:dyDescent="0.2"/>
    <row r="8595" ht="12.75" x14ac:dyDescent="0.2"/>
    <row r="8596" ht="12.75" x14ac:dyDescent="0.2"/>
    <row r="8597" ht="12.75" x14ac:dyDescent="0.2"/>
    <row r="8598" ht="12.75" x14ac:dyDescent="0.2"/>
    <row r="8599" ht="12.75" x14ac:dyDescent="0.2"/>
    <row r="8600" ht="12.75" x14ac:dyDescent="0.2"/>
    <row r="8601" ht="12.75" x14ac:dyDescent="0.2"/>
    <row r="8602" ht="12.75" x14ac:dyDescent="0.2"/>
    <row r="8603" ht="12.75" x14ac:dyDescent="0.2"/>
    <row r="8604" ht="12.75" x14ac:dyDescent="0.2"/>
    <row r="8605" ht="12.75" x14ac:dyDescent="0.2"/>
    <row r="8606" ht="12.75" x14ac:dyDescent="0.2"/>
    <row r="8607" ht="12.75" x14ac:dyDescent="0.2"/>
    <row r="8608" ht="12.75" x14ac:dyDescent="0.2"/>
    <row r="8609" ht="12.75" x14ac:dyDescent="0.2"/>
    <row r="8610" ht="12.75" x14ac:dyDescent="0.2"/>
    <row r="8611" ht="12.75" x14ac:dyDescent="0.2"/>
    <row r="8612" ht="12.75" x14ac:dyDescent="0.2"/>
    <row r="8613" ht="12.75" x14ac:dyDescent="0.2"/>
    <row r="8614" ht="12.75" x14ac:dyDescent="0.2"/>
    <row r="8615" ht="12.75" x14ac:dyDescent="0.2"/>
    <row r="8616" ht="12.75" x14ac:dyDescent="0.2"/>
    <row r="8617" ht="12.75" x14ac:dyDescent="0.2"/>
    <row r="8618" ht="12.75" x14ac:dyDescent="0.2"/>
    <row r="8619" ht="12.75" x14ac:dyDescent="0.2"/>
    <row r="8620" ht="12.75" x14ac:dyDescent="0.2"/>
    <row r="8621" ht="12.75" x14ac:dyDescent="0.2"/>
    <row r="8622" ht="12.75" x14ac:dyDescent="0.2"/>
    <row r="8623" ht="12.75" x14ac:dyDescent="0.2"/>
    <row r="8624" ht="12.75" x14ac:dyDescent="0.2"/>
    <row r="8625" ht="12.75" x14ac:dyDescent="0.2"/>
    <row r="8626" ht="12.75" x14ac:dyDescent="0.2"/>
    <row r="8627" ht="12.75" x14ac:dyDescent="0.2"/>
    <row r="8628" ht="12.75" x14ac:dyDescent="0.2"/>
    <row r="8629" ht="12.75" x14ac:dyDescent="0.2"/>
    <row r="8630" ht="12.75" x14ac:dyDescent="0.2"/>
    <row r="8631" ht="12.75" x14ac:dyDescent="0.2"/>
    <row r="8632" ht="12.75" x14ac:dyDescent="0.2"/>
    <row r="8633" ht="12.75" x14ac:dyDescent="0.2"/>
    <row r="8634" ht="12.75" x14ac:dyDescent="0.2"/>
    <row r="8635" ht="12.75" x14ac:dyDescent="0.2"/>
    <row r="8636" ht="12.75" x14ac:dyDescent="0.2"/>
    <row r="8637" ht="12.75" x14ac:dyDescent="0.2"/>
    <row r="8638" ht="12.75" x14ac:dyDescent="0.2"/>
    <row r="8639" ht="12.75" x14ac:dyDescent="0.2"/>
    <row r="8640" ht="12.75" x14ac:dyDescent="0.2"/>
    <row r="8641" ht="12.75" x14ac:dyDescent="0.2"/>
    <row r="8642" ht="12.75" x14ac:dyDescent="0.2"/>
    <row r="8643" ht="12.75" x14ac:dyDescent="0.2"/>
    <row r="8644" ht="12.75" x14ac:dyDescent="0.2"/>
    <row r="8645" ht="12.75" x14ac:dyDescent="0.2"/>
    <row r="8646" ht="12.75" x14ac:dyDescent="0.2"/>
    <row r="8647" ht="12.75" x14ac:dyDescent="0.2"/>
    <row r="8648" ht="12.75" x14ac:dyDescent="0.2"/>
    <row r="8649" ht="12.75" x14ac:dyDescent="0.2"/>
    <row r="8650" ht="12.75" x14ac:dyDescent="0.2"/>
    <row r="8651" ht="12.75" x14ac:dyDescent="0.2"/>
    <row r="8652" ht="12.75" x14ac:dyDescent="0.2"/>
    <row r="8653" ht="12.75" x14ac:dyDescent="0.2"/>
    <row r="8654" ht="12.75" x14ac:dyDescent="0.2"/>
    <row r="8655" ht="12.75" x14ac:dyDescent="0.2"/>
    <row r="8656" ht="12.75" x14ac:dyDescent="0.2"/>
    <row r="8657" ht="12.75" x14ac:dyDescent="0.2"/>
    <row r="8658" ht="12.75" x14ac:dyDescent="0.2"/>
    <row r="8659" ht="12.75" x14ac:dyDescent="0.2"/>
    <row r="8660" ht="12.75" x14ac:dyDescent="0.2"/>
    <row r="8661" ht="12.75" x14ac:dyDescent="0.2"/>
    <row r="8662" ht="12.75" x14ac:dyDescent="0.2"/>
    <row r="8663" ht="12.75" x14ac:dyDescent="0.2"/>
    <row r="8664" ht="12.75" x14ac:dyDescent="0.2"/>
    <row r="8665" ht="12.75" x14ac:dyDescent="0.2"/>
    <row r="8666" ht="12.75" x14ac:dyDescent="0.2"/>
    <row r="8667" ht="12.75" x14ac:dyDescent="0.2"/>
    <row r="8668" ht="12.75" x14ac:dyDescent="0.2"/>
    <row r="8669" ht="12.75" x14ac:dyDescent="0.2"/>
    <row r="8670" ht="12.75" x14ac:dyDescent="0.2"/>
    <row r="8671" ht="12.75" x14ac:dyDescent="0.2"/>
    <row r="8672" ht="12.75" x14ac:dyDescent="0.2"/>
    <row r="8673" ht="12.75" x14ac:dyDescent="0.2"/>
    <row r="8674" ht="12.75" x14ac:dyDescent="0.2"/>
    <row r="8675" ht="12.75" x14ac:dyDescent="0.2"/>
    <row r="8676" ht="12.75" x14ac:dyDescent="0.2"/>
    <row r="8677" ht="12.75" x14ac:dyDescent="0.2"/>
    <row r="8678" ht="12.75" x14ac:dyDescent="0.2"/>
    <row r="8679" ht="12.75" x14ac:dyDescent="0.2"/>
    <row r="8680" ht="12.75" x14ac:dyDescent="0.2"/>
    <row r="8681" ht="12.75" x14ac:dyDescent="0.2"/>
    <row r="8682" ht="12.75" x14ac:dyDescent="0.2"/>
    <row r="8683" ht="12.75" x14ac:dyDescent="0.2"/>
    <row r="8684" ht="12.75" x14ac:dyDescent="0.2"/>
    <row r="8685" ht="12.75" x14ac:dyDescent="0.2"/>
    <row r="8686" ht="12.75" x14ac:dyDescent="0.2"/>
    <row r="8687" ht="12.75" x14ac:dyDescent="0.2"/>
    <row r="8688" ht="12.75" x14ac:dyDescent="0.2"/>
    <row r="8689" ht="12.75" x14ac:dyDescent="0.2"/>
    <row r="8690" ht="12.75" x14ac:dyDescent="0.2"/>
    <row r="8691" ht="12.75" x14ac:dyDescent="0.2"/>
    <row r="8692" ht="12.75" x14ac:dyDescent="0.2"/>
    <row r="8693" ht="12.75" x14ac:dyDescent="0.2"/>
    <row r="8694" ht="12.75" x14ac:dyDescent="0.2"/>
    <row r="8695" ht="12.75" x14ac:dyDescent="0.2"/>
    <row r="8696" ht="12.75" x14ac:dyDescent="0.2"/>
    <row r="8697" ht="12.75" x14ac:dyDescent="0.2"/>
    <row r="8698" ht="12.75" x14ac:dyDescent="0.2"/>
    <row r="8699" ht="12.75" x14ac:dyDescent="0.2"/>
    <row r="8700" ht="12.75" x14ac:dyDescent="0.2"/>
    <row r="8701" ht="12.75" x14ac:dyDescent="0.2"/>
    <row r="8702" ht="12.75" x14ac:dyDescent="0.2"/>
    <row r="8703" ht="12.75" x14ac:dyDescent="0.2"/>
    <row r="8704" ht="12.75" x14ac:dyDescent="0.2"/>
    <row r="8705" ht="12.75" x14ac:dyDescent="0.2"/>
    <row r="8706" ht="12.75" x14ac:dyDescent="0.2"/>
    <row r="8707" ht="12.75" x14ac:dyDescent="0.2"/>
    <row r="8708" ht="12.75" x14ac:dyDescent="0.2"/>
    <row r="8709" ht="12.75" x14ac:dyDescent="0.2"/>
    <row r="8710" ht="12.75" x14ac:dyDescent="0.2"/>
    <row r="8711" ht="12.75" x14ac:dyDescent="0.2"/>
    <row r="8712" ht="12.75" x14ac:dyDescent="0.2"/>
    <row r="8713" ht="12.75" x14ac:dyDescent="0.2"/>
    <row r="8714" ht="12.75" x14ac:dyDescent="0.2"/>
    <row r="8715" ht="12.75" x14ac:dyDescent="0.2"/>
    <row r="8716" ht="12.75" x14ac:dyDescent="0.2"/>
    <row r="8717" ht="12.75" x14ac:dyDescent="0.2"/>
    <row r="8718" ht="12.75" x14ac:dyDescent="0.2"/>
    <row r="8719" ht="12.75" x14ac:dyDescent="0.2"/>
    <row r="8720" ht="12.75" x14ac:dyDescent="0.2"/>
    <row r="8721" ht="12.75" x14ac:dyDescent="0.2"/>
    <row r="8722" ht="12.75" x14ac:dyDescent="0.2"/>
    <row r="8723" ht="12.75" x14ac:dyDescent="0.2"/>
    <row r="8724" ht="12.75" x14ac:dyDescent="0.2"/>
    <row r="8725" ht="12.75" x14ac:dyDescent="0.2"/>
    <row r="8726" ht="12.75" x14ac:dyDescent="0.2"/>
    <row r="8727" ht="12.75" x14ac:dyDescent="0.2"/>
    <row r="8728" ht="12.75" x14ac:dyDescent="0.2"/>
    <row r="8729" ht="12.75" x14ac:dyDescent="0.2"/>
    <row r="8730" ht="12.75" x14ac:dyDescent="0.2"/>
    <row r="8731" ht="12.75" x14ac:dyDescent="0.2"/>
    <row r="8732" ht="12.75" x14ac:dyDescent="0.2"/>
    <row r="8733" ht="12.75" x14ac:dyDescent="0.2"/>
    <row r="8734" ht="12.75" x14ac:dyDescent="0.2"/>
    <row r="8735" ht="12.75" x14ac:dyDescent="0.2"/>
    <row r="8736" ht="12.75" x14ac:dyDescent="0.2"/>
    <row r="8737" ht="12.75" x14ac:dyDescent="0.2"/>
    <row r="8738" ht="12.75" x14ac:dyDescent="0.2"/>
    <row r="8739" ht="12.75" x14ac:dyDescent="0.2"/>
    <row r="8740" ht="12.75" x14ac:dyDescent="0.2"/>
    <row r="8741" ht="12.75" x14ac:dyDescent="0.2"/>
    <row r="8742" ht="12.75" x14ac:dyDescent="0.2"/>
    <row r="8743" ht="12.75" x14ac:dyDescent="0.2"/>
    <row r="8744" ht="12.75" x14ac:dyDescent="0.2"/>
    <row r="8745" ht="12.75" x14ac:dyDescent="0.2"/>
    <row r="8746" ht="12.75" x14ac:dyDescent="0.2"/>
    <row r="8747" ht="12.75" x14ac:dyDescent="0.2"/>
    <row r="8748" ht="12.75" x14ac:dyDescent="0.2"/>
    <row r="8749" ht="12.75" x14ac:dyDescent="0.2"/>
    <row r="8750" ht="12.75" x14ac:dyDescent="0.2"/>
    <row r="8751" ht="12.75" x14ac:dyDescent="0.2"/>
    <row r="8752" ht="12.75" x14ac:dyDescent="0.2"/>
    <row r="8753" ht="12.75" x14ac:dyDescent="0.2"/>
    <row r="8754" ht="12.75" x14ac:dyDescent="0.2"/>
    <row r="8755" ht="12.75" x14ac:dyDescent="0.2"/>
    <row r="8756" ht="12.75" x14ac:dyDescent="0.2"/>
    <row r="8757" ht="12.75" x14ac:dyDescent="0.2"/>
    <row r="8758" ht="12.75" x14ac:dyDescent="0.2"/>
    <row r="8759" ht="12.75" x14ac:dyDescent="0.2"/>
    <row r="8760" ht="12.75" x14ac:dyDescent="0.2"/>
    <row r="8761" ht="12.75" x14ac:dyDescent="0.2"/>
    <row r="8762" ht="12.75" x14ac:dyDescent="0.2"/>
    <row r="8763" ht="12.75" x14ac:dyDescent="0.2"/>
    <row r="8764" ht="12.75" x14ac:dyDescent="0.2"/>
    <row r="8765" ht="12.75" x14ac:dyDescent="0.2"/>
    <row r="8766" ht="12.75" x14ac:dyDescent="0.2"/>
    <row r="8767" ht="12.75" x14ac:dyDescent="0.2"/>
    <row r="8768" ht="12.75" x14ac:dyDescent="0.2"/>
    <row r="8769" ht="12.75" x14ac:dyDescent="0.2"/>
    <row r="8770" ht="12.75" x14ac:dyDescent="0.2"/>
    <row r="8771" ht="12.75" x14ac:dyDescent="0.2"/>
    <row r="8772" ht="12.75" x14ac:dyDescent="0.2"/>
    <row r="8773" ht="12.75" x14ac:dyDescent="0.2"/>
    <row r="8774" ht="12.75" x14ac:dyDescent="0.2"/>
    <row r="8775" ht="12.75" x14ac:dyDescent="0.2"/>
    <row r="8776" ht="12.75" x14ac:dyDescent="0.2"/>
    <row r="8777" ht="12.75" x14ac:dyDescent="0.2"/>
    <row r="8778" ht="12.75" x14ac:dyDescent="0.2"/>
    <row r="8779" ht="12.75" x14ac:dyDescent="0.2"/>
    <row r="8780" ht="12.75" x14ac:dyDescent="0.2"/>
    <row r="8781" ht="12.75" x14ac:dyDescent="0.2"/>
    <row r="8782" ht="12.75" x14ac:dyDescent="0.2"/>
    <row r="8783" ht="12.75" x14ac:dyDescent="0.2"/>
    <row r="8784" ht="12.75" x14ac:dyDescent="0.2"/>
    <row r="8785" ht="12.75" x14ac:dyDescent="0.2"/>
    <row r="8786" ht="12.75" x14ac:dyDescent="0.2"/>
    <row r="8787" ht="12.75" x14ac:dyDescent="0.2"/>
    <row r="8788" ht="12.75" x14ac:dyDescent="0.2"/>
    <row r="8789" ht="12.75" x14ac:dyDescent="0.2"/>
    <row r="8790" ht="12.75" x14ac:dyDescent="0.2"/>
    <row r="8791" ht="12.75" x14ac:dyDescent="0.2"/>
    <row r="8792" ht="12.75" x14ac:dyDescent="0.2"/>
    <row r="8793" ht="12.75" x14ac:dyDescent="0.2"/>
    <row r="8794" ht="12.75" x14ac:dyDescent="0.2"/>
    <row r="8795" ht="12.75" x14ac:dyDescent="0.2"/>
    <row r="8796" ht="12.75" x14ac:dyDescent="0.2"/>
    <row r="8797" ht="12.75" x14ac:dyDescent="0.2"/>
    <row r="8798" ht="12.75" x14ac:dyDescent="0.2"/>
    <row r="8799" ht="12.75" x14ac:dyDescent="0.2"/>
    <row r="8800" ht="12.75" x14ac:dyDescent="0.2"/>
    <row r="8801" ht="12.75" x14ac:dyDescent="0.2"/>
    <row r="8802" ht="12.75" x14ac:dyDescent="0.2"/>
    <row r="8803" ht="12.75" x14ac:dyDescent="0.2"/>
    <row r="8804" ht="12.75" x14ac:dyDescent="0.2"/>
    <row r="8805" ht="12.75" x14ac:dyDescent="0.2"/>
    <row r="8806" ht="12.75" x14ac:dyDescent="0.2"/>
    <row r="8807" ht="12.75" x14ac:dyDescent="0.2"/>
    <row r="8808" ht="12.75" x14ac:dyDescent="0.2"/>
    <row r="8809" ht="12.75" x14ac:dyDescent="0.2"/>
    <row r="8810" ht="12.75" x14ac:dyDescent="0.2"/>
    <row r="8811" ht="12.75" x14ac:dyDescent="0.2"/>
    <row r="8812" ht="12.75" x14ac:dyDescent="0.2"/>
    <row r="8813" ht="12.75" x14ac:dyDescent="0.2"/>
    <row r="8814" ht="12.75" x14ac:dyDescent="0.2"/>
    <row r="8815" ht="12.75" x14ac:dyDescent="0.2"/>
    <row r="8816" ht="12.75" x14ac:dyDescent="0.2"/>
    <row r="8817" ht="12.75" x14ac:dyDescent="0.2"/>
    <row r="8818" ht="12.75" x14ac:dyDescent="0.2"/>
    <row r="8819" ht="12.75" x14ac:dyDescent="0.2"/>
    <row r="8820" ht="12.75" x14ac:dyDescent="0.2"/>
    <row r="8821" ht="12.75" x14ac:dyDescent="0.2"/>
    <row r="8822" ht="12.75" x14ac:dyDescent="0.2"/>
    <row r="8823" ht="12.75" x14ac:dyDescent="0.2"/>
    <row r="8824" ht="12.75" x14ac:dyDescent="0.2"/>
    <row r="8825" ht="12.75" x14ac:dyDescent="0.2"/>
    <row r="8826" ht="12.75" x14ac:dyDescent="0.2"/>
    <row r="8827" ht="12.75" x14ac:dyDescent="0.2"/>
    <row r="8828" ht="12.75" x14ac:dyDescent="0.2"/>
    <row r="8829" ht="12.75" x14ac:dyDescent="0.2"/>
    <row r="8830" ht="12.75" x14ac:dyDescent="0.2"/>
    <row r="8831" ht="12.75" x14ac:dyDescent="0.2"/>
    <row r="8832" ht="12.75" x14ac:dyDescent="0.2"/>
    <row r="8833" ht="12.75" x14ac:dyDescent="0.2"/>
    <row r="8834" ht="12.75" x14ac:dyDescent="0.2"/>
    <row r="8835" ht="12.75" x14ac:dyDescent="0.2"/>
    <row r="8836" ht="12.75" x14ac:dyDescent="0.2"/>
    <row r="8837" ht="12.75" x14ac:dyDescent="0.2"/>
    <row r="8838" ht="12.75" x14ac:dyDescent="0.2"/>
    <row r="8839" ht="12.75" x14ac:dyDescent="0.2"/>
    <row r="8840" ht="12.75" x14ac:dyDescent="0.2"/>
    <row r="8841" ht="12.75" x14ac:dyDescent="0.2"/>
    <row r="8842" ht="12.75" x14ac:dyDescent="0.2"/>
    <row r="8843" ht="12.75" x14ac:dyDescent="0.2"/>
    <row r="8844" ht="12.75" x14ac:dyDescent="0.2"/>
    <row r="8845" ht="12.75" x14ac:dyDescent="0.2"/>
    <row r="8846" ht="12.75" x14ac:dyDescent="0.2"/>
    <row r="8847" ht="12.75" x14ac:dyDescent="0.2"/>
    <row r="8848" ht="12.75" x14ac:dyDescent="0.2"/>
    <row r="8849" ht="12.75" x14ac:dyDescent="0.2"/>
    <row r="8850" ht="12.75" x14ac:dyDescent="0.2"/>
    <row r="8851" ht="12.75" x14ac:dyDescent="0.2"/>
    <row r="8852" ht="12.75" x14ac:dyDescent="0.2"/>
    <row r="8853" ht="12.75" x14ac:dyDescent="0.2"/>
    <row r="8854" ht="12.75" x14ac:dyDescent="0.2"/>
    <row r="8855" ht="12.75" x14ac:dyDescent="0.2"/>
    <row r="8856" ht="12.75" x14ac:dyDescent="0.2"/>
    <row r="8857" ht="12.75" x14ac:dyDescent="0.2"/>
    <row r="8858" ht="12.75" x14ac:dyDescent="0.2"/>
    <row r="8859" ht="12.75" x14ac:dyDescent="0.2"/>
    <row r="8860" ht="12.75" x14ac:dyDescent="0.2"/>
    <row r="8861" ht="12.75" x14ac:dyDescent="0.2"/>
    <row r="8862" ht="12.75" x14ac:dyDescent="0.2"/>
    <row r="8863" ht="12.75" x14ac:dyDescent="0.2"/>
    <row r="8864" ht="12.75" x14ac:dyDescent="0.2"/>
    <row r="8865" ht="12.75" x14ac:dyDescent="0.2"/>
    <row r="8866" ht="12.75" x14ac:dyDescent="0.2"/>
    <row r="8867" ht="12.75" x14ac:dyDescent="0.2"/>
    <row r="8868" ht="12.75" x14ac:dyDescent="0.2"/>
    <row r="8869" ht="12.75" x14ac:dyDescent="0.2"/>
    <row r="8870" ht="12.75" x14ac:dyDescent="0.2"/>
    <row r="8871" ht="12.75" x14ac:dyDescent="0.2"/>
    <row r="8872" ht="12.75" x14ac:dyDescent="0.2"/>
    <row r="8873" ht="12.75" x14ac:dyDescent="0.2"/>
    <row r="8874" ht="12.75" x14ac:dyDescent="0.2"/>
    <row r="8875" ht="12.75" x14ac:dyDescent="0.2"/>
    <row r="8876" ht="12.75" x14ac:dyDescent="0.2"/>
    <row r="8877" ht="12.75" x14ac:dyDescent="0.2"/>
    <row r="8878" ht="12.75" x14ac:dyDescent="0.2"/>
    <row r="8879" ht="12.75" x14ac:dyDescent="0.2"/>
    <row r="8880" ht="12.75" x14ac:dyDescent="0.2"/>
    <row r="8881" ht="12.75" x14ac:dyDescent="0.2"/>
    <row r="8882" ht="12.75" x14ac:dyDescent="0.2"/>
    <row r="8883" ht="12.75" x14ac:dyDescent="0.2"/>
    <row r="8884" ht="12.75" x14ac:dyDescent="0.2"/>
    <row r="8885" ht="12.75" x14ac:dyDescent="0.2"/>
    <row r="8886" ht="12.75" x14ac:dyDescent="0.2"/>
    <row r="8887" ht="12.75" x14ac:dyDescent="0.2"/>
    <row r="8888" ht="12.75" x14ac:dyDescent="0.2"/>
    <row r="8889" ht="12.75" x14ac:dyDescent="0.2"/>
    <row r="8890" ht="12.75" x14ac:dyDescent="0.2"/>
    <row r="8891" ht="12.75" x14ac:dyDescent="0.2"/>
    <row r="8892" ht="12.75" x14ac:dyDescent="0.2"/>
    <row r="8893" ht="12.75" x14ac:dyDescent="0.2"/>
    <row r="8894" ht="12.75" x14ac:dyDescent="0.2"/>
    <row r="8895" ht="12.75" x14ac:dyDescent="0.2"/>
    <row r="8896" ht="12.75" x14ac:dyDescent="0.2"/>
    <row r="8897" ht="12.75" x14ac:dyDescent="0.2"/>
    <row r="8898" ht="12.75" x14ac:dyDescent="0.2"/>
    <row r="8899" ht="12.75" x14ac:dyDescent="0.2"/>
    <row r="8900" ht="12.75" x14ac:dyDescent="0.2"/>
    <row r="8901" ht="12.75" x14ac:dyDescent="0.2"/>
    <row r="8902" ht="12.75" x14ac:dyDescent="0.2"/>
    <row r="8903" ht="12.75" x14ac:dyDescent="0.2"/>
    <row r="8904" ht="12.75" x14ac:dyDescent="0.2"/>
    <row r="8905" ht="12.75" x14ac:dyDescent="0.2"/>
    <row r="8906" ht="12.75" x14ac:dyDescent="0.2"/>
    <row r="8907" ht="12.75" x14ac:dyDescent="0.2"/>
    <row r="8908" ht="12.75" x14ac:dyDescent="0.2"/>
    <row r="8909" ht="12.75" x14ac:dyDescent="0.2"/>
    <row r="8910" ht="12.75" x14ac:dyDescent="0.2"/>
    <row r="8911" ht="12.75" x14ac:dyDescent="0.2"/>
    <row r="8912" ht="12.75" x14ac:dyDescent="0.2"/>
    <row r="8913" ht="12.75" x14ac:dyDescent="0.2"/>
    <row r="8914" ht="12.75" x14ac:dyDescent="0.2"/>
    <row r="8915" ht="12.75" x14ac:dyDescent="0.2"/>
    <row r="8916" ht="12.75" x14ac:dyDescent="0.2"/>
    <row r="8917" ht="12.75" x14ac:dyDescent="0.2"/>
    <row r="8918" ht="12.75" x14ac:dyDescent="0.2"/>
    <row r="8919" ht="12.75" x14ac:dyDescent="0.2"/>
    <row r="8920" ht="12.75" x14ac:dyDescent="0.2"/>
    <row r="8921" ht="12.75" x14ac:dyDescent="0.2"/>
    <row r="8922" ht="12.75" x14ac:dyDescent="0.2"/>
    <row r="8923" ht="12.75" x14ac:dyDescent="0.2"/>
    <row r="8924" ht="12.75" x14ac:dyDescent="0.2"/>
    <row r="8925" ht="12.75" x14ac:dyDescent="0.2"/>
    <row r="8926" ht="12.75" x14ac:dyDescent="0.2"/>
    <row r="8927" ht="12.75" x14ac:dyDescent="0.2"/>
    <row r="8928" ht="12.75" x14ac:dyDescent="0.2"/>
    <row r="8929" ht="12.75" x14ac:dyDescent="0.2"/>
    <row r="8930" ht="12.75" x14ac:dyDescent="0.2"/>
    <row r="8931" ht="12.75" x14ac:dyDescent="0.2"/>
    <row r="8932" ht="12.75" x14ac:dyDescent="0.2"/>
    <row r="8933" ht="12.75" x14ac:dyDescent="0.2"/>
    <row r="8934" ht="12.75" x14ac:dyDescent="0.2"/>
    <row r="8935" ht="12.75" x14ac:dyDescent="0.2"/>
    <row r="8936" ht="12.75" x14ac:dyDescent="0.2"/>
    <row r="8937" ht="12.75" x14ac:dyDescent="0.2"/>
    <row r="8938" ht="12.75" x14ac:dyDescent="0.2"/>
    <row r="8939" ht="12.75" x14ac:dyDescent="0.2"/>
    <row r="8940" ht="12.75" x14ac:dyDescent="0.2"/>
    <row r="8941" ht="12.75" x14ac:dyDescent="0.2"/>
    <row r="8942" ht="12.75" x14ac:dyDescent="0.2"/>
    <row r="8943" ht="12.75" x14ac:dyDescent="0.2"/>
    <row r="8944" ht="12.75" x14ac:dyDescent="0.2"/>
    <row r="8945" ht="12.75" x14ac:dyDescent="0.2"/>
    <row r="8946" ht="12.75" x14ac:dyDescent="0.2"/>
    <row r="8947" ht="12.75" x14ac:dyDescent="0.2"/>
    <row r="8948" ht="12.75" x14ac:dyDescent="0.2"/>
    <row r="8949" ht="12.75" x14ac:dyDescent="0.2"/>
    <row r="8950" ht="12.75" x14ac:dyDescent="0.2"/>
    <row r="8951" ht="12.75" x14ac:dyDescent="0.2"/>
    <row r="8952" ht="12.75" x14ac:dyDescent="0.2"/>
    <row r="8953" ht="12.75" x14ac:dyDescent="0.2"/>
    <row r="8954" ht="12.75" x14ac:dyDescent="0.2"/>
    <row r="8955" ht="12.75" x14ac:dyDescent="0.2"/>
    <row r="8956" ht="12.75" x14ac:dyDescent="0.2"/>
    <row r="8957" ht="12.75" x14ac:dyDescent="0.2"/>
    <row r="8958" ht="12.75" x14ac:dyDescent="0.2"/>
    <row r="8959" ht="12.75" x14ac:dyDescent="0.2"/>
    <row r="8960" ht="12.75" x14ac:dyDescent="0.2"/>
    <row r="8961" ht="12.75" x14ac:dyDescent="0.2"/>
    <row r="8962" ht="12.75" x14ac:dyDescent="0.2"/>
    <row r="8963" ht="12.75" x14ac:dyDescent="0.2"/>
    <row r="8964" ht="12.75" x14ac:dyDescent="0.2"/>
    <row r="8965" ht="12.75" x14ac:dyDescent="0.2"/>
    <row r="8966" ht="12.75" x14ac:dyDescent="0.2"/>
    <row r="8967" ht="12.75" x14ac:dyDescent="0.2"/>
    <row r="8968" ht="12.75" x14ac:dyDescent="0.2"/>
    <row r="8969" ht="12.75" x14ac:dyDescent="0.2"/>
    <row r="8970" ht="12.75" x14ac:dyDescent="0.2"/>
    <row r="8971" ht="12.75" x14ac:dyDescent="0.2"/>
    <row r="8972" ht="12.75" x14ac:dyDescent="0.2"/>
    <row r="8973" ht="12.75" x14ac:dyDescent="0.2"/>
    <row r="8974" ht="12.75" x14ac:dyDescent="0.2"/>
    <row r="8975" ht="12.75" x14ac:dyDescent="0.2"/>
    <row r="8976" ht="12.75" x14ac:dyDescent="0.2"/>
    <row r="8977" ht="12.75" x14ac:dyDescent="0.2"/>
    <row r="8978" ht="12.75" x14ac:dyDescent="0.2"/>
    <row r="8979" ht="12.75" x14ac:dyDescent="0.2"/>
    <row r="8980" ht="12.75" x14ac:dyDescent="0.2"/>
    <row r="8981" ht="12.75" x14ac:dyDescent="0.2"/>
    <row r="8982" ht="12.75" x14ac:dyDescent="0.2"/>
    <row r="8983" ht="12.75" x14ac:dyDescent="0.2"/>
    <row r="8984" ht="12.75" x14ac:dyDescent="0.2"/>
    <row r="8985" ht="12.75" x14ac:dyDescent="0.2"/>
    <row r="8986" ht="12.75" x14ac:dyDescent="0.2"/>
    <row r="8987" ht="12.75" x14ac:dyDescent="0.2"/>
    <row r="8988" ht="12.75" x14ac:dyDescent="0.2"/>
    <row r="8989" ht="12.75" x14ac:dyDescent="0.2"/>
    <row r="8990" ht="12.75" x14ac:dyDescent="0.2"/>
    <row r="8991" ht="12.75" x14ac:dyDescent="0.2"/>
    <row r="8992" ht="12.75" x14ac:dyDescent="0.2"/>
    <row r="8993" ht="12.75" x14ac:dyDescent="0.2"/>
    <row r="8994" ht="12.75" x14ac:dyDescent="0.2"/>
    <row r="8995" ht="12.75" x14ac:dyDescent="0.2"/>
    <row r="8996" ht="12.75" x14ac:dyDescent="0.2"/>
    <row r="8997" ht="12.75" x14ac:dyDescent="0.2"/>
    <row r="8998" ht="12.75" x14ac:dyDescent="0.2"/>
    <row r="8999" ht="12.75" x14ac:dyDescent="0.2"/>
    <row r="9000" ht="12.75" x14ac:dyDescent="0.2"/>
    <row r="9001" ht="12.75" x14ac:dyDescent="0.2"/>
    <row r="9002" ht="12.75" x14ac:dyDescent="0.2"/>
    <row r="9003" ht="12.75" x14ac:dyDescent="0.2"/>
    <row r="9004" ht="12.75" x14ac:dyDescent="0.2"/>
    <row r="9005" ht="12.75" x14ac:dyDescent="0.2"/>
    <row r="9006" ht="12.75" x14ac:dyDescent="0.2"/>
    <row r="9007" ht="12.75" x14ac:dyDescent="0.2"/>
    <row r="9008" ht="12.75" x14ac:dyDescent="0.2"/>
    <row r="9009" ht="12.75" x14ac:dyDescent="0.2"/>
    <row r="9010" ht="12.75" x14ac:dyDescent="0.2"/>
    <row r="9011" ht="12.75" x14ac:dyDescent="0.2"/>
    <row r="9012" ht="12.75" x14ac:dyDescent="0.2"/>
    <row r="9013" ht="12.75" x14ac:dyDescent="0.2"/>
    <row r="9014" ht="12.75" x14ac:dyDescent="0.2"/>
    <row r="9015" ht="12.75" x14ac:dyDescent="0.2"/>
    <row r="9016" ht="12.75" x14ac:dyDescent="0.2"/>
    <row r="9017" ht="12.75" x14ac:dyDescent="0.2"/>
    <row r="9018" ht="12.75" x14ac:dyDescent="0.2"/>
    <row r="9019" ht="12.75" x14ac:dyDescent="0.2"/>
    <row r="9020" ht="12.75" x14ac:dyDescent="0.2"/>
    <row r="9021" ht="12.75" x14ac:dyDescent="0.2"/>
    <row r="9022" ht="12.75" x14ac:dyDescent="0.2"/>
    <row r="9023" ht="12.75" x14ac:dyDescent="0.2"/>
    <row r="9024" ht="12.75" x14ac:dyDescent="0.2"/>
    <row r="9025" ht="12.75" x14ac:dyDescent="0.2"/>
    <row r="9026" ht="12.75" x14ac:dyDescent="0.2"/>
    <row r="9027" ht="12.75" x14ac:dyDescent="0.2"/>
    <row r="9028" ht="12.75" x14ac:dyDescent="0.2"/>
    <row r="9029" ht="12.75" x14ac:dyDescent="0.2"/>
    <row r="9030" ht="12.75" x14ac:dyDescent="0.2"/>
    <row r="9031" ht="12.75" x14ac:dyDescent="0.2"/>
    <row r="9032" ht="12.75" x14ac:dyDescent="0.2"/>
    <row r="9033" ht="12.75" x14ac:dyDescent="0.2"/>
    <row r="9034" ht="12.75" x14ac:dyDescent="0.2"/>
    <row r="9035" ht="12.75" x14ac:dyDescent="0.2"/>
    <row r="9036" ht="12.75" x14ac:dyDescent="0.2"/>
    <row r="9037" ht="12.75" x14ac:dyDescent="0.2"/>
    <row r="9038" ht="12.75" x14ac:dyDescent="0.2"/>
    <row r="9039" ht="12.75" x14ac:dyDescent="0.2"/>
    <row r="9040" ht="12.75" x14ac:dyDescent="0.2"/>
    <row r="9041" ht="12.75" x14ac:dyDescent="0.2"/>
    <row r="9042" ht="12.75" x14ac:dyDescent="0.2"/>
    <row r="9043" ht="12.75" x14ac:dyDescent="0.2"/>
    <row r="9044" ht="12.75" x14ac:dyDescent="0.2"/>
    <row r="9045" ht="12.75" x14ac:dyDescent="0.2"/>
    <row r="9046" ht="12.75" x14ac:dyDescent="0.2"/>
    <row r="9047" ht="12.75" x14ac:dyDescent="0.2"/>
    <row r="9048" ht="12.75" x14ac:dyDescent="0.2"/>
    <row r="9049" ht="12.75" x14ac:dyDescent="0.2"/>
    <row r="9050" ht="12.75" x14ac:dyDescent="0.2"/>
    <row r="9051" ht="12.75" x14ac:dyDescent="0.2"/>
    <row r="9052" ht="12.75" x14ac:dyDescent="0.2"/>
    <row r="9053" ht="12.75" x14ac:dyDescent="0.2"/>
    <row r="9054" ht="12.75" x14ac:dyDescent="0.2"/>
    <row r="9055" ht="12.75" x14ac:dyDescent="0.2"/>
    <row r="9056" ht="12.75" x14ac:dyDescent="0.2"/>
    <row r="9057" ht="12.75" x14ac:dyDescent="0.2"/>
    <row r="9058" ht="12.75" x14ac:dyDescent="0.2"/>
    <row r="9059" ht="12.75" x14ac:dyDescent="0.2"/>
    <row r="9060" ht="12.75" x14ac:dyDescent="0.2"/>
    <row r="9061" ht="12.75" x14ac:dyDescent="0.2"/>
    <row r="9062" ht="12.75" x14ac:dyDescent="0.2"/>
    <row r="9063" ht="12.75" x14ac:dyDescent="0.2"/>
    <row r="9064" ht="12.75" x14ac:dyDescent="0.2"/>
    <row r="9065" ht="12.75" x14ac:dyDescent="0.2"/>
    <row r="9066" ht="12.75" x14ac:dyDescent="0.2"/>
    <row r="9067" ht="12.75" x14ac:dyDescent="0.2"/>
    <row r="9068" ht="12.75" x14ac:dyDescent="0.2"/>
    <row r="9069" ht="12.75" x14ac:dyDescent="0.2"/>
    <row r="9070" ht="12.75" x14ac:dyDescent="0.2"/>
    <row r="9071" ht="12.75" x14ac:dyDescent="0.2"/>
    <row r="9072" ht="12.75" x14ac:dyDescent="0.2"/>
    <row r="9073" ht="12.75" x14ac:dyDescent="0.2"/>
    <row r="9074" ht="12.75" x14ac:dyDescent="0.2"/>
    <row r="9075" ht="12.75" x14ac:dyDescent="0.2"/>
    <row r="9076" ht="12.75" x14ac:dyDescent="0.2"/>
    <row r="9077" ht="12.75" x14ac:dyDescent="0.2"/>
    <row r="9078" ht="12.75" x14ac:dyDescent="0.2"/>
    <row r="9079" ht="12.75" x14ac:dyDescent="0.2"/>
    <row r="9080" ht="12.75" x14ac:dyDescent="0.2"/>
    <row r="9081" ht="12.75" x14ac:dyDescent="0.2"/>
    <row r="9082" ht="12.75" x14ac:dyDescent="0.2"/>
    <row r="9083" ht="12.75" x14ac:dyDescent="0.2"/>
    <row r="9084" ht="12.75" x14ac:dyDescent="0.2"/>
    <row r="9085" ht="12.75" x14ac:dyDescent="0.2"/>
    <row r="9086" ht="12.75" x14ac:dyDescent="0.2"/>
    <row r="9087" ht="12.75" x14ac:dyDescent="0.2"/>
    <row r="9088" ht="12.75" x14ac:dyDescent="0.2"/>
    <row r="9089" ht="12.75" x14ac:dyDescent="0.2"/>
    <row r="9090" ht="12.75" x14ac:dyDescent="0.2"/>
    <row r="9091" ht="12.75" x14ac:dyDescent="0.2"/>
    <row r="9092" ht="12.75" x14ac:dyDescent="0.2"/>
    <row r="9093" ht="12.75" x14ac:dyDescent="0.2"/>
    <row r="9094" ht="12.75" x14ac:dyDescent="0.2"/>
    <row r="9095" ht="12.75" x14ac:dyDescent="0.2"/>
    <row r="9096" ht="12.75" x14ac:dyDescent="0.2"/>
    <row r="9097" ht="12.75" x14ac:dyDescent="0.2"/>
    <row r="9098" ht="12.75" x14ac:dyDescent="0.2"/>
    <row r="9099" ht="12.75" x14ac:dyDescent="0.2"/>
    <row r="9100" ht="12.75" x14ac:dyDescent="0.2"/>
    <row r="9101" ht="12.75" x14ac:dyDescent="0.2"/>
    <row r="9102" ht="12.75" x14ac:dyDescent="0.2"/>
    <row r="9103" ht="12.75" x14ac:dyDescent="0.2"/>
    <row r="9104" ht="12.75" x14ac:dyDescent="0.2"/>
    <row r="9105" ht="12.75" x14ac:dyDescent="0.2"/>
    <row r="9106" ht="12.75" x14ac:dyDescent="0.2"/>
    <row r="9107" ht="12.75" x14ac:dyDescent="0.2"/>
    <row r="9108" ht="12.75" x14ac:dyDescent="0.2"/>
    <row r="9109" ht="12.75" x14ac:dyDescent="0.2"/>
    <row r="9110" ht="12.75" x14ac:dyDescent="0.2"/>
    <row r="9111" ht="12.75" x14ac:dyDescent="0.2"/>
    <row r="9112" ht="12.75" x14ac:dyDescent="0.2"/>
    <row r="9113" ht="12.75" x14ac:dyDescent="0.2"/>
    <row r="9114" ht="12.75" x14ac:dyDescent="0.2"/>
    <row r="9115" ht="12.75" x14ac:dyDescent="0.2"/>
    <row r="9116" ht="12.75" x14ac:dyDescent="0.2"/>
    <row r="9117" ht="12.75" x14ac:dyDescent="0.2"/>
    <row r="9118" ht="12.75" x14ac:dyDescent="0.2"/>
    <row r="9119" ht="12.75" x14ac:dyDescent="0.2"/>
    <row r="9120" ht="12.75" x14ac:dyDescent="0.2"/>
    <row r="9121" ht="12.75" x14ac:dyDescent="0.2"/>
    <row r="9122" ht="12.75" x14ac:dyDescent="0.2"/>
    <row r="9123" ht="12.75" x14ac:dyDescent="0.2"/>
    <row r="9124" ht="12.75" x14ac:dyDescent="0.2"/>
    <row r="9125" ht="12.75" x14ac:dyDescent="0.2"/>
    <row r="9126" ht="12.75" x14ac:dyDescent="0.2"/>
    <row r="9127" ht="12.75" x14ac:dyDescent="0.2"/>
    <row r="9128" ht="12.75" x14ac:dyDescent="0.2"/>
    <row r="9129" ht="12.75" x14ac:dyDescent="0.2"/>
    <row r="9130" ht="12.75" x14ac:dyDescent="0.2"/>
    <row r="9131" ht="12.75" x14ac:dyDescent="0.2"/>
    <row r="9132" ht="12.75" x14ac:dyDescent="0.2"/>
    <row r="9133" ht="12.75" x14ac:dyDescent="0.2"/>
    <row r="9134" ht="12.75" x14ac:dyDescent="0.2"/>
    <row r="9135" ht="12.75" x14ac:dyDescent="0.2"/>
    <row r="9136" ht="12.75" x14ac:dyDescent="0.2"/>
    <row r="9137" ht="12.75" x14ac:dyDescent="0.2"/>
    <row r="9138" ht="12.75" x14ac:dyDescent="0.2"/>
    <row r="9139" ht="12.75" x14ac:dyDescent="0.2"/>
    <row r="9140" ht="12.75" x14ac:dyDescent="0.2"/>
    <row r="9141" ht="12.75" x14ac:dyDescent="0.2"/>
    <row r="9142" ht="12.75" x14ac:dyDescent="0.2"/>
    <row r="9143" ht="12.75" x14ac:dyDescent="0.2"/>
    <row r="9144" ht="12.75" x14ac:dyDescent="0.2"/>
    <row r="9145" ht="12.75" x14ac:dyDescent="0.2"/>
    <row r="9146" ht="12.75" x14ac:dyDescent="0.2"/>
    <row r="9147" ht="12.75" x14ac:dyDescent="0.2"/>
    <row r="9148" ht="12.75" x14ac:dyDescent="0.2"/>
    <row r="9149" ht="12.75" x14ac:dyDescent="0.2"/>
    <row r="9150" ht="12.75" x14ac:dyDescent="0.2"/>
    <row r="9151" ht="12.75" x14ac:dyDescent="0.2"/>
    <row r="9152" ht="12.75" x14ac:dyDescent="0.2"/>
    <row r="9153" ht="12.75" x14ac:dyDescent="0.2"/>
    <row r="9154" ht="12.75" x14ac:dyDescent="0.2"/>
    <row r="9155" ht="12.75" x14ac:dyDescent="0.2"/>
    <row r="9156" ht="12.75" x14ac:dyDescent="0.2"/>
    <row r="9157" ht="12.75" x14ac:dyDescent="0.2"/>
    <row r="9158" ht="12.75" x14ac:dyDescent="0.2"/>
    <row r="9159" ht="12.75" x14ac:dyDescent="0.2"/>
    <row r="9160" ht="12.75" x14ac:dyDescent="0.2"/>
    <row r="9161" ht="12.75" x14ac:dyDescent="0.2"/>
    <row r="9162" ht="12.75" x14ac:dyDescent="0.2"/>
    <row r="9163" ht="12.75" x14ac:dyDescent="0.2"/>
    <row r="9164" ht="12.75" x14ac:dyDescent="0.2"/>
    <row r="9165" ht="12.75" x14ac:dyDescent="0.2"/>
    <row r="9166" ht="12.75" x14ac:dyDescent="0.2"/>
    <row r="9167" ht="12.75" x14ac:dyDescent="0.2"/>
    <row r="9168" ht="12.75" x14ac:dyDescent="0.2"/>
    <row r="9169" ht="12.75" x14ac:dyDescent="0.2"/>
    <row r="9170" ht="12.75" x14ac:dyDescent="0.2"/>
    <row r="9171" ht="12.75" x14ac:dyDescent="0.2"/>
    <row r="9172" ht="12.75" x14ac:dyDescent="0.2"/>
    <row r="9173" ht="12.75" x14ac:dyDescent="0.2"/>
    <row r="9174" ht="12.75" x14ac:dyDescent="0.2"/>
    <row r="9175" ht="12.75" x14ac:dyDescent="0.2"/>
    <row r="9176" ht="12.75" x14ac:dyDescent="0.2"/>
    <row r="9177" ht="12.75" x14ac:dyDescent="0.2"/>
    <row r="9178" ht="12.75" x14ac:dyDescent="0.2"/>
    <row r="9179" ht="12.75" x14ac:dyDescent="0.2"/>
    <row r="9180" ht="12.75" x14ac:dyDescent="0.2"/>
    <row r="9181" ht="12.75" x14ac:dyDescent="0.2"/>
    <row r="9182" ht="12.75" x14ac:dyDescent="0.2"/>
    <row r="9183" ht="12.75" x14ac:dyDescent="0.2"/>
    <row r="9184" ht="12.75" x14ac:dyDescent="0.2"/>
    <row r="9185" ht="12.75" x14ac:dyDescent="0.2"/>
    <row r="9186" ht="12.75" x14ac:dyDescent="0.2"/>
    <row r="9187" ht="12.75" x14ac:dyDescent="0.2"/>
    <row r="9188" ht="12.75" x14ac:dyDescent="0.2"/>
    <row r="9189" ht="12.75" x14ac:dyDescent="0.2"/>
    <row r="9190" ht="12.75" x14ac:dyDescent="0.2"/>
    <row r="9191" ht="12.75" x14ac:dyDescent="0.2"/>
    <row r="9192" ht="12.75" x14ac:dyDescent="0.2"/>
    <row r="9193" ht="12.75" x14ac:dyDescent="0.2"/>
    <row r="9194" ht="12.75" x14ac:dyDescent="0.2"/>
    <row r="9195" ht="12.75" x14ac:dyDescent="0.2"/>
    <row r="9196" ht="12.75" x14ac:dyDescent="0.2"/>
    <row r="9197" ht="12.75" x14ac:dyDescent="0.2"/>
    <row r="9198" ht="12.75" x14ac:dyDescent="0.2"/>
    <row r="9199" ht="12.75" x14ac:dyDescent="0.2"/>
    <row r="9200" ht="12.75" x14ac:dyDescent="0.2"/>
    <row r="9201" ht="12.75" x14ac:dyDescent="0.2"/>
    <row r="9202" ht="12.75" x14ac:dyDescent="0.2"/>
    <row r="9203" ht="12.75" x14ac:dyDescent="0.2"/>
    <row r="9204" ht="12.75" x14ac:dyDescent="0.2"/>
    <row r="9205" ht="12.75" x14ac:dyDescent="0.2"/>
    <row r="9206" ht="12.75" x14ac:dyDescent="0.2"/>
    <row r="9207" ht="12.75" x14ac:dyDescent="0.2"/>
    <row r="9208" ht="12.75" x14ac:dyDescent="0.2"/>
    <row r="9209" ht="12.75" x14ac:dyDescent="0.2"/>
    <row r="9210" ht="12.75" x14ac:dyDescent="0.2"/>
    <row r="9211" ht="12.75" x14ac:dyDescent="0.2"/>
    <row r="9212" ht="12.75" x14ac:dyDescent="0.2"/>
    <row r="9213" ht="12.75" x14ac:dyDescent="0.2"/>
    <row r="9214" ht="12.75" x14ac:dyDescent="0.2"/>
    <row r="9215" ht="12.75" x14ac:dyDescent="0.2"/>
    <row r="9216" ht="12.75" x14ac:dyDescent="0.2"/>
    <row r="9217" ht="12.75" x14ac:dyDescent="0.2"/>
    <row r="9218" ht="12.75" x14ac:dyDescent="0.2"/>
    <row r="9219" ht="12.75" x14ac:dyDescent="0.2"/>
    <row r="9220" ht="12.75" x14ac:dyDescent="0.2"/>
    <row r="9221" ht="12.75" x14ac:dyDescent="0.2"/>
    <row r="9222" ht="12.75" x14ac:dyDescent="0.2"/>
    <row r="9223" ht="12.75" x14ac:dyDescent="0.2"/>
    <row r="9224" ht="12.75" x14ac:dyDescent="0.2"/>
    <row r="9225" ht="12.75" x14ac:dyDescent="0.2"/>
    <row r="9226" ht="12.75" x14ac:dyDescent="0.2"/>
    <row r="9227" ht="12.75" x14ac:dyDescent="0.2"/>
    <row r="9228" ht="12.75" x14ac:dyDescent="0.2"/>
    <row r="9229" ht="12.75" x14ac:dyDescent="0.2"/>
    <row r="9230" ht="12.75" x14ac:dyDescent="0.2"/>
    <row r="9231" ht="12.75" x14ac:dyDescent="0.2"/>
    <row r="9232" ht="12.75" x14ac:dyDescent="0.2"/>
    <row r="9233" ht="12.75" x14ac:dyDescent="0.2"/>
    <row r="9234" ht="12.75" x14ac:dyDescent="0.2"/>
    <row r="9235" ht="12.75" x14ac:dyDescent="0.2"/>
    <row r="9236" ht="12.75" x14ac:dyDescent="0.2"/>
    <row r="9237" ht="12.75" x14ac:dyDescent="0.2"/>
    <row r="9238" ht="12.75" x14ac:dyDescent="0.2"/>
    <row r="9239" ht="12.75" x14ac:dyDescent="0.2"/>
    <row r="9240" ht="12.75" x14ac:dyDescent="0.2"/>
    <row r="9241" ht="12.75" x14ac:dyDescent="0.2"/>
    <row r="9242" ht="12.75" x14ac:dyDescent="0.2"/>
    <row r="9243" ht="12.75" x14ac:dyDescent="0.2"/>
    <row r="9244" ht="12.75" x14ac:dyDescent="0.2"/>
    <row r="9245" ht="12.75" x14ac:dyDescent="0.2"/>
    <row r="9246" ht="12.75" x14ac:dyDescent="0.2"/>
    <row r="9247" ht="12.75" x14ac:dyDescent="0.2"/>
    <row r="9248" ht="12.75" x14ac:dyDescent="0.2"/>
    <row r="9249" ht="12.75" x14ac:dyDescent="0.2"/>
    <row r="9250" ht="12.75" x14ac:dyDescent="0.2"/>
    <row r="9251" ht="12.75" x14ac:dyDescent="0.2"/>
    <row r="9252" ht="12.75" x14ac:dyDescent="0.2"/>
    <row r="9253" ht="12.75" x14ac:dyDescent="0.2"/>
    <row r="9254" ht="12.75" x14ac:dyDescent="0.2"/>
    <row r="9255" ht="12.75" x14ac:dyDescent="0.2"/>
    <row r="9256" ht="12.75" x14ac:dyDescent="0.2"/>
    <row r="9257" ht="12.75" x14ac:dyDescent="0.2"/>
    <row r="9258" ht="12.75" x14ac:dyDescent="0.2"/>
    <row r="9259" ht="12.75" x14ac:dyDescent="0.2"/>
    <row r="9260" ht="12.75" x14ac:dyDescent="0.2"/>
    <row r="9261" ht="12.75" x14ac:dyDescent="0.2"/>
    <row r="9262" ht="12.75" x14ac:dyDescent="0.2"/>
    <row r="9263" ht="12.75" x14ac:dyDescent="0.2"/>
    <row r="9264" ht="12.75" x14ac:dyDescent="0.2"/>
    <row r="9265" ht="12.75" x14ac:dyDescent="0.2"/>
    <row r="9266" ht="12.75" x14ac:dyDescent="0.2"/>
    <row r="9267" ht="12.75" x14ac:dyDescent="0.2"/>
    <row r="9268" ht="12.75" x14ac:dyDescent="0.2"/>
    <row r="9269" ht="12.75" x14ac:dyDescent="0.2"/>
    <row r="9270" ht="12.75" x14ac:dyDescent="0.2"/>
    <row r="9271" ht="12.75" x14ac:dyDescent="0.2"/>
    <row r="9272" ht="12.75" x14ac:dyDescent="0.2"/>
    <row r="9273" ht="12.75" x14ac:dyDescent="0.2"/>
    <row r="9274" ht="12.75" x14ac:dyDescent="0.2"/>
    <row r="9275" ht="12.75" x14ac:dyDescent="0.2"/>
    <row r="9276" ht="12.75" x14ac:dyDescent="0.2"/>
    <row r="9277" ht="12.75" x14ac:dyDescent="0.2"/>
    <row r="9278" ht="12.75" x14ac:dyDescent="0.2"/>
    <row r="9279" ht="12.75" x14ac:dyDescent="0.2"/>
    <row r="9280" ht="12.75" x14ac:dyDescent="0.2"/>
    <row r="9281" ht="12.75" x14ac:dyDescent="0.2"/>
    <row r="9282" ht="12.75" x14ac:dyDescent="0.2"/>
    <row r="9283" ht="12.75" x14ac:dyDescent="0.2"/>
    <row r="9284" ht="12.75" x14ac:dyDescent="0.2"/>
    <row r="9285" ht="12.75" x14ac:dyDescent="0.2"/>
    <row r="9286" ht="12.75" x14ac:dyDescent="0.2"/>
    <row r="9287" ht="12.75" x14ac:dyDescent="0.2"/>
    <row r="9288" ht="12.75" x14ac:dyDescent="0.2"/>
    <row r="9289" ht="12.75" x14ac:dyDescent="0.2"/>
    <row r="9290" ht="12.75" x14ac:dyDescent="0.2"/>
    <row r="9291" ht="12.75" x14ac:dyDescent="0.2"/>
    <row r="9292" ht="12.75" x14ac:dyDescent="0.2"/>
    <row r="9293" ht="12.75" x14ac:dyDescent="0.2"/>
    <row r="9294" ht="12.75" x14ac:dyDescent="0.2"/>
    <row r="9295" ht="12.75" x14ac:dyDescent="0.2"/>
    <row r="9296" ht="12.75" x14ac:dyDescent="0.2"/>
    <row r="9297" ht="12.75" x14ac:dyDescent="0.2"/>
    <row r="9298" ht="12.75" x14ac:dyDescent="0.2"/>
    <row r="9299" ht="12.75" x14ac:dyDescent="0.2"/>
    <row r="9300" ht="12.75" x14ac:dyDescent="0.2"/>
    <row r="9301" ht="12.75" x14ac:dyDescent="0.2"/>
    <row r="9302" ht="12.75" x14ac:dyDescent="0.2"/>
    <row r="9303" ht="12.75" x14ac:dyDescent="0.2"/>
    <row r="9304" ht="12.75" x14ac:dyDescent="0.2"/>
    <row r="9305" ht="12.75" x14ac:dyDescent="0.2"/>
    <row r="9306" ht="12.75" x14ac:dyDescent="0.2"/>
    <row r="9307" ht="12.75" x14ac:dyDescent="0.2"/>
    <row r="9308" ht="12.75" x14ac:dyDescent="0.2"/>
    <row r="9309" ht="12.75" x14ac:dyDescent="0.2"/>
    <row r="9310" ht="12.75" x14ac:dyDescent="0.2"/>
    <row r="9311" ht="12.75" x14ac:dyDescent="0.2"/>
    <row r="9312" ht="12.75" x14ac:dyDescent="0.2"/>
    <row r="9313" ht="12.75" x14ac:dyDescent="0.2"/>
    <row r="9314" ht="12.75" x14ac:dyDescent="0.2"/>
    <row r="9315" ht="12.75" x14ac:dyDescent="0.2"/>
    <row r="9316" ht="12.75" x14ac:dyDescent="0.2"/>
    <row r="9317" ht="12.75" x14ac:dyDescent="0.2"/>
    <row r="9318" ht="12.75" x14ac:dyDescent="0.2"/>
    <row r="9319" ht="12.75" x14ac:dyDescent="0.2"/>
    <row r="9320" ht="12.75" x14ac:dyDescent="0.2"/>
    <row r="9321" ht="12.75" x14ac:dyDescent="0.2"/>
    <row r="9322" ht="12.75" x14ac:dyDescent="0.2"/>
    <row r="9323" ht="12.75" x14ac:dyDescent="0.2"/>
    <row r="9324" ht="12.75" x14ac:dyDescent="0.2"/>
    <row r="9325" ht="12.75" x14ac:dyDescent="0.2"/>
    <row r="9326" ht="12.75" x14ac:dyDescent="0.2"/>
    <row r="9327" ht="12.75" x14ac:dyDescent="0.2"/>
    <row r="9328" ht="12.75" x14ac:dyDescent="0.2"/>
    <row r="9329" ht="12.75" x14ac:dyDescent="0.2"/>
    <row r="9330" ht="12.75" x14ac:dyDescent="0.2"/>
    <row r="9331" ht="12.75" x14ac:dyDescent="0.2"/>
    <row r="9332" ht="12.75" x14ac:dyDescent="0.2"/>
    <row r="9333" ht="12.75" x14ac:dyDescent="0.2"/>
    <row r="9334" ht="12.75" x14ac:dyDescent="0.2"/>
    <row r="9335" ht="12.75" x14ac:dyDescent="0.2"/>
    <row r="9336" ht="12.75" x14ac:dyDescent="0.2"/>
    <row r="9337" ht="12.75" x14ac:dyDescent="0.2"/>
    <row r="9338" ht="12.75" x14ac:dyDescent="0.2"/>
    <row r="9339" ht="12.75" x14ac:dyDescent="0.2"/>
    <row r="9340" ht="12.75" x14ac:dyDescent="0.2"/>
    <row r="9341" ht="12.75" x14ac:dyDescent="0.2"/>
    <row r="9342" ht="12.75" x14ac:dyDescent="0.2"/>
    <row r="9343" ht="12.75" x14ac:dyDescent="0.2"/>
    <row r="9344" ht="12.75" x14ac:dyDescent="0.2"/>
    <row r="9345" ht="12.75" x14ac:dyDescent="0.2"/>
    <row r="9346" ht="12.75" x14ac:dyDescent="0.2"/>
    <row r="9347" ht="12.75" x14ac:dyDescent="0.2"/>
    <row r="9348" ht="12.75" x14ac:dyDescent="0.2"/>
    <row r="9349" ht="12.75" x14ac:dyDescent="0.2"/>
    <row r="9350" ht="12.75" x14ac:dyDescent="0.2"/>
    <row r="9351" ht="12.75" x14ac:dyDescent="0.2"/>
    <row r="9352" ht="12.75" x14ac:dyDescent="0.2"/>
    <row r="9353" ht="12.75" x14ac:dyDescent="0.2"/>
    <row r="9354" ht="12.75" x14ac:dyDescent="0.2"/>
    <row r="9355" ht="12.75" x14ac:dyDescent="0.2"/>
    <row r="9356" ht="12.75" x14ac:dyDescent="0.2"/>
    <row r="9357" ht="12.75" x14ac:dyDescent="0.2"/>
    <row r="9358" ht="12.75" x14ac:dyDescent="0.2"/>
    <row r="9359" ht="12.75" x14ac:dyDescent="0.2"/>
    <row r="9360" ht="12.75" x14ac:dyDescent="0.2"/>
    <row r="9361" ht="12.75" x14ac:dyDescent="0.2"/>
    <row r="9362" ht="12.75" x14ac:dyDescent="0.2"/>
    <row r="9363" ht="12.75" x14ac:dyDescent="0.2"/>
    <row r="9364" ht="12.75" x14ac:dyDescent="0.2"/>
    <row r="9365" ht="12.75" x14ac:dyDescent="0.2"/>
    <row r="9366" ht="12.75" x14ac:dyDescent="0.2"/>
    <row r="9367" ht="12.75" x14ac:dyDescent="0.2"/>
    <row r="9368" ht="12.75" x14ac:dyDescent="0.2"/>
    <row r="9369" ht="12.75" x14ac:dyDescent="0.2"/>
    <row r="9370" ht="12.75" x14ac:dyDescent="0.2"/>
    <row r="9371" ht="12.75" x14ac:dyDescent="0.2"/>
    <row r="9372" ht="12.75" x14ac:dyDescent="0.2"/>
    <row r="9373" ht="12.75" x14ac:dyDescent="0.2"/>
    <row r="9374" ht="12.75" x14ac:dyDescent="0.2"/>
    <row r="9375" ht="12.75" x14ac:dyDescent="0.2"/>
    <row r="9376" ht="12.75" x14ac:dyDescent="0.2"/>
    <row r="9377" ht="12.75" x14ac:dyDescent="0.2"/>
    <row r="9378" ht="12.75" x14ac:dyDescent="0.2"/>
    <row r="9379" ht="12.75" x14ac:dyDescent="0.2"/>
    <row r="9380" ht="12.75" x14ac:dyDescent="0.2"/>
    <row r="9381" ht="12.75" x14ac:dyDescent="0.2"/>
    <row r="9382" ht="12.75" x14ac:dyDescent="0.2"/>
    <row r="9383" ht="12.75" x14ac:dyDescent="0.2"/>
    <row r="9384" ht="12.75" x14ac:dyDescent="0.2"/>
    <row r="9385" ht="12.75" x14ac:dyDescent="0.2"/>
    <row r="9386" ht="12.75" x14ac:dyDescent="0.2"/>
    <row r="9387" ht="12.75" x14ac:dyDescent="0.2"/>
    <row r="9388" ht="12.75" x14ac:dyDescent="0.2"/>
    <row r="9389" ht="12.75" x14ac:dyDescent="0.2"/>
    <row r="9390" ht="12.75" x14ac:dyDescent="0.2"/>
    <row r="9391" ht="12.75" x14ac:dyDescent="0.2"/>
    <row r="9392" ht="12.75" x14ac:dyDescent="0.2"/>
    <row r="9393" ht="12.75" x14ac:dyDescent="0.2"/>
    <row r="9394" ht="12.75" x14ac:dyDescent="0.2"/>
    <row r="9395" ht="12.75" x14ac:dyDescent="0.2"/>
    <row r="9396" ht="12.75" x14ac:dyDescent="0.2"/>
    <row r="9397" ht="12.75" x14ac:dyDescent="0.2"/>
    <row r="9398" ht="12.75" x14ac:dyDescent="0.2"/>
    <row r="9399" ht="12.75" x14ac:dyDescent="0.2"/>
    <row r="9400" ht="12.75" x14ac:dyDescent="0.2"/>
    <row r="9401" ht="12.75" x14ac:dyDescent="0.2"/>
    <row r="9402" ht="12.75" x14ac:dyDescent="0.2"/>
    <row r="9403" ht="12.75" x14ac:dyDescent="0.2"/>
    <row r="9404" ht="12.75" x14ac:dyDescent="0.2"/>
    <row r="9405" ht="12.75" x14ac:dyDescent="0.2"/>
    <row r="9406" ht="12.75" x14ac:dyDescent="0.2"/>
    <row r="9407" ht="12.75" x14ac:dyDescent="0.2"/>
    <row r="9408" ht="12.75" x14ac:dyDescent="0.2"/>
    <row r="9409" ht="12.75" x14ac:dyDescent="0.2"/>
    <row r="9410" ht="12.75" x14ac:dyDescent="0.2"/>
    <row r="9411" ht="12.75" x14ac:dyDescent="0.2"/>
    <row r="9412" ht="12.75" x14ac:dyDescent="0.2"/>
    <row r="9413" ht="12.75" x14ac:dyDescent="0.2"/>
    <row r="9414" ht="12.75" x14ac:dyDescent="0.2"/>
    <row r="9415" ht="12.75" x14ac:dyDescent="0.2"/>
    <row r="9416" ht="12.75" x14ac:dyDescent="0.2"/>
    <row r="9417" ht="12.75" x14ac:dyDescent="0.2"/>
    <row r="9418" ht="12.75" x14ac:dyDescent="0.2"/>
    <row r="9419" ht="12.75" x14ac:dyDescent="0.2"/>
    <row r="9420" ht="12.75" x14ac:dyDescent="0.2"/>
    <row r="9421" ht="12.75" x14ac:dyDescent="0.2"/>
    <row r="9422" ht="12.75" x14ac:dyDescent="0.2"/>
    <row r="9423" ht="12.75" x14ac:dyDescent="0.2"/>
    <row r="9424" ht="12.75" x14ac:dyDescent="0.2"/>
    <row r="9425" ht="12.75" x14ac:dyDescent="0.2"/>
    <row r="9426" ht="12.75" x14ac:dyDescent="0.2"/>
    <row r="9427" ht="12.75" x14ac:dyDescent="0.2"/>
    <row r="9428" ht="12.75" x14ac:dyDescent="0.2"/>
    <row r="9429" ht="12.75" x14ac:dyDescent="0.2"/>
    <row r="9430" ht="12.75" x14ac:dyDescent="0.2"/>
    <row r="9431" ht="12.75" x14ac:dyDescent="0.2"/>
    <row r="9432" ht="12.75" x14ac:dyDescent="0.2"/>
    <row r="9433" ht="12.75" x14ac:dyDescent="0.2"/>
    <row r="9434" ht="12.75" x14ac:dyDescent="0.2"/>
    <row r="9435" ht="12.75" x14ac:dyDescent="0.2"/>
    <row r="9436" ht="12.75" x14ac:dyDescent="0.2"/>
    <row r="9437" ht="12.75" x14ac:dyDescent="0.2"/>
    <row r="9438" ht="12.75" x14ac:dyDescent="0.2"/>
    <row r="9439" ht="12.75" x14ac:dyDescent="0.2"/>
    <row r="9440" ht="12.75" x14ac:dyDescent="0.2"/>
    <row r="9441" ht="12.75" x14ac:dyDescent="0.2"/>
    <row r="9442" ht="12.75" x14ac:dyDescent="0.2"/>
    <row r="9443" ht="12.75" x14ac:dyDescent="0.2"/>
    <row r="9444" ht="12.75" x14ac:dyDescent="0.2"/>
    <row r="9445" ht="12.75" x14ac:dyDescent="0.2"/>
    <row r="9446" ht="12.75" x14ac:dyDescent="0.2"/>
    <row r="9447" ht="12.75" x14ac:dyDescent="0.2"/>
    <row r="9448" ht="12.75" x14ac:dyDescent="0.2"/>
    <row r="9449" ht="12.75" x14ac:dyDescent="0.2"/>
    <row r="9450" ht="12.75" x14ac:dyDescent="0.2"/>
    <row r="9451" ht="12.75" x14ac:dyDescent="0.2"/>
    <row r="9452" ht="12.75" x14ac:dyDescent="0.2"/>
    <row r="9453" ht="12.75" x14ac:dyDescent="0.2"/>
    <row r="9454" ht="12.75" x14ac:dyDescent="0.2"/>
    <row r="9455" ht="12.75" x14ac:dyDescent="0.2"/>
    <row r="9456" ht="12.75" x14ac:dyDescent="0.2"/>
    <row r="9457" ht="12.75" x14ac:dyDescent="0.2"/>
    <row r="9458" ht="12.75" x14ac:dyDescent="0.2"/>
    <row r="9459" ht="12.75" x14ac:dyDescent="0.2"/>
    <row r="9460" ht="12.75" x14ac:dyDescent="0.2"/>
    <row r="9461" ht="12.75" x14ac:dyDescent="0.2"/>
    <row r="9462" ht="12.75" x14ac:dyDescent="0.2"/>
    <row r="9463" ht="12.75" x14ac:dyDescent="0.2"/>
    <row r="9464" ht="12.75" x14ac:dyDescent="0.2"/>
    <row r="9465" ht="12.75" x14ac:dyDescent="0.2"/>
    <row r="9466" ht="12.75" x14ac:dyDescent="0.2"/>
    <row r="9467" ht="12.75" x14ac:dyDescent="0.2"/>
    <row r="9468" ht="12.75" x14ac:dyDescent="0.2"/>
    <row r="9469" ht="12.75" x14ac:dyDescent="0.2"/>
    <row r="9470" ht="12.75" x14ac:dyDescent="0.2"/>
    <row r="9471" ht="12.75" x14ac:dyDescent="0.2"/>
    <row r="9472" ht="12.75" x14ac:dyDescent="0.2"/>
    <row r="9473" ht="12.75" x14ac:dyDescent="0.2"/>
    <row r="9474" ht="12.75" x14ac:dyDescent="0.2"/>
    <row r="9475" ht="12.75" x14ac:dyDescent="0.2"/>
    <row r="9476" ht="12.75" x14ac:dyDescent="0.2"/>
    <row r="9477" ht="12.75" x14ac:dyDescent="0.2"/>
    <row r="9478" ht="12.75" x14ac:dyDescent="0.2"/>
    <row r="9479" ht="12.75" x14ac:dyDescent="0.2"/>
    <row r="9480" ht="12.75" x14ac:dyDescent="0.2"/>
    <row r="9481" ht="12.75" x14ac:dyDescent="0.2"/>
    <row r="9482" ht="12.75" x14ac:dyDescent="0.2"/>
    <row r="9483" ht="12.75" x14ac:dyDescent="0.2"/>
    <row r="9484" ht="12.75" x14ac:dyDescent="0.2"/>
    <row r="9485" ht="12.75" x14ac:dyDescent="0.2"/>
    <row r="9486" ht="12.75" x14ac:dyDescent="0.2"/>
    <row r="9487" ht="12.75" x14ac:dyDescent="0.2"/>
    <row r="9488" ht="12.75" x14ac:dyDescent="0.2"/>
    <row r="9489" ht="12.75" x14ac:dyDescent="0.2"/>
    <row r="9490" ht="12.75" x14ac:dyDescent="0.2"/>
    <row r="9491" ht="12.75" x14ac:dyDescent="0.2"/>
    <row r="9492" ht="12.75" x14ac:dyDescent="0.2"/>
    <row r="9493" ht="12.75" x14ac:dyDescent="0.2"/>
    <row r="9494" ht="12.75" x14ac:dyDescent="0.2"/>
    <row r="9495" ht="12.75" x14ac:dyDescent="0.2"/>
    <row r="9496" ht="12.75" x14ac:dyDescent="0.2"/>
    <row r="9497" ht="12.75" x14ac:dyDescent="0.2"/>
    <row r="9498" ht="12.75" x14ac:dyDescent="0.2"/>
    <row r="9499" ht="12.75" x14ac:dyDescent="0.2"/>
    <row r="9500" ht="12.75" x14ac:dyDescent="0.2"/>
    <row r="9501" ht="12.75" x14ac:dyDescent="0.2"/>
    <row r="9502" ht="12.75" x14ac:dyDescent="0.2"/>
    <row r="9503" ht="12.75" x14ac:dyDescent="0.2"/>
    <row r="9504" ht="12.75" x14ac:dyDescent="0.2"/>
    <row r="9505" ht="12.75" x14ac:dyDescent="0.2"/>
    <row r="9506" ht="12.75" x14ac:dyDescent="0.2"/>
    <row r="9507" ht="12.75" x14ac:dyDescent="0.2"/>
    <row r="9508" ht="12.75" x14ac:dyDescent="0.2"/>
    <row r="9509" ht="12.75" x14ac:dyDescent="0.2"/>
    <row r="9510" ht="12.75" x14ac:dyDescent="0.2"/>
    <row r="9511" ht="12.75" x14ac:dyDescent="0.2"/>
    <row r="9512" ht="12.75" x14ac:dyDescent="0.2"/>
    <row r="9513" ht="12.75" x14ac:dyDescent="0.2"/>
    <row r="9514" ht="12.75" x14ac:dyDescent="0.2"/>
    <row r="9515" ht="12.75" x14ac:dyDescent="0.2"/>
    <row r="9516" ht="12.75" x14ac:dyDescent="0.2"/>
    <row r="9517" ht="12.75" x14ac:dyDescent="0.2"/>
    <row r="9518" ht="12.75" x14ac:dyDescent="0.2"/>
    <row r="9519" ht="12.75" x14ac:dyDescent="0.2"/>
    <row r="9520" ht="12.75" x14ac:dyDescent="0.2"/>
    <row r="9521" ht="12.75" x14ac:dyDescent="0.2"/>
    <row r="9522" ht="12.75" x14ac:dyDescent="0.2"/>
    <row r="9523" ht="12.75" x14ac:dyDescent="0.2"/>
    <row r="9524" ht="12.75" x14ac:dyDescent="0.2"/>
    <row r="9525" ht="12.75" x14ac:dyDescent="0.2"/>
    <row r="9526" ht="12.75" x14ac:dyDescent="0.2"/>
    <row r="9527" ht="12.75" x14ac:dyDescent="0.2"/>
    <row r="9528" ht="12.75" x14ac:dyDescent="0.2"/>
    <row r="9529" ht="12.75" x14ac:dyDescent="0.2"/>
    <row r="9530" ht="12.75" x14ac:dyDescent="0.2"/>
    <row r="9531" ht="12.75" x14ac:dyDescent="0.2"/>
    <row r="9532" ht="12.75" x14ac:dyDescent="0.2"/>
    <row r="9533" ht="12.75" x14ac:dyDescent="0.2"/>
    <row r="9534" ht="12.75" x14ac:dyDescent="0.2"/>
    <row r="9535" ht="12.75" x14ac:dyDescent="0.2"/>
    <row r="9536" ht="12.75" x14ac:dyDescent="0.2"/>
    <row r="9537" ht="12.75" x14ac:dyDescent="0.2"/>
    <row r="9538" ht="12.75" x14ac:dyDescent="0.2"/>
    <row r="9539" ht="12.75" x14ac:dyDescent="0.2"/>
    <row r="9540" ht="12.75" x14ac:dyDescent="0.2"/>
    <row r="9541" ht="12.75" x14ac:dyDescent="0.2"/>
    <row r="9542" ht="12.75" x14ac:dyDescent="0.2"/>
    <row r="9543" ht="12.75" x14ac:dyDescent="0.2"/>
    <row r="9544" ht="12.75" x14ac:dyDescent="0.2"/>
    <row r="9545" ht="12.75" x14ac:dyDescent="0.2"/>
    <row r="9546" ht="12.75" x14ac:dyDescent="0.2"/>
    <row r="9547" ht="12.75" x14ac:dyDescent="0.2"/>
    <row r="9548" ht="12.75" x14ac:dyDescent="0.2"/>
    <row r="9549" ht="12.75" x14ac:dyDescent="0.2"/>
    <row r="9550" ht="12.75" x14ac:dyDescent="0.2"/>
    <row r="9551" ht="12.75" x14ac:dyDescent="0.2"/>
    <row r="9552" ht="12.75" x14ac:dyDescent="0.2"/>
    <row r="9553" ht="12.75" x14ac:dyDescent="0.2"/>
    <row r="9554" ht="12.75" x14ac:dyDescent="0.2"/>
    <row r="9555" ht="12.75" x14ac:dyDescent="0.2"/>
    <row r="9556" ht="12.75" x14ac:dyDescent="0.2"/>
    <row r="9557" ht="12.75" x14ac:dyDescent="0.2"/>
    <row r="9558" ht="12.75" x14ac:dyDescent="0.2"/>
    <row r="9559" ht="12.75" x14ac:dyDescent="0.2"/>
    <row r="9560" ht="12.75" x14ac:dyDescent="0.2"/>
    <row r="9561" ht="12.75" x14ac:dyDescent="0.2"/>
    <row r="9562" ht="12.75" x14ac:dyDescent="0.2"/>
    <row r="9563" ht="12.75" x14ac:dyDescent="0.2"/>
    <row r="9564" ht="12.75" x14ac:dyDescent="0.2"/>
    <row r="9565" ht="12.75" x14ac:dyDescent="0.2"/>
    <row r="9566" ht="12.75" x14ac:dyDescent="0.2"/>
    <row r="9567" ht="12.75" x14ac:dyDescent="0.2"/>
    <row r="9568" ht="12.75" x14ac:dyDescent="0.2"/>
    <row r="9569" ht="12.75" x14ac:dyDescent="0.2"/>
    <row r="9570" ht="12.75" x14ac:dyDescent="0.2"/>
    <row r="9571" ht="12.75" x14ac:dyDescent="0.2"/>
    <row r="9572" ht="12.75" x14ac:dyDescent="0.2"/>
    <row r="9573" ht="12.75" x14ac:dyDescent="0.2"/>
    <row r="9574" ht="12.75" x14ac:dyDescent="0.2"/>
    <row r="9575" ht="12.75" x14ac:dyDescent="0.2"/>
    <row r="9576" ht="12.75" x14ac:dyDescent="0.2"/>
    <row r="9577" ht="12.75" x14ac:dyDescent="0.2"/>
    <row r="9578" ht="12.75" x14ac:dyDescent="0.2"/>
    <row r="9579" ht="12.75" x14ac:dyDescent="0.2"/>
    <row r="9580" ht="12.75" x14ac:dyDescent="0.2"/>
    <row r="9581" ht="12.75" x14ac:dyDescent="0.2"/>
    <row r="9582" ht="12.75" x14ac:dyDescent="0.2"/>
    <row r="9583" ht="12.75" x14ac:dyDescent="0.2"/>
    <row r="9584" ht="12.75" x14ac:dyDescent="0.2"/>
    <row r="9585" ht="12.75" x14ac:dyDescent="0.2"/>
    <row r="9586" ht="12.75" x14ac:dyDescent="0.2"/>
    <row r="9587" ht="12.75" x14ac:dyDescent="0.2"/>
    <row r="9588" ht="12.75" x14ac:dyDescent="0.2"/>
    <row r="9589" ht="12.75" x14ac:dyDescent="0.2"/>
    <row r="9590" ht="12.75" x14ac:dyDescent="0.2"/>
    <row r="9591" ht="12.75" x14ac:dyDescent="0.2"/>
    <row r="9592" ht="12.75" x14ac:dyDescent="0.2"/>
    <row r="9593" ht="12.75" x14ac:dyDescent="0.2"/>
    <row r="9594" ht="12.75" x14ac:dyDescent="0.2"/>
    <row r="9595" ht="12.75" x14ac:dyDescent="0.2"/>
    <row r="9596" ht="12.75" x14ac:dyDescent="0.2"/>
    <row r="9597" ht="12.75" x14ac:dyDescent="0.2"/>
    <row r="9598" ht="12.75" x14ac:dyDescent="0.2"/>
    <row r="9599" ht="12.75" x14ac:dyDescent="0.2"/>
    <row r="9600" ht="12.75" x14ac:dyDescent="0.2"/>
    <row r="9601" ht="12.75" x14ac:dyDescent="0.2"/>
    <row r="9602" ht="12.75" x14ac:dyDescent="0.2"/>
    <row r="9603" ht="12.75" x14ac:dyDescent="0.2"/>
    <row r="9604" ht="12.75" x14ac:dyDescent="0.2"/>
    <row r="9605" ht="12.75" x14ac:dyDescent="0.2"/>
    <row r="9606" ht="12.75" x14ac:dyDescent="0.2"/>
    <row r="9607" ht="12.75" x14ac:dyDescent="0.2"/>
    <row r="9608" ht="12.75" x14ac:dyDescent="0.2"/>
    <row r="9609" ht="12.75" x14ac:dyDescent="0.2"/>
    <row r="9610" ht="12.75" x14ac:dyDescent="0.2"/>
    <row r="9611" ht="12.75" x14ac:dyDescent="0.2"/>
    <row r="9612" ht="12.75" x14ac:dyDescent="0.2"/>
    <row r="9613" ht="12.75" x14ac:dyDescent="0.2"/>
    <row r="9614" ht="12.75" x14ac:dyDescent="0.2"/>
    <row r="9615" ht="12.75" x14ac:dyDescent="0.2"/>
    <row r="9616" ht="12.75" x14ac:dyDescent="0.2"/>
    <row r="9617" ht="12.75" x14ac:dyDescent="0.2"/>
    <row r="9618" ht="12.75" x14ac:dyDescent="0.2"/>
    <row r="9619" ht="12.75" x14ac:dyDescent="0.2"/>
    <row r="9620" ht="12.75" x14ac:dyDescent="0.2"/>
    <row r="9621" ht="12.75" x14ac:dyDescent="0.2"/>
    <row r="9622" ht="12.75" x14ac:dyDescent="0.2"/>
    <row r="9623" ht="12.75" x14ac:dyDescent="0.2"/>
    <row r="9624" ht="12.75" x14ac:dyDescent="0.2"/>
    <row r="9625" ht="12.75" x14ac:dyDescent="0.2"/>
    <row r="9626" ht="12.75" x14ac:dyDescent="0.2"/>
    <row r="9627" ht="12.75" x14ac:dyDescent="0.2"/>
    <row r="9628" ht="12.75" x14ac:dyDescent="0.2"/>
    <row r="9629" ht="12.75" x14ac:dyDescent="0.2"/>
    <row r="9630" ht="12.75" x14ac:dyDescent="0.2"/>
    <row r="9631" ht="12.75" x14ac:dyDescent="0.2"/>
    <row r="9632" ht="12.75" x14ac:dyDescent="0.2"/>
    <row r="9633" ht="12.75" x14ac:dyDescent="0.2"/>
    <row r="9634" ht="12.75" x14ac:dyDescent="0.2"/>
    <row r="9635" ht="12.75" x14ac:dyDescent="0.2"/>
    <row r="9636" ht="12.75" x14ac:dyDescent="0.2"/>
    <row r="9637" ht="12.75" x14ac:dyDescent="0.2"/>
    <row r="9638" ht="12.75" x14ac:dyDescent="0.2"/>
    <row r="9639" ht="12.75" x14ac:dyDescent="0.2"/>
    <row r="9640" ht="12.75" x14ac:dyDescent="0.2"/>
    <row r="9641" ht="12.75" x14ac:dyDescent="0.2"/>
    <row r="9642" ht="12.75" x14ac:dyDescent="0.2"/>
    <row r="9643" ht="12.75" x14ac:dyDescent="0.2"/>
    <row r="9644" ht="12.75" x14ac:dyDescent="0.2"/>
    <row r="9645" ht="12.75" x14ac:dyDescent="0.2"/>
    <row r="9646" ht="12.75" x14ac:dyDescent="0.2"/>
    <row r="9647" ht="12.75" x14ac:dyDescent="0.2"/>
    <row r="9648" ht="12.75" x14ac:dyDescent="0.2"/>
    <row r="9649" ht="12.75" x14ac:dyDescent="0.2"/>
    <row r="9650" ht="12.75" x14ac:dyDescent="0.2"/>
    <row r="9651" ht="12.75" x14ac:dyDescent="0.2"/>
    <row r="9652" ht="12.75" x14ac:dyDescent="0.2"/>
    <row r="9653" ht="12.75" x14ac:dyDescent="0.2"/>
    <row r="9654" ht="12.75" x14ac:dyDescent="0.2"/>
    <row r="9655" ht="12.75" x14ac:dyDescent="0.2"/>
    <row r="9656" ht="12.75" x14ac:dyDescent="0.2"/>
    <row r="9657" ht="12.75" x14ac:dyDescent="0.2"/>
    <row r="9658" ht="12.75" x14ac:dyDescent="0.2"/>
    <row r="9659" ht="12.75" x14ac:dyDescent="0.2"/>
    <row r="9660" ht="12.75" x14ac:dyDescent="0.2"/>
    <row r="9661" ht="12.75" x14ac:dyDescent="0.2"/>
    <row r="9662" ht="12.75" x14ac:dyDescent="0.2"/>
    <row r="9663" ht="12.75" x14ac:dyDescent="0.2"/>
    <row r="9664" ht="12.75" x14ac:dyDescent="0.2"/>
    <row r="9665" ht="12.75" x14ac:dyDescent="0.2"/>
    <row r="9666" ht="12.75" x14ac:dyDescent="0.2"/>
    <row r="9667" ht="12.75" x14ac:dyDescent="0.2"/>
    <row r="9668" ht="12.75" x14ac:dyDescent="0.2"/>
    <row r="9669" ht="12.75" x14ac:dyDescent="0.2"/>
    <row r="9670" ht="12.75" x14ac:dyDescent="0.2"/>
    <row r="9671" ht="12.75" x14ac:dyDescent="0.2"/>
    <row r="9672" ht="12.75" x14ac:dyDescent="0.2"/>
    <row r="9673" ht="12.75" x14ac:dyDescent="0.2"/>
    <row r="9674" ht="12.75" x14ac:dyDescent="0.2"/>
    <row r="9675" ht="12.75" x14ac:dyDescent="0.2"/>
    <row r="9676" ht="12.75" x14ac:dyDescent="0.2"/>
    <row r="9677" ht="12.75" x14ac:dyDescent="0.2"/>
    <row r="9678" ht="12.75" x14ac:dyDescent="0.2"/>
    <row r="9679" ht="12.75" x14ac:dyDescent="0.2"/>
    <row r="9680" ht="12.75" x14ac:dyDescent="0.2"/>
    <row r="9681" ht="12.75" x14ac:dyDescent="0.2"/>
    <row r="9682" ht="12.75" x14ac:dyDescent="0.2"/>
    <row r="9683" ht="12.75" x14ac:dyDescent="0.2"/>
    <row r="9684" ht="12.75" x14ac:dyDescent="0.2"/>
    <row r="9685" ht="12.75" x14ac:dyDescent="0.2"/>
    <row r="9686" ht="12.75" x14ac:dyDescent="0.2"/>
    <row r="9687" ht="12.75" x14ac:dyDescent="0.2"/>
    <row r="9688" ht="12.75" x14ac:dyDescent="0.2"/>
    <row r="9689" ht="12.75" x14ac:dyDescent="0.2"/>
    <row r="9690" ht="12.75" x14ac:dyDescent="0.2"/>
    <row r="9691" ht="12.75" x14ac:dyDescent="0.2"/>
    <row r="9692" ht="12.75" x14ac:dyDescent="0.2"/>
    <row r="9693" ht="12.75" x14ac:dyDescent="0.2"/>
    <row r="9694" ht="12.75" x14ac:dyDescent="0.2"/>
    <row r="9695" ht="12.75" x14ac:dyDescent="0.2"/>
    <row r="9696" ht="12.75" x14ac:dyDescent="0.2"/>
    <row r="9697" ht="12.75" x14ac:dyDescent="0.2"/>
    <row r="9698" ht="12.75" x14ac:dyDescent="0.2"/>
    <row r="9699" ht="12.75" x14ac:dyDescent="0.2"/>
    <row r="9700" ht="12.75" x14ac:dyDescent="0.2"/>
    <row r="9701" ht="12.75" x14ac:dyDescent="0.2"/>
    <row r="9702" ht="12.75" x14ac:dyDescent="0.2"/>
    <row r="9703" ht="12.75" x14ac:dyDescent="0.2"/>
    <row r="9704" ht="12.75" x14ac:dyDescent="0.2"/>
    <row r="9705" ht="12.75" x14ac:dyDescent="0.2"/>
    <row r="9706" ht="12.75" x14ac:dyDescent="0.2"/>
    <row r="9707" ht="12.75" x14ac:dyDescent="0.2"/>
    <row r="9708" ht="12.75" x14ac:dyDescent="0.2"/>
    <row r="9709" ht="12.75" x14ac:dyDescent="0.2"/>
    <row r="9710" ht="12.75" x14ac:dyDescent="0.2"/>
    <row r="9711" ht="12.75" x14ac:dyDescent="0.2"/>
    <row r="9712" ht="12.75" x14ac:dyDescent="0.2"/>
    <row r="9713" ht="12.75" x14ac:dyDescent="0.2"/>
    <row r="9714" ht="12.75" x14ac:dyDescent="0.2"/>
    <row r="9715" ht="12.75" x14ac:dyDescent="0.2"/>
    <row r="9716" ht="12.75" x14ac:dyDescent="0.2"/>
    <row r="9717" ht="12.75" x14ac:dyDescent="0.2"/>
    <row r="9718" ht="12.75" x14ac:dyDescent="0.2"/>
    <row r="9719" ht="12.75" x14ac:dyDescent="0.2"/>
    <row r="9720" ht="12.75" x14ac:dyDescent="0.2"/>
    <row r="9721" ht="12.75" x14ac:dyDescent="0.2"/>
    <row r="9722" ht="12.75" x14ac:dyDescent="0.2"/>
    <row r="9723" ht="12.75" x14ac:dyDescent="0.2"/>
    <row r="9724" ht="12.75" x14ac:dyDescent="0.2"/>
    <row r="9725" ht="12.75" x14ac:dyDescent="0.2"/>
    <row r="9726" ht="12.75" x14ac:dyDescent="0.2"/>
    <row r="9727" ht="12.75" x14ac:dyDescent="0.2"/>
    <row r="9728" ht="12.75" x14ac:dyDescent="0.2"/>
    <row r="9729" ht="12.75" x14ac:dyDescent="0.2"/>
    <row r="9730" ht="12.75" x14ac:dyDescent="0.2"/>
    <row r="9731" ht="12.75" x14ac:dyDescent="0.2"/>
    <row r="9732" ht="12.75" x14ac:dyDescent="0.2"/>
    <row r="9733" ht="12.75" x14ac:dyDescent="0.2"/>
    <row r="9734" ht="12.75" x14ac:dyDescent="0.2"/>
    <row r="9735" ht="12.75" x14ac:dyDescent="0.2"/>
    <row r="9736" ht="12.75" x14ac:dyDescent="0.2"/>
    <row r="9737" ht="12.75" x14ac:dyDescent="0.2"/>
    <row r="9738" ht="12.75" x14ac:dyDescent="0.2"/>
    <row r="9739" ht="12.75" x14ac:dyDescent="0.2"/>
    <row r="9740" ht="12.75" x14ac:dyDescent="0.2"/>
    <row r="9741" ht="12.75" x14ac:dyDescent="0.2"/>
    <row r="9742" ht="12.75" x14ac:dyDescent="0.2"/>
    <row r="9743" ht="12.75" x14ac:dyDescent="0.2"/>
    <row r="9744" ht="12.75" x14ac:dyDescent="0.2"/>
    <row r="9745" ht="12.75" x14ac:dyDescent="0.2"/>
    <row r="9746" ht="12.75" x14ac:dyDescent="0.2"/>
    <row r="9747" ht="12.75" x14ac:dyDescent="0.2"/>
    <row r="9748" ht="12.75" x14ac:dyDescent="0.2"/>
    <row r="9749" ht="12.75" x14ac:dyDescent="0.2"/>
    <row r="9750" ht="12.75" x14ac:dyDescent="0.2"/>
    <row r="9751" ht="12.75" x14ac:dyDescent="0.2"/>
    <row r="9752" ht="12.75" x14ac:dyDescent="0.2"/>
    <row r="9753" ht="12.75" x14ac:dyDescent="0.2"/>
    <row r="9754" ht="12.75" x14ac:dyDescent="0.2"/>
    <row r="9755" ht="12.75" x14ac:dyDescent="0.2"/>
    <row r="9756" ht="12.75" x14ac:dyDescent="0.2"/>
    <row r="9757" ht="12.75" x14ac:dyDescent="0.2"/>
    <row r="9758" ht="12.75" x14ac:dyDescent="0.2"/>
    <row r="9759" ht="12.75" x14ac:dyDescent="0.2"/>
    <row r="9760" ht="12.75" x14ac:dyDescent="0.2"/>
    <row r="9761" ht="12.75" x14ac:dyDescent="0.2"/>
    <row r="9762" ht="12.75" x14ac:dyDescent="0.2"/>
    <row r="9763" ht="12.75" x14ac:dyDescent="0.2"/>
    <row r="9764" ht="12.75" x14ac:dyDescent="0.2"/>
    <row r="9765" ht="12.75" x14ac:dyDescent="0.2"/>
    <row r="9766" ht="12.75" x14ac:dyDescent="0.2"/>
    <row r="9767" ht="12.75" x14ac:dyDescent="0.2"/>
    <row r="9768" ht="12.75" x14ac:dyDescent="0.2"/>
    <row r="9769" ht="12.75" x14ac:dyDescent="0.2"/>
    <row r="9770" ht="12.75" x14ac:dyDescent="0.2"/>
    <row r="9771" ht="12.75" x14ac:dyDescent="0.2"/>
    <row r="9772" ht="12.75" x14ac:dyDescent="0.2"/>
    <row r="9773" ht="12.75" x14ac:dyDescent="0.2"/>
    <row r="9774" ht="12.75" x14ac:dyDescent="0.2"/>
    <row r="9775" ht="12.75" x14ac:dyDescent="0.2"/>
    <row r="9776" ht="12.75" x14ac:dyDescent="0.2"/>
    <row r="9777" ht="12.75" x14ac:dyDescent="0.2"/>
    <row r="9778" ht="12.75" x14ac:dyDescent="0.2"/>
    <row r="9779" ht="12.75" x14ac:dyDescent="0.2"/>
    <row r="9780" ht="12.75" x14ac:dyDescent="0.2"/>
    <row r="9781" ht="12.75" x14ac:dyDescent="0.2"/>
    <row r="9782" ht="12.75" x14ac:dyDescent="0.2"/>
    <row r="9783" ht="12.75" x14ac:dyDescent="0.2"/>
    <row r="9784" ht="12.75" x14ac:dyDescent="0.2"/>
    <row r="9785" ht="12.75" x14ac:dyDescent="0.2"/>
    <row r="9786" ht="12.75" x14ac:dyDescent="0.2"/>
    <row r="9787" ht="12.75" x14ac:dyDescent="0.2"/>
    <row r="9788" ht="12.75" x14ac:dyDescent="0.2"/>
    <row r="9789" ht="12.75" x14ac:dyDescent="0.2"/>
    <row r="9790" ht="12.75" x14ac:dyDescent="0.2"/>
    <row r="9791" ht="12.75" x14ac:dyDescent="0.2"/>
    <row r="9792" ht="12.75" x14ac:dyDescent="0.2"/>
    <row r="9793" ht="12.75" x14ac:dyDescent="0.2"/>
    <row r="9794" ht="12.75" x14ac:dyDescent="0.2"/>
    <row r="9795" ht="12.75" x14ac:dyDescent="0.2"/>
    <row r="9796" ht="12.75" x14ac:dyDescent="0.2"/>
    <row r="9797" ht="12.75" x14ac:dyDescent="0.2"/>
    <row r="9798" ht="12.75" x14ac:dyDescent="0.2"/>
    <row r="9799" ht="12.75" x14ac:dyDescent="0.2"/>
    <row r="9800" ht="12.75" x14ac:dyDescent="0.2"/>
    <row r="9801" ht="12.75" x14ac:dyDescent="0.2"/>
    <row r="9802" ht="12.75" x14ac:dyDescent="0.2"/>
    <row r="9803" ht="12.75" x14ac:dyDescent="0.2"/>
    <row r="9804" ht="12.75" x14ac:dyDescent="0.2"/>
    <row r="9805" ht="12.75" x14ac:dyDescent="0.2"/>
    <row r="9806" ht="12.75" x14ac:dyDescent="0.2"/>
    <row r="9807" ht="12.75" x14ac:dyDescent="0.2"/>
    <row r="9808" ht="12.75" x14ac:dyDescent="0.2"/>
    <row r="9809" ht="12.75" x14ac:dyDescent="0.2"/>
    <row r="9810" ht="12.75" x14ac:dyDescent="0.2"/>
    <row r="9811" ht="12.75" x14ac:dyDescent="0.2"/>
    <row r="9812" ht="12.75" x14ac:dyDescent="0.2"/>
    <row r="9813" ht="12.75" x14ac:dyDescent="0.2"/>
    <row r="9814" ht="12.75" x14ac:dyDescent="0.2"/>
    <row r="9815" ht="12.75" x14ac:dyDescent="0.2"/>
    <row r="9816" ht="12.75" x14ac:dyDescent="0.2"/>
    <row r="9817" ht="12.75" x14ac:dyDescent="0.2"/>
    <row r="9818" ht="12.75" x14ac:dyDescent="0.2"/>
    <row r="9819" ht="12.75" x14ac:dyDescent="0.2"/>
    <row r="9820" ht="12.75" x14ac:dyDescent="0.2"/>
    <row r="9821" ht="12.75" x14ac:dyDescent="0.2"/>
    <row r="9822" ht="12.75" x14ac:dyDescent="0.2"/>
    <row r="9823" ht="12.75" x14ac:dyDescent="0.2"/>
    <row r="9824" ht="12.75" x14ac:dyDescent="0.2"/>
    <row r="9825" ht="12.75" x14ac:dyDescent="0.2"/>
    <row r="9826" ht="12.75" x14ac:dyDescent="0.2"/>
    <row r="9827" ht="12.75" x14ac:dyDescent="0.2"/>
    <row r="9828" ht="12.75" x14ac:dyDescent="0.2"/>
    <row r="9829" ht="12.75" x14ac:dyDescent="0.2"/>
    <row r="9830" ht="12.75" x14ac:dyDescent="0.2"/>
    <row r="9831" ht="12.75" x14ac:dyDescent="0.2"/>
    <row r="9832" ht="12.75" x14ac:dyDescent="0.2"/>
    <row r="9833" ht="12.75" x14ac:dyDescent="0.2"/>
    <row r="9834" ht="12.75" x14ac:dyDescent="0.2"/>
    <row r="9835" ht="12.75" x14ac:dyDescent="0.2"/>
    <row r="9836" ht="12.75" x14ac:dyDescent="0.2"/>
    <row r="9837" ht="12.75" x14ac:dyDescent="0.2"/>
    <row r="9838" ht="12.75" x14ac:dyDescent="0.2"/>
    <row r="9839" ht="12.75" x14ac:dyDescent="0.2"/>
    <row r="9840" ht="12.75" x14ac:dyDescent="0.2"/>
    <row r="9841" ht="12.75" x14ac:dyDescent="0.2"/>
    <row r="9842" ht="12.75" x14ac:dyDescent="0.2"/>
    <row r="9843" ht="12.75" x14ac:dyDescent="0.2"/>
    <row r="9844" ht="12.75" x14ac:dyDescent="0.2"/>
    <row r="9845" ht="12.75" x14ac:dyDescent="0.2"/>
    <row r="9846" ht="12.75" x14ac:dyDescent="0.2"/>
    <row r="9847" ht="12.75" x14ac:dyDescent="0.2"/>
    <row r="9848" ht="12.75" x14ac:dyDescent="0.2"/>
    <row r="9849" ht="12.75" x14ac:dyDescent="0.2"/>
    <row r="9850" ht="12.75" x14ac:dyDescent="0.2"/>
    <row r="9851" ht="12.75" x14ac:dyDescent="0.2"/>
    <row r="9852" ht="12.75" x14ac:dyDescent="0.2"/>
    <row r="9853" ht="12.75" x14ac:dyDescent="0.2"/>
    <row r="9854" ht="12.75" x14ac:dyDescent="0.2"/>
    <row r="9855" ht="12.75" x14ac:dyDescent="0.2"/>
    <row r="9856" ht="12.75" x14ac:dyDescent="0.2"/>
    <row r="9857" ht="12.75" x14ac:dyDescent="0.2"/>
    <row r="9858" ht="12.75" x14ac:dyDescent="0.2"/>
    <row r="9859" ht="12.75" x14ac:dyDescent="0.2"/>
    <row r="9860" ht="12.75" x14ac:dyDescent="0.2"/>
    <row r="9861" ht="12.75" x14ac:dyDescent="0.2"/>
    <row r="9862" ht="12.75" x14ac:dyDescent="0.2"/>
    <row r="9863" ht="12.75" x14ac:dyDescent="0.2"/>
    <row r="9864" ht="12.75" x14ac:dyDescent="0.2"/>
    <row r="9865" ht="12.75" x14ac:dyDescent="0.2"/>
    <row r="9866" ht="12.75" x14ac:dyDescent="0.2"/>
    <row r="9867" ht="12.75" x14ac:dyDescent="0.2"/>
    <row r="9868" ht="12.75" x14ac:dyDescent="0.2"/>
    <row r="9869" ht="12.75" x14ac:dyDescent="0.2"/>
    <row r="9870" ht="12.75" x14ac:dyDescent="0.2"/>
    <row r="9871" ht="12.75" x14ac:dyDescent="0.2"/>
    <row r="9872" ht="12.75" x14ac:dyDescent="0.2"/>
    <row r="9873" ht="12.75" x14ac:dyDescent="0.2"/>
    <row r="9874" ht="12.75" x14ac:dyDescent="0.2"/>
    <row r="9875" ht="12.75" x14ac:dyDescent="0.2"/>
    <row r="9876" ht="12.75" x14ac:dyDescent="0.2"/>
    <row r="9877" ht="12.75" x14ac:dyDescent="0.2"/>
    <row r="9878" ht="12.75" x14ac:dyDescent="0.2"/>
    <row r="9879" ht="12.75" x14ac:dyDescent="0.2"/>
    <row r="9880" ht="12.75" x14ac:dyDescent="0.2"/>
    <row r="9881" ht="12.75" x14ac:dyDescent="0.2"/>
    <row r="9882" ht="12.75" x14ac:dyDescent="0.2"/>
    <row r="9883" ht="12.75" x14ac:dyDescent="0.2"/>
    <row r="9884" ht="12.75" x14ac:dyDescent="0.2"/>
    <row r="9885" ht="12.75" x14ac:dyDescent="0.2"/>
    <row r="9886" ht="12.75" x14ac:dyDescent="0.2"/>
    <row r="9887" ht="12.75" x14ac:dyDescent="0.2"/>
    <row r="9888" ht="12.75" x14ac:dyDescent="0.2"/>
    <row r="9889" ht="12.75" x14ac:dyDescent="0.2"/>
    <row r="9890" ht="12.75" x14ac:dyDescent="0.2"/>
    <row r="9891" ht="12.75" x14ac:dyDescent="0.2"/>
    <row r="9892" ht="12.75" x14ac:dyDescent="0.2"/>
    <row r="9893" ht="12.75" x14ac:dyDescent="0.2"/>
    <row r="9894" ht="12.75" x14ac:dyDescent="0.2"/>
    <row r="9895" ht="12.75" x14ac:dyDescent="0.2"/>
    <row r="9896" ht="12.75" x14ac:dyDescent="0.2"/>
    <row r="9897" ht="12.75" x14ac:dyDescent="0.2"/>
    <row r="9898" ht="12.75" x14ac:dyDescent="0.2"/>
    <row r="9899" ht="12.75" x14ac:dyDescent="0.2"/>
    <row r="9900" ht="12.75" x14ac:dyDescent="0.2"/>
    <row r="9901" ht="12.75" x14ac:dyDescent="0.2"/>
    <row r="9902" ht="12.75" x14ac:dyDescent="0.2"/>
    <row r="9903" ht="12.75" x14ac:dyDescent="0.2"/>
    <row r="9904" ht="12.75" x14ac:dyDescent="0.2"/>
    <row r="9905" ht="12.75" x14ac:dyDescent="0.2"/>
    <row r="9906" ht="12.75" x14ac:dyDescent="0.2"/>
    <row r="9907" ht="12.75" x14ac:dyDescent="0.2"/>
    <row r="9908" ht="12.75" x14ac:dyDescent="0.2"/>
    <row r="9909" ht="12.75" x14ac:dyDescent="0.2"/>
    <row r="9910" ht="12.75" x14ac:dyDescent="0.2"/>
    <row r="9911" ht="12.75" x14ac:dyDescent="0.2"/>
    <row r="9912" ht="12.75" x14ac:dyDescent="0.2"/>
    <row r="9913" ht="12.75" x14ac:dyDescent="0.2"/>
    <row r="9914" ht="12.75" x14ac:dyDescent="0.2"/>
    <row r="9915" ht="12.75" x14ac:dyDescent="0.2"/>
    <row r="9916" ht="12.75" x14ac:dyDescent="0.2"/>
    <row r="9917" ht="12.75" x14ac:dyDescent="0.2"/>
    <row r="9918" ht="12.75" x14ac:dyDescent="0.2"/>
    <row r="9919" ht="12.75" x14ac:dyDescent="0.2"/>
    <row r="9920" ht="12.75" x14ac:dyDescent="0.2"/>
    <row r="9921" ht="12.75" x14ac:dyDescent="0.2"/>
    <row r="9922" ht="12.75" x14ac:dyDescent="0.2"/>
    <row r="9923" ht="12.75" x14ac:dyDescent="0.2"/>
    <row r="9924" ht="12.75" x14ac:dyDescent="0.2"/>
    <row r="9925" ht="12.75" x14ac:dyDescent="0.2"/>
    <row r="9926" ht="12.75" x14ac:dyDescent="0.2"/>
    <row r="9927" ht="12.75" x14ac:dyDescent="0.2"/>
    <row r="9928" ht="12.75" x14ac:dyDescent="0.2"/>
    <row r="9929" ht="12.75" x14ac:dyDescent="0.2"/>
    <row r="9930" ht="12.75" x14ac:dyDescent="0.2"/>
    <row r="9931" ht="12.75" x14ac:dyDescent="0.2"/>
    <row r="9932" ht="12.75" x14ac:dyDescent="0.2"/>
    <row r="9933" ht="12.75" x14ac:dyDescent="0.2"/>
    <row r="9934" ht="12.75" x14ac:dyDescent="0.2"/>
    <row r="9935" ht="12.75" x14ac:dyDescent="0.2"/>
    <row r="9936" ht="12.75" x14ac:dyDescent="0.2"/>
    <row r="9937" ht="12.75" x14ac:dyDescent="0.2"/>
    <row r="9938" ht="12.75" x14ac:dyDescent="0.2"/>
    <row r="9939" ht="12.75" x14ac:dyDescent="0.2"/>
    <row r="9940" ht="12.75" x14ac:dyDescent="0.2"/>
    <row r="9941" ht="12.75" x14ac:dyDescent="0.2"/>
    <row r="9942" ht="12.75" x14ac:dyDescent="0.2"/>
    <row r="9943" ht="12.75" x14ac:dyDescent="0.2"/>
    <row r="9944" ht="12.75" x14ac:dyDescent="0.2"/>
    <row r="9945" ht="12.75" x14ac:dyDescent="0.2"/>
    <row r="9946" ht="12.75" x14ac:dyDescent="0.2"/>
    <row r="9947" ht="12.75" x14ac:dyDescent="0.2"/>
    <row r="9948" ht="12.75" x14ac:dyDescent="0.2"/>
    <row r="9949" ht="12.75" x14ac:dyDescent="0.2"/>
    <row r="9950" ht="12.75" x14ac:dyDescent="0.2"/>
    <row r="9951" ht="12.75" x14ac:dyDescent="0.2"/>
    <row r="9952" ht="12.75" x14ac:dyDescent="0.2"/>
    <row r="9953" ht="12.75" x14ac:dyDescent="0.2"/>
    <row r="9954" ht="12.75" x14ac:dyDescent="0.2"/>
    <row r="9955" ht="12.75" x14ac:dyDescent="0.2"/>
    <row r="9956" ht="12.75" x14ac:dyDescent="0.2"/>
    <row r="9957" ht="12.75" x14ac:dyDescent="0.2"/>
    <row r="9958" ht="12.75" x14ac:dyDescent="0.2"/>
    <row r="9959" ht="12.75" x14ac:dyDescent="0.2"/>
    <row r="9960" ht="12.75" x14ac:dyDescent="0.2"/>
    <row r="9961" ht="12.75" x14ac:dyDescent="0.2"/>
    <row r="9962" ht="12.75" x14ac:dyDescent="0.2"/>
    <row r="9963" ht="12.75" x14ac:dyDescent="0.2"/>
    <row r="9964" ht="12.75" x14ac:dyDescent="0.2"/>
    <row r="9965" ht="12.75" x14ac:dyDescent="0.2"/>
    <row r="9966" ht="12.75" x14ac:dyDescent="0.2"/>
    <row r="9967" ht="12.75" x14ac:dyDescent="0.2"/>
    <row r="9968" ht="12.75" x14ac:dyDescent="0.2"/>
    <row r="9969" ht="12.75" x14ac:dyDescent="0.2"/>
    <row r="9970" ht="12.75" x14ac:dyDescent="0.2"/>
    <row r="9971" ht="12.75" x14ac:dyDescent="0.2"/>
    <row r="9972" ht="12.75" x14ac:dyDescent="0.2"/>
    <row r="9973" ht="12.75" x14ac:dyDescent="0.2"/>
    <row r="9974" ht="12.75" x14ac:dyDescent="0.2"/>
    <row r="9975" ht="12.75" x14ac:dyDescent="0.2"/>
    <row r="9976" ht="12.75" x14ac:dyDescent="0.2"/>
    <row r="9977" ht="12.75" x14ac:dyDescent="0.2"/>
    <row r="9978" ht="12.75" x14ac:dyDescent="0.2"/>
    <row r="9979" ht="12.75" x14ac:dyDescent="0.2"/>
    <row r="9980" ht="12.75" x14ac:dyDescent="0.2"/>
    <row r="9981" ht="12.75" x14ac:dyDescent="0.2"/>
    <row r="9982" ht="12.75" x14ac:dyDescent="0.2"/>
    <row r="9983" ht="12.75" x14ac:dyDescent="0.2"/>
    <row r="9984" ht="12.75" x14ac:dyDescent="0.2"/>
    <row r="9985" ht="12.75" x14ac:dyDescent="0.2"/>
    <row r="9986" ht="12.75" x14ac:dyDescent="0.2"/>
    <row r="9987" ht="12.75" x14ac:dyDescent="0.2"/>
    <row r="9988" ht="12.75" x14ac:dyDescent="0.2"/>
    <row r="9989" ht="12.75" x14ac:dyDescent="0.2"/>
    <row r="9990" ht="12.75" x14ac:dyDescent="0.2"/>
    <row r="9991" ht="12.75" x14ac:dyDescent="0.2"/>
    <row r="9992" ht="12.75" x14ac:dyDescent="0.2"/>
    <row r="9993" ht="12.75" x14ac:dyDescent="0.2"/>
    <row r="9994" ht="12.75" x14ac:dyDescent="0.2"/>
    <row r="9995" ht="12.75" x14ac:dyDescent="0.2"/>
  </sheetData>
  <sortState ref="A2:K760">
    <sortCondition ref="A2:A760"/>
  </sortState>
  <phoneticPr fontId="2" type="noConversion"/>
  <conditionalFormatting sqref="A2:A760">
    <cfRule type="timePeriod" dxfId="13" priority="1" timePeriod="lastMonth">
      <formula>AND(MONTH(A2)=MONTH(EDATE(TODAY(),0-1)),YEAR(A2)=YEAR(EDATE(TODAY(),0-1)))</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4C1C-186F-4663-8398-0EF83FE5D252}">
  <dimension ref="A3:E25"/>
  <sheetViews>
    <sheetView workbookViewId="0">
      <selection activeCell="C30" sqref="C30"/>
    </sheetView>
  </sheetViews>
  <sheetFormatPr defaultRowHeight="12.75" x14ac:dyDescent="0.2"/>
  <cols>
    <col min="1" max="1" width="13.85546875" bestFit="1" customWidth="1"/>
    <col min="2" max="2" width="13.140625" bestFit="1" customWidth="1"/>
  </cols>
  <sheetData>
    <row r="3" spans="1:5" x14ac:dyDescent="0.2">
      <c r="A3" s="8" t="s">
        <v>1332</v>
      </c>
      <c r="B3" t="s">
        <v>1335</v>
      </c>
      <c r="D3" t="s">
        <v>1332</v>
      </c>
      <c r="E3" t="s">
        <v>1335</v>
      </c>
    </row>
    <row r="4" spans="1:5" x14ac:dyDescent="0.2">
      <c r="A4" s="9" t="s">
        <v>118</v>
      </c>
      <c r="B4" s="10">
        <v>9396.81</v>
      </c>
      <c r="D4" t="str">
        <f t="shared" ref="D4:D12" si="0">A4</f>
        <v>Tables</v>
      </c>
      <c r="E4">
        <f>GETPIVOTDATA("Sales",$A$3,"Sub-Category","Phones")</f>
        <v>6114.6599999999989</v>
      </c>
    </row>
    <row r="5" spans="1:5" x14ac:dyDescent="0.2">
      <c r="A5" s="9" t="s">
        <v>34</v>
      </c>
      <c r="B5" s="10">
        <v>6343.37</v>
      </c>
      <c r="D5" t="str">
        <f t="shared" si="0"/>
        <v>Chairs</v>
      </c>
      <c r="E5">
        <f>GETPIVOTDATA("Sales",$A$3,"Sub-Category","Copiers")</f>
        <v>3559.9399999999996</v>
      </c>
    </row>
    <row r="6" spans="1:5" x14ac:dyDescent="0.2">
      <c r="A6" s="9" t="s">
        <v>39</v>
      </c>
      <c r="B6" s="10">
        <v>6114.6599999999989</v>
      </c>
      <c r="D6" t="str">
        <f t="shared" si="0"/>
        <v>Phones</v>
      </c>
      <c r="E6">
        <f>GETPIVOTDATA("Sales",$A$3,"Sub-Category","Accessories")</f>
        <v>1865.8300000000002</v>
      </c>
    </row>
    <row r="7" spans="1:5" x14ac:dyDescent="0.2">
      <c r="A7" s="9" t="s">
        <v>20</v>
      </c>
      <c r="B7" s="10">
        <v>3817.7099999999996</v>
      </c>
      <c r="D7" t="str">
        <f t="shared" si="0"/>
        <v>Binders</v>
      </c>
      <c r="E7">
        <f>GETPIVOTDATA("Sales",$A$3,"Sub-Category","Tables")</f>
        <v>9396.81</v>
      </c>
    </row>
    <row r="8" spans="1:5" x14ac:dyDescent="0.2">
      <c r="A8" s="9" t="s">
        <v>388</v>
      </c>
      <c r="B8" s="10">
        <v>3559.9399999999996</v>
      </c>
      <c r="D8" t="str">
        <f t="shared" si="0"/>
        <v>Copiers</v>
      </c>
      <c r="E8">
        <f>GETPIVOTDATA("Sales",$A$3,"Sub-Category","Binders")</f>
        <v>3817.7099999999996</v>
      </c>
    </row>
    <row r="9" spans="1:5" x14ac:dyDescent="0.2">
      <c r="A9" s="9" t="s">
        <v>80</v>
      </c>
      <c r="B9" s="10">
        <v>3432.9500000000003</v>
      </c>
      <c r="D9" t="str">
        <f t="shared" si="0"/>
        <v>Appliances</v>
      </c>
      <c r="E9">
        <f>GETPIVOTDATA("Sales",$A$3,"Sub-Category","Chairs")</f>
        <v>6343.37</v>
      </c>
    </row>
    <row r="10" spans="1:5" x14ac:dyDescent="0.2">
      <c r="A10" s="9" t="s">
        <v>44</v>
      </c>
      <c r="B10" s="10">
        <v>2217.7000000000003</v>
      </c>
      <c r="D10" t="str">
        <f t="shared" si="0"/>
        <v>Furnishings</v>
      </c>
      <c r="E10">
        <f>GETPIVOTDATA("Sales",$A$3,"Sub-Category","Bookcases")</f>
        <v>2168.89</v>
      </c>
    </row>
    <row r="11" spans="1:5" x14ac:dyDescent="0.2">
      <c r="A11" s="9" t="s">
        <v>65</v>
      </c>
      <c r="B11" s="10">
        <v>2168.89</v>
      </c>
      <c r="D11" t="str">
        <f t="shared" si="0"/>
        <v>Bookcases</v>
      </c>
      <c r="E11">
        <f>GETPIVOTDATA("Sales",$A$3,"Sub-Category","Storage")</f>
        <v>910.25</v>
      </c>
    </row>
    <row r="12" spans="1:5" x14ac:dyDescent="0.2">
      <c r="A12" s="9" t="s">
        <v>48</v>
      </c>
      <c r="B12" s="10">
        <v>1865.8300000000002</v>
      </c>
      <c r="D12" t="str">
        <f t="shared" si="0"/>
        <v>Accessories</v>
      </c>
      <c r="E12">
        <f>GETPIVOTDATA("Sales",$A$3,"Sub-Category","Appliances")</f>
        <v>3432.9500000000003</v>
      </c>
    </row>
    <row r="13" spans="1:5" x14ac:dyDescent="0.2">
      <c r="A13" s="9" t="s">
        <v>12</v>
      </c>
      <c r="B13" s="10">
        <v>1501.2900000000002</v>
      </c>
      <c r="D13" t="str">
        <f>A12</f>
        <v>Accessories</v>
      </c>
      <c r="E13">
        <f>GETPIVOTDATA("Sales",$A$3,"Sub-Category","Furnishings")</f>
        <v>2217.7000000000003</v>
      </c>
    </row>
    <row r="14" spans="1:5" x14ac:dyDescent="0.2">
      <c r="A14" s="9" t="s">
        <v>18</v>
      </c>
      <c r="B14" s="10">
        <v>910.25</v>
      </c>
      <c r="D14" t="str">
        <f t="shared" ref="D14:D21" si="1">A14</f>
        <v>Storage</v>
      </c>
      <c r="E14">
        <f>GETPIVOTDATA("Sales",$A$3,"Sub-Category","Machines")</f>
        <v>65.97</v>
      </c>
    </row>
    <row r="15" spans="1:5" x14ac:dyDescent="0.2">
      <c r="A15" s="9" t="s">
        <v>24</v>
      </c>
      <c r="B15" s="10">
        <v>645.40000000000009</v>
      </c>
      <c r="D15" t="str">
        <f t="shared" si="1"/>
        <v>Art</v>
      </c>
      <c r="E15">
        <f>GETPIVOTDATA("Sales",$A$3,"Sub-Category","Paper")</f>
        <v>1501.2900000000002</v>
      </c>
    </row>
    <row r="16" spans="1:5" x14ac:dyDescent="0.2">
      <c r="A16" s="9" t="s">
        <v>16</v>
      </c>
      <c r="B16" s="10">
        <v>574.68999999999994</v>
      </c>
      <c r="D16" t="str">
        <f t="shared" si="1"/>
        <v>Labels</v>
      </c>
      <c r="E16">
        <f>GETPIVOTDATA("Sales",$A$3,"Sub-Category","Art")</f>
        <v>645.40000000000009</v>
      </c>
    </row>
    <row r="17" spans="1:5" x14ac:dyDescent="0.2">
      <c r="A17" s="9" t="s">
        <v>58</v>
      </c>
      <c r="B17" s="10">
        <v>150.94</v>
      </c>
      <c r="D17" t="str">
        <f t="shared" si="1"/>
        <v>Envelopes</v>
      </c>
      <c r="E17">
        <f>GETPIVOTDATA("Sales",$A$3,"Sub-Category","Envelopes")</f>
        <v>150.94</v>
      </c>
    </row>
    <row r="18" spans="1:5" x14ac:dyDescent="0.2">
      <c r="A18" s="9" t="s">
        <v>214</v>
      </c>
      <c r="B18" s="10">
        <v>65.97</v>
      </c>
      <c r="D18" t="str">
        <f t="shared" si="1"/>
        <v>Machines</v>
      </c>
      <c r="E18">
        <f>GETPIVOTDATA("Sales",$A$3,"Sub-Category","Labels")</f>
        <v>574.68999999999994</v>
      </c>
    </row>
    <row r="19" spans="1:5" x14ac:dyDescent="0.2">
      <c r="A19" s="9" t="s">
        <v>42</v>
      </c>
      <c r="B19" s="10">
        <v>14.32</v>
      </c>
      <c r="D19" t="str">
        <f t="shared" si="1"/>
        <v>Fasteners</v>
      </c>
      <c r="E19" t="e">
        <f>GETPIVOTDATA("Sales",$A$3,"Sub-Category","Supplies")</f>
        <v>#REF!</v>
      </c>
    </row>
    <row r="20" spans="1:5" x14ac:dyDescent="0.2">
      <c r="A20" s="9" t="s">
        <v>1334</v>
      </c>
      <c r="B20" s="10">
        <v>42780.719999999994</v>
      </c>
      <c r="D20" t="str">
        <f t="shared" si="1"/>
        <v>Grand Total</v>
      </c>
      <c r="E20">
        <f>GETPIVOTDATA("Sales",$A$3,"Sub-Category","Fasteners")</f>
        <v>14.32</v>
      </c>
    </row>
    <row r="21" spans="1:5" x14ac:dyDescent="0.2">
      <c r="D21">
        <f t="shared" si="1"/>
        <v>0</v>
      </c>
      <c r="E21">
        <f>GETPIVOTDATA("Sales",$A$3)</f>
        <v>42780.719999999994</v>
      </c>
    </row>
    <row r="25" spans="1:5" x14ac:dyDescent="0.2">
      <c r="C25" t="e">
        <f>D</f>
        <v>#NAME?</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CB2FF-D5CF-4938-BB53-E1A795AB54C1}">
  <dimension ref="A3:E6"/>
  <sheetViews>
    <sheetView workbookViewId="0">
      <selection activeCell="N20" sqref="N20"/>
    </sheetView>
  </sheetViews>
  <sheetFormatPr defaultRowHeight="12.75" x14ac:dyDescent="0.2"/>
  <cols>
    <col min="1" max="1" width="13.85546875" bestFit="1" customWidth="1"/>
    <col min="2" max="2" width="17" bestFit="1" customWidth="1"/>
    <col min="3" max="3" width="14.85546875" bestFit="1" customWidth="1"/>
    <col min="4" max="4" width="11.5703125" bestFit="1" customWidth="1"/>
    <col min="5" max="5" width="11.7109375" bestFit="1" customWidth="1"/>
  </cols>
  <sheetData>
    <row r="3" spans="1:5" x14ac:dyDescent="0.2">
      <c r="A3" s="8" t="s">
        <v>1333</v>
      </c>
      <c r="B3" s="8" t="s">
        <v>1336</v>
      </c>
    </row>
    <row r="4" spans="1:5" x14ac:dyDescent="0.2">
      <c r="A4" s="8" t="s">
        <v>1332</v>
      </c>
      <c r="B4" t="s">
        <v>33</v>
      </c>
      <c r="C4" t="s">
        <v>11</v>
      </c>
      <c r="D4" t="s">
        <v>38</v>
      </c>
      <c r="E4" t="s">
        <v>1334</v>
      </c>
    </row>
    <row r="5" spans="1:5" x14ac:dyDescent="0.2">
      <c r="A5" s="9" t="s">
        <v>1351</v>
      </c>
      <c r="B5" s="10">
        <v>23.499999999999947</v>
      </c>
      <c r="C5" s="10">
        <v>958.36000000000149</v>
      </c>
      <c r="D5" s="10">
        <v>2927.0400000000009</v>
      </c>
      <c r="E5" s="10">
        <v>3908.9000000000024</v>
      </c>
    </row>
    <row r="6" spans="1:5" x14ac:dyDescent="0.2">
      <c r="A6" s="9" t="s">
        <v>1334</v>
      </c>
      <c r="B6" s="10">
        <v>23.499999999999947</v>
      </c>
      <c r="C6" s="10">
        <v>958.36000000000149</v>
      </c>
      <c r="D6" s="10">
        <v>2927.0400000000009</v>
      </c>
      <c r="E6" s="10">
        <v>3908.9000000000024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A1EF4-4210-419E-BD95-808C4CD6F1E3}">
  <dimension ref="A3:B16"/>
  <sheetViews>
    <sheetView workbookViewId="0">
      <selection activeCell="G9" sqref="G9"/>
    </sheetView>
  </sheetViews>
  <sheetFormatPr defaultRowHeight="12.75" x14ac:dyDescent="0.2"/>
  <cols>
    <col min="1" max="1" width="13.85546875" bestFit="1" customWidth="1"/>
    <col min="2" max="2" width="13.140625" bestFit="1" customWidth="1"/>
  </cols>
  <sheetData>
    <row r="3" spans="1:2" x14ac:dyDescent="0.2">
      <c r="A3" s="8" t="s">
        <v>1332</v>
      </c>
      <c r="B3" t="s">
        <v>1335</v>
      </c>
    </row>
    <row r="4" spans="1:2" x14ac:dyDescent="0.2">
      <c r="A4" s="9" t="s">
        <v>1337</v>
      </c>
      <c r="B4" s="10">
        <v>3551.0099999999998</v>
      </c>
    </row>
    <row r="5" spans="1:2" x14ac:dyDescent="0.2">
      <c r="A5" s="9" t="s">
        <v>1338</v>
      </c>
      <c r="B5" s="10">
        <v>3144.3400000000006</v>
      </c>
    </row>
    <row r="6" spans="1:2" x14ac:dyDescent="0.2">
      <c r="A6" s="9" t="s">
        <v>1339</v>
      </c>
      <c r="B6" s="10">
        <v>2130.67</v>
      </c>
    </row>
    <row r="7" spans="1:2" x14ac:dyDescent="0.2">
      <c r="A7" s="9" t="s">
        <v>1340</v>
      </c>
      <c r="B7" s="10">
        <v>2446.0099999999998</v>
      </c>
    </row>
    <row r="8" spans="1:2" x14ac:dyDescent="0.2">
      <c r="A8" s="9" t="s">
        <v>1341</v>
      </c>
      <c r="B8" s="10">
        <v>3040.52</v>
      </c>
    </row>
    <row r="9" spans="1:2" x14ac:dyDescent="0.2">
      <c r="A9" s="9" t="s">
        <v>1342</v>
      </c>
      <c r="B9" s="10">
        <v>588.96</v>
      </c>
    </row>
    <row r="10" spans="1:2" x14ac:dyDescent="0.2">
      <c r="A10" s="9" t="s">
        <v>1343</v>
      </c>
      <c r="B10" s="10">
        <v>9249.2100000000009</v>
      </c>
    </row>
    <row r="11" spans="1:2" x14ac:dyDescent="0.2">
      <c r="A11" s="9" t="s">
        <v>1344</v>
      </c>
      <c r="B11" s="10">
        <v>3144.88</v>
      </c>
    </row>
    <row r="12" spans="1:2" x14ac:dyDescent="0.2">
      <c r="A12" s="9" t="s">
        <v>1345</v>
      </c>
      <c r="B12" s="10">
        <v>7321.4599999999991</v>
      </c>
    </row>
    <row r="13" spans="1:2" x14ac:dyDescent="0.2">
      <c r="A13" s="9" t="s">
        <v>1346</v>
      </c>
      <c r="B13" s="10">
        <v>3093.79</v>
      </c>
    </row>
    <row r="14" spans="1:2" x14ac:dyDescent="0.2">
      <c r="A14" s="9" t="s">
        <v>1347</v>
      </c>
      <c r="B14" s="10">
        <v>2108.77</v>
      </c>
    </row>
    <row r="15" spans="1:2" x14ac:dyDescent="0.2">
      <c r="A15" s="9" t="s">
        <v>1348</v>
      </c>
      <c r="B15" s="10">
        <v>2961.1000000000004</v>
      </c>
    </row>
    <row r="16" spans="1:2" x14ac:dyDescent="0.2">
      <c r="A16" s="9" t="s">
        <v>1334</v>
      </c>
      <c r="B16" s="10">
        <v>42780.719999999994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782BE-B43F-46D0-8726-D00F28BF71D3}">
  <dimension ref="A3:B9"/>
  <sheetViews>
    <sheetView workbookViewId="0">
      <selection activeCell="H27" sqref="H27"/>
    </sheetView>
  </sheetViews>
  <sheetFormatPr defaultRowHeight="12.75" x14ac:dyDescent="0.2"/>
  <cols>
    <col min="1" max="1" width="16.7109375" bestFit="1" customWidth="1"/>
    <col min="2" max="2" width="12.85546875" bestFit="1" customWidth="1"/>
  </cols>
  <sheetData>
    <row r="3" spans="1:2" x14ac:dyDescent="0.2">
      <c r="A3" s="8" t="s">
        <v>1332</v>
      </c>
      <c r="B3" t="s">
        <v>1333</v>
      </c>
    </row>
    <row r="4" spans="1:2" x14ac:dyDescent="0.2">
      <c r="A4" s="9" t="s">
        <v>934</v>
      </c>
      <c r="B4" s="10">
        <v>1379.98</v>
      </c>
    </row>
    <row r="5" spans="1:2" x14ac:dyDescent="0.2">
      <c r="A5" s="9" t="s">
        <v>865</v>
      </c>
      <c r="B5" s="10">
        <v>843.17</v>
      </c>
    </row>
    <row r="6" spans="1:2" x14ac:dyDescent="0.2">
      <c r="A6" s="9" t="s">
        <v>323</v>
      </c>
      <c r="B6" s="10">
        <v>336.64</v>
      </c>
    </row>
    <row r="7" spans="1:2" x14ac:dyDescent="0.2">
      <c r="A7" s="9" t="s">
        <v>649</v>
      </c>
      <c r="B7" s="10">
        <v>305.13</v>
      </c>
    </row>
    <row r="8" spans="1:2" x14ac:dyDescent="0.2">
      <c r="A8" s="9" t="s">
        <v>213</v>
      </c>
      <c r="B8" s="10">
        <v>272.79000000000002</v>
      </c>
    </row>
    <row r="9" spans="1:2" x14ac:dyDescent="0.2">
      <c r="A9" s="9" t="s">
        <v>1334</v>
      </c>
      <c r="B9" s="10">
        <v>3137.71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2B76A-FAA8-4B9C-8702-BF57C987DFCB}">
  <dimension ref="A3:F49"/>
  <sheetViews>
    <sheetView topLeftCell="A3" workbookViewId="0">
      <selection activeCell="N16" sqref="N16"/>
    </sheetView>
  </sheetViews>
  <sheetFormatPr defaultRowHeight="12.75" x14ac:dyDescent="0.2"/>
  <cols>
    <col min="1" max="1" width="14.140625" bestFit="1" customWidth="1"/>
    <col min="2" max="2" width="13.140625" bestFit="1" customWidth="1"/>
  </cols>
  <sheetData>
    <row r="3" spans="1:6" x14ac:dyDescent="0.2">
      <c r="A3" s="8" t="s">
        <v>1332</v>
      </c>
      <c r="B3" t="s">
        <v>1335</v>
      </c>
      <c r="E3" t="s">
        <v>1332</v>
      </c>
      <c r="F3" t="s">
        <v>1335</v>
      </c>
    </row>
    <row r="4" spans="1:6" x14ac:dyDescent="0.2">
      <c r="A4" s="9" t="s">
        <v>83</v>
      </c>
      <c r="B4" s="10">
        <v>679.11</v>
      </c>
      <c r="E4" t="s">
        <v>320</v>
      </c>
      <c r="F4">
        <v>1646.3200000000002</v>
      </c>
    </row>
    <row r="5" spans="1:6" x14ac:dyDescent="0.2">
      <c r="A5" s="9" t="s">
        <v>27</v>
      </c>
      <c r="B5" s="10">
        <v>5825.6699999999992</v>
      </c>
      <c r="E5" t="s">
        <v>83</v>
      </c>
      <c r="F5">
        <v>3328.8399999999997</v>
      </c>
    </row>
    <row r="6" spans="1:6" x14ac:dyDescent="0.2">
      <c r="A6" s="9" t="s">
        <v>200</v>
      </c>
      <c r="B6" s="10">
        <v>627.4</v>
      </c>
      <c r="E6" t="s">
        <v>87</v>
      </c>
      <c r="F6">
        <v>729.92</v>
      </c>
    </row>
    <row r="7" spans="1:6" x14ac:dyDescent="0.2">
      <c r="A7" s="9" t="s">
        <v>394</v>
      </c>
      <c r="B7" s="10">
        <v>385.28000000000003</v>
      </c>
      <c r="E7" t="s">
        <v>27</v>
      </c>
      <c r="F7">
        <v>34184.07</v>
      </c>
    </row>
    <row r="8" spans="1:6" x14ac:dyDescent="0.2">
      <c r="A8" s="9" t="s">
        <v>54</v>
      </c>
      <c r="B8" s="10">
        <v>65.97</v>
      </c>
      <c r="E8" t="s">
        <v>200</v>
      </c>
      <c r="F8">
        <v>2128.04</v>
      </c>
    </row>
    <row r="9" spans="1:6" x14ac:dyDescent="0.2">
      <c r="A9" s="9" t="s">
        <v>101</v>
      </c>
      <c r="B9" s="10">
        <v>1716.0400000000002</v>
      </c>
      <c r="E9" t="s">
        <v>394</v>
      </c>
      <c r="F9">
        <v>1218.21</v>
      </c>
    </row>
    <row r="10" spans="1:6" x14ac:dyDescent="0.2">
      <c r="A10" s="9" t="s">
        <v>30</v>
      </c>
      <c r="B10" s="10">
        <v>438.14</v>
      </c>
      <c r="E10" t="s">
        <v>54</v>
      </c>
      <c r="F10">
        <v>1153.8000000000002</v>
      </c>
    </row>
    <row r="11" spans="1:6" x14ac:dyDescent="0.2">
      <c r="A11" s="9" t="s">
        <v>15</v>
      </c>
      <c r="B11" s="10">
        <v>1459.3600000000001</v>
      </c>
      <c r="E11" t="s">
        <v>101</v>
      </c>
      <c r="F11">
        <v>11484.81</v>
      </c>
    </row>
    <row r="12" spans="1:6" x14ac:dyDescent="0.2">
      <c r="A12" s="9" t="s">
        <v>262</v>
      </c>
      <c r="B12" s="10">
        <v>18.28</v>
      </c>
      <c r="E12" t="s">
        <v>30</v>
      </c>
      <c r="F12">
        <v>4345.8199999999988</v>
      </c>
    </row>
    <row r="13" spans="1:6" x14ac:dyDescent="0.2">
      <c r="A13" s="9" t="s">
        <v>32</v>
      </c>
      <c r="B13" s="10">
        <v>281.24</v>
      </c>
      <c r="E13" t="s">
        <v>334</v>
      </c>
      <c r="F13">
        <v>41.96</v>
      </c>
    </row>
    <row r="14" spans="1:6" x14ac:dyDescent="0.2">
      <c r="A14" s="9" t="s">
        <v>287</v>
      </c>
      <c r="B14" s="10">
        <v>1500.0700000000002</v>
      </c>
      <c r="E14" t="s">
        <v>15</v>
      </c>
      <c r="F14">
        <v>9536.3400000000056</v>
      </c>
    </row>
    <row r="15" spans="1:6" x14ac:dyDescent="0.2">
      <c r="A15" s="9" t="s">
        <v>94</v>
      </c>
      <c r="B15" s="10">
        <v>920.3900000000001</v>
      </c>
      <c r="E15" t="s">
        <v>107</v>
      </c>
      <c r="F15">
        <v>388.62</v>
      </c>
    </row>
    <row r="16" spans="1:6" x14ac:dyDescent="0.2">
      <c r="A16" s="9" t="s">
        <v>221</v>
      </c>
      <c r="B16" s="10">
        <v>1793.98</v>
      </c>
      <c r="E16" t="s">
        <v>262</v>
      </c>
      <c r="F16">
        <v>151.59</v>
      </c>
    </row>
    <row r="17" spans="1:6" x14ac:dyDescent="0.2">
      <c r="A17" s="9" t="s">
        <v>227</v>
      </c>
      <c r="B17" s="10">
        <v>1631.72</v>
      </c>
      <c r="E17" t="s">
        <v>752</v>
      </c>
      <c r="F17">
        <v>273.95999999999998</v>
      </c>
    </row>
    <row r="18" spans="1:6" x14ac:dyDescent="0.2">
      <c r="A18" s="9" t="s">
        <v>148</v>
      </c>
      <c r="B18" s="10">
        <v>26.7</v>
      </c>
      <c r="E18" t="s">
        <v>32</v>
      </c>
      <c r="F18">
        <v>1924.3500000000001</v>
      </c>
    </row>
    <row r="19" spans="1:6" x14ac:dyDescent="0.2">
      <c r="A19" s="9" t="s">
        <v>337</v>
      </c>
      <c r="B19" s="10">
        <v>3496.22</v>
      </c>
      <c r="E19" t="s">
        <v>57</v>
      </c>
      <c r="F19">
        <v>569.02</v>
      </c>
    </row>
    <row r="20" spans="1:6" x14ac:dyDescent="0.2">
      <c r="A20" s="9" t="s">
        <v>104</v>
      </c>
      <c r="B20" s="10">
        <v>75.790000000000006</v>
      </c>
      <c r="E20" t="s">
        <v>344</v>
      </c>
      <c r="F20">
        <v>311.08</v>
      </c>
    </row>
    <row r="21" spans="1:6" x14ac:dyDescent="0.2">
      <c r="A21" s="9" t="s">
        <v>442</v>
      </c>
      <c r="B21" s="10">
        <v>357.03</v>
      </c>
      <c r="E21" t="s">
        <v>287</v>
      </c>
      <c r="F21">
        <v>1658.93</v>
      </c>
    </row>
    <row r="22" spans="1:6" x14ac:dyDescent="0.2">
      <c r="A22" s="9" t="s">
        <v>142</v>
      </c>
      <c r="B22" s="10">
        <v>270.19</v>
      </c>
      <c r="E22" t="s">
        <v>94</v>
      </c>
      <c r="F22">
        <v>7395.2400000000007</v>
      </c>
    </row>
    <row r="23" spans="1:6" x14ac:dyDescent="0.2">
      <c r="A23" s="9" t="s">
        <v>264</v>
      </c>
      <c r="B23" s="10">
        <v>92.52</v>
      </c>
      <c r="E23" t="s">
        <v>221</v>
      </c>
      <c r="F23">
        <v>2469.2499999999995</v>
      </c>
    </row>
    <row r="24" spans="1:6" x14ac:dyDescent="0.2">
      <c r="A24" s="9" t="s">
        <v>120</v>
      </c>
      <c r="B24" s="10">
        <v>3684.4500000000007</v>
      </c>
      <c r="E24" t="s">
        <v>227</v>
      </c>
      <c r="F24">
        <v>2356.09</v>
      </c>
    </row>
    <row r="25" spans="1:6" x14ac:dyDescent="0.2">
      <c r="A25" s="9" t="s">
        <v>187</v>
      </c>
      <c r="B25" s="10">
        <v>1586.12</v>
      </c>
      <c r="E25" t="s">
        <v>148</v>
      </c>
      <c r="F25">
        <v>992.43</v>
      </c>
    </row>
    <row r="26" spans="1:6" x14ac:dyDescent="0.2">
      <c r="A26" s="9" t="s">
        <v>68</v>
      </c>
      <c r="B26" s="10">
        <v>1350.9500000000003</v>
      </c>
      <c r="E26" t="s">
        <v>337</v>
      </c>
      <c r="F26">
        <v>3525.2599999999998</v>
      </c>
    </row>
    <row r="27" spans="1:6" x14ac:dyDescent="0.2">
      <c r="A27" s="9" t="s">
        <v>79</v>
      </c>
      <c r="B27" s="10">
        <v>35.21</v>
      </c>
      <c r="E27" t="s">
        <v>616</v>
      </c>
      <c r="F27">
        <v>28.4</v>
      </c>
    </row>
    <row r="28" spans="1:6" x14ac:dyDescent="0.2">
      <c r="A28" s="9" t="s">
        <v>23</v>
      </c>
      <c r="B28" s="10">
        <v>2003.0600000000002</v>
      </c>
      <c r="E28" t="s">
        <v>104</v>
      </c>
      <c r="F28">
        <v>192.65</v>
      </c>
    </row>
    <row r="29" spans="1:6" x14ac:dyDescent="0.2">
      <c r="A29" s="9" t="s">
        <v>63</v>
      </c>
      <c r="B29" s="10">
        <v>62.91</v>
      </c>
      <c r="E29" t="s">
        <v>442</v>
      </c>
      <c r="F29">
        <v>449.11</v>
      </c>
    </row>
    <row r="30" spans="1:6" x14ac:dyDescent="0.2">
      <c r="A30" s="9" t="s">
        <v>113</v>
      </c>
      <c r="B30" s="10">
        <v>2.97</v>
      </c>
      <c r="E30" t="s">
        <v>142</v>
      </c>
      <c r="F30">
        <v>664.57000000000016</v>
      </c>
    </row>
    <row r="31" spans="1:6" x14ac:dyDescent="0.2">
      <c r="A31" s="9" t="s">
        <v>98</v>
      </c>
      <c r="B31" s="10">
        <v>548.16</v>
      </c>
      <c r="E31" t="s">
        <v>264</v>
      </c>
      <c r="F31">
        <v>92.52</v>
      </c>
    </row>
    <row r="32" spans="1:6" x14ac:dyDescent="0.2">
      <c r="A32" s="9" t="s">
        <v>10</v>
      </c>
      <c r="B32" s="10">
        <v>3961.5800000000004</v>
      </c>
      <c r="E32" t="s">
        <v>120</v>
      </c>
      <c r="F32">
        <v>24564.66</v>
      </c>
    </row>
    <row r="33" spans="1:6" x14ac:dyDescent="0.2">
      <c r="A33" s="9" t="s">
        <v>211</v>
      </c>
      <c r="B33" s="10">
        <v>2062.31</v>
      </c>
      <c r="E33" t="s">
        <v>187</v>
      </c>
      <c r="F33">
        <v>17029.989999999998</v>
      </c>
    </row>
    <row r="34" spans="1:6" x14ac:dyDescent="0.2">
      <c r="A34" s="9" t="s">
        <v>1224</v>
      </c>
      <c r="B34" s="10">
        <v>1294.75</v>
      </c>
      <c r="E34" t="s">
        <v>1323</v>
      </c>
      <c r="F34">
        <v>131.94</v>
      </c>
    </row>
    <row r="35" spans="1:6" x14ac:dyDescent="0.2">
      <c r="A35" s="9" t="s">
        <v>51</v>
      </c>
      <c r="B35" s="10">
        <v>409.63</v>
      </c>
      <c r="E35" t="s">
        <v>68</v>
      </c>
      <c r="F35">
        <v>4961.4400000000005</v>
      </c>
    </row>
    <row r="36" spans="1:6" x14ac:dyDescent="0.2">
      <c r="A36" s="9" t="s">
        <v>134</v>
      </c>
      <c r="B36" s="10">
        <v>2872.75</v>
      </c>
      <c r="E36" t="s">
        <v>518</v>
      </c>
      <c r="F36">
        <v>3292.73</v>
      </c>
    </row>
    <row r="37" spans="1:6" x14ac:dyDescent="0.2">
      <c r="A37" s="9" t="s">
        <v>127</v>
      </c>
      <c r="B37" s="10">
        <v>1244.77</v>
      </c>
      <c r="E37" t="s">
        <v>79</v>
      </c>
      <c r="F37">
        <v>788.83999999999992</v>
      </c>
    </row>
    <row r="38" spans="1:6" x14ac:dyDescent="0.2">
      <c r="A38" s="9" t="s">
        <v>1334</v>
      </c>
      <c r="B38" s="10">
        <v>42780.719999999994</v>
      </c>
      <c r="E38" t="s">
        <v>23</v>
      </c>
      <c r="F38">
        <v>12490.21</v>
      </c>
    </row>
    <row r="39" spans="1:6" x14ac:dyDescent="0.2">
      <c r="E39" t="s">
        <v>863</v>
      </c>
      <c r="F39">
        <v>49.96</v>
      </c>
    </row>
    <row r="40" spans="1:6" x14ac:dyDescent="0.2">
      <c r="E40" t="s">
        <v>63</v>
      </c>
      <c r="F40">
        <v>432.00999999999993</v>
      </c>
    </row>
    <row r="41" spans="1:6" x14ac:dyDescent="0.2">
      <c r="E41" t="s">
        <v>113</v>
      </c>
      <c r="F41">
        <v>23.2</v>
      </c>
    </row>
    <row r="42" spans="1:6" x14ac:dyDescent="0.2">
      <c r="E42" t="s">
        <v>98</v>
      </c>
      <c r="F42">
        <v>1087.7199999999998</v>
      </c>
    </row>
    <row r="43" spans="1:6" x14ac:dyDescent="0.2">
      <c r="E43" t="s">
        <v>10</v>
      </c>
      <c r="F43">
        <v>13885.760000000002</v>
      </c>
    </row>
    <row r="44" spans="1:6" x14ac:dyDescent="0.2">
      <c r="E44" t="s">
        <v>211</v>
      </c>
      <c r="F44">
        <v>3269.3</v>
      </c>
    </row>
    <row r="45" spans="1:6" x14ac:dyDescent="0.2">
      <c r="E45" t="s">
        <v>1224</v>
      </c>
      <c r="F45">
        <v>1294.75</v>
      </c>
    </row>
    <row r="46" spans="1:6" x14ac:dyDescent="0.2">
      <c r="E46" t="s">
        <v>51</v>
      </c>
      <c r="F46">
        <v>5764.8500000000013</v>
      </c>
    </row>
    <row r="47" spans="1:6" x14ac:dyDescent="0.2">
      <c r="E47" t="s">
        <v>134</v>
      </c>
      <c r="F47">
        <v>8935</v>
      </c>
    </row>
    <row r="48" spans="1:6" x14ac:dyDescent="0.2">
      <c r="E48" t="s">
        <v>127</v>
      </c>
      <c r="F48">
        <v>9680.18</v>
      </c>
    </row>
    <row r="49" spans="5:6" x14ac:dyDescent="0.2">
      <c r="E49" t="s">
        <v>1334</v>
      </c>
      <c r="F49">
        <v>200923.74000000002</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6E00-9BFF-4F4E-9729-78F69C714360}">
  <dimension ref="A2:F7"/>
  <sheetViews>
    <sheetView workbookViewId="0">
      <selection activeCell="B15" sqref="B15"/>
    </sheetView>
  </sheetViews>
  <sheetFormatPr defaultRowHeight="12.75" x14ac:dyDescent="0.2"/>
  <cols>
    <col min="1" max="1" width="12.85546875" bestFit="1" customWidth="1"/>
    <col min="6" max="6" width="12.28515625" bestFit="1" customWidth="1"/>
  </cols>
  <sheetData>
    <row r="2" spans="1:6" x14ac:dyDescent="0.2">
      <c r="A2" s="13">
        <f>GETPIVOTDATA("Profit",$A$3)</f>
        <v>15220.529999999999</v>
      </c>
    </row>
    <row r="3" spans="1:6" x14ac:dyDescent="0.2">
      <c r="A3" t="s">
        <v>1333</v>
      </c>
      <c r="C3">
        <v>668</v>
      </c>
      <c r="F3" s="16"/>
    </row>
    <row r="4" spans="1:6" x14ac:dyDescent="0.2">
      <c r="A4" s="12">
        <v>15220.529999999999</v>
      </c>
      <c r="C4" t="s">
        <v>1355</v>
      </c>
      <c r="F4" s="16">
        <v>200923.74000000028</v>
      </c>
    </row>
    <row r="5" spans="1:6" x14ac:dyDescent="0.2">
      <c r="C5">
        <v>668</v>
      </c>
      <c r="F5" s="16" t="s">
        <v>1335</v>
      </c>
    </row>
    <row r="6" spans="1:6" x14ac:dyDescent="0.2">
      <c r="F6" s="16">
        <v>200923.74000000028</v>
      </c>
    </row>
    <row r="7" spans="1:6" x14ac:dyDescent="0.2">
      <c r="F7" s="15"/>
    </row>
  </sheetData>
  <pageMargins left="0.7" right="0.7" top="0.75" bottom="0.75" header="0.3" footer="0.3"/>
  <pageSetup orientation="portrait" horizontalDpi="0" verticalDpi="0"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0C90B-CDA4-4612-B061-89814B9BBDF4}">
  <dimension ref="A2:A4"/>
  <sheetViews>
    <sheetView workbookViewId="0">
      <selection sqref="A1:A5"/>
    </sheetView>
  </sheetViews>
  <sheetFormatPr defaultRowHeight="12.75" x14ac:dyDescent="0.2"/>
  <cols>
    <col min="1" max="1" width="13.140625" bestFit="1" customWidth="1"/>
    <col min="2" max="2" width="14.140625" bestFit="1" customWidth="1"/>
  </cols>
  <sheetData>
    <row r="2" spans="1:1" x14ac:dyDescent="0.2">
      <c r="A2" s="14">
        <f>GETPIVOTDATA("Sum of Sales",$A$3)</f>
        <v>200923.74000000028</v>
      </c>
    </row>
    <row r="3" spans="1:1" x14ac:dyDescent="0.2">
      <c r="A3" t="s">
        <v>1335</v>
      </c>
    </row>
    <row r="4" spans="1:1" x14ac:dyDescent="0.2">
      <c r="A4" s="12">
        <v>200923.74000000028</v>
      </c>
    </row>
  </sheetData>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6FB58-0467-465C-A2AE-4C4017C83A78}">
  <dimension ref="A2:A4"/>
  <sheetViews>
    <sheetView workbookViewId="0">
      <selection activeCell="A4" sqref="A4"/>
    </sheetView>
  </sheetViews>
  <sheetFormatPr defaultRowHeight="12.75" x14ac:dyDescent="0.2"/>
  <cols>
    <col min="1" max="1" width="23.85546875" bestFit="1" customWidth="1"/>
  </cols>
  <sheetData>
    <row r="2" spans="1:1" x14ac:dyDescent="0.2">
      <c r="A2">
        <f>GETPIVOTDATA("Customer name",$A$3)</f>
        <v>668</v>
      </c>
    </row>
    <row r="3" spans="1:1" x14ac:dyDescent="0.2">
      <c r="A3" t="s">
        <v>1355</v>
      </c>
    </row>
    <row r="4" spans="1:1" x14ac:dyDescent="0.2">
      <c r="A4" s="10">
        <v>668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B9306-3885-462E-99A9-726347ECCCD0}">
  <dimension ref="A1:B669"/>
  <sheetViews>
    <sheetView topLeftCell="A2" workbookViewId="0">
      <selection sqref="A1:B669"/>
    </sheetView>
  </sheetViews>
  <sheetFormatPr defaultRowHeight="12.75" x14ac:dyDescent="0.2"/>
  <cols>
    <col min="2" max="2" width="17.42578125" customWidth="1"/>
  </cols>
  <sheetData>
    <row r="1" spans="1:2" x14ac:dyDescent="0.2">
      <c r="A1" t="s">
        <v>1349</v>
      </c>
      <c r="B1" t="s">
        <v>1354</v>
      </c>
    </row>
    <row r="2" spans="1:2" x14ac:dyDescent="0.2">
      <c r="A2" t="s">
        <v>1350</v>
      </c>
      <c r="B2" t="s">
        <v>14</v>
      </c>
    </row>
    <row r="3" spans="1:2" x14ac:dyDescent="0.2">
      <c r="A3" t="s">
        <v>1350</v>
      </c>
      <c r="B3" t="s">
        <v>22</v>
      </c>
    </row>
    <row r="4" spans="1:2" x14ac:dyDescent="0.2">
      <c r="A4" t="s">
        <v>1350</v>
      </c>
      <c r="B4" t="s">
        <v>26</v>
      </c>
    </row>
    <row r="5" spans="1:2" x14ac:dyDescent="0.2">
      <c r="A5" t="s">
        <v>1350</v>
      </c>
      <c r="B5" t="s">
        <v>43</v>
      </c>
    </row>
    <row r="6" spans="1:2" x14ac:dyDescent="0.2">
      <c r="A6" t="s">
        <v>1350</v>
      </c>
      <c r="B6" t="s">
        <v>46</v>
      </c>
    </row>
    <row r="7" spans="1:2" x14ac:dyDescent="0.2">
      <c r="A7" t="s">
        <v>1350</v>
      </c>
      <c r="B7" t="s">
        <v>50</v>
      </c>
    </row>
    <row r="8" spans="1:2" x14ac:dyDescent="0.2">
      <c r="A8" t="s">
        <v>1350</v>
      </c>
      <c r="B8" t="s">
        <v>53</v>
      </c>
    </row>
    <row r="9" spans="1:2" x14ac:dyDescent="0.2">
      <c r="A9" t="s">
        <v>1350</v>
      </c>
      <c r="B9" t="s">
        <v>56</v>
      </c>
    </row>
    <row r="10" spans="1:2" x14ac:dyDescent="0.2">
      <c r="A10" t="s">
        <v>1350</v>
      </c>
      <c r="B10" t="s">
        <v>70</v>
      </c>
    </row>
    <row r="11" spans="1:2" x14ac:dyDescent="0.2">
      <c r="A11" t="s">
        <v>1350</v>
      </c>
      <c r="B11" t="s">
        <v>72</v>
      </c>
    </row>
    <row r="12" spans="1:2" x14ac:dyDescent="0.2">
      <c r="A12" t="s">
        <v>1350</v>
      </c>
      <c r="B12" t="s">
        <v>74</v>
      </c>
    </row>
    <row r="13" spans="1:2" x14ac:dyDescent="0.2">
      <c r="A13" t="s">
        <v>1350</v>
      </c>
      <c r="B13" t="s">
        <v>78</v>
      </c>
    </row>
    <row r="14" spans="1:2" x14ac:dyDescent="0.2">
      <c r="A14" t="s">
        <v>1350</v>
      </c>
      <c r="B14" t="s">
        <v>82</v>
      </c>
    </row>
    <row r="15" spans="1:2" x14ac:dyDescent="0.2">
      <c r="A15" t="s">
        <v>1350</v>
      </c>
      <c r="B15" t="s">
        <v>86</v>
      </c>
    </row>
    <row r="16" spans="1:2" x14ac:dyDescent="0.2">
      <c r="A16" t="s">
        <v>1350</v>
      </c>
      <c r="B16" t="s">
        <v>100</v>
      </c>
    </row>
    <row r="17" spans="1:2" x14ac:dyDescent="0.2">
      <c r="A17" t="s">
        <v>1350</v>
      </c>
      <c r="B17" t="s">
        <v>103</v>
      </c>
    </row>
    <row r="18" spans="1:2" x14ac:dyDescent="0.2">
      <c r="A18" t="s">
        <v>1350</v>
      </c>
      <c r="B18" t="s">
        <v>108</v>
      </c>
    </row>
    <row r="19" spans="1:2" x14ac:dyDescent="0.2">
      <c r="A19" t="s">
        <v>1350</v>
      </c>
      <c r="B19" t="s">
        <v>116</v>
      </c>
    </row>
    <row r="20" spans="1:2" x14ac:dyDescent="0.2">
      <c r="A20" t="s">
        <v>1350</v>
      </c>
      <c r="B20" t="s">
        <v>119</v>
      </c>
    </row>
    <row r="21" spans="1:2" x14ac:dyDescent="0.2">
      <c r="A21" t="s">
        <v>1350</v>
      </c>
      <c r="B21" t="s">
        <v>122</v>
      </c>
    </row>
    <row r="22" spans="1:2" x14ac:dyDescent="0.2">
      <c r="A22" t="s">
        <v>1350</v>
      </c>
      <c r="B22" t="s">
        <v>124</v>
      </c>
    </row>
    <row r="23" spans="1:2" x14ac:dyDescent="0.2">
      <c r="A23" t="s">
        <v>1350</v>
      </c>
      <c r="B23" t="s">
        <v>126</v>
      </c>
    </row>
    <row r="24" spans="1:2" x14ac:dyDescent="0.2">
      <c r="A24" t="s">
        <v>1350</v>
      </c>
      <c r="B24" t="s">
        <v>129</v>
      </c>
    </row>
    <row r="25" spans="1:2" x14ac:dyDescent="0.2">
      <c r="A25" t="s">
        <v>1350</v>
      </c>
      <c r="B25" t="s">
        <v>136</v>
      </c>
    </row>
    <row r="26" spans="1:2" x14ac:dyDescent="0.2">
      <c r="A26" t="s">
        <v>1350</v>
      </c>
      <c r="B26" t="s">
        <v>138</v>
      </c>
    </row>
    <row r="27" spans="1:2" x14ac:dyDescent="0.2">
      <c r="A27" t="s">
        <v>1350</v>
      </c>
      <c r="B27" t="s">
        <v>141</v>
      </c>
    </row>
    <row r="28" spans="1:2" x14ac:dyDescent="0.2">
      <c r="A28" t="s">
        <v>1350</v>
      </c>
      <c r="B28" t="s">
        <v>144</v>
      </c>
    </row>
    <row r="29" spans="1:2" x14ac:dyDescent="0.2">
      <c r="A29" t="s">
        <v>1350</v>
      </c>
      <c r="B29" t="s">
        <v>153</v>
      </c>
    </row>
    <row r="30" spans="1:2" x14ac:dyDescent="0.2">
      <c r="A30" t="s">
        <v>1350</v>
      </c>
      <c r="B30" t="s">
        <v>155</v>
      </c>
    </row>
    <row r="31" spans="1:2" x14ac:dyDescent="0.2">
      <c r="A31" t="s">
        <v>1350</v>
      </c>
      <c r="B31" t="s">
        <v>160</v>
      </c>
    </row>
    <row r="32" spans="1:2" x14ac:dyDescent="0.2">
      <c r="A32" t="s">
        <v>1350</v>
      </c>
      <c r="B32" t="s">
        <v>162</v>
      </c>
    </row>
    <row r="33" spans="1:2" x14ac:dyDescent="0.2">
      <c r="A33" t="s">
        <v>1350</v>
      </c>
      <c r="B33" t="s">
        <v>166</v>
      </c>
    </row>
    <row r="34" spans="1:2" x14ac:dyDescent="0.2">
      <c r="A34" t="s">
        <v>1350</v>
      </c>
      <c r="B34" t="s">
        <v>169</v>
      </c>
    </row>
    <row r="35" spans="1:2" x14ac:dyDescent="0.2">
      <c r="A35" t="s">
        <v>1350</v>
      </c>
      <c r="B35" t="s">
        <v>173</v>
      </c>
    </row>
    <row r="36" spans="1:2" x14ac:dyDescent="0.2">
      <c r="A36" t="s">
        <v>1350</v>
      </c>
      <c r="B36" t="s">
        <v>175</v>
      </c>
    </row>
    <row r="37" spans="1:2" x14ac:dyDescent="0.2">
      <c r="A37" t="s">
        <v>1350</v>
      </c>
      <c r="B37" t="s">
        <v>178</v>
      </c>
    </row>
    <row r="38" spans="1:2" x14ac:dyDescent="0.2">
      <c r="A38" t="s">
        <v>1350</v>
      </c>
      <c r="B38" t="s">
        <v>180</v>
      </c>
    </row>
    <row r="39" spans="1:2" x14ac:dyDescent="0.2">
      <c r="A39" t="s">
        <v>1350</v>
      </c>
      <c r="B39" t="s">
        <v>190</v>
      </c>
    </row>
    <row r="40" spans="1:2" x14ac:dyDescent="0.2">
      <c r="A40" t="s">
        <v>1350</v>
      </c>
      <c r="B40" t="s">
        <v>192</v>
      </c>
    </row>
    <row r="41" spans="1:2" x14ac:dyDescent="0.2">
      <c r="A41" t="s">
        <v>1350</v>
      </c>
      <c r="B41" t="s">
        <v>168</v>
      </c>
    </row>
    <row r="42" spans="1:2" x14ac:dyDescent="0.2">
      <c r="A42" t="s">
        <v>1350</v>
      </c>
      <c r="B42" t="s">
        <v>197</v>
      </c>
    </row>
    <row r="43" spans="1:2" x14ac:dyDescent="0.2">
      <c r="A43" t="s">
        <v>1350</v>
      </c>
      <c r="B43" t="s">
        <v>202</v>
      </c>
    </row>
    <row r="44" spans="1:2" x14ac:dyDescent="0.2">
      <c r="A44" t="s">
        <v>1350</v>
      </c>
      <c r="B44" t="s">
        <v>216</v>
      </c>
    </row>
    <row r="45" spans="1:2" x14ac:dyDescent="0.2">
      <c r="A45" t="s">
        <v>1350</v>
      </c>
      <c r="B45" t="s">
        <v>184</v>
      </c>
    </row>
    <row r="46" spans="1:2" x14ac:dyDescent="0.2">
      <c r="A46" t="s">
        <v>1350</v>
      </c>
      <c r="B46" t="s">
        <v>220</v>
      </c>
    </row>
    <row r="47" spans="1:2" x14ac:dyDescent="0.2">
      <c r="A47" t="s">
        <v>1350</v>
      </c>
      <c r="B47" t="s">
        <v>231</v>
      </c>
    </row>
    <row r="48" spans="1:2" x14ac:dyDescent="0.2">
      <c r="A48" t="s">
        <v>1350</v>
      </c>
      <c r="B48" t="s">
        <v>235</v>
      </c>
    </row>
    <row r="49" spans="1:2" x14ac:dyDescent="0.2">
      <c r="A49" t="s">
        <v>1350</v>
      </c>
      <c r="B49" t="s">
        <v>238</v>
      </c>
    </row>
    <row r="50" spans="1:2" x14ac:dyDescent="0.2">
      <c r="A50" t="s">
        <v>1350</v>
      </c>
      <c r="B50" t="s">
        <v>245</v>
      </c>
    </row>
    <row r="51" spans="1:2" x14ac:dyDescent="0.2">
      <c r="A51" t="s">
        <v>1350</v>
      </c>
      <c r="B51" t="s">
        <v>248</v>
      </c>
    </row>
    <row r="52" spans="1:2" x14ac:dyDescent="0.2">
      <c r="A52" t="s">
        <v>1350</v>
      </c>
      <c r="B52" t="s">
        <v>252</v>
      </c>
    </row>
    <row r="53" spans="1:2" x14ac:dyDescent="0.2">
      <c r="A53" t="s">
        <v>1350</v>
      </c>
      <c r="B53" t="s">
        <v>226</v>
      </c>
    </row>
    <row r="54" spans="1:2" x14ac:dyDescent="0.2">
      <c r="A54" t="s">
        <v>1350</v>
      </c>
      <c r="B54" t="s">
        <v>257</v>
      </c>
    </row>
    <row r="55" spans="1:2" x14ac:dyDescent="0.2">
      <c r="A55" t="s">
        <v>1350</v>
      </c>
      <c r="B55" t="s">
        <v>261</v>
      </c>
    </row>
    <row r="56" spans="1:2" x14ac:dyDescent="0.2">
      <c r="A56" t="s">
        <v>1350</v>
      </c>
      <c r="B56" t="s">
        <v>268</v>
      </c>
    </row>
    <row r="57" spans="1:2" x14ac:dyDescent="0.2">
      <c r="A57" t="s">
        <v>1350</v>
      </c>
      <c r="B57" t="s">
        <v>270</v>
      </c>
    </row>
    <row r="58" spans="1:2" x14ac:dyDescent="0.2">
      <c r="A58" t="s">
        <v>1350</v>
      </c>
      <c r="B58" t="s">
        <v>278</v>
      </c>
    </row>
    <row r="59" spans="1:2" x14ac:dyDescent="0.2">
      <c r="A59" t="s">
        <v>1350</v>
      </c>
      <c r="B59" t="s">
        <v>290</v>
      </c>
    </row>
    <row r="60" spans="1:2" x14ac:dyDescent="0.2">
      <c r="A60" t="s">
        <v>1350</v>
      </c>
      <c r="B60" t="s">
        <v>295</v>
      </c>
    </row>
    <row r="61" spans="1:2" x14ac:dyDescent="0.2">
      <c r="A61" t="s">
        <v>1350</v>
      </c>
      <c r="B61" t="s">
        <v>301</v>
      </c>
    </row>
    <row r="62" spans="1:2" x14ac:dyDescent="0.2">
      <c r="A62" t="s">
        <v>1350</v>
      </c>
      <c r="B62" t="s">
        <v>310</v>
      </c>
    </row>
    <row r="63" spans="1:2" x14ac:dyDescent="0.2">
      <c r="A63" t="s">
        <v>1350</v>
      </c>
      <c r="B63" t="s">
        <v>319</v>
      </c>
    </row>
    <row r="64" spans="1:2" x14ac:dyDescent="0.2">
      <c r="A64" t="s">
        <v>1350</v>
      </c>
      <c r="B64" t="s">
        <v>324</v>
      </c>
    </row>
    <row r="65" spans="1:2" x14ac:dyDescent="0.2">
      <c r="A65" t="s">
        <v>1350</v>
      </c>
      <c r="B65" t="s">
        <v>331</v>
      </c>
    </row>
    <row r="66" spans="1:2" x14ac:dyDescent="0.2">
      <c r="A66" t="s">
        <v>1350</v>
      </c>
      <c r="B66" t="s">
        <v>338</v>
      </c>
    </row>
    <row r="67" spans="1:2" x14ac:dyDescent="0.2">
      <c r="A67" t="s">
        <v>1350</v>
      </c>
      <c r="B67" t="s">
        <v>345</v>
      </c>
    </row>
    <row r="68" spans="1:2" x14ac:dyDescent="0.2">
      <c r="A68" t="s">
        <v>1350</v>
      </c>
      <c r="B68" t="s">
        <v>349</v>
      </c>
    </row>
    <row r="69" spans="1:2" x14ac:dyDescent="0.2">
      <c r="A69" t="s">
        <v>1350</v>
      </c>
      <c r="B69" t="s">
        <v>354</v>
      </c>
    </row>
    <row r="70" spans="1:2" x14ac:dyDescent="0.2">
      <c r="A70" t="s">
        <v>1350</v>
      </c>
      <c r="B70" t="s">
        <v>363</v>
      </c>
    </row>
    <row r="71" spans="1:2" x14ac:dyDescent="0.2">
      <c r="A71" t="s">
        <v>1350</v>
      </c>
      <c r="B71" t="s">
        <v>366</v>
      </c>
    </row>
    <row r="72" spans="1:2" x14ac:dyDescent="0.2">
      <c r="A72" t="s">
        <v>1350</v>
      </c>
      <c r="B72" t="s">
        <v>368</v>
      </c>
    </row>
    <row r="73" spans="1:2" x14ac:dyDescent="0.2">
      <c r="A73" t="s">
        <v>1350</v>
      </c>
      <c r="B73" t="s">
        <v>370</v>
      </c>
    </row>
    <row r="74" spans="1:2" x14ac:dyDescent="0.2">
      <c r="A74" t="s">
        <v>1350</v>
      </c>
      <c r="B74" t="s">
        <v>379</v>
      </c>
    </row>
    <row r="75" spans="1:2" x14ac:dyDescent="0.2">
      <c r="A75" t="s">
        <v>1350</v>
      </c>
      <c r="B75" t="s">
        <v>386</v>
      </c>
    </row>
    <row r="76" spans="1:2" x14ac:dyDescent="0.2">
      <c r="A76" t="s">
        <v>1350</v>
      </c>
      <c r="B76" t="s">
        <v>389</v>
      </c>
    </row>
    <row r="77" spans="1:2" x14ac:dyDescent="0.2">
      <c r="A77" t="s">
        <v>1350</v>
      </c>
      <c r="B77" t="s">
        <v>392</v>
      </c>
    </row>
    <row r="78" spans="1:2" x14ac:dyDescent="0.2">
      <c r="A78" t="s">
        <v>1350</v>
      </c>
      <c r="B78" t="s">
        <v>397</v>
      </c>
    </row>
    <row r="79" spans="1:2" x14ac:dyDescent="0.2">
      <c r="A79" t="s">
        <v>1350</v>
      </c>
      <c r="B79" t="s">
        <v>403</v>
      </c>
    </row>
    <row r="80" spans="1:2" x14ac:dyDescent="0.2">
      <c r="A80" t="s">
        <v>1350</v>
      </c>
      <c r="B80" t="s">
        <v>407</v>
      </c>
    </row>
    <row r="81" spans="1:2" x14ac:dyDescent="0.2">
      <c r="A81" t="s">
        <v>1350</v>
      </c>
      <c r="B81" t="s">
        <v>199</v>
      </c>
    </row>
    <row r="82" spans="1:2" x14ac:dyDescent="0.2">
      <c r="A82" t="s">
        <v>1350</v>
      </c>
      <c r="B82" t="s">
        <v>411</v>
      </c>
    </row>
    <row r="83" spans="1:2" x14ac:dyDescent="0.2">
      <c r="A83" t="s">
        <v>1350</v>
      </c>
      <c r="B83" t="s">
        <v>376</v>
      </c>
    </row>
    <row r="84" spans="1:2" x14ac:dyDescent="0.2">
      <c r="A84" t="s">
        <v>1350</v>
      </c>
      <c r="B84" t="s">
        <v>417</v>
      </c>
    </row>
    <row r="85" spans="1:2" x14ac:dyDescent="0.2">
      <c r="A85" t="s">
        <v>1350</v>
      </c>
      <c r="B85" t="s">
        <v>424</v>
      </c>
    </row>
    <row r="86" spans="1:2" x14ac:dyDescent="0.2">
      <c r="A86" t="s">
        <v>1350</v>
      </c>
      <c r="B86" t="s">
        <v>428</v>
      </c>
    </row>
    <row r="87" spans="1:2" x14ac:dyDescent="0.2">
      <c r="A87" t="s">
        <v>1350</v>
      </c>
      <c r="B87" t="s">
        <v>431</v>
      </c>
    </row>
    <row r="88" spans="1:2" x14ac:dyDescent="0.2">
      <c r="A88" t="s">
        <v>1350</v>
      </c>
      <c r="B88" t="s">
        <v>432</v>
      </c>
    </row>
    <row r="89" spans="1:2" x14ac:dyDescent="0.2">
      <c r="A89" t="s">
        <v>1350</v>
      </c>
      <c r="B89" t="s">
        <v>438</v>
      </c>
    </row>
    <row r="90" spans="1:2" x14ac:dyDescent="0.2">
      <c r="A90" t="s">
        <v>1350</v>
      </c>
      <c r="B90" t="s">
        <v>441</v>
      </c>
    </row>
    <row r="91" spans="1:2" x14ac:dyDescent="0.2">
      <c r="A91" t="s">
        <v>1350</v>
      </c>
      <c r="B91" t="s">
        <v>446</v>
      </c>
    </row>
    <row r="92" spans="1:2" x14ac:dyDescent="0.2">
      <c r="A92" t="s">
        <v>1350</v>
      </c>
      <c r="B92" t="s">
        <v>452</v>
      </c>
    </row>
    <row r="93" spans="1:2" x14ac:dyDescent="0.2">
      <c r="A93" t="s">
        <v>1350</v>
      </c>
      <c r="B93" t="s">
        <v>457</v>
      </c>
    </row>
    <row r="94" spans="1:2" x14ac:dyDescent="0.2">
      <c r="A94" t="s">
        <v>1350</v>
      </c>
      <c r="B94" t="s">
        <v>1083</v>
      </c>
    </row>
    <row r="95" spans="1:2" x14ac:dyDescent="0.2">
      <c r="A95" t="s">
        <v>1350</v>
      </c>
      <c r="B95" t="s">
        <v>832</v>
      </c>
    </row>
    <row r="96" spans="1:2" x14ac:dyDescent="0.2">
      <c r="A96" t="s">
        <v>1350</v>
      </c>
      <c r="B96" t="s">
        <v>437</v>
      </c>
    </row>
    <row r="97" spans="1:2" x14ac:dyDescent="0.2">
      <c r="A97" t="s">
        <v>1350</v>
      </c>
      <c r="B97" t="s">
        <v>759</v>
      </c>
    </row>
    <row r="98" spans="1:2" x14ac:dyDescent="0.2">
      <c r="A98" t="s">
        <v>1350</v>
      </c>
      <c r="B98" t="s">
        <v>841</v>
      </c>
    </row>
    <row r="99" spans="1:2" x14ac:dyDescent="0.2">
      <c r="A99" t="s">
        <v>1350</v>
      </c>
      <c r="B99" t="s">
        <v>581</v>
      </c>
    </row>
    <row r="100" spans="1:2" x14ac:dyDescent="0.2">
      <c r="A100" t="s">
        <v>1350</v>
      </c>
      <c r="B100" t="s">
        <v>561</v>
      </c>
    </row>
    <row r="101" spans="1:2" x14ac:dyDescent="0.2">
      <c r="A101" t="s">
        <v>1350</v>
      </c>
      <c r="B101" t="s">
        <v>260</v>
      </c>
    </row>
    <row r="102" spans="1:2" x14ac:dyDescent="0.2">
      <c r="A102" t="s">
        <v>1350</v>
      </c>
      <c r="B102" t="s">
        <v>524</v>
      </c>
    </row>
    <row r="103" spans="1:2" x14ac:dyDescent="0.2">
      <c r="A103" t="s">
        <v>1350</v>
      </c>
      <c r="B103" t="s">
        <v>1120</v>
      </c>
    </row>
    <row r="104" spans="1:2" x14ac:dyDescent="0.2">
      <c r="A104" t="s">
        <v>1350</v>
      </c>
      <c r="B104" t="s">
        <v>294</v>
      </c>
    </row>
    <row r="105" spans="1:2" x14ac:dyDescent="0.2">
      <c r="A105" t="s">
        <v>1350</v>
      </c>
      <c r="B105" t="s">
        <v>1130</v>
      </c>
    </row>
    <row r="106" spans="1:2" x14ac:dyDescent="0.2">
      <c r="A106" t="s">
        <v>1350</v>
      </c>
      <c r="B106" t="s">
        <v>64</v>
      </c>
    </row>
    <row r="107" spans="1:2" x14ac:dyDescent="0.2">
      <c r="A107" t="s">
        <v>1350</v>
      </c>
      <c r="B107" t="s">
        <v>1139</v>
      </c>
    </row>
    <row r="108" spans="1:2" x14ac:dyDescent="0.2">
      <c r="A108" t="s">
        <v>1350</v>
      </c>
      <c r="B108" t="s">
        <v>381</v>
      </c>
    </row>
    <row r="109" spans="1:2" x14ac:dyDescent="0.2">
      <c r="A109" t="s">
        <v>1350</v>
      </c>
      <c r="B109" t="s">
        <v>998</v>
      </c>
    </row>
    <row r="110" spans="1:2" x14ac:dyDescent="0.2">
      <c r="A110" t="s">
        <v>1350</v>
      </c>
      <c r="B110" t="s">
        <v>553</v>
      </c>
    </row>
    <row r="111" spans="1:2" x14ac:dyDescent="0.2">
      <c r="A111" t="s">
        <v>1350</v>
      </c>
      <c r="B111" t="s">
        <v>1162</v>
      </c>
    </row>
    <row r="112" spans="1:2" x14ac:dyDescent="0.2">
      <c r="A112" t="s">
        <v>1350</v>
      </c>
      <c r="B112" t="s">
        <v>485</v>
      </c>
    </row>
    <row r="113" spans="1:2" x14ac:dyDescent="0.2">
      <c r="A113" t="s">
        <v>1350</v>
      </c>
      <c r="B113" t="s">
        <v>698</v>
      </c>
    </row>
    <row r="114" spans="1:2" x14ac:dyDescent="0.2">
      <c r="A114" t="s">
        <v>1350</v>
      </c>
      <c r="B114" t="s">
        <v>293</v>
      </c>
    </row>
    <row r="115" spans="1:2" x14ac:dyDescent="0.2">
      <c r="A115" t="s">
        <v>1350</v>
      </c>
      <c r="B115" t="s">
        <v>756</v>
      </c>
    </row>
    <row r="116" spans="1:2" x14ac:dyDescent="0.2">
      <c r="A116" t="s">
        <v>1350</v>
      </c>
      <c r="B116" t="s">
        <v>1175</v>
      </c>
    </row>
    <row r="117" spans="1:2" x14ac:dyDescent="0.2">
      <c r="A117" t="s">
        <v>1350</v>
      </c>
      <c r="B117" t="s">
        <v>1177</v>
      </c>
    </row>
    <row r="118" spans="1:2" x14ac:dyDescent="0.2">
      <c r="A118" t="s">
        <v>1350</v>
      </c>
      <c r="B118" t="s">
        <v>440</v>
      </c>
    </row>
    <row r="119" spans="1:2" x14ac:dyDescent="0.2">
      <c r="A119" t="s">
        <v>1350</v>
      </c>
      <c r="B119" t="s">
        <v>681</v>
      </c>
    </row>
    <row r="120" spans="1:2" x14ac:dyDescent="0.2">
      <c r="A120" t="s">
        <v>1350</v>
      </c>
      <c r="B120" t="s">
        <v>840</v>
      </c>
    </row>
    <row r="121" spans="1:2" x14ac:dyDescent="0.2">
      <c r="A121" t="s">
        <v>1350</v>
      </c>
      <c r="B121" t="s">
        <v>400</v>
      </c>
    </row>
    <row r="122" spans="1:2" x14ac:dyDescent="0.2">
      <c r="A122" t="s">
        <v>1350</v>
      </c>
      <c r="B122" t="s">
        <v>1142</v>
      </c>
    </row>
    <row r="123" spans="1:2" x14ac:dyDescent="0.2">
      <c r="A123" t="s">
        <v>1350</v>
      </c>
      <c r="B123" t="s">
        <v>1066</v>
      </c>
    </row>
    <row r="124" spans="1:2" x14ac:dyDescent="0.2">
      <c r="A124" t="s">
        <v>1350</v>
      </c>
      <c r="B124" t="s">
        <v>282</v>
      </c>
    </row>
    <row r="125" spans="1:2" x14ac:dyDescent="0.2">
      <c r="A125" t="s">
        <v>1350</v>
      </c>
      <c r="B125" t="s">
        <v>469</v>
      </c>
    </row>
    <row r="126" spans="1:2" x14ac:dyDescent="0.2">
      <c r="A126" t="s">
        <v>1350</v>
      </c>
      <c r="B126" t="s">
        <v>818</v>
      </c>
    </row>
    <row r="127" spans="1:2" x14ac:dyDescent="0.2">
      <c r="A127" t="s">
        <v>1350</v>
      </c>
      <c r="B127" t="s">
        <v>879</v>
      </c>
    </row>
    <row r="128" spans="1:2" x14ac:dyDescent="0.2">
      <c r="A128" t="s">
        <v>1350</v>
      </c>
      <c r="B128" t="s">
        <v>208</v>
      </c>
    </row>
    <row r="129" spans="1:2" x14ac:dyDescent="0.2">
      <c r="A129" t="s">
        <v>1350</v>
      </c>
      <c r="B129" t="s">
        <v>947</v>
      </c>
    </row>
    <row r="130" spans="1:2" x14ac:dyDescent="0.2">
      <c r="A130" t="s">
        <v>1350</v>
      </c>
      <c r="B130" t="s">
        <v>480</v>
      </c>
    </row>
    <row r="131" spans="1:2" x14ac:dyDescent="0.2">
      <c r="A131" t="s">
        <v>1350</v>
      </c>
      <c r="B131" t="s">
        <v>330</v>
      </c>
    </row>
    <row r="132" spans="1:2" x14ac:dyDescent="0.2">
      <c r="A132" t="s">
        <v>1350</v>
      </c>
      <c r="B132" t="s">
        <v>1192</v>
      </c>
    </row>
    <row r="133" spans="1:2" x14ac:dyDescent="0.2">
      <c r="A133" t="s">
        <v>1350</v>
      </c>
      <c r="B133" t="s">
        <v>464</v>
      </c>
    </row>
    <row r="134" spans="1:2" x14ac:dyDescent="0.2">
      <c r="A134" t="s">
        <v>1350</v>
      </c>
      <c r="B134" t="s">
        <v>1258</v>
      </c>
    </row>
    <row r="135" spans="1:2" x14ac:dyDescent="0.2">
      <c r="A135" t="s">
        <v>1350</v>
      </c>
      <c r="B135" t="s">
        <v>1005</v>
      </c>
    </row>
    <row r="136" spans="1:2" x14ac:dyDescent="0.2">
      <c r="A136" t="s">
        <v>1350</v>
      </c>
      <c r="B136" t="s">
        <v>256</v>
      </c>
    </row>
    <row r="137" spans="1:2" x14ac:dyDescent="0.2">
      <c r="A137" t="s">
        <v>1350</v>
      </c>
      <c r="B137" t="s">
        <v>754</v>
      </c>
    </row>
    <row r="138" spans="1:2" x14ac:dyDescent="0.2">
      <c r="A138" t="s">
        <v>1350</v>
      </c>
      <c r="B138" t="s">
        <v>959</v>
      </c>
    </row>
    <row r="139" spans="1:2" x14ac:dyDescent="0.2">
      <c r="A139" t="s">
        <v>1350</v>
      </c>
      <c r="B139" t="s">
        <v>579</v>
      </c>
    </row>
    <row r="140" spans="1:2" x14ac:dyDescent="0.2">
      <c r="A140" t="s">
        <v>1350</v>
      </c>
      <c r="B140" t="s">
        <v>498</v>
      </c>
    </row>
    <row r="141" spans="1:2" x14ac:dyDescent="0.2">
      <c r="A141" t="s">
        <v>1350</v>
      </c>
      <c r="B141" t="s">
        <v>567</v>
      </c>
    </row>
    <row r="142" spans="1:2" x14ac:dyDescent="0.2">
      <c r="A142" t="s">
        <v>1350</v>
      </c>
      <c r="B142" t="s">
        <v>486</v>
      </c>
    </row>
    <row r="143" spans="1:2" x14ac:dyDescent="0.2">
      <c r="A143" t="s">
        <v>1350</v>
      </c>
      <c r="B143" t="s">
        <v>523</v>
      </c>
    </row>
    <row r="144" spans="1:2" x14ac:dyDescent="0.2">
      <c r="A144" t="s">
        <v>1350</v>
      </c>
      <c r="B144" t="s">
        <v>31</v>
      </c>
    </row>
    <row r="145" spans="1:2" x14ac:dyDescent="0.2">
      <c r="A145" t="s">
        <v>1350</v>
      </c>
      <c r="B145" t="s">
        <v>493</v>
      </c>
    </row>
    <row r="146" spans="1:2" x14ac:dyDescent="0.2">
      <c r="A146" t="s">
        <v>1350</v>
      </c>
      <c r="B146" t="s">
        <v>336</v>
      </c>
    </row>
    <row r="147" spans="1:2" x14ac:dyDescent="0.2">
      <c r="A147" t="s">
        <v>1350</v>
      </c>
      <c r="B147" t="s">
        <v>1194</v>
      </c>
    </row>
    <row r="148" spans="1:2" x14ac:dyDescent="0.2">
      <c r="A148" t="s">
        <v>1350</v>
      </c>
      <c r="B148" t="s">
        <v>1282</v>
      </c>
    </row>
    <row r="149" spans="1:2" x14ac:dyDescent="0.2">
      <c r="A149" t="s">
        <v>1350</v>
      </c>
      <c r="B149" t="s">
        <v>1183</v>
      </c>
    </row>
    <row r="150" spans="1:2" x14ac:dyDescent="0.2">
      <c r="A150" t="s">
        <v>1350</v>
      </c>
      <c r="B150" t="s">
        <v>1268</v>
      </c>
    </row>
    <row r="151" spans="1:2" x14ac:dyDescent="0.2">
      <c r="A151" t="s">
        <v>1350</v>
      </c>
      <c r="B151" t="s">
        <v>988</v>
      </c>
    </row>
    <row r="152" spans="1:2" x14ac:dyDescent="0.2">
      <c r="A152" t="s">
        <v>1350</v>
      </c>
      <c r="B152" t="s">
        <v>405</v>
      </c>
    </row>
    <row r="153" spans="1:2" x14ac:dyDescent="0.2">
      <c r="A153" t="s">
        <v>1350</v>
      </c>
      <c r="B153" t="s">
        <v>468</v>
      </c>
    </row>
    <row r="154" spans="1:2" x14ac:dyDescent="0.2">
      <c r="A154" t="s">
        <v>1350</v>
      </c>
      <c r="B154" t="s">
        <v>975</v>
      </c>
    </row>
    <row r="155" spans="1:2" x14ac:dyDescent="0.2">
      <c r="A155" t="s">
        <v>1350</v>
      </c>
      <c r="B155" t="s">
        <v>1095</v>
      </c>
    </row>
    <row r="156" spans="1:2" x14ac:dyDescent="0.2">
      <c r="A156" t="s">
        <v>1350</v>
      </c>
      <c r="B156" t="s">
        <v>582</v>
      </c>
    </row>
    <row r="157" spans="1:2" x14ac:dyDescent="0.2">
      <c r="A157" t="s">
        <v>1350</v>
      </c>
      <c r="B157" t="s">
        <v>1125</v>
      </c>
    </row>
    <row r="158" spans="1:2" x14ac:dyDescent="0.2">
      <c r="A158" t="s">
        <v>1350</v>
      </c>
      <c r="B158" t="s">
        <v>690</v>
      </c>
    </row>
    <row r="159" spans="1:2" x14ac:dyDescent="0.2">
      <c r="A159" t="s">
        <v>1350</v>
      </c>
      <c r="B159" t="s">
        <v>305</v>
      </c>
    </row>
    <row r="160" spans="1:2" x14ac:dyDescent="0.2">
      <c r="A160" t="s">
        <v>1350</v>
      </c>
      <c r="B160" t="s">
        <v>1213</v>
      </c>
    </row>
    <row r="161" spans="1:2" x14ac:dyDescent="0.2">
      <c r="A161" t="s">
        <v>1350</v>
      </c>
      <c r="B161" t="s">
        <v>996</v>
      </c>
    </row>
    <row r="162" spans="1:2" x14ac:dyDescent="0.2">
      <c r="A162" t="s">
        <v>1350</v>
      </c>
      <c r="B162" t="s">
        <v>359</v>
      </c>
    </row>
    <row r="163" spans="1:2" x14ac:dyDescent="0.2">
      <c r="A163" t="s">
        <v>1350</v>
      </c>
      <c r="B163" t="s">
        <v>914</v>
      </c>
    </row>
    <row r="164" spans="1:2" x14ac:dyDescent="0.2">
      <c r="A164" t="s">
        <v>1350</v>
      </c>
      <c r="B164" t="s">
        <v>1302</v>
      </c>
    </row>
    <row r="165" spans="1:2" x14ac:dyDescent="0.2">
      <c r="A165" t="s">
        <v>1350</v>
      </c>
      <c r="B165" t="s">
        <v>706</v>
      </c>
    </row>
    <row r="166" spans="1:2" x14ac:dyDescent="0.2">
      <c r="A166" t="s">
        <v>1350</v>
      </c>
      <c r="B166" t="s">
        <v>617</v>
      </c>
    </row>
    <row r="167" spans="1:2" x14ac:dyDescent="0.2">
      <c r="A167" t="s">
        <v>1350</v>
      </c>
      <c r="B167" t="s">
        <v>1279</v>
      </c>
    </row>
    <row r="168" spans="1:2" x14ac:dyDescent="0.2">
      <c r="A168" t="s">
        <v>1350</v>
      </c>
      <c r="B168" t="s">
        <v>1242</v>
      </c>
    </row>
    <row r="169" spans="1:2" x14ac:dyDescent="0.2">
      <c r="A169" t="s">
        <v>1350</v>
      </c>
      <c r="B169" t="s">
        <v>1195</v>
      </c>
    </row>
    <row r="170" spans="1:2" x14ac:dyDescent="0.2">
      <c r="A170" t="s">
        <v>1350</v>
      </c>
      <c r="B170" t="s">
        <v>1074</v>
      </c>
    </row>
    <row r="171" spans="1:2" x14ac:dyDescent="0.2">
      <c r="A171" t="s">
        <v>1350</v>
      </c>
      <c r="B171" t="s">
        <v>146</v>
      </c>
    </row>
    <row r="172" spans="1:2" x14ac:dyDescent="0.2">
      <c r="A172" t="s">
        <v>1350</v>
      </c>
      <c r="B172" t="s">
        <v>614</v>
      </c>
    </row>
    <row r="173" spans="1:2" x14ac:dyDescent="0.2">
      <c r="A173" t="s">
        <v>1350</v>
      </c>
      <c r="B173" t="s">
        <v>1170</v>
      </c>
    </row>
    <row r="174" spans="1:2" x14ac:dyDescent="0.2">
      <c r="A174" t="s">
        <v>1350</v>
      </c>
      <c r="B174" t="s">
        <v>1067</v>
      </c>
    </row>
    <row r="175" spans="1:2" x14ac:dyDescent="0.2">
      <c r="A175" t="s">
        <v>1350</v>
      </c>
      <c r="B175" t="s">
        <v>254</v>
      </c>
    </row>
    <row r="176" spans="1:2" x14ac:dyDescent="0.2">
      <c r="A176" t="s">
        <v>1350</v>
      </c>
      <c r="B176" t="s">
        <v>1117</v>
      </c>
    </row>
    <row r="177" spans="1:2" x14ac:dyDescent="0.2">
      <c r="A177" t="s">
        <v>1350</v>
      </c>
      <c r="B177" t="s">
        <v>624</v>
      </c>
    </row>
    <row r="178" spans="1:2" x14ac:dyDescent="0.2">
      <c r="A178" t="s">
        <v>1350</v>
      </c>
      <c r="B178" t="s">
        <v>729</v>
      </c>
    </row>
    <row r="179" spans="1:2" x14ac:dyDescent="0.2">
      <c r="A179" t="s">
        <v>1350</v>
      </c>
      <c r="B179" t="s">
        <v>1313</v>
      </c>
    </row>
    <row r="180" spans="1:2" x14ac:dyDescent="0.2">
      <c r="A180" t="s">
        <v>1350</v>
      </c>
      <c r="B180" t="s">
        <v>812</v>
      </c>
    </row>
    <row r="181" spans="1:2" x14ac:dyDescent="0.2">
      <c r="A181" t="s">
        <v>1350</v>
      </c>
      <c r="B181" t="s">
        <v>979</v>
      </c>
    </row>
    <row r="182" spans="1:2" x14ac:dyDescent="0.2">
      <c r="A182" t="s">
        <v>1350</v>
      </c>
      <c r="B182" t="s">
        <v>510</v>
      </c>
    </row>
    <row r="183" spans="1:2" x14ac:dyDescent="0.2">
      <c r="A183" t="s">
        <v>1350</v>
      </c>
      <c r="B183" t="s">
        <v>572</v>
      </c>
    </row>
    <row r="184" spans="1:2" x14ac:dyDescent="0.2">
      <c r="A184" t="s">
        <v>1350</v>
      </c>
      <c r="B184" t="s">
        <v>636</v>
      </c>
    </row>
    <row r="185" spans="1:2" x14ac:dyDescent="0.2">
      <c r="A185" t="s">
        <v>1350</v>
      </c>
      <c r="B185" t="s">
        <v>186</v>
      </c>
    </row>
    <row r="186" spans="1:2" x14ac:dyDescent="0.2">
      <c r="A186" t="s">
        <v>1350</v>
      </c>
      <c r="B186" t="s">
        <v>895</v>
      </c>
    </row>
    <row r="187" spans="1:2" x14ac:dyDescent="0.2">
      <c r="A187" t="s">
        <v>1350</v>
      </c>
      <c r="B187" t="s">
        <v>568</v>
      </c>
    </row>
    <row r="188" spans="1:2" x14ac:dyDescent="0.2">
      <c r="A188" t="s">
        <v>1350</v>
      </c>
      <c r="B188" t="s">
        <v>606</v>
      </c>
    </row>
    <row r="189" spans="1:2" x14ac:dyDescent="0.2">
      <c r="A189" t="s">
        <v>1350</v>
      </c>
      <c r="B189" t="s">
        <v>378</v>
      </c>
    </row>
    <row r="190" spans="1:2" x14ac:dyDescent="0.2">
      <c r="A190" t="s">
        <v>1350</v>
      </c>
      <c r="B190" t="s">
        <v>259</v>
      </c>
    </row>
    <row r="191" spans="1:2" x14ac:dyDescent="0.2">
      <c r="A191" t="s">
        <v>1350</v>
      </c>
      <c r="B191" t="s">
        <v>1304</v>
      </c>
    </row>
    <row r="192" spans="1:2" x14ac:dyDescent="0.2">
      <c r="A192" t="s">
        <v>1350</v>
      </c>
      <c r="B192" t="s">
        <v>506</v>
      </c>
    </row>
    <row r="193" spans="1:2" x14ac:dyDescent="0.2">
      <c r="A193" t="s">
        <v>1350</v>
      </c>
      <c r="B193" t="s">
        <v>569</v>
      </c>
    </row>
    <row r="194" spans="1:2" x14ac:dyDescent="0.2">
      <c r="A194" t="s">
        <v>1350</v>
      </c>
      <c r="B194" t="s">
        <v>272</v>
      </c>
    </row>
    <row r="195" spans="1:2" x14ac:dyDescent="0.2">
      <c r="A195" t="s">
        <v>1350</v>
      </c>
      <c r="B195" t="s">
        <v>1326</v>
      </c>
    </row>
    <row r="196" spans="1:2" x14ac:dyDescent="0.2">
      <c r="A196" t="s">
        <v>1350</v>
      </c>
      <c r="B196" t="s">
        <v>816</v>
      </c>
    </row>
    <row r="197" spans="1:2" x14ac:dyDescent="0.2">
      <c r="A197" t="s">
        <v>1350</v>
      </c>
      <c r="B197" t="s">
        <v>1327</v>
      </c>
    </row>
    <row r="198" spans="1:2" x14ac:dyDescent="0.2">
      <c r="A198" t="s">
        <v>1350</v>
      </c>
      <c r="B198" t="s">
        <v>799</v>
      </c>
    </row>
    <row r="199" spans="1:2" x14ac:dyDescent="0.2">
      <c r="A199" t="s">
        <v>1350</v>
      </c>
      <c r="B199" t="s">
        <v>871</v>
      </c>
    </row>
    <row r="200" spans="1:2" x14ac:dyDescent="0.2">
      <c r="A200" t="s">
        <v>1350</v>
      </c>
      <c r="B200" t="s">
        <v>147</v>
      </c>
    </row>
    <row r="201" spans="1:2" x14ac:dyDescent="0.2">
      <c r="A201" t="s">
        <v>1350</v>
      </c>
      <c r="B201" t="s">
        <v>563</v>
      </c>
    </row>
    <row r="202" spans="1:2" x14ac:dyDescent="0.2">
      <c r="A202" t="s">
        <v>1350</v>
      </c>
      <c r="B202" t="s">
        <v>755</v>
      </c>
    </row>
    <row r="203" spans="1:2" x14ac:dyDescent="0.2">
      <c r="A203" t="s">
        <v>1350</v>
      </c>
      <c r="B203" t="s">
        <v>641</v>
      </c>
    </row>
    <row r="204" spans="1:2" x14ac:dyDescent="0.2">
      <c r="A204" t="s">
        <v>1350</v>
      </c>
      <c r="B204" t="s">
        <v>867</v>
      </c>
    </row>
    <row r="205" spans="1:2" x14ac:dyDescent="0.2">
      <c r="A205" t="s">
        <v>1350</v>
      </c>
      <c r="B205" t="s">
        <v>940</v>
      </c>
    </row>
    <row r="206" spans="1:2" x14ac:dyDescent="0.2">
      <c r="A206" t="s">
        <v>1350</v>
      </c>
      <c r="B206" t="s">
        <v>751</v>
      </c>
    </row>
    <row r="207" spans="1:2" x14ac:dyDescent="0.2">
      <c r="A207" t="s">
        <v>1350</v>
      </c>
      <c r="B207" t="s">
        <v>684</v>
      </c>
    </row>
    <row r="208" spans="1:2" x14ac:dyDescent="0.2">
      <c r="A208" t="s">
        <v>1350</v>
      </c>
      <c r="B208" t="s">
        <v>1178</v>
      </c>
    </row>
    <row r="209" spans="1:2" x14ac:dyDescent="0.2">
      <c r="A209" t="s">
        <v>1350</v>
      </c>
      <c r="B209" t="s">
        <v>266</v>
      </c>
    </row>
    <row r="210" spans="1:2" x14ac:dyDescent="0.2">
      <c r="A210" t="s">
        <v>1350</v>
      </c>
      <c r="B210" t="s">
        <v>658</v>
      </c>
    </row>
    <row r="211" spans="1:2" x14ac:dyDescent="0.2">
      <c r="A211" t="s">
        <v>1351</v>
      </c>
      <c r="B211" t="s">
        <v>459</v>
      </c>
    </row>
    <row r="212" spans="1:2" x14ac:dyDescent="0.2">
      <c r="A212" t="s">
        <v>1351</v>
      </c>
      <c r="B212" t="s">
        <v>465</v>
      </c>
    </row>
    <row r="213" spans="1:2" x14ac:dyDescent="0.2">
      <c r="A213" t="s">
        <v>1351</v>
      </c>
      <c r="B213" t="s">
        <v>469</v>
      </c>
    </row>
    <row r="214" spans="1:2" x14ac:dyDescent="0.2">
      <c r="A214" t="s">
        <v>1351</v>
      </c>
      <c r="B214" t="s">
        <v>471</v>
      </c>
    </row>
    <row r="215" spans="1:2" x14ac:dyDescent="0.2">
      <c r="A215" t="s">
        <v>1351</v>
      </c>
      <c r="B215" t="s">
        <v>475</v>
      </c>
    </row>
    <row r="216" spans="1:2" x14ac:dyDescent="0.2">
      <c r="A216" t="s">
        <v>1351</v>
      </c>
      <c r="B216" t="s">
        <v>209</v>
      </c>
    </row>
    <row r="217" spans="1:2" x14ac:dyDescent="0.2">
      <c r="A217" t="s">
        <v>1351</v>
      </c>
      <c r="B217" t="s">
        <v>484</v>
      </c>
    </row>
    <row r="218" spans="1:2" x14ac:dyDescent="0.2">
      <c r="A218" t="s">
        <v>1351</v>
      </c>
      <c r="B218" t="s">
        <v>274</v>
      </c>
    </row>
    <row r="219" spans="1:2" x14ac:dyDescent="0.2">
      <c r="A219" t="s">
        <v>1351</v>
      </c>
      <c r="B219" t="s">
        <v>488</v>
      </c>
    </row>
    <row r="220" spans="1:2" x14ac:dyDescent="0.2">
      <c r="A220" t="s">
        <v>1351</v>
      </c>
      <c r="B220" t="s">
        <v>492</v>
      </c>
    </row>
    <row r="221" spans="1:2" x14ac:dyDescent="0.2">
      <c r="A221" t="s">
        <v>1351</v>
      </c>
      <c r="B221" t="s">
        <v>493</v>
      </c>
    </row>
    <row r="222" spans="1:2" x14ac:dyDescent="0.2">
      <c r="A222" t="s">
        <v>1351</v>
      </c>
      <c r="B222" t="s">
        <v>498</v>
      </c>
    </row>
    <row r="223" spans="1:2" x14ac:dyDescent="0.2">
      <c r="A223" t="s">
        <v>1351</v>
      </c>
      <c r="B223" t="s">
        <v>506</v>
      </c>
    </row>
    <row r="224" spans="1:2" x14ac:dyDescent="0.2">
      <c r="A224" t="s">
        <v>1351</v>
      </c>
      <c r="B224" t="s">
        <v>508</v>
      </c>
    </row>
    <row r="225" spans="1:2" x14ac:dyDescent="0.2">
      <c r="A225" t="s">
        <v>1351</v>
      </c>
      <c r="B225" t="s">
        <v>510</v>
      </c>
    </row>
    <row r="226" spans="1:2" x14ac:dyDescent="0.2">
      <c r="A226" t="s">
        <v>1351</v>
      </c>
      <c r="B226" t="s">
        <v>512</v>
      </c>
    </row>
    <row r="227" spans="1:2" x14ac:dyDescent="0.2">
      <c r="A227" t="s">
        <v>1351</v>
      </c>
      <c r="B227" t="s">
        <v>514</v>
      </c>
    </row>
    <row r="228" spans="1:2" x14ac:dyDescent="0.2">
      <c r="A228" t="s">
        <v>1351</v>
      </c>
      <c r="B228" t="s">
        <v>189</v>
      </c>
    </row>
    <row r="229" spans="1:2" x14ac:dyDescent="0.2">
      <c r="A229" t="s">
        <v>1351</v>
      </c>
      <c r="B229" t="s">
        <v>426</v>
      </c>
    </row>
    <row r="230" spans="1:2" x14ac:dyDescent="0.2">
      <c r="A230" t="s">
        <v>1351</v>
      </c>
      <c r="B230" t="s">
        <v>524</v>
      </c>
    </row>
    <row r="231" spans="1:2" x14ac:dyDescent="0.2">
      <c r="A231" t="s">
        <v>1351</v>
      </c>
      <c r="B231" t="s">
        <v>532</v>
      </c>
    </row>
    <row r="232" spans="1:2" x14ac:dyDescent="0.2">
      <c r="A232" t="s">
        <v>1351</v>
      </c>
      <c r="B232" t="s">
        <v>535</v>
      </c>
    </row>
    <row r="233" spans="1:2" x14ac:dyDescent="0.2">
      <c r="A233" t="s">
        <v>1351</v>
      </c>
      <c r="B233" t="s">
        <v>537</v>
      </c>
    </row>
    <row r="234" spans="1:2" x14ac:dyDescent="0.2">
      <c r="A234" t="s">
        <v>1351</v>
      </c>
      <c r="B234" t="s">
        <v>540</v>
      </c>
    </row>
    <row r="235" spans="1:2" x14ac:dyDescent="0.2">
      <c r="A235" t="s">
        <v>1351</v>
      </c>
      <c r="B235" t="s">
        <v>541</v>
      </c>
    </row>
    <row r="236" spans="1:2" x14ac:dyDescent="0.2">
      <c r="A236" t="s">
        <v>1351</v>
      </c>
      <c r="B236" t="s">
        <v>543</v>
      </c>
    </row>
    <row r="237" spans="1:2" x14ac:dyDescent="0.2">
      <c r="A237" t="s">
        <v>1351</v>
      </c>
      <c r="B237" t="s">
        <v>545</v>
      </c>
    </row>
    <row r="238" spans="1:2" x14ac:dyDescent="0.2">
      <c r="A238" t="s">
        <v>1351</v>
      </c>
      <c r="B238" t="s">
        <v>272</v>
      </c>
    </row>
    <row r="239" spans="1:2" x14ac:dyDescent="0.2">
      <c r="A239" t="s">
        <v>1351</v>
      </c>
      <c r="B239" t="s">
        <v>553</v>
      </c>
    </row>
    <row r="240" spans="1:2" x14ac:dyDescent="0.2">
      <c r="A240" t="s">
        <v>1351</v>
      </c>
      <c r="B240" t="s">
        <v>294</v>
      </c>
    </row>
    <row r="241" spans="1:2" x14ac:dyDescent="0.2">
      <c r="A241" t="s">
        <v>1351</v>
      </c>
      <c r="B241" t="s">
        <v>556</v>
      </c>
    </row>
    <row r="242" spans="1:2" x14ac:dyDescent="0.2">
      <c r="A242" t="s">
        <v>1351</v>
      </c>
      <c r="B242" t="s">
        <v>563</v>
      </c>
    </row>
    <row r="243" spans="1:2" x14ac:dyDescent="0.2">
      <c r="A243" t="s">
        <v>1351</v>
      </c>
      <c r="B243" t="s">
        <v>349</v>
      </c>
    </row>
    <row r="244" spans="1:2" x14ac:dyDescent="0.2">
      <c r="A244" t="s">
        <v>1351</v>
      </c>
      <c r="B244" t="s">
        <v>566</v>
      </c>
    </row>
    <row r="245" spans="1:2" x14ac:dyDescent="0.2">
      <c r="A245" t="s">
        <v>1351</v>
      </c>
      <c r="B245" t="s">
        <v>579</v>
      </c>
    </row>
    <row r="246" spans="1:2" x14ac:dyDescent="0.2">
      <c r="A246" t="s">
        <v>1351</v>
      </c>
      <c r="B246" t="s">
        <v>539</v>
      </c>
    </row>
    <row r="247" spans="1:2" x14ac:dyDescent="0.2">
      <c r="A247" t="s">
        <v>1351</v>
      </c>
      <c r="B247" t="s">
        <v>586</v>
      </c>
    </row>
    <row r="248" spans="1:2" x14ac:dyDescent="0.2">
      <c r="A248" t="s">
        <v>1351</v>
      </c>
      <c r="B248" t="s">
        <v>422</v>
      </c>
    </row>
    <row r="249" spans="1:2" x14ac:dyDescent="0.2">
      <c r="A249" t="s">
        <v>1351</v>
      </c>
      <c r="B249" t="s">
        <v>593</v>
      </c>
    </row>
    <row r="250" spans="1:2" x14ac:dyDescent="0.2">
      <c r="A250" t="s">
        <v>1351</v>
      </c>
      <c r="B250" t="s">
        <v>595</v>
      </c>
    </row>
    <row r="251" spans="1:2" x14ac:dyDescent="0.2">
      <c r="A251" t="s">
        <v>1351</v>
      </c>
      <c r="B251" t="s">
        <v>599</v>
      </c>
    </row>
    <row r="252" spans="1:2" x14ac:dyDescent="0.2">
      <c r="A252" t="s">
        <v>1351</v>
      </c>
      <c r="B252" t="s">
        <v>611</v>
      </c>
    </row>
    <row r="253" spans="1:2" x14ac:dyDescent="0.2">
      <c r="A253" t="s">
        <v>1351</v>
      </c>
      <c r="B253" t="s">
        <v>617</v>
      </c>
    </row>
    <row r="254" spans="1:2" x14ac:dyDescent="0.2">
      <c r="A254" t="s">
        <v>1351</v>
      </c>
      <c r="B254" t="s">
        <v>621</v>
      </c>
    </row>
    <row r="255" spans="1:2" x14ac:dyDescent="0.2">
      <c r="A255" t="s">
        <v>1351</v>
      </c>
      <c r="B255" t="s">
        <v>627</v>
      </c>
    </row>
    <row r="256" spans="1:2" x14ac:dyDescent="0.2">
      <c r="A256" t="s">
        <v>1351</v>
      </c>
      <c r="B256" t="s">
        <v>630</v>
      </c>
    </row>
    <row r="257" spans="1:2" x14ac:dyDescent="0.2">
      <c r="A257" t="s">
        <v>1351</v>
      </c>
      <c r="B257" t="s">
        <v>183</v>
      </c>
    </row>
    <row r="258" spans="1:2" x14ac:dyDescent="0.2">
      <c r="A258" t="s">
        <v>1351</v>
      </c>
      <c r="B258" t="s">
        <v>202</v>
      </c>
    </row>
    <row r="259" spans="1:2" x14ac:dyDescent="0.2">
      <c r="A259" t="s">
        <v>1351</v>
      </c>
      <c r="B259" t="s">
        <v>643</v>
      </c>
    </row>
    <row r="260" spans="1:2" x14ac:dyDescent="0.2">
      <c r="A260" t="s">
        <v>1351</v>
      </c>
      <c r="B260" t="s">
        <v>590</v>
      </c>
    </row>
    <row r="261" spans="1:2" x14ac:dyDescent="0.2">
      <c r="A261" t="s">
        <v>1351</v>
      </c>
      <c r="B261" t="s">
        <v>646</v>
      </c>
    </row>
    <row r="262" spans="1:2" x14ac:dyDescent="0.2">
      <c r="A262" t="s">
        <v>1351</v>
      </c>
      <c r="B262" t="s">
        <v>432</v>
      </c>
    </row>
    <row r="263" spans="1:2" x14ac:dyDescent="0.2">
      <c r="A263" t="s">
        <v>1351</v>
      </c>
      <c r="B263" t="s">
        <v>649</v>
      </c>
    </row>
    <row r="264" spans="1:2" x14ac:dyDescent="0.2">
      <c r="A264" t="s">
        <v>1351</v>
      </c>
      <c r="B264" t="s">
        <v>653</v>
      </c>
    </row>
    <row r="265" spans="1:2" x14ac:dyDescent="0.2">
      <c r="A265" t="s">
        <v>1351</v>
      </c>
      <c r="B265" t="s">
        <v>660</v>
      </c>
    </row>
    <row r="266" spans="1:2" x14ac:dyDescent="0.2">
      <c r="A266" t="s">
        <v>1351</v>
      </c>
      <c r="B266" t="s">
        <v>662</v>
      </c>
    </row>
    <row r="267" spans="1:2" x14ac:dyDescent="0.2">
      <c r="A267" t="s">
        <v>1351</v>
      </c>
      <c r="B267" t="s">
        <v>669</v>
      </c>
    </row>
    <row r="268" spans="1:2" x14ac:dyDescent="0.2">
      <c r="A268" t="s">
        <v>1351</v>
      </c>
      <c r="B268" t="s">
        <v>674</v>
      </c>
    </row>
    <row r="269" spans="1:2" x14ac:dyDescent="0.2">
      <c r="A269" t="s">
        <v>1351</v>
      </c>
      <c r="B269" t="s">
        <v>680</v>
      </c>
    </row>
    <row r="270" spans="1:2" x14ac:dyDescent="0.2">
      <c r="A270" t="s">
        <v>1351</v>
      </c>
      <c r="B270" t="s">
        <v>684</v>
      </c>
    </row>
    <row r="271" spans="1:2" x14ac:dyDescent="0.2">
      <c r="A271" t="s">
        <v>1351</v>
      </c>
      <c r="B271" t="s">
        <v>300</v>
      </c>
    </row>
    <row r="272" spans="1:2" x14ac:dyDescent="0.2">
      <c r="A272" t="s">
        <v>1351</v>
      </c>
      <c r="B272" t="s">
        <v>692</v>
      </c>
    </row>
    <row r="273" spans="1:2" x14ac:dyDescent="0.2">
      <c r="A273" t="s">
        <v>1351</v>
      </c>
      <c r="B273" t="s">
        <v>694</v>
      </c>
    </row>
    <row r="274" spans="1:2" x14ac:dyDescent="0.2">
      <c r="A274" t="s">
        <v>1351</v>
      </c>
      <c r="B274" t="s">
        <v>698</v>
      </c>
    </row>
    <row r="275" spans="1:2" x14ac:dyDescent="0.2">
      <c r="A275" t="s">
        <v>1351</v>
      </c>
      <c r="B275" t="s">
        <v>701</v>
      </c>
    </row>
    <row r="276" spans="1:2" x14ac:dyDescent="0.2">
      <c r="A276" t="s">
        <v>1351</v>
      </c>
      <c r="B276" t="s">
        <v>711</v>
      </c>
    </row>
    <row r="277" spans="1:2" x14ac:dyDescent="0.2">
      <c r="A277" t="s">
        <v>1351</v>
      </c>
      <c r="B277" t="s">
        <v>713</v>
      </c>
    </row>
    <row r="278" spans="1:2" x14ac:dyDescent="0.2">
      <c r="A278" t="s">
        <v>1351</v>
      </c>
      <c r="B278" t="s">
        <v>716</v>
      </c>
    </row>
    <row r="279" spans="1:2" x14ac:dyDescent="0.2">
      <c r="A279" t="s">
        <v>1351</v>
      </c>
      <c r="B279" t="s">
        <v>718</v>
      </c>
    </row>
    <row r="280" spans="1:2" x14ac:dyDescent="0.2">
      <c r="A280" t="s">
        <v>1351</v>
      </c>
      <c r="B280" t="s">
        <v>720</v>
      </c>
    </row>
    <row r="281" spans="1:2" x14ac:dyDescent="0.2">
      <c r="A281" t="s">
        <v>1351</v>
      </c>
      <c r="B281" t="s">
        <v>385</v>
      </c>
    </row>
    <row r="282" spans="1:2" x14ac:dyDescent="0.2">
      <c r="A282" t="s">
        <v>1351</v>
      </c>
      <c r="B282" t="s">
        <v>356</v>
      </c>
    </row>
    <row r="283" spans="1:2" x14ac:dyDescent="0.2">
      <c r="A283" t="s">
        <v>1351</v>
      </c>
      <c r="B283" t="s">
        <v>862</v>
      </c>
    </row>
    <row r="284" spans="1:2" x14ac:dyDescent="0.2">
      <c r="A284" t="s">
        <v>1351</v>
      </c>
      <c r="B284" t="s">
        <v>397</v>
      </c>
    </row>
    <row r="285" spans="1:2" x14ac:dyDescent="0.2">
      <c r="A285" t="s">
        <v>1351</v>
      </c>
      <c r="B285" t="s">
        <v>1091</v>
      </c>
    </row>
    <row r="286" spans="1:2" x14ac:dyDescent="0.2">
      <c r="A286" t="s">
        <v>1351</v>
      </c>
      <c r="B286" t="s">
        <v>411</v>
      </c>
    </row>
    <row r="287" spans="1:2" x14ac:dyDescent="0.2">
      <c r="A287" t="s">
        <v>1351</v>
      </c>
      <c r="B287" t="s">
        <v>188</v>
      </c>
    </row>
    <row r="288" spans="1:2" x14ac:dyDescent="0.2">
      <c r="A288" t="s">
        <v>1351</v>
      </c>
      <c r="B288" t="s">
        <v>770</v>
      </c>
    </row>
    <row r="289" spans="1:2" x14ac:dyDescent="0.2">
      <c r="A289" t="s">
        <v>1351</v>
      </c>
      <c r="B289" t="s">
        <v>1106</v>
      </c>
    </row>
    <row r="290" spans="1:2" x14ac:dyDescent="0.2">
      <c r="A290" t="s">
        <v>1351</v>
      </c>
      <c r="B290" t="s">
        <v>301</v>
      </c>
    </row>
    <row r="291" spans="1:2" x14ac:dyDescent="0.2">
      <c r="A291" t="s">
        <v>1351</v>
      </c>
      <c r="B291" t="s">
        <v>775</v>
      </c>
    </row>
    <row r="292" spans="1:2" x14ac:dyDescent="0.2">
      <c r="A292" t="s">
        <v>1351</v>
      </c>
      <c r="B292" t="s">
        <v>620</v>
      </c>
    </row>
    <row r="293" spans="1:2" x14ac:dyDescent="0.2">
      <c r="A293" t="s">
        <v>1351</v>
      </c>
      <c r="B293" t="s">
        <v>1061</v>
      </c>
    </row>
    <row r="294" spans="1:2" x14ac:dyDescent="0.2">
      <c r="A294" t="s">
        <v>1351</v>
      </c>
      <c r="B294" t="s">
        <v>1057</v>
      </c>
    </row>
    <row r="295" spans="1:2" x14ac:dyDescent="0.2">
      <c r="A295" t="s">
        <v>1351</v>
      </c>
      <c r="B295" t="s">
        <v>207</v>
      </c>
    </row>
    <row r="296" spans="1:2" x14ac:dyDescent="0.2">
      <c r="A296" t="s">
        <v>1351</v>
      </c>
      <c r="B296" t="s">
        <v>1152</v>
      </c>
    </row>
    <row r="297" spans="1:2" x14ac:dyDescent="0.2">
      <c r="A297" t="s">
        <v>1351</v>
      </c>
      <c r="B297" t="s">
        <v>62</v>
      </c>
    </row>
    <row r="298" spans="1:2" x14ac:dyDescent="0.2">
      <c r="A298" t="s">
        <v>1351</v>
      </c>
      <c r="B298" t="s">
        <v>548</v>
      </c>
    </row>
    <row r="299" spans="1:2" x14ac:dyDescent="0.2">
      <c r="A299" t="s">
        <v>1351</v>
      </c>
      <c r="B299" t="s">
        <v>995</v>
      </c>
    </row>
    <row r="300" spans="1:2" x14ac:dyDescent="0.2">
      <c r="A300" t="s">
        <v>1351</v>
      </c>
      <c r="B300" t="s">
        <v>1185</v>
      </c>
    </row>
    <row r="301" spans="1:2" x14ac:dyDescent="0.2">
      <c r="A301" t="s">
        <v>1351</v>
      </c>
      <c r="B301" t="s">
        <v>256</v>
      </c>
    </row>
    <row r="302" spans="1:2" x14ac:dyDescent="0.2">
      <c r="A302" t="s">
        <v>1351</v>
      </c>
      <c r="B302" t="s">
        <v>284</v>
      </c>
    </row>
    <row r="303" spans="1:2" x14ac:dyDescent="0.2">
      <c r="A303" t="s">
        <v>1351</v>
      </c>
      <c r="B303" t="s">
        <v>983</v>
      </c>
    </row>
    <row r="304" spans="1:2" x14ac:dyDescent="0.2">
      <c r="A304" t="s">
        <v>1351</v>
      </c>
      <c r="B304" t="s">
        <v>840</v>
      </c>
    </row>
    <row r="305" spans="1:2" x14ac:dyDescent="0.2">
      <c r="A305" t="s">
        <v>1351</v>
      </c>
      <c r="B305" t="s">
        <v>480</v>
      </c>
    </row>
    <row r="306" spans="1:2" x14ac:dyDescent="0.2">
      <c r="A306" t="s">
        <v>1351</v>
      </c>
      <c r="B306" t="s">
        <v>280</v>
      </c>
    </row>
    <row r="307" spans="1:2" x14ac:dyDescent="0.2">
      <c r="A307" t="s">
        <v>1351</v>
      </c>
      <c r="B307" t="s">
        <v>374</v>
      </c>
    </row>
    <row r="308" spans="1:2" x14ac:dyDescent="0.2">
      <c r="A308" t="s">
        <v>1351</v>
      </c>
      <c r="B308" t="s">
        <v>1196</v>
      </c>
    </row>
    <row r="309" spans="1:2" x14ac:dyDescent="0.2">
      <c r="A309" t="s">
        <v>1351</v>
      </c>
      <c r="B309" t="s">
        <v>1169</v>
      </c>
    </row>
    <row r="310" spans="1:2" x14ac:dyDescent="0.2">
      <c r="A310" t="s">
        <v>1351</v>
      </c>
      <c r="B310" t="s">
        <v>1200</v>
      </c>
    </row>
    <row r="311" spans="1:2" x14ac:dyDescent="0.2">
      <c r="A311" t="s">
        <v>1351</v>
      </c>
      <c r="B311" t="s">
        <v>1243</v>
      </c>
    </row>
    <row r="312" spans="1:2" x14ac:dyDescent="0.2">
      <c r="A312" t="s">
        <v>1351</v>
      </c>
      <c r="B312" t="s">
        <v>126</v>
      </c>
    </row>
    <row r="313" spans="1:2" x14ac:dyDescent="0.2">
      <c r="A313" t="s">
        <v>1351</v>
      </c>
      <c r="B313" t="s">
        <v>405</v>
      </c>
    </row>
    <row r="314" spans="1:2" x14ac:dyDescent="0.2">
      <c r="A314" t="s">
        <v>1351</v>
      </c>
      <c r="B314" t="s">
        <v>477</v>
      </c>
    </row>
    <row r="315" spans="1:2" x14ac:dyDescent="0.2">
      <c r="A315" t="s">
        <v>1351</v>
      </c>
      <c r="B315" t="s">
        <v>1184</v>
      </c>
    </row>
    <row r="316" spans="1:2" x14ac:dyDescent="0.2">
      <c r="A316" t="s">
        <v>1351</v>
      </c>
      <c r="B316" t="s">
        <v>234</v>
      </c>
    </row>
    <row r="317" spans="1:2" x14ac:dyDescent="0.2">
      <c r="A317" t="s">
        <v>1351</v>
      </c>
      <c r="B317" t="s">
        <v>1142</v>
      </c>
    </row>
    <row r="318" spans="1:2" x14ac:dyDescent="0.2">
      <c r="A318" t="s">
        <v>1351</v>
      </c>
      <c r="B318" t="s">
        <v>582</v>
      </c>
    </row>
    <row r="319" spans="1:2" x14ac:dyDescent="0.2">
      <c r="A319" t="s">
        <v>1351</v>
      </c>
      <c r="B319" t="s">
        <v>1268</v>
      </c>
    </row>
    <row r="320" spans="1:2" x14ac:dyDescent="0.2">
      <c r="A320" t="s">
        <v>1351</v>
      </c>
      <c r="B320" t="s">
        <v>1271</v>
      </c>
    </row>
    <row r="321" spans="1:2" x14ac:dyDescent="0.2">
      <c r="A321" t="s">
        <v>1351</v>
      </c>
      <c r="B321" t="s">
        <v>739</v>
      </c>
    </row>
    <row r="322" spans="1:2" x14ac:dyDescent="0.2">
      <c r="A322" t="s">
        <v>1351</v>
      </c>
      <c r="B322" t="s">
        <v>378</v>
      </c>
    </row>
    <row r="323" spans="1:2" x14ac:dyDescent="0.2">
      <c r="A323" t="s">
        <v>1351</v>
      </c>
      <c r="B323" t="s">
        <v>323</v>
      </c>
    </row>
    <row r="324" spans="1:2" x14ac:dyDescent="0.2">
      <c r="A324" t="s">
        <v>1351</v>
      </c>
      <c r="B324" t="s">
        <v>1269</v>
      </c>
    </row>
    <row r="325" spans="1:2" x14ac:dyDescent="0.2">
      <c r="A325" t="s">
        <v>1351</v>
      </c>
      <c r="B325" t="s">
        <v>655</v>
      </c>
    </row>
    <row r="326" spans="1:2" x14ac:dyDescent="0.2">
      <c r="A326" t="s">
        <v>1351</v>
      </c>
      <c r="B326" t="s">
        <v>309</v>
      </c>
    </row>
    <row r="327" spans="1:2" x14ac:dyDescent="0.2">
      <c r="A327" t="s">
        <v>1351</v>
      </c>
      <c r="B327" t="s">
        <v>213</v>
      </c>
    </row>
    <row r="328" spans="1:2" x14ac:dyDescent="0.2">
      <c r="A328" t="s">
        <v>1351</v>
      </c>
      <c r="B328" t="s">
        <v>1101</v>
      </c>
    </row>
    <row r="329" spans="1:2" x14ac:dyDescent="0.2">
      <c r="A329" t="s">
        <v>1351</v>
      </c>
      <c r="B329" t="s">
        <v>815</v>
      </c>
    </row>
    <row r="330" spans="1:2" x14ac:dyDescent="0.2">
      <c r="A330" t="s">
        <v>1351</v>
      </c>
      <c r="B330" t="s">
        <v>897</v>
      </c>
    </row>
    <row r="331" spans="1:2" x14ac:dyDescent="0.2">
      <c r="A331" t="s">
        <v>1351</v>
      </c>
      <c r="B331" t="s">
        <v>298</v>
      </c>
    </row>
    <row r="332" spans="1:2" x14ac:dyDescent="0.2">
      <c r="A332" t="s">
        <v>1351</v>
      </c>
      <c r="B332" t="s">
        <v>838</v>
      </c>
    </row>
    <row r="333" spans="1:2" x14ac:dyDescent="0.2">
      <c r="A333" t="s">
        <v>1351</v>
      </c>
      <c r="B333" t="s">
        <v>363</v>
      </c>
    </row>
    <row r="334" spans="1:2" x14ac:dyDescent="0.2">
      <c r="A334" t="s">
        <v>1351</v>
      </c>
      <c r="B334" t="s">
        <v>286</v>
      </c>
    </row>
    <row r="335" spans="1:2" x14ac:dyDescent="0.2">
      <c r="A335" t="s">
        <v>1351</v>
      </c>
      <c r="B335" t="s">
        <v>241</v>
      </c>
    </row>
    <row r="336" spans="1:2" x14ac:dyDescent="0.2">
      <c r="A336" t="s">
        <v>1351</v>
      </c>
      <c r="B336" t="s">
        <v>178</v>
      </c>
    </row>
    <row r="337" spans="1:2" x14ac:dyDescent="0.2">
      <c r="A337" t="s">
        <v>1351</v>
      </c>
      <c r="B337" t="s">
        <v>831</v>
      </c>
    </row>
    <row r="338" spans="1:2" x14ac:dyDescent="0.2">
      <c r="A338" t="s">
        <v>1351</v>
      </c>
      <c r="B338" t="s">
        <v>581</v>
      </c>
    </row>
    <row r="339" spans="1:2" x14ac:dyDescent="0.2">
      <c r="A339" t="s">
        <v>1351</v>
      </c>
      <c r="B339" t="s">
        <v>1071</v>
      </c>
    </row>
    <row r="340" spans="1:2" x14ac:dyDescent="0.2">
      <c r="A340" t="s">
        <v>1351</v>
      </c>
      <c r="B340" t="s">
        <v>303</v>
      </c>
    </row>
    <row r="341" spans="1:2" x14ac:dyDescent="0.2">
      <c r="A341" t="s">
        <v>1351</v>
      </c>
      <c r="B341" t="s">
        <v>224</v>
      </c>
    </row>
    <row r="342" spans="1:2" x14ac:dyDescent="0.2">
      <c r="A342" t="s">
        <v>1351</v>
      </c>
      <c r="B342" t="s">
        <v>794</v>
      </c>
    </row>
    <row r="343" spans="1:2" x14ac:dyDescent="0.2">
      <c r="A343" t="s">
        <v>1351</v>
      </c>
      <c r="B343" t="s">
        <v>1139</v>
      </c>
    </row>
    <row r="344" spans="1:2" x14ac:dyDescent="0.2">
      <c r="A344" t="s">
        <v>1351</v>
      </c>
      <c r="B344" t="s">
        <v>1258</v>
      </c>
    </row>
    <row r="345" spans="1:2" x14ac:dyDescent="0.2">
      <c r="A345" t="s">
        <v>1351</v>
      </c>
      <c r="B345" t="s">
        <v>1209</v>
      </c>
    </row>
    <row r="346" spans="1:2" x14ac:dyDescent="0.2">
      <c r="A346" t="s">
        <v>1351</v>
      </c>
      <c r="B346" t="s">
        <v>1055</v>
      </c>
    </row>
    <row r="347" spans="1:2" x14ac:dyDescent="0.2">
      <c r="A347" t="s">
        <v>1351</v>
      </c>
      <c r="B347" t="s">
        <v>485</v>
      </c>
    </row>
    <row r="348" spans="1:2" x14ac:dyDescent="0.2">
      <c r="A348" t="s">
        <v>1351</v>
      </c>
      <c r="B348" t="s">
        <v>166</v>
      </c>
    </row>
    <row r="349" spans="1:2" x14ac:dyDescent="0.2">
      <c r="A349" t="s">
        <v>1351</v>
      </c>
      <c r="B349" t="s">
        <v>147</v>
      </c>
    </row>
    <row r="350" spans="1:2" x14ac:dyDescent="0.2">
      <c r="A350" t="s">
        <v>1351</v>
      </c>
      <c r="B350" t="s">
        <v>1290</v>
      </c>
    </row>
    <row r="351" spans="1:2" x14ac:dyDescent="0.2">
      <c r="A351" t="s">
        <v>1351</v>
      </c>
      <c r="B351" t="s">
        <v>934</v>
      </c>
    </row>
    <row r="352" spans="1:2" x14ac:dyDescent="0.2">
      <c r="A352" t="s">
        <v>1351</v>
      </c>
      <c r="B352" t="s">
        <v>1076</v>
      </c>
    </row>
    <row r="353" spans="1:2" x14ac:dyDescent="0.2">
      <c r="A353" t="s">
        <v>1351</v>
      </c>
      <c r="B353" t="s">
        <v>872</v>
      </c>
    </row>
    <row r="354" spans="1:2" x14ac:dyDescent="0.2">
      <c r="A354" t="s">
        <v>1351</v>
      </c>
      <c r="B354" t="s">
        <v>1293</v>
      </c>
    </row>
    <row r="355" spans="1:2" x14ac:dyDescent="0.2">
      <c r="A355" t="s">
        <v>1351</v>
      </c>
      <c r="B355" t="s">
        <v>1304</v>
      </c>
    </row>
    <row r="356" spans="1:2" x14ac:dyDescent="0.2">
      <c r="A356" t="s">
        <v>1351</v>
      </c>
      <c r="B356" t="s">
        <v>141</v>
      </c>
    </row>
    <row r="357" spans="1:2" x14ac:dyDescent="0.2">
      <c r="A357" t="s">
        <v>1351</v>
      </c>
      <c r="B357" t="s">
        <v>1204</v>
      </c>
    </row>
    <row r="358" spans="1:2" x14ac:dyDescent="0.2">
      <c r="A358" t="s">
        <v>1351</v>
      </c>
      <c r="B358" t="s">
        <v>1286</v>
      </c>
    </row>
    <row r="359" spans="1:2" x14ac:dyDescent="0.2">
      <c r="A359" t="s">
        <v>1351</v>
      </c>
      <c r="B359" t="s">
        <v>204</v>
      </c>
    </row>
    <row r="360" spans="1:2" x14ac:dyDescent="0.2">
      <c r="A360" t="s">
        <v>1351</v>
      </c>
      <c r="B360" t="s">
        <v>1302</v>
      </c>
    </row>
    <row r="361" spans="1:2" x14ac:dyDescent="0.2">
      <c r="A361" t="s">
        <v>1351</v>
      </c>
      <c r="B361" t="s">
        <v>990</v>
      </c>
    </row>
    <row r="362" spans="1:2" x14ac:dyDescent="0.2">
      <c r="A362" t="s">
        <v>1351</v>
      </c>
      <c r="B362" t="s">
        <v>1284</v>
      </c>
    </row>
    <row r="363" spans="1:2" x14ac:dyDescent="0.2">
      <c r="A363" t="s">
        <v>1351</v>
      </c>
      <c r="B363" t="s">
        <v>558</v>
      </c>
    </row>
    <row r="364" spans="1:2" x14ac:dyDescent="0.2">
      <c r="A364" t="s">
        <v>1351</v>
      </c>
      <c r="B364" t="s">
        <v>1151</v>
      </c>
    </row>
    <row r="365" spans="1:2" x14ac:dyDescent="0.2">
      <c r="A365" t="s">
        <v>1351</v>
      </c>
      <c r="B365" t="s">
        <v>387</v>
      </c>
    </row>
    <row r="366" spans="1:2" x14ac:dyDescent="0.2">
      <c r="A366" t="s">
        <v>1351</v>
      </c>
      <c r="B366" t="s">
        <v>1241</v>
      </c>
    </row>
    <row r="367" spans="1:2" x14ac:dyDescent="0.2">
      <c r="A367" t="s">
        <v>1351</v>
      </c>
      <c r="B367" t="s">
        <v>1157</v>
      </c>
    </row>
    <row r="368" spans="1:2" x14ac:dyDescent="0.2">
      <c r="A368" t="s">
        <v>1351</v>
      </c>
      <c r="B368" t="s">
        <v>816</v>
      </c>
    </row>
    <row r="369" spans="1:2" x14ac:dyDescent="0.2">
      <c r="A369" t="s">
        <v>1351</v>
      </c>
      <c r="B369" t="s">
        <v>106</v>
      </c>
    </row>
    <row r="370" spans="1:2" x14ac:dyDescent="0.2">
      <c r="A370" t="s">
        <v>1351</v>
      </c>
      <c r="B370" t="s">
        <v>53</v>
      </c>
    </row>
    <row r="371" spans="1:2" x14ac:dyDescent="0.2">
      <c r="A371" t="s">
        <v>1351</v>
      </c>
      <c r="B371" t="s">
        <v>865</v>
      </c>
    </row>
    <row r="372" spans="1:2" x14ac:dyDescent="0.2">
      <c r="A372" t="s">
        <v>1351</v>
      </c>
      <c r="B372" t="s">
        <v>806</v>
      </c>
    </row>
    <row r="373" spans="1:2" x14ac:dyDescent="0.2">
      <c r="A373" t="s">
        <v>1351</v>
      </c>
      <c r="B373" t="s">
        <v>1329</v>
      </c>
    </row>
    <row r="374" spans="1:2" x14ac:dyDescent="0.2">
      <c r="A374" t="s">
        <v>1351</v>
      </c>
      <c r="B374" t="s">
        <v>871</v>
      </c>
    </row>
    <row r="375" spans="1:2" x14ac:dyDescent="0.2">
      <c r="A375" t="s">
        <v>1351</v>
      </c>
      <c r="B375" t="s">
        <v>1059</v>
      </c>
    </row>
    <row r="376" spans="1:2" x14ac:dyDescent="0.2">
      <c r="A376" t="s">
        <v>1351</v>
      </c>
      <c r="B376" t="s">
        <v>1135</v>
      </c>
    </row>
    <row r="377" spans="1:2" x14ac:dyDescent="0.2">
      <c r="A377" t="s">
        <v>1351</v>
      </c>
      <c r="B377" t="s">
        <v>434</v>
      </c>
    </row>
    <row r="378" spans="1:2" x14ac:dyDescent="0.2">
      <c r="A378" t="s">
        <v>1351</v>
      </c>
      <c r="B378" t="s">
        <v>672</v>
      </c>
    </row>
    <row r="379" spans="1:2" x14ac:dyDescent="0.2">
      <c r="A379" t="s">
        <v>1351</v>
      </c>
      <c r="B379" t="s">
        <v>1028</v>
      </c>
    </row>
    <row r="380" spans="1:2" x14ac:dyDescent="0.2">
      <c r="A380" t="s">
        <v>1351</v>
      </c>
      <c r="B380" t="s">
        <v>869</v>
      </c>
    </row>
    <row r="381" spans="1:2" x14ac:dyDescent="0.2">
      <c r="A381" t="s">
        <v>1351</v>
      </c>
      <c r="B381" t="s">
        <v>67</v>
      </c>
    </row>
    <row r="382" spans="1:2" x14ac:dyDescent="0.2">
      <c r="A382" t="s">
        <v>1352</v>
      </c>
      <c r="B382" t="s">
        <v>412</v>
      </c>
    </row>
    <row r="383" spans="1:2" x14ac:dyDescent="0.2">
      <c r="A383" t="s">
        <v>1352</v>
      </c>
      <c r="B383" t="s">
        <v>742</v>
      </c>
    </row>
    <row r="384" spans="1:2" x14ac:dyDescent="0.2">
      <c r="A384" t="s">
        <v>1352</v>
      </c>
      <c r="B384" t="s">
        <v>748</v>
      </c>
    </row>
    <row r="385" spans="1:2" x14ac:dyDescent="0.2">
      <c r="A385" t="s">
        <v>1352</v>
      </c>
      <c r="B385" t="s">
        <v>108</v>
      </c>
    </row>
    <row r="386" spans="1:2" x14ac:dyDescent="0.2">
      <c r="A386" t="s">
        <v>1352</v>
      </c>
      <c r="B386" t="s">
        <v>754</v>
      </c>
    </row>
    <row r="387" spans="1:2" x14ac:dyDescent="0.2">
      <c r="A387" t="s">
        <v>1352</v>
      </c>
      <c r="B387" t="s">
        <v>759</v>
      </c>
    </row>
    <row r="388" spans="1:2" x14ac:dyDescent="0.2">
      <c r="A388" t="s">
        <v>1352</v>
      </c>
      <c r="B388" t="s">
        <v>763</v>
      </c>
    </row>
    <row r="389" spans="1:2" x14ac:dyDescent="0.2">
      <c r="A389" t="s">
        <v>1352</v>
      </c>
      <c r="B389" t="s">
        <v>441</v>
      </c>
    </row>
    <row r="390" spans="1:2" x14ac:dyDescent="0.2">
      <c r="A390" t="s">
        <v>1352</v>
      </c>
      <c r="B390" t="s">
        <v>765</v>
      </c>
    </row>
    <row r="391" spans="1:2" x14ac:dyDescent="0.2">
      <c r="A391" t="s">
        <v>1352</v>
      </c>
      <c r="B391" t="s">
        <v>772</v>
      </c>
    </row>
    <row r="392" spans="1:2" x14ac:dyDescent="0.2">
      <c r="A392" t="s">
        <v>1352</v>
      </c>
      <c r="B392" t="s">
        <v>777</v>
      </c>
    </row>
    <row r="393" spans="1:2" x14ac:dyDescent="0.2">
      <c r="A393" t="s">
        <v>1352</v>
      </c>
      <c r="B393" t="s">
        <v>790</v>
      </c>
    </row>
    <row r="394" spans="1:2" x14ac:dyDescent="0.2">
      <c r="A394" t="s">
        <v>1352</v>
      </c>
      <c r="B394" t="s">
        <v>792</v>
      </c>
    </row>
    <row r="395" spans="1:2" x14ac:dyDescent="0.2">
      <c r="A395" t="s">
        <v>1352</v>
      </c>
      <c r="B395" t="s">
        <v>240</v>
      </c>
    </row>
    <row r="396" spans="1:2" x14ac:dyDescent="0.2">
      <c r="A396" t="s">
        <v>1352</v>
      </c>
      <c r="B396" t="s">
        <v>799</v>
      </c>
    </row>
    <row r="397" spans="1:2" x14ac:dyDescent="0.2">
      <c r="A397" t="s">
        <v>1352</v>
      </c>
      <c r="B397" t="s">
        <v>702</v>
      </c>
    </row>
    <row r="398" spans="1:2" x14ac:dyDescent="0.2">
      <c r="A398" t="s">
        <v>1352</v>
      </c>
      <c r="B398" t="s">
        <v>547</v>
      </c>
    </row>
    <row r="399" spans="1:2" x14ac:dyDescent="0.2">
      <c r="A399" t="s">
        <v>1352</v>
      </c>
      <c r="B399" t="s">
        <v>812</v>
      </c>
    </row>
    <row r="400" spans="1:2" x14ac:dyDescent="0.2">
      <c r="A400" t="s">
        <v>1352</v>
      </c>
      <c r="B400" t="s">
        <v>821</v>
      </c>
    </row>
    <row r="401" spans="1:2" x14ac:dyDescent="0.2">
      <c r="A401" t="s">
        <v>1352</v>
      </c>
      <c r="B401" t="s">
        <v>824</v>
      </c>
    </row>
    <row r="402" spans="1:2" x14ac:dyDescent="0.2">
      <c r="A402" t="s">
        <v>1352</v>
      </c>
      <c r="B402" t="s">
        <v>93</v>
      </c>
    </row>
    <row r="403" spans="1:2" x14ac:dyDescent="0.2">
      <c r="A403" t="s">
        <v>1352</v>
      </c>
      <c r="B403" t="s">
        <v>828</v>
      </c>
    </row>
    <row r="404" spans="1:2" x14ac:dyDescent="0.2">
      <c r="A404" t="s">
        <v>1352</v>
      </c>
      <c r="B404" t="s">
        <v>829</v>
      </c>
    </row>
    <row r="405" spans="1:2" x14ac:dyDescent="0.2">
      <c r="A405" t="s">
        <v>1352</v>
      </c>
      <c r="B405" t="s">
        <v>832</v>
      </c>
    </row>
    <row r="406" spans="1:2" x14ac:dyDescent="0.2">
      <c r="A406" t="s">
        <v>1352</v>
      </c>
      <c r="B406" t="s">
        <v>836</v>
      </c>
    </row>
    <row r="407" spans="1:2" x14ac:dyDescent="0.2">
      <c r="A407" t="s">
        <v>1352</v>
      </c>
      <c r="B407" t="s">
        <v>543</v>
      </c>
    </row>
    <row r="408" spans="1:2" x14ac:dyDescent="0.2">
      <c r="A408" t="s">
        <v>1352</v>
      </c>
      <c r="B408" t="s">
        <v>838</v>
      </c>
    </row>
    <row r="409" spans="1:2" x14ac:dyDescent="0.2">
      <c r="A409" t="s">
        <v>1352</v>
      </c>
      <c r="B409" t="s">
        <v>841</v>
      </c>
    </row>
    <row r="410" spans="1:2" x14ac:dyDescent="0.2">
      <c r="A410" t="s">
        <v>1352</v>
      </c>
      <c r="B410" t="s">
        <v>845</v>
      </c>
    </row>
    <row r="411" spans="1:2" x14ac:dyDescent="0.2">
      <c r="A411" t="s">
        <v>1352</v>
      </c>
      <c r="B411" t="s">
        <v>854</v>
      </c>
    </row>
    <row r="412" spans="1:2" x14ac:dyDescent="0.2">
      <c r="A412" t="s">
        <v>1352</v>
      </c>
      <c r="B412" t="s">
        <v>361</v>
      </c>
    </row>
    <row r="413" spans="1:2" x14ac:dyDescent="0.2">
      <c r="A413" t="s">
        <v>1352</v>
      </c>
      <c r="B413" t="s">
        <v>857</v>
      </c>
    </row>
    <row r="414" spans="1:2" x14ac:dyDescent="0.2">
      <c r="A414" t="s">
        <v>1352</v>
      </c>
      <c r="B414" t="s">
        <v>859</v>
      </c>
    </row>
    <row r="415" spans="1:2" x14ac:dyDescent="0.2">
      <c r="A415" t="s">
        <v>1352</v>
      </c>
      <c r="B415" t="s">
        <v>174</v>
      </c>
    </row>
    <row r="416" spans="1:2" x14ac:dyDescent="0.2">
      <c r="A416" t="s">
        <v>1352</v>
      </c>
      <c r="B416" t="s">
        <v>606</v>
      </c>
    </row>
    <row r="417" spans="1:2" x14ac:dyDescent="0.2">
      <c r="A417" t="s">
        <v>1352</v>
      </c>
      <c r="B417" t="s">
        <v>555</v>
      </c>
    </row>
    <row r="418" spans="1:2" x14ac:dyDescent="0.2">
      <c r="A418" t="s">
        <v>1352</v>
      </c>
      <c r="B418" t="s">
        <v>144</v>
      </c>
    </row>
    <row r="419" spans="1:2" x14ac:dyDescent="0.2">
      <c r="A419" t="s">
        <v>1352</v>
      </c>
      <c r="B419" t="s">
        <v>694</v>
      </c>
    </row>
    <row r="420" spans="1:2" x14ac:dyDescent="0.2">
      <c r="A420" t="s">
        <v>1352</v>
      </c>
      <c r="B420" t="s">
        <v>437</v>
      </c>
    </row>
    <row r="421" spans="1:2" x14ac:dyDescent="0.2">
      <c r="A421" t="s">
        <v>1352</v>
      </c>
      <c r="B421" t="s">
        <v>886</v>
      </c>
    </row>
    <row r="422" spans="1:2" x14ac:dyDescent="0.2">
      <c r="A422" t="s">
        <v>1352</v>
      </c>
      <c r="B422" t="s">
        <v>400</v>
      </c>
    </row>
    <row r="423" spans="1:2" x14ac:dyDescent="0.2">
      <c r="A423" t="s">
        <v>1352</v>
      </c>
      <c r="B423" t="s">
        <v>307</v>
      </c>
    </row>
    <row r="424" spans="1:2" x14ac:dyDescent="0.2">
      <c r="A424" t="s">
        <v>1352</v>
      </c>
      <c r="B424" t="s">
        <v>895</v>
      </c>
    </row>
    <row r="425" spans="1:2" x14ac:dyDescent="0.2">
      <c r="A425" t="s">
        <v>1352</v>
      </c>
      <c r="B425" t="s">
        <v>902</v>
      </c>
    </row>
    <row r="426" spans="1:2" x14ac:dyDescent="0.2">
      <c r="A426" t="s">
        <v>1352</v>
      </c>
      <c r="B426" t="s">
        <v>907</v>
      </c>
    </row>
    <row r="427" spans="1:2" x14ac:dyDescent="0.2">
      <c r="A427" t="s">
        <v>1352</v>
      </c>
      <c r="B427" t="s">
        <v>910</v>
      </c>
    </row>
    <row r="428" spans="1:2" x14ac:dyDescent="0.2">
      <c r="A428" t="s">
        <v>1352</v>
      </c>
      <c r="B428" t="s">
        <v>914</v>
      </c>
    </row>
    <row r="429" spans="1:2" x14ac:dyDescent="0.2">
      <c r="A429" t="s">
        <v>1352</v>
      </c>
      <c r="B429" t="s">
        <v>274</v>
      </c>
    </row>
    <row r="430" spans="1:2" x14ac:dyDescent="0.2">
      <c r="A430" t="s">
        <v>1352</v>
      </c>
      <c r="B430" t="s">
        <v>923</v>
      </c>
    </row>
    <row r="431" spans="1:2" x14ac:dyDescent="0.2">
      <c r="A431" t="s">
        <v>1352</v>
      </c>
      <c r="B431" t="s">
        <v>909</v>
      </c>
    </row>
    <row r="432" spans="1:2" x14ac:dyDescent="0.2">
      <c r="A432" t="s">
        <v>1352</v>
      </c>
      <c r="B432" t="s">
        <v>286</v>
      </c>
    </row>
    <row r="433" spans="1:2" x14ac:dyDescent="0.2">
      <c r="A433" t="s">
        <v>1352</v>
      </c>
      <c r="B433" t="s">
        <v>326</v>
      </c>
    </row>
    <row r="434" spans="1:2" x14ac:dyDescent="0.2">
      <c r="A434" t="s">
        <v>1352</v>
      </c>
      <c r="B434" t="s">
        <v>153</v>
      </c>
    </row>
    <row r="435" spans="1:2" x14ac:dyDescent="0.2">
      <c r="A435" t="s">
        <v>1352</v>
      </c>
      <c r="B435" t="s">
        <v>943</v>
      </c>
    </row>
    <row r="436" spans="1:2" x14ac:dyDescent="0.2">
      <c r="A436" t="s">
        <v>1352</v>
      </c>
      <c r="B436" t="s">
        <v>524</v>
      </c>
    </row>
    <row r="437" spans="1:2" x14ac:dyDescent="0.2">
      <c r="A437" t="s">
        <v>1352</v>
      </c>
      <c r="B437" t="s">
        <v>955</v>
      </c>
    </row>
    <row r="438" spans="1:2" x14ac:dyDescent="0.2">
      <c r="A438" t="s">
        <v>1352</v>
      </c>
      <c r="B438" t="s">
        <v>517</v>
      </c>
    </row>
    <row r="439" spans="1:2" x14ac:dyDescent="0.2">
      <c r="A439" t="s">
        <v>1352</v>
      </c>
      <c r="B439" t="s">
        <v>908</v>
      </c>
    </row>
    <row r="440" spans="1:2" x14ac:dyDescent="0.2">
      <c r="A440" t="s">
        <v>1352</v>
      </c>
      <c r="B440" t="s">
        <v>457</v>
      </c>
    </row>
    <row r="441" spans="1:2" x14ac:dyDescent="0.2">
      <c r="A441" t="s">
        <v>1352</v>
      </c>
      <c r="B441" t="s">
        <v>970</v>
      </c>
    </row>
    <row r="442" spans="1:2" x14ac:dyDescent="0.2">
      <c r="A442" t="s">
        <v>1352</v>
      </c>
      <c r="B442" t="s">
        <v>70</v>
      </c>
    </row>
    <row r="443" spans="1:2" x14ac:dyDescent="0.2">
      <c r="A443" t="s">
        <v>1352</v>
      </c>
      <c r="B443" t="s">
        <v>636</v>
      </c>
    </row>
    <row r="444" spans="1:2" x14ac:dyDescent="0.2">
      <c r="A444" t="s">
        <v>1352</v>
      </c>
      <c r="B444" t="s">
        <v>871</v>
      </c>
    </row>
    <row r="445" spans="1:2" x14ac:dyDescent="0.2">
      <c r="A445" t="s">
        <v>1352</v>
      </c>
      <c r="B445" t="s">
        <v>980</v>
      </c>
    </row>
    <row r="446" spans="1:2" x14ac:dyDescent="0.2">
      <c r="A446" t="s">
        <v>1352</v>
      </c>
      <c r="B446" t="s">
        <v>141</v>
      </c>
    </row>
    <row r="447" spans="1:2" x14ac:dyDescent="0.2">
      <c r="A447" t="s">
        <v>1352</v>
      </c>
      <c r="B447" t="s">
        <v>724</v>
      </c>
    </row>
    <row r="448" spans="1:2" x14ac:dyDescent="0.2">
      <c r="A448" t="s">
        <v>1352</v>
      </c>
      <c r="B448" t="s">
        <v>723</v>
      </c>
    </row>
    <row r="449" spans="1:2" x14ac:dyDescent="0.2">
      <c r="A449" t="s">
        <v>1352</v>
      </c>
      <c r="B449" t="s">
        <v>514</v>
      </c>
    </row>
    <row r="450" spans="1:2" x14ac:dyDescent="0.2">
      <c r="A450" t="s">
        <v>1352</v>
      </c>
      <c r="B450" t="s">
        <v>338</v>
      </c>
    </row>
    <row r="451" spans="1:2" x14ac:dyDescent="0.2">
      <c r="A451" t="s">
        <v>1352</v>
      </c>
      <c r="B451" t="s">
        <v>997</v>
      </c>
    </row>
    <row r="452" spans="1:2" x14ac:dyDescent="0.2">
      <c r="A452" t="s">
        <v>1352</v>
      </c>
      <c r="B452" t="s">
        <v>331</v>
      </c>
    </row>
    <row r="453" spans="1:2" x14ac:dyDescent="0.2">
      <c r="A453" t="s">
        <v>1352</v>
      </c>
      <c r="B453" t="s">
        <v>1096</v>
      </c>
    </row>
    <row r="454" spans="1:2" x14ac:dyDescent="0.2">
      <c r="A454" t="s">
        <v>1352</v>
      </c>
      <c r="B454" t="s">
        <v>345</v>
      </c>
    </row>
    <row r="455" spans="1:2" x14ac:dyDescent="0.2">
      <c r="A455" t="s">
        <v>1352</v>
      </c>
      <c r="B455" t="s">
        <v>1033</v>
      </c>
    </row>
    <row r="456" spans="1:2" x14ac:dyDescent="0.2">
      <c r="A456" t="s">
        <v>1352</v>
      </c>
      <c r="B456" t="s">
        <v>293</v>
      </c>
    </row>
    <row r="457" spans="1:2" x14ac:dyDescent="0.2">
      <c r="A457" t="s">
        <v>1352</v>
      </c>
      <c r="B457" t="s">
        <v>634</v>
      </c>
    </row>
    <row r="458" spans="1:2" x14ac:dyDescent="0.2">
      <c r="A458" t="s">
        <v>1352</v>
      </c>
      <c r="B458" t="s">
        <v>1117</v>
      </c>
    </row>
    <row r="459" spans="1:2" x14ac:dyDescent="0.2">
      <c r="A459" t="s">
        <v>1352</v>
      </c>
      <c r="B459" t="s">
        <v>1123</v>
      </c>
    </row>
    <row r="460" spans="1:2" x14ac:dyDescent="0.2">
      <c r="A460" t="s">
        <v>1352</v>
      </c>
      <c r="B460" t="s">
        <v>348</v>
      </c>
    </row>
    <row r="461" spans="1:2" x14ac:dyDescent="0.2">
      <c r="A461" t="s">
        <v>1352</v>
      </c>
      <c r="B461" t="s">
        <v>934</v>
      </c>
    </row>
    <row r="462" spans="1:2" x14ac:dyDescent="0.2">
      <c r="A462" t="s">
        <v>1352</v>
      </c>
      <c r="B462" t="s">
        <v>588</v>
      </c>
    </row>
    <row r="463" spans="1:2" x14ac:dyDescent="0.2">
      <c r="A463" t="s">
        <v>1352</v>
      </c>
      <c r="B463" t="s">
        <v>496</v>
      </c>
    </row>
    <row r="464" spans="1:2" x14ac:dyDescent="0.2">
      <c r="A464" t="s">
        <v>1352</v>
      </c>
      <c r="B464" t="s">
        <v>1148</v>
      </c>
    </row>
    <row r="465" spans="1:2" x14ac:dyDescent="0.2">
      <c r="A465" t="s">
        <v>1352</v>
      </c>
      <c r="B465" t="s">
        <v>1022</v>
      </c>
    </row>
    <row r="466" spans="1:2" x14ac:dyDescent="0.2">
      <c r="A466" t="s">
        <v>1352</v>
      </c>
      <c r="B466" t="s">
        <v>1060</v>
      </c>
    </row>
    <row r="467" spans="1:2" x14ac:dyDescent="0.2">
      <c r="A467" t="s">
        <v>1352</v>
      </c>
      <c r="B467" t="s">
        <v>755</v>
      </c>
    </row>
    <row r="468" spans="1:2" x14ac:dyDescent="0.2">
      <c r="A468" t="s">
        <v>1352</v>
      </c>
      <c r="B468" t="s">
        <v>1164</v>
      </c>
    </row>
    <row r="469" spans="1:2" x14ac:dyDescent="0.2">
      <c r="A469" t="s">
        <v>1352</v>
      </c>
      <c r="B469" t="s">
        <v>411</v>
      </c>
    </row>
    <row r="470" spans="1:2" x14ac:dyDescent="0.2">
      <c r="A470" t="s">
        <v>1352</v>
      </c>
      <c r="B470" t="s">
        <v>328</v>
      </c>
    </row>
    <row r="471" spans="1:2" x14ac:dyDescent="0.2">
      <c r="A471" t="s">
        <v>1352</v>
      </c>
      <c r="B471" t="s">
        <v>789</v>
      </c>
    </row>
    <row r="472" spans="1:2" x14ac:dyDescent="0.2">
      <c r="A472" t="s">
        <v>1352</v>
      </c>
      <c r="B472" t="s">
        <v>1170</v>
      </c>
    </row>
    <row r="473" spans="1:2" x14ac:dyDescent="0.2">
      <c r="A473" t="s">
        <v>1352</v>
      </c>
      <c r="B473" t="s">
        <v>810</v>
      </c>
    </row>
    <row r="474" spans="1:2" x14ac:dyDescent="0.2">
      <c r="A474" t="s">
        <v>1352</v>
      </c>
      <c r="B474" t="s">
        <v>417</v>
      </c>
    </row>
    <row r="475" spans="1:2" x14ac:dyDescent="0.2">
      <c r="A475" t="s">
        <v>1352</v>
      </c>
      <c r="B475" t="s">
        <v>567</v>
      </c>
    </row>
    <row r="476" spans="1:2" x14ac:dyDescent="0.2">
      <c r="A476" t="s">
        <v>1352</v>
      </c>
      <c r="B476" t="s">
        <v>1208</v>
      </c>
    </row>
    <row r="477" spans="1:2" x14ac:dyDescent="0.2">
      <c r="A477" t="s">
        <v>1352</v>
      </c>
      <c r="B477" t="s">
        <v>1215</v>
      </c>
    </row>
    <row r="478" spans="1:2" x14ac:dyDescent="0.2">
      <c r="A478" t="s">
        <v>1352</v>
      </c>
      <c r="B478" t="s">
        <v>973</v>
      </c>
    </row>
    <row r="479" spans="1:2" x14ac:dyDescent="0.2">
      <c r="A479" t="s">
        <v>1352</v>
      </c>
      <c r="B479" t="s">
        <v>1034</v>
      </c>
    </row>
    <row r="480" spans="1:2" x14ac:dyDescent="0.2">
      <c r="A480" t="s">
        <v>1352</v>
      </c>
      <c r="B480" t="s">
        <v>403</v>
      </c>
    </row>
    <row r="481" spans="1:2" x14ac:dyDescent="0.2">
      <c r="A481" t="s">
        <v>1352</v>
      </c>
      <c r="B481" t="s">
        <v>744</v>
      </c>
    </row>
    <row r="482" spans="1:2" x14ac:dyDescent="0.2">
      <c r="A482" t="s">
        <v>1352</v>
      </c>
      <c r="B482" t="s">
        <v>1240</v>
      </c>
    </row>
    <row r="483" spans="1:2" x14ac:dyDescent="0.2">
      <c r="A483" t="s">
        <v>1352</v>
      </c>
      <c r="B483" t="s">
        <v>800</v>
      </c>
    </row>
    <row r="484" spans="1:2" x14ac:dyDescent="0.2">
      <c r="A484" t="s">
        <v>1352</v>
      </c>
      <c r="B484" t="s">
        <v>540</v>
      </c>
    </row>
    <row r="485" spans="1:2" x14ac:dyDescent="0.2">
      <c r="A485" t="s">
        <v>1352</v>
      </c>
      <c r="B485" t="s">
        <v>976</v>
      </c>
    </row>
    <row r="486" spans="1:2" x14ac:dyDescent="0.2">
      <c r="A486" t="s">
        <v>1352</v>
      </c>
      <c r="B486" t="s">
        <v>428</v>
      </c>
    </row>
    <row r="487" spans="1:2" x14ac:dyDescent="0.2">
      <c r="A487" t="s">
        <v>1352</v>
      </c>
      <c r="B487" t="s">
        <v>29</v>
      </c>
    </row>
    <row r="488" spans="1:2" x14ac:dyDescent="0.2">
      <c r="A488" t="s">
        <v>1352</v>
      </c>
      <c r="B488" t="s">
        <v>1223</v>
      </c>
    </row>
    <row r="489" spans="1:2" x14ac:dyDescent="0.2">
      <c r="A489" t="s">
        <v>1352</v>
      </c>
      <c r="B489" t="s">
        <v>124</v>
      </c>
    </row>
    <row r="490" spans="1:2" x14ac:dyDescent="0.2">
      <c r="A490" t="s">
        <v>1352</v>
      </c>
      <c r="B490" t="s">
        <v>330</v>
      </c>
    </row>
    <row r="491" spans="1:2" x14ac:dyDescent="0.2">
      <c r="A491" t="s">
        <v>1352</v>
      </c>
      <c r="B491" t="s">
        <v>961</v>
      </c>
    </row>
    <row r="492" spans="1:2" x14ac:dyDescent="0.2">
      <c r="A492" t="s">
        <v>1352</v>
      </c>
      <c r="B492" t="s">
        <v>1027</v>
      </c>
    </row>
    <row r="493" spans="1:2" x14ac:dyDescent="0.2">
      <c r="A493" t="s">
        <v>1352</v>
      </c>
      <c r="B493" t="s">
        <v>1011</v>
      </c>
    </row>
    <row r="494" spans="1:2" x14ac:dyDescent="0.2">
      <c r="A494" t="s">
        <v>1352</v>
      </c>
      <c r="B494" t="s">
        <v>869</v>
      </c>
    </row>
    <row r="495" spans="1:2" x14ac:dyDescent="0.2">
      <c r="A495" t="s">
        <v>1352</v>
      </c>
      <c r="B495" t="s">
        <v>701</v>
      </c>
    </row>
    <row r="496" spans="1:2" x14ac:dyDescent="0.2">
      <c r="A496" t="s">
        <v>1352</v>
      </c>
      <c r="B496" t="s">
        <v>640</v>
      </c>
    </row>
    <row r="497" spans="1:2" x14ac:dyDescent="0.2">
      <c r="A497" t="s">
        <v>1352</v>
      </c>
      <c r="B497" t="s">
        <v>983</v>
      </c>
    </row>
    <row r="498" spans="1:2" x14ac:dyDescent="0.2">
      <c r="A498" t="s">
        <v>1352</v>
      </c>
      <c r="B498" t="s">
        <v>31</v>
      </c>
    </row>
    <row r="499" spans="1:2" x14ac:dyDescent="0.2">
      <c r="A499" t="s">
        <v>1352</v>
      </c>
      <c r="B499" t="s">
        <v>920</v>
      </c>
    </row>
    <row r="500" spans="1:2" x14ac:dyDescent="0.2">
      <c r="A500" t="s">
        <v>1352</v>
      </c>
      <c r="B500" t="s">
        <v>336</v>
      </c>
    </row>
    <row r="501" spans="1:2" x14ac:dyDescent="0.2">
      <c r="A501" t="s">
        <v>1352</v>
      </c>
      <c r="B501" t="s">
        <v>932</v>
      </c>
    </row>
    <row r="502" spans="1:2" x14ac:dyDescent="0.2">
      <c r="A502" t="s">
        <v>1352</v>
      </c>
      <c r="B502" t="s">
        <v>131</v>
      </c>
    </row>
    <row r="503" spans="1:2" x14ac:dyDescent="0.2">
      <c r="A503" t="s">
        <v>1352</v>
      </c>
      <c r="B503" t="s">
        <v>381</v>
      </c>
    </row>
    <row r="504" spans="1:2" x14ac:dyDescent="0.2">
      <c r="A504" t="s">
        <v>1352</v>
      </c>
      <c r="B504" t="s">
        <v>972</v>
      </c>
    </row>
    <row r="505" spans="1:2" x14ac:dyDescent="0.2">
      <c r="A505" t="s">
        <v>1352</v>
      </c>
      <c r="B505" t="s">
        <v>234</v>
      </c>
    </row>
    <row r="506" spans="1:2" x14ac:dyDescent="0.2">
      <c r="A506" t="s">
        <v>1352</v>
      </c>
      <c r="B506" t="s">
        <v>998</v>
      </c>
    </row>
    <row r="507" spans="1:2" x14ac:dyDescent="0.2">
      <c r="A507" t="s">
        <v>1352</v>
      </c>
      <c r="B507" t="s">
        <v>527</v>
      </c>
    </row>
    <row r="508" spans="1:2" x14ac:dyDescent="0.2">
      <c r="A508" t="s">
        <v>1352</v>
      </c>
      <c r="B508" t="s">
        <v>319</v>
      </c>
    </row>
    <row r="509" spans="1:2" x14ac:dyDescent="0.2">
      <c r="A509" t="s">
        <v>1352</v>
      </c>
      <c r="B509" t="s">
        <v>1029</v>
      </c>
    </row>
    <row r="510" spans="1:2" x14ac:dyDescent="0.2">
      <c r="A510" t="s">
        <v>1352</v>
      </c>
      <c r="B510" t="s">
        <v>1102</v>
      </c>
    </row>
    <row r="511" spans="1:2" x14ac:dyDescent="0.2">
      <c r="A511" t="s">
        <v>1352</v>
      </c>
      <c r="B511" t="s">
        <v>477</v>
      </c>
    </row>
    <row r="512" spans="1:2" x14ac:dyDescent="0.2">
      <c r="A512" t="s">
        <v>1352</v>
      </c>
      <c r="B512" t="s">
        <v>213</v>
      </c>
    </row>
    <row r="513" spans="1:2" x14ac:dyDescent="0.2">
      <c r="A513" t="s">
        <v>1352</v>
      </c>
      <c r="B513" t="s">
        <v>295</v>
      </c>
    </row>
    <row r="514" spans="1:2" x14ac:dyDescent="0.2">
      <c r="A514" t="s">
        <v>1352</v>
      </c>
      <c r="B514" t="s">
        <v>1167</v>
      </c>
    </row>
    <row r="515" spans="1:2" x14ac:dyDescent="0.2">
      <c r="A515" t="s">
        <v>1352</v>
      </c>
      <c r="B515" t="s">
        <v>1207</v>
      </c>
    </row>
    <row r="516" spans="1:2" x14ac:dyDescent="0.2">
      <c r="A516" t="s">
        <v>1352</v>
      </c>
      <c r="B516" t="s">
        <v>510</v>
      </c>
    </row>
    <row r="517" spans="1:2" x14ac:dyDescent="0.2">
      <c r="A517" t="s">
        <v>1352</v>
      </c>
      <c r="B517" t="s">
        <v>1097</v>
      </c>
    </row>
    <row r="518" spans="1:2" x14ac:dyDescent="0.2">
      <c r="A518" t="s">
        <v>1352</v>
      </c>
      <c r="B518" t="s">
        <v>1232</v>
      </c>
    </row>
    <row r="519" spans="1:2" x14ac:dyDescent="0.2">
      <c r="A519" t="s">
        <v>1352</v>
      </c>
      <c r="B519" t="s">
        <v>1132</v>
      </c>
    </row>
    <row r="520" spans="1:2" x14ac:dyDescent="0.2">
      <c r="A520" t="s">
        <v>1352</v>
      </c>
      <c r="B520" t="s">
        <v>1030</v>
      </c>
    </row>
    <row r="521" spans="1:2" x14ac:dyDescent="0.2">
      <c r="A521" t="s">
        <v>1352</v>
      </c>
      <c r="B521" t="s">
        <v>708</v>
      </c>
    </row>
    <row r="522" spans="1:2" x14ac:dyDescent="0.2">
      <c r="A522" t="s">
        <v>1352</v>
      </c>
      <c r="B522" t="s">
        <v>586</v>
      </c>
    </row>
    <row r="523" spans="1:2" x14ac:dyDescent="0.2">
      <c r="A523" t="s">
        <v>1352</v>
      </c>
      <c r="B523" t="s">
        <v>843</v>
      </c>
    </row>
    <row r="524" spans="1:2" x14ac:dyDescent="0.2">
      <c r="A524" t="s">
        <v>1352</v>
      </c>
      <c r="B524" t="s">
        <v>658</v>
      </c>
    </row>
    <row r="525" spans="1:2" x14ac:dyDescent="0.2">
      <c r="A525" t="s">
        <v>1352</v>
      </c>
      <c r="B525" t="s">
        <v>707</v>
      </c>
    </row>
    <row r="526" spans="1:2" x14ac:dyDescent="0.2">
      <c r="A526" t="s">
        <v>1352</v>
      </c>
      <c r="B526" t="s">
        <v>539</v>
      </c>
    </row>
    <row r="527" spans="1:2" x14ac:dyDescent="0.2">
      <c r="A527" t="s">
        <v>1352</v>
      </c>
      <c r="B527" t="s">
        <v>561</v>
      </c>
    </row>
    <row r="528" spans="1:2" x14ac:dyDescent="0.2">
      <c r="A528" t="s">
        <v>1352</v>
      </c>
      <c r="B528" t="s">
        <v>91</v>
      </c>
    </row>
    <row r="529" spans="1:2" x14ac:dyDescent="0.2">
      <c r="A529" t="s">
        <v>1352</v>
      </c>
      <c r="B529" t="s">
        <v>1319</v>
      </c>
    </row>
    <row r="530" spans="1:2" x14ac:dyDescent="0.2">
      <c r="A530" t="s">
        <v>1352</v>
      </c>
      <c r="B530" t="s">
        <v>1257</v>
      </c>
    </row>
    <row r="531" spans="1:2" x14ac:dyDescent="0.2">
      <c r="A531" t="s">
        <v>1352</v>
      </c>
      <c r="B531" t="s">
        <v>243</v>
      </c>
    </row>
    <row r="532" spans="1:2" x14ac:dyDescent="0.2">
      <c r="A532" t="s">
        <v>1352</v>
      </c>
      <c r="B532" t="s">
        <v>383</v>
      </c>
    </row>
    <row r="533" spans="1:2" x14ac:dyDescent="0.2">
      <c r="A533" t="s">
        <v>1352</v>
      </c>
      <c r="B533" t="s">
        <v>931</v>
      </c>
    </row>
    <row r="534" spans="1:2" x14ac:dyDescent="0.2">
      <c r="A534" t="s">
        <v>1352</v>
      </c>
      <c r="B534" t="s">
        <v>578</v>
      </c>
    </row>
    <row r="535" spans="1:2" x14ac:dyDescent="0.2">
      <c r="A535" t="s">
        <v>1352</v>
      </c>
      <c r="B535" t="s">
        <v>949</v>
      </c>
    </row>
    <row r="536" spans="1:2" x14ac:dyDescent="0.2">
      <c r="A536" t="s">
        <v>1352</v>
      </c>
      <c r="B536" t="s">
        <v>220</v>
      </c>
    </row>
    <row r="537" spans="1:2" x14ac:dyDescent="0.2">
      <c r="A537" t="s">
        <v>1352</v>
      </c>
      <c r="B537" t="s">
        <v>169</v>
      </c>
    </row>
    <row r="538" spans="1:2" x14ac:dyDescent="0.2">
      <c r="A538" t="s">
        <v>1352</v>
      </c>
      <c r="B538" t="s">
        <v>698</v>
      </c>
    </row>
    <row r="539" spans="1:2" x14ac:dyDescent="0.2">
      <c r="A539" t="s">
        <v>1352</v>
      </c>
      <c r="B539" t="s">
        <v>646</v>
      </c>
    </row>
    <row r="540" spans="1:2" x14ac:dyDescent="0.2">
      <c r="A540" t="s">
        <v>1352</v>
      </c>
      <c r="B540" t="s">
        <v>374</v>
      </c>
    </row>
    <row r="541" spans="1:2" x14ac:dyDescent="0.2">
      <c r="A541" t="s">
        <v>1352</v>
      </c>
      <c r="B541" t="s">
        <v>1275</v>
      </c>
    </row>
    <row r="542" spans="1:2" x14ac:dyDescent="0.2">
      <c r="A542" t="s">
        <v>1352</v>
      </c>
      <c r="B542" t="s">
        <v>422</v>
      </c>
    </row>
    <row r="543" spans="1:2" x14ac:dyDescent="0.2">
      <c r="A543" t="s">
        <v>1352</v>
      </c>
      <c r="B543" t="s">
        <v>1074</v>
      </c>
    </row>
    <row r="544" spans="1:2" x14ac:dyDescent="0.2">
      <c r="A544" t="s">
        <v>1352</v>
      </c>
      <c r="B544" t="s">
        <v>1218</v>
      </c>
    </row>
    <row r="545" spans="1:2" x14ac:dyDescent="0.2">
      <c r="A545" t="s">
        <v>1352</v>
      </c>
      <c r="B545" t="s">
        <v>241</v>
      </c>
    </row>
    <row r="546" spans="1:2" x14ac:dyDescent="0.2">
      <c r="A546" t="s">
        <v>1353</v>
      </c>
      <c r="B546" t="s">
        <v>243</v>
      </c>
    </row>
    <row r="547" spans="1:2" x14ac:dyDescent="0.2">
      <c r="A547" t="s">
        <v>1353</v>
      </c>
      <c r="B547" t="s">
        <v>1008</v>
      </c>
    </row>
    <row r="548" spans="1:2" x14ac:dyDescent="0.2">
      <c r="A548" t="s">
        <v>1353</v>
      </c>
      <c r="B548" t="s">
        <v>1013</v>
      </c>
    </row>
    <row r="549" spans="1:2" x14ac:dyDescent="0.2">
      <c r="A549" t="s">
        <v>1353</v>
      </c>
      <c r="B549" t="s">
        <v>636</v>
      </c>
    </row>
    <row r="550" spans="1:2" x14ac:dyDescent="0.2">
      <c r="A550" t="s">
        <v>1353</v>
      </c>
      <c r="B550" t="s">
        <v>993</v>
      </c>
    </row>
    <row r="551" spans="1:2" x14ac:dyDescent="0.2">
      <c r="A551" t="s">
        <v>1353</v>
      </c>
      <c r="B551" t="s">
        <v>1025</v>
      </c>
    </row>
    <row r="552" spans="1:2" x14ac:dyDescent="0.2">
      <c r="A552" t="s">
        <v>1353</v>
      </c>
      <c r="B552" t="s">
        <v>1028</v>
      </c>
    </row>
    <row r="553" spans="1:2" x14ac:dyDescent="0.2">
      <c r="A553" t="s">
        <v>1353</v>
      </c>
      <c r="B553" t="s">
        <v>1030</v>
      </c>
    </row>
    <row r="554" spans="1:2" x14ac:dyDescent="0.2">
      <c r="A554" t="s">
        <v>1353</v>
      </c>
      <c r="B554" t="s">
        <v>422</v>
      </c>
    </row>
    <row r="555" spans="1:2" x14ac:dyDescent="0.2">
      <c r="A555" t="s">
        <v>1353</v>
      </c>
      <c r="B555" t="s">
        <v>172</v>
      </c>
    </row>
    <row r="556" spans="1:2" x14ac:dyDescent="0.2">
      <c r="A556" t="s">
        <v>1353</v>
      </c>
      <c r="B556" t="s">
        <v>1037</v>
      </c>
    </row>
    <row r="557" spans="1:2" x14ac:dyDescent="0.2">
      <c r="A557" t="s">
        <v>1353</v>
      </c>
      <c r="B557" t="s">
        <v>588</v>
      </c>
    </row>
    <row r="558" spans="1:2" x14ac:dyDescent="0.2">
      <c r="A558" t="s">
        <v>1353</v>
      </c>
      <c r="B558" t="s">
        <v>389</v>
      </c>
    </row>
    <row r="559" spans="1:2" x14ac:dyDescent="0.2">
      <c r="A559" t="s">
        <v>1353</v>
      </c>
      <c r="B559" t="s">
        <v>502</v>
      </c>
    </row>
    <row r="560" spans="1:2" x14ac:dyDescent="0.2">
      <c r="A560" t="s">
        <v>1353</v>
      </c>
      <c r="B560" t="s">
        <v>968</v>
      </c>
    </row>
    <row r="561" spans="1:2" x14ac:dyDescent="0.2">
      <c r="A561" t="s">
        <v>1353</v>
      </c>
      <c r="B561" t="s">
        <v>53</v>
      </c>
    </row>
    <row r="562" spans="1:2" x14ac:dyDescent="0.2">
      <c r="A562" t="s">
        <v>1353</v>
      </c>
      <c r="B562" t="s">
        <v>672</v>
      </c>
    </row>
    <row r="563" spans="1:2" x14ac:dyDescent="0.2">
      <c r="A563" t="s">
        <v>1353</v>
      </c>
      <c r="B563" t="s">
        <v>696</v>
      </c>
    </row>
    <row r="564" spans="1:2" x14ac:dyDescent="0.2">
      <c r="A564" t="s">
        <v>1353</v>
      </c>
      <c r="B564" t="s">
        <v>709</v>
      </c>
    </row>
    <row r="565" spans="1:2" x14ac:dyDescent="0.2">
      <c r="A565" t="s">
        <v>1353</v>
      </c>
      <c r="B565" t="s">
        <v>359</v>
      </c>
    </row>
    <row r="566" spans="1:2" x14ac:dyDescent="0.2">
      <c r="A566" t="s">
        <v>1353</v>
      </c>
      <c r="B566" t="s">
        <v>259</v>
      </c>
    </row>
    <row r="567" spans="1:2" x14ac:dyDescent="0.2">
      <c r="A567" t="s">
        <v>1353</v>
      </c>
      <c r="B567" t="s">
        <v>734</v>
      </c>
    </row>
    <row r="568" spans="1:2" x14ac:dyDescent="0.2">
      <c r="A568" t="s">
        <v>1353</v>
      </c>
      <c r="B568" t="s">
        <v>548</v>
      </c>
    </row>
    <row r="569" spans="1:2" x14ac:dyDescent="0.2">
      <c r="A569" t="s">
        <v>1353</v>
      </c>
      <c r="B569" t="s">
        <v>973</v>
      </c>
    </row>
    <row r="570" spans="1:2" x14ac:dyDescent="0.2">
      <c r="A570" t="s">
        <v>1353</v>
      </c>
      <c r="B570" t="s">
        <v>309</v>
      </c>
    </row>
    <row r="571" spans="1:2" x14ac:dyDescent="0.2">
      <c r="A571" t="s">
        <v>1353</v>
      </c>
      <c r="B571" t="s">
        <v>926</v>
      </c>
    </row>
    <row r="572" spans="1:2" x14ac:dyDescent="0.2">
      <c r="A572" t="s">
        <v>1353</v>
      </c>
      <c r="B572" t="s">
        <v>540</v>
      </c>
    </row>
    <row r="573" spans="1:2" x14ac:dyDescent="0.2">
      <c r="A573" t="s">
        <v>1353</v>
      </c>
      <c r="B573" t="s">
        <v>1003</v>
      </c>
    </row>
    <row r="574" spans="1:2" x14ac:dyDescent="0.2">
      <c r="A574" t="s">
        <v>1353</v>
      </c>
      <c r="B574" t="s">
        <v>1049</v>
      </c>
    </row>
    <row r="575" spans="1:2" x14ac:dyDescent="0.2">
      <c r="A575" t="s">
        <v>1353</v>
      </c>
      <c r="B575" t="s">
        <v>649</v>
      </c>
    </row>
    <row r="576" spans="1:2" x14ac:dyDescent="0.2">
      <c r="A576" t="s">
        <v>1353</v>
      </c>
      <c r="B576" t="s">
        <v>155</v>
      </c>
    </row>
    <row r="577" spans="1:2" x14ac:dyDescent="0.2">
      <c r="A577" t="s">
        <v>1353</v>
      </c>
      <c r="B577" t="s">
        <v>1054</v>
      </c>
    </row>
    <row r="578" spans="1:2" x14ac:dyDescent="0.2">
      <c r="A578" t="s">
        <v>1353</v>
      </c>
      <c r="B578" t="s">
        <v>620</v>
      </c>
    </row>
    <row r="579" spans="1:2" x14ac:dyDescent="0.2">
      <c r="A579" t="s">
        <v>1353</v>
      </c>
      <c r="B579" t="s">
        <v>597</v>
      </c>
    </row>
    <row r="580" spans="1:2" x14ac:dyDescent="0.2">
      <c r="A580" t="s">
        <v>1353</v>
      </c>
      <c r="B580" t="s">
        <v>537</v>
      </c>
    </row>
    <row r="581" spans="1:2" x14ac:dyDescent="0.2">
      <c r="A581" t="s">
        <v>1353</v>
      </c>
      <c r="B581" t="s">
        <v>82</v>
      </c>
    </row>
    <row r="582" spans="1:2" x14ac:dyDescent="0.2">
      <c r="A582" t="s">
        <v>1353</v>
      </c>
      <c r="B582" t="s">
        <v>1061</v>
      </c>
    </row>
    <row r="583" spans="1:2" x14ac:dyDescent="0.2">
      <c r="A583" t="s">
        <v>1353</v>
      </c>
      <c r="B583" t="s">
        <v>736</v>
      </c>
    </row>
    <row r="584" spans="1:2" x14ac:dyDescent="0.2">
      <c r="A584" t="s">
        <v>1353</v>
      </c>
      <c r="B584" t="s">
        <v>1040</v>
      </c>
    </row>
    <row r="585" spans="1:2" x14ac:dyDescent="0.2">
      <c r="A585" t="s">
        <v>1353</v>
      </c>
      <c r="B585" t="s">
        <v>1063</v>
      </c>
    </row>
    <row r="586" spans="1:2" x14ac:dyDescent="0.2">
      <c r="A586" t="s">
        <v>1353</v>
      </c>
      <c r="B586" t="s">
        <v>944</v>
      </c>
    </row>
    <row r="587" spans="1:2" x14ac:dyDescent="0.2">
      <c r="A587" t="s">
        <v>1353</v>
      </c>
      <c r="B587" t="s">
        <v>1065</v>
      </c>
    </row>
    <row r="588" spans="1:2" x14ac:dyDescent="0.2">
      <c r="A588" t="s">
        <v>1353</v>
      </c>
      <c r="B588" t="s">
        <v>1067</v>
      </c>
    </row>
    <row r="589" spans="1:2" x14ac:dyDescent="0.2">
      <c r="A589" t="s">
        <v>1353</v>
      </c>
      <c r="B589" t="s">
        <v>1069</v>
      </c>
    </row>
    <row r="590" spans="1:2" x14ac:dyDescent="0.2">
      <c r="A590" t="s">
        <v>1353</v>
      </c>
      <c r="B590" t="s">
        <v>1071</v>
      </c>
    </row>
    <row r="591" spans="1:2" x14ac:dyDescent="0.2">
      <c r="A591" t="s">
        <v>1353</v>
      </c>
      <c r="B591" t="s">
        <v>561</v>
      </c>
    </row>
    <row r="592" spans="1:2" x14ac:dyDescent="0.2">
      <c r="A592" t="s">
        <v>1353</v>
      </c>
      <c r="B592" t="s">
        <v>1076</v>
      </c>
    </row>
    <row r="593" spans="1:2" x14ac:dyDescent="0.2">
      <c r="A593" t="s">
        <v>1353</v>
      </c>
      <c r="B593" t="s">
        <v>91</v>
      </c>
    </row>
    <row r="594" spans="1:2" x14ac:dyDescent="0.2">
      <c r="A594" t="s">
        <v>1353</v>
      </c>
      <c r="B594" t="s">
        <v>917</v>
      </c>
    </row>
    <row r="595" spans="1:2" x14ac:dyDescent="0.2">
      <c r="A595" t="s">
        <v>1353</v>
      </c>
      <c r="B595" t="s">
        <v>784</v>
      </c>
    </row>
    <row r="596" spans="1:2" x14ac:dyDescent="0.2">
      <c r="A596" t="s">
        <v>1353</v>
      </c>
      <c r="B596" t="s">
        <v>314</v>
      </c>
    </row>
    <row r="597" spans="1:2" x14ac:dyDescent="0.2">
      <c r="A597" t="s">
        <v>1353</v>
      </c>
      <c r="B597" t="s">
        <v>1089</v>
      </c>
    </row>
    <row r="598" spans="1:2" x14ac:dyDescent="0.2">
      <c r="A598" t="s">
        <v>1353</v>
      </c>
      <c r="B598" t="s">
        <v>547</v>
      </c>
    </row>
    <row r="599" spans="1:2" x14ac:dyDescent="0.2">
      <c r="A599" t="s">
        <v>1353</v>
      </c>
      <c r="B599" t="s">
        <v>861</v>
      </c>
    </row>
    <row r="600" spans="1:2" x14ac:dyDescent="0.2">
      <c r="A600" t="s">
        <v>1353</v>
      </c>
      <c r="B600" t="s">
        <v>988</v>
      </c>
    </row>
    <row r="601" spans="1:2" x14ac:dyDescent="0.2">
      <c r="A601" t="s">
        <v>1353</v>
      </c>
      <c r="B601" t="s">
        <v>1142</v>
      </c>
    </row>
    <row r="602" spans="1:2" x14ac:dyDescent="0.2">
      <c r="A602" t="s">
        <v>1353</v>
      </c>
      <c r="B602" t="s">
        <v>660</v>
      </c>
    </row>
    <row r="603" spans="1:2" x14ac:dyDescent="0.2">
      <c r="A603" t="s">
        <v>1353</v>
      </c>
      <c r="B603" t="s">
        <v>517</v>
      </c>
    </row>
    <row r="604" spans="1:2" x14ac:dyDescent="0.2">
      <c r="A604" t="s">
        <v>1353</v>
      </c>
      <c r="B604" t="s">
        <v>378</v>
      </c>
    </row>
    <row r="605" spans="1:2" x14ac:dyDescent="0.2">
      <c r="A605" t="s">
        <v>1353</v>
      </c>
      <c r="B605" t="s">
        <v>931</v>
      </c>
    </row>
    <row r="606" spans="1:2" x14ac:dyDescent="0.2">
      <c r="A606" t="s">
        <v>1353</v>
      </c>
      <c r="B606" t="s">
        <v>646</v>
      </c>
    </row>
    <row r="607" spans="1:2" x14ac:dyDescent="0.2">
      <c r="A607" t="s">
        <v>1353</v>
      </c>
      <c r="B607" t="s">
        <v>929</v>
      </c>
    </row>
    <row r="608" spans="1:2" x14ac:dyDescent="0.2">
      <c r="A608" t="s">
        <v>1353</v>
      </c>
      <c r="B608" t="s">
        <v>603</v>
      </c>
    </row>
    <row r="609" spans="1:2" x14ac:dyDescent="0.2">
      <c r="A609" t="s">
        <v>1353</v>
      </c>
      <c r="B609" t="s">
        <v>1105</v>
      </c>
    </row>
    <row r="610" spans="1:2" x14ac:dyDescent="0.2">
      <c r="A610" t="s">
        <v>1353</v>
      </c>
      <c r="B610" t="s">
        <v>1196</v>
      </c>
    </row>
    <row r="611" spans="1:2" x14ac:dyDescent="0.2">
      <c r="A611" t="s">
        <v>1353</v>
      </c>
      <c r="B611" t="s">
        <v>1102</v>
      </c>
    </row>
    <row r="612" spans="1:2" x14ac:dyDescent="0.2">
      <c r="A612" t="s">
        <v>1353</v>
      </c>
      <c r="B612" t="s">
        <v>1231</v>
      </c>
    </row>
    <row r="613" spans="1:2" x14ac:dyDescent="0.2">
      <c r="A613" t="s">
        <v>1353</v>
      </c>
      <c r="B613" t="s">
        <v>1160</v>
      </c>
    </row>
    <row r="614" spans="1:2" x14ac:dyDescent="0.2">
      <c r="A614" t="s">
        <v>1353</v>
      </c>
      <c r="B614" t="s">
        <v>853</v>
      </c>
    </row>
    <row r="615" spans="1:2" x14ac:dyDescent="0.2">
      <c r="A615" t="s">
        <v>1353</v>
      </c>
      <c r="B615" t="s">
        <v>918</v>
      </c>
    </row>
    <row r="616" spans="1:2" x14ac:dyDescent="0.2">
      <c r="A616" t="s">
        <v>1353</v>
      </c>
      <c r="B616" t="s">
        <v>300</v>
      </c>
    </row>
    <row r="617" spans="1:2" x14ac:dyDescent="0.2">
      <c r="A617" t="s">
        <v>1353</v>
      </c>
      <c r="B617" t="s">
        <v>1106</v>
      </c>
    </row>
    <row r="618" spans="1:2" x14ac:dyDescent="0.2">
      <c r="A618" t="s">
        <v>1353</v>
      </c>
      <c r="B618" t="s">
        <v>776</v>
      </c>
    </row>
    <row r="619" spans="1:2" x14ac:dyDescent="0.2">
      <c r="A619" t="s">
        <v>1353</v>
      </c>
      <c r="B619" t="s">
        <v>282</v>
      </c>
    </row>
    <row r="620" spans="1:2" x14ac:dyDescent="0.2">
      <c r="A620" t="s">
        <v>1353</v>
      </c>
      <c r="B620" t="s">
        <v>543</v>
      </c>
    </row>
    <row r="621" spans="1:2" x14ac:dyDescent="0.2">
      <c r="A621" t="s">
        <v>1353</v>
      </c>
      <c r="B621" t="s">
        <v>1101</v>
      </c>
    </row>
    <row r="622" spans="1:2" x14ac:dyDescent="0.2">
      <c r="A622" t="s">
        <v>1353</v>
      </c>
      <c r="B622" t="s">
        <v>1111</v>
      </c>
    </row>
    <row r="623" spans="1:2" x14ac:dyDescent="0.2">
      <c r="A623" t="s">
        <v>1353</v>
      </c>
      <c r="B623" t="s">
        <v>1200</v>
      </c>
    </row>
    <row r="624" spans="1:2" x14ac:dyDescent="0.2">
      <c r="A624" t="s">
        <v>1353</v>
      </c>
      <c r="B624" t="s">
        <v>908</v>
      </c>
    </row>
    <row r="625" spans="1:2" x14ac:dyDescent="0.2">
      <c r="A625" t="s">
        <v>1353</v>
      </c>
      <c r="B625" t="s">
        <v>343</v>
      </c>
    </row>
    <row r="626" spans="1:2" x14ac:dyDescent="0.2">
      <c r="A626" t="s">
        <v>1353</v>
      </c>
      <c r="B626" t="s">
        <v>835</v>
      </c>
    </row>
    <row r="627" spans="1:2" x14ac:dyDescent="0.2">
      <c r="A627" t="s">
        <v>1353</v>
      </c>
      <c r="B627" t="s">
        <v>1166</v>
      </c>
    </row>
    <row r="628" spans="1:2" x14ac:dyDescent="0.2">
      <c r="A628" t="s">
        <v>1353</v>
      </c>
      <c r="B628" t="s">
        <v>804</v>
      </c>
    </row>
    <row r="629" spans="1:2" x14ac:dyDescent="0.2">
      <c r="A629" t="s">
        <v>1353</v>
      </c>
      <c r="B629" t="s">
        <v>224</v>
      </c>
    </row>
    <row r="630" spans="1:2" x14ac:dyDescent="0.2">
      <c r="A630" t="s">
        <v>1353</v>
      </c>
      <c r="B630" t="s">
        <v>486</v>
      </c>
    </row>
    <row r="631" spans="1:2" x14ac:dyDescent="0.2">
      <c r="A631" t="s">
        <v>1353</v>
      </c>
      <c r="B631" t="s">
        <v>772</v>
      </c>
    </row>
    <row r="632" spans="1:2" x14ac:dyDescent="0.2">
      <c r="A632" t="s">
        <v>1353</v>
      </c>
      <c r="B632" t="s">
        <v>1292</v>
      </c>
    </row>
    <row r="633" spans="1:2" x14ac:dyDescent="0.2">
      <c r="A633" t="s">
        <v>1353</v>
      </c>
      <c r="B633" t="s">
        <v>1251</v>
      </c>
    </row>
    <row r="634" spans="1:2" x14ac:dyDescent="0.2">
      <c r="A634" t="s">
        <v>1353</v>
      </c>
      <c r="B634" t="s">
        <v>627</v>
      </c>
    </row>
    <row r="635" spans="1:2" x14ac:dyDescent="0.2">
      <c r="A635" t="s">
        <v>1353</v>
      </c>
      <c r="B635" t="s">
        <v>1301</v>
      </c>
    </row>
    <row r="636" spans="1:2" x14ac:dyDescent="0.2">
      <c r="A636" t="s">
        <v>1353</v>
      </c>
      <c r="B636" t="s">
        <v>1205</v>
      </c>
    </row>
    <row r="637" spans="1:2" x14ac:dyDescent="0.2">
      <c r="A637" t="s">
        <v>1353</v>
      </c>
      <c r="B637" t="s">
        <v>871</v>
      </c>
    </row>
    <row r="638" spans="1:2" x14ac:dyDescent="0.2">
      <c r="A638" t="s">
        <v>1353</v>
      </c>
      <c r="B638" t="s">
        <v>1219</v>
      </c>
    </row>
    <row r="639" spans="1:2" x14ac:dyDescent="0.2">
      <c r="A639" t="s">
        <v>1353</v>
      </c>
      <c r="B639" t="s">
        <v>849</v>
      </c>
    </row>
    <row r="640" spans="1:2" x14ac:dyDescent="0.2">
      <c r="A640" t="s">
        <v>1353</v>
      </c>
      <c r="B640" t="s">
        <v>895</v>
      </c>
    </row>
    <row r="641" spans="1:2" x14ac:dyDescent="0.2">
      <c r="A641" t="s">
        <v>1353</v>
      </c>
      <c r="B641" t="s">
        <v>982</v>
      </c>
    </row>
    <row r="642" spans="1:2" x14ac:dyDescent="0.2">
      <c r="A642" t="s">
        <v>1353</v>
      </c>
      <c r="B642" t="s">
        <v>1120</v>
      </c>
    </row>
    <row r="643" spans="1:2" x14ac:dyDescent="0.2">
      <c r="A643" t="s">
        <v>1353</v>
      </c>
      <c r="B643" t="s">
        <v>1210</v>
      </c>
    </row>
    <row r="644" spans="1:2" x14ac:dyDescent="0.2">
      <c r="A644" t="s">
        <v>1353</v>
      </c>
      <c r="B644" t="s">
        <v>1269</v>
      </c>
    </row>
    <row r="645" spans="1:2" x14ac:dyDescent="0.2">
      <c r="A645" t="s">
        <v>1353</v>
      </c>
      <c r="B645" t="s">
        <v>1090</v>
      </c>
    </row>
    <row r="646" spans="1:2" x14ac:dyDescent="0.2">
      <c r="A646" t="s">
        <v>1353</v>
      </c>
      <c r="B646" t="s">
        <v>556</v>
      </c>
    </row>
    <row r="647" spans="1:2" x14ac:dyDescent="0.2">
      <c r="A647" t="s">
        <v>1353</v>
      </c>
      <c r="B647" t="s">
        <v>1016</v>
      </c>
    </row>
    <row r="648" spans="1:2" x14ac:dyDescent="0.2">
      <c r="A648" t="s">
        <v>1353</v>
      </c>
      <c r="B648" t="s">
        <v>640</v>
      </c>
    </row>
    <row r="649" spans="1:2" x14ac:dyDescent="0.2">
      <c r="A649" t="s">
        <v>1353</v>
      </c>
      <c r="B649" t="s">
        <v>656</v>
      </c>
    </row>
    <row r="650" spans="1:2" x14ac:dyDescent="0.2">
      <c r="A650" t="s">
        <v>1353</v>
      </c>
      <c r="B650" t="s">
        <v>1091</v>
      </c>
    </row>
    <row r="651" spans="1:2" x14ac:dyDescent="0.2">
      <c r="A651" t="s">
        <v>1353</v>
      </c>
      <c r="B651" t="s">
        <v>1286</v>
      </c>
    </row>
    <row r="652" spans="1:2" x14ac:dyDescent="0.2">
      <c r="A652" t="s">
        <v>1353</v>
      </c>
      <c r="B652" t="s">
        <v>566</v>
      </c>
    </row>
    <row r="653" spans="1:2" x14ac:dyDescent="0.2">
      <c r="A653" t="s">
        <v>1353</v>
      </c>
      <c r="B653" t="s">
        <v>796</v>
      </c>
    </row>
    <row r="654" spans="1:2" x14ac:dyDescent="0.2">
      <c r="A654" t="s">
        <v>1353</v>
      </c>
      <c r="B654" t="s">
        <v>1127</v>
      </c>
    </row>
    <row r="655" spans="1:2" x14ac:dyDescent="0.2">
      <c r="A655" t="s">
        <v>1353</v>
      </c>
      <c r="B655" t="s">
        <v>1320</v>
      </c>
    </row>
    <row r="656" spans="1:2" x14ac:dyDescent="0.2">
      <c r="A656" t="s">
        <v>1353</v>
      </c>
      <c r="B656" t="s">
        <v>753</v>
      </c>
    </row>
    <row r="657" spans="1:2" x14ac:dyDescent="0.2">
      <c r="A657" t="s">
        <v>1353</v>
      </c>
      <c r="B657" t="s">
        <v>1314</v>
      </c>
    </row>
    <row r="658" spans="1:2" x14ac:dyDescent="0.2">
      <c r="A658" t="s">
        <v>1353</v>
      </c>
      <c r="B658" t="s">
        <v>277</v>
      </c>
    </row>
    <row r="659" spans="1:2" x14ac:dyDescent="0.2">
      <c r="A659" t="s">
        <v>1353</v>
      </c>
      <c r="B659" t="s">
        <v>526</v>
      </c>
    </row>
    <row r="660" spans="1:2" x14ac:dyDescent="0.2">
      <c r="A660" t="s">
        <v>1353</v>
      </c>
      <c r="B660" t="s">
        <v>1097</v>
      </c>
    </row>
    <row r="661" spans="1:2" x14ac:dyDescent="0.2">
      <c r="A661" t="s">
        <v>1353</v>
      </c>
      <c r="B661" t="s">
        <v>1276</v>
      </c>
    </row>
    <row r="662" spans="1:2" x14ac:dyDescent="0.2">
      <c r="A662" t="s">
        <v>1353</v>
      </c>
      <c r="B662" t="s">
        <v>1055</v>
      </c>
    </row>
    <row r="663" spans="1:2" x14ac:dyDescent="0.2">
      <c r="A663" t="s">
        <v>1353</v>
      </c>
      <c r="B663" t="s">
        <v>1129</v>
      </c>
    </row>
    <row r="664" spans="1:2" x14ac:dyDescent="0.2">
      <c r="A664" t="s">
        <v>1353</v>
      </c>
      <c r="B664" t="s">
        <v>1197</v>
      </c>
    </row>
    <row r="665" spans="1:2" x14ac:dyDescent="0.2">
      <c r="A665" t="s">
        <v>1353</v>
      </c>
      <c r="B665" t="s">
        <v>602</v>
      </c>
    </row>
    <row r="666" spans="1:2" x14ac:dyDescent="0.2">
      <c r="A666" t="s">
        <v>1353</v>
      </c>
      <c r="B666" t="s">
        <v>448</v>
      </c>
    </row>
    <row r="667" spans="1:2" x14ac:dyDescent="0.2">
      <c r="A667" t="s">
        <v>1353</v>
      </c>
      <c r="B667" t="s">
        <v>490</v>
      </c>
    </row>
    <row r="668" spans="1:2" x14ac:dyDescent="0.2">
      <c r="A668" t="s">
        <v>1353</v>
      </c>
      <c r="B668" t="s">
        <v>838</v>
      </c>
    </row>
    <row r="669" spans="1:2" x14ac:dyDescent="0.2">
      <c r="A669" t="s">
        <v>1353</v>
      </c>
      <c r="B669" t="s">
        <v>122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BE0A5-F382-471F-9382-55E9C9DF3D81}">
  <dimension ref="A1:B669"/>
  <sheetViews>
    <sheetView workbookViewId="0">
      <selection activeCell="D8" sqref="D8"/>
    </sheetView>
  </sheetViews>
  <sheetFormatPr defaultRowHeight="12.75" x14ac:dyDescent="0.2"/>
  <cols>
    <col min="2" max="2" width="17.42578125" customWidth="1"/>
  </cols>
  <sheetData>
    <row r="1" spans="1:2" x14ac:dyDescent="0.2">
      <c r="A1" t="s">
        <v>1349</v>
      </c>
      <c r="B1" t="s">
        <v>1354</v>
      </c>
    </row>
    <row r="2" spans="1:2" x14ac:dyDescent="0.2">
      <c r="A2" t="s">
        <v>1350</v>
      </c>
      <c r="B2" t="s">
        <v>14</v>
      </c>
    </row>
    <row r="3" spans="1:2" x14ac:dyDescent="0.2">
      <c r="A3" t="s">
        <v>1350</v>
      </c>
      <c r="B3" t="s">
        <v>22</v>
      </c>
    </row>
    <row r="4" spans="1:2" x14ac:dyDescent="0.2">
      <c r="A4" t="s">
        <v>1350</v>
      </c>
      <c r="B4" t="s">
        <v>26</v>
      </c>
    </row>
    <row r="5" spans="1:2" x14ac:dyDescent="0.2">
      <c r="A5" t="s">
        <v>1350</v>
      </c>
      <c r="B5" t="s">
        <v>43</v>
      </c>
    </row>
    <row r="6" spans="1:2" x14ac:dyDescent="0.2">
      <c r="A6" t="s">
        <v>1350</v>
      </c>
      <c r="B6" t="s">
        <v>46</v>
      </c>
    </row>
    <row r="7" spans="1:2" x14ac:dyDescent="0.2">
      <c r="A7" t="s">
        <v>1350</v>
      </c>
      <c r="B7" t="s">
        <v>50</v>
      </c>
    </row>
    <row r="8" spans="1:2" x14ac:dyDescent="0.2">
      <c r="A8" t="s">
        <v>1350</v>
      </c>
      <c r="B8" t="s">
        <v>53</v>
      </c>
    </row>
    <row r="9" spans="1:2" x14ac:dyDescent="0.2">
      <c r="A9" t="s">
        <v>1350</v>
      </c>
      <c r="B9" t="s">
        <v>56</v>
      </c>
    </row>
    <row r="10" spans="1:2" x14ac:dyDescent="0.2">
      <c r="A10" t="s">
        <v>1350</v>
      </c>
      <c r="B10" t="s">
        <v>70</v>
      </c>
    </row>
    <row r="11" spans="1:2" x14ac:dyDescent="0.2">
      <c r="A11" t="s">
        <v>1350</v>
      </c>
      <c r="B11" t="s">
        <v>72</v>
      </c>
    </row>
    <row r="12" spans="1:2" x14ac:dyDescent="0.2">
      <c r="A12" t="s">
        <v>1350</v>
      </c>
      <c r="B12" t="s">
        <v>74</v>
      </c>
    </row>
    <row r="13" spans="1:2" x14ac:dyDescent="0.2">
      <c r="A13" t="s">
        <v>1350</v>
      </c>
      <c r="B13" t="s">
        <v>78</v>
      </c>
    </row>
    <row r="14" spans="1:2" x14ac:dyDescent="0.2">
      <c r="A14" t="s">
        <v>1350</v>
      </c>
      <c r="B14" t="s">
        <v>82</v>
      </c>
    </row>
    <row r="15" spans="1:2" x14ac:dyDescent="0.2">
      <c r="A15" t="s">
        <v>1350</v>
      </c>
      <c r="B15" t="s">
        <v>86</v>
      </c>
    </row>
    <row r="16" spans="1:2" x14ac:dyDescent="0.2">
      <c r="A16" t="s">
        <v>1350</v>
      </c>
      <c r="B16" t="s">
        <v>100</v>
      </c>
    </row>
    <row r="17" spans="1:2" x14ac:dyDescent="0.2">
      <c r="A17" t="s">
        <v>1350</v>
      </c>
      <c r="B17" t="s">
        <v>103</v>
      </c>
    </row>
    <row r="18" spans="1:2" x14ac:dyDescent="0.2">
      <c r="A18" t="s">
        <v>1350</v>
      </c>
      <c r="B18" t="s">
        <v>108</v>
      </c>
    </row>
    <row r="19" spans="1:2" x14ac:dyDescent="0.2">
      <c r="A19" t="s">
        <v>1350</v>
      </c>
      <c r="B19" t="s">
        <v>116</v>
      </c>
    </row>
    <row r="20" spans="1:2" x14ac:dyDescent="0.2">
      <c r="A20" t="s">
        <v>1350</v>
      </c>
      <c r="B20" t="s">
        <v>119</v>
      </c>
    </row>
    <row r="21" spans="1:2" x14ac:dyDescent="0.2">
      <c r="A21" t="s">
        <v>1350</v>
      </c>
      <c r="B21" t="s">
        <v>122</v>
      </c>
    </row>
    <row r="22" spans="1:2" x14ac:dyDescent="0.2">
      <c r="A22" t="s">
        <v>1350</v>
      </c>
      <c r="B22" t="s">
        <v>124</v>
      </c>
    </row>
    <row r="23" spans="1:2" x14ac:dyDescent="0.2">
      <c r="A23" t="s">
        <v>1350</v>
      </c>
      <c r="B23" t="s">
        <v>126</v>
      </c>
    </row>
    <row r="24" spans="1:2" x14ac:dyDescent="0.2">
      <c r="A24" t="s">
        <v>1350</v>
      </c>
      <c r="B24" t="s">
        <v>129</v>
      </c>
    </row>
    <row r="25" spans="1:2" x14ac:dyDescent="0.2">
      <c r="A25" t="s">
        <v>1350</v>
      </c>
      <c r="B25" t="s">
        <v>136</v>
      </c>
    </row>
    <row r="26" spans="1:2" x14ac:dyDescent="0.2">
      <c r="A26" t="s">
        <v>1350</v>
      </c>
      <c r="B26" t="s">
        <v>138</v>
      </c>
    </row>
    <row r="27" spans="1:2" x14ac:dyDescent="0.2">
      <c r="A27" t="s">
        <v>1350</v>
      </c>
      <c r="B27" t="s">
        <v>141</v>
      </c>
    </row>
    <row r="28" spans="1:2" x14ac:dyDescent="0.2">
      <c r="A28" t="s">
        <v>1350</v>
      </c>
      <c r="B28" t="s">
        <v>144</v>
      </c>
    </row>
    <row r="29" spans="1:2" x14ac:dyDescent="0.2">
      <c r="A29" t="s">
        <v>1350</v>
      </c>
      <c r="B29" t="s">
        <v>153</v>
      </c>
    </row>
    <row r="30" spans="1:2" x14ac:dyDescent="0.2">
      <c r="A30" t="s">
        <v>1350</v>
      </c>
      <c r="B30" t="s">
        <v>155</v>
      </c>
    </row>
    <row r="31" spans="1:2" x14ac:dyDescent="0.2">
      <c r="A31" t="s">
        <v>1350</v>
      </c>
      <c r="B31" t="s">
        <v>160</v>
      </c>
    </row>
    <row r="32" spans="1:2" x14ac:dyDescent="0.2">
      <c r="A32" t="s">
        <v>1350</v>
      </c>
      <c r="B32" t="s">
        <v>162</v>
      </c>
    </row>
    <row r="33" spans="1:2" x14ac:dyDescent="0.2">
      <c r="A33" t="s">
        <v>1350</v>
      </c>
      <c r="B33" t="s">
        <v>166</v>
      </c>
    </row>
    <row r="34" spans="1:2" x14ac:dyDescent="0.2">
      <c r="A34" t="s">
        <v>1350</v>
      </c>
      <c r="B34" t="s">
        <v>169</v>
      </c>
    </row>
    <row r="35" spans="1:2" x14ac:dyDescent="0.2">
      <c r="A35" t="s">
        <v>1350</v>
      </c>
      <c r="B35" t="s">
        <v>173</v>
      </c>
    </row>
    <row r="36" spans="1:2" x14ac:dyDescent="0.2">
      <c r="A36" t="s">
        <v>1350</v>
      </c>
      <c r="B36" t="s">
        <v>175</v>
      </c>
    </row>
    <row r="37" spans="1:2" x14ac:dyDescent="0.2">
      <c r="A37" t="s">
        <v>1350</v>
      </c>
      <c r="B37" t="s">
        <v>178</v>
      </c>
    </row>
    <row r="38" spans="1:2" x14ac:dyDescent="0.2">
      <c r="A38" t="s">
        <v>1350</v>
      </c>
      <c r="B38" t="s">
        <v>180</v>
      </c>
    </row>
    <row r="39" spans="1:2" x14ac:dyDescent="0.2">
      <c r="A39" t="s">
        <v>1350</v>
      </c>
      <c r="B39" t="s">
        <v>190</v>
      </c>
    </row>
    <row r="40" spans="1:2" x14ac:dyDescent="0.2">
      <c r="A40" t="s">
        <v>1350</v>
      </c>
      <c r="B40" t="s">
        <v>192</v>
      </c>
    </row>
    <row r="41" spans="1:2" x14ac:dyDescent="0.2">
      <c r="A41" t="s">
        <v>1350</v>
      </c>
      <c r="B41" t="s">
        <v>168</v>
      </c>
    </row>
    <row r="42" spans="1:2" x14ac:dyDescent="0.2">
      <c r="A42" t="s">
        <v>1350</v>
      </c>
      <c r="B42" t="s">
        <v>197</v>
      </c>
    </row>
    <row r="43" spans="1:2" x14ac:dyDescent="0.2">
      <c r="A43" t="s">
        <v>1350</v>
      </c>
      <c r="B43" t="s">
        <v>202</v>
      </c>
    </row>
    <row r="44" spans="1:2" x14ac:dyDescent="0.2">
      <c r="A44" t="s">
        <v>1350</v>
      </c>
      <c r="B44" t="s">
        <v>216</v>
      </c>
    </row>
    <row r="45" spans="1:2" x14ac:dyDescent="0.2">
      <c r="A45" t="s">
        <v>1350</v>
      </c>
      <c r="B45" t="s">
        <v>184</v>
      </c>
    </row>
    <row r="46" spans="1:2" x14ac:dyDescent="0.2">
      <c r="A46" t="s">
        <v>1350</v>
      </c>
      <c r="B46" t="s">
        <v>220</v>
      </c>
    </row>
    <row r="47" spans="1:2" x14ac:dyDescent="0.2">
      <c r="A47" t="s">
        <v>1350</v>
      </c>
      <c r="B47" t="s">
        <v>231</v>
      </c>
    </row>
    <row r="48" spans="1:2" x14ac:dyDescent="0.2">
      <c r="A48" t="s">
        <v>1350</v>
      </c>
      <c r="B48" t="s">
        <v>235</v>
      </c>
    </row>
    <row r="49" spans="1:2" x14ac:dyDescent="0.2">
      <c r="A49" t="s">
        <v>1350</v>
      </c>
      <c r="B49" t="s">
        <v>238</v>
      </c>
    </row>
    <row r="50" spans="1:2" x14ac:dyDescent="0.2">
      <c r="A50" t="s">
        <v>1350</v>
      </c>
      <c r="B50" t="s">
        <v>245</v>
      </c>
    </row>
    <row r="51" spans="1:2" x14ac:dyDescent="0.2">
      <c r="A51" t="s">
        <v>1350</v>
      </c>
      <c r="B51" t="s">
        <v>248</v>
      </c>
    </row>
    <row r="52" spans="1:2" x14ac:dyDescent="0.2">
      <c r="A52" t="s">
        <v>1350</v>
      </c>
      <c r="B52" t="s">
        <v>252</v>
      </c>
    </row>
    <row r="53" spans="1:2" x14ac:dyDescent="0.2">
      <c r="A53" t="s">
        <v>1350</v>
      </c>
      <c r="B53" t="s">
        <v>226</v>
      </c>
    </row>
    <row r="54" spans="1:2" x14ac:dyDescent="0.2">
      <c r="A54" t="s">
        <v>1350</v>
      </c>
      <c r="B54" t="s">
        <v>257</v>
      </c>
    </row>
    <row r="55" spans="1:2" x14ac:dyDescent="0.2">
      <c r="A55" t="s">
        <v>1350</v>
      </c>
      <c r="B55" t="s">
        <v>261</v>
      </c>
    </row>
    <row r="56" spans="1:2" x14ac:dyDescent="0.2">
      <c r="A56" t="s">
        <v>1350</v>
      </c>
      <c r="B56" t="s">
        <v>268</v>
      </c>
    </row>
    <row r="57" spans="1:2" x14ac:dyDescent="0.2">
      <c r="A57" t="s">
        <v>1350</v>
      </c>
      <c r="B57" t="s">
        <v>270</v>
      </c>
    </row>
    <row r="58" spans="1:2" x14ac:dyDescent="0.2">
      <c r="A58" t="s">
        <v>1350</v>
      </c>
      <c r="B58" t="s">
        <v>278</v>
      </c>
    </row>
    <row r="59" spans="1:2" x14ac:dyDescent="0.2">
      <c r="A59" t="s">
        <v>1350</v>
      </c>
      <c r="B59" t="s">
        <v>290</v>
      </c>
    </row>
    <row r="60" spans="1:2" x14ac:dyDescent="0.2">
      <c r="A60" t="s">
        <v>1350</v>
      </c>
      <c r="B60" t="s">
        <v>295</v>
      </c>
    </row>
    <row r="61" spans="1:2" x14ac:dyDescent="0.2">
      <c r="A61" t="s">
        <v>1350</v>
      </c>
      <c r="B61" t="s">
        <v>301</v>
      </c>
    </row>
    <row r="62" spans="1:2" x14ac:dyDescent="0.2">
      <c r="A62" t="s">
        <v>1350</v>
      </c>
      <c r="B62" t="s">
        <v>310</v>
      </c>
    </row>
    <row r="63" spans="1:2" x14ac:dyDescent="0.2">
      <c r="A63" t="s">
        <v>1350</v>
      </c>
      <c r="B63" t="s">
        <v>319</v>
      </c>
    </row>
    <row r="64" spans="1:2" x14ac:dyDescent="0.2">
      <c r="A64" t="s">
        <v>1350</v>
      </c>
      <c r="B64" t="s">
        <v>324</v>
      </c>
    </row>
    <row r="65" spans="1:2" x14ac:dyDescent="0.2">
      <c r="A65" t="s">
        <v>1350</v>
      </c>
      <c r="B65" t="s">
        <v>331</v>
      </c>
    </row>
    <row r="66" spans="1:2" x14ac:dyDescent="0.2">
      <c r="A66" t="s">
        <v>1350</v>
      </c>
      <c r="B66" t="s">
        <v>338</v>
      </c>
    </row>
    <row r="67" spans="1:2" x14ac:dyDescent="0.2">
      <c r="A67" t="s">
        <v>1350</v>
      </c>
      <c r="B67" t="s">
        <v>345</v>
      </c>
    </row>
    <row r="68" spans="1:2" x14ac:dyDescent="0.2">
      <c r="A68" t="s">
        <v>1350</v>
      </c>
      <c r="B68" t="s">
        <v>349</v>
      </c>
    </row>
    <row r="69" spans="1:2" x14ac:dyDescent="0.2">
      <c r="A69" t="s">
        <v>1350</v>
      </c>
      <c r="B69" t="s">
        <v>354</v>
      </c>
    </row>
    <row r="70" spans="1:2" x14ac:dyDescent="0.2">
      <c r="A70" t="s">
        <v>1350</v>
      </c>
      <c r="B70" t="s">
        <v>363</v>
      </c>
    </row>
    <row r="71" spans="1:2" x14ac:dyDescent="0.2">
      <c r="A71" t="s">
        <v>1350</v>
      </c>
      <c r="B71" t="s">
        <v>366</v>
      </c>
    </row>
    <row r="72" spans="1:2" x14ac:dyDescent="0.2">
      <c r="A72" t="s">
        <v>1350</v>
      </c>
      <c r="B72" t="s">
        <v>368</v>
      </c>
    </row>
    <row r="73" spans="1:2" x14ac:dyDescent="0.2">
      <c r="A73" t="s">
        <v>1350</v>
      </c>
      <c r="B73" t="s">
        <v>370</v>
      </c>
    </row>
    <row r="74" spans="1:2" x14ac:dyDescent="0.2">
      <c r="A74" t="s">
        <v>1350</v>
      </c>
      <c r="B74" t="s">
        <v>379</v>
      </c>
    </row>
    <row r="75" spans="1:2" x14ac:dyDescent="0.2">
      <c r="A75" t="s">
        <v>1350</v>
      </c>
      <c r="B75" t="s">
        <v>386</v>
      </c>
    </row>
    <row r="76" spans="1:2" x14ac:dyDescent="0.2">
      <c r="A76" t="s">
        <v>1350</v>
      </c>
      <c r="B76" t="s">
        <v>389</v>
      </c>
    </row>
    <row r="77" spans="1:2" x14ac:dyDescent="0.2">
      <c r="A77" t="s">
        <v>1350</v>
      </c>
      <c r="B77" t="s">
        <v>392</v>
      </c>
    </row>
    <row r="78" spans="1:2" x14ac:dyDescent="0.2">
      <c r="A78" t="s">
        <v>1350</v>
      </c>
      <c r="B78" t="s">
        <v>397</v>
      </c>
    </row>
    <row r="79" spans="1:2" x14ac:dyDescent="0.2">
      <c r="A79" t="s">
        <v>1350</v>
      </c>
      <c r="B79" t="s">
        <v>403</v>
      </c>
    </row>
    <row r="80" spans="1:2" x14ac:dyDescent="0.2">
      <c r="A80" t="s">
        <v>1350</v>
      </c>
      <c r="B80" t="s">
        <v>407</v>
      </c>
    </row>
    <row r="81" spans="1:2" x14ac:dyDescent="0.2">
      <c r="A81" t="s">
        <v>1350</v>
      </c>
      <c r="B81" t="s">
        <v>199</v>
      </c>
    </row>
    <row r="82" spans="1:2" x14ac:dyDescent="0.2">
      <c r="A82" t="s">
        <v>1350</v>
      </c>
      <c r="B82" t="s">
        <v>411</v>
      </c>
    </row>
    <row r="83" spans="1:2" x14ac:dyDescent="0.2">
      <c r="A83" t="s">
        <v>1350</v>
      </c>
      <c r="B83" t="s">
        <v>376</v>
      </c>
    </row>
    <row r="84" spans="1:2" x14ac:dyDescent="0.2">
      <c r="A84" t="s">
        <v>1350</v>
      </c>
      <c r="B84" t="s">
        <v>417</v>
      </c>
    </row>
    <row r="85" spans="1:2" x14ac:dyDescent="0.2">
      <c r="A85" t="s">
        <v>1350</v>
      </c>
      <c r="B85" t="s">
        <v>424</v>
      </c>
    </row>
    <row r="86" spans="1:2" x14ac:dyDescent="0.2">
      <c r="A86" t="s">
        <v>1350</v>
      </c>
      <c r="B86" t="s">
        <v>428</v>
      </c>
    </row>
    <row r="87" spans="1:2" x14ac:dyDescent="0.2">
      <c r="A87" t="s">
        <v>1350</v>
      </c>
      <c r="B87" t="s">
        <v>431</v>
      </c>
    </row>
    <row r="88" spans="1:2" x14ac:dyDescent="0.2">
      <c r="A88" t="s">
        <v>1350</v>
      </c>
      <c r="B88" t="s">
        <v>432</v>
      </c>
    </row>
    <row r="89" spans="1:2" x14ac:dyDescent="0.2">
      <c r="A89" t="s">
        <v>1350</v>
      </c>
      <c r="B89" t="s">
        <v>438</v>
      </c>
    </row>
    <row r="90" spans="1:2" x14ac:dyDescent="0.2">
      <c r="A90" t="s">
        <v>1350</v>
      </c>
      <c r="B90" t="s">
        <v>441</v>
      </c>
    </row>
    <row r="91" spans="1:2" x14ac:dyDescent="0.2">
      <c r="A91" t="s">
        <v>1350</v>
      </c>
      <c r="B91" t="s">
        <v>446</v>
      </c>
    </row>
    <row r="92" spans="1:2" x14ac:dyDescent="0.2">
      <c r="A92" t="s">
        <v>1350</v>
      </c>
      <c r="B92" t="s">
        <v>452</v>
      </c>
    </row>
    <row r="93" spans="1:2" x14ac:dyDescent="0.2">
      <c r="A93" t="s">
        <v>1350</v>
      </c>
      <c r="B93" t="s">
        <v>457</v>
      </c>
    </row>
    <row r="94" spans="1:2" x14ac:dyDescent="0.2">
      <c r="A94" t="s">
        <v>1350</v>
      </c>
      <c r="B94" t="s">
        <v>1083</v>
      </c>
    </row>
    <row r="95" spans="1:2" x14ac:dyDescent="0.2">
      <c r="A95" t="s">
        <v>1350</v>
      </c>
      <c r="B95" t="s">
        <v>832</v>
      </c>
    </row>
    <row r="96" spans="1:2" x14ac:dyDescent="0.2">
      <c r="A96" t="s">
        <v>1350</v>
      </c>
      <c r="B96" t="s">
        <v>437</v>
      </c>
    </row>
    <row r="97" spans="1:2" x14ac:dyDescent="0.2">
      <c r="A97" t="s">
        <v>1350</v>
      </c>
      <c r="B97" t="s">
        <v>759</v>
      </c>
    </row>
    <row r="98" spans="1:2" x14ac:dyDescent="0.2">
      <c r="A98" t="s">
        <v>1350</v>
      </c>
      <c r="B98" t="s">
        <v>841</v>
      </c>
    </row>
    <row r="99" spans="1:2" x14ac:dyDescent="0.2">
      <c r="A99" t="s">
        <v>1350</v>
      </c>
      <c r="B99" t="s">
        <v>581</v>
      </c>
    </row>
    <row r="100" spans="1:2" x14ac:dyDescent="0.2">
      <c r="A100" t="s">
        <v>1350</v>
      </c>
      <c r="B100" t="s">
        <v>561</v>
      </c>
    </row>
    <row r="101" spans="1:2" x14ac:dyDescent="0.2">
      <c r="A101" t="s">
        <v>1350</v>
      </c>
      <c r="B101" t="s">
        <v>260</v>
      </c>
    </row>
    <row r="102" spans="1:2" x14ac:dyDescent="0.2">
      <c r="A102" t="s">
        <v>1350</v>
      </c>
      <c r="B102" t="s">
        <v>524</v>
      </c>
    </row>
    <row r="103" spans="1:2" x14ac:dyDescent="0.2">
      <c r="A103" t="s">
        <v>1350</v>
      </c>
      <c r="B103" t="s">
        <v>1120</v>
      </c>
    </row>
    <row r="104" spans="1:2" x14ac:dyDescent="0.2">
      <c r="A104" t="s">
        <v>1350</v>
      </c>
      <c r="B104" t="s">
        <v>294</v>
      </c>
    </row>
    <row r="105" spans="1:2" x14ac:dyDescent="0.2">
      <c r="A105" t="s">
        <v>1350</v>
      </c>
      <c r="B105" t="s">
        <v>1130</v>
      </c>
    </row>
    <row r="106" spans="1:2" x14ac:dyDescent="0.2">
      <c r="A106" t="s">
        <v>1350</v>
      </c>
      <c r="B106" t="s">
        <v>64</v>
      </c>
    </row>
    <row r="107" spans="1:2" x14ac:dyDescent="0.2">
      <c r="A107" t="s">
        <v>1350</v>
      </c>
      <c r="B107" t="s">
        <v>1139</v>
      </c>
    </row>
    <row r="108" spans="1:2" x14ac:dyDescent="0.2">
      <c r="A108" t="s">
        <v>1350</v>
      </c>
      <c r="B108" t="s">
        <v>381</v>
      </c>
    </row>
    <row r="109" spans="1:2" x14ac:dyDescent="0.2">
      <c r="A109" t="s">
        <v>1350</v>
      </c>
      <c r="B109" t="s">
        <v>998</v>
      </c>
    </row>
    <row r="110" spans="1:2" x14ac:dyDescent="0.2">
      <c r="A110" t="s">
        <v>1350</v>
      </c>
      <c r="B110" t="s">
        <v>553</v>
      </c>
    </row>
    <row r="111" spans="1:2" x14ac:dyDescent="0.2">
      <c r="A111" t="s">
        <v>1350</v>
      </c>
      <c r="B111" t="s">
        <v>1162</v>
      </c>
    </row>
    <row r="112" spans="1:2" x14ac:dyDescent="0.2">
      <c r="A112" t="s">
        <v>1350</v>
      </c>
      <c r="B112" t="s">
        <v>485</v>
      </c>
    </row>
    <row r="113" spans="1:2" x14ac:dyDescent="0.2">
      <c r="A113" t="s">
        <v>1350</v>
      </c>
      <c r="B113" t="s">
        <v>698</v>
      </c>
    </row>
    <row r="114" spans="1:2" x14ac:dyDescent="0.2">
      <c r="A114" t="s">
        <v>1350</v>
      </c>
      <c r="B114" t="s">
        <v>293</v>
      </c>
    </row>
    <row r="115" spans="1:2" x14ac:dyDescent="0.2">
      <c r="A115" t="s">
        <v>1350</v>
      </c>
      <c r="B115" t="s">
        <v>756</v>
      </c>
    </row>
    <row r="116" spans="1:2" x14ac:dyDescent="0.2">
      <c r="A116" t="s">
        <v>1350</v>
      </c>
      <c r="B116" t="s">
        <v>1175</v>
      </c>
    </row>
    <row r="117" spans="1:2" x14ac:dyDescent="0.2">
      <c r="A117" t="s">
        <v>1350</v>
      </c>
      <c r="B117" t="s">
        <v>1177</v>
      </c>
    </row>
    <row r="118" spans="1:2" x14ac:dyDescent="0.2">
      <c r="A118" t="s">
        <v>1350</v>
      </c>
      <c r="B118" t="s">
        <v>440</v>
      </c>
    </row>
    <row r="119" spans="1:2" x14ac:dyDescent="0.2">
      <c r="A119" t="s">
        <v>1350</v>
      </c>
      <c r="B119" t="s">
        <v>681</v>
      </c>
    </row>
    <row r="120" spans="1:2" x14ac:dyDescent="0.2">
      <c r="A120" t="s">
        <v>1350</v>
      </c>
      <c r="B120" t="s">
        <v>840</v>
      </c>
    </row>
    <row r="121" spans="1:2" x14ac:dyDescent="0.2">
      <c r="A121" t="s">
        <v>1350</v>
      </c>
      <c r="B121" t="s">
        <v>400</v>
      </c>
    </row>
    <row r="122" spans="1:2" x14ac:dyDescent="0.2">
      <c r="A122" t="s">
        <v>1350</v>
      </c>
      <c r="B122" t="s">
        <v>1142</v>
      </c>
    </row>
    <row r="123" spans="1:2" x14ac:dyDescent="0.2">
      <c r="A123" t="s">
        <v>1350</v>
      </c>
      <c r="B123" t="s">
        <v>1066</v>
      </c>
    </row>
    <row r="124" spans="1:2" x14ac:dyDescent="0.2">
      <c r="A124" t="s">
        <v>1350</v>
      </c>
      <c r="B124" t="s">
        <v>282</v>
      </c>
    </row>
    <row r="125" spans="1:2" x14ac:dyDescent="0.2">
      <c r="A125" t="s">
        <v>1350</v>
      </c>
      <c r="B125" t="s">
        <v>469</v>
      </c>
    </row>
    <row r="126" spans="1:2" x14ac:dyDescent="0.2">
      <c r="A126" t="s">
        <v>1350</v>
      </c>
      <c r="B126" t="s">
        <v>818</v>
      </c>
    </row>
    <row r="127" spans="1:2" x14ac:dyDescent="0.2">
      <c r="A127" t="s">
        <v>1350</v>
      </c>
      <c r="B127" t="s">
        <v>879</v>
      </c>
    </row>
    <row r="128" spans="1:2" x14ac:dyDescent="0.2">
      <c r="A128" t="s">
        <v>1350</v>
      </c>
      <c r="B128" t="s">
        <v>208</v>
      </c>
    </row>
    <row r="129" spans="1:2" x14ac:dyDescent="0.2">
      <c r="A129" t="s">
        <v>1350</v>
      </c>
      <c r="B129" t="s">
        <v>947</v>
      </c>
    </row>
    <row r="130" spans="1:2" x14ac:dyDescent="0.2">
      <c r="A130" t="s">
        <v>1350</v>
      </c>
      <c r="B130" t="s">
        <v>480</v>
      </c>
    </row>
    <row r="131" spans="1:2" x14ac:dyDescent="0.2">
      <c r="A131" t="s">
        <v>1350</v>
      </c>
      <c r="B131" t="s">
        <v>330</v>
      </c>
    </row>
    <row r="132" spans="1:2" x14ac:dyDescent="0.2">
      <c r="A132" t="s">
        <v>1350</v>
      </c>
      <c r="B132" t="s">
        <v>1192</v>
      </c>
    </row>
    <row r="133" spans="1:2" x14ac:dyDescent="0.2">
      <c r="A133" t="s">
        <v>1350</v>
      </c>
      <c r="B133" t="s">
        <v>464</v>
      </c>
    </row>
    <row r="134" spans="1:2" x14ac:dyDescent="0.2">
      <c r="A134" t="s">
        <v>1350</v>
      </c>
      <c r="B134" t="s">
        <v>1258</v>
      </c>
    </row>
    <row r="135" spans="1:2" x14ac:dyDescent="0.2">
      <c r="A135" t="s">
        <v>1350</v>
      </c>
      <c r="B135" t="s">
        <v>1005</v>
      </c>
    </row>
    <row r="136" spans="1:2" x14ac:dyDescent="0.2">
      <c r="A136" t="s">
        <v>1350</v>
      </c>
      <c r="B136" t="s">
        <v>256</v>
      </c>
    </row>
    <row r="137" spans="1:2" x14ac:dyDescent="0.2">
      <c r="A137" t="s">
        <v>1350</v>
      </c>
      <c r="B137" t="s">
        <v>754</v>
      </c>
    </row>
    <row r="138" spans="1:2" x14ac:dyDescent="0.2">
      <c r="A138" t="s">
        <v>1350</v>
      </c>
      <c r="B138" t="s">
        <v>959</v>
      </c>
    </row>
    <row r="139" spans="1:2" x14ac:dyDescent="0.2">
      <c r="A139" t="s">
        <v>1350</v>
      </c>
      <c r="B139" t="s">
        <v>579</v>
      </c>
    </row>
    <row r="140" spans="1:2" x14ac:dyDescent="0.2">
      <c r="A140" t="s">
        <v>1350</v>
      </c>
      <c r="B140" t="s">
        <v>498</v>
      </c>
    </row>
    <row r="141" spans="1:2" x14ac:dyDescent="0.2">
      <c r="A141" t="s">
        <v>1350</v>
      </c>
      <c r="B141" t="s">
        <v>567</v>
      </c>
    </row>
    <row r="142" spans="1:2" x14ac:dyDescent="0.2">
      <c r="A142" t="s">
        <v>1350</v>
      </c>
      <c r="B142" t="s">
        <v>486</v>
      </c>
    </row>
    <row r="143" spans="1:2" x14ac:dyDescent="0.2">
      <c r="A143" t="s">
        <v>1350</v>
      </c>
      <c r="B143" t="s">
        <v>523</v>
      </c>
    </row>
    <row r="144" spans="1:2" x14ac:dyDescent="0.2">
      <c r="A144" t="s">
        <v>1350</v>
      </c>
      <c r="B144" t="s">
        <v>31</v>
      </c>
    </row>
    <row r="145" spans="1:2" x14ac:dyDescent="0.2">
      <c r="A145" t="s">
        <v>1350</v>
      </c>
      <c r="B145" t="s">
        <v>493</v>
      </c>
    </row>
    <row r="146" spans="1:2" x14ac:dyDescent="0.2">
      <c r="A146" t="s">
        <v>1350</v>
      </c>
      <c r="B146" t="s">
        <v>336</v>
      </c>
    </row>
    <row r="147" spans="1:2" x14ac:dyDescent="0.2">
      <c r="A147" t="s">
        <v>1350</v>
      </c>
      <c r="B147" t="s">
        <v>1194</v>
      </c>
    </row>
    <row r="148" spans="1:2" x14ac:dyDescent="0.2">
      <c r="A148" t="s">
        <v>1350</v>
      </c>
      <c r="B148" t="s">
        <v>1282</v>
      </c>
    </row>
    <row r="149" spans="1:2" x14ac:dyDescent="0.2">
      <c r="A149" t="s">
        <v>1350</v>
      </c>
      <c r="B149" t="s">
        <v>1183</v>
      </c>
    </row>
    <row r="150" spans="1:2" x14ac:dyDescent="0.2">
      <c r="A150" t="s">
        <v>1350</v>
      </c>
      <c r="B150" t="s">
        <v>1268</v>
      </c>
    </row>
    <row r="151" spans="1:2" x14ac:dyDescent="0.2">
      <c r="A151" t="s">
        <v>1350</v>
      </c>
      <c r="B151" t="s">
        <v>988</v>
      </c>
    </row>
    <row r="152" spans="1:2" x14ac:dyDescent="0.2">
      <c r="A152" t="s">
        <v>1350</v>
      </c>
      <c r="B152" t="s">
        <v>405</v>
      </c>
    </row>
    <row r="153" spans="1:2" x14ac:dyDescent="0.2">
      <c r="A153" t="s">
        <v>1350</v>
      </c>
      <c r="B153" t="s">
        <v>468</v>
      </c>
    </row>
    <row r="154" spans="1:2" x14ac:dyDescent="0.2">
      <c r="A154" t="s">
        <v>1350</v>
      </c>
      <c r="B154" t="s">
        <v>975</v>
      </c>
    </row>
    <row r="155" spans="1:2" x14ac:dyDescent="0.2">
      <c r="A155" t="s">
        <v>1350</v>
      </c>
      <c r="B155" t="s">
        <v>1095</v>
      </c>
    </row>
    <row r="156" spans="1:2" x14ac:dyDescent="0.2">
      <c r="A156" t="s">
        <v>1350</v>
      </c>
      <c r="B156" t="s">
        <v>582</v>
      </c>
    </row>
    <row r="157" spans="1:2" x14ac:dyDescent="0.2">
      <c r="A157" t="s">
        <v>1350</v>
      </c>
      <c r="B157" t="s">
        <v>1125</v>
      </c>
    </row>
    <row r="158" spans="1:2" x14ac:dyDescent="0.2">
      <c r="A158" t="s">
        <v>1350</v>
      </c>
      <c r="B158" t="s">
        <v>690</v>
      </c>
    </row>
    <row r="159" spans="1:2" x14ac:dyDescent="0.2">
      <c r="A159" t="s">
        <v>1350</v>
      </c>
      <c r="B159" t="s">
        <v>305</v>
      </c>
    </row>
    <row r="160" spans="1:2" x14ac:dyDescent="0.2">
      <c r="A160" t="s">
        <v>1350</v>
      </c>
      <c r="B160" t="s">
        <v>1213</v>
      </c>
    </row>
    <row r="161" spans="1:2" x14ac:dyDescent="0.2">
      <c r="A161" t="s">
        <v>1350</v>
      </c>
      <c r="B161" t="s">
        <v>996</v>
      </c>
    </row>
    <row r="162" spans="1:2" x14ac:dyDescent="0.2">
      <c r="A162" t="s">
        <v>1350</v>
      </c>
      <c r="B162" t="s">
        <v>359</v>
      </c>
    </row>
    <row r="163" spans="1:2" x14ac:dyDescent="0.2">
      <c r="A163" t="s">
        <v>1350</v>
      </c>
      <c r="B163" t="s">
        <v>914</v>
      </c>
    </row>
    <row r="164" spans="1:2" x14ac:dyDescent="0.2">
      <c r="A164" t="s">
        <v>1350</v>
      </c>
      <c r="B164" t="s">
        <v>1302</v>
      </c>
    </row>
    <row r="165" spans="1:2" x14ac:dyDescent="0.2">
      <c r="A165" t="s">
        <v>1350</v>
      </c>
      <c r="B165" t="s">
        <v>706</v>
      </c>
    </row>
    <row r="166" spans="1:2" x14ac:dyDescent="0.2">
      <c r="A166" t="s">
        <v>1350</v>
      </c>
      <c r="B166" t="s">
        <v>617</v>
      </c>
    </row>
    <row r="167" spans="1:2" x14ac:dyDescent="0.2">
      <c r="A167" t="s">
        <v>1350</v>
      </c>
      <c r="B167" t="s">
        <v>1279</v>
      </c>
    </row>
    <row r="168" spans="1:2" x14ac:dyDescent="0.2">
      <c r="A168" t="s">
        <v>1350</v>
      </c>
      <c r="B168" t="s">
        <v>1242</v>
      </c>
    </row>
    <row r="169" spans="1:2" x14ac:dyDescent="0.2">
      <c r="A169" t="s">
        <v>1350</v>
      </c>
      <c r="B169" t="s">
        <v>1195</v>
      </c>
    </row>
    <row r="170" spans="1:2" x14ac:dyDescent="0.2">
      <c r="A170" t="s">
        <v>1350</v>
      </c>
      <c r="B170" t="s">
        <v>1074</v>
      </c>
    </row>
    <row r="171" spans="1:2" x14ac:dyDescent="0.2">
      <c r="A171" t="s">
        <v>1350</v>
      </c>
      <c r="B171" t="s">
        <v>146</v>
      </c>
    </row>
    <row r="172" spans="1:2" x14ac:dyDescent="0.2">
      <c r="A172" t="s">
        <v>1350</v>
      </c>
      <c r="B172" t="s">
        <v>614</v>
      </c>
    </row>
    <row r="173" spans="1:2" x14ac:dyDescent="0.2">
      <c r="A173" t="s">
        <v>1350</v>
      </c>
      <c r="B173" t="s">
        <v>1170</v>
      </c>
    </row>
    <row r="174" spans="1:2" x14ac:dyDescent="0.2">
      <c r="A174" t="s">
        <v>1350</v>
      </c>
      <c r="B174" t="s">
        <v>1067</v>
      </c>
    </row>
    <row r="175" spans="1:2" x14ac:dyDescent="0.2">
      <c r="A175" t="s">
        <v>1350</v>
      </c>
      <c r="B175" t="s">
        <v>254</v>
      </c>
    </row>
    <row r="176" spans="1:2" x14ac:dyDescent="0.2">
      <c r="A176" t="s">
        <v>1350</v>
      </c>
      <c r="B176" t="s">
        <v>1117</v>
      </c>
    </row>
    <row r="177" spans="1:2" x14ac:dyDescent="0.2">
      <c r="A177" t="s">
        <v>1350</v>
      </c>
      <c r="B177" t="s">
        <v>624</v>
      </c>
    </row>
    <row r="178" spans="1:2" x14ac:dyDescent="0.2">
      <c r="A178" t="s">
        <v>1350</v>
      </c>
      <c r="B178" t="s">
        <v>729</v>
      </c>
    </row>
    <row r="179" spans="1:2" x14ac:dyDescent="0.2">
      <c r="A179" t="s">
        <v>1350</v>
      </c>
      <c r="B179" t="s">
        <v>1313</v>
      </c>
    </row>
    <row r="180" spans="1:2" x14ac:dyDescent="0.2">
      <c r="A180" t="s">
        <v>1350</v>
      </c>
      <c r="B180" t="s">
        <v>812</v>
      </c>
    </row>
    <row r="181" spans="1:2" x14ac:dyDescent="0.2">
      <c r="A181" t="s">
        <v>1350</v>
      </c>
      <c r="B181" t="s">
        <v>979</v>
      </c>
    </row>
    <row r="182" spans="1:2" x14ac:dyDescent="0.2">
      <c r="A182" t="s">
        <v>1350</v>
      </c>
      <c r="B182" t="s">
        <v>510</v>
      </c>
    </row>
    <row r="183" spans="1:2" x14ac:dyDescent="0.2">
      <c r="A183" t="s">
        <v>1350</v>
      </c>
      <c r="B183" t="s">
        <v>572</v>
      </c>
    </row>
    <row r="184" spans="1:2" x14ac:dyDescent="0.2">
      <c r="A184" t="s">
        <v>1350</v>
      </c>
      <c r="B184" t="s">
        <v>636</v>
      </c>
    </row>
    <row r="185" spans="1:2" x14ac:dyDescent="0.2">
      <c r="A185" t="s">
        <v>1350</v>
      </c>
      <c r="B185" t="s">
        <v>186</v>
      </c>
    </row>
    <row r="186" spans="1:2" x14ac:dyDescent="0.2">
      <c r="A186" t="s">
        <v>1350</v>
      </c>
      <c r="B186" t="s">
        <v>895</v>
      </c>
    </row>
    <row r="187" spans="1:2" x14ac:dyDescent="0.2">
      <c r="A187" t="s">
        <v>1350</v>
      </c>
      <c r="B187" t="s">
        <v>568</v>
      </c>
    </row>
    <row r="188" spans="1:2" x14ac:dyDescent="0.2">
      <c r="A188" t="s">
        <v>1350</v>
      </c>
      <c r="B188" t="s">
        <v>606</v>
      </c>
    </row>
    <row r="189" spans="1:2" x14ac:dyDescent="0.2">
      <c r="A189" t="s">
        <v>1350</v>
      </c>
      <c r="B189" t="s">
        <v>378</v>
      </c>
    </row>
    <row r="190" spans="1:2" x14ac:dyDescent="0.2">
      <c r="A190" t="s">
        <v>1350</v>
      </c>
      <c r="B190" t="s">
        <v>259</v>
      </c>
    </row>
    <row r="191" spans="1:2" x14ac:dyDescent="0.2">
      <c r="A191" t="s">
        <v>1350</v>
      </c>
      <c r="B191" t="s">
        <v>1304</v>
      </c>
    </row>
    <row r="192" spans="1:2" x14ac:dyDescent="0.2">
      <c r="A192" t="s">
        <v>1350</v>
      </c>
      <c r="B192" t="s">
        <v>506</v>
      </c>
    </row>
    <row r="193" spans="1:2" x14ac:dyDescent="0.2">
      <c r="A193" t="s">
        <v>1350</v>
      </c>
      <c r="B193" t="s">
        <v>569</v>
      </c>
    </row>
    <row r="194" spans="1:2" x14ac:dyDescent="0.2">
      <c r="A194" t="s">
        <v>1350</v>
      </c>
      <c r="B194" t="s">
        <v>272</v>
      </c>
    </row>
    <row r="195" spans="1:2" x14ac:dyDescent="0.2">
      <c r="A195" t="s">
        <v>1350</v>
      </c>
      <c r="B195" t="s">
        <v>1326</v>
      </c>
    </row>
    <row r="196" spans="1:2" x14ac:dyDescent="0.2">
      <c r="A196" t="s">
        <v>1350</v>
      </c>
      <c r="B196" t="s">
        <v>816</v>
      </c>
    </row>
    <row r="197" spans="1:2" x14ac:dyDescent="0.2">
      <c r="A197" t="s">
        <v>1350</v>
      </c>
      <c r="B197" t="s">
        <v>1327</v>
      </c>
    </row>
    <row r="198" spans="1:2" x14ac:dyDescent="0.2">
      <c r="A198" t="s">
        <v>1350</v>
      </c>
      <c r="B198" t="s">
        <v>799</v>
      </c>
    </row>
    <row r="199" spans="1:2" x14ac:dyDescent="0.2">
      <c r="A199" t="s">
        <v>1350</v>
      </c>
      <c r="B199" t="s">
        <v>871</v>
      </c>
    </row>
    <row r="200" spans="1:2" x14ac:dyDescent="0.2">
      <c r="A200" t="s">
        <v>1350</v>
      </c>
      <c r="B200" t="s">
        <v>147</v>
      </c>
    </row>
    <row r="201" spans="1:2" x14ac:dyDescent="0.2">
      <c r="A201" t="s">
        <v>1350</v>
      </c>
      <c r="B201" t="s">
        <v>563</v>
      </c>
    </row>
    <row r="202" spans="1:2" x14ac:dyDescent="0.2">
      <c r="A202" t="s">
        <v>1350</v>
      </c>
      <c r="B202" t="s">
        <v>755</v>
      </c>
    </row>
    <row r="203" spans="1:2" x14ac:dyDescent="0.2">
      <c r="A203" t="s">
        <v>1350</v>
      </c>
      <c r="B203" t="s">
        <v>641</v>
      </c>
    </row>
    <row r="204" spans="1:2" x14ac:dyDescent="0.2">
      <c r="A204" t="s">
        <v>1350</v>
      </c>
      <c r="B204" t="s">
        <v>867</v>
      </c>
    </row>
    <row r="205" spans="1:2" x14ac:dyDescent="0.2">
      <c r="A205" t="s">
        <v>1350</v>
      </c>
      <c r="B205" t="s">
        <v>940</v>
      </c>
    </row>
    <row r="206" spans="1:2" x14ac:dyDescent="0.2">
      <c r="A206" t="s">
        <v>1350</v>
      </c>
      <c r="B206" t="s">
        <v>751</v>
      </c>
    </row>
    <row r="207" spans="1:2" x14ac:dyDescent="0.2">
      <c r="A207" t="s">
        <v>1350</v>
      </c>
      <c r="B207" t="s">
        <v>684</v>
      </c>
    </row>
    <row r="208" spans="1:2" x14ac:dyDescent="0.2">
      <c r="A208" t="s">
        <v>1350</v>
      </c>
      <c r="B208" t="s">
        <v>1178</v>
      </c>
    </row>
    <row r="209" spans="1:2" x14ac:dyDescent="0.2">
      <c r="A209" t="s">
        <v>1350</v>
      </c>
      <c r="B209" t="s">
        <v>266</v>
      </c>
    </row>
    <row r="210" spans="1:2" x14ac:dyDescent="0.2">
      <c r="A210" t="s">
        <v>1350</v>
      </c>
      <c r="B210" t="s">
        <v>658</v>
      </c>
    </row>
    <row r="211" spans="1:2" x14ac:dyDescent="0.2">
      <c r="A211" t="s">
        <v>1351</v>
      </c>
      <c r="B211" t="s">
        <v>459</v>
      </c>
    </row>
    <row r="212" spans="1:2" x14ac:dyDescent="0.2">
      <c r="A212" t="s">
        <v>1351</v>
      </c>
      <c r="B212" t="s">
        <v>465</v>
      </c>
    </row>
    <row r="213" spans="1:2" x14ac:dyDescent="0.2">
      <c r="A213" t="s">
        <v>1351</v>
      </c>
      <c r="B213" t="s">
        <v>469</v>
      </c>
    </row>
    <row r="214" spans="1:2" x14ac:dyDescent="0.2">
      <c r="A214" t="s">
        <v>1351</v>
      </c>
      <c r="B214" t="s">
        <v>471</v>
      </c>
    </row>
    <row r="215" spans="1:2" x14ac:dyDescent="0.2">
      <c r="A215" t="s">
        <v>1351</v>
      </c>
      <c r="B215" t="s">
        <v>475</v>
      </c>
    </row>
    <row r="216" spans="1:2" x14ac:dyDescent="0.2">
      <c r="A216" t="s">
        <v>1351</v>
      </c>
      <c r="B216" t="s">
        <v>209</v>
      </c>
    </row>
    <row r="217" spans="1:2" x14ac:dyDescent="0.2">
      <c r="A217" t="s">
        <v>1351</v>
      </c>
      <c r="B217" t="s">
        <v>484</v>
      </c>
    </row>
    <row r="218" spans="1:2" x14ac:dyDescent="0.2">
      <c r="A218" t="s">
        <v>1351</v>
      </c>
      <c r="B218" t="s">
        <v>274</v>
      </c>
    </row>
    <row r="219" spans="1:2" x14ac:dyDescent="0.2">
      <c r="A219" t="s">
        <v>1351</v>
      </c>
      <c r="B219" t="s">
        <v>488</v>
      </c>
    </row>
    <row r="220" spans="1:2" x14ac:dyDescent="0.2">
      <c r="A220" t="s">
        <v>1351</v>
      </c>
      <c r="B220" t="s">
        <v>492</v>
      </c>
    </row>
    <row r="221" spans="1:2" x14ac:dyDescent="0.2">
      <c r="A221" t="s">
        <v>1351</v>
      </c>
      <c r="B221" t="s">
        <v>493</v>
      </c>
    </row>
    <row r="222" spans="1:2" x14ac:dyDescent="0.2">
      <c r="A222" t="s">
        <v>1351</v>
      </c>
      <c r="B222" t="s">
        <v>498</v>
      </c>
    </row>
    <row r="223" spans="1:2" x14ac:dyDescent="0.2">
      <c r="A223" t="s">
        <v>1351</v>
      </c>
      <c r="B223" t="s">
        <v>506</v>
      </c>
    </row>
    <row r="224" spans="1:2" x14ac:dyDescent="0.2">
      <c r="A224" t="s">
        <v>1351</v>
      </c>
      <c r="B224" t="s">
        <v>508</v>
      </c>
    </row>
    <row r="225" spans="1:2" x14ac:dyDescent="0.2">
      <c r="A225" t="s">
        <v>1351</v>
      </c>
      <c r="B225" t="s">
        <v>510</v>
      </c>
    </row>
    <row r="226" spans="1:2" x14ac:dyDescent="0.2">
      <c r="A226" t="s">
        <v>1351</v>
      </c>
      <c r="B226" t="s">
        <v>512</v>
      </c>
    </row>
    <row r="227" spans="1:2" x14ac:dyDescent="0.2">
      <c r="A227" t="s">
        <v>1351</v>
      </c>
      <c r="B227" t="s">
        <v>514</v>
      </c>
    </row>
    <row r="228" spans="1:2" x14ac:dyDescent="0.2">
      <c r="A228" t="s">
        <v>1351</v>
      </c>
      <c r="B228" t="s">
        <v>189</v>
      </c>
    </row>
    <row r="229" spans="1:2" x14ac:dyDescent="0.2">
      <c r="A229" t="s">
        <v>1351</v>
      </c>
      <c r="B229" t="s">
        <v>426</v>
      </c>
    </row>
    <row r="230" spans="1:2" x14ac:dyDescent="0.2">
      <c r="A230" t="s">
        <v>1351</v>
      </c>
      <c r="B230" t="s">
        <v>524</v>
      </c>
    </row>
    <row r="231" spans="1:2" x14ac:dyDescent="0.2">
      <c r="A231" t="s">
        <v>1351</v>
      </c>
      <c r="B231" t="s">
        <v>532</v>
      </c>
    </row>
    <row r="232" spans="1:2" x14ac:dyDescent="0.2">
      <c r="A232" t="s">
        <v>1351</v>
      </c>
      <c r="B232" t="s">
        <v>535</v>
      </c>
    </row>
    <row r="233" spans="1:2" x14ac:dyDescent="0.2">
      <c r="A233" t="s">
        <v>1351</v>
      </c>
      <c r="B233" t="s">
        <v>537</v>
      </c>
    </row>
    <row r="234" spans="1:2" x14ac:dyDescent="0.2">
      <c r="A234" t="s">
        <v>1351</v>
      </c>
      <c r="B234" t="s">
        <v>540</v>
      </c>
    </row>
    <row r="235" spans="1:2" x14ac:dyDescent="0.2">
      <c r="A235" t="s">
        <v>1351</v>
      </c>
      <c r="B235" t="s">
        <v>541</v>
      </c>
    </row>
    <row r="236" spans="1:2" x14ac:dyDescent="0.2">
      <c r="A236" t="s">
        <v>1351</v>
      </c>
      <c r="B236" t="s">
        <v>543</v>
      </c>
    </row>
    <row r="237" spans="1:2" x14ac:dyDescent="0.2">
      <c r="A237" t="s">
        <v>1351</v>
      </c>
      <c r="B237" t="s">
        <v>545</v>
      </c>
    </row>
    <row r="238" spans="1:2" x14ac:dyDescent="0.2">
      <c r="A238" t="s">
        <v>1351</v>
      </c>
      <c r="B238" t="s">
        <v>272</v>
      </c>
    </row>
    <row r="239" spans="1:2" x14ac:dyDescent="0.2">
      <c r="A239" t="s">
        <v>1351</v>
      </c>
      <c r="B239" t="s">
        <v>553</v>
      </c>
    </row>
    <row r="240" spans="1:2" x14ac:dyDescent="0.2">
      <c r="A240" t="s">
        <v>1351</v>
      </c>
      <c r="B240" t="s">
        <v>294</v>
      </c>
    </row>
    <row r="241" spans="1:2" x14ac:dyDescent="0.2">
      <c r="A241" t="s">
        <v>1351</v>
      </c>
      <c r="B241" t="s">
        <v>556</v>
      </c>
    </row>
    <row r="242" spans="1:2" x14ac:dyDescent="0.2">
      <c r="A242" t="s">
        <v>1351</v>
      </c>
      <c r="B242" t="s">
        <v>563</v>
      </c>
    </row>
    <row r="243" spans="1:2" x14ac:dyDescent="0.2">
      <c r="A243" t="s">
        <v>1351</v>
      </c>
      <c r="B243" t="s">
        <v>349</v>
      </c>
    </row>
    <row r="244" spans="1:2" x14ac:dyDescent="0.2">
      <c r="A244" t="s">
        <v>1351</v>
      </c>
      <c r="B244" t="s">
        <v>566</v>
      </c>
    </row>
    <row r="245" spans="1:2" x14ac:dyDescent="0.2">
      <c r="A245" t="s">
        <v>1351</v>
      </c>
      <c r="B245" t="s">
        <v>579</v>
      </c>
    </row>
    <row r="246" spans="1:2" x14ac:dyDescent="0.2">
      <c r="A246" t="s">
        <v>1351</v>
      </c>
      <c r="B246" t="s">
        <v>539</v>
      </c>
    </row>
    <row r="247" spans="1:2" x14ac:dyDescent="0.2">
      <c r="A247" t="s">
        <v>1351</v>
      </c>
      <c r="B247" t="s">
        <v>586</v>
      </c>
    </row>
    <row r="248" spans="1:2" x14ac:dyDescent="0.2">
      <c r="A248" t="s">
        <v>1351</v>
      </c>
      <c r="B248" t="s">
        <v>422</v>
      </c>
    </row>
    <row r="249" spans="1:2" x14ac:dyDescent="0.2">
      <c r="A249" t="s">
        <v>1351</v>
      </c>
      <c r="B249" t="s">
        <v>593</v>
      </c>
    </row>
    <row r="250" spans="1:2" x14ac:dyDescent="0.2">
      <c r="A250" t="s">
        <v>1351</v>
      </c>
      <c r="B250" t="s">
        <v>595</v>
      </c>
    </row>
    <row r="251" spans="1:2" x14ac:dyDescent="0.2">
      <c r="A251" t="s">
        <v>1351</v>
      </c>
      <c r="B251" t="s">
        <v>599</v>
      </c>
    </row>
    <row r="252" spans="1:2" x14ac:dyDescent="0.2">
      <c r="A252" t="s">
        <v>1351</v>
      </c>
      <c r="B252" t="s">
        <v>611</v>
      </c>
    </row>
    <row r="253" spans="1:2" x14ac:dyDescent="0.2">
      <c r="A253" t="s">
        <v>1351</v>
      </c>
      <c r="B253" t="s">
        <v>617</v>
      </c>
    </row>
    <row r="254" spans="1:2" x14ac:dyDescent="0.2">
      <c r="A254" t="s">
        <v>1351</v>
      </c>
      <c r="B254" t="s">
        <v>621</v>
      </c>
    </row>
    <row r="255" spans="1:2" x14ac:dyDescent="0.2">
      <c r="A255" t="s">
        <v>1351</v>
      </c>
      <c r="B255" t="s">
        <v>627</v>
      </c>
    </row>
    <row r="256" spans="1:2" x14ac:dyDescent="0.2">
      <c r="A256" t="s">
        <v>1351</v>
      </c>
      <c r="B256" t="s">
        <v>630</v>
      </c>
    </row>
    <row r="257" spans="1:2" x14ac:dyDescent="0.2">
      <c r="A257" t="s">
        <v>1351</v>
      </c>
      <c r="B257" t="s">
        <v>183</v>
      </c>
    </row>
    <row r="258" spans="1:2" x14ac:dyDescent="0.2">
      <c r="A258" t="s">
        <v>1351</v>
      </c>
      <c r="B258" t="s">
        <v>202</v>
      </c>
    </row>
    <row r="259" spans="1:2" x14ac:dyDescent="0.2">
      <c r="A259" t="s">
        <v>1351</v>
      </c>
      <c r="B259" t="s">
        <v>643</v>
      </c>
    </row>
    <row r="260" spans="1:2" x14ac:dyDescent="0.2">
      <c r="A260" t="s">
        <v>1351</v>
      </c>
      <c r="B260" t="s">
        <v>590</v>
      </c>
    </row>
    <row r="261" spans="1:2" x14ac:dyDescent="0.2">
      <c r="A261" t="s">
        <v>1351</v>
      </c>
      <c r="B261" t="s">
        <v>646</v>
      </c>
    </row>
    <row r="262" spans="1:2" x14ac:dyDescent="0.2">
      <c r="A262" t="s">
        <v>1351</v>
      </c>
      <c r="B262" t="s">
        <v>432</v>
      </c>
    </row>
    <row r="263" spans="1:2" x14ac:dyDescent="0.2">
      <c r="A263" t="s">
        <v>1351</v>
      </c>
      <c r="B263" t="s">
        <v>649</v>
      </c>
    </row>
    <row r="264" spans="1:2" x14ac:dyDescent="0.2">
      <c r="A264" t="s">
        <v>1351</v>
      </c>
      <c r="B264" t="s">
        <v>653</v>
      </c>
    </row>
    <row r="265" spans="1:2" x14ac:dyDescent="0.2">
      <c r="A265" t="s">
        <v>1351</v>
      </c>
      <c r="B265" t="s">
        <v>660</v>
      </c>
    </row>
    <row r="266" spans="1:2" x14ac:dyDescent="0.2">
      <c r="A266" t="s">
        <v>1351</v>
      </c>
      <c r="B266" t="s">
        <v>662</v>
      </c>
    </row>
    <row r="267" spans="1:2" x14ac:dyDescent="0.2">
      <c r="A267" t="s">
        <v>1351</v>
      </c>
      <c r="B267" t="s">
        <v>669</v>
      </c>
    </row>
    <row r="268" spans="1:2" x14ac:dyDescent="0.2">
      <c r="A268" t="s">
        <v>1351</v>
      </c>
      <c r="B268" t="s">
        <v>674</v>
      </c>
    </row>
    <row r="269" spans="1:2" x14ac:dyDescent="0.2">
      <c r="A269" t="s">
        <v>1351</v>
      </c>
      <c r="B269" t="s">
        <v>680</v>
      </c>
    </row>
    <row r="270" spans="1:2" x14ac:dyDescent="0.2">
      <c r="A270" t="s">
        <v>1351</v>
      </c>
      <c r="B270" t="s">
        <v>684</v>
      </c>
    </row>
    <row r="271" spans="1:2" x14ac:dyDescent="0.2">
      <c r="A271" t="s">
        <v>1351</v>
      </c>
      <c r="B271" t="s">
        <v>300</v>
      </c>
    </row>
    <row r="272" spans="1:2" x14ac:dyDescent="0.2">
      <c r="A272" t="s">
        <v>1351</v>
      </c>
      <c r="B272" t="s">
        <v>692</v>
      </c>
    </row>
    <row r="273" spans="1:2" x14ac:dyDescent="0.2">
      <c r="A273" t="s">
        <v>1351</v>
      </c>
      <c r="B273" t="s">
        <v>694</v>
      </c>
    </row>
    <row r="274" spans="1:2" x14ac:dyDescent="0.2">
      <c r="A274" t="s">
        <v>1351</v>
      </c>
      <c r="B274" t="s">
        <v>698</v>
      </c>
    </row>
    <row r="275" spans="1:2" x14ac:dyDescent="0.2">
      <c r="A275" t="s">
        <v>1351</v>
      </c>
      <c r="B275" t="s">
        <v>701</v>
      </c>
    </row>
    <row r="276" spans="1:2" x14ac:dyDescent="0.2">
      <c r="A276" t="s">
        <v>1351</v>
      </c>
      <c r="B276" t="s">
        <v>711</v>
      </c>
    </row>
    <row r="277" spans="1:2" x14ac:dyDescent="0.2">
      <c r="A277" t="s">
        <v>1351</v>
      </c>
      <c r="B277" t="s">
        <v>713</v>
      </c>
    </row>
    <row r="278" spans="1:2" x14ac:dyDescent="0.2">
      <c r="A278" t="s">
        <v>1351</v>
      </c>
      <c r="B278" t="s">
        <v>716</v>
      </c>
    </row>
    <row r="279" spans="1:2" x14ac:dyDescent="0.2">
      <c r="A279" t="s">
        <v>1351</v>
      </c>
      <c r="B279" t="s">
        <v>718</v>
      </c>
    </row>
    <row r="280" spans="1:2" x14ac:dyDescent="0.2">
      <c r="A280" t="s">
        <v>1351</v>
      </c>
      <c r="B280" t="s">
        <v>720</v>
      </c>
    </row>
    <row r="281" spans="1:2" x14ac:dyDescent="0.2">
      <c r="A281" t="s">
        <v>1351</v>
      </c>
      <c r="B281" t="s">
        <v>385</v>
      </c>
    </row>
    <row r="282" spans="1:2" x14ac:dyDescent="0.2">
      <c r="A282" t="s">
        <v>1351</v>
      </c>
      <c r="B282" t="s">
        <v>356</v>
      </c>
    </row>
    <row r="283" spans="1:2" x14ac:dyDescent="0.2">
      <c r="A283" t="s">
        <v>1351</v>
      </c>
      <c r="B283" t="s">
        <v>862</v>
      </c>
    </row>
    <row r="284" spans="1:2" x14ac:dyDescent="0.2">
      <c r="A284" t="s">
        <v>1351</v>
      </c>
      <c r="B284" t="s">
        <v>397</v>
      </c>
    </row>
    <row r="285" spans="1:2" x14ac:dyDescent="0.2">
      <c r="A285" t="s">
        <v>1351</v>
      </c>
      <c r="B285" t="s">
        <v>1091</v>
      </c>
    </row>
    <row r="286" spans="1:2" x14ac:dyDescent="0.2">
      <c r="A286" t="s">
        <v>1351</v>
      </c>
      <c r="B286" t="s">
        <v>411</v>
      </c>
    </row>
    <row r="287" spans="1:2" x14ac:dyDescent="0.2">
      <c r="A287" t="s">
        <v>1351</v>
      </c>
      <c r="B287" t="s">
        <v>188</v>
      </c>
    </row>
    <row r="288" spans="1:2" x14ac:dyDescent="0.2">
      <c r="A288" t="s">
        <v>1351</v>
      </c>
      <c r="B288" t="s">
        <v>770</v>
      </c>
    </row>
    <row r="289" spans="1:2" x14ac:dyDescent="0.2">
      <c r="A289" t="s">
        <v>1351</v>
      </c>
      <c r="B289" t="s">
        <v>1106</v>
      </c>
    </row>
    <row r="290" spans="1:2" x14ac:dyDescent="0.2">
      <c r="A290" t="s">
        <v>1351</v>
      </c>
      <c r="B290" t="s">
        <v>301</v>
      </c>
    </row>
    <row r="291" spans="1:2" x14ac:dyDescent="0.2">
      <c r="A291" t="s">
        <v>1351</v>
      </c>
      <c r="B291" t="s">
        <v>775</v>
      </c>
    </row>
    <row r="292" spans="1:2" x14ac:dyDescent="0.2">
      <c r="A292" t="s">
        <v>1351</v>
      </c>
      <c r="B292" t="s">
        <v>620</v>
      </c>
    </row>
    <row r="293" spans="1:2" x14ac:dyDescent="0.2">
      <c r="A293" t="s">
        <v>1351</v>
      </c>
      <c r="B293" t="s">
        <v>1061</v>
      </c>
    </row>
    <row r="294" spans="1:2" x14ac:dyDescent="0.2">
      <c r="A294" t="s">
        <v>1351</v>
      </c>
      <c r="B294" t="s">
        <v>1057</v>
      </c>
    </row>
    <row r="295" spans="1:2" x14ac:dyDescent="0.2">
      <c r="A295" t="s">
        <v>1351</v>
      </c>
      <c r="B295" t="s">
        <v>207</v>
      </c>
    </row>
    <row r="296" spans="1:2" x14ac:dyDescent="0.2">
      <c r="A296" t="s">
        <v>1351</v>
      </c>
      <c r="B296" t="s">
        <v>1152</v>
      </c>
    </row>
    <row r="297" spans="1:2" x14ac:dyDescent="0.2">
      <c r="A297" t="s">
        <v>1351</v>
      </c>
      <c r="B297" t="s">
        <v>62</v>
      </c>
    </row>
    <row r="298" spans="1:2" x14ac:dyDescent="0.2">
      <c r="A298" t="s">
        <v>1351</v>
      </c>
      <c r="B298" t="s">
        <v>548</v>
      </c>
    </row>
    <row r="299" spans="1:2" x14ac:dyDescent="0.2">
      <c r="A299" t="s">
        <v>1351</v>
      </c>
      <c r="B299" t="s">
        <v>995</v>
      </c>
    </row>
    <row r="300" spans="1:2" x14ac:dyDescent="0.2">
      <c r="A300" t="s">
        <v>1351</v>
      </c>
      <c r="B300" t="s">
        <v>1185</v>
      </c>
    </row>
    <row r="301" spans="1:2" x14ac:dyDescent="0.2">
      <c r="A301" t="s">
        <v>1351</v>
      </c>
      <c r="B301" t="s">
        <v>256</v>
      </c>
    </row>
    <row r="302" spans="1:2" x14ac:dyDescent="0.2">
      <c r="A302" t="s">
        <v>1351</v>
      </c>
      <c r="B302" t="s">
        <v>284</v>
      </c>
    </row>
    <row r="303" spans="1:2" x14ac:dyDescent="0.2">
      <c r="A303" t="s">
        <v>1351</v>
      </c>
      <c r="B303" t="s">
        <v>983</v>
      </c>
    </row>
    <row r="304" spans="1:2" x14ac:dyDescent="0.2">
      <c r="A304" t="s">
        <v>1351</v>
      </c>
      <c r="B304" t="s">
        <v>840</v>
      </c>
    </row>
    <row r="305" spans="1:2" x14ac:dyDescent="0.2">
      <c r="A305" t="s">
        <v>1351</v>
      </c>
      <c r="B305" t="s">
        <v>480</v>
      </c>
    </row>
    <row r="306" spans="1:2" x14ac:dyDescent="0.2">
      <c r="A306" t="s">
        <v>1351</v>
      </c>
      <c r="B306" t="s">
        <v>280</v>
      </c>
    </row>
    <row r="307" spans="1:2" x14ac:dyDescent="0.2">
      <c r="A307" t="s">
        <v>1351</v>
      </c>
      <c r="B307" t="s">
        <v>374</v>
      </c>
    </row>
    <row r="308" spans="1:2" x14ac:dyDescent="0.2">
      <c r="A308" t="s">
        <v>1351</v>
      </c>
      <c r="B308" t="s">
        <v>1196</v>
      </c>
    </row>
    <row r="309" spans="1:2" x14ac:dyDescent="0.2">
      <c r="A309" t="s">
        <v>1351</v>
      </c>
      <c r="B309" t="s">
        <v>1169</v>
      </c>
    </row>
    <row r="310" spans="1:2" x14ac:dyDescent="0.2">
      <c r="A310" t="s">
        <v>1351</v>
      </c>
      <c r="B310" t="s">
        <v>1200</v>
      </c>
    </row>
    <row r="311" spans="1:2" x14ac:dyDescent="0.2">
      <c r="A311" t="s">
        <v>1351</v>
      </c>
      <c r="B311" t="s">
        <v>1243</v>
      </c>
    </row>
    <row r="312" spans="1:2" x14ac:dyDescent="0.2">
      <c r="A312" t="s">
        <v>1351</v>
      </c>
      <c r="B312" t="s">
        <v>126</v>
      </c>
    </row>
    <row r="313" spans="1:2" x14ac:dyDescent="0.2">
      <c r="A313" t="s">
        <v>1351</v>
      </c>
      <c r="B313" t="s">
        <v>405</v>
      </c>
    </row>
    <row r="314" spans="1:2" x14ac:dyDescent="0.2">
      <c r="A314" t="s">
        <v>1351</v>
      </c>
      <c r="B314" t="s">
        <v>477</v>
      </c>
    </row>
    <row r="315" spans="1:2" x14ac:dyDescent="0.2">
      <c r="A315" t="s">
        <v>1351</v>
      </c>
      <c r="B315" t="s">
        <v>1184</v>
      </c>
    </row>
    <row r="316" spans="1:2" x14ac:dyDescent="0.2">
      <c r="A316" t="s">
        <v>1351</v>
      </c>
      <c r="B316" t="s">
        <v>234</v>
      </c>
    </row>
    <row r="317" spans="1:2" x14ac:dyDescent="0.2">
      <c r="A317" t="s">
        <v>1351</v>
      </c>
      <c r="B317" t="s">
        <v>1142</v>
      </c>
    </row>
    <row r="318" spans="1:2" x14ac:dyDescent="0.2">
      <c r="A318" t="s">
        <v>1351</v>
      </c>
      <c r="B318" t="s">
        <v>582</v>
      </c>
    </row>
    <row r="319" spans="1:2" x14ac:dyDescent="0.2">
      <c r="A319" t="s">
        <v>1351</v>
      </c>
      <c r="B319" t="s">
        <v>1268</v>
      </c>
    </row>
    <row r="320" spans="1:2" x14ac:dyDescent="0.2">
      <c r="A320" t="s">
        <v>1351</v>
      </c>
      <c r="B320" t="s">
        <v>1271</v>
      </c>
    </row>
    <row r="321" spans="1:2" x14ac:dyDescent="0.2">
      <c r="A321" t="s">
        <v>1351</v>
      </c>
      <c r="B321" t="s">
        <v>739</v>
      </c>
    </row>
    <row r="322" spans="1:2" x14ac:dyDescent="0.2">
      <c r="A322" t="s">
        <v>1351</v>
      </c>
      <c r="B322" t="s">
        <v>378</v>
      </c>
    </row>
    <row r="323" spans="1:2" x14ac:dyDescent="0.2">
      <c r="A323" t="s">
        <v>1351</v>
      </c>
      <c r="B323" t="s">
        <v>323</v>
      </c>
    </row>
    <row r="324" spans="1:2" x14ac:dyDescent="0.2">
      <c r="A324" t="s">
        <v>1351</v>
      </c>
      <c r="B324" t="s">
        <v>1269</v>
      </c>
    </row>
    <row r="325" spans="1:2" x14ac:dyDescent="0.2">
      <c r="A325" t="s">
        <v>1351</v>
      </c>
      <c r="B325" t="s">
        <v>655</v>
      </c>
    </row>
    <row r="326" spans="1:2" x14ac:dyDescent="0.2">
      <c r="A326" t="s">
        <v>1351</v>
      </c>
      <c r="B326" t="s">
        <v>309</v>
      </c>
    </row>
    <row r="327" spans="1:2" x14ac:dyDescent="0.2">
      <c r="A327" t="s">
        <v>1351</v>
      </c>
      <c r="B327" t="s">
        <v>213</v>
      </c>
    </row>
    <row r="328" spans="1:2" x14ac:dyDescent="0.2">
      <c r="A328" t="s">
        <v>1351</v>
      </c>
      <c r="B328" t="s">
        <v>1101</v>
      </c>
    </row>
    <row r="329" spans="1:2" x14ac:dyDescent="0.2">
      <c r="A329" t="s">
        <v>1351</v>
      </c>
      <c r="B329" t="s">
        <v>815</v>
      </c>
    </row>
    <row r="330" spans="1:2" x14ac:dyDescent="0.2">
      <c r="A330" t="s">
        <v>1351</v>
      </c>
      <c r="B330" t="s">
        <v>897</v>
      </c>
    </row>
    <row r="331" spans="1:2" x14ac:dyDescent="0.2">
      <c r="A331" t="s">
        <v>1351</v>
      </c>
      <c r="B331" t="s">
        <v>298</v>
      </c>
    </row>
    <row r="332" spans="1:2" x14ac:dyDescent="0.2">
      <c r="A332" t="s">
        <v>1351</v>
      </c>
      <c r="B332" t="s">
        <v>838</v>
      </c>
    </row>
    <row r="333" spans="1:2" x14ac:dyDescent="0.2">
      <c r="A333" t="s">
        <v>1351</v>
      </c>
      <c r="B333" t="s">
        <v>363</v>
      </c>
    </row>
    <row r="334" spans="1:2" x14ac:dyDescent="0.2">
      <c r="A334" t="s">
        <v>1351</v>
      </c>
      <c r="B334" t="s">
        <v>286</v>
      </c>
    </row>
    <row r="335" spans="1:2" x14ac:dyDescent="0.2">
      <c r="A335" t="s">
        <v>1351</v>
      </c>
      <c r="B335" t="s">
        <v>241</v>
      </c>
    </row>
    <row r="336" spans="1:2" x14ac:dyDescent="0.2">
      <c r="A336" t="s">
        <v>1351</v>
      </c>
      <c r="B336" t="s">
        <v>178</v>
      </c>
    </row>
    <row r="337" spans="1:2" x14ac:dyDescent="0.2">
      <c r="A337" t="s">
        <v>1351</v>
      </c>
      <c r="B337" t="s">
        <v>831</v>
      </c>
    </row>
    <row r="338" spans="1:2" x14ac:dyDescent="0.2">
      <c r="A338" t="s">
        <v>1351</v>
      </c>
      <c r="B338" t="s">
        <v>581</v>
      </c>
    </row>
    <row r="339" spans="1:2" x14ac:dyDescent="0.2">
      <c r="A339" t="s">
        <v>1351</v>
      </c>
      <c r="B339" t="s">
        <v>1071</v>
      </c>
    </row>
    <row r="340" spans="1:2" x14ac:dyDescent="0.2">
      <c r="A340" t="s">
        <v>1351</v>
      </c>
      <c r="B340" t="s">
        <v>303</v>
      </c>
    </row>
    <row r="341" spans="1:2" x14ac:dyDescent="0.2">
      <c r="A341" t="s">
        <v>1351</v>
      </c>
      <c r="B341" t="s">
        <v>224</v>
      </c>
    </row>
    <row r="342" spans="1:2" x14ac:dyDescent="0.2">
      <c r="A342" t="s">
        <v>1351</v>
      </c>
      <c r="B342" t="s">
        <v>794</v>
      </c>
    </row>
    <row r="343" spans="1:2" x14ac:dyDescent="0.2">
      <c r="A343" t="s">
        <v>1351</v>
      </c>
      <c r="B343" t="s">
        <v>1139</v>
      </c>
    </row>
    <row r="344" spans="1:2" x14ac:dyDescent="0.2">
      <c r="A344" t="s">
        <v>1351</v>
      </c>
      <c r="B344" t="s">
        <v>1258</v>
      </c>
    </row>
    <row r="345" spans="1:2" x14ac:dyDescent="0.2">
      <c r="A345" t="s">
        <v>1351</v>
      </c>
      <c r="B345" t="s">
        <v>1209</v>
      </c>
    </row>
    <row r="346" spans="1:2" x14ac:dyDescent="0.2">
      <c r="A346" t="s">
        <v>1351</v>
      </c>
      <c r="B346" t="s">
        <v>1055</v>
      </c>
    </row>
    <row r="347" spans="1:2" x14ac:dyDescent="0.2">
      <c r="A347" t="s">
        <v>1351</v>
      </c>
      <c r="B347" t="s">
        <v>485</v>
      </c>
    </row>
    <row r="348" spans="1:2" x14ac:dyDescent="0.2">
      <c r="A348" t="s">
        <v>1351</v>
      </c>
      <c r="B348" t="s">
        <v>166</v>
      </c>
    </row>
    <row r="349" spans="1:2" x14ac:dyDescent="0.2">
      <c r="A349" t="s">
        <v>1351</v>
      </c>
      <c r="B349" t="s">
        <v>147</v>
      </c>
    </row>
    <row r="350" spans="1:2" x14ac:dyDescent="0.2">
      <c r="A350" t="s">
        <v>1351</v>
      </c>
      <c r="B350" t="s">
        <v>1290</v>
      </c>
    </row>
    <row r="351" spans="1:2" x14ac:dyDescent="0.2">
      <c r="A351" t="s">
        <v>1351</v>
      </c>
      <c r="B351" t="s">
        <v>934</v>
      </c>
    </row>
    <row r="352" spans="1:2" x14ac:dyDescent="0.2">
      <c r="A352" t="s">
        <v>1351</v>
      </c>
      <c r="B352" t="s">
        <v>1076</v>
      </c>
    </row>
    <row r="353" spans="1:2" x14ac:dyDescent="0.2">
      <c r="A353" t="s">
        <v>1351</v>
      </c>
      <c r="B353" t="s">
        <v>872</v>
      </c>
    </row>
    <row r="354" spans="1:2" x14ac:dyDescent="0.2">
      <c r="A354" t="s">
        <v>1351</v>
      </c>
      <c r="B354" t="s">
        <v>1293</v>
      </c>
    </row>
    <row r="355" spans="1:2" x14ac:dyDescent="0.2">
      <c r="A355" t="s">
        <v>1351</v>
      </c>
      <c r="B355" t="s">
        <v>1304</v>
      </c>
    </row>
    <row r="356" spans="1:2" x14ac:dyDescent="0.2">
      <c r="A356" t="s">
        <v>1351</v>
      </c>
      <c r="B356" t="s">
        <v>141</v>
      </c>
    </row>
    <row r="357" spans="1:2" x14ac:dyDescent="0.2">
      <c r="A357" t="s">
        <v>1351</v>
      </c>
      <c r="B357" t="s">
        <v>1204</v>
      </c>
    </row>
    <row r="358" spans="1:2" x14ac:dyDescent="0.2">
      <c r="A358" t="s">
        <v>1351</v>
      </c>
      <c r="B358" t="s">
        <v>1286</v>
      </c>
    </row>
    <row r="359" spans="1:2" x14ac:dyDescent="0.2">
      <c r="A359" t="s">
        <v>1351</v>
      </c>
      <c r="B359" t="s">
        <v>204</v>
      </c>
    </row>
    <row r="360" spans="1:2" x14ac:dyDescent="0.2">
      <c r="A360" t="s">
        <v>1351</v>
      </c>
      <c r="B360" t="s">
        <v>1302</v>
      </c>
    </row>
    <row r="361" spans="1:2" x14ac:dyDescent="0.2">
      <c r="A361" t="s">
        <v>1351</v>
      </c>
      <c r="B361" t="s">
        <v>990</v>
      </c>
    </row>
    <row r="362" spans="1:2" x14ac:dyDescent="0.2">
      <c r="A362" t="s">
        <v>1351</v>
      </c>
      <c r="B362" t="s">
        <v>1284</v>
      </c>
    </row>
    <row r="363" spans="1:2" x14ac:dyDescent="0.2">
      <c r="A363" t="s">
        <v>1351</v>
      </c>
      <c r="B363" t="s">
        <v>558</v>
      </c>
    </row>
    <row r="364" spans="1:2" x14ac:dyDescent="0.2">
      <c r="A364" t="s">
        <v>1351</v>
      </c>
      <c r="B364" t="s">
        <v>1151</v>
      </c>
    </row>
    <row r="365" spans="1:2" x14ac:dyDescent="0.2">
      <c r="A365" t="s">
        <v>1351</v>
      </c>
      <c r="B365" t="s">
        <v>387</v>
      </c>
    </row>
    <row r="366" spans="1:2" x14ac:dyDescent="0.2">
      <c r="A366" t="s">
        <v>1351</v>
      </c>
      <c r="B366" t="s">
        <v>1241</v>
      </c>
    </row>
    <row r="367" spans="1:2" x14ac:dyDescent="0.2">
      <c r="A367" t="s">
        <v>1351</v>
      </c>
      <c r="B367" t="s">
        <v>1157</v>
      </c>
    </row>
    <row r="368" spans="1:2" x14ac:dyDescent="0.2">
      <c r="A368" t="s">
        <v>1351</v>
      </c>
      <c r="B368" t="s">
        <v>816</v>
      </c>
    </row>
    <row r="369" spans="1:2" x14ac:dyDescent="0.2">
      <c r="A369" t="s">
        <v>1351</v>
      </c>
      <c r="B369" t="s">
        <v>106</v>
      </c>
    </row>
    <row r="370" spans="1:2" x14ac:dyDescent="0.2">
      <c r="A370" t="s">
        <v>1351</v>
      </c>
      <c r="B370" t="s">
        <v>53</v>
      </c>
    </row>
    <row r="371" spans="1:2" x14ac:dyDescent="0.2">
      <c r="A371" t="s">
        <v>1351</v>
      </c>
      <c r="B371" t="s">
        <v>865</v>
      </c>
    </row>
    <row r="372" spans="1:2" x14ac:dyDescent="0.2">
      <c r="A372" t="s">
        <v>1351</v>
      </c>
      <c r="B372" t="s">
        <v>806</v>
      </c>
    </row>
    <row r="373" spans="1:2" x14ac:dyDescent="0.2">
      <c r="A373" t="s">
        <v>1351</v>
      </c>
      <c r="B373" t="s">
        <v>1329</v>
      </c>
    </row>
    <row r="374" spans="1:2" x14ac:dyDescent="0.2">
      <c r="A374" t="s">
        <v>1351</v>
      </c>
      <c r="B374" t="s">
        <v>871</v>
      </c>
    </row>
    <row r="375" spans="1:2" x14ac:dyDescent="0.2">
      <c r="A375" t="s">
        <v>1351</v>
      </c>
      <c r="B375" t="s">
        <v>1059</v>
      </c>
    </row>
    <row r="376" spans="1:2" x14ac:dyDescent="0.2">
      <c r="A376" t="s">
        <v>1351</v>
      </c>
      <c r="B376" t="s">
        <v>1135</v>
      </c>
    </row>
    <row r="377" spans="1:2" x14ac:dyDescent="0.2">
      <c r="A377" t="s">
        <v>1351</v>
      </c>
      <c r="B377" t="s">
        <v>434</v>
      </c>
    </row>
    <row r="378" spans="1:2" x14ac:dyDescent="0.2">
      <c r="A378" t="s">
        <v>1351</v>
      </c>
      <c r="B378" t="s">
        <v>672</v>
      </c>
    </row>
    <row r="379" spans="1:2" x14ac:dyDescent="0.2">
      <c r="A379" t="s">
        <v>1351</v>
      </c>
      <c r="B379" t="s">
        <v>1028</v>
      </c>
    </row>
    <row r="380" spans="1:2" x14ac:dyDescent="0.2">
      <c r="A380" t="s">
        <v>1351</v>
      </c>
      <c r="B380" t="s">
        <v>869</v>
      </c>
    </row>
    <row r="381" spans="1:2" x14ac:dyDescent="0.2">
      <c r="A381" t="s">
        <v>1351</v>
      </c>
      <c r="B381" t="s">
        <v>67</v>
      </c>
    </row>
    <row r="382" spans="1:2" x14ac:dyDescent="0.2">
      <c r="A382" t="s">
        <v>1352</v>
      </c>
      <c r="B382" t="s">
        <v>412</v>
      </c>
    </row>
    <row r="383" spans="1:2" x14ac:dyDescent="0.2">
      <c r="A383" t="s">
        <v>1352</v>
      </c>
      <c r="B383" t="s">
        <v>742</v>
      </c>
    </row>
    <row r="384" spans="1:2" x14ac:dyDescent="0.2">
      <c r="A384" t="s">
        <v>1352</v>
      </c>
      <c r="B384" t="s">
        <v>748</v>
      </c>
    </row>
    <row r="385" spans="1:2" x14ac:dyDescent="0.2">
      <c r="A385" t="s">
        <v>1352</v>
      </c>
      <c r="B385" t="s">
        <v>108</v>
      </c>
    </row>
    <row r="386" spans="1:2" x14ac:dyDescent="0.2">
      <c r="A386" t="s">
        <v>1352</v>
      </c>
      <c r="B386" t="s">
        <v>754</v>
      </c>
    </row>
    <row r="387" spans="1:2" x14ac:dyDescent="0.2">
      <c r="A387" t="s">
        <v>1352</v>
      </c>
      <c r="B387" t="s">
        <v>759</v>
      </c>
    </row>
    <row r="388" spans="1:2" x14ac:dyDescent="0.2">
      <c r="A388" t="s">
        <v>1352</v>
      </c>
      <c r="B388" t="s">
        <v>763</v>
      </c>
    </row>
    <row r="389" spans="1:2" x14ac:dyDescent="0.2">
      <c r="A389" t="s">
        <v>1352</v>
      </c>
      <c r="B389" t="s">
        <v>441</v>
      </c>
    </row>
    <row r="390" spans="1:2" x14ac:dyDescent="0.2">
      <c r="A390" t="s">
        <v>1352</v>
      </c>
      <c r="B390" t="s">
        <v>765</v>
      </c>
    </row>
    <row r="391" spans="1:2" x14ac:dyDescent="0.2">
      <c r="A391" t="s">
        <v>1352</v>
      </c>
      <c r="B391" t="s">
        <v>772</v>
      </c>
    </row>
    <row r="392" spans="1:2" x14ac:dyDescent="0.2">
      <c r="A392" t="s">
        <v>1352</v>
      </c>
      <c r="B392" t="s">
        <v>777</v>
      </c>
    </row>
    <row r="393" spans="1:2" x14ac:dyDescent="0.2">
      <c r="A393" t="s">
        <v>1352</v>
      </c>
      <c r="B393" t="s">
        <v>790</v>
      </c>
    </row>
    <row r="394" spans="1:2" x14ac:dyDescent="0.2">
      <c r="A394" t="s">
        <v>1352</v>
      </c>
      <c r="B394" t="s">
        <v>792</v>
      </c>
    </row>
    <row r="395" spans="1:2" x14ac:dyDescent="0.2">
      <c r="A395" t="s">
        <v>1352</v>
      </c>
      <c r="B395" t="s">
        <v>240</v>
      </c>
    </row>
    <row r="396" spans="1:2" x14ac:dyDescent="0.2">
      <c r="A396" t="s">
        <v>1352</v>
      </c>
      <c r="B396" t="s">
        <v>799</v>
      </c>
    </row>
    <row r="397" spans="1:2" x14ac:dyDescent="0.2">
      <c r="A397" t="s">
        <v>1352</v>
      </c>
      <c r="B397" t="s">
        <v>702</v>
      </c>
    </row>
    <row r="398" spans="1:2" x14ac:dyDescent="0.2">
      <c r="A398" t="s">
        <v>1352</v>
      </c>
      <c r="B398" t="s">
        <v>547</v>
      </c>
    </row>
    <row r="399" spans="1:2" x14ac:dyDescent="0.2">
      <c r="A399" t="s">
        <v>1352</v>
      </c>
      <c r="B399" t="s">
        <v>812</v>
      </c>
    </row>
    <row r="400" spans="1:2" x14ac:dyDescent="0.2">
      <c r="A400" t="s">
        <v>1352</v>
      </c>
      <c r="B400" t="s">
        <v>821</v>
      </c>
    </row>
    <row r="401" spans="1:2" x14ac:dyDescent="0.2">
      <c r="A401" t="s">
        <v>1352</v>
      </c>
      <c r="B401" t="s">
        <v>824</v>
      </c>
    </row>
    <row r="402" spans="1:2" x14ac:dyDescent="0.2">
      <c r="A402" t="s">
        <v>1352</v>
      </c>
      <c r="B402" t="s">
        <v>93</v>
      </c>
    </row>
    <row r="403" spans="1:2" x14ac:dyDescent="0.2">
      <c r="A403" t="s">
        <v>1352</v>
      </c>
      <c r="B403" t="s">
        <v>828</v>
      </c>
    </row>
    <row r="404" spans="1:2" x14ac:dyDescent="0.2">
      <c r="A404" t="s">
        <v>1352</v>
      </c>
      <c r="B404" t="s">
        <v>829</v>
      </c>
    </row>
    <row r="405" spans="1:2" x14ac:dyDescent="0.2">
      <c r="A405" t="s">
        <v>1352</v>
      </c>
      <c r="B405" t="s">
        <v>832</v>
      </c>
    </row>
    <row r="406" spans="1:2" x14ac:dyDescent="0.2">
      <c r="A406" t="s">
        <v>1352</v>
      </c>
      <c r="B406" t="s">
        <v>836</v>
      </c>
    </row>
    <row r="407" spans="1:2" x14ac:dyDescent="0.2">
      <c r="A407" t="s">
        <v>1352</v>
      </c>
      <c r="B407" t="s">
        <v>543</v>
      </c>
    </row>
    <row r="408" spans="1:2" x14ac:dyDescent="0.2">
      <c r="A408" t="s">
        <v>1352</v>
      </c>
      <c r="B408" t="s">
        <v>838</v>
      </c>
    </row>
    <row r="409" spans="1:2" x14ac:dyDescent="0.2">
      <c r="A409" t="s">
        <v>1352</v>
      </c>
      <c r="B409" t="s">
        <v>841</v>
      </c>
    </row>
    <row r="410" spans="1:2" x14ac:dyDescent="0.2">
      <c r="A410" t="s">
        <v>1352</v>
      </c>
      <c r="B410" t="s">
        <v>845</v>
      </c>
    </row>
    <row r="411" spans="1:2" x14ac:dyDescent="0.2">
      <c r="A411" t="s">
        <v>1352</v>
      </c>
      <c r="B411" t="s">
        <v>854</v>
      </c>
    </row>
    <row r="412" spans="1:2" x14ac:dyDescent="0.2">
      <c r="A412" t="s">
        <v>1352</v>
      </c>
      <c r="B412" t="s">
        <v>361</v>
      </c>
    </row>
    <row r="413" spans="1:2" x14ac:dyDescent="0.2">
      <c r="A413" t="s">
        <v>1352</v>
      </c>
      <c r="B413" t="s">
        <v>857</v>
      </c>
    </row>
    <row r="414" spans="1:2" x14ac:dyDescent="0.2">
      <c r="A414" t="s">
        <v>1352</v>
      </c>
      <c r="B414" t="s">
        <v>859</v>
      </c>
    </row>
    <row r="415" spans="1:2" x14ac:dyDescent="0.2">
      <c r="A415" t="s">
        <v>1352</v>
      </c>
      <c r="B415" t="s">
        <v>174</v>
      </c>
    </row>
    <row r="416" spans="1:2" x14ac:dyDescent="0.2">
      <c r="A416" t="s">
        <v>1352</v>
      </c>
      <c r="B416" t="s">
        <v>606</v>
      </c>
    </row>
    <row r="417" spans="1:2" x14ac:dyDescent="0.2">
      <c r="A417" t="s">
        <v>1352</v>
      </c>
      <c r="B417" t="s">
        <v>555</v>
      </c>
    </row>
    <row r="418" spans="1:2" x14ac:dyDescent="0.2">
      <c r="A418" t="s">
        <v>1352</v>
      </c>
      <c r="B418" t="s">
        <v>144</v>
      </c>
    </row>
    <row r="419" spans="1:2" x14ac:dyDescent="0.2">
      <c r="A419" t="s">
        <v>1352</v>
      </c>
      <c r="B419" t="s">
        <v>694</v>
      </c>
    </row>
    <row r="420" spans="1:2" x14ac:dyDescent="0.2">
      <c r="A420" t="s">
        <v>1352</v>
      </c>
      <c r="B420" t="s">
        <v>437</v>
      </c>
    </row>
    <row r="421" spans="1:2" x14ac:dyDescent="0.2">
      <c r="A421" t="s">
        <v>1352</v>
      </c>
      <c r="B421" t="s">
        <v>886</v>
      </c>
    </row>
    <row r="422" spans="1:2" x14ac:dyDescent="0.2">
      <c r="A422" t="s">
        <v>1352</v>
      </c>
      <c r="B422" t="s">
        <v>400</v>
      </c>
    </row>
    <row r="423" spans="1:2" x14ac:dyDescent="0.2">
      <c r="A423" t="s">
        <v>1352</v>
      </c>
      <c r="B423" t="s">
        <v>307</v>
      </c>
    </row>
    <row r="424" spans="1:2" x14ac:dyDescent="0.2">
      <c r="A424" t="s">
        <v>1352</v>
      </c>
      <c r="B424" t="s">
        <v>895</v>
      </c>
    </row>
    <row r="425" spans="1:2" x14ac:dyDescent="0.2">
      <c r="A425" t="s">
        <v>1352</v>
      </c>
      <c r="B425" t="s">
        <v>902</v>
      </c>
    </row>
    <row r="426" spans="1:2" x14ac:dyDescent="0.2">
      <c r="A426" t="s">
        <v>1352</v>
      </c>
      <c r="B426" t="s">
        <v>907</v>
      </c>
    </row>
    <row r="427" spans="1:2" x14ac:dyDescent="0.2">
      <c r="A427" t="s">
        <v>1352</v>
      </c>
      <c r="B427" t="s">
        <v>910</v>
      </c>
    </row>
    <row r="428" spans="1:2" x14ac:dyDescent="0.2">
      <c r="A428" t="s">
        <v>1352</v>
      </c>
      <c r="B428" t="s">
        <v>914</v>
      </c>
    </row>
    <row r="429" spans="1:2" x14ac:dyDescent="0.2">
      <c r="A429" t="s">
        <v>1352</v>
      </c>
      <c r="B429" t="s">
        <v>274</v>
      </c>
    </row>
    <row r="430" spans="1:2" x14ac:dyDescent="0.2">
      <c r="A430" t="s">
        <v>1352</v>
      </c>
      <c r="B430" t="s">
        <v>923</v>
      </c>
    </row>
    <row r="431" spans="1:2" x14ac:dyDescent="0.2">
      <c r="A431" t="s">
        <v>1352</v>
      </c>
      <c r="B431" t="s">
        <v>909</v>
      </c>
    </row>
    <row r="432" spans="1:2" x14ac:dyDescent="0.2">
      <c r="A432" t="s">
        <v>1352</v>
      </c>
      <c r="B432" t="s">
        <v>286</v>
      </c>
    </row>
    <row r="433" spans="1:2" x14ac:dyDescent="0.2">
      <c r="A433" t="s">
        <v>1352</v>
      </c>
      <c r="B433" t="s">
        <v>326</v>
      </c>
    </row>
    <row r="434" spans="1:2" x14ac:dyDescent="0.2">
      <c r="A434" t="s">
        <v>1352</v>
      </c>
      <c r="B434" t="s">
        <v>153</v>
      </c>
    </row>
    <row r="435" spans="1:2" x14ac:dyDescent="0.2">
      <c r="A435" t="s">
        <v>1352</v>
      </c>
      <c r="B435" t="s">
        <v>943</v>
      </c>
    </row>
    <row r="436" spans="1:2" x14ac:dyDescent="0.2">
      <c r="A436" t="s">
        <v>1352</v>
      </c>
      <c r="B436" t="s">
        <v>524</v>
      </c>
    </row>
    <row r="437" spans="1:2" x14ac:dyDescent="0.2">
      <c r="A437" t="s">
        <v>1352</v>
      </c>
      <c r="B437" t="s">
        <v>955</v>
      </c>
    </row>
    <row r="438" spans="1:2" x14ac:dyDescent="0.2">
      <c r="A438" t="s">
        <v>1352</v>
      </c>
      <c r="B438" t="s">
        <v>517</v>
      </c>
    </row>
    <row r="439" spans="1:2" x14ac:dyDescent="0.2">
      <c r="A439" t="s">
        <v>1352</v>
      </c>
      <c r="B439" t="s">
        <v>908</v>
      </c>
    </row>
    <row r="440" spans="1:2" x14ac:dyDescent="0.2">
      <c r="A440" t="s">
        <v>1352</v>
      </c>
      <c r="B440" t="s">
        <v>457</v>
      </c>
    </row>
    <row r="441" spans="1:2" x14ac:dyDescent="0.2">
      <c r="A441" t="s">
        <v>1352</v>
      </c>
      <c r="B441" t="s">
        <v>970</v>
      </c>
    </row>
    <row r="442" spans="1:2" x14ac:dyDescent="0.2">
      <c r="A442" t="s">
        <v>1352</v>
      </c>
      <c r="B442" t="s">
        <v>70</v>
      </c>
    </row>
    <row r="443" spans="1:2" x14ac:dyDescent="0.2">
      <c r="A443" t="s">
        <v>1352</v>
      </c>
      <c r="B443" t="s">
        <v>636</v>
      </c>
    </row>
    <row r="444" spans="1:2" x14ac:dyDescent="0.2">
      <c r="A444" t="s">
        <v>1352</v>
      </c>
      <c r="B444" t="s">
        <v>871</v>
      </c>
    </row>
    <row r="445" spans="1:2" x14ac:dyDescent="0.2">
      <c r="A445" t="s">
        <v>1352</v>
      </c>
      <c r="B445" t="s">
        <v>980</v>
      </c>
    </row>
    <row r="446" spans="1:2" x14ac:dyDescent="0.2">
      <c r="A446" t="s">
        <v>1352</v>
      </c>
      <c r="B446" t="s">
        <v>141</v>
      </c>
    </row>
    <row r="447" spans="1:2" x14ac:dyDescent="0.2">
      <c r="A447" t="s">
        <v>1352</v>
      </c>
      <c r="B447" t="s">
        <v>724</v>
      </c>
    </row>
    <row r="448" spans="1:2" x14ac:dyDescent="0.2">
      <c r="A448" t="s">
        <v>1352</v>
      </c>
      <c r="B448" t="s">
        <v>723</v>
      </c>
    </row>
    <row r="449" spans="1:2" x14ac:dyDescent="0.2">
      <c r="A449" t="s">
        <v>1352</v>
      </c>
      <c r="B449" t="s">
        <v>514</v>
      </c>
    </row>
    <row r="450" spans="1:2" x14ac:dyDescent="0.2">
      <c r="A450" t="s">
        <v>1352</v>
      </c>
      <c r="B450" t="s">
        <v>338</v>
      </c>
    </row>
    <row r="451" spans="1:2" x14ac:dyDescent="0.2">
      <c r="A451" t="s">
        <v>1352</v>
      </c>
      <c r="B451" t="s">
        <v>997</v>
      </c>
    </row>
    <row r="452" spans="1:2" x14ac:dyDescent="0.2">
      <c r="A452" t="s">
        <v>1352</v>
      </c>
      <c r="B452" t="s">
        <v>331</v>
      </c>
    </row>
    <row r="453" spans="1:2" x14ac:dyDescent="0.2">
      <c r="A453" t="s">
        <v>1352</v>
      </c>
      <c r="B453" t="s">
        <v>1096</v>
      </c>
    </row>
    <row r="454" spans="1:2" x14ac:dyDescent="0.2">
      <c r="A454" t="s">
        <v>1352</v>
      </c>
      <c r="B454" t="s">
        <v>345</v>
      </c>
    </row>
    <row r="455" spans="1:2" x14ac:dyDescent="0.2">
      <c r="A455" t="s">
        <v>1352</v>
      </c>
      <c r="B455" t="s">
        <v>1033</v>
      </c>
    </row>
    <row r="456" spans="1:2" x14ac:dyDescent="0.2">
      <c r="A456" t="s">
        <v>1352</v>
      </c>
      <c r="B456" t="s">
        <v>293</v>
      </c>
    </row>
    <row r="457" spans="1:2" x14ac:dyDescent="0.2">
      <c r="A457" t="s">
        <v>1352</v>
      </c>
      <c r="B457" t="s">
        <v>634</v>
      </c>
    </row>
    <row r="458" spans="1:2" x14ac:dyDescent="0.2">
      <c r="A458" t="s">
        <v>1352</v>
      </c>
      <c r="B458" t="s">
        <v>1117</v>
      </c>
    </row>
    <row r="459" spans="1:2" x14ac:dyDescent="0.2">
      <c r="A459" t="s">
        <v>1352</v>
      </c>
      <c r="B459" t="s">
        <v>1123</v>
      </c>
    </row>
    <row r="460" spans="1:2" x14ac:dyDescent="0.2">
      <c r="A460" t="s">
        <v>1352</v>
      </c>
      <c r="B460" t="s">
        <v>348</v>
      </c>
    </row>
    <row r="461" spans="1:2" x14ac:dyDescent="0.2">
      <c r="A461" t="s">
        <v>1352</v>
      </c>
      <c r="B461" t="s">
        <v>934</v>
      </c>
    </row>
    <row r="462" spans="1:2" x14ac:dyDescent="0.2">
      <c r="A462" t="s">
        <v>1352</v>
      </c>
      <c r="B462" t="s">
        <v>588</v>
      </c>
    </row>
    <row r="463" spans="1:2" x14ac:dyDescent="0.2">
      <c r="A463" t="s">
        <v>1352</v>
      </c>
      <c r="B463" t="s">
        <v>496</v>
      </c>
    </row>
    <row r="464" spans="1:2" x14ac:dyDescent="0.2">
      <c r="A464" t="s">
        <v>1352</v>
      </c>
      <c r="B464" t="s">
        <v>1148</v>
      </c>
    </row>
    <row r="465" spans="1:2" x14ac:dyDescent="0.2">
      <c r="A465" t="s">
        <v>1352</v>
      </c>
      <c r="B465" t="s">
        <v>1022</v>
      </c>
    </row>
    <row r="466" spans="1:2" x14ac:dyDescent="0.2">
      <c r="A466" t="s">
        <v>1352</v>
      </c>
      <c r="B466" t="s">
        <v>1060</v>
      </c>
    </row>
    <row r="467" spans="1:2" x14ac:dyDescent="0.2">
      <c r="A467" t="s">
        <v>1352</v>
      </c>
      <c r="B467" t="s">
        <v>755</v>
      </c>
    </row>
    <row r="468" spans="1:2" x14ac:dyDescent="0.2">
      <c r="A468" t="s">
        <v>1352</v>
      </c>
      <c r="B468" t="s">
        <v>1164</v>
      </c>
    </row>
    <row r="469" spans="1:2" x14ac:dyDescent="0.2">
      <c r="A469" t="s">
        <v>1352</v>
      </c>
      <c r="B469" t="s">
        <v>411</v>
      </c>
    </row>
    <row r="470" spans="1:2" x14ac:dyDescent="0.2">
      <c r="A470" t="s">
        <v>1352</v>
      </c>
      <c r="B470" t="s">
        <v>328</v>
      </c>
    </row>
    <row r="471" spans="1:2" x14ac:dyDescent="0.2">
      <c r="A471" t="s">
        <v>1352</v>
      </c>
      <c r="B471" t="s">
        <v>789</v>
      </c>
    </row>
    <row r="472" spans="1:2" x14ac:dyDescent="0.2">
      <c r="A472" t="s">
        <v>1352</v>
      </c>
      <c r="B472" t="s">
        <v>1170</v>
      </c>
    </row>
    <row r="473" spans="1:2" x14ac:dyDescent="0.2">
      <c r="A473" t="s">
        <v>1352</v>
      </c>
      <c r="B473" t="s">
        <v>810</v>
      </c>
    </row>
    <row r="474" spans="1:2" x14ac:dyDescent="0.2">
      <c r="A474" t="s">
        <v>1352</v>
      </c>
      <c r="B474" t="s">
        <v>417</v>
      </c>
    </row>
    <row r="475" spans="1:2" x14ac:dyDescent="0.2">
      <c r="A475" t="s">
        <v>1352</v>
      </c>
      <c r="B475" t="s">
        <v>567</v>
      </c>
    </row>
    <row r="476" spans="1:2" x14ac:dyDescent="0.2">
      <c r="A476" t="s">
        <v>1352</v>
      </c>
      <c r="B476" t="s">
        <v>1208</v>
      </c>
    </row>
    <row r="477" spans="1:2" x14ac:dyDescent="0.2">
      <c r="A477" t="s">
        <v>1352</v>
      </c>
      <c r="B477" t="s">
        <v>1215</v>
      </c>
    </row>
    <row r="478" spans="1:2" x14ac:dyDescent="0.2">
      <c r="A478" t="s">
        <v>1352</v>
      </c>
      <c r="B478" t="s">
        <v>973</v>
      </c>
    </row>
    <row r="479" spans="1:2" x14ac:dyDescent="0.2">
      <c r="A479" t="s">
        <v>1352</v>
      </c>
      <c r="B479" t="s">
        <v>1034</v>
      </c>
    </row>
    <row r="480" spans="1:2" x14ac:dyDescent="0.2">
      <c r="A480" t="s">
        <v>1352</v>
      </c>
      <c r="B480" t="s">
        <v>403</v>
      </c>
    </row>
    <row r="481" spans="1:2" x14ac:dyDescent="0.2">
      <c r="A481" t="s">
        <v>1352</v>
      </c>
      <c r="B481" t="s">
        <v>744</v>
      </c>
    </row>
    <row r="482" spans="1:2" x14ac:dyDescent="0.2">
      <c r="A482" t="s">
        <v>1352</v>
      </c>
      <c r="B482" t="s">
        <v>1240</v>
      </c>
    </row>
    <row r="483" spans="1:2" x14ac:dyDescent="0.2">
      <c r="A483" t="s">
        <v>1352</v>
      </c>
      <c r="B483" t="s">
        <v>800</v>
      </c>
    </row>
    <row r="484" spans="1:2" x14ac:dyDescent="0.2">
      <c r="A484" t="s">
        <v>1352</v>
      </c>
      <c r="B484" t="s">
        <v>540</v>
      </c>
    </row>
    <row r="485" spans="1:2" x14ac:dyDescent="0.2">
      <c r="A485" t="s">
        <v>1352</v>
      </c>
      <c r="B485" t="s">
        <v>976</v>
      </c>
    </row>
    <row r="486" spans="1:2" x14ac:dyDescent="0.2">
      <c r="A486" t="s">
        <v>1352</v>
      </c>
      <c r="B486" t="s">
        <v>428</v>
      </c>
    </row>
    <row r="487" spans="1:2" x14ac:dyDescent="0.2">
      <c r="A487" t="s">
        <v>1352</v>
      </c>
      <c r="B487" t="s">
        <v>29</v>
      </c>
    </row>
    <row r="488" spans="1:2" x14ac:dyDescent="0.2">
      <c r="A488" t="s">
        <v>1352</v>
      </c>
      <c r="B488" t="s">
        <v>1223</v>
      </c>
    </row>
    <row r="489" spans="1:2" x14ac:dyDescent="0.2">
      <c r="A489" t="s">
        <v>1352</v>
      </c>
      <c r="B489" t="s">
        <v>124</v>
      </c>
    </row>
    <row r="490" spans="1:2" x14ac:dyDescent="0.2">
      <c r="A490" t="s">
        <v>1352</v>
      </c>
      <c r="B490" t="s">
        <v>330</v>
      </c>
    </row>
    <row r="491" spans="1:2" x14ac:dyDescent="0.2">
      <c r="A491" t="s">
        <v>1352</v>
      </c>
      <c r="B491" t="s">
        <v>961</v>
      </c>
    </row>
    <row r="492" spans="1:2" x14ac:dyDescent="0.2">
      <c r="A492" t="s">
        <v>1352</v>
      </c>
      <c r="B492" t="s">
        <v>1027</v>
      </c>
    </row>
    <row r="493" spans="1:2" x14ac:dyDescent="0.2">
      <c r="A493" t="s">
        <v>1352</v>
      </c>
      <c r="B493" t="s">
        <v>1011</v>
      </c>
    </row>
    <row r="494" spans="1:2" x14ac:dyDescent="0.2">
      <c r="A494" t="s">
        <v>1352</v>
      </c>
      <c r="B494" t="s">
        <v>869</v>
      </c>
    </row>
    <row r="495" spans="1:2" x14ac:dyDescent="0.2">
      <c r="A495" t="s">
        <v>1352</v>
      </c>
      <c r="B495" t="s">
        <v>701</v>
      </c>
    </row>
    <row r="496" spans="1:2" x14ac:dyDescent="0.2">
      <c r="A496" t="s">
        <v>1352</v>
      </c>
      <c r="B496" t="s">
        <v>640</v>
      </c>
    </row>
    <row r="497" spans="1:2" x14ac:dyDescent="0.2">
      <c r="A497" t="s">
        <v>1352</v>
      </c>
      <c r="B497" t="s">
        <v>983</v>
      </c>
    </row>
    <row r="498" spans="1:2" x14ac:dyDescent="0.2">
      <c r="A498" t="s">
        <v>1352</v>
      </c>
      <c r="B498" t="s">
        <v>31</v>
      </c>
    </row>
    <row r="499" spans="1:2" x14ac:dyDescent="0.2">
      <c r="A499" t="s">
        <v>1352</v>
      </c>
      <c r="B499" t="s">
        <v>920</v>
      </c>
    </row>
    <row r="500" spans="1:2" x14ac:dyDescent="0.2">
      <c r="A500" t="s">
        <v>1352</v>
      </c>
      <c r="B500" t="s">
        <v>336</v>
      </c>
    </row>
    <row r="501" spans="1:2" x14ac:dyDescent="0.2">
      <c r="A501" t="s">
        <v>1352</v>
      </c>
      <c r="B501" t="s">
        <v>932</v>
      </c>
    </row>
    <row r="502" spans="1:2" x14ac:dyDescent="0.2">
      <c r="A502" t="s">
        <v>1352</v>
      </c>
      <c r="B502" t="s">
        <v>131</v>
      </c>
    </row>
    <row r="503" spans="1:2" x14ac:dyDescent="0.2">
      <c r="A503" t="s">
        <v>1352</v>
      </c>
      <c r="B503" t="s">
        <v>381</v>
      </c>
    </row>
    <row r="504" spans="1:2" x14ac:dyDescent="0.2">
      <c r="A504" t="s">
        <v>1352</v>
      </c>
      <c r="B504" t="s">
        <v>972</v>
      </c>
    </row>
    <row r="505" spans="1:2" x14ac:dyDescent="0.2">
      <c r="A505" t="s">
        <v>1352</v>
      </c>
      <c r="B505" t="s">
        <v>234</v>
      </c>
    </row>
    <row r="506" spans="1:2" x14ac:dyDescent="0.2">
      <c r="A506" t="s">
        <v>1352</v>
      </c>
      <c r="B506" t="s">
        <v>998</v>
      </c>
    </row>
    <row r="507" spans="1:2" x14ac:dyDescent="0.2">
      <c r="A507" t="s">
        <v>1352</v>
      </c>
      <c r="B507" t="s">
        <v>527</v>
      </c>
    </row>
    <row r="508" spans="1:2" x14ac:dyDescent="0.2">
      <c r="A508" t="s">
        <v>1352</v>
      </c>
      <c r="B508" t="s">
        <v>319</v>
      </c>
    </row>
    <row r="509" spans="1:2" x14ac:dyDescent="0.2">
      <c r="A509" t="s">
        <v>1352</v>
      </c>
      <c r="B509" t="s">
        <v>1029</v>
      </c>
    </row>
    <row r="510" spans="1:2" x14ac:dyDescent="0.2">
      <c r="A510" t="s">
        <v>1352</v>
      </c>
      <c r="B510" t="s">
        <v>1102</v>
      </c>
    </row>
    <row r="511" spans="1:2" x14ac:dyDescent="0.2">
      <c r="A511" t="s">
        <v>1352</v>
      </c>
      <c r="B511" t="s">
        <v>477</v>
      </c>
    </row>
    <row r="512" spans="1:2" x14ac:dyDescent="0.2">
      <c r="A512" t="s">
        <v>1352</v>
      </c>
      <c r="B512" t="s">
        <v>213</v>
      </c>
    </row>
    <row r="513" spans="1:2" x14ac:dyDescent="0.2">
      <c r="A513" t="s">
        <v>1352</v>
      </c>
      <c r="B513" t="s">
        <v>295</v>
      </c>
    </row>
    <row r="514" spans="1:2" x14ac:dyDescent="0.2">
      <c r="A514" t="s">
        <v>1352</v>
      </c>
      <c r="B514" t="s">
        <v>1167</v>
      </c>
    </row>
    <row r="515" spans="1:2" x14ac:dyDescent="0.2">
      <c r="A515" t="s">
        <v>1352</v>
      </c>
      <c r="B515" t="s">
        <v>1207</v>
      </c>
    </row>
    <row r="516" spans="1:2" x14ac:dyDescent="0.2">
      <c r="A516" t="s">
        <v>1352</v>
      </c>
      <c r="B516" t="s">
        <v>510</v>
      </c>
    </row>
    <row r="517" spans="1:2" x14ac:dyDescent="0.2">
      <c r="A517" t="s">
        <v>1352</v>
      </c>
      <c r="B517" t="s">
        <v>1097</v>
      </c>
    </row>
    <row r="518" spans="1:2" x14ac:dyDescent="0.2">
      <c r="A518" t="s">
        <v>1352</v>
      </c>
      <c r="B518" t="s">
        <v>1232</v>
      </c>
    </row>
    <row r="519" spans="1:2" x14ac:dyDescent="0.2">
      <c r="A519" t="s">
        <v>1352</v>
      </c>
      <c r="B519" t="s">
        <v>1132</v>
      </c>
    </row>
    <row r="520" spans="1:2" x14ac:dyDescent="0.2">
      <c r="A520" t="s">
        <v>1352</v>
      </c>
      <c r="B520" t="s">
        <v>1030</v>
      </c>
    </row>
    <row r="521" spans="1:2" x14ac:dyDescent="0.2">
      <c r="A521" t="s">
        <v>1352</v>
      </c>
      <c r="B521" t="s">
        <v>708</v>
      </c>
    </row>
    <row r="522" spans="1:2" x14ac:dyDescent="0.2">
      <c r="A522" t="s">
        <v>1352</v>
      </c>
      <c r="B522" t="s">
        <v>586</v>
      </c>
    </row>
    <row r="523" spans="1:2" x14ac:dyDescent="0.2">
      <c r="A523" t="s">
        <v>1352</v>
      </c>
      <c r="B523" t="s">
        <v>843</v>
      </c>
    </row>
    <row r="524" spans="1:2" x14ac:dyDescent="0.2">
      <c r="A524" t="s">
        <v>1352</v>
      </c>
      <c r="B524" t="s">
        <v>658</v>
      </c>
    </row>
    <row r="525" spans="1:2" x14ac:dyDescent="0.2">
      <c r="A525" t="s">
        <v>1352</v>
      </c>
      <c r="B525" t="s">
        <v>707</v>
      </c>
    </row>
    <row r="526" spans="1:2" x14ac:dyDescent="0.2">
      <c r="A526" t="s">
        <v>1352</v>
      </c>
      <c r="B526" t="s">
        <v>539</v>
      </c>
    </row>
    <row r="527" spans="1:2" x14ac:dyDescent="0.2">
      <c r="A527" t="s">
        <v>1352</v>
      </c>
      <c r="B527" t="s">
        <v>561</v>
      </c>
    </row>
    <row r="528" spans="1:2" x14ac:dyDescent="0.2">
      <c r="A528" t="s">
        <v>1352</v>
      </c>
      <c r="B528" t="s">
        <v>91</v>
      </c>
    </row>
    <row r="529" spans="1:2" x14ac:dyDescent="0.2">
      <c r="A529" t="s">
        <v>1352</v>
      </c>
      <c r="B529" t="s">
        <v>1319</v>
      </c>
    </row>
    <row r="530" spans="1:2" x14ac:dyDescent="0.2">
      <c r="A530" t="s">
        <v>1352</v>
      </c>
      <c r="B530" t="s">
        <v>1257</v>
      </c>
    </row>
    <row r="531" spans="1:2" x14ac:dyDescent="0.2">
      <c r="A531" t="s">
        <v>1352</v>
      </c>
      <c r="B531" t="s">
        <v>243</v>
      </c>
    </row>
    <row r="532" spans="1:2" x14ac:dyDescent="0.2">
      <c r="A532" t="s">
        <v>1352</v>
      </c>
      <c r="B532" t="s">
        <v>383</v>
      </c>
    </row>
    <row r="533" spans="1:2" x14ac:dyDescent="0.2">
      <c r="A533" t="s">
        <v>1352</v>
      </c>
      <c r="B533" t="s">
        <v>931</v>
      </c>
    </row>
    <row r="534" spans="1:2" x14ac:dyDescent="0.2">
      <c r="A534" t="s">
        <v>1352</v>
      </c>
      <c r="B534" t="s">
        <v>578</v>
      </c>
    </row>
    <row r="535" spans="1:2" x14ac:dyDescent="0.2">
      <c r="A535" t="s">
        <v>1352</v>
      </c>
      <c r="B535" t="s">
        <v>949</v>
      </c>
    </row>
    <row r="536" spans="1:2" x14ac:dyDescent="0.2">
      <c r="A536" t="s">
        <v>1352</v>
      </c>
      <c r="B536" t="s">
        <v>220</v>
      </c>
    </row>
    <row r="537" spans="1:2" x14ac:dyDescent="0.2">
      <c r="A537" t="s">
        <v>1352</v>
      </c>
      <c r="B537" t="s">
        <v>169</v>
      </c>
    </row>
    <row r="538" spans="1:2" x14ac:dyDescent="0.2">
      <c r="A538" t="s">
        <v>1352</v>
      </c>
      <c r="B538" t="s">
        <v>698</v>
      </c>
    </row>
    <row r="539" spans="1:2" x14ac:dyDescent="0.2">
      <c r="A539" t="s">
        <v>1352</v>
      </c>
      <c r="B539" t="s">
        <v>646</v>
      </c>
    </row>
    <row r="540" spans="1:2" x14ac:dyDescent="0.2">
      <c r="A540" t="s">
        <v>1352</v>
      </c>
      <c r="B540" t="s">
        <v>374</v>
      </c>
    </row>
    <row r="541" spans="1:2" x14ac:dyDescent="0.2">
      <c r="A541" t="s">
        <v>1352</v>
      </c>
      <c r="B541" t="s">
        <v>1275</v>
      </c>
    </row>
    <row r="542" spans="1:2" x14ac:dyDescent="0.2">
      <c r="A542" t="s">
        <v>1352</v>
      </c>
      <c r="B542" t="s">
        <v>422</v>
      </c>
    </row>
    <row r="543" spans="1:2" x14ac:dyDescent="0.2">
      <c r="A543" t="s">
        <v>1352</v>
      </c>
      <c r="B543" t="s">
        <v>1074</v>
      </c>
    </row>
    <row r="544" spans="1:2" x14ac:dyDescent="0.2">
      <c r="A544" t="s">
        <v>1352</v>
      </c>
      <c r="B544" t="s">
        <v>1218</v>
      </c>
    </row>
    <row r="545" spans="1:2" x14ac:dyDescent="0.2">
      <c r="A545" t="s">
        <v>1352</v>
      </c>
      <c r="B545" t="s">
        <v>241</v>
      </c>
    </row>
    <row r="546" spans="1:2" x14ac:dyDescent="0.2">
      <c r="A546" t="s">
        <v>1353</v>
      </c>
      <c r="B546" t="s">
        <v>243</v>
      </c>
    </row>
    <row r="547" spans="1:2" x14ac:dyDescent="0.2">
      <c r="A547" t="s">
        <v>1353</v>
      </c>
      <c r="B547" t="s">
        <v>1008</v>
      </c>
    </row>
    <row r="548" spans="1:2" x14ac:dyDescent="0.2">
      <c r="A548" t="s">
        <v>1353</v>
      </c>
      <c r="B548" t="s">
        <v>1013</v>
      </c>
    </row>
    <row r="549" spans="1:2" x14ac:dyDescent="0.2">
      <c r="A549" t="s">
        <v>1353</v>
      </c>
      <c r="B549" t="s">
        <v>636</v>
      </c>
    </row>
    <row r="550" spans="1:2" x14ac:dyDescent="0.2">
      <c r="A550" t="s">
        <v>1353</v>
      </c>
      <c r="B550" t="s">
        <v>993</v>
      </c>
    </row>
    <row r="551" spans="1:2" x14ac:dyDescent="0.2">
      <c r="A551" t="s">
        <v>1353</v>
      </c>
      <c r="B551" t="s">
        <v>1025</v>
      </c>
    </row>
    <row r="552" spans="1:2" x14ac:dyDescent="0.2">
      <c r="A552" t="s">
        <v>1353</v>
      </c>
      <c r="B552" t="s">
        <v>1028</v>
      </c>
    </row>
    <row r="553" spans="1:2" x14ac:dyDescent="0.2">
      <c r="A553" t="s">
        <v>1353</v>
      </c>
      <c r="B553" t="s">
        <v>1030</v>
      </c>
    </row>
    <row r="554" spans="1:2" x14ac:dyDescent="0.2">
      <c r="A554" t="s">
        <v>1353</v>
      </c>
      <c r="B554" t="s">
        <v>422</v>
      </c>
    </row>
    <row r="555" spans="1:2" x14ac:dyDescent="0.2">
      <c r="A555" t="s">
        <v>1353</v>
      </c>
      <c r="B555" t="s">
        <v>172</v>
      </c>
    </row>
    <row r="556" spans="1:2" x14ac:dyDescent="0.2">
      <c r="A556" t="s">
        <v>1353</v>
      </c>
      <c r="B556" t="s">
        <v>1037</v>
      </c>
    </row>
    <row r="557" spans="1:2" x14ac:dyDescent="0.2">
      <c r="A557" t="s">
        <v>1353</v>
      </c>
      <c r="B557" t="s">
        <v>588</v>
      </c>
    </row>
    <row r="558" spans="1:2" x14ac:dyDescent="0.2">
      <c r="A558" t="s">
        <v>1353</v>
      </c>
      <c r="B558" t="s">
        <v>389</v>
      </c>
    </row>
    <row r="559" spans="1:2" x14ac:dyDescent="0.2">
      <c r="A559" t="s">
        <v>1353</v>
      </c>
      <c r="B559" t="s">
        <v>502</v>
      </c>
    </row>
    <row r="560" spans="1:2" x14ac:dyDescent="0.2">
      <c r="A560" t="s">
        <v>1353</v>
      </c>
      <c r="B560" t="s">
        <v>968</v>
      </c>
    </row>
    <row r="561" spans="1:2" x14ac:dyDescent="0.2">
      <c r="A561" t="s">
        <v>1353</v>
      </c>
      <c r="B561" t="s">
        <v>53</v>
      </c>
    </row>
    <row r="562" spans="1:2" x14ac:dyDescent="0.2">
      <c r="A562" t="s">
        <v>1353</v>
      </c>
      <c r="B562" t="s">
        <v>672</v>
      </c>
    </row>
    <row r="563" spans="1:2" x14ac:dyDescent="0.2">
      <c r="A563" t="s">
        <v>1353</v>
      </c>
      <c r="B563" t="s">
        <v>696</v>
      </c>
    </row>
    <row r="564" spans="1:2" x14ac:dyDescent="0.2">
      <c r="A564" t="s">
        <v>1353</v>
      </c>
      <c r="B564" t="s">
        <v>709</v>
      </c>
    </row>
    <row r="565" spans="1:2" x14ac:dyDescent="0.2">
      <c r="A565" t="s">
        <v>1353</v>
      </c>
      <c r="B565" t="s">
        <v>359</v>
      </c>
    </row>
    <row r="566" spans="1:2" x14ac:dyDescent="0.2">
      <c r="A566" t="s">
        <v>1353</v>
      </c>
      <c r="B566" t="s">
        <v>259</v>
      </c>
    </row>
    <row r="567" spans="1:2" x14ac:dyDescent="0.2">
      <c r="A567" t="s">
        <v>1353</v>
      </c>
      <c r="B567" t="s">
        <v>734</v>
      </c>
    </row>
    <row r="568" spans="1:2" x14ac:dyDescent="0.2">
      <c r="A568" t="s">
        <v>1353</v>
      </c>
      <c r="B568" t="s">
        <v>548</v>
      </c>
    </row>
    <row r="569" spans="1:2" x14ac:dyDescent="0.2">
      <c r="A569" t="s">
        <v>1353</v>
      </c>
      <c r="B569" t="s">
        <v>973</v>
      </c>
    </row>
    <row r="570" spans="1:2" x14ac:dyDescent="0.2">
      <c r="A570" t="s">
        <v>1353</v>
      </c>
      <c r="B570" t="s">
        <v>309</v>
      </c>
    </row>
    <row r="571" spans="1:2" x14ac:dyDescent="0.2">
      <c r="A571" t="s">
        <v>1353</v>
      </c>
      <c r="B571" t="s">
        <v>926</v>
      </c>
    </row>
    <row r="572" spans="1:2" x14ac:dyDescent="0.2">
      <c r="A572" t="s">
        <v>1353</v>
      </c>
      <c r="B572" t="s">
        <v>540</v>
      </c>
    </row>
    <row r="573" spans="1:2" x14ac:dyDescent="0.2">
      <c r="A573" t="s">
        <v>1353</v>
      </c>
      <c r="B573" t="s">
        <v>1003</v>
      </c>
    </row>
    <row r="574" spans="1:2" x14ac:dyDescent="0.2">
      <c r="A574" t="s">
        <v>1353</v>
      </c>
      <c r="B574" t="s">
        <v>1049</v>
      </c>
    </row>
    <row r="575" spans="1:2" x14ac:dyDescent="0.2">
      <c r="A575" t="s">
        <v>1353</v>
      </c>
      <c r="B575" t="s">
        <v>649</v>
      </c>
    </row>
    <row r="576" spans="1:2" x14ac:dyDescent="0.2">
      <c r="A576" t="s">
        <v>1353</v>
      </c>
      <c r="B576" t="s">
        <v>155</v>
      </c>
    </row>
    <row r="577" spans="1:2" x14ac:dyDescent="0.2">
      <c r="A577" t="s">
        <v>1353</v>
      </c>
      <c r="B577" t="s">
        <v>1054</v>
      </c>
    </row>
    <row r="578" spans="1:2" x14ac:dyDescent="0.2">
      <c r="A578" t="s">
        <v>1353</v>
      </c>
      <c r="B578" t="s">
        <v>620</v>
      </c>
    </row>
    <row r="579" spans="1:2" x14ac:dyDescent="0.2">
      <c r="A579" t="s">
        <v>1353</v>
      </c>
      <c r="B579" t="s">
        <v>597</v>
      </c>
    </row>
    <row r="580" spans="1:2" x14ac:dyDescent="0.2">
      <c r="A580" t="s">
        <v>1353</v>
      </c>
      <c r="B580" t="s">
        <v>537</v>
      </c>
    </row>
    <row r="581" spans="1:2" x14ac:dyDescent="0.2">
      <c r="A581" t="s">
        <v>1353</v>
      </c>
      <c r="B581" t="s">
        <v>82</v>
      </c>
    </row>
    <row r="582" spans="1:2" x14ac:dyDescent="0.2">
      <c r="A582" t="s">
        <v>1353</v>
      </c>
      <c r="B582" t="s">
        <v>1061</v>
      </c>
    </row>
    <row r="583" spans="1:2" x14ac:dyDescent="0.2">
      <c r="A583" t="s">
        <v>1353</v>
      </c>
      <c r="B583" t="s">
        <v>736</v>
      </c>
    </row>
    <row r="584" spans="1:2" x14ac:dyDescent="0.2">
      <c r="A584" t="s">
        <v>1353</v>
      </c>
      <c r="B584" t="s">
        <v>1040</v>
      </c>
    </row>
    <row r="585" spans="1:2" x14ac:dyDescent="0.2">
      <c r="A585" t="s">
        <v>1353</v>
      </c>
      <c r="B585" t="s">
        <v>1063</v>
      </c>
    </row>
    <row r="586" spans="1:2" x14ac:dyDescent="0.2">
      <c r="A586" t="s">
        <v>1353</v>
      </c>
      <c r="B586" t="s">
        <v>944</v>
      </c>
    </row>
    <row r="587" spans="1:2" x14ac:dyDescent="0.2">
      <c r="A587" t="s">
        <v>1353</v>
      </c>
      <c r="B587" t="s">
        <v>1065</v>
      </c>
    </row>
    <row r="588" spans="1:2" x14ac:dyDescent="0.2">
      <c r="A588" t="s">
        <v>1353</v>
      </c>
      <c r="B588" t="s">
        <v>1067</v>
      </c>
    </row>
    <row r="589" spans="1:2" x14ac:dyDescent="0.2">
      <c r="A589" t="s">
        <v>1353</v>
      </c>
      <c r="B589" t="s">
        <v>1069</v>
      </c>
    </row>
    <row r="590" spans="1:2" x14ac:dyDescent="0.2">
      <c r="A590" t="s">
        <v>1353</v>
      </c>
      <c r="B590" t="s">
        <v>1071</v>
      </c>
    </row>
    <row r="591" spans="1:2" x14ac:dyDescent="0.2">
      <c r="A591" t="s">
        <v>1353</v>
      </c>
      <c r="B591" t="s">
        <v>561</v>
      </c>
    </row>
    <row r="592" spans="1:2" x14ac:dyDescent="0.2">
      <c r="A592" t="s">
        <v>1353</v>
      </c>
      <c r="B592" t="s">
        <v>1076</v>
      </c>
    </row>
    <row r="593" spans="1:2" x14ac:dyDescent="0.2">
      <c r="A593" t="s">
        <v>1353</v>
      </c>
      <c r="B593" t="s">
        <v>91</v>
      </c>
    </row>
    <row r="594" spans="1:2" x14ac:dyDescent="0.2">
      <c r="A594" t="s">
        <v>1353</v>
      </c>
      <c r="B594" t="s">
        <v>917</v>
      </c>
    </row>
    <row r="595" spans="1:2" x14ac:dyDescent="0.2">
      <c r="A595" t="s">
        <v>1353</v>
      </c>
      <c r="B595" t="s">
        <v>784</v>
      </c>
    </row>
    <row r="596" spans="1:2" x14ac:dyDescent="0.2">
      <c r="A596" t="s">
        <v>1353</v>
      </c>
      <c r="B596" t="s">
        <v>314</v>
      </c>
    </row>
    <row r="597" spans="1:2" x14ac:dyDescent="0.2">
      <c r="A597" t="s">
        <v>1353</v>
      </c>
      <c r="B597" t="s">
        <v>1089</v>
      </c>
    </row>
    <row r="598" spans="1:2" x14ac:dyDescent="0.2">
      <c r="A598" t="s">
        <v>1353</v>
      </c>
      <c r="B598" t="s">
        <v>547</v>
      </c>
    </row>
    <row r="599" spans="1:2" x14ac:dyDescent="0.2">
      <c r="A599" t="s">
        <v>1353</v>
      </c>
      <c r="B599" t="s">
        <v>861</v>
      </c>
    </row>
    <row r="600" spans="1:2" x14ac:dyDescent="0.2">
      <c r="A600" t="s">
        <v>1353</v>
      </c>
      <c r="B600" t="s">
        <v>988</v>
      </c>
    </row>
    <row r="601" spans="1:2" x14ac:dyDescent="0.2">
      <c r="A601" t="s">
        <v>1353</v>
      </c>
      <c r="B601" t="s">
        <v>1142</v>
      </c>
    </row>
    <row r="602" spans="1:2" x14ac:dyDescent="0.2">
      <c r="A602" t="s">
        <v>1353</v>
      </c>
      <c r="B602" t="s">
        <v>660</v>
      </c>
    </row>
    <row r="603" spans="1:2" x14ac:dyDescent="0.2">
      <c r="A603" t="s">
        <v>1353</v>
      </c>
      <c r="B603" t="s">
        <v>517</v>
      </c>
    </row>
    <row r="604" spans="1:2" x14ac:dyDescent="0.2">
      <c r="A604" t="s">
        <v>1353</v>
      </c>
      <c r="B604" t="s">
        <v>378</v>
      </c>
    </row>
    <row r="605" spans="1:2" x14ac:dyDescent="0.2">
      <c r="A605" t="s">
        <v>1353</v>
      </c>
      <c r="B605" t="s">
        <v>931</v>
      </c>
    </row>
    <row r="606" spans="1:2" x14ac:dyDescent="0.2">
      <c r="A606" t="s">
        <v>1353</v>
      </c>
      <c r="B606" t="s">
        <v>646</v>
      </c>
    </row>
    <row r="607" spans="1:2" x14ac:dyDescent="0.2">
      <c r="A607" t="s">
        <v>1353</v>
      </c>
      <c r="B607" t="s">
        <v>929</v>
      </c>
    </row>
    <row r="608" spans="1:2" x14ac:dyDescent="0.2">
      <c r="A608" t="s">
        <v>1353</v>
      </c>
      <c r="B608" t="s">
        <v>603</v>
      </c>
    </row>
    <row r="609" spans="1:2" x14ac:dyDescent="0.2">
      <c r="A609" t="s">
        <v>1353</v>
      </c>
      <c r="B609" t="s">
        <v>1105</v>
      </c>
    </row>
    <row r="610" spans="1:2" x14ac:dyDescent="0.2">
      <c r="A610" t="s">
        <v>1353</v>
      </c>
      <c r="B610" t="s">
        <v>1196</v>
      </c>
    </row>
    <row r="611" spans="1:2" x14ac:dyDescent="0.2">
      <c r="A611" t="s">
        <v>1353</v>
      </c>
      <c r="B611" t="s">
        <v>1102</v>
      </c>
    </row>
    <row r="612" spans="1:2" x14ac:dyDescent="0.2">
      <c r="A612" t="s">
        <v>1353</v>
      </c>
      <c r="B612" t="s">
        <v>1231</v>
      </c>
    </row>
    <row r="613" spans="1:2" x14ac:dyDescent="0.2">
      <c r="A613" t="s">
        <v>1353</v>
      </c>
      <c r="B613" t="s">
        <v>1160</v>
      </c>
    </row>
    <row r="614" spans="1:2" x14ac:dyDescent="0.2">
      <c r="A614" t="s">
        <v>1353</v>
      </c>
      <c r="B614" t="s">
        <v>853</v>
      </c>
    </row>
    <row r="615" spans="1:2" x14ac:dyDescent="0.2">
      <c r="A615" t="s">
        <v>1353</v>
      </c>
      <c r="B615" t="s">
        <v>918</v>
      </c>
    </row>
    <row r="616" spans="1:2" x14ac:dyDescent="0.2">
      <c r="A616" t="s">
        <v>1353</v>
      </c>
      <c r="B616" t="s">
        <v>300</v>
      </c>
    </row>
    <row r="617" spans="1:2" x14ac:dyDescent="0.2">
      <c r="A617" t="s">
        <v>1353</v>
      </c>
      <c r="B617" t="s">
        <v>1106</v>
      </c>
    </row>
    <row r="618" spans="1:2" x14ac:dyDescent="0.2">
      <c r="A618" t="s">
        <v>1353</v>
      </c>
      <c r="B618" t="s">
        <v>776</v>
      </c>
    </row>
    <row r="619" spans="1:2" x14ac:dyDescent="0.2">
      <c r="A619" t="s">
        <v>1353</v>
      </c>
      <c r="B619" t="s">
        <v>282</v>
      </c>
    </row>
    <row r="620" spans="1:2" x14ac:dyDescent="0.2">
      <c r="A620" t="s">
        <v>1353</v>
      </c>
      <c r="B620" t="s">
        <v>543</v>
      </c>
    </row>
    <row r="621" spans="1:2" x14ac:dyDescent="0.2">
      <c r="A621" t="s">
        <v>1353</v>
      </c>
      <c r="B621" t="s">
        <v>1101</v>
      </c>
    </row>
    <row r="622" spans="1:2" x14ac:dyDescent="0.2">
      <c r="A622" t="s">
        <v>1353</v>
      </c>
      <c r="B622" t="s">
        <v>1111</v>
      </c>
    </row>
    <row r="623" spans="1:2" x14ac:dyDescent="0.2">
      <c r="A623" t="s">
        <v>1353</v>
      </c>
      <c r="B623" t="s">
        <v>1200</v>
      </c>
    </row>
    <row r="624" spans="1:2" x14ac:dyDescent="0.2">
      <c r="A624" t="s">
        <v>1353</v>
      </c>
      <c r="B624" t="s">
        <v>908</v>
      </c>
    </row>
    <row r="625" spans="1:2" x14ac:dyDescent="0.2">
      <c r="A625" t="s">
        <v>1353</v>
      </c>
      <c r="B625" t="s">
        <v>343</v>
      </c>
    </row>
    <row r="626" spans="1:2" x14ac:dyDescent="0.2">
      <c r="A626" t="s">
        <v>1353</v>
      </c>
      <c r="B626" t="s">
        <v>835</v>
      </c>
    </row>
    <row r="627" spans="1:2" x14ac:dyDescent="0.2">
      <c r="A627" t="s">
        <v>1353</v>
      </c>
      <c r="B627" t="s">
        <v>1166</v>
      </c>
    </row>
    <row r="628" spans="1:2" x14ac:dyDescent="0.2">
      <c r="A628" t="s">
        <v>1353</v>
      </c>
      <c r="B628" t="s">
        <v>804</v>
      </c>
    </row>
    <row r="629" spans="1:2" x14ac:dyDescent="0.2">
      <c r="A629" t="s">
        <v>1353</v>
      </c>
      <c r="B629" t="s">
        <v>224</v>
      </c>
    </row>
    <row r="630" spans="1:2" x14ac:dyDescent="0.2">
      <c r="A630" t="s">
        <v>1353</v>
      </c>
      <c r="B630" t="s">
        <v>486</v>
      </c>
    </row>
    <row r="631" spans="1:2" x14ac:dyDescent="0.2">
      <c r="A631" t="s">
        <v>1353</v>
      </c>
      <c r="B631" t="s">
        <v>772</v>
      </c>
    </row>
    <row r="632" spans="1:2" x14ac:dyDescent="0.2">
      <c r="A632" t="s">
        <v>1353</v>
      </c>
      <c r="B632" t="s">
        <v>1292</v>
      </c>
    </row>
    <row r="633" spans="1:2" x14ac:dyDescent="0.2">
      <c r="A633" t="s">
        <v>1353</v>
      </c>
      <c r="B633" t="s">
        <v>1251</v>
      </c>
    </row>
    <row r="634" spans="1:2" x14ac:dyDescent="0.2">
      <c r="A634" t="s">
        <v>1353</v>
      </c>
      <c r="B634" t="s">
        <v>627</v>
      </c>
    </row>
    <row r="635" spans="1:2" x14ac:dyDescent="0.2">
      <c r="A635" t="s">
        <v>1353</v>
      </c>
      <c r="B635" t="s">
        <v>1301</v>
      </c>
    </row>
    <row r="636" spans="1:2" x14ac:dyDescent="0.2">
      <c r="A636" t="s">
        <v>1353</v>
      </c>
      <c r="B636" t="s">
        <v>1205</v>
      </c>
    </row>
    <row r="637" spans="1:2" x14ac:dyDescent="0.2">
      <c r="A637" t="s">
        <v>1353</v>
      </c>
      <c r="B637" t="s">
        <v>871</v>
      </c>
    </row>
    <row r="638" spans="1:2" x14ac:dyDescent="0.2">
      <c r="A638" t="s">
        <v>1353</v>
      </c>
      <c r="B638" t="s">
        <v>1219</v>
      </c>
    </row>
    <row r="639" spans="1:2" x14ac:dyDescent="0.2">
      <c r="A639" t="s">
        <v>1353</v>
      </c>
      <c r="B639" t="s">
        <v>849</v>
      </c>
    </row>
    <row r="640" spans="1:2" x14ac:dyDescent="0.2">
      <c r="A640" t="s">
        <v>1353</v>
      </c>
      <c r="B640" t="s">
        <v>895</v>
      </c>
    </row>
    <row r="641" spans="1:2" x14ac:dyDescent="0.2">
      <c r="A641" t="s">
        <v>1353</v>
      </c>
      <c r="B641" t="s">
        <v>982</v>
      </c>
    </row>
    <row r="642" spans="1:2" x14ac:dyDescent="0.2">
      <c r="A642" t="s">
        <v>1353</v>
      </c>
      <c r="B642" t="s">
        <v>1120</v>
      </c>
    </row>
    <row r="643" spans="1:2" x14ac:dyDescent="0.2">
      <c r="A643" t="s">
        <v>1353</v>
      </c>
      <c r="B643" t="s">
        <v>1210</v>
      </c>
    </row>
    <row r="644" spans="1:2" x14ac:dyDescent="0.2">
      <c r="A644" t="s">
        <v>1353</v>
      </c>
      <c r="B644" t="s">
        <v>1269</v>
      </c>
    </row>
    <row r="645" spans="1:2" x14ac:dyDescent="0.2">
      <c r="A645" t="s">
        <v>1353</v>
      </c>
      <c r="B645" t="s">
        <v>1090</v>
      </c>
    </row>
    <row r="646" spans="1:2" x14ac:dyDescent="0.2">
      <c r="A646" t="s">
        <v>1353</v>
      </c>
      <c r="B646" t="s">
        <v>556</v>
      </c>
    </row>
    <row r="647" spans="1:2" x14ac:dyDescent="0.2">
      <c r="A647" t="s">
        <v>1353</v>
      </c>
      <c r="B647" t="s">
        <v>1016</v>
      </c>
    </row>
    <row r="648" spans="1:2" x14ac:dyDescent="0.2">
      <c r="A648" t="s">
        <v>1353</v>
      </c>
      <c r="B648" t="s">
        <v>640</v>
      </c>
    </row>
    <row r="649" spans="1:2" x14ac:dyDescent="0.2">
      <c r="A649" t="s">
        <v>1353</v>
      </c>
      <c r="B649" t="s">
        <v>656</v>
      </c>
    </row>
    <row r="650" spans="1:2" x14ac:dyDescent="0.2">
      <c r="A650" t="s">
        <v>1353</v>
      </c>
      <c r="B650" t="s">
        <v>1091</v>
      </c>
    </row>
    <row r="651" spans="1:2" x14ac:dyDescent="0.2">
      <c r="A651" t="s">
        <v>1353</v>
      </c>
      <c r="B651" t="s">
        <v>1286</v>
      </c>
    </row>
    <row r="652" spans="1:2" x14ac:dyDescent="0.2">
      <c r="A652" t="s">
        <v>1353</v>
      </c>
      <c r="B652" t="s">
        <v>566</v>
      </c>
    </row>
    <row r="653" spans="1:2" x14ac:dyDescent="0.2">
      <c r="A653" t="s">
        <v>1353</v>
      </c>
      <c r="B653" t="s">
        <v>796</v>
      </c>
    </row>
    <row r="654" spans="1:2" x14ac:dyDescent="0.2">
      <c r="A654" t="s">
        <v>1353</v>
      </c>
      <c r="B654" t="s">
        <v>1127</v>
      </c>
    </row>
    <row r="655" spans="1:2" x14ac:dyDescent="0.2">
      <c r="A655" t="s">
        <v>1353</v>
      </c>
      <c r="B655" t="s">
        <v>1320</v>
      </c>
    </row>
    <row r="656" spans="1:2" x14ac:dyDescent="0.2">
      <c r="A656" t="s">
        <v>1353</v>
      </c>
      <c r="B656" t="s">
        <v>753</v>
      </c>
    </row>
    <row r="657" spans="1:2" x14ac:dyDescent="0.2">
      <c r="A657" t="s">
        <v>1353</v>
      </c>
      <c r="B657" t="s">
        <v>1314</v>
      </c>
    </row>
    <row r="658" spans="1:2" x14ac:dyDescent="0.2">
      <c r="A658" t="s">
        <v>1353</v>
      </c>
      <c r="B658" t="s">
        <v>277</v>
      </c>
    </row>
    <row r="659" spans="1:2" x14ac:dyDescent="0.2">
      <c r="A659" t="s">
        <v>1353</v>
      </c>
      <c r="B659" t="s">
        <v>526</v>
      </c>
    </row>
    <row r="660" spans="1:2" x14ac:dyDescent="0.2">
      <c r="A660" t="s">
        <v>1353</v>
      </c>
      <c r="B660" t="s">
        <v>1097</v>
      </c>
    </row>
    <row r="661" spans="1:2" x14ac:dyDescent="0.2">
      <c r="A661" t="s">
        <v>1353</v>
      </c>
      <c r="B661" t="s">
        <v>1276</v>
      </c>
    </row>
    <row r="662" spans="1:2" x14ac:dyDescent="0.2">
      <c r="A662" t="s">
        <v>1353</v>
      </c>
      <c r="B662" t="s">
        <v>1055</v>
      </c>
    </row>
    <row r="663" spans="1:2" x14ac:dyDescent="0.2">
      <c r="A663" t="s">
        <v>1353</v>
      </c>
      <c r="B663" t="s">
        <v>1129</v>
      </c>
    </row>
    <row r="664" spans="1:2" x14ac:dyDescent="0.2">
      <c r="A664" t="s">
        <v>1353</v>
      </c>
      <c r="B664" t="s">
        <v>1197</v>
      </c>
    </row>
    <row r="665" spans="1:2" x14ac:dyDescent="0.2">
      <c r="A665" t="s">
        <v>1353</v>
      </c>
      <c r="B665" t="s">
        <v>602</v>
      </c>
    </row>
    <row r="666" spans="1:2" x14ac:dyDescent="0.2">
      <c r="A666" t="s">
        <v>1353</v>
      </c>
      <c r="B666" t="s">
        <v>448</v>
      </c>
    </row>
    <row r="667" spans="1:2" x14ac:dyDescent="0.2">
      <c r="A667" t="s">
        <v>1353</v>
      </c>
      <c r="B667" t="s">
        <v>490</v>
      </c>
    </row>
    <row r="668" spans="1:2" x14ac:dyDescent="0.2">
      <c r="A668" t="s">
        <v>1353</v>
      </c>
      <c r="B668" t="s">
        <v>838</v>
      </c>
    </row>
    <row r="669" spans="1:2" x14ac:dyDescent="0.2">
      <c r="A669" t="s">
        <v>1353</v>
      </c>
      <c r="B669" t="s">
        <v>122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AE36E-0811-4F7B-A178-5FF337C82E10}">
  <dimension ref="A3:B8"/>
  <sheetViews>
    <sheetView workbookViewId="0">
      <selection activeCell="B8" sqref="B8"/>
    </sheetView>
  </sheetViews>
  <sheetFormatPr defaultRowHeight="12.75" x14ac:dyDescent="0.2"/>
  <cols>
    <col min="1" max="1" width="13.85546875" bestFit="1" customWidth="1"/>
    <col min="2" max="2" width="23.85546875" bestFit="1" customWidth="1"/>
  </cols>
  <sheetData>
    <row r="3" spans="1:2" x14ac:dyDescent="0.2">
      <c r="A3" s="8" t="s">
        <v>1332</v>
      </c>
      <c r="B3" t="s">
        <v>1355</v>
      </c>
    </row>
    <row r="4" spans="1:2" x14ac:dyDescent="0.2">
      <c r="A4" s="9" t="s">
        <v>1350</v>
      </c>
      <c r="B4" s="10">
        <v>209</v>
      </c>
    </row>
    <row r="5" spans="1:2" x14ac:dyDescent="0.2">
      <c r="A5" s="9" t="s">
        <v>1351</v>
      </c>
      <c r="B5" s="10">
        <v>171</v>
      </c>
    </row>
    <row r="6" spans="1:2" x14ac:dyDescent="0.2">
      <c r="A6" s="9" t="s">
        <v>1352</v>
      </c>
      <c r="B6" s="10">
        <v>164</v>
      </c>
    </row>
    <row r="7" spans="1:2" x14ac:dyDescent="0.2">
      <c r="A7" s="9" t="s">
        <v>1353</v>
      </c>
      <c r="B7" s="10">
        <v>124</v>
      </c>
    </row>
    <row r="8" spans="1:2" x14ac:dyDescent="0.2">
      <c r="A8" s="9" t="s">
        <v>1334</v>
      </c>
      <c r="B8" s="10">
        <v>668</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A1779-7515-440E-96C6-E7709A1F0C9D}">
  <dimension ref="A3:B671"/>
  <sheetViews>
    <sheetView topLeftCell="A4" workbookViewId="0">
      <selection activeCell="H36" sqref="H36"/>
    </sheetView>
  </sheetViews>
  <sheetFormatPr defaultRowHeight="12.75" x14ac:dyDescent="0.2"/>
  <cols>
    <col min="2" max="2" width="16.5703125" customWidth="1"/>
  </cols>
  <sheetData>
    <row r="3" spans="1:2" x14ac:dyDescent="0.2">
      <c r="A3" s="11" t="s">
        <v>1349</v>
      </c>
      <c r="B3" s="11" t="s">
        <v>1354</v>
      </c>
    </row>
    <row r="4" spans="1:2" x14ac:dyDescent="0.2">
      <c r="A4" t="s">
        <v>1350</v>
      </c>
      <c r="B4" t="s">
        <v>14</v>
      </c>
    </row>
    <row r="5" spans="1:2" x14ac:dyDescent="0.2">
      <c r="A5" t="s">
        <v>1350</v>
      </c>
      <c r="B5" t="s">
        <v>22</v>
      </c>
    </row>
    <row r="6" spans="1:2" x14ac:dyDescent="0.2">
      <c r="A6" t="s">
        <v>1350</v>
      </c>
      <c r="B6" t="s">
        <v>26</v>
      </c>
    </row>
    <row r="7" spans="1:2" x14ac:dyDescent="0.2">
      <c r="A7" t="s">
        <v>1350</v>
      </c>
      <c r="B7" t="s">
        <v>43</v>
      </c>
    </row>
    <row r="8" spans="1:2" x14ac:dyDescent="0.2">
      <c r="A8" t="s">
        <v>1350</v>
      </c>
      <c r="B8" t="s">
        <v>46</v>
      </c>
    </row>
    <row r="9" spans="1:2" x14ac:dyDescent="0.2">
      <c r="A9" t="s">
        <v>1350</v>
      </c>
      <c r="B9" t="s">
        <v>50</v>
      </c>
    </row>
    <row r="10" spans="1:2" x14ac:dyDescent="0.2">
      <c r="A10" t="s">
        <v>1350</v>
      </c>
      <c r="B10" t="s">
        <v>53</v>
      </c>
    </row>
    <row r="11" spans="1:2" x14ac:dyDescent="0.2">
      <c r="A11" t="s">
        <v>1350</v>
      </c>
      <c r="B11" t="s">
        <v>56</v>
      </c>
    </row>
    <row r="12" spans="1:2" x14ac:dyDescent="0.2">
      <c r="A12" t="s">
        <v>1350</v>
      </c>
      <c r="B12" t="s">
        <v>70</v>
      </c>
    </row>
    <row r="13" spans="1:2" x14ac:dyDescent="0.2">
      <c r="A13" t="s">
        <v>1350</v>
      </c>
      <c r="B13" t="s">
        <v>72</v>
      </c>
    </row>
    <row r="14" spans="1:2" x14ac:dyDescent="0.2">
      <c r="A14" t="s">
        <v>1350</v>
      </c>
      <c r="B14" t="s">
        <v>74</v>
      </c>
    </row>
    <row r="15" spans="1:2" x14ac:dyDescent="0.2">
      <c r="A15" t="s">
        <v>1350</v>
      </c>
      <c r="B15" t="s">
        <v>78</v>
      </c>
    </row>
    <row r="16" spans="1:2" x14ac:dyDescent="0.2">
      <c r="A16" t="s">
        <v>1350</v>
      </c>
      <c r="B16" t="s">
        <v>82</v>
      </c>
    </row>
    <row r="17" spans="1:2" x14ac:dyDescent="0.2">
      <c r="A17" t="s">
        <v>1350</v>
      </c>
      <c r="B17" t="s">
        <v>86</v>
      </c>
    </row>
    <row r="18" spans="1:2" x14ac:dyDescent="0.2">
      <c r="A18" t="s">
        <v>1350</v>
      </c>
      <c r="B18" t="s">
        <v>100</v>
      </c>
    </row>
    <row r="19" spans="1:2" x14ac:dyDescent="0.2">
      <c r="A19" t="s">
        <v>1350</v>
      </c>
      <c r="B19" t="s">
        <v>103</v>
      </c>
    </row>
    <row r="20" spans="1:2" x14ac:dyDescent="0.2">
      <c r="A20" t="s">
        <v>1350</v>
      </c>
      <c r="B20" t="s">
        <v>108</v>
      </c>
    </row>
    <row r="21" spans="1:2" x14ac:dyDescent="0.2">
      <c r="A21" t="s">
        <v>1350</v>
      </c>
      <c r="B21" t="s">
        <v>116</v>
      </c>
    </row>
    <row r="22" spans="1:2" x14ac:dyDescent="0.2">
      <c r="A22" t="s">
        <v>1350</v>
      </c>
      <c r="B22" t="s">
        <v>119</v>
      </c>
    </row>
    <row r="23" spans="1:2" x14ac:dyDescent="0.2">
      <c r="A23" t="s">
        <v>1350</v>
      </c>
      <c r="B23" t="s">
        <v>122</v>
      </c>
    </row>
    <row r="24" spans="1:2" x14ac:dyDescent="0.2">
      <c r="A24" t="s">
        <v>1350</v>
      </c>
      <c r="B24" t="s">
        <v>124</v>
      </c>
    </row>
    <row r="25" spans="1:2" x14ac:dyDescent="0.2">
      <c r="A25" t="s">
        <v>1350</v>
      </c>
      <c r="B25" t="s">
        <v>126</v>
      </c>
    </row>
    <row r="26" spans="1:2" x14ac:dyDescent="0.2">
      <c r="A26" t="s">
        <v>1350</v>
      </c>
      <c r="B26" t="s">
        <v>129</v>
      </c>
    </row>
    <row r="27" spans="1:2" x14ac:dyDescent="0.2">
      <c r="A27" t="s">
        <v>1350</v>
      </c>
      <c r="B27" t="s">
        <v>136</v>
      </c>
    </row>
    <row r="28" spans="1:2" x14ac:dyDescent="0.2">
      <c r="A28" t="s">
        <v>1350</v>
      </c>
      <c r="B28" t="s">
        <v>138</v>
      </c>
    </row>
    <row r="29" spans="1:2" x14ac:dyDescent="0.2">
      <c r="A29" t="s">
        <v>1350</v>
      </c>
      <c r="B29" t="s">
        <v>141</v>
      </c>
    </row>
    <row r="30" spans="1:2" x14ac:dyDescent="0.2">
      <c r="A30" t="s">
        <v>1350</v>
      </c>
      <c r="B30" t="s">
        <v>144</v>
      </c>
    </row>
    <row r="31" spans="1:2" x14ac:dyDescent="0.2">
      <c r="A31" t="s">
        <v>1350</v>
      </c>
      <c r="B31" t="s">
        <v>153</v>
      </c>
    </row>
    <row r="32" spans="1:2" x14ac:dyDescent="0.2">
      <c r="A32" t="s">
        <v>1350</v>
      </c>
      <c r="B32" t="s">
        <v>155</v>
      </c>
    </row>
    <row r="33" spans="1:2" x14ac:dyDescent="0.2">
      <c r="A33" t="s">
        <v>1350</v>
      </c>
      <c r="B33" t="s">
        <v>160</v>
      </c>
    </row>
    <row r="34" spans="1:2" x14ac:dyDescent="0.2">
      <c r="A34" t="s">
        <v>1350</v>
      </c>
      <c r="B34" t="s">
        <v>162</v>
      </c>
    </row>
    <row r="35" spans="1:2" x14ac:dyDescent="0.2">
      <c r="A35" t="s">
        <v>1350</v>
      </c>
      <c r="B35" t="s">
        <v>166</v>
      </c>
    </row>
    <row r="36" spans="1:2" x14ac:dyDescent="0.2">
      <c r="A36" t="s">
        <v>1350</v>
      </c>
      <c r="B36" t="s">
        <v>169</v>
      </c>
    </row>
    <row r="37" spans="1:2" x14ac:dyDescent="0.2">
      <c r="A37" t="s">
        <v>1350</v>
      </c>
      <c r="B37" t="s">
        <v>173</v>
      </c>
    </row>
    <row r="38" spans="1:2" x14ac:dyDescent="0.2">
      <c r="A38" t="s">
        <v>1350</v>
      </c>
      <c r="B38" t="s">
        <v>175</v>
      </c>
    </row>
    <row r="39" spans="1:2" x14ac:dyDescent="0.2">
      <c r="A39" t="s">
        <v>1350</v>
      </c>
      <c r="B39" t="s">
        <v>178</v>
      </c>
    </row>
    <row r="40" spans="1:2" x14ac:dyDescent="0.2">
      <c r="A40" t="s">
        <v>1350</v>
      </c>
      <c r="B40" t="s">
        <v>180</v>
      </c>
    </row>
    <row r="41" spans="1:2" x14ac:dyDescent="0.2">
      <c r="A41" t="s">
        <v>1350</v>
      </c>
      <c r="B41" t="s">
        <v>190</v>
      </c>
    </row>
    <row r="42" spans="1:2" x14ac:dyDescent="0.2">
      <c r="A42" t="s">
        <v>1350</v>
      </c>
      <c r="B42" t="s">
        <v>192</v>
      </c>
    </row>
    <row r="43" spans="1:2" x14ac:dyDescent="0.2">
      <c r="A43" t="s">
        <v>1350</v>
      </c>
      <c r="B43" t="s">
        <v>168</v>
      </c>
    </row>
    <row r="44" spans="1:2" x14ac:dyDescent="0.2">
      <c r="A44" t="s">
        <v>1350</v>
      </c>
      <c r="B44" t="s">
        <v>197</v>
      </c>
    </row>
    <row r="45" spans="1:2" x14ac:dyDescent="0.2">
      <c r="A45" t="s">
        <v>1350</v>
      </c>
      <c r="B45" t="s">
        <v>202</v>
      </c>
    </row>
    <row r="46" spans="1:2" x14ac:dyDescent="0.2">
      <c r="A46" t="s">
        <v>1350</v>
      </c>
      <c r="B46" t="s">
        <v>216</v>
      </c>
    </row>
    <row r="47" spans="1:2" x14ac:dyDescent="0.2">
      <c r="A47" t="s">
        <v>1350</v>
      </c>
      <c r="B47" t="s">
        <v>184</v>
      </c>
    </row>
    <row r="48" spans="1:2" x14ac:dyDescent="0.2">
      <c r="A48" t="s">
        <v>1350</v>
      </c>
      <c r="B48" t="s">
        <v>220</v>
      </c>
    </row>
    <row r="49" spans="1:2" x14ac:dyDescent="0.2">
      <c r="A49" t="s">
        <v>1350</v>
      </c>
      <c r="B49" t="s">
        <v>231</v>
      </c>
    </row>
    <row r="50" spans="1:2" x14ac:dyDescent="0.2">
      <c r="A50" t="s">
        <v>1350</v>
      </c>
      <c r="B50" t="s">
        <v>235</v>
      </c>
    </row>
    <row r="51" spans="1:2" x14ac:dyDescent="0.2">
      <c r="A51" t="s">
        <v>1350</v>
      </c>
      <c r="B51" t="s">
        <v>238</v>
      </c>
    </row>
    <row r="52" spans="1:2" x14ac:dyDescent="0.2">
      <c r="A52" t="s">
        <v>1350</v>
      </c>
      <c r="B52" t="s">
        <v>245</v>
      </c>
    </row>
    <row r="53" spans="1:2" x14ac:dyDescent="0.2">
      <c r="A53" t="s">
        <v>1350</v>
      </c>
      <c r="B53" t="s">
        <v>248</v>
      </c>
    </row>
    <row r="54" spans="1:2" x14ac:dyDescent="0.2">
      <c r="A54" t="s">
        <v>1350</v>
      </c>
      <c r="B54" t="s">
        <v>252</v>
      </c>
    </row>
    <row r="55" spans="1:2" x14ac:dyDescent="0.2">
      <c r="A55" t="s">
        <v>1350</v>
      </c>
      <c r="B55" t="s">
        <v>226</v>
      </c>
    </row>
    <row r="56" spans="1:2" x14ac:dyDescent="0.2">
      <c r="A56" t="s">
        <v>1350</v>
      </c>
      <c r="B56" t="s">
        <v>257</v>
      </c>
    </row>
    <row r="57" spans="1:2" x14ac:dyDescent="0.2">
      <c r="A57" t="s">
        <v>1350</v>
      </c>
      <c r="B57" t="s">
        <v>261</v>
      </c>
    </row>
    <row r="58" spans="1:2" x14ac:dyDescent="0.2">
      <c r="A58" t="s">
        <v>1350</v>
      </c>
      <c r="B58" t="s">
        <v>268</v>
      </c>
    </row>
    <row r="59" spans="1:2" x14ac:dyDescent="0.2">
      <c r="A59" t="s">
        <v>1350</v>
      </c>
      <c r="B59" t="s">
        <v>270</v>
      </c>
    </row>
    <row r="60" spans="1:2" x14ac:dyDescent="0.2">
      <c r="A60" t="s">
        <v>1350</v>
      </c>
      <c r="B60" t="s">
        <v>278</v>
      </c>
    </row>
    <row r="61" spans="1:2" x14ac:dyDescent="0.2">
      <c r="A61" t="s">
        <v>1350</v>
      </c>
      <c r="B61" t="s">
        <v>290</v>
      </c>
    </row>
    <row r="62" spans="1:2" x14ac:dyDescent="0.2">
      <c r="A62" t="s">
        <v>1350</v>
      </c>
      <c r="B62" t="s">
        <v>295</v>
      </c>
    </row>
    <row r="63" spans="1:2" x14ac:dyDescent="0.2">
      <c r="A63" t="s">
        <v>1350</v>
      </c>
      <c r="B63" t="s">
        <v>301</v>
      </c>
    </row>
    <row r="64" spans="1:2" x14ac:dyDescent="0.2">
      <c r="A64" t="s">
        <v>1350</v>
      </c>
      <c r="B64" t="s">
        <v>310</v>
      </c>
    </row>
    <row r="65" spans="1:2" x14ac:dyDescent="0.2">
      <c r="A65" t="s">
        <v>1350</v>
      </c>
      <c r="B65" t="s">
        <v>319</v>
      </c>
    </row>
    <row r="66" spans="1:2" x14ac:dyDescent="0.2">
      <c r="A66" t="s">
        <v>1350</v>
      </c>
      <c r="B66" t="s">
        <v>324</v>
      </c>
    </row>
    <row r="67" spans="1:2" x14ac:dyDescent="0.2">
      <c r="A67" t="s">
        <v>1350</v>
      </c>
      <c r="B67" t="s">
        <v>331</v>
      </c>
    </row>
    <row r="68" spans="1:2" x14ac:dyDescent="0.2">
      <c r="A68" t="s">
        <v>1350</v>
      </c>
      <c r="B68" t="s">
        <v>338</v>
      </c>
    </row>
    <row r="69" spans="1:2" x14ac:dyDescent="0.2">
      <c r="A69" t="s">
        <v>1350</v>
      </c>
      <c r="B69" t="s">
        <v>345</v>
      </c>
    </row>
    <row r="70" spans="1:2" x14ac:dyDescent="0.2">
      <c r="A70" t="s">
        <v>1350</v>
      </c>
      <c r="B70" t="s">
        <v>349</v>
      </c>
    </row>
    <row r="71" spans="1:2" x14ac:dyDescent="0.2">
      <c r="A71" t="s">
        <v>1350</v>
      </c>
      <c r="B71" t="s">
        <v>354</v>
      </c>
    </row>
    <row r="72" spans="1:2" x14ac:dyDescent="0.2">
      <c r="A72" t="s">
        <v>1350</v>
      </c>
      <c r="B72" t="s">
        <v>363</v>
      </c>
    </row>
    <row r="73" spans="1:2" x14ac:dyDescent="0.2">
      <c r="A73" t="s">
        <v>1350</v>
      </c>
      <c r="B73" t="s">
        <v>366</v>
      </c>
    </row>
    <row r="74" spans="1:2" x14ac:dyDescent="0.2">
      <c r="A74" t="s">
        <v>1350</v>
      </c>
      <c r="B74" t="s">
        <v>368</v>
      </c>
    </row>
    <row r="75" spans="1:2" x14ac:dyDescent="0.2">
      <c r="A75" t="s">
        <v>1350</v>
      </c>
      <c r="B75" t="s">
        <v>370</v>
      </c>
    </row>
    <row r="76" spans="1:2" x14ac:dyDescent="0.2">
      <c r="A76" t="s">
        <v>1350</v>
      </c>
      <c r="B76" t="s">
        <v>379</v>
      </c>
    </row>
    <row r="77" spans="1:2" x14ac:dyDescent="0.2">
      <c r="A77" t="s">
        <v>1350</v>
      </c>
      <c r="B77" t="s">
        <v>386</v>
      </c>
    </row>
    <row r="78" spans="1:2" x14ac:dyDescent="0.2">
      <c r="A78" t="s">
        <v>1350</v>
      </c>
      <c r="B78" t="s">
        <v>389</v>
      </c>
    </row>
    <row r="79" spans="1:2" x14ac:dyDescent="0.2">
      <c r="A79" t="s">
        <v>1350</v>
      </c>
      <c r="B79" t="s">
        <v>392</v>
      </c>
    </row>
    <row r="80" spans="1:2" x14ac:dyDescent="0.2">
      <c r="A80" t="s">
        <v>1350</v>
      </c>
      <c r="B80" t="s">
        <v>397</v>
      </c>
    </row>
    <row r="81" spans="1:2" x14ac:dyDescent="0.2">
      <c r="A81" t="s">
        <v>1350</v>
      </c>
      <c r="B81" t="s">
        <v>403</v>
      </c>
    </row>
    <row r="82" spans="1:2" x14ac:dyDescent="0.2">
      <c r="A82" t="s">
        <v>1350</v>
      </c>
      <c r="B82" t="s">
        <v>407</v>
      </c>
    </row>
    <row r="83" spans="1:2" x14ac:dyDescent="0.2">
      <c r="A83" t="s">
        <v>1350</v>
      </c>
      <c r="B83" t="s">
        <v>199</v>
      </c>
    </row>
    <row r="84" spans="1:2" x14ac:dyDescent="0.2">
      <c r="A84" t="s">
        <v>1350</v>
      </c>
      <c r="B84" t="s">
        <v>411</v>
      </c>
    </row>
    <row r="85" spans="1:2" x14ac:dyDescent="0.2">
      <c r="A85" t="s">
        <v>1350</v>
      </c>
      <c r="B85" t="s">
        <v>376</v>
      </c>
    </row>
    <row r="86" spans="1:2" x14ac:dyDescent="0.2">
      <c r="A86" t="s">
        <v>1350</v>
      </c>
      <c r="B86" t="s">
        <v>417</v>
      </c>
    </row>
    <row r="87" spans="1:2" x14ac:dyDescent="0.2">
      <c r="A87" t="s">
        <v>1350</v>
      </c>
      <c r="B87" t="s">
        <v>424</v>
      </c>
    </row>
    <row r="88" spans="1:2" x14ac:dyDescent="0.2">
      <c r="A88" t="s">
        <v>1350</v>
      </c>
      <c r="B88" t="s">
        <v>428</v>
      </c>
    </row>
    <row r="89" spans="1:2" x14ac:dyDescent="0.2">
      <c r="A89" t="s">
        <v>1350</v>
      </c>
      <c r="B89" t="s">
        <v>431</v>
      </c>
    </row>
    <row r="90" spans="1:2" x14ac:dyDescent="0.2">
      <c r="A90" t="s">
        <v>1350</v>
      </c>
      <c r="B90" t="s">
        <v>432</v>
      </c>
    </row>
    <row r="91" spans="1:2" x14ac:dyDescent="0.2">
      <c r="A91" t="s">
        <v>1350</v>
      </c>
      <c r="B91" t="s">
        <v>438</v>
      </c>
    </row>
    <row r="92" spans="1:2" x14ac:dyDescent="0.2">
      <c r="A92" t="s">
        <v>1350</v>
      </c>
      <c r="B92" t="s">
        <v>441</v>
      </c>
    </row>
    <row r="93" spans="1:2" x14ac:dyDescent="0.2">
      <c r="A93" t="s">
        <v>1350</v>
      </c>
      <c r="B93" t="s">
        <v>446</v>
      </c>
    </row>
    <row r="94" spans="1:2" x14ac:dyDescent="0.2">
      <c r="A94" t="s">
        <v>1350</v>
      </c>
      <c r="B94" t="s">
        <v>452</v>
      </c>
    </row>
    <row r="95" spans="1:2" x14ac:dyDescent="0.2">
      <c r="A95" t="s">
        <v>1350</v>
      </c>
      <c r="B95" t="s">
        <v>457</v>
      </c>
    </row>
    <row r="96" spans="1:2" x14ac:dyDescent="0.2">
      <c r="A96" t="s">
        <v>1351</v>
      </c>
      <c r="B96" t="s">
        <v>459</v>
      </c>
    </row>
    <row r="97" spans="1:2" x14ac:dyDescent="0.2">
      <c r="A97" t="s">
        <v>1351</v>
      </c>
      <c r="B97" t="s">
        <v>465</v>
      </c>
    </row>
    <row r="98" spans="1:2" x14ac:dyDescent="0.2">
      <c r="A98" t="s">
        <v>1351</v>
      </c>
      <c r="B98" t="s">
        <v>469</v>
      </c>
    </row>
    <row r="99" spans="1:2" x14ac:dyDescent="0.2">
      <c r="A99" t="s">
        <v>1351</v>
      </c>
      <c r="B99" t="s">
        <v>471</v>
      </c>
    </row>
    <row r="100" spans="1:2" x14ac:dyDescent="0.2">
      <c r="A100" t="s">
        <v>1351</v>
      </c>
      <c r="B100" t="s">
        <v>475</v>
      </c>
    </row>
    <row r="101" spans="1:2" x14ac:dyDescent="0.2">
      <c r="A101" t="s">
        <v>1351</v>
      </c>
      <c r="B101" t="s">
        <v>209</v>
      </c>
    </row>
    <row r="102" spans="1:2" x14ac:dyDescent="0.2">
      <c r="A102" t="s">
        <v>1351</v>
      </c>
      <c r="B102" t="s">
        <v>484</v>
      </c>
    </row>
    <row r="103" spans="1:2" x14ac:dyDescent="0.2">
      <c r="A103" t="s">
        <v>1351</v>
      </c>
      <c r="B103" t="s">
        <v>274</v>
      </c>
    </row>
    <row r="104" spans="1:2" x14ac:dyDescent="0.2">
      <c r="A104" t="s">
        <v>1351</v>
      </c>
      <c r="B104" t="s">
        <v>488</v>
      </c>
    </row>
    <row r="105" spans="1:2" x14ac:dyDescent="0.2">
      <c r="A105" t="s">
        <v>1351</v>
      </c>
      <c r="B105" t="s">
        <v>492</v>
      </c>
    </row>
    <row r="106" spans="1:2" x14ac:dyDescent="0.2">
      <c r="A106" t="s">
        <v>1351</v>
      </c>
      <c r="B106" t="s">
        <v>493</v>
      </c>
    </row>
    <row r="107" spans="1:2" x14ac:dyDescent="0.2">
      <c r="A107" t="s">
        <v>1351</v>
      </c>
      <c r="B107" t="s">
        <v>498</v>
      </c>
    </row>
    <row r="108" spans="1:2" x14ac:dyDescent="0.2">
      <c r="A108" t="s">
        <v>1351</v>
      </c>
      <c r="B108" t="s">
        <v>506</v>
      </c>
    </row>
    <row r="109" spans="1:2" x14ac:dyDescent="0.2">
      <c r="A109" t="s">
        <v>1351</v>
      </c>
      <c r="B109" t="s">
        <v>508</v>
      </c>
    </row>
    <row r="110" spans="1:2" x14ac:dyDescent="0.2">
      <c r="A110" t="s">
        <v>1351</v>
      </c>
      <c r="B110" t="s">
        <v>510</v>
      </c>
    </row>
    <row r="111" spans="1:2" x14ac:dyDescent="0.2">
      <c r="A111" t="s">
        <v>1351</v>
      </c>
      <c r="B111" t="s">
        <v>512</v>
      </c>
    </row>
    <row r="112" spans="1:2" x14ac:dyDescent="0.2">
      <c r="A112" t="s">
        <v>1351</v>
      </c>
      <c r="B112" t="s">
        <v>514</v>
      </c>
    </row>
    <row r="113" spans="1:2" x14ac:dyDescent="0.2">
      <c r="A113" t="s">
        <v>1351</v>
      </c>
      <c r="B113" t="s">
        <v>189</v>
      </c>
    </row>
    <row r="114" spans="1:2" x14ac:dyDescent="0.2">
      <c r="A114" t="s">
        <v>1351</v>
      </c>
      <c r="B114" t="s">
        <v>426</v>
      </c>
    </row>
    <row r="115" spans="1:2" x14ac:dyDescent="0.2">
      <c r="A115" t="s">
        <v>1351</v>
      </c>
      <c r="B115" t="s">
        <v>524</v>
      </c>
    </row>
    <row r="116" spans="1:2" x14ac:dyDescent="0.2">
      <c r="A116" t="s">
        <v>1351</v>
      </c>
      <c r="B116" t="s">
        <v>532</v>
      </c>
    </row>
    <row r="117" spans="1:2" x14ac:dyDescent="0.2">
      <c r="A117" t="s">
        <v>1351</v>
      </c>
      <c r="B117" t="s">
        <v>535</v>
      </c>
    </row>
    <row r="118" spans="1:2" x14ac:dyDescent="0.2">
      <c r="A118" t="s">
        <v>1351</v>
      </c>
      <c r="B118" t="s">
        <v>537</v>
      </c>
    </row>
    <row r="119" spans="1:2" x14ac:dyDescent="0.2">
      <c r="A119" t="s">
        <v>1351</v>
      </c>
      <c r="B119" t="s">
        <v>540</v>
      </c>
    </row>
    <row r="120" spans="1:2" x14ac:dyDescent="0.2">
      <c r="A120" t="s">
        <v>1351</v>
      </c>
      <c r="B120" t="s">
        <v>541</v>
      </c>
    </row>
    <row r="121" spans="1:2" x14ac:dyDescent="0.2">
      <c r="A121" t="s">
        <v>1351</v>
      </c>
      <c r="B121" t="s">
        <v>543</v>
      </c>
    </row>
    <row r="122" spans="1:2" x14ac:dyDescent="0.2">
      <c r="A122" t="s">
        <v>1351</v>
      </c>
      <c r="B122" t="s">
        <v>545</v>
      </c>
    </row>
    <row r="123" spans="1:2" x14ac:dyDescent="0.2">
      <c r="A123" t="s">
        <v>1351</v>
      </c>
      <c r="B123" t="s">
        <v>272</v>
      </c>
    </row>
    <row r="124" spans="1:2" x14ac:dyDescent="0.2">
      <c r="A124" t="s">
        <v>1351</v>
      </c>
      <c r="B124" t="s">
        <v>553</v>
      </c>
    </row>
    <row r="125" spans="1:2" x14ac:dyDescent="0.2">
      <c r="A125" t="s">
        <v>1351</v>
      </c>
      <c r="B125" t="s">
        <v>294</v>
      </c>
    </row>
    <row r="126" spans="1:2" x14ac:dyDescent="0.2">
      <c r="A126" t="s">
        <v>1351</v>
      </c>
      <c r="B126" t="s">
        <v>556</v>
      </c>
    </row>
    <row r="127" spans="1:2" x14ac:dyDescent="0.2">
      <c r="A127" t="s">
        <v>1351</v>
      </c>
      <c r="B127" t="s">
        <v>563</v>
      </c>
    </row>
    <row r="128" spans="1:2" x14ac:dyDescent="0.2">
      <c r="A128" t="s">
        <v>1351</v>
      </c>
      <c r="B128" t="s">
        <v>349</v>
      </c>
    </row>
    <row r="129" spans="1:2" x14ac:dyDescent="0.2">
      <c r="A129" t="s">
        <v>1351</v>
      </c>
      <c r="B129" t="s">
        <v>566</v>
      </c>
    </row>
    <row r="130" spans="1:2" x14ac:dyDescent="0.2">
      <c r="A130" t="s">
        <v>1351</v>
      </c>
      <c r="B130" t="s">
        <v>579</v>
      </c>
    </row>
    <row r="131" spans="1:2" x14ac:dyDescent="0.2">
      <c r="A131" t="s">
        <v>1351</v>
      </c>
      <c r="B131" t="s">
        <v>539</v>
      </c>
    </row>
    <row r="132" spans="1:2" x14ac:dyDescent="0.2">
      <c r="A132" t="s">
        <v>1351</v>
      </c>
      <c r="B132" t="s">
        <v>586</v>
      </c>
    </row>
    <row r="133" spans="1:2" x14ac:dyDescent="0.2">
      <c r="A133" t="s">
        <v>1351</v>
      </c>
      <c r="B133" t="s">
        <v>422</v>
      </c>
    </row>
    <row r="134" spans="1:2" x14ac:dyDescent="0.2">
      <c r="A134" t="s">
        <v>1351</v>
      </c>
      <c r="B134" t="s">
        <v>593</v>
      </c>
    </row>
    <row r="135" spans="1:2" x14ac:dyDescent="0.2">
      <c r="A135" t="s">
        <v>1351</v>
      </c>
      <c r="B135" t="s">
        <v>595</v>
      </c>
    </row>
    <row r="136" spans="1:2" x14ac:dyDescent="0.2">
      <c r="A136" t="s">
        <v>1351</v>
      </c>
      <c r="B136" t="s">
        <v>599</v>
      </c>
    </row>
    <row r="137" spans="1:2" x14ac:dyDescent="0.2">
      <c r="A137" t="s">
        <v>1351</v>
      </c>
      <c r="B137" t="s">
        <v>611</v>
      </c>
    </row>
    <row r="138" spans="1:2" x14ac:dyDescent="0.2">
      <c r="A138" t="s">
        <v>1351</v>
      </c>
      <c r="B138" t="s">
        <v>617</v>
      </c>
    </row>
    <row r="139" spans="1:2" x14ac:dyDescent="0.2">
      <c r="A139" t="s">
        <v>1351</v>
      </c>
      <c r="B139" t="s">
        <v>621</v>
      </c>
    </row>
    <row r="140" spans="1:2" x14ac:dyDescent="0.2">
      <c r="A140" t="s">
        <v>1351</v>
      </c>
      <c r="B140" t="s">
        <v>627</v>
      </c>
    </row>
    <row r="141" spans="1:2" x14ac:dyDescent="0.2">
      <c r="A141" t="s">
        <v>1351</v>
      </c>
      <c r="B141" t="s">
        <v>630</v>
      </c>
    </row>
    <row r="142" spans="1:2" x14ac:dyDescent="0.2">
      <c r="A142" t="s">
        <v>1351</v>
      </c>
      <c r="B142" t="s">
        <v>183</v>
      </c>
    </row>
    <row r="143" spans="1:2" x14ac:dyDescent="0.2">
      <c r="A143" t="s">
        <v>1351</v>
      </c>
      <c r="B143" t="s">
        <v>202</v>
      </c>
    </row>
    <row r="144" spans="1:2" x14ac:dyDescent="0.2">
      <c r="A144" t="s">
        <v>1351</v>
      </c>
      <c r="B144" t="s">
        <v>643</v>
      </c>
    </row>
    <row r="145" spans="1:2" x14ac:dyDescent="0.2">
      <c r="A145" t="s">
        <v>1351</v>
      </c>
      <c r="B145" t="s">
        <v>590</v>
      </c>
    </row>
    <row r="146" spans="1:2" x14ac:dyDescent="0.2">
      <c r="A146" t="s">
        <v>1351</v>
      </c>
      <c r="B146" t="s">
        <v>646</v>
      </c>
    </row>
    <row r="147" spans="1:2" x14ac:dyDescent="0.2">
      <c r="A147" t="s">
        <v>1351</v>
      </c>
      <c r="B147" t="s">
        <v>432</v>
      </c>
    </row>
    <row r="148" spans="1:2" x14ac:dyDescent="0.2">
      <c r="A148" t="s">
        <v>1351</v>
      </c>
      <c r="B148" t="s">
        <v>649</v>
      </c>
    </row>
    <row r="149" spans="1:2" x14ac:dyDescent="0.2">
      <c r="A149" t="s">
        <v>1351</v>
      </c>
      <c r="B149" t="s">
        <v>653</v>
      </c>
    </row>
    <row r="150" spans="1:2" x14ac:dyDescent="0.2">
      <c r="A150" t="s">
        <v>1351</v>
      </c>
      <c r="B150" t="s">
        <v>660</v>
      </c>
    </row>
    <row r="151" spans="1:2" x14ac:dyDescent="0.2">
      <c r="A151" t="s">
        <v>1351</v>
      </c>
      <c r="B151" t="s">
        <v>662</v>
      </c>
    </row>
    <row r="152" spans="1:2" x14ac:dyDescent="0.2">
      <c r="A152" t="s">
        <v>1351</v>
      </c>
      <c r="B152" t="s">
        <v>669</v>
      </c>
    </row>
    <row r="153" spans="1:2" x14ac:dyDescent="0.2">
      <c r="A153" t="s">
        <v>1351</v>
      </c>
      <c r="B153" t="s">
        <v>674</v>
      </c>
    </row>
    <row r="154" spans="1:2" x14ac:dyDescent="0.2">
      <c r="A154" t="s">
        <v>1351</v>
      </c>
      <c r="B154" t="s">
        <v>680</v>
      </c>
    </row>
    <row r="155" spans="1:2" x14ac:dyDescent="0.2">
      <c r="A155" t="s">
        <v>1351</v>
      </c>
      <c r="B155" t="s">
        <v>684</v>
      </c>
    </row>
    <row r="156" spans="1:2" x14ac:dyDescent="0.2">
      <c r="A156" t="s">
        <v>1351</v>
      </c>
      <c r="B156" t="s">
        <v>300</v>
      </c>
    </row>
    <row r="157" spans="1:2" x14ac:dyDescent="0.2">
      <c r="A157" t="s">
        <v>1351</v>
      </c>
      <c r="B157" t="s">
        <v>692</v>
      </c>
    </row>
    <row r="158" spans="1:2" x14ac:dyDescent="0.2">
      <c r="A158" t="s">
        <v>1351</v>
      </c>
      <c r="B158" t="s">
        <v>694</v>
      </c>
    </row>
    <row r="159" spans="1:2" x14ac:dyDescent="0.2">
      <c r="A159" t="s">
        <v>1351</v>
      </c>
      <c r="B159" t="s">
        <v>698</v>
      </c>
    </row>
    <row r="160" spans="1:2" x14ac:dyDescent="0.2">
      <c r="A160" t="s">
        <v>1351</v>
      </c>
      <c r="B160" t="s">
        <v>701</v>
      </c>
    </row>
    <row r="161" spans="1:2" x14ac:dyDescent="0.2">
      <c r="A161" t="s">
        <v>1351</v>
      </c>
      <c r="B161" t="s">
        <v>711</v>
      </c>
    </row>
    <row r="162" spans="1:2" x14ac:dyDescent="0.2">
      <c r="A162" t="s">
        <v>1351</v>
      </c>
      <c r="B162" t="s">
        <v>713</v>
      </c>
    </row>
    <row r="163" spans="1:2" x14ac:dyDescent="0.2">
      <c r="A163" t="s">
        <v>1351</v>
      </c>
      <c r="B163" t="s">
        <v>716</v>
      </c>
    </row>
    <row r="164" spans="1:2" x14ac:dyDescent="0.2">
      <c r="A164" t="s">
        <v>1351</v>
      </c>
      <c r="B164" t="s">
        <v>718</v>
      </c>
    </row>
    <row r="165" spans="1:2" x14ac:dyDescent="0.2">
      <c r="A165" t="s">
        <v>1351</v>
      </c>
      <c r="B165" t="s">
        <v>720</v>
      </c>
    </row>
    <row r="166" spans="1:2" x14ac:dyDescent="0.2">
      <c r="A166" t="s">
        <v>1351</v>
      </c>
      <c r="B166" t="s">
        <v>385</v>
      </c>
    </row>
    <row r="167" spans="1:2" x14ac:dyDescent="0.2">
      <c r="A167" t="s">
        <v>1351</v>
      </c>
      <c r="B167" t="s">
        <v>356</v>
      </c>
    </row>
    <row r="168" spans="1:2" x14ac:dyDescent="0.2">
      <c r="A168" t="s">
        <v>1352</v>
      </c>
      <c r="B168" t="s">
        <v>412</v>
      </c>
    </row>
    <row r="169" spans="1:2" x14ac:dyDescent="0.2">
      <c r="A169" t="s">
        <v>1352</v>
      </c>
      <c r="B169" t="s">
        <v>742</v>
      </c>
    </row>
    <row r="170" spans="1:2" x14ac:dyDescent="0.2">
      <c r="A170" t="s">
        <v>1352</v>
      </c>
      <c r="B170" t="s">
        <v>748</v>
      </c>
    </row>
    <row r="171" spans="1:2" x14ac:dyDescent="0.2">
      <c r="A171" t="s">
        <v>1352</v>
      </c>
      <c r="B171" t="s">
        <v>108</v>
      </c>
    </row>
    <row r="172" spans="1:2" x14ac:dyDescent="0.2">
      <c r="A172" t="s">
        <v>1352</v>
      </c>
      <c r="B172" t="s">
        <v>754</v>
      </c>
    </row>
    <row r="173" spans="1:2" x14ac:dyDescent="0.2">
      <c r="A173" t="s">
        <v>1352</v>
      </c>
      <c r="B173" t="s">
        <v>759</v>
      </c>
    </row>
    <row r="174" spans="1:2" x14ac:dyDescent="0.2">
      <c r="A174" t="s">
        <v>1352</v>
      </c>
      <c r="B174" t="s">
        <v>763</v>
      </c>
    </row>
    <row r="175" spans="1:2" x14ac:dyDescent="0.2">
      <c r="A175" t="s">
        <v>1352</v>
      </c>
      <c r="B175" t="s">
        <v>441</v>
      </c>
    </row>
    <row r="176" spans="1:2" x14ac:dyDescent="0.2">
      <c r="A176" t="s">
        <v>1352</v>
      </c>
      <c r="B176" t="s">
        <v>765</v>
      </c>
    </row>
    <row r="177" spans="1:2" x14ac:dyDescent="0.2">
      <c r="A177" t="s">
        <v>1352</v>
      </c>
      <c r="B177" t="s">
        <v>772</v>
      </c>
    </row>
    <row r="178" spans="1:2" x14ac:dyDescent="0.2">
      <c r="A178" t="s">
        <v>1352</v>
      </c>
      <c r="B178" t="s">
        <v>777</v>
      </c>
    </row>
    <row r="179" spans="1:2" x14ac:dyDescent="0.2">
      <c r="A179" t="s">
        <v>1352</v>
      </c>
      <c r="B179" t="s">
        <v>790</v>
      </c>
    </row>
    <row r="180" spans="1:2" x14ac:dyDescent="0.2">
      <c r="A180" t="s">
        <v>1352</v>
      </c>
      <c r="B180" t="s">
        <v>792</v>
      </c>
    </row>
    <row r="181" spans="1:2" x14ac:dyDescent="0.2">
      <c r="A181" t="s">
        <v>1352</v>
      </c>
      <c r="B181" t="s">
        <v>240</v>
      </c>
    </row>
    <row r="182" spans="1:2" x14ac:dyDescent="0.2">
      <c r="A182" t="s">
        <v>1352</v>
      </c>
      <c r="B182" t="s">
        <v>799</v>
      </c>
    </row>
    <row r="183" spans="1:2" x14ac:dyDescent="0.2">
      <c r="A183" t="s">
        <v>1352</v>
      </c>
      <c r="B183" t="s">
        <v>702</v>
      </c>
    </row>
    <row r="184" spans="1:2" x14ac:dyDescent="0.2">
      <c r="A184" t="s">
        <v>1352</v>
      </c>
      <c r="B184" t="s">
        <v>547</v>
      </c>
    </row>
    <row r="185" spans="1:2" x14ac:dyDescent="0.2">
      <c r="A185" t="s">
        <v>1352</v>
      </c>
      <c r="B185" t="s">
        <v>812</v>
      </c>
    </row>
    <row r="186" spans="1:2" x14ac:dyDescent="0.2">
      <c r="A186" t="s">
        <v>1352</v>
      </c>
      <c r="B186" t="s">
        <v>821</v>
      </c>
    </row>
    <row r="187" spans="1:2" x14ac:dyDescent="0.2">
      <c r="A187" t="s">
        <v>1352</v>
      </c>
      <c r="B187" t="s">
        <v>824</v>
      </c>
    </row>
    <row r="188" spans="1:2" x14ac:dyDescent="0.2">
      <c r="A188" t="s">
        <v>1352</v>
      </c>
      <c r="B188" t="s">
        <v>93</v>
      </c>
    </row>
    <row r="189" spans="1:2" x14ac:dyDescent="0.2">
      <c r="A189" t="s">
        <v>1352</v>
      </c>
      <c r="B189" t="s">
        <v>828</v>
      </c>
    </row>
    <row r="190" spans="1:2" x14ac:dyDescent="0.2">
      <c r="A190" t="s">
        <v>1352</v>
      </c>
      <c r="B190" t="s">
        <v>829</v>
      </c>
    </row>
    <row r="191" spans="1:2" x14ac:dyDescent="0.2">
      <c r="A191" t="s">
        <v>1352</v>
      </c>
      <c r="B191" t="s">
        <v>832</v>
      </c>
    </row>
    <row r="192" spans="1:2" x14ac:dyDescent="0.2">
      <c r="A192" t="s">
        <v>1352</v>
      </c>
      <c r="B192" t="s">
        <v>836</v>
      </c>
    </row>
    <row r="193" spans="1:2" x14ac:dyDescent="0.2">
      <c r="A193" t="s">
        <v>1352</v>
      </c>
      <c r="B193" t="s">
        <v>543</v>
      </c>
    </row>
    <row r="194" spans="1:2" x14ac:dyDescent="0.2">
      <c r="A194" t="s">
        <v>1352</v>
      </c>
      <c r="B194" t="s">
        <v>838</v>
      </c>
    </row>
    <row r="195" spans="1:2" x14ac:dyDescent="0.2">
      <c r="A195" t="s">
        <v>1352</v>
      </c>
      <c r="B195" t="s">
        <v>841</v>
      </c>
    </row>
    <row r="196" spans="1:2" x14ac:dyDescent="0.2">
      <c r="A196" t="s">
        <v>1352</v>
      </c>
      <c r="B196" t="s">
        <v>845</v>
      </c>
    </row>
    <row r="197" spans="1:2" x14ac:dyDescent="0.2">
      <c r="A197" t="s">
        <v>1352</v>
      </c>
      <c r="B197" t="s">
        <v>854</v>
      </c>
    </row>
    <row r="198" spans="1:2" x14ac:dyDescent="0.2">
      <c r="A198" t="s">
        <v>1352</v>
      </c>
      <c r="B198" t="s">
        <v>361</v>
      </c>
    </row>
    <row r="199" spans="1:2" x14ac:dyDescent="0.2">
      <c r="A199" t="s">
        <v>1352</v>
      </c>
      <c r="B199" t="s">
        <v>857</v>
      </c>
    </row>
    <row r="200" spans="1:2" x14ac:dyDescent="0.2">
      <c r="A200" t="s">
        <v>1352</v>
      </c>
      <c r="B200" t="s">
        <v>859</v>
      </c>
    </row>
    <row r="201" spans="1:2" x14ac:dyDescent="0.2">
      <c r="A201" t="s">
        <v>1352</v>
      </c>
      <c r="B201" t="s">
        <v>174</v>
      </c>
    </row>
    <row r="202" spans="1:2" x14ac:dyDescent="0.2">
      <c r="A202" t="s">
        <v>1352</v>
      </c>
      <c r="B202" t="s">
        <v>606</v>
      </c>
    </row>
    <row r="203" spans="1:2" x14ac:dyDescent="0.2">
      <c r="A203" t="s">
        <v>1352</v>
      </c>
      <c r="B203" t="s">
        <v>555</v>
      </c>
    </row>
    <row r="204" spans="1:2" x14ac:dyDescent="0.2">
      <c r="A204" t="s">
        <v>1352</v>
      </c>
      <c r="B204" t="s">
        <v>144</v>
      </c>
    </row>
    <row r="205" spans="1:2" x14ac:dyDescent="0.2">
      <c r="A205" t="s">
        <v>1352</v>
      </c>
      <c r="B205" t="s">
        <v>694</v>
      </c>
    </row>
    <row r="206" spans="1:2" x14ac:dyDescent="0.2">
      <c r="A206" t="s">
        <v>1352</v>
      </c>
      <c r="B206" t="s">
        <v>437</v>
      </c>
    </row>
    <row r="207" spans="1:2" x14ac:dyDescent="0.2">
      <c r="A207" t="s">
        <v>1352</v>
      </c>
      <c r="B207" t="s">
        <v>886</v>
      </c>
    </row>
    <row r="208" spans="1:2" x14ac:dyDescent="0.2">
      <c r="A208" t="s">
        <v>1352</v>
      </c>
      <c r="B208" t="s">
        <v>400</v>
      </c>
    </row>
    <row r="209" spans="1:2" x14ac:dyDescent="0.2">
      <c r="A209" t="s">
        <v>1352</v>
      </c>
      <c r="B209" t="s">
        <v>307</v>
      </c>
    </row>
    <row r="210" spans="1:2" x14ac:dyDescent="0.2">
      <c r="A210" t="s">
        <v>1352</v>
      </c>
      <c r="B210" t="s">
        <v>895</v>
      </c>
    </row>
    <row r="211" spans="1:2" x14ac:dyDescent="0.2">
      <c r="A211" t="s">
        <v>1352</v>
      </c>
      <c r="B211" t="s">
        <v>902</v>
      </c>
    </row>
    <row r="212" spans="1:2" x14ac:dyDescent="0.2">
      <c r="A212" t="s">
        <v>1352</v>
      </c>
      <c r="B212" t="s">
        <v>907</v>
      </c>
    </row>
    <row r="213" spans="1:2" x14ac:dyDescent="0.2">
      <c r="A213" t="s">
        <v>1352</v>
      </c>
      <c r="B213" t="s">
        <v>910</v>
      </c>
    </row>
    <row r="214" spans="1:2" x14ac:dyDescent="0.2">
      <c r="A214" t="s">
        <v>1352</v>
      </c>
      <c r="B214" t="s">
        <v>914</v>
      </c>
    </row>
    <row r="215" spans="1:2" x14ac:dyDescent="0.2">
      <c r="A215" t="s">
        <v>1352</v>
      </c>
      <c r="B215" t="s">
        <v>274</v>
      </c>
    </row>
    <row r="216" spans="1:2" x14ac:dyDescent="0.2">
      <c r="A216" t="s">
        <v>1352</v>
      </c>
      <c r="B216" t="s">
        <v>923</v>
      </c>
    </row>
    <row r="217" spans="1:2" x14ac:dyDescent="0.2">
      <c r="A217" t="s">
        <v>1352</v>
      </c>
      <c r="B217" t="s">
        <v>909</v>
      </c>
    </row>
    <row r="218" spans="1:2" x14ac:dyDescent="0.2">
      <c r="A218" t="s">
        <v>1352</v>
      </c>
      <c r="B218" t="s">
        <v>286</v>
      </c>
    </row>
    <row r="219" spans="1:2" x14ac:dyDescent="0.2">
      <c r="A219" t="s">
        <v>1352</v>
      </c>
      <c r="B219" t="s">
        <v>326</v>
      </c>
    </row>
    <row r="220" spans="1:2" x14ac:dyDescent="0.2">
      <c r="A220" t="s">
        <v>1352</v>
      </c>
      <c r="B220" t="s">
        <v>153</v>
      </c>
    </row>
    <row r="221" spans="1:2" x14ac:dyDescent="0.2">
      <c r="A221" t="s">
        <v>1352</v>
      </c>
      <c r="B221" t="s">
        <v>943</v>
      </c>
    </row>
    <row r="222" spans="1:2" x14ac:dyDescent="0.2">
      <c r="A222" t="s">
        <v>1352</v>
      </c>
      <c r="B222" t="s">
        <v>524</v>
      </c>
    </row>
    <row r="223" spans="1:2" x14ac:dyDescent="0.2">
      <c r="A223" t="s">
        <v>1352</v>
      </c>
      <c r="B223" t="s">
        <v>955</v>
      </c>
    </row>
    <row r="224" spans="1:2" x14ac:dyDescent="0.2">
      <c r="A224" t="s">
        <v>1352</v>
      </c>
      <c r="B224" t="s">
        <v>517</v>
      </c>
    </row>
    <row r="225" spans="1:2" x14ac:dyDescent="0.2">
      <c r="A225" t="s">
        <v>1352</v>
      </c>
      <c r="B225" t="s">
        <v>908</v>
      </c>
    </row>
    <row r="226" spans="1:2" x14ac:dyDescent="0.2">
      <c r="A226" t="s">
        <v>1352</v>
      </c>
      <c r="B226" t="s">
        <v>457</v>
      </c>
    </row>
    <row r="227" spans="1:2" x14ac:dyDescent="0.2">
      <c r="A227" t="s">
        <v>1352</v>
      </c>
      <c r="B227" t="s">
        <v>970</v>
      </c>
    </row>
    <row r="228" spans="1:2" x14ac:dyDescent="0.2">
      <c r="A228" t="s">
        <v>1352</v>
      </c>
      <c r="B228" t="s">
        <v>70</v>
      </c>
    </row>
    <row r="229" spans="1:2" x14ac:dyDescent="0.2">
      <c r="A229" t="s">
        <v>1352</v>
      </c>
      <c r="B229" t="s">
        <v>636</v>
      </c>
    </row>
    <row r="230" spans="1:2" x14ac:dyDescent="0.2">
      <c r="A230" t="s">
        <v>1352</v>
      </c>
      <c r="B230" t="s">
        <v>871</v>
      </c>
    </row>
    <row r="231" spans="1:2" x14ac:dyDescent="0.2">
      <c r="A231" t="s">
        <v>1352</v>
      </c>
      <c r="B231" t="s">
        <v>980</v>
      </c>
    </row>
    <row r="232" spans="1:2" x14ac:dyDescent="0.2">
      <c r="A232" t="s">
        <v>1352</v>
      </c>
      <c r="B232" t="s">
        <v>141</v>
      </c>
    </row>
    <row r="233" spans="1:2" x14ac:dyDescent="0.2">
      <c r="A233" t="s">
        <v>1352</v>
      </c>
      <c r="B233" t="s">
        <v>724</v>
      </c>
    </row>
    <row r="234" spans="1:2" x14ac:dyDescent="0.2">
      <c r="A234" t="s">
        <v>1352</v>
      </c>
      <c r="B234" t="s">
        <v>723</v>
      </c>
    </row>
    <row r="235" spans="1:2" x14ac:dyDescent="0.2">
      <c r="A235" t="s">
        <v>1352</v>
      </c>
      <c r="B235" t="s">
        <v>514</v>
      </c>
    </row>
    <row r="236" spans="1:2" x14ac:dyDescent="0.2">
      <c r="A236" t="s">
        <v>1352</v>
      </c>
      <c r="B236" t="s">
        <v>338</v>
      </c>
    </row>
    <row r="237" spans="1:2" x14ac:dyDescent="0.2">
      <c r="A237" t="s">
        <v>1352</v>
      </c>
      <c r="B237" t="s">
        <v>997</v>
      </c>
    </row>
    <row r="238" spans="1:2" x14ac:dyDescent="0.2">
      <c r="A238" t="s">
        <v>1353</v>
      </c>
      <c r="B238" t="s">
        <v>243</v>
      </c>
    </row>
    <row r="239" spans="1:2" x14ac:dyDescent="0.2">
      <c r="A239" t="s">
        <v>1353</v>
      </c>
      <c r="B239" t="s">
        <v>1008</v>
      </c>
    </row>
    <row r="240" spans="1:2" x14ac:dyDescent="0.2">
      <c r="A240" t="s">
        <v>1353</v>
      </c>
      <c r="B240" t="s">
        <v>1013</v>
      </c>
    </row>
    <row r="241" spans="1:2" x14ac:dyDescent="0.2">
      <c r="A241" t="s">
        <v>1353</v>
      </c>
      <c r="B241" t="s">
        <v>636</v>
      </c>
    </row>
    <row r="242" spans="1:2" x14ac:dyDescent="0.2">
      <c r="A242" t="s">
        <v>1353</v>
      </c>
      <c r="B242" t="s">
        <v>993</v>
      </c>
    </row>
    <row r="243" spans="1:2" x14ac:dyDescent="0.2">
      <c r="A243" t="s">
        <v>1353</v>
      </c>
      <c r="B243" t="s">
        <v>1025</v>
      </c>
    </row>
    <row r="244" spans="1:2" x14ac:dyDescent="0.2">
      <c r="A244" t="s">
        <v>1353</v>
      </c>
      <c r="B244" t="s">
        <v>1028</v>
      </c>
    </row>
    <row r="245" spans="1:2" x14ac:dyDescent="0.2">
      <c r="A245" t="s">
        <v>1353</v>
      </c>
      <c r="B245" t="s">
        <v>1030</v>
      </c>
    </row>
    <row r="246" spans="1:2" x14ac:dyDescent="0.2">
      <c r="A246" t="s">
        <v>1353</v>
      </c>
      <c r="B246" t="s">
        <v>422</v>
      </c>
    </row>
    <row r="247" spans="1:2" x14ac:dyDescent="0.2">
      <c r="A247" t="s">
        <v>1353</v>
      </c>
      <c r="B247" t="s">
        <v>172</v>
      </c>
    </row>
    <row r="248" spans="1:2" x14ac:dyDescent="0.2">
      <c r="A248" t="s">
        <v>1353</v>
      </c>
      <c r="B248" t="s">
        <v>1037</v>
      </c>
    </row>
    <row r="249" spans="1:2" x14ac:dyDescent="0.2">
      <c r="A249" t="s">
        <v>1353</v>
      </c>
      <c r="B249" t="s">
        <v>588</v>
      </c>
    </row>
    <row r="250" spans="1:2" x14ac:dyDescent="0.2">
      <c r="A250" t="s">
        <v>1353</v>
      </c>
      <c r="B250" t="s">
        <v>389</v>
      </c>
    </row>
    <row r="251" spans="1:2" x14ac:dyDescent="0.2">
      <c r="A251" t="s">
        <v>1353</v>
      </c>
      <c r="B251" t="s">
        <v>502</v>
      </c>
    </row>
    <row r="252" spans="1:2" x14ac:dyDescent="0.2">
      <c r="A252" t="s">
        <v>1353</v>
      </c>
      <c r="B252" t="s">
        <v>968</v>
      </c>
    </row>
    <row r="253" spans="1:2" x14ac:dyDescent="0.2">
      <c r="A253" t="s">
        <v>1353</v>
      </c>
      <c r="B253" t="s">
        <v>53</v>
      </c>
    </row>
    <row r="254" spans="1:2" x14ac:dyDescent="0.2">
      <c r="A254" t="s">
        <v>1353</v>
      </c>
      <c r="B254" t="s">
        <v>672</v>
      </c>
    </row>
    <row r="255" spans="1:2" x14ac:dyDescent="0.2">
      <c r="A255" t="s">
        <v>1353</v>
      </c>
      <c r="B255" t="s">
        <v>696</v>
      </c>
    </row>
    <row r="256" spans="1:2" x14ac:dyDescent="0.2">
      <c r="A256" t="s">
        <v>1353</v>
      </c>
      <c r="B256" t="s">
        <v>709</v>
      </c>
    </row>
    <row r="257" spans="1:2" x14ac:dyDescent="0.2">
      <c r="A257" t="s">
        <v>1353</v>
      </c>
      <c r="B257" t="s">
        <v>359</v>
      </c>
    </row>
    <row r="258" spans="1:2" x14ac:dyDescent="0.2">
      <c r="A258" t="s">
        <v>1353</v>
      </c>
      <c r="B258" t="s">
        <v>259</v>
      </c>
    </row>
    <row r="259" spans="1:2" x14ac:dyDescent="0.2">
      <c r="A259" t="s">
        <v>1353</v>
      </c>
      <c r="B259" t="s">
        <v>734</v>
      </c>
    </row>
    <row r="260" spans="1:2" x14ac:dyDescent="0.2">
      <c r="A260" t="s">
        <v>1353</v>
      </c>
      <c r="B260" t="s">
        <v>548</v>
      </c>
    </row>
    <row r="261" spans="1:2" x14ac:dyDescent="0.2">
      <c r="A261" t="s">
        <v>1353</v>
      </c>
      <c r="B261" t="s">
        <v>973</v>
      </c>
    </row>
    <row r="262" spans="1:2" x14ac:dyDescent="0.2">
      <c r="A262" t="s">
        <v>1353</v>
      </c>
      <c r="B262" t="s">
        <v>309</v>
      </c>
    </row>
    <row r="263" spans="1:2" x14ac:dyDescent="0.2">
      <c r="A263" t="s">
        <v>1353</v>
      </c>
      <c r="B263" t="s">
        <v>926</v>
      </c>
    </row>
    <row r="264" spans="1:2" x14ac:dyDescent="0.2">
      <c r="A264" t="s">
        <v>1353</v>
      </c>
      <c r="B264" t="s">
        <v>540</v>
      </c>
    </row>
    <row r="265" spans="1:2" x14ac:dyDescent="0.2">
      <c r="A265" t="s">
        <v>1353</v>
      </c>
      <c r="B265" t="s">
        <v>1003</v>
      </c>
    </row>
    <row r="266" spans="1:2" x14ac:dyDescent="0.2">
      <c r="A266" t="s">
        <v>1353</v>
      </c>
      <c r="B266" t="s">
        <v>1049</v>
      </c>
    </row>
    <row r="267" spans="1:2" x14ac:dyDescent="0.2">
      <c r="A267" t="s">
        <v>1353</v>
      </c>
      <c r="B267" t="s">
        <v>649</v>
      </c>
    </row>
    <row r="268" spans="1:2" x14ac:dyDescent="0.2">
      <c r="A268" t="s">
        <v>1353</v>
      </c>
      <c r="B268" t="s">
        <v>155</v>
      </c>
    </row>
    <row r="269" spans="1:2" x14ac:dyDescent="0.2">
      <c r="A269" t="s">
        <v>1353</v>
      </c>
      <c r="B269" t="s">
        <v>1054</v>
      </c>
    </row>
    <row r="270" spans="1:2" x14ac:dyDescent="0.2">
      <c r="A270" t="s">
        <v>1353</v>
      </c>
      <c r="B270" t="s">
        <v>620</v>
      </c>
    </row>
    <row r="271" spans="1:2" x14ac:dyDescent="0.2">
      <c r="A271" t="s">
        <v>1353</v>
      </c>
      <c r="B271" t="s">
        <v>597</v>
      </c>
    </row>
    <row r="272" spans="1:2" x14ac:dyDescent="0.2">
      <c r="A272" t="s">
        <v>1353</v>
      </c>
      <c r="B272" t="s">
        <v>537</v>
      </c>
    </row>
    <row r="273" spans="1:2" x14ac:dyDescent="0.2">
      <c r="A273" t="s">
        <v>1353</v>
      </c>
      <c r="B273" t="s">
        <v>82</v>
      </c>
    </row>
    <row r="274" spans="1:2" x14ac:dyDescent="0.2">
      <c r="A274" t="s">
        <v>1353</v>
      </c>
      <c r="B274" t="s">
        <v>1061</v>
      </c>
    </row>
    <row r="275" spans="1:2" x14ac:dyDescent="0.2">
      <c r="A275" t="s">
        <v>1353</v>
      </c>
      <c r="B275" t="s">
        <v>736</v>
      </c>
    </row>
    <row r="276" spans="1:2" x14ac:dyDescent="0.2">
      <c r="A276" t="s">
        <v>1353</v>
      </c>
      <c r="B276" t="s">
        <v>1040</v>
      </c>
    </row>
    <row r="277" spans="1:2" x14ac:dyDescent="0.2">
      <c r="A277" t="s">
        <v>1353</v>
      </c>
      <c r="B277" t="s">
        <v>1063</v>
      </c>
    </row>
    <row r="278" spans="1:2" x14ac:dyDescent="0.2">
      <c r="A278" t="s">
        <v>1353</v>
      </c>
      <c r="B278" t="s">
        <v>944</v>
      </c>
    </row>
    <row r="279" spans="1:2" x14ac:dyDescent="0.2">
      <c r="A279" t="s">
        <v>1353</v>
      </c>
      <c r="B279" t="s">
        <v>1065</v>
      </c>
    </row>
    <row r="280" spans="1:2" x14ac:dyDescent="0.2">
      <c r="A280" t="s">
        <v>1353</v>
      </c>
      <c r="B280" t="s">
        <v>1067</v>
      </c>
    </row>
    <row r="281" spans="1:2" x14ac:dyDescent="0.2">
      <c r="A281" t="s">
        <v>1353</v>
      </c>
      <c r="B281" t="s">
        <v>1069</v>
      </c>
    </row>
    <row r="282" spans="1:2" x14ac:dyDescent="0.2">
      <c r="A282" t="s">
        <v>1353</v>
      </c>
      <c r="B282" t="s">
        <v>1071</v>
      </c>
    </row>
    <row r="283" spans="1:2" x14ac:dyDescent="0.2">
      <c r="A283" t="s">
        <v>1353</v>
      </c>
      <c r="B283" t="s">
        <v>561</v>
      </c>
    </row>
    <row r="284" spans="1:2" x14ac:dyDescent="0.2">
      <c r="A284" t="s">
        <v>1353</v>
      </c>
      <c r="B284" t="s">
        <v>1076</v>
      </c>
    </row>
    <row r="285" spans="1:2" x14ac:dyDescent="0.2">
      <c r="A285" t="s">
        <v>1353</v>
      </c>
      <c r="B285" t="s">
        <v>91</v>
      </c>
    </row>
    <row r="286" spans="1:2" x14ac:dyDescent="0.2">
      <c r="A286" t="s">
        <v>1353</v>
      </c>
      <c r="B286" t="s">
        <v>917</v>
      </c>
    </row>
    <row r="287" spans="1:2" x14ac:dyDescent="0.2">
      <c r="A287" t="s">
        <v>1353</v>
      </c>
      <c r="B287" t="s">
        <v>784</v>
      </c>
    </row>
    <row r="288" spans="1:2" x14ac:dyDescent="0.2">
      <c r="A288" t="s">
        <v>1353</v>
      </c>
      <c r="B288" t="s">
        <v>314</v>
      </c>
    </row>
    <row r="289" spans="1:2" x14ac:dyDescent="0.2">
      <c r="A289" t="s">
        <v>1350</v>
      </c>
      <c r="B289" t="s">
        <v>1083</v>
      </c>
    </row>
    <row r="290" spans="1:2" x14ac:dyDescent="0.2">
      <c r="A290" t="s">
        <v>1351</v>
      </c>
      <c r="B290" t="s">
        <v>862</v>
      </c>
    </row>
    <row r="291" spans="1:2" x14ac:dyDescent="0.2">
      <c r="A291" t="s">
        <v>1351</v>
      </c>
      <c r="B291" t="s">
        <v>397</v>
      </c>
    </row>
    <row r="292" spans="1:2" x14ac:dyDescent="0.2">
      <c r="A292" t="s">
        <v>1352</v>
      </c>
      <c r="B292" t="s">
        <v>331</v>
      </c>
    </row>
    <row r="293" spans="1:2" x14ac:dyDescent="0.2">
      <c r="A293" t="s">
        <v>1353</v>
      </c>
      <c r="B293" t="s">
        <v>1089</v>
      </c>
    </row>
    <row r="294" spans="1:2" x14ac:dyDescent="0.2">
      <c r="A294" t="s">
        <v>1350</v>
      </c>
      <c r="B294" t="s">
        <v>832</v>
      </c>
    </row>
    <row r="295" spans="1:2" x14ac:dyDescent="0.2">
      <c r="A295" t="s">
        <v>1351</v>
      </c>
      <c r="B295" t="s">
        <v>1091</v>
      </c>
    </row>
    <row r="296" spans="1:2" x14ac:dyDescent="0.2">
      <c r="A296" t="s">
        <v>1350</v>
      </c>
      <c r="B296" t="s">
        <v>437</v>
      </c>
    </row>
    <row r="297" spans="1:2" x14ac:dyDescent="0.2">
      <c r="A297" t="s">
        <v>1351</v>
      </c>
      <c r="B297" t="s">
        <v>411</v>
      </c>
    </row>
    <row r="298" spans="1:2" x14ac:dyDescent="0.2">
      <c r="A298" t="s">
        <v>1352</v>
      </c>
      <c r="B298" t="s">
        <v>1096</v>
      </c>
    </row>
    <row r="299" spans="1:2" x14ac:dyDescent="0.2">
      <c r="A299" t="s">
        <v>1351</v>
      </c>
      <c r="B299" t="s">
        <v>188</v>
      </c>
    </row>
    <row r="300" spans="1:2" x14ac:dyDescent="0.2">
      <c r="A300" t="s">
        <v>1353</v>
      </c>
      <c r="B300" t="s">
        <v>547</v>
      </c>
    </row>
    <row r="301" spans="1:2" x14ac:dyDescent="0.2">
      <c r="A301" t="s">
        <v>1351</v>
      </c>
      <c r="B301" t="s">
        <v>770</v>
      </c>
    </row>
    <row r="302" spans="1:2" x14ac:dyDescent="0.2">
      <c r="A302" t="s">
        <v>1352</v>
      </c>
      <c r="B302" t="s">
        <v>345</v>
      </c>
    </row>
    <row r="303" spans="1:2" x14ac:dyDescent="0.2">
      <c r="A303" t="s">
        <v>1350</v>
      </c>
      <c r="B303" t="s">
        <v>759</v>
      </c>
    </row>
    <row r="304" spans="1:2" x14ac:dyDescent="0.2">
      <c r="A304" t="s">
        <v>1353</v>
      </c>
      <c r="B304" t="s">
        <v>861</v>
      </c>
    </row>
    <row r="305" spans="1:2" x14ac:dyDescent="0.2">
      <c r="A305" t="s">
        <v>1350</v>
      </c>
      <c r="B305" t="s">
        <v>841</v>
      </c>
    </row>
    <row r="306" spans="1:2" x14ac:dyDescent="0.2">
      <c r="A306" t="s">
        <v>1351</v>
      </c>
      <c r="B306" t="s">
        <v>1106</v>
      </c>
    </row>
    <row r="307" spans="1:2" x14ac:dyDescent="0.2">
      <c r="A307" t="s">
        <v>1352</v>
      </c>
      <c r="B307" t="s">
        <v>1033</v>
      </c>
    </row>
    <row r="308" spans="1:2" x14ac:dyDescent="0.2">
      <c r="A308" t="s">
        <v>1350</v>
      </c>
      <c r="B308" t="s">
        <v>581</v>
      </c>
    </row>
    <row r="309" spans="1:2" x14ac:dyDescent="0.2">
      <c r="A309" t="s">
        <v>1350</v>
      </c>
      <c r="B309" t="s">
        <v>561</v>
      </c>
    </row>
    <row r="310" spans="1:2" x14ac:dyDescent="0.2">
      <c r="A310" t="s">
        <v>1350</v>
      </c>
      <c r="B310" t="s">
        <v>260</v>
      </c>
    </row>
    <row r="311" spans="1:2" x14ac:dyDescent="0.2">
      <c r="A311" t="s">
        <v>1352</v>
      </c>
      <c r="B311" t="s">
        <v>293</v>
      </c>
    </row>
    <row r="312" spans="1:2" x14ac:dyDescent="0.2">
      <c r="A312" t="s">
        <v>1351</v>
      </c>
      <c r="B312" t="s">
        <v>301</v>
      </c>
    </row>
    <row r="313" spans="1:2" x14ac:dyDescent="0.2">
      <c r="A313" t="s">
        <v>1352</v>
      </c>
      <c r="B313" t="s">
        <v>634</v>
      </c>
    </row>
    <row r="314" spans="1:2" x14ac:dyDescent="0.2">
      <c r="A314" t="s">
        <v>1350</v>
      </c>
      <c r="B314" t="s">
        <v>524</v>
      </c>
    </row>
    <row r="315" spans="1:2" x14ac:dyDescent="0.2">
      <c r="A315" t="s">
        <v>1351</v>
      </c>
      <c r="B315" t="s">
        <v>775</v>
      </c>
    </row>
    <row r="316" spans="1:2" x14ac:dyDescent="0.2">
      <c r="A316" t="s">
        <v>1352</v>
      </c>
      <c r="B316" t="s">
        <v>1117</v>
      </c>
    </row>
    <row r="317" spans="1:2" x14ac:dyDescent="0.2">
      <c r="A317" t="s">
        <v>1350</v>
      </c>
      <c r="B317" t="s">
        <v>1120</v>
      </c>
    </row>
    <row r="318" spans="1:2" x14ac:dyDescent="0.2">
      <c r="A318" t="s">
        <v>1351</v>
      </c>
      <c r="B318" t="s">
        <v>620</v>
      </c>
    </row>
    <row r="319" spans="1:2" x14ac:dyDescent="0.2">
      <c r="A319" t="s">
        <v>1352</v>
      </c>
      <c r="B319" t="s">
        <v>1123</v>
      </c>
    </row>
    <row r="320" spans="1:2" x14ac:dyDescent="0.2">
      <c r="A320" t="s">
        <v>1352</v>
      </c>
      <c r="B320" t="s">
        <v>348</v>
      </c>
    </row>
    <row r="321" spans="1:2" x14ac:dyDescent="0.2">
      <c r="A321" t="s">
        <v>1350</v>
      </c>
      <c r="B321" t="s">
        <v>294</v>
      </c>
    </row>
    <row r="322" spans="1:2" x14ac:dyDescent="0.2">
      <c r="A322" t="s">
        <v>1351</v>
      </c>
      <c r="B322" t="s">
        <v>1061</v>
      </c>
    </row>
    <row r="323" spans="1:2" x14ac:dyDescent="0.2">
      <c r="A323" t="s">
        <v>1350</v>
      </c>
      <c r="B323" t="s">
        <v>1130</v>
      </c>
    </row>
    <row r="324" spans="1:2" x14ac:dyDescent="0.2">
      <c r="A324" t="s">
        <v>1350</v>
      </c>
      <c r="B324" t="s">
        <v>64</v>
      </c>
    </row>
    <row r="325" spans="1:2" x14ac:dyDescent="0.2">
      <c r="A325" t="s">
        <v>1351</v>
      </c>
      <c r="B325" t="s">
        <v>1057</v>
      </c>
    </row>
    <row r="326" spans="1:2" x14ac:dyDescent="0.2">
      <c r="A326" t="s">
        <v>1352</v>
      </c>
      <c r="B326" t="s">
        <v>934</v>
      </c>
    </row>
    <row r="327" spans="1:2" x14ac:dyDescent="0.2">
      <c r="A327" t="s">
        <v>1352</v>
      </c>
      <c r="B327" t="s">
        <v>588</v>
      </c>
    </row>
    <row r="328" spans="1:2" x14ac:dyDescent="0.2">
      <c r="A328" t="s">
        <v>1353</v>
      </c>
      <c r="B328" t="s">
        <v>988</v>
      </c>
    </row>
    <row r="329" spans="1:2" x14ac:dyDescent="0.2">
      <c r="A329" t="s">
        <v>1350</v>
      </c>
      <c r="B329" t="s">
        <v>1139</v>
      </c>
    </row>
    <row r="330" spans="1:2" x14ac:dyDescent="0.2">
      <c r="A330" t="s">
        <v>1352</v>
      </c>
      <c r="B330" t="s">
        <v>496</v>
      </c>
    </row>
    <row r="331" spans="1:2" x14ac:dyDescent="0.2">
      <c r="A331" t="s">
        <v>1353</v>
      </c>
      <c r="B331" t="s">
        <v>1142</v>
      </c>
    </row>
    <row r="332" spans="1:2" x14ac:dyDescent="0.2">
      <c r="A332" t="s">
        <v>1350</v>
      </c>
      <c r="B332" t="s">
        <v>381</v>
      </c>
    </row>
    <row r="333" spans="1:2" x14ac:dyDescent="0.2">
      <c r="A333" t="s">
        <v>1351</v>
      </c>
      <c r="B333" t="s">
        <v>207</v>
      </c>
    </row>
    <row r="334" spans="1:2" x14ac:dyDescent="0.2">
      <c r="A334" t="s">
        <v>1352</v>
      </c>
      <c r="B334" t="s">
        <v>1148</v>
      </c>
    </row>
    <row r="335" spans="1:2" x14ac:dyDescent="0.2">
      <c r="A335" t="s">
        <v>1350</v>
      </c>
      <c r="B335" t="s">
        <v>998</v>
      </c>
    </row>
    <row r="336" spans="1:2" x14ac:dyDescent="0.2">
      <c r="A336" t="s">
        <v>1351</v>
      </c>
      <c r="B336" t="s">
        <v>1152</v>
      </c>
    </row>
    <row r="337" spans="1:2" x14ac:dyDescent="0.2">
      <c r="A337" t="s">
        <v>1350</v>
      </c>
      <c r="B337" t="s">
        <v>553</v>
      </c>
    </row>
    <row r="338" spans="1:2" x14ac:dyDescent="0.2">
      <c r="A338" t="s">
        <v>1352</v>
      </c>
      <c r="B338" t="s">
        <v>1022</v>
      </c>
    </row>
    <row r="339" spans="1:2" x14ac:dyDescent="0.2">
      <c r="A339" t="s">
        <v>1351</v>
      </c>
      <c r="B339" t="s">
        <v>62</v>
      </c>
    </row>
    <row r="340" spans="1:2" x14ac:dyDescent="0.2">
      <c r="A340" t="s">
        <v>1352</v>
      </c>
      <c r="B340" t="s">
        <v>1060</v>
      </c>
    </row>
    <row r="341" spans="1:2" x14ac:dyDescent="0.2">
      <c r="A341" t="s">
        <v>1352</v>
      </c>
      <c r="B341" t="s">
        <v>755</v>
      </c>
    </row>
    <row r="342" spans="1:2" x14ac:dyDescent="0.2">
      <c r="A342" t="s">
        <v>1353</v>
      </c>
      <c r="B342" t="s">
        <v>660</v>
      </c>
    </row>
    <row r="343" spans="1:2" x14ac:dyDescent="0.2">
      <c r="A343" t="s">
        <v>1350</v>
      </c>
      <c r="B343" t="s">
        <v>1162</v>
      </c>
    </row>
    <row r="344" spans="1:2" x14ac:dyDescent="0.2">
      <c r="A344" t="s">
        <v>1352</v>
      </c>
      <c r="B344" t="s">
        <v>1164</v>
      </c>
    </row>
    <row r="345" spans="1:2" x14ac:dyDescent="0.2">
      <c r="A345" t="s">
        <v>1350</v>
      </c>
      <c r="B345" t="s">
        <v>485</v>
      </c>
    </row>
    <row r="346" spans="1:2" x14ac:dyDescent="0.2">
      <c r="A346" t="s">
        <v>1352</v>
      </c>
      <c r="B346" t="s">
        <v>411</v>
      </c>
    </row>
    <row r="347" spans="1:2" x14ac:dyDescent="0.2">
      <c r="A347" t="s">
        <v>1350</v>
      </c>
      <c r="B347" t="s">
        <v>698</v>
      </c>
    </row>
    <row r="348" spans="1:2" x14ac:dyDescent="0.2">
      <c r="A348" t="s">
        <v>1352</v>
      </c>
      <c r="B348" t="s">
        <v>328</v>
      </c>
    </row>
    <row r="349" spans="1:2" x14ac:dyDescent="0.2">
      <c r="A349" t="s">
        <v>1353</v>
      </c>
      <c r="B349" t="s">
        <v>517</v>
      </c>
    </row>
    <row r="350" spans="1:2" x14ac:dyDescent="0.2">
      <c r="A350" t="s">
        <v>1350</v>
      </c>
      <c r="B350" t="s">
        <v>293</v>
      </c>
    </row>
    <row r="351" spans="1:2" x14ac:dyDescent="0.2">
      <c r="A351" t="s">
        <v>1351</v>
      </c>
      <c r="B351" t="s">
        <v>548</v>
      </c>
    </row>
    <row r="352" spans="1:2" x14ac:dyDescent="0.2">
      <c r="A352" t="s">
        <v>1352</v>
      </c>
      <c r="B352" t="s">
        <v>789</v>
      </c>
    </row>
    <row r="353" spans="1:2" x14ac:dyDescent="0.2">
      <c r="A353" t="s">
        <v>1353</v>
      </c>
      <c r="B353" t="s">
        <v>378</v>
      </c>
    </row>
    <row r="354" spans="1:2" x14ac:dyDescent="0.2">
      <c r="A354" t="s">
        <v>1350</v>
      </c>
      <c r="B354" t="s">
        <v>756</v>
      </c>
    </row>
    <row r="355" spans="1:2" x14ac:dyDescent="0.2">
      <c r="A355" t="s">
        <v>1352</v>
      </c>
      <c r="B355" t="s">
        <v>1170</v>
      </c>
    </row>
    <row r="356" spans="1:2" x14ac:dyDescent="0.2">
      <c r="A356" t="s">
        <v>1353</v>
      </c>
      <c r="B356" t="s">
        <v>931</v>
      </c>
    </row>
    <row r="357" spans="1:2" x14ac:dyDescent="0.2">
      <c r="A357" t="s">
        <v>1350</v>
      </c>
      <c r="B357" t="s">
        <v>1175</v>
      </c>
    </row>
    <row r="358" spans="1:2" x14ac:dyDescent="0.2">
      <c r="A358" t="s">
        <v>1353</v>
      </c>
      <c r="B358" t="s">
        <v>646</v>
      </c>
    </row>
    <row r="359" spans="1:2" x14ac:dyDescent="0.2">
      <c r="A359" t="s">
        <v>1350</v>
      </c>
      <c r="B359" t="s">
        <v>1177</v>
      </c>
    </row>
    <row r="360" spans="1:2" x14ac:dyDescent="0.2">
      <c r="A360" t="s">
        <v>1350</v>
      </c>
      <c r="B360" t="s">
        <v>440</v>
      </c>
    </row>
    <row r="361" spans="1:2" x14ac:dyDescent="0.2">
      <c r="A361" t="s">
        <v>1351</v>
      </c>
      <c r="B361" t="s">
        <v>995</v>
      </c>
    </row>
    <row r="362" spans="1:2" x14ac:dyDescent="0.2">
      <c r="A362" t="s">
        <v>1352</v>
      </c>
      <c r="B362" t="s">
        <v>810</v>
      </c>
    </row>
    <row r="363" spans="1:2" x14ac:dyDescent="0.2">
      <c r="A363" t="s">
        <v>1353</v>
      </c>
      <c r="B363" t="s">
        <v>929</v>
      </c>
    </row>
    <row r="364" spans="1:2" x14ac:dyDescent="0.2">
      <c r="A364" t="s">
        <v>1350</v>
      </c>
      <c r="B364" t="s">
        <v>681</v>
      </c>
    </row>
    <row r="365" spans="1:2" x14ac:dyDescent="0.2">
      <c r="A365" t="s">
        <v>1351</v>
      </c>
      <c r="B365" t="s">
        <v>1185</v>
      </c>
    </row>
    <row r="366" spans="1:2" x14ac:dyDescent="0.2">
      <c r="A366" t="s">
        <v>1353</v>
      </c>
      <c r="B366" t="s">
        <v>603</v>
      </c>
    </row>
    <row r="367" spans="1:2" x14ac:dyDescent="0.2">
      <c r="A367" t="s">
        <v>1352</v>
      </c>
      <c r="B367" t="s">
        <v>417</v>
      </c>
    </row>
    <row r="368" spans="1:2" x14ac:dyDescent="0.2">
      <c r="A368" t="s">
        <v>1351</v>
      </c>
      <c r="B368" t="s">
        <v>256</v>
      </c>
    </row>
    <row r="369" spans="1:2" x14ac:dyDescent="0.2">
      <c r="A369" t="s">
        <v>1350</v>
      </c>
      <c r="B369" t="s">
        <v>840</v>
      </c>
    </row>
    <row r="370" spans="1:2" x14ac:dyDescent="0.2">
      <c r="A370" t="s">
        <v>1351</v>
      </c>
      <c r="B370" t="s">
        <v>284</v>
      </c>
    </row>
    <row r="371" spans="1:2" x14ac:dyDescent="0.2">
      <c r="A371" t="s">
        <v>1353</v>
      </c>
      <c r="B371" t="s">
        <v>1105</v>
      </c>
    </row>
    <row r="372" spans="1:2" x14ac:dyDescent="0.2">
      <c r="A372" t="s">
        <v>1350</v>
      </c>
      <c r="B372" t="s">
        <v>400</v>
      </c>
    </row>
    <row r="373" spans="1:2" x14ac:dyDescent="0.2">
      <c r="A373" t="s">
        <v>1352</v>
      </c>
      <c r="B373" t="s">
        <v>567</v>
      </c>
    </row>
    <row r="374" spans="1:2" x14ac:dyDescent="0.2">
      <c r="A374" t="s">
        <v>1351</v>
      </c>
      <c r="B374" t="s">
        <v>983</v>
      </c>
    </row>
    <row r="375" spans="1:2" x14ac:dyDescent="0.2">
      <c r="A375" t="s">
        <v>1352</v>
      </c>
      <c r="B375" t="s">
        <v>1208</v>
      </c>
    </row>
    <row r="376" spans="1:2" x14ac:dyDescent="0.2">
      <c r="A376" t="s">
        <v>1353</v>
      </c>
      <c r="B376" t="s">
        <v>1196</v>
      </c>
    </row>
    <row r="377" spans="1:2" x14ac:dyDescent="0.2">
      <c r="A377" t="s">
        <v>1351</v>
      </c>
      <c r="B377" t="s">
        <v>840</v>
      </c>
    </row>
    <row r="378" spans="1:2" x14ac:dyDescent="0.2">
      <c r="A378" t="s">
        <v>1351</v>
      </c>
      <c r="B378" t="s">
        <v>480</v>
      </c>
    </row>
    <row r="379" spans="1:2" x14ac:dyDescent="0.2">
      <c r="A379" t="s">
        <v>1352</v>
      </c>
      <c r="B379" t="s">
        <v>1215</v>
      </c>
    </row>
    <row r="380" spans="1:2" x14ac:dyDescent="0.2">
      <c r="A380" t="s">
        <v>1352</v>
      </c>
      <c r="B380" t="s">
        <v>973</v>
      </c>
    </row>
    <row r="381" spans="1:2" x14ac:dyDescent="0.2">
      <c r="A381" t="s">
        <v>1350</v>
      </c>
      <c r="B381" t="s">
        <v>1142</v>
      </c>
    </row>
    <row r="382" spans="1:2" x14ac:dyDescent="0.2">
      <c r="A382" t="s">
        <v>1351</v>
      </c>
      <c r="B382" t="s">
        <v>280</v>
      </c>
    </row>
    <row r="383" spans="1:2" x14ac:dyDescent="0.2">
      <c r="A383" t="s">
        <v>1350</v>
      </c>
      <c r="B383" t="s">
        <v>1066</v>
      </c>
    </row>
    <row r="384" spans="1:2" x14ac:dyDescent="0.2">
      <c r="A384" t="s">
        <v>1351</v>
      </c>
      <c r="B384" t="s">
        <v>374</v>
      </c>
    </row>
    <row r="385" spans="1:2" x14ac:dyDescent="0.2">
      <c r="A385" t="s">
        <v>1350</v>
      </c>
      <c r="B385" t="s">
        <v>282</v>
      </c>
    </row>
    <row r="386" spans="1:2" x14ac:dyDescent="0.2">
      <c r="A386" t="s">
        <v>1351</v>
      </c>
      <c r="B386" t="s">
        <v>1196</v>
      </c>
    </row>
    <row r="387" spans="1:2" x14ac:dyDescent="0.2">
      <c r="A387" t="s">
        <v>1352</v>
      </c>
      <c r="B387" t="s">
        <v>1034</v>
      </c>
    </row>
    <row r="388" spans="1:2" x14ac:dyDescent="0.2">
      <c r="A388" t="s">
        <v>1353</v>
      </c>
      <c r="B388" t="s">
        <v>1102</v>
      </c>
    </row>
    <row r="389" spans="1:2" x14ac:dyDescent="0.2">
      <c r="A389" t="s">
        <v>1350</v>
      </c>
      <c r="B389" t="s">
        <v>469</v>
      </c>
    </row>
    <row r="390" spans="1:2" x14ac:dyDescent="0.2">
      <c r="A390" t="s">
        <v>1351</v>
      </c>
      <c r="B390" t="s">
        <v>1169</v>
      </c>
    </row>
    <row r="391" spans="1:2" x14ac:dyDescent="0.2">
      <c r="A391" t="s">
        <v>1353</v>
      </c>
      <c r="B391" t="s">
        <v>1231</v>
      </c>
    </row>
    <row r="392" spans="1:2" x14ac:dyDescent="0.2">
      <c r="A392" t="s">
        <v>1352</v>
      </c>
      <c r="B392" t="s">
        <v>403</v>
      </c>
    </row>
    <row r="393" spans="1:2" x14ac:dyDescent="0.2">
      <c r="A393" t="s">
        <v>1353</v>
      </c>
      <c r="B393" t="s">
        <v>1160</v>
      </c>
    </row>
    <row r="394" spans="1:2" x14ac:dyDescent="0.2">
      <c r="A394" t="s">
        <v>1350</v>
      </c>
      <c r="B394" t="s">
        <v>818</v>
      </c>
    </row>
    <row r="395" spans="1:2" x14ac:dyDescent="0.2">
      <c r="A395" t="s">
        <v>1351</v>
      </c>
      <c r="B395" t="s">
        <v>1200</v>
      </c>
    </row>
    <row r="396" spans="1:2" x14ac:dyDescent="0.2">
      <c r="A396" t="s">
        <v>1353</v>
      </c>
      <c r="B396" t="s">
        <v>853</v>
      </c>
    </row>
    <row r="397" spans="1:2" x14ac:dyDescent="0.2">
      <c r="A397" t="s">
        <v>1350</v>
      </c>
      <c r="B397" t="s">
        <v>879</v>
      </c>
    </row>
    <row r="398" spans="1:2" x14ac:dyDescent="0.2">
      <c r="A398" t="s">
        <v>1352</v>
      </c>
      <c r="B398" t="s">
        <v>744</v>
      </c>
    </row>
    <row r="399" spans="1:2" x14ac:dyDescent="0.2">
      <c r="A399" t="s">
        <v>1350</v>
      </c>
      <c r="B399" t="s">
        <v>208</v>
      </c>
    </row>
    <row r="400" spans="1:2" x14ac:dyDescent="0.2">
      <c r="A400" t="s">
        <v>1352</v>
      </c>
      <c r="B400" t="s">
        <v>1240</v>
      </c>
    </row>
    <row r="401" spans="1:2" x14ac:dyDescent="0.2">
      <c r="A401" t="s">
        <v>1350</v>
      </c>
      <c r="B401" t="s">
        <v>947</v>
      </c>
    </row>
    <row r="402" spans="1:2" x14ac:dyDescent="0.2">
      <c r="A402" t="s">
        <v>1351</v>
      </c>
      <c r="B402" t="s">
        <v>1243</v>
      </c>
    </row>
    <row r="403" spans="1:2" x14ac:dyDescent="0.2">
      <c r="A403" t="s">
        <v>1352</v>
      </c>
      <c r="B403" t="s">
        <v>800</v>
      </c>
    </row>
    <row r="404" spans="1:2" x14ac:dyDescent="0.2">
      <c r="A404" t="s">
        <v>1350</v>
      </c>
      <c r="B404" t="s">
        <v>480</v>
      </c>
    </row>
    <row r="405" spans="1:2" x14ac:dyDescent="0.2">
      <c r="A405" t="s">
        <v>1352</v>
      </c>
      <c r="B405" t="s">
        <v>540</v>
      </c>
    </row>
    <row r="406" spans="1:2" x14ac:dyDescent="0.2">
      <c r="A406" t="s">
        <v>1350</v>
      </c>
      <c r="B406" t="s">
        <v>330</v>
      </c>
    </row>
    <row r="407" spans="1:2" x14ac:dyDescent="0.2">
      <c r="A407" t="s">
        <v>1351</v>
      </c>
      <c r="B407" t="s">
        <v>126</v>
      </c>
    </row>
    <row r="408" spans="1:2" x14ac:dyDescent="0.2">
      <c r="A408" t="s">
        <v>1352</v>
      </c>
      <c r="B408" t="s">
        <v>976</v>
      </c>
    </row>
    <row r="409" spans="1:2" x14ac:dyDescent="0.2">
      <c r="A409" t="s">
        <v>1353</v>
      </c>
      <c r="B409" t="s">
        <v>918</v>
      </c>
    </row>
    <row r="410" spans="1:2" x14ac:dyDescent="0.2">
      <c r="A410" t="s">
        <v>1351</v>
      </c>
      <c r="B410" t="s">
        <v>405</v>
      </c>
    </row>
    <row r="411" spans="1:2" x14ac:dyDescent="0.2">
      <c r="A411" t="s">
        <v>1350</v>
      </c>
      <c r="B411" t="s">
        <v>1192</v>
      </c>
    </row>
    <row r="412" spans="1:2" x14ac:dyDescent="0.2">
      <c r="A412" t="s">
        <v>1352</v>
      </c>
      <c r="B412" t="s">
        <v>428</v>
      </c>
    </row>
    <row r="413" spans="1:2" x14ac:dyDescent="0.2">
      <c r="A413" t="s">
        <v>1351</v>
      </c>
      <c r="B413" t="s">
        <v>477</v>
      </c>
    </row>
    <row r="414" spans="1:2" x14ac:dyDescent="0.2">
      <c r="A414" t="s">
        <v>1352</v>
      </c>
      <c r="B414" t="s">
        <v>29</v>
      </c>
    </row>
    <row r="415" spans="1:2" x14ac:dyDescent="0.2">
      <c r="A415" t="s">
        <v>1353</v>
      </c>
      <c r="B415" t="s">
        <v>300</v>
      </c>
    </row>
    <row r="416" spans="1:2" x14ac:dyDescent="0.2">
      <c r="A416" t="s">
        <v>1353</v>
      </c>
      <c r="B416" t="s">
        <v>1106</v>
      </c>
    </row>
    <row r="417" spans="1:2" x14ac:dyDescent="0.2">
      <c r="A417" t="s">
        <v>1350</v>
      </c>
      <c r="B417" t="s">
        <v>464</v>
      </c>
    </row>
    <row r="418" spans="1:2" x14ac:dyDescent="0.2">
      <c r="A418" t="s">
        <v>1351</v>
      </c>
      <c r="B418" t="s">
        <v>1184</v>
      </c>
    </row>
    <row r="419" spans="1:2" x14ac:dyDescent="0.2">
      <c r="A419" t="s">
        <v>1352</v>
      </c>
      <c r="B419" t="s">
        <v>1223</v>
      </c>
    </row>
    <row r="420" spans="1:2" x14ac:dyDescent="0.2">
      <c r="A420" t="s">
        <v>1353</v>
      </c>
      <c r="B420" t="s">
        <v>776</v>
      </c>
    </row>
    <row r="421" spans="1:2" x14ac:dyDescent="0.2">
      <c r="A421" t="s">
        <v>1350</v>
      </c>
      <c r="B421" t="s">
        <v>1258</v>
      </c>
    </row>
    <row r="422" spans="1:2" x14ac:dyDescent="0.2">
      <c r="A422" t="s">
        <v>1351</v>
      </c>
      <c r="B422" t="s">
        <v>234</v>
      </c>
    </row>
    <row r="423" spans="1:2" x14ac:dyDescent="0.2">
      <c r="A423" t="s">
        <v>1350</v>
      </c>
      <c r="B423" t="s">
        <v>1005</v>
      </c>
    </row>
    <row r="424" spans="1:2" x14ac:dyDescent="0.2">
      <c r="A424" t="s">
        <v>1352</v>
      </c>
      <c r="B424" t="s">
        <v>124</v>
      </c>
    </row>
    <row r="425" spans="1:2" x14ac:dyDescent="0.2">
      <c r="A425" t="s">
        <v>1353</v>
      </c>
      <c r="B425" t="s">
        <v>282</v>
      </c>
    </row>
    <row r="426" spans="1:2" x14ac:dyDescent="0.2">
      <c r="A426" t="s">
        <v>1350</v>
      </c>
      <c r="B426" t="s">
        <v>256</v>
      </c>
    </row>
    <row r="427" spans="1:2" x14ac:dyDescent="0.2">
      <c r="A427" t="s">
        <v>1351</v>
      </c>
      <c r="B427" t="s">
        <v>1142</v>
      </c>
    </row>
    <row r="428" spans="1:2" x14ac:dyDescent="0.2">
      <c r="A428" t="s">
        <v>1352</v>
      </c>
      <c r="B428" t="s">
        <v>330</v>
      </c>
    </row>
    <row r="429" spans="1:2" x14ac:dyDescent="0.2">
      <c r="A429" t="s">
        <v>1350</v>
      </c>
      <c r="B429" t="s">
        <v>754</v>
      </c>
    </row>
    <row r="430" spans="1:2" x14ac:dyDescent="0.2">
      <c r="A430" t="s">
        <v>1352</v>
      </c>
      <c r="B430" t="s">
        <v>961</v>
      </c>
    </row>
    <row r="431" spans="1:2" x14ac:dyDescent="0.2">
      <c r="A431" t="s">
        <v>1350</v>
      </c>
      <c r="B431" t="s">
        <v>959</v>
      </c>
    </row>
    <row r="432" spans="1:2" x14ac:dyDescent="0.2">
      <c r="A432" t="s">
        <v>1351</v>
      </c>
      <c r="B432" t="s">
        <v>582</v>
      </c>
    </row>
    <row r="433" spans="1:2" x14ac:dyDescent="0.2">
      <c r="A433" t="s">
        <v>1350</v>
      </c>
      <c r="B433" t="s">
        <v>579</v>
      </c>
    </row>
    <row r="434" spans="1:2" x14ac:dyDescent="0.2">
      <c r="A434" t="s">
        <v>1353</v>
      </c>
      <c r="B434" t="s">
        <v>543</v>
      </c>
    </row>
    <row r="435" spans="1:2" x14ac:dyDescent="0.2">
      <c r="A435" t="s">
        <v>1350</v>
      </c>
      <c r="B435" t="s">
        <v>498</v>
      </c>
    </row>
    <row r="436" spans="1:2" x14ac:dyDescent="0.2">
      <c r="A436" t="s">
        <v>1352</v>
      </c>
      <c r="B436" t="s">
        <v>1027</v>
      </c>
    </row>
    <row r="437" spans="1:2" x14ac:dyDescent="0.2">
      <c r="A437" t="s">
        <v>1353</v>
      </c>
      <c r="B437" t="s">
        <v>1101</v>
      </c>
    </row>
    <row r="438" spans="1:2" x14ac:dyDescent="0.2">
      <c r="A438" t="s">
        <v>1350</v>
      </c>
      <c r="B438" t="s">
        <v>567</v>
      </c>
    </row>
    <row r="439" spans="1:2" x14ac:dyDescent="0.2">
      <c r="A439" t="s">
        <v>1351</v>
      </c>
      <c r="B439" t="s">
        <v>1268</v>
      </c>
    </row>
    <row r="440" spans="1:2" x14ac:dyDescent="0.2">
      <c r="A440" t="s">
        <v>1352</v>
      </c>
      <c r="B440" t="s">
        <v>1011</v>
      </c>
    </row>
    <row r="441" spans="1:2" x14ac:dyDescent="0.2">
      <c r="A441" t="s">
        <v>1351</v>
      </c>
      <c r="B441" t="s">
        <v>1271</v>
      </c>
    </row>
    <row r="442" spans="1:2" x14ac:dyDescent="0.2">
      <c r="A442" t="s">
        <v>1352</v>
      </c>
      <c r="B442" t="s">
        <v>869</v>
      </c>
    </row>
    <row r="443" spans="1:2" x14ac:dyDescent="0.2">
      <c r="A443" t="s">
        <v>1353</v>
      </c>
      <c r="B443" t="s">
        <v>1111</v>
      </c>
    </row>
    <row r="444" spans="1:2" x14ac:dyDescent="0.2">
      <c r="A444" t="s">
        <v>1350</v>
      </c>
      <c r="B444" t="s">
        <v>486</v>
      </c>
    </row>
    <row r="445" spans="1:2" x14ac:dyDescent="0.2">
      <c r="A445" t="s">
        <v>1351</v>
      </c>
      <c r="B445" t="s">
        <v>739</v>
      </c>
    </row>
    <row r="446" spans="1:2" x14ac:dyDescent="0.2">
      <c r="A446" t="s">
        <v>1352</v>
      </c>
      <c r="B446" t="s">
        <v>701</v>
      </c>
    </row>
    <row r="447" spans="1:2" x14ac:dyDescent="0.2">
      <c r="A447" t="s">
        <v>1353</v>
      </c>
      <c r="B447" t="s">
        <v>1200</v>
      </c>
    </row>
    <row r="448" spans="1:2" x14ac:dyDescent="0.2">
      <c r="A448" t="s">
        <v>1350</v>
      </c>
      <c r="B448" t="s">
        <v>523</v>
      </c>
    </row>
    <row r="449" spans="1:2" x14ac:dyDescent="0.2">
      <c r="A449" t="s">
        <v>1351</v>
      </c>
      <c r="B449" t="s">
        <v>378</v>
      </c>
    </row>
    <row r="450" spans="1:2" x14ac:dyDescent="0.2">
      <c r="A450" t="s">
        <v>1352</v>
      </c>
      <c r="B450" t="s">
        <v>640</v>
      </c>
    </row>
    <row r="451" spans="1:2" x14ac:dyDescent="0.2">
      <c r="A451" t="s">
        <v>1350</v>
      </c>
      <c r="B451" t="s">
        <v>31</v>
      </c>
    </row>
    <row r="452" spans="1:2" x14ac:dyDescent="0.2">
      <c r="A452" t="s">
        <v>1352</v>
      </c>
      <c r="B452" t="s">
        <v>983</v>
      </c>
    </row>
    <row r="453" spans="1:2" x14ac:dyDescent="0.2">
      <c r="A453" t="s">
        <v>1350</v>
      </c>
      <c r="B453" t="s">
        <v>493</v>
      </c>
    </row>
    <row r="454" spans="1:2" x14ac:dyDescent="0.2">
      <c r="A454" t="s">
        <v>1352</v>
      </c>
      <c r="B454" t="s">
        <v>31</v>
      </c>
    </row>
    <row r="455" spans="1:2" x14ac:dyDescent="0.2">
      <c r="A455" t="s">
        <v>1350</v>
      </c>
      <c r="B455" t="s">
        <v>336</v>
      </c>
    </row>
    <row r="456" spans="1:2" x14ac:dyDescent="0.2">
      <c r="A456" t="s">
        <v>1351</v>
      </c>
      <c r="B456" t="s">
        <v>323</v>
      </c>
    </row>
    <row r="457" spans="1:2" x14ac:dyDescent="0.2">
      <c r="A457" t="s">
        <v>1352</v>
      </c>
      <c r="B457" t="s">
        <v>920</v>
      </c>
    </row>
    <row r="458" spans="1:2" x14ac:dyDescent="0.2">
      <c r="A458" t="s">
        <v>1353</v>
      </c>
      <c r="B458" t="s">
        <v>908</v>
      </c>
    </row>
    <row r="459" spans="1:2" x14ac:dyDescent="0.2">
      <c r="A459" t="s">
        <v>1350</v>
      </c>
      <c r="B459" t="s">
        <v>1194</v>
      </c>
    </row>
    <row r="460" spans="1:2" x14ac:dyDescent="0.2">
      <c r="A460" t="s">
        <v>1353</v>
      </c>
      <c r="B460" t="s">
        <v>343</v>
      </c>
    </row>
    <row r="461" spans="1:2" x14ac:dyDescent="0.2">
      <c r="A461" t="s">
        <v>1350</v>
      </c>
      <c r="B461" t="s">
        <v>1282</v>
      </c>
    </row>
    <row r="462" spans="1:2" x14ac:dyDescent="0.2">
      <c r="A462" t="s">
        <v>1352</v>
      </c>
      <c r="B462" t="s">
        <v>336</v>
      </c>
    </row>
    <row r="463" spans="1:2" x14ac:dyDescent="0.2">
      <c r="A463" t="s">
        <v>1353</v>
      </c>
      <c r="B463" t="s">
        <v>835</v>
      </c>
    </row>
    <row r="464" spans="1:2" x14ac:dyDescent="0.2">
      <c r="A464" t="s">
        <v>1350</v>
      </c>
      <c r="B464" t="s">
        <v>1183</v>
      </c>
    </row>
    <row r="465" spans="1:2" x14ac:dyDescent="0.2">
      <c r="A465" t="s">
        <v>1352</v>
      </c>
      <c r="B465" t="s">
        <v>932</v>
      </c>
    </row>
    <row r="466" spans="1:2" x14ac:dyDescent="0.2">
      <c r="A466" t="s">
        <v>1351</v>
      </c>
      <c r="B466" t="s">
        <v>1269</v>
      </c>
    </row>
    <row r="467" spans="1:2" x14ac:dyDescent="0.2">
      <c r="A467" t="s">
        <v>1353</v>
      </c>
      <c r="B467" t="s">
        <v>1166</v>
      </c>
    </row>
    <row r="468" spans="1:2" x14ac:dyDescent="0.2">
      <c r="A468" t="s">
        <v>1350</v>
      </c>
      <c r="B468" t="s">
        <v>1268</v>
      </c>
    </row>
    <row r="469" spans="1:2" x14ac:dyDescent="0.2">
      <c r="A469" t="s">
        <v>1351</v>
      </c>
      <c r="B469" t="s">
        <v>655</v>
      </c>
    </row>
    <row r="470" spans="1:2" x14ac:dyDescent="0.2">
      <c r="A470" t="s">
        <v>1350</v>
      </c>
      <c r="B470" t="s">
        <v>988</v>
      </c>
    </row>
    <row r="471" spans="1:2" x14ac:dyDescent="0.2">
      <c r="A471" t="s">
        <v>1350</v>
      </c>
      <c r="B471" t="s">
        <v>405</v>
      </c>
    </row>
    <row r="472" spans="1:2" x14ac:dyDescent="0.2">
      <c r="A472" t="s">
        <v>1351</v>
      </c>
      <c r="B472" t="s">
        <v>309</v>
      </c>
    </row>
    <row r="473" spans="1:2" x14ac:dyDescent="0.2">
      <c r="A473" t="s">
        <v>1352</v>
      </c>
      <c r="B473" t="s">
        <v>131</v>
      </c>
    </row>
    <row r="474" spans="1:2" x14ac:dyDescent="0.2">
      <c r="A474" t="s">
        <v>1350</v>
      </c>
      <c r="B474" t="s">
        <v>468</v>
      </c>
    </row>
    <row r="475" spans="1:2" x14ac:dyDescent="0.2">
      <c r="A475" t="s">
        <v>1351</v>
      </c>
      <c r="B475" t="s">
        <v>213</v>
      </c>
    </row>
    <row r="476" spans="1:2" x14ac:dyDescent="0.2">
      <c r="A476" t="s">
        <v>1353</v>
      </c>
      <c r="B476" t="s">
        <v>804</v>
      </c>
    </row>
    <row r="477" spans="1:2" x14ac:dyDescent="0.2">
      <c r="A477" t="s">
        <v>1351</v>
      </c>
      <c r="B477" t="s">
        <v>1101</v>
      </c>
    </row>
    <row r="478" spans="1:2" x14ac:dyDescent="0.2">
      <c r="A478" t="s">
        <v>1352</v>
      </c>
      <c r="B478" t="s">
        <v>381</v>
      </c>
    </row>
    <row r="479" spans="1:2" x14ac:dyDescent="0.2">
      <c r="A479" t="s">
        <v>1350</v>
      </c>
      <c r="B479" t="s">
        <v>975</v>
      </c>
    </row>
    <row r="480" spans="1:2" x14ac:dyDescent="0.2">
      <c r="A480" t="s">
        <v>1351</v>
      </c>
      <c r="B480" t="s">
        <v>815</v>
      </c>
    </row>
    <row r="481" spans="1:2" x14ac:dyDescent="0.2">
      <c r="A481" t="s">
        <v>1353</v>
      </c>
      <c r="B481" t="s">
        <v>224</v>
      </c>
    </row>
    <row r="482" spans="1:2" x14ac:dyDescent="0.2">
      <c r="A482" t="s">
        <v>1351</v>
      </c>
      <c r="B482" t="s">
        <v>897</v>
      </c>
    </row>
    <row r="483" spans="1:2" x14ac:dyDescent="0.2">
      <c r="A483" t="s">
        <v>1352</v>
      </c>
      <c r="B483" t="s">
        <v>972</v>
      </c>
    </row>
    <row r="484" spans="1:2" x14ac:dyDescent="0.2">
      <c r="A484" t="s">
        <v>1350</v>
      </c>
      <c r="B484" t="s">
        <v>1095</v>
      </c>
    </row>
    <row r="485" spans="1:2" x14ac:dyDescent="0.2">
      <c r="A485" t="s">
        <v>1351</v>
      </c>
      <c r="B485" t="s">
        <v>298</v>
      </c>
    </row>
    <row r="486" spans="1:2" x14ac:dyDescent="0.2">
      <c r="A486" t="s">
        <v>1352</v>
      </c>
      <c r="B486" t="s">
        <v>234</v>
      </c>
    </row>
    <row r="487" spans="1:2" x14ac:dyDescent="0.2">
      <c r="A487" t="s">
        <v>1350</v>
      </c>
      <c r="B487" t="s">
        <v>582</v>
      </c>
    </row>
    <row r="488" spans="1:2" x14ac:dyDescent="0.2">
      <c r="A488" t="s">
        <v>1351</v>
      </c>
      <c r="B488" t="s">
        <v>838</v>
      </c>
    </row>
    <row r="489" spans="1:2" x14ac:dyDescent="0.2">
      <c r="A489" t="s">
        <v>1350</v>
      </c>
      <c r="B489" t="s">
        <v>1125</v>
      </c>
    </row>
    <row r="490" spans="1:2" x14ac:dyDescent="0.2">
      <c r="A490" t="s">
        <v>1353</v>
      </c>
      <c r="B490" t="s">
        <v>486</v>
      </c>
    </row>
    <row r="491" spans="1:2" x14ac:dyDescent="0.2">
      <c r="A491" t="s">
        <v>1350</v>
      </c>
      <c r="B491" t="s">
        <v>690</v>
      </c>
    </row>
    <row r="492" spans="1:2" x14ac:dyDescent="0.2">
      <c r="A492" t="s">
        <v>1352</v>
      </c>
      <c r="B492" t="s">
        <v>998</v>
      </c>
    </row>
    <row r="493" spans="1:2" x14ac:dyDescent="0.2">
      <c r="A493" t="s">
        <v>1351</v>
      </c>
      <c r="B493" t="s">
        <v>363</v>
      </c>
    </row>
    <row r="494" spans="1:2" x14ac:dyDescent="0.2">
      <c r="A494" t="s">
        <v>1350</v>
      </c>
      <c r="B494" t="s">
        <v>305</v>
      </c>
    </row>
    <row r="495" spans="1:2" x14ac:dyDescent="0.2">
      <c r="A495" t="s">
        <v>1351</v>
      </c>
      <c r="B495" t="s">
        <v>286</v>
      </c>
    </row>
    <row r="496" spans="1:2" x14ac:dyDescent="0.2">
      <c r="A496" t="s">
        <v>1353</v>
      </c>
      <c r="B496" t="s">
        <v>772</v>
      </c>
    </row>
    <row r="497" spans="1:2" x14ac:dyDescent="0.2">
      <c r="A497" t="s">
        <v>1350</v>
      </c>
      <c r="B497" t="s">
        <v>1213</v>
      </c>
    </row>
    <row r="498" spans="1:2" x14ac:dyDescent="0.2">
      <c r="A498" t="s">
        <v>1352</v>
      </c>
      <c r="B498" t="s">
        <v>527</v>
      </c>
    </row>
    <row r="499" spans="1:2" x14ac:dyDescent="0.2">
      <c r="A499" t="s">
        <v>1350</v>
      </c>
      <c r="B499" t="s">
        <v>996</v>
      </c>
    </row>
    <row r="500" spans="1:2" x14ac:dyDescent="0.2">
      <c r="A500" t="s">
        <v>1353</v>
      </c>
      <c r="B500" t="s">
        <v>1292</v>
      </c>
    </row>
    <row r="501" spans="1:2" x14ac:dyDescent="0.2">
      <c r="A501" t="s">
        <v>1350</v>
      </c>
      <c r="B501" t="s">
        <v>359</v>
      </c>
    </row>
    <row r="502" spans="1:2" x14ac:dyDescent="0.2">
      <c r="A502" t="s">
        <v>1351</v>
      </c>
      <c r="B502" t="s">
        <v>241</v>
      </c>
    </row>
    <row r="503" spans="1:2" x14ac:dyDescent="0.2">
      <c r="A503" t="s">
        <v>1350</v>
      </c>
      <c r="B503" t="s">
        <v>914</v>
      </c>
    </row>
    <row r="504" spans="1:2" x14ac:dyDescent="0.2">
      <c r="A504" t="s">
        <v>1351</v>
      </c>
      <c r="B504" t="s">
        <v>178</v>
      </c>
    </row>
    <row r="505" spans="1:2" x14ac:dyDescent="0.2">
      <c r="A505" t="s">
        <v>1352</v>
      </c>
      <c r="B505" t="s">
        <v>319</v>
      </c>
    </row>
    <row r="506" spans="1:2" x14ac:dyDescent="0.2">
      <c r="A506" t="s">
        <v>1353</v>
      </c>
      <c r="B506" t="s">
        <v>1251</v>
      </c>
    </row>
    <row r="507" spans="1:2" x14ac:dyDescent="0.2">
      <c r="A507" t="s">
        <v>1353</v>
      </c>
      <c r="B507" t="s">
        <v>627</v>
      </c>
    </row>
    <row r="508" spans="1:2" x14ac:dyDescent="0.2">
      <c r="A508" t="s">
        <v>1353</v>
      </c>
      <c r="B508" t="s">
        <v>1301</v>
      </c>
    </row>
    <row r="509" spans="1:2" x14ac:dyDescent="0.2">
      <c r="A509" t="s">
        <v>1350</v>
      </c>
      <c r="B509" t="s">
        <v>1302</v>
      </c>
    </row>
    <row r="510" spans="1:2" x14ac:dyDescent="0.2">
      <c r="A510" t="s">
        <v>1352</v>
      </c>
      <c r="B510" t="s">
        <v>1029</v>
      </c>
    </row>
    <row r="511" spans="1:2" x14ac:dyDescent="0.2">
      <c r="A511" t="s">
        <v>1350</v>
      </c>
      <c r="B511" t="s">
        <v>706</v>
      </c>
    </row>
    <row r="512" spans="1:2" x14ac:dyDescent="0.2">
      <c r="A512" t="s">
        <v>1351</v>
      </c>
      <c r="B512" t="s">
        <v>831</v>
      </c>
    </row>
    <row r="513" spans="1:2" x14ac:dyDescent="0.2">
      <c r="A513" t="s">
        <v>1352</v>
      </c>
      <c r="B513" t="s">
        <v>1102</v>
      </c>
    </row>
    <row r="514" spans="1:2" x14ac:dyDescent="0.2">
      <c r="A514" t="s">
        <v>1350</v>
      </c>
      <c r="B514" t="s">
        <v>617</v>
      </c>
    </row>
    <row r="515" spans="1:2" x14ac:dyDescent="0.2">
      <c r="A515" t="s">
        <v>1350</v>
      </c>
      <c r="B515" t="s">
        <v>1279</v>
      </c>
    </row>
    <row r="516" spans="1:2" x14ac:dyDescent="0.2">
      <c r="A516" t="s">
        <v>1351</v>
      </c>
      <c r="B516" t="s">
        <v>581</v>
      </c>
    </row>
    <row r="517" spans="1:2" x14ac:dyDescent="0.2">
      <c r="A517" t="s">
        <v>1353</v>
      </c>
      <c r="B517" t="s">
        <v>1205</v>
      </c>
    </row>
    <row r="518" spans="1:2" x14ac:dyDescent="0.2">
      <c r="A518" t="s">
        <v>1352</v>
      </c>
      <c r="B518" t="s">
        <v>477</v>
      </c>
    </row>
    <row r="519" spans="1:2" x14ac:dyDescent="0.2">
      <c r="A519" t="s">
        <v>1350</v>
      </c>
      <c r="B519" t="s">
        <v>1242</v>
      </c>
    </row>
    <row r="520" spans="1:2" x14ac:dyDescent="0.2">
      <c r="A520" t="s">
        <v>1352</v>
      </c>
      <c r="B520" t="s">
        <v>213</v>
      </c>
    </row>
    <row r="521" spans="1:2" x14ac:dyDescent="0.2">
      <c r="A521" t="s">
        <v>1353</v>
      </c>
      <c r="B521" t="s">
        <v>871</v>
      </c>
    </row>
    <row r="522" spans="1:2" x14ac:dyDescent="0.2">
      <c r="A522" t="s">
        <v>1350</v>
      </c>
      <c r="B522" t="s">
        <v>1195</v>
      </c>
    </row>
    <row r="523" spans="1:2" x14ac:dyDescent="0.2">
      <c r="A523" t="s">
        <v>1352</v>
      </c>
      <c r="B523" t="s">
        <v>295</v>
      </c>
    </row>
    <row r="524" spans="1:2" x14ac:dyDescent="0.2">
      <c r="A524" t="s">
        <v>1352</v>
      </c>
      <c r="B524" t="s">
        <v>1167</v>
      </c>
    </row>
    <row r="525" spans="1:2" x14ac:dyDescent="0.2">
      <c r="A525" t="s">
        <v>1353</v>
      </c>
      <c r="B525" t="s">
        <v>1219</v>
      </c>
    </row>
    <row r="526" spans="1:2" x14ac:dyDescent="0.2">
      <c r="A526" t="s">
        <v>1350</v>
      </c>
      <c r="B526" t="s">
        <v>1074</v>
      </c>
    </row>
    <row r="527" spans="1:2" x14ac:dyDescent="0.2">
      <c r="A527" t="s">
        <v>1351</v>
      </c>
      <c r="B527" t="s">
        <v>1071</v>
      </c>
    </row>
    <row r="528" spans="1:2" x14ac:dyDescent="0.2">
      <c r="A528" t="s">
        <v>1352</v>
      </c>
      <c r="B528" t="s">
        <v>1207</v>
      </c>
    </row>
    <row r="529" spans="1:2" x14ac:dyDescent="0.2">
      <c r="A529" t="s">
        <v>1353</v>
      </c>
      <c r="B529" t="s">
        <v>849</v>
      </c>
    </row>
    <row r="530" spans="1:2" x14ac:dyDescent="0.2">
      <c r="A530" t="s">
        <v>1351</v>
      </c>
      <c r="B530" t="s">
        <v>303</v>
      </c>
    </row>
    <row r="531" spans="1:2" x14ac:dyDescent="0.2">
      <c r="A531" t="s">
        <v>1352</v>
      </c>
      <c r="B531" t="s">
        <v>510</v>
      </c>
    </row>
    <row r="532" spans="1:2" x14ac:dyDescent="0.2">
      <c r="A532" t="s">
        <v>1353</v>
      </c>
      <c r="B532" t="s">
        <v>895</v>
      </c>
    </row>
    <row r="533" spans="1:2" x14ac:dyDescent="0.2">
      <c r="A533" t="s">
        <v>1350</v>
      </c>
      <c r="B533" t="s">
        <v>146</v>
      </c>
    </row>
    <row r="534" spans="1:2" x14ac:dyDescent="0.2">
      <c r="A534" t="s">
        <v>1350</v>
      </c>
      <c r="B534" t="s">
        <v>614</v>
      </c>
    </row>
    <row r="535" spans="1:2" x14ac:dyDescent="0.2">
      <c r="A535" t="s">
        <v>1352</v>
      </c>
      <c r="B535" t="s">
        <v>1097</v>
      </c>
    </row>
    <row r="536" spans="1:2" x14ac:dyDescent="0.2">
      <c r="A536" t="s">
        <v>1350</v>
      </c>
      <c r="B536" t="s">
        <v>1170</v>
      </c>
    </row>
    <row r="537" spans="1:2" x14ac:dyDescent="0.2">
      <c r="A537" t="s">
        <v>1353</v>
      </c>
      <c r="B537" t="s">
        <v>982</v>
      </c>
    </row>
    <row r="538" spans="1:2" x14ac:dyDescent="0.2">
      <c r="A538" t="s">
        <v>1350</v>
      </c>
      <c r="B538" t="s">
        <v>1067</v>
      </c>
    </row>
    <row r="539" spans="1:2" x14ac:dyDescent="0.2">
      <c r="A539" t="s">
        <v>1351</v>
      </c>
      <c r="B539" t="s">
        <v>224</v>
      </c>
    </row>
    <row r="540" spans="1:2" x14ac:dyDescent="0.2">
      <c r="A540" t="s">
        <v>1352</v>
      </c>
      <c r="B540" t="s">
        <v>1232</v>
      </c>
    </row>
    <row r="541" spans="1:2" x14ac:dyDescent="0.2">
      <c r="A541" t="s">
        <v>1353</v>
      </c>
      <c r="B541" t="s">
        <v>1120</v>
      </c>
    </row>
    <row r="542" spans="1:2" x14ac:dyDescent="0.2">
      <c r="A542" t="s">
        <v>1351</v>
      </c>
      <c r="B542" t="s">
        <v>794</v>
      </c>
    </row>
    <row r="543" spans="1:2" x14ac:dyDescent="0.2">
      <c r="A543" t="s">
        <v>1352</v>
      </c>
      <c r="B543" t="s">
        <v>1132</v>
      </c>
    </row>
    <row r="544" spans="1:2" x14ac:dyDescent="0.2">
      <c r="A544" t="s">
        <v>1353</v>
      </c>
      <c r="B544" t="s">
        <v>1210</v>
      </c>
    </row>
    <row r="545" spans="1:2" x14ac:dyDescent="0.2">
      <c r="A545" t="s">
        <v>1352</v>
      </c>
      <c r="B545" t="s">
        <v>1030</v>
      </c>
    </row>
    <row r="546" spans="1:2" x14ac:dyDescent="0.2">
      <c r="A546" t="s">
        <v>1353</v>
      </c>
      <c r="B546" t="s">
        <v>1269</v>
      </c>
    </row>
    <row r="547" spans="1:2" x14ac:dyDescent="0.2">
      <c r="A547" t="s">
        <v>1350</v>
      </c>
      <c r="B547" t="s">
        <v>254</v>
      </c>
    </row>
    <row r="548" spans="1:2" x14ac:dyDescent="0.2">
      <c r="A548" t="s">
        <v>1352</v>
      </c>
      <c r="B548" t="s">
        <v>708</v>
      </c>
    </row>
    <row r="549" spans="1:2" x14ac:dyDescent="0.2">
      <c r="A549" t="s">
        <v>1351</v>
      </c>
      <c r="B549" t="s">
        <v>1139</v>
      </c>
    </row>
    <row r="550" spans="1:2" x14ac:dyDescent="0.2">
      <c r="A550" t="s">
        <v>1352</v>
      </c>
      <c r="B550" t="s">
        <v>586</v>
      </c>
    </row>
    <row r="551" spans="1:2" x14ac:dyDescent="0.2">
      <c r="A551" t="s">
        <v>1350</v>
      </c>
      <c r="B551" t="s">
        <v>1117</v>
      </c>
    </row>
    <row r="552" spans="1:2" x14ac:dyDescent="0.2">
      <c r="A552" t="s">
        <v>1351</v>
      </c>
      <c r="B552" t="s">
        <v>1258</v>
      </c>
    </row>
    <row r="553" spans="1:2" x14ac:dyDescent="0.2">
      <c r="A553" t="s">
        <v>1352</v>
      </c>
      <c r="B553" t="s">
        <v>843</v>
      </c>
    </row>
    <row r="554" spans="1:2" x14ac:dyDescent="0.2">
      <c r="A554" t="s">
        <v>1353</v>
      </c>
      <c r="B554" t="s">
        <v>1090</v>
      </c>
    </row>
    <row r="555" spans="1:2" x14ac:dyDescent="0.2">
      <c r="A555" t="s">
        <v>1350</v>
      </c>
      <c r="B555" t="s">
        <v>624</v>
      </c>
    </row>
    <row r="556" spans="1:2" x14ac:dyDescent="0.2">
      <c r="A556" t="s">
        <v>1352</v>
      </c>
      <c r="B556" t="s">
        <v>658</v>
      </c>
    </row>
    <row r="557" spans="1:2" x14ac:dyDescent="0.2">
      <c r="A557" t="s">
        <v>1350</v>
      </c>
      <c r="B557" t="s">
        <v>729</v>
      </c>
    </row>
    <row r="558" spans="1:2" x14ac:dyDescent="0.2">
      <c r="A558" t="s">
        <v>1351</v>
      </c>
      <c r="B558" t="s">
        <v>1209</v>
      </c>
    </row>
    <row r="559" spans="1:2" x14ac:dyDescent="0.2">
      <c r="A559" t="s">
        <v>1352</v>
      </c>
      <c r="B559" t="s">
        <v>707</v>
      </c>
    </row>
    <row r="560" spans="1:2" x14ac:dyDescent="0.2">
      <c r="A560" t="s">
        <v>1353</v>
      </c>
      <c r="B560" t="s">
        <v>556</v>
      </c>
    </row>
    <row r="561" spans="1:2" x14ac:dyDescent="0.2">
      <c r="A561" t="s">
        <v>1353</v>
      </c>
      <c r="B561" t="s">
        <v>1016</v>
      </c>
    </row>
    <row r="562" spans="1:2" x14ac:dyDescent="0.2">
      <c r="A562" t="s">
        <v>1350</v>
      </c>
      <c r="B562" t="s">
        <v>1313</v>
      </c>
    </row>
    <row r="563" spans="1:2" x14ac:dyDescent="0.2">
      <c r="A563" t="s">
        <v>1351</v>
      </c>
      <c r="B563" t="s">
        <v>1055</v>
      </c>
    </row>
    <row r="564" spans="1:2" x14ac:dyDescent="0.2">
      <c r="A564" t="s">
        <v>1350</v>
      </c>
      <c r="B564" t="s">
        <v>812</v>
      </c>
    </row>
    <row r="565" spans="1:2" x14ac:dyDescent="0.2">
      <c r="A565" t="s">
        <v>1351</v>
      </c>
      <c r="B565" t="s">
        <v>485</v>
      </c>
    </row>
    <row r="566" spans="1:2" x14ac:dyDescent="0.2">
      <c r="A566" t="s">
        <v>1352</v>
      </c>
      <c r="B566" t="s">
        <v>539</v>
      </c>
    </row>
    <row r="567" spans="1:2" x14ac:dyDescent="0.2">
      <c r="A567" t="s">
        <v>1350</v>
      </c>
      <c r="B567" t="s">
        <v>979</v>
      </c>
    </row>
    <row r="568" spans="1:2" x14ac:dyDescent="0.2">
      <c r="A568" t="s">
        <v>1351</v>
      </c>
      <c r="B568" t="s">
        <v>166</v>
      </c>
    </row>
    <row r="569" spans="1:2" x14ac:dyDescent="0.2">
      <c r="A569" t="s">
        <v>1350</v>
      </c>
      <c r="B569" t="s">
        <v>510</v>
      </c>
    </row>
    <row r="570" spans="1:2" x14ac:dyDescent="0.2">
      <c r="A570" t="s">
        <v>1351</v>
      </c>
      <c r="B570" t="s">
        <v>147</v>
      </c>
    </row>
    <row r="571" spans="1:2" x14ac:dyDescent="0.2">
      <c r="A571" t="s">
        <v>1353</v>
      </c>
      <c r="B571" t="s">
        <v>640</v>
      </c>
    </row>
    <row r="572" spans="1:2" x14ac:dyDescent="0.2">
      <c r="A572" t="s">
        <v>1352</v>
      </c>
      <c r="B572" t="s">
        <v>561</v>
      </c>
    </row>
    <row r="573" spans="1:2" x14ac:dyDescent="0.2">
      <c r="A573" t="s">
        <v>1353</v>
      </c>
      <c r="B573" t="s">
        <v>656</v>
      </c>
    </row>
    <row r="574" spans="1:2" x14ac:dyDescent="0.2">
      <c r="A574" t="s">
        <v>1351</v>
      </c>
      <c r="B574" t="s">
        <v>1290</v>
      </c>
    </row>
    <row r="575" spans="1:2" x14ac:dyDescent="0.2">
      <c r="A575" t="s">
        <v>1350</v>
      </c>
      <c r="B575" t="s">
        <v>572</v>
      </c>
    </row>
    <row r="576" spans="1:2" x14ac:dyDescent="0.2">
      <c r="A576" t="s">
        <v>1351</v>
      </c>
      <c r="B576" t="s">
        <v>934</v>
      </c>
    </row>
    <row r="577" spans="1:2" x14ac:dyDescent="0.2">
      <c r="A577" t="s">
        <v>1353</v>
      </c>
      <c r="B577" t="s">
        <v>1091</v>
      </c>
    </row>
    <row r="578" spans="1:2" x14ac:dyDescent="0.2">
      <c r="A578" t="s">
        <v>1351</v>
      </c>
      <c r="B578" t="s">
        <v>1076</v>
      </c>
    </row>
    <row r="579" spans="1:2" x14ac:dyDescent="0.2">
      <c r="A579" t="s">
        <v>1352</v>
      </c>
      <c r="B579" t="s">
        <v>91</v>
      </c>
    </row>
    <row r="580" spans="1:2" x14ac:dyDescent="0.2">
      <c r="A580" t="s">
        <v>1350</v>
      </c>
      <c r="B580" t="s">
        <v>636</v>
      </c>
    </row>
    <row r="581" spans="1:2" x14ac:dyDescent="0.2">
      <c r="A581" t="s">
        <v>1351</v>
      </c>
      <c r="B581" t="s">
        <v>872</v>
      </c>
    </row>
    <row r="582" spans="1:2" x14ac:dyDescent="0.2">
      <c r="A582" t="s">
        <v>1353</v>
      </c>
      <c r="B582" t="s">
        <v>1286</v>
      </c>
    </row>
    <row r="583" spans="1:2" x14ac:dyDescent="0.2">
      <c r="A583" t="s">
        <v>1350</v>
      </c>
      <c r="B583" t="s">
        <v>186</v>
      </c>
    </row>
    <row r="584" spans="1:2" x14ac:dyDescent="0.2">
      <c r="A584" t="s">
        <v>1353</v>
      </c>
      <c r="B584" t="s">
        <v>566</v>
      </c>
    </row>
    <row r="585" spans="1:2" x14ac:dyDescent="0.2">
      <c r="A585" t="s">
        <v>1351</v>
      </c>
      <c r="B585" t="s">
        <v>1293</v>
      </c>
    </row>
    <row r="586" spans="1:2" x14ac:dyDescent="0.2">
      <c r="A586" t="s">
        <v>1350</v>
      </c>
      <c r="B586" t="s">
        <v>895</v>
      </c>
    </row>
    <row r="587" spans="1:2" x14ac:dyDescent="0.2">
      <c r="A587" t="s">
        <v>1352</v>
      </c>
      <c r="B587" t="s">
        <v>1319</v>
      </c>
    </row>
    <row r="588" spans="1:2" x14ac:dyDescent="0.2">
      <c r="A588" t="s">
        <v>1351</v>
      </c>
      <c r="B588" t="s">
        <v>1304</v>
      </c>
    </row>
    <row r="589" spans="1:2" x14ac:dyDescent="0.2">
      <c r="A589" t="s">
        <v>1353</v>
      </c>
      <c r="B589" t="s">
        <v>796</v>
      </c>
    </row>
    <row r="590" spans="1:2" x14ac:dyDescent="0.2">
      <c r="A590" t="s">
        <v>1353</v>
      </c>
      <c r="B590" t="s">
        <v>1127</v>
      </c>
    </row>
    <row r="591" spans="1:2" x14ac:dyDescent="0.2">
      <c r="A591" t="s">
        <v>1352</v>
      </c>
      <c r="B591" t="s">
        <v>1257</v>
      </c>
    </row>
    <row r="592" spans="1:2" x14ac:dyDescent="0.2">
      <c r="A592" t="s">
        <v>1350</v>
      </c>
      <c r="B592" t="s">
        <v>568</v>
      </c>
    </row>
    <row r="593" spans="1:2" x14ac:dyDescent="0.2">
      <c r="A593" t="s">
        <v>1352</v>
      </c>
      <c r="B593" t="s">
        <v>243</v>
      </c>
    </row>
    <row r="594" spans="1:2" x14ac:dyDescent="0.2">
      <c r="A594" t="s">
        <v>1351</v>
      </c>
      <c r="B594" t="s">
        <v>141</v>
      </c>
    </row>
    <row r="595" spans="1:2" x14ac:dyDescent="0.2">
      <c r="A595" t="s">
        <v>1350</v>
      </c>
      <c r="B595" t="s">
        <v>606</v>
      </c>
    </row>
    <row r="596" spans="1:2" x14ac:dyDescent="0.2">
      <c r="A596" t="s">
        <v>1353</v>
      </c>
      <c r="B596" t="s">
        <v>1320</v>
      </c>
    </row>
    <row r="597" spans="1:2" x14ac:dyDescent="0.2">
      <c r="A597" t="s">
        <v>1350</v>
      </c>
      <c r="B597" t="s">
        <v>378</v>
      </c>
    </row>
    <row r="598" spans="1:2" x14ac:dyDescent="0.2">
      <c r="A598" t="s">
        <v>1352</v>
      </c>
      <c r="B598" t="s">
        <v>383</v>
      </c>
    </row>
    <row r="599" spans="1:2" x14ac:dyDescent="0.2">
      <c r="A599" t="s">
        <v>1351</v>
      </c>
      <c r="B599" t="s">
        <v>1204</v>
      </c>
    </row>
    <row r="600" spans="1:2" x14ac:dyDescent="0.2">
      <c r="A600" t="s">
        <v>1353</v>
      </c>
      <c r="B600" t="s">
        <v>753</v>
      </c>
    </row>
    <row r="601" spans="1:2" x14ac:dyDescent="0.2">
      <c r="A601" t="s">
        <v>1353</v>
      </c>
      <c r="B601" t="s">
        <v>1314</v>
      </c>
    </row>
    <row r="602" spans="1:2" x14ac:dyDescent="0.2">
      <c r="A602" t="s">
        <v>1350</v>
      </c>
      <c r="B602" t="s">
        <v>259</v>
      </c>
    </row>
    <row r="603" spans="1:2" x14ac:dyDescent="0.2">
      <c r="A603" t="s">
        <v>1351</v>
      </c>
      <c r="B603" t="s">
        <v>1286</v>
      </c>
    </row>
    <row r="604" spans="1:2" x14ac:dyDescent="0.2">
      <c r="A604" t="s">
        <v>1351</v>
      </c>
      <c r="B604" t="s">
        <v>204</v>
      </c>
    </row>
    <row r="605" spans="1:2" x14ac:dyDescent="0.2">
      <c r="A605" t="s">
        <v>1351</v>
      </c>
      <c r="B605" t="s">
        <v>1302</v>
      </c>
    </row>
    <row r="606" spans="1:2" x14ac:dyDescent="0.2">
      <c r="A606" t="s">
        <v>1352</v>
      </c>
      <c r="B606" t="s">
        <v>931</v>
      </c>
    </row>
    <row r="607" spans="1:2" x14ac:dyDescent="0.2">
      <c r="A607" t="s">
        <v>1353</v>
      </c>
      <c r="B607" t="s">
        <v>277</v>
      </c>
    </row>
    <row r="608" spans="1:2" x14ac:dyDescent="0.2">
      <c r="A608" t="s">
        <v>1350</v>
      </c>
      <c r="B608" t="s">
        <v>1304</v>
      </c>
    </row>
    <row r="609" spans="1:2" x14ac:dyDescent="0.2">
      <c r="A609" t="s">
        <v>1351</v>
      </c>
      <c r="B609" t="s">
        <v>990</v>
      </c>
    </row>
    <row r="610" spans="1:2" x14ac:dyDescent="0.2">
      <c r="A610" t="s">
        <v>1350</v>
      </c>
      <c r="B610" t="s">
        <v>506</v>
      </c>
    </row>
    <row r="611" spans="1:2" x14ac:dyDescent="0.2">
      <c r="A611" t="s">
        <v>1351</v>
      </c>
      <c r="B611" t="s">
        <v>1284</v>
      </c>
    </row>
    <row r="612" spans="1:2" x14ac:dyDescent="0.2">
      <c r="A612" t="s">
        <v>1350</v>
      </c>
      <c r="B612" t="s">
        <v>569</v>
      </c>
    </row>
    <row r="613" spans="1:2" x14ac:dyDescent="0.2">
      <c r="A613" t="s">
        <v>1350</v>
      </c>
      <c r="B613" t="s">
        <v>272</v>
      </c>
    </row>
    <row r="614" spans="1:2" x14ac:dyDescent="0.2">
      <c r="A614" t="s">
        <v>1353</v>
      </c>
      <c r="B614" t="s">
        <v>526</v>
      </c>
    </row>
    <row r="615" spans="1:2" x14ac:dyDescent="0.2">
      <c r="A615" t="s">
        <v>1350</v>
      </c>
      <c r="B615" t="s">
        <v>1326</v>
      </c>
    </row>
    <row r="616" spans="1:2" x14ac:dyDescent="0.2">
      <c r="A616" t="s">
        <v>1350</v>
      </c>
      <c r="B616" t="s">
        <v>816</v>
      </c>
    </row>
    <row r="617" spans="1:2" x14ac:dyDescent="0.2">
      <c r="A617" t="s">
        <v>1351</v>
      </c>
      <c r="B617" t="s">
        <v>558</v>
      </c>
    </row>
    <row r="618" spans="1:2" x14ac:dyDescent="0.2">
      <c r="A618" t="s">
        <v>1351</v>
      </c>
      <c r="B618" t="s">
        <v>1151</v>
      </c>
    </row>
    <row r="619" spans="1:2" x14ac:dyDescent="0.2">
      <c r="A619" t="s">
        <v>1350</v>
      </c>
      <c r="B619" t="s">
        <v>1327</v>
      </c>
    </row>
    <row r="620" spans="1:2" x14ac:dyDescent="0.2">
      <c r="A620" t="s">
        <v>1353</v>
      </c>
      <c r="B620" t="s">
        <v>1097</v>
      </c>
    </row>
    <row r="621" spans="1:2" x14ac:dyDescent="0.2">
      <c r="A621" t="s">
        <v>1351</v>
      </c>
      <c r="B621" t="s">
        <v>387</v>
      </c>
    </row>
    <row r="622" spans="1:2" x14ac:dyDescent="0.2">
      <c r="A622" t="s">
        <v>1352</v>
      </c>
      <c r="B622" t="s">
        <v>578</v>
      </c>
    </row>
    <row r="623" spans="1:2" x14ac:dyDescent="0.2">
      <c r="A623" t="s">
        <v>1353</v>
      </c>
      <c r="B623" t="s">
        <v>1276</v>
      </c>
    </row>
    <row r="624" spans="1:2" x14ac:dyDescent="0.2">
      <c r="A624" t="s">
        <v>1350</v>
      </c>
      <c r="B624" t="s">
        <v>799</v>
      </c>
    </row>
    <row r="625" spans="1:2" x14ac:dyDescent="0.2">
      <c r="A625" t="s">
        <v>1351</v>
      </c>
      <c r="B625" t="s">
        <v>1241</v>
      </c>
    </row>
    <row r="626" spans="1:2" x14ac:dyDescent="0.2">
      <c r="A626" t="s">
        <v>1351</v>
      </c>
      <c r="B626" t="s">
        <v>1157</v>
      </c>
    </row>
    <row r="627" spans="1:2" x14ac:dyDescent="0.2">
      <c r="A627" t="s">
        <v>1352</v>
      </c>
      <c r="B627" t="s">
        <v>949</v>
      </c>
    </row>
    <row r="628" spans="1:2" x14ac:dyDescent="0.2">
      <c r="A628" t="s">
        <v>1350</v>
      </c>
      <c r="B628" t="s">
        <v>871</v>
      </c>
    </row>
    <row r="629" spans="1:2" x14ac:dyDescent="0.2">
      <c r="A629" t="s">
        <v>1353</v>
      </c>
      <c r="B629" t="s">
        <v>1055</v>
      </c>
    </row>
    <row r="630" spans="1:2" x14ac:dyDescent="0.2">
      <c r="A630" t="s">
        <v>1350</v>
      </c>
      <c r="B630" t="s">
        <v>147</v>
      </c>
    </row>
    <row r="631" spans="1:2" x14ac:dyDescent="0.2">
      <c r="A631" t="s">
        <v>1351</v>
      </c>
      <c r="B631" t="s">
        <v>816</v>
      </c>
    </row>
    <row r="632" spans="1:2" x14ac:dyDescent="0.2">
      <c r="A632" t="s">
        <v>1352</v>
      </c>
      <c r="B632" t="s">
        <v>220</v>
      </c>
    </row>
    <row r="633" spans="1:2" x14ac:dyDescent="0.2">
      <c r="A633" t="s">
        <v>1350</v>
      </c>
      <c r="B633" t="s">
        <v>563</v>
      </c>
    </row>
    <row r="634" spans="1:2" x14ac:dyDescent="0.2">
      <c r="A634" t="s">
        <v>1352</v>
      </c>
      <c r="B634" t="s">
        <v>169</v>
      </c>
    </row>
    <row r="635" spans="1:2" x14ac:dyDescent="0.2">
      <c r="A635" t="s">
        <v>1350</v>
      </c>
      <c r="B635" t="s">
        <v>755</v>
      </c>
    </row>
    <row r="636" spans="1:2" x14ac:dyDescent="0.2">
      <c r="A636" t="s">
        <v>1351</v>
      </c>
      <c r="B636" t="s">
        <v>106</v>
      </c>
    </row>
    <row r="637" spans="1:2" x14ac:dyDescent="0.2">
      <c r="A637" t="s">
        <v>1353</v>
      </c>
      <c r="B637" t="s">
        <v>1129</v>
      </c>
    </row>
    <row r="638" spans="1:2" x14ac:dyDescent="0.2">
      <c r="A638" t="s">
        <v>1350</v>
      </c>
      <c r="B638" t="s">
        <v>641</v>
      </c>
    </row>
    <row r="639" spans="1:2" x14ac:dyDescent="0.2">
      <c r="A639" t="s">
        <v>1351</v>
      </c>
      <c r="B639" t="s">
        <v>53</v>
      </c>
    </row>
    <row r="640" spans="1:2" x14ac:dyDescent="0.2">
      <c r="A640" t="s">
        <v>1352</v>
      </c>
      <c r="B640" t="s">
        <v>698</v>
      </c>
    </row>
    <row r="641" spans="1:2" x14ac:dyDescent="0.2">
      <c r="A641" t="s">
        <v>1353</v>
      </c>
      <c r="B641" t="s">
        <v>1197</v>
      </c>
    </row>
    <row r="642" spans="1:2" x14ac:dyDescent="0.2">
      <c r="A642" t="s">
        <v>1350</v>
      </c>
      <c r="B642" t="s">
        <v>867</v>
      </c>
    </row>
    <row r="643" spans="1:2" x14ac:dyDescent="0.2">
      <c r="A643" t="s">
        <v>1351</v>
      </c>
      <c r="B643" t="s">
        <v>865</v>
      </c>
    </row>
    <row r="644" spans="1:2" x14ac:dyDescent="0.2">
      <c r="A644" t="s">
        <v>1352</v>
      </c>
      <c r="B644" t="s">
        <v>646</v>
      </c>
    </row>
    <row r="645" spans="1:2" x14ac:dyDescent="0.2">
      <c r="A645" t="s">
        <v>1351</v>
      </c>
      <c r="B645" t="s">
        <v>806</v>
      </c>
    </row>
    <row r="646" spans="1:2" x14ac:dyDescent="0.2">
      <c r="A646" t="s">
        <v>1353</v>
      </c>
      <c r="B646" t="s">
        <v>602</v>
      </c>
    </row>
    <row r="647" spans="1:2" x14ac:dyDescent="0.2">
      <c r="A647" t="s">
        <v>1353</v>
      </c>
      <c r="B647" t="s">
        <v>448</v>
      </c>
    </row>
    <row r="648" spans="1:2" x14ac:dyDescent="0.2">
      <c r="A648" t="s">
        <v>1350</v>
      </c>
      <c r="B648" t="s">
        <v>940</v>
      </c>
    </row>
    <row r="649" spans="1:2" x14ac:dyDescent="0.2">
      <c r="A649" t="s">
        <v>1351</v>
      </c>
      <c r="B649" t="s">
        <v>1329</v>
      </c>
    </row>
    <row r="650" spans="1:2" x14ac:dyDescent="0.2">
      <c r="A650" t="s">
        <v>1350</v>
      </c>
      <c r="B650" t="s">
        <v>751</v>
      </c>
    </row>
    <row r="651" spans="1:2" x14ac:dyDescent="0.2">
      <c r="A651" t="s">
        <v>1351</v>
      </c>
      <c r="B651" t="s">
        <v>871</v>
      </c>
    </row>
    <row r="652" spans="1:2" x14ac:dyDescent="0.2">
      <c r="A652" t="s">
        <v>1352</v>
      </c>
      <c r="B652" t="s">
        <v>374</v>
      </c>
    </row>
    <row r="653" spans="1:2" x14ac:dyDescent="0.2">
      <c r="A653" t="s">
        <v>1353</v>
      </c>
      <c r="B653" t="s">
        <v>490</v>
      </c>
    </row>
    <row r="654" spans="1:2" x14ac:dyDescent="0.2">
      <c r="A654" t="s">
        <v>1350</v>
      </c>
      <c r="B654" t="s">
        <v>684</v>
      </c>
    </row>
    <row r="655" spans="1:2" x14ac:dyDescent="0.2">
      <c r="A655" t="s">
        <v>1350</v>
      </c>
      <c r="B655" t="s">
        <v>1178</v>
      </c>
    </row>
    <row r="656" spans="1:2" x14ac:dyDescent="0.2">
      <c r="A656" t="s">
        <v>1351</v>
      </c>
      <c r="B656" t="s">
        <v>1059</v>
      </c>
    </row>
    <row r="657" spans="1:2" x14ac:dyDescent="0.2">
      <c r="A657" t="s">
        <v>1351</v>
      </c>
      <c r="B657" t="s">
        <v>1135</v>
      </c>
    </row>
    <row r="658" spans="1:2" x14ac:dyDescent="0.2">
      <c r="A658" t="s">
        <v>1352</v>
      </c>
      <c r="B658" t="s">
        <v>1275</v>
      </c>
    </row>
    <row r="659" spans="1:2" x14ac:dyDescent="0.2">
      <c r="A659" t="s">
        <v>1353</v>
      </c>
      <c r="B659" t="s">
        <v>838</v>
      </c>
    </row>
    <row r="660" spans="1:2" x14ac:dyDescent="0.2">
      <c r="A660" t="s">
        <v>1351</v>
      </c>
      <c r="B660" t="s">
        <v>434</v>
      </c>
    </row>
    <row r="661" spans="1:2" x14ac:dyDescent="0.2">
      <c r="A661" t="s">
        <v>1351</v>
      </c>
      <c r="B661" t="s">
        <v>672</v>
      </c>
    </row>
    <row r="662" spans="1:2" x14ac:dyDescent="0.2">
      <c r="A662" t="s">
        <v>1352</v>
      </c>
      <c r="B662" t="s">
        <v>422</v>
      </c>
    </row>
    <row r="663" spans="1:2" x14ac:dyDescent="0.2">
      <c r="A663" t="s">
        <v>1351</v>
      </c>
      <c r="B663" t="s">
        <v>1028</v>
      </c>
    </row>
    <row r="664" spans="1:2" x14ac:dyDescent="0.2">
      <c r="A664" t="s">
        <v>1352</v>
      </c>
      <c r="B664" t="s">
        <v>1074</v>
      </c>
    </row>
    <row r="665" spans="1:2" x14ac:dyDescent="0.2">
      <c r="A665" t="s">
        <v>1353</v>
      </c>
      <c r="B665" t="s">
        <v>122</v>
      </c>
    </row>
    <row r="666" spans="1:2" x14ac:dyDescent="0.2">
      <c r="A666" t="s">
        <v>1350</v>
      </c>
      <c r="B666" t="s">
        <v>266</v>
      </c>
    </row>
    <row r="667" spans="1:2" x14ac:dyDescent="0.2">
      <c r="A667" t="s">
        <v>1351</v>
      </c>
      <c r="B667" t="s">
        <v>869</v>
      </c>
    </row>
    <row r="668" spans="1:2" x14ac:dyDescent="0.2">
      <c r="A668" t="s">
        <v>1351</v>
      </c>
      <c r="B668" t="s">
        <v>67</v>
      </c>
    </row>
    <row r="669" spans="1:2" x14ac:dyDescent="0.2">
      <c r="A669" t="s">
        <v>1352</v>
      </c>
      <c r="B669" t="s">
        <v>1218</v>
      </c>
    </row>
    <row r="670" spans="1:2" x14ac:dyDescent="0.2">
      <c r="A670" t="s">
        <v>1350</v>
      </c>
      <c r="B670" t="s">
        <v>658</v>
      </c>
    </row>
    <row r="671" spans="1:2" x14ac:dyDescent="0.2">
      <c r="A671" t="s">
        <v>1352</v>
      </c>
      <c r="B671" t="s">
        <v>241</v>
      </c>
    </row>
  </sheetData>
  <phoneticPr fontId="5"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081-4EB7-4724-85EB-47A372655CD5}">
  <dimension ref="A1"/>
  <sheetViews>
    <sheetView showGridLines="0" tabSelected="1" zoomScaleNormal="100" workbookViewId="0">
      <selection activeCell="Q12" sqref="Q12"/>
    </sheetView>
  </sheetViews>
  <sheetFormatPr defaultRowHeight="12.75" x14ac:dyDescent="0.2"/>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Excel Capstone Raw Data</vt:lpstr>
      <vt:lpstr>Sheet3</vt:lpstr>
      <vt:lpstr>Sheet5</vt:lpstr>
      <vt:lpstr>Sheet6</vt:lpstr>
      <vt:lpstr>Sheet7</vt:lpstr>
      <vt:lpstr>Sheet8</vt:lpstr>
      <vt:lpstr>Kpis</vt:lpstr>
      <vt:lpstr>kpi sales</vt:lpstr>
      <vt:lpstr>kpi customer</vt:lpstr>
      <vt:lpstr>Sheet2</vt:lpstr>
      <vt:lpstr>Sheet4</vt:lpstr>
      <vt:lpstr>Sheet9</vt:lpstr>
      <vt:lpstr>Sheet1</vt:lpstr>
      <vt:lpstr>Sheet10</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2026-08-18T17:02:09Z</dcterms:modified>
</cp:coreProperties>
</file>